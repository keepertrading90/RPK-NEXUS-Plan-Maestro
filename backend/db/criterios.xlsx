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mael.rodriguez\MIS HERRAMIENTAS\Plan Maestro RPK NEXUS\backend\db\"/>
    </mc:Choice>
  </mc:AlternateContent>
  <xr:revisionPtr revIDLastSave="0" documentId="8_{D7092D64-AD72-48BD-B333-59E266B58304}" xr6:coauthVersionLast="47" xr6:coauthVersionMax="47" xr10:uidLastSave="{00000000-0000-0000-0000-000000000000}"/>
  <bookViews>
    <workbookView xWindow="-108" yWindow="-108" windowWidth="23256" windowHeight="12456" xr2:uid="{580A0EC2-93FA-4176-8033-19E5E30FC5C1}"/>
  </bookViews>
  <sheets>
    <sheet name="CRITERIOS" sheetId="1" r:id="rId1"/>
  </sheets>
  <externalReferences>
    <externalReference r:id="rId2"/>
  </externalReferences>
  <definedNames>
    <definedName name="_xlnm._FilterDatabase" localSheetId="0" hidden="1">CRITERIOS!$AN$10:$AQ$311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203" i="1" l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K168" i="1"/>
  <c r="BH167" i="1"/>
  <c r="K167" i="1"/>
  <c r="BH166" i="1"/>
  <c r="K166" i="1"/>
  <c r="BH165" i="1"/>
  <c r="K165" i="1"/>
  <c r="BH164" i="1"/>
  <c r="K164" i="1"/>
  <c r="BH163" i="1"/>
  <c r="K163" i="1"/>
  <c r="BH162" i="1"/>
  <c r="K162" i="1"/>
  <c r="BH161" i="1"/>
  <c r="K161" i="1"/>
  <c r="BH160" i="1"/>
  <c r="K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M104" i="1"/>
  <c r="BH103" i="1"/>
  <c r="BH102" i="1"/>
  <c r="BH101" i="1"/>
  <c r="M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X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M16" i="1"/>
  <c r="BH15" i="1"/>
  <c r="BH14" i="1"/>
  <c r="BH13" i="1"/>
  <c r="BH12" i="1"/>
  <c r="BH11" i="1"/>
  <c r="M10" i="1"/>
</calcChain>
</file>

<file path=xl/sharedStrings.xml><?xml version="1.0" encoding="utf-8"?>
<sst xmlns="http://schemas.openxmlformats.org/spreadsheetml/2006/main" count="37128" uniqueCount="36634">
  <si>
    <t xml:space="preserve">PLANIFICACIÓN DE ARTÍCULOS </t>
  </si>
  <si>
    <t>NIVELACIÓN DE PERSONAS</t>
  </si>
  <si>
    <t>NIVELACIÓN DE MÁQUINAS</t>
  </si>
  <si>
    <t>API</t>
  </si>
  <si>
    <t>LOW RUINNERS</t>
  </si>
  <si>
    <t>CLIENTES C</t>
  </si>
  <si>
    <t>CLIENTES A y B</t>
  </si>
  <si>
    <t>COSTE MP</t>
  </si>
  <si>
    <t>Lote Fabricación / Lote Margen</t>
  </si>
  <si>
    <t>Margen</t>
  </si>
  <si>
    <t>MESES NIVELACIÓN</t>
  </si>
  <si>
    <t>ANÁLISIS DE DEMANDA:</t>
  </si>
  <si>
    <t>CRITERIO DEMANDA HIGH RUNNER</t>
  </si>
  <si>
    <t>CRITERIOS PARA PUNTO DE PEDIDO</t>
  </si>
  <si>
    <t>Frecuencia/LT  &gt;</t>
  </si>
  <si>
    <t>Nº PREPARADORES</t>
  </si>
  <si>
    <t>Nº CUIDADORES</t>
  </si>
  <si>
    <t>RENDIMIENTO PUESTA A PUNTO</t>
  </si>
  <si>
    <t/>
  </si>
  <si>
    <t xml:space="preserve">RENDIMIENTO EJECUCIÓN </t>
  </si>
  <si>
    <t>FRECUENCIA DE RECOGIDA &lt;</t>
  </si>
  <si>
    <t>UATC AFECTADAS</t>
  </si>
  <si>
    <t>MÁQUINAS MONOARTICULO</t>
  </si>
  <si>
    <t>Reglas Mezcla Control Unitario y Blocadores</t>
  </si>
  <si>
    <t>Centro</t>
  </si>
  <si>
    <t>Tasa oferta Prep</t>
  </si>
  <si>
    <t>Tasa Standard Prep</t>
  </si>
  <si>
    <t>Tasa Oferta Ejec</t>
  </si>
  <si>
    <t>Tasa Standard Ejec</t>
  </si>
  <si>
    <t>AAF-S.A. (100)</t>
  </si>
  <si>
    <t>CodigoCliente</t>
  </si>
  <si>
    <t>NombreCliente</t>
  </si>
  <si>
    <t>articulo_conjunto</t>
  </si>
  <si>
    <t>COSTE Material</t>
  </si>
  <si>
    <t>Límite Inferior</t>
  </si>
  <si>
    <t>Límite Superior</t>
  </si>
  <si>
    <t>AGUTI PRODUKTENTWICKLUNG &amp; (1046)</t>
  </si>
  <si>
    <t>BMW AG (1504)</t>
  </si>
  <si>
    <t>1</t>
  </si>
  <si>
    <t>MOQ1=Lm</t>
  </si>
  <si>
    <t>SC1=0</t>
  </si>
  <si>
    <t>MOQ3=0</t>
  </si>
  <si>
    <t>SC3=Cfab</t>
  </si>
  <si>
    <t>Máquina</t>
  </si>
  <si>
    <t>TIPO</t>
  </si>
  <si>
    <t>Tamaño bloque</t>
  </si>
  <si>
    <t>1º</t>
  </si>
  <si>
    <t>2º</t>
  </si>
  <si>
    <t>3º</t>
  </si>
  <si>
    <t>4º</t>
  </si>
  <si>
    <t>5º</t>
  </si>
  <si>
    <t>Excepciones/observaciones</t>
  </si>
  <si>
    <t>ALMISALA, S.L. (2686)</t>
  </si>
  <si>
    <t>PHINIA DELPHI ROMANIA (2158)</t>
  </si>
  <si>
    <t>10</t>
  </si>
  <si>
    <t>SC3=Cfab+Calmacen(Lo)</t>
  </si>
  <si>
    <t>SEPTIEMBRE</t>
  </si>
  <si>
    <t>DEMANDA TOTAL NIVELACIÓN (PREVISIONES)</t>
  </si>
  <si>
    <t>FRECUENCIA MÁXIMA</t>
  </si>
  <si>
    <t>UATC</t>
  </si>
  <si>
    <t>COEFICIENTE</t>
  </si>
  <si>
    <t>MÁQUINA</t>
  </si>
  <si>
    <t>ARTÍCULO</t>
  </si>
  <si>
    <t>ARTÍCULO UATC</t>
  </si>
  <si>
    <t>DEDICACIÓN</t>
  </si>
  <si>
    <t>%</t>
  </si>
  <si>
    <t>Nombre</t>
  </si>
  <si>
    <t>1)</t>
  </si>
  <si>
    <t>2)</t>
  </si>
  <si>
    <t>Saturación
 ≥ 75% 3 turnos</t>
  </si>
  <si>
    <t>Monoarticulo</t>
  </si>
  <si>
    <t>Tecnología</t>
  </si>
  <si>
    <t>Duración 
rotación</t>
  </si>
  <si>
    <t>Días
 lanzamiento</t>
  </si>
  <si>
    <t>HORAS DE LOTE total &gt;</t>
  </si>
  <si>
    <t>UA05</t>
  </si>
  <si>
    <t>8h</t>
  </si>
  <si>
    <t>RESTO</t>
  </si>
  <si>
    <t>AMADEO MARTI CARBONELL S.A. (5490)</t>
  </si>
  <si>
    <t>ZF BRAKING SYSTEMS POLAND (5360)</t>
  </si>
  <si>
    <t>11</t>
  </si>
  <si>
    <t>MOQ1=Lo</t>
  </si>
  <si>
    <t>SC3=Calmacen(Lo)</t>
  </si>
  <si>
    <t>UA01</t>
  </si>
  <si>
    <t>UA02</t>
  </si>
  <si>
    <t>404003UA02</t>
  </si>
  <si>
    <t xml:space="preserve">SCHENKER SFA-6 ENR 0.1-0.8    </t>
  </si>
  <si>
    <t>BATZ CZECH S.R.O (1258)</t>
  </si>
  <si>
    <t>BWI POLAND TECHNOLOGIES SP ZOO (3989)</t>
  </si>
  <si>
    <t>12</t>
  </si>
  <si>
    <t>404034A</t>
  </si>
  <si>
    <t>404034AUA02</t>
  </si>
  <si>
    <t xml:space="preserve">WAFIOS FUL-22 ENR  0.2-2      </t>
  </si>
  <si>
    <t>NADA</t>
  </si>
  <si>
    <t>Lote Completo</t>
  </si>
  <si>
    <t>FIFO</t>
  </si>
  <si>
    <t>BEYONICS PRECISION MALAYSIA (1803)</t>
  </si>
  <si>
    <t>TENNECO AUTOMOTIVE EASTER (5936)</t>
  </si>
  <si>
    <t>13</t>
  </si>
  <si>
    <t>OCTUBRE</t>
  </si>
  <si>
    <t>Desv. entre cumplimiento de clientes y de artículo HR</t>
  </si>
  <si>
    <t>UA03</t>
  </si>
  <si>
    <t>404033UA02</t>
  </si>
  <si>
    <t xml:space="preserve">HTC-28 ENROLLADORA 0.8-3      </t>
  </si>
  <si>
    <t>Tiempo de fabricación establecido (H)</t>
  </si>
  <si>
    <t>RDM</t>
  </si>
  <si>
    <t>61189B se corta si llega algún otro artículo</t>
  </si>
  <si>
    <t>BEZARES.,S.A. (1370)</t>
  </si>
  <si>
    <t>TENNECO AUTOMOTIVE IBERICA,S.A (5938)</t>
  </si>
  <si>
    <t>14</t>
  </si>
  <si>
    <t>UA04</t>
  </si>
  <si>
    <t>404055UA02</t>
  </si>
  <si>
    <t xml:space="preserve">WAFIOS FS-3 ENR. 0.4-2.2      </t>
  </si>
  <si>
    <t>BSH ELECTRODOMEST. ESPAÑA,S A. (4575)</t>
  </si>
  <si>
    <t>CONTINENTAL BRAKES ITALY SPA (1058)</t>
  </si>
  <si>
    <t>15</t>
  </si>
  <si>
    <t>% de demanda</t>
  </si>
  <si>
    <t>dias lab.</t>
  </si>
  <si>
    <t>412607UA02</t>
  </si>
  <si>
    <t xml:space="preserve">WAFIOS FSE 13                 </t>
  </si>
  <si>
    <t>BV ELEKTRONIK S.R.O. (7988)</t>
  </si>
  <si>
    <t>INDUSTRIA AUXILIAR ALAVESA S.A (4545)</t>
  </si>
  <si>
    <t>16</t>
  </si>
  <si>
    <t>NOVIEMBRE</t>
  </si>
  <si>
    <t>TIEMPO DISPONIBLE</t>
  </si>
  <si>
    <t>DÍAS DEL PERIODO DE NIVELACIÓN</t>
  </si>
  <si>
    <t>AJUSTE DE LA DEMANDA POR MESES</t>
  </si>
  <si>
    <t>ENERO</t>
  </si>
  <si>
    <t>UA06</t>
  </si>
  <si>
    <t>412604UA02</t>
  </si>
  <si>
    <t xml:space="preserve">WAFIOS FUL-32 ENR  0.5-3      </t>
  </si>
  <si>
    <t>71790 se corta si llega algún otro artículo</t>
  </si>
  <si>
    <t>CHR. MAYR GMBH (5443)</t>
  </si>
  <si>
    <t>DENSO MANUFACTURING HUNGARY (2675)</t>
  </si>
  <si>
    <t>17</t>
  </si>
  <si>
    <t>UA07</t>
  </si>
  <si>
    <t>412584UA02</t>
  </si>
  <si>
    <t xml:space="preserve">WAFIOS FUL 41 ENR 1.5-4.0     </t>
  </si>
  <si>
    <t>CTL PACK VICHY, S.A.U. (10)</t>
  </si>
  <si>
    <t>KYB SUSPENSIONS EUROPE S.A. (580)</t>
  </si>
  <si>
    <t>18</t>
  </si>
  <si>
    <t>FEBRERO</t>
  </si>
  <si>
    <t>UA08</t>
  </si>
  <si>
    <t>403109UA02</t>
  </si>
  <si>
    <t>CTLPACK VITORIA-GASTEIZ,S.A.U (7680)</t>
  </si>
  <si>
    <t>BMW MOTOREN GMBH - STEYR (1501)</t>
  </si>
  <si>
    <t>19</t>
  </si>
  <si>
    <t>DICIEMBRE</t>
  </si>
  <si>
    <t>TIEMPO POR TURNO</t>
  </si>
  <si>
    <t>UA09</t>
  </si>
  <si>
    <t>403994UA02</t>
  </si>
  <si>
    <t xml:space="preserve">WAFIOS FSI-11C ENR 0.2-0.8    </t>
  </si>
  <si>
    <t>DECOREX PROTECCION SOLAR S.L. (2627)</t>
  </si>
  <si>
    <t>HITACHI ASTEMO FRANCE S.A.S (2623)</t>
  </si>
  <si>
    <t>20</t>
  </si>
  <si>
    <t>MARZO</t>
  </si>
  <si>
    <t>404004A</t>
  </si>
  <si>
    <t>404004AUA02</t>
  </si>
  <si>
    <t xml:space="preserve">WAFIOS FSI11-D ENR 0.2-0.8    </t>
  </si>
  <si>
    <t>EUROSTYLE SYSTEMS MOLINGES (5410)</t>
  </si>
  <si>
    <t>ROBERT BOSCH GMBH (1400)</t>
  </si>
  <si>
    <t>21</t>
  </si>
  <si>
    <t>MÁQUINA SIN CÓMPUTO PREPARACIÓN</t>
  </si>
  <si>
    <t>452083UA02</t>
  </si>
  <si>
    <t xml:space="preserve">WAFIOS FSI11-E ENR 0.2-0.8    </t>
  </si>
  <si>
    <t>75984 hacemos 2 medios lotes</t>
  </si>
  <si>
    <t>FLEXTRONICS MANUFACTURING(S) (4965)</t>
  </si>
  <si>
    <t>BEIJING WEST INDUSTRIES CO LTD (2668)</t>
  </si>
  <si>
    <t>22</t>
  </si>
  <si>
    <t>ABRIL</t>
  </si>
  <si>
    <t>453773UA02</t>
  </si>
  <si>
    <t xml:space="preserve">WAFIOS FSI11-F ENR 0.2-0.8    </t>
  </si>
  <si>
    <t>16h</t>
  </si>
  <si>
    <t>FOCKE MELER GLUING SOLUTIONS (3540)</t>
  </si>
  <si>
    <t>PLADOMIN.,S.A. (6226)</t>
  </si>
  <si>
    <t>23</t>
  </si>
  <si>
    <t>ROTACIONES (DIAS)</t>
  </si>
  <si>
    <t>453800UA02</t>
  </si>
  <si>
    <t xml:space="preserve">WAFIOS FSI11-G ENR 0.2-0.8    </t>
  </si>
  <si>
    <t>FRENOS IRUÑA S.A.L. (3676)</t>
  </si>
  <si>
    <t>CEBI ITALY SPA (7112)</t>
  </si>
  <si>
    <t>24</t>
  </si>
  <si>
    <t>MAYO</t>
  </si>
  <si>
    <t>452017UA02</t>
  </si>
  <si>
    <t xml:space="preserve">WAFIOS FSI11-H ENR 0.2-0.8    </t>
  </si>
  <si>
    <t>39110D hacemos lote completo</t>
  </si>
  <si>
    <t>GEBR. TUXHORN GMBH (7681)</t>
  </si>
  <si>
    <t>VITESCO TECHNOLOGIES (2034)</t>
  </si>
  <si>
    <t>25</t>
  </si>
  <si>
    <t>FORMA-FLEJE</t>
  </si>
  <si>
    <t>452085UA02</t>
  </si>
  <si>
    <t xml:space="preserve">WAFIOS FSI11-I ENR 0.2-0.8    </t>
  </si>
  <si>
    <t>GRUPO ANTOLIN DAPSA S.A. (646)</t>
  </si>
  <si>
    <t>HITACHI ASTEMO ABRANTES S.A (1321)</t>
  </si>
  <si>
    <t>26</t>
  </si>
  <si>
    <t>JUNIO</t>
  </si>
  <si>
    <t>452130UA02</t>
  </si>
  <si>
    <t xml:space="preserve">WAFIOS FSI11-J ENR 0.2-0.8    </t>
  </si>
  <si>
    <t xml:space="preserve">16h </t>
  </si>
  <si>
    <t>GUILERA S.A. (4180)</t>
  </si>
  <si>
    <t>PIERBURG, S.A. (1660)</t>
  </si>
  <si>
    <t>27</t>
  </si>
  <si>
    <t>RETENES</t>
  </si>
  <si>
    <t>451844UA02</t>
  </si>
  <si>
    <t xml:space="preserve">WAFIOS FSI11-K ENR 0.2-0.8    </t>
  </si>
  <si>
    <t>68639A</t>
  </si>
  <si>
    <t>KIDER STORE SOLUTIONS S. L. (5097)</t>
  </si>
  <si>
    <t>PIERBURG S.R.O. (6221)</t>
  </si>
  <si>
    <t>28</t>
  </si>
  <si>
    <t>JULIO</t>
  </si>
  <si>
    <t>452108UA02</t>
  </si>
  <si>
    <t xml:space="preserve">SIMPLEX GX10 ENR RET 0.15-0.8 </t>
  </si>
  <si>
    <t>LA MAGDALENA, S.L. (5417)</t>
  </si>
  <si>
    <t>PIERBURG GMBH (6224)</t>
  </si>
  <si>
    <t>29</t>
  </si>
  <si>
    <t>COMPRESIÓN</t>
  </si>
  <si>
    <t>452065UA02</t>
  </si>
  <si>
    <t xml:space="preserve">SIMPLEX SP0-A ROSCADORA 20-80 </t>
  </si>
  <si>
    <t>MANUFACTURAS EMABI.S.A. (3103)</t>
  </si>
  <si>
    <t>HITACHI ASTEMO POLAND SP. (1331)</t>
  </si>
  <si>
    <t>30</t>
  </si>
  <si>
    <t>AGOSTO</t>
  </si>
  <si>
    <t>452952UA02</t>
  </si>
  <si>
    <t xml:space="preserve">SIMPLEX SP0-B ROSCADORA 20-80 </t>
  </si>
  <si>
    <t>MARK EXHAUST SYSTEMS LTD (2644)</t>
  </si>
  <si>
    <t>MAGNA AUTOMOTIVE (POLAND) (5422)</t>
  </si>
  <si>
    <t>31</t>
  </si>
  <si>
    <t>452106UA02</t>
  </si>
  <si>
    <t xml:space="preserve">SIMPLEX SP0 ROSCADORA MINI    </t>
  </si>
  <si>
    <t>MATERIALES PLÁSTICOS VALLEGAS, (5452)</t>
  </si>
  <si>
    <t>MUBEA AUTOMOTIVE SLOVAKIA (4546)</t>
  </si>
  <si>
    <t>32</t>
  </si>
  <si>
    <t>452128UA02</t>
  </si>
  <si>
    <t>SIMPLEX SP1+2E ROSCADORA30-150</t>
  </si>
  <si>
    <t>MERIT AUTOMOTIVE ELECTRONICS (2663)</t>
  </si>
  <si>
    <t>ZF SACHS SUSPANSIYON (6741)</t>
  </si>
  <si>
    <t>33</t>
  </si>
  <si>
    <t>453010UA02</t>
  </si>
  <si>
    <t xml:space="preserve">SIMPLEX SP1+2EA ROSC 30-150   </t>
  </si>
  <si>
    <t>MICRODECO S.A. (3366)</t>
  </si>
  <si>
    <t>TENNECO AUTOMOTIVE EUROPE BVBA (5937)</t>
  </si>
  <si>
    <t>34</t>
  </si>
  <si>
    <t>404014UA02</t>
  </si>
  <si>
    <t xml:space="preserve">SIMPLEX SP1+2-SPECIAL 10-250  </t>
  </si>
  <si>
    <t>PLASTICOS DE LEZO S.L. (6323)</t>
  </si>
  <si>
    <t>PHINIA DELPHI AUTOMOTIVE (2649)</t>
  </si>
  <si>
    <t>35</t>
  </si>
  <si>
    <t>403584UA02</t>
  </si>
  <si>
    <t>SIMPLEX SP3E ROSCADORA 100-285</t>
  </si>
  <si>
    <t>POLYTHERM SISTEMAS, S.A.U. (6352)</t>
  </si>
  <si>
    <t>ALK-ABELLO S.A (20)</t>
  </si>
  <si>
    <t>36</t>
  </si>
  <si>
    <t>453037UA02</t>
  </si>
  <si>
    <t xml:space="preserve">SIMPLEX SP3E-A ROSC 100-285   </t>
  </si>
  <si>
    <t>SBR/METALÚRGICA (6840)</t>
  </si>
  <si>
    <t>MONROE CZECHIA S.R.O. (5944)</t>
  </si>
  <si>
    <t>37</t>
  </si>
  <si>
    <t>453409UA02</t>
  </si>
  <si>
    <t>SIMPLEX SP4E ROSCADORA 150-500</t>
  </si>
  <si>
    <t>SCHAKO KG (6871)</t>
  </si>
  <si>
    <t>SCHAEFFLER SAVARIA KFT. (6878)</t>
  </si>
  <si>
    <t>38</t>
  </si>
  <si>
    <t>404018UA02</t>
  </si>
  <si>
    <t>SIST. AUTOMATICO CONTROL RETEN</t>
  </si>
  <si>
    <t>SERVICIOS GLOBALES DER POSVENT (19)</t>
  </si>
  <si>
    <t>ORKLI S. COOP. (6155)</t>
  </si>
  <si>
    <t>39</t>
  </si>
  <si>
    <t>453418UA02</t>
  </si>
  <si>
    <t xml:space="preserve">SIST MEDICION AUTOMAT RETEN   </t>
  </si>
  <si>
    <t>SNA EUROPE INDUSTRIES IBERIA (4240)</t>
  </si>
  <si>
    <t>BWI NORTH AMERICA INC. (1286)</t>
  </si>
  <si>
    <t>40</t>
  </si>
  <si>
    <t>452965UA02</t>
  </si>
  <si>
    <t>SPRINGCOTEC S.L. (7145)</t>
  </si>
  <si>
    <t>SCHAEFFLER CHINA CO. LTD. (6877)</t>
  </si>
  <si>
    <t>41</t>
  </si>
  <si>
    <t>Nº de meses de nivelación</t>
  </si>
  <si>
    <t>451892UA02</t>
  </si>
  <si>
    <t xml:space="preserve">BIHLER-01                     </t>
  </si>
  <si>
    <t>TASUBINSA (7284)</t>
  </si>
  <si>
    <t>KELSEY-HAYES COMPANY (3682)</t>
  </si>
  <si>
    <t>42</t>
  </si>
  <si>
    <t>403110UA02</t>
  </si>
  <si>
    <t xml:space="preserve">BUCH DCM200-1                 </t>
  </si>
  <si>
    <t>TFC LTD INDUSTRIE KOMPONENTEN (27)</t>
  </si>
  <si>
    <t>BORGWARNER FUEL SYSTEMS YANTAI (2684)</t>
  </si>
  <si>
    <t>43</t>
  </si>
  <si>
    <t>452240UA02</t>
  </si>
  <si>
    <t xml:space="preserve">BUCH DCM200-2                 </t>
  </si>
  <si>
    <t>BWI CZECH REPUBLIC S.R.O. (3975)</t>
  </si>
  <si>
    <t>44</t>
  </si>
  <si>
    <t>451492C</t>
  </si>
  <si>
    <t>451492CUA02</t>
  </si>
  <si>
    <t xml:space="preserve">BUCH DCM200-3                 </t>
  </si>
  <si>
    <t>DRIV AUTOMOTIVE INC. (7473)</t>
  </si>
  <si>
    <t>45</t>
  </si>
  <si>
    <t>452089UA02</t>
  </si>
  <si>
    <t xml:space="preserve">BUCH DCM200-CNC               </t>
  </si>
  <si>
    <t>ROBERT BOSCH SP.Z O.O. (1330)</t>
  </si>
  <si>
    <t>46</t>
  </si>
  <si>
    <t>453584UA02</t>
  </si>
  <si>
    <t xml:space="preserve">BUCH DCM200-4/40-S P15        </t>
  </si>
  <si>
    <t>MAYSAN MANDO OTOMOTIV (5419)</t>
  </si>
  <si>
    <t>99</t>
  </si>
  <si>
    <t>451906UA02</t>
  </si>
  <si>
    <t xml:space="preserve">BISELADOR VARILLAS 2.0        </t>
  </si>
  <si>
    <t>EDSCHA BURGOS, S.A. (3415)</t>
  </si>
  <si>
    <t>138</t>
  </si>
  <si>
    <t>DISMINUCIÓN STOCK DE SEGURIDAD</t>
  </si>
  <si>
    <t>451899UA02</t>
  </si>
  <si>
    <t xml:space="preserve">DOBSE-29 ENR. DOBLE CUERPO    </t>
  </si>
  <si>
    <t>KYB ADV MANUFACTURING SP. S.A. (581)</t>
  </si>
  <si>
    <t>156</t>
  </si>
  <si>
    <t>452819UA02</t>
  </si>
  <si>
    <t xml:space="preserve">DOBSE-31                      </t>
  </si>
  <si>
    <t>BORGWARNER MOBILITY POLAND (3999)</t>
  </si>
  <si>
    <t>165</t>
  </si>
  <si>
    <t>451407A</t>
  </si>
  <si>
    <t>451407AUA02</t>
  </si>
  <si>
    <t xml:space="preserve">DOBSE-32                      </t>
  </si>
  <si>
    <t>MERCEDES-BENZ AG (1605)</t>
  </si>
  <si>
    <t>178</t>
  </si>
  <si>
    <t>403978A</t>
  </si>
  <si>
    <t>403978AUA02</t>
  </si>
  <si>
    <t xml:space="preserve">DOBSE CIERRE                  </t>
  </si>
  <si>
    <t>EATON INDUSTRIES GMBH (5928)</t>
  </si>
  <si>
    <t>182</t>
  </si>
  <si>
    <t>450084A</t>
  </si>
  <si>
    <t>450084AUA02</t>
  </si>
  <si>
    <t xml:space="preserve">DOBSE THYSSEN                 </t>
  </si>
  <si>
    <t>ZF ACTIVE SAFETY GMBH (5361)</t>
  </si>
  <si>
    <t>256</t>
  </si>
  <si>
    <t>403996UA02</t>
  </si>
  <si>
    <t xml:space="preserve">DOBSE THYSSENKRUPP 453257     </t>
  </si>
  <si>
    <t>ZF FRIEDRICHSHAFEN AG (6739)</t>
  </si>
  <si>
    <t>319</t>
  </si>
  <si>
    <t>404015UA02</t>
  </si>
  <si>
    <t xml:space="preserve">PRENSA BRUDEDER 60T           </t>
  </si>
  <si>
    <t>HITACHI ASTEMO TURKEY OTOMOTIV (1461)</t>
  </si>
  <si>
    <t>378</t>
  </si>
  <si>
    <t>403988UA02</t>
  </si>
  <si>
    <t xml:space="preserve">DELTECO PRENSA PE-100         </t>
  </si>
  <si>
    <t>THK RHYTHM AUTOMOTIVE CZECH A. (3674)</t>
  </si>
  <si>
    <t>379</t>
  </si>
  <si>
    <t>451707UA02</t>
  </si>
  <si>
    <t xml:space="preserve">BUCH DCM200 4/40 P25          </t>
  </si>
  <si>
    <t>DANFOSS A/S (2614)</t>
  </si>
  <si>
    <t>381</t>
  </si>
  <si>
    <t>403092UA02</t>
  </si>
  <si>
    <t xml:space="preserve">BUCH DCM200 4/40 P15          </t>
  </si>
  <si>
    <t>GARRETT  MOTION SARL. (3866)</t>
  </si>
  <si>
    <t>382</t>
  </si>
  <si>
    <t>403763UA02</t>
  </si>
  <si>
    <t xml:space="preserve">BUCH DCM200 2/20 C            </t>
  </si>
  <si>
    <t>BOSCH CAR MULTIM. PORT. S.A. (6624)</t>
  </si>
  <si>
    <t>396</t>
  </si>
  <si>
    <t>403859UA02</t>
  </si>
  <si>
    <t>BORGWARNER POLAND SP. Z O.O. (8004)</t>
  </si>
  <si>
    <t>397</t>
  </si>
  <si>
    <t>403158UA02</t>
  </si>
  <si>
    <t>JABIL HUNGARY LP LLC (4953)</t>
  </si>
  <si>
    <t>398</t>
  </si>
  <si>
    <t>453288UA02</t>
  </si>
  <si>
    <t xml:space="preserve">BUCH DCM200 4/40 S            </t>
  </si>
  <si>
    <t>HITACHI ASTEMO CZECH SRO (4263)</t>
  </si>
  <si>
    <t>399</t>
  </si>
  <si>
    <t>403085UA02</t>
  </si>
  <si>
    <t xml:space="preserve">BIHLER GRM 80P DOBLADORA      </t>
  </si>
  <si>
    <t>DANFOSS POLAND SP.ZO.O. (2613)</t>
  </si>
  <si>
    <t>400</t>
  </si>
  <si>
    <t>453554UA02</t>
  </si>
  <si>
    <t xml:space="preserve">BIHLER GRM 80P DOBLADORA LIN  </t>
  </si>
  <si>
    <t>KYB MANUFACTURING CZECH S.R.O (582)</t>
  </si>
  <si>
    <t>401</t>
  </si>
  <si>
    <t>453762UA02</t>
  </si>
  <si>
    <t xml:space="preserve">DCM 400 8/100 P-45            </t>
  </si>
  <si>
    <t>ABB STOTZ-KONTAKT GMBH (102)</t>
  </si>
  <si>
    <t>403</t>
  </si>
  <si>
    <t>453485UA02</t>
  </si>
  <si>
    <t>BORGWARNER PROPULSION (2660)</t>
  </si>
  <si>
    <t>408</t>
  </si>
  <si>
    <t>453553UA02</t>
  </si>
  <si>
    <t xml:space="preserve">PRENSA YAMADA NXT 80WI        </t>
  </si>
  <si>
    <t>PIERBURG PUMP TECH. ITALY SPA (6232)</t>
  </si>
  <si>
    <t>409</t>
  </si>
  <si>
    <t>453484UA02</t>
  </si>
  <si>
    <t xml:space="preserve">MEBUSA COBRA400 GRANALLADORA  </t>
  </si>
  <si>
    <t>HITACHI ASTEMO BRAKE SYSTEMS (6614)</t>
  </si>
  <si>
    <t>710</t>
  </si>
  <si>
    <t>453483UA02</t>
  </si>
  <si>
    <t xml:space="preserve">***CINTA DESMAGNET            </t>
  </si>
  <si>
    <t>HITACHI HIGH-TECH EUROPE GMBH (125)</t>
  </si>
  <si>
    <t>7600384600</t>
  </si>
  <si>
    <t>451572UA02</t>
  </si>
  <si>
    <t xml:space="preserve">PINPIST PINTADO A PISTOLA     </t>
  </si>
  <si>
    <t>TENNECO AUTOMOTIVE EASTER (5952)</t>
  </si>
  <si>
    <t>796</t>
  </si>
  <si>
    <t>452551UA02</t>
  </si>
  <si>
    <t xml:space="preserve">PINTADO MANUAL                </t>
  </si>
  <si>
    <t>HITACHI ASTEMO BRAKE SYSTEMS (6618)</t>
  </si>
  <si>
    <t>8000304671</t>
  </si>
  <si>
    <t>403998UA02</t>
  </si>
  <si>
    <t xml:space="preserve">ACEITADORA CENTRIFUG RETENES  </t>
  </si>
  <si>
    <t>HITACHI ASTEMO CAMPINAS LTDA (6605)</t>
  </si>
  <si>
    <t>9000274610</t>
  </si>
  <si>
    <t>404006UA02</t>
  </si>
  <si>
    <t xml:space="preserve">COMANO BLOCADO A MANO         </t>
  </si>
  <si>
    <t>ABB INDUSTRIAL SOLUTIONS (3981)</t>
  </si>
  <si>
    <t>921</t>
  </si>
  <si>
    <t>453368UA02</t>
  </si>
  <si>
    <t xml:space="preserve">PLASTIFICADORA                </t>
  </si>
  <si>
    <t>HITACHI ASTEMO RAYONG LTD (6620)</t>
  </si>
  <si>
    <t>931</t>
  </si>
  <si>
    <t>404020UA02</t>
  </si>
  <si>
    <t xml:space="preserve">EMBALAJE COMPRESION           </t>
  </si>
  <si>
    <t>BORGWARNER EMISSIONS SYSTEMS (7986)</t>
  </si>
  <si>
    <t>9500294600</t>
  </si>
  <si>
    <t>403106UA02</t>
  </si>
  <si>
    <t xml:space="preserve">EMBALAJE RETENES              </t>
  </si>
  <si>
    <t>BOSCH FREN SISTEMLERI SANAYI (1460)</t>
  </si>
  <si>
    <t>9500294610</t>
  </si>
  <si>
    <t>403107UA02</t>
  </si>
  <si>
    <t xml:space="preserve">EMBALAJE FORMA FLEJE          </t>
  </si>
  <si>
    <t>ZF ACT. SAF. US INC FENTON 987 (7601)</t>
  </si>
  <si>
    <t>9900254610</t>
  </si>
  <si>
    <t>CÁLCULO LOTE ECONÓMICO:</t>
  </si>
  <si>
    <t>COSTE OFICIAL (H) + AMORT. MÁQUINA</t>
  </si>
  <si>
    <t>CAJAS/PALLET/CONTENEDOR</t>
  </si>
  <si>
    <t>453657UA02</t>
  </si>
  <si>
    <t xml:space="preserve">EMBALAJE MANUAL               </t>
  </si>
  <si>
    <t>ZF SLOVAKIA A.S. SUSP. TECH. (6743)</t>
  </si>
  <si>
    <t>10000354600</t>
  </si>
  <si>
    <t>TIPO DE CAJA</t>
  </si>
  <si>
    <t>CAJAS/PALLET</t>
  </si>
  <si>
    <t>EQUIVALENCIA CONTENEDOR</t>
  </si>
  <si>
    <t>452996UA02</t>
  </si>
  <si>
    <t>CONTROL UNITARIO VISUAL RETENE</t>
  </si>
  <si>
    <t>SC EATON ELECTRO PRODUCTIE SRL (3474)</t>
  </si>
  <si>
    <t>10000704430</t>
  </si>
  <si>
    <t>C14N/FONDO</t>
  </si>
  <si>
    <t>452973UA02</t>
  </si>
  <si>
    <t xml:space="preserve">MANUALES OUTSOURCING          </t>
  </si>
  <si>
    <t>MERCEDES-BENZ AG (1608)</t>
  </si>
  <si>
    <t>10000704600</t>
  </si>
  <si>
    <t>COSTE AMORTIZACIÓN (m2)</t>
  </si>
  <si>
    <t>C14NB/FOND</t>
  </si>
  <si>
    <t>451792UA02</t>
  </si>
  <si>
    <t xml:space="preserve">CONTROL UNITARIO VISUAL FORMA </t>
  </si>
  <si>
    <t>ZF STEERING SYSTEMS POLAND (5355)</t>
  </si>
  <si>
    <t>10001003300</t>
  </si>
  <si>
    <t>C40/CAJA</t>
  </si>
  <si>
    <t>404053UA02</t>
  </si>
  <si>
    <t>CONTROL UNITARIO VISUAL COMPRE</t>
  </si>
  <si>
    <t>CONTINENTAL AUTOM. DO BRASIL (2013)</t>
  </si>
  <si>
    <t>10500314610</t>
  </si>
  <si>
    <t>E15</t>
  </si>
  <si>
    <t>453630UA02</t>
  </si>
  <si>
    <t xml:space="preserve">MECANICA                      </t>
  </si>
  <si>
    <t>PIERBURG CHINA LTD. (6233)</t>
  </si>
  <si>
    <t>10500557760</t>
  </si>
  <si>
    <t>PLAZO AMORTIZACIÓN M2 (AÑOS)</t>
  </si>
  <si>
    <t>E12</t>
  </si>
  <si>
    <t>452366UA02</t>
  </si>
  <si>
    <t xml:space="preserve">CTRL. UNIT. ARANDELA DENSO    </t>
  </si>
  <si>
    <t>ZF PASSIVE SAFETY CZECH SRO (5382)</t>
  </si>
  <si>
    <t>11500284610</t>
  </si>
  <si>
    <t>4314KLT152</t>
  </si>
  <si>
    <t>452367UA02</t>
  </si>
  <si>
    <t xml:space="preserve">BANCO ENSAYO FATIGA BFTGN     </t>
  </si>
  <si>
    <t>ABB SCHWEIZ AG (105)</t>
  </si>
  <si>
    <t>12000604300</t>
  </si>
  <si>
    <t>E14</t>
  </si>
  <si>
    <t>403076UA02</t>
  </si>
  <si>
    <t>BLOCADO Y CONT UNITARIO 422054</t>
  </si>
  <si>
    <t>ZF Active Safety France S.A.S. (7557)</t>
  </si>
  <si>
    <t>12000754300</t>
  </si>
  <si>
    <t>ALTURAS ALMACÉN PT</t>
  </si>
  <si>
    <t>E14R</t>
  </si>
  <si>
    <t>453659UA02</t>
  </si>
  <si>
    <t xml:space="preserve">CONTR UNIT BINDER 2021        </t>
  </si>
  <si>
    <t>ROBERT BOSCH ENERGY AND BODY (89)</t>
  </si>
  <si>
    <t>12500954300</t>
  </si>
  <si>
    <t>E15/VI</t>
  </si>
  <si>
    <t>453760UA02</t>
  </si>
  <si>
    <t xml:space="preserve">CAMBIAR BARRAS ANILLAS        </t>
  </si>
  <si>
    <t>HITACHI ASTEMO BUELNA, S.L.U. (16)</t>
  </si>
  <si>
    <t>13500544720</t>
  </si>
  <si>
    <t>E16</t>
  </si>
  <si>
    <t>404051UA02</t>
  </si>
  <si>
    <t xml:space="preserve">TRABAJOS MANUALES             </t>
  </si>
  <si>
    <t>CONTINENTAL AUTONOMOUS MOBILIT (91)</t>
  </si>
  <si>
    <t>13501354810</t>
  </si>
  <si>
    <t>ALTURAS ALMACÉN WIP</t>
  </si>
  <si>
    <t>ILPEA</t>
  </si>
  <si>
    <t>403980UA02</t>
  </si>
  <si>
    <t xml:space="preserve">HSI HCF190-11                 </t>
  </si>
  <si>
    <t>TENNECO AUTOMOTIVE BRASIL LTDA (5961)</t>
  </si>
  <si>
    <t>1388</t>
  </si>
  <si>
    <t>4314KLT1618</t>
  </si>
  <si>
    <t>452820UA02</t>
  </si>
  <si>
    <t xml:space="preserve">HSI HCF190-10                 </t>
  </si>
  <si>
    <t>CONTINENTAL AUTON. MOB.ROMANIA (2027)</t>
  </si>
  <si>
    <t>1396</t>
  </si>
  <si>
    <t>4314KLT1520</t>
  </si>
  <si>
    <t>453275A</t>
  </si>
  <si>
    <t>453275AUA02</t>
  </si>
  <si>
    <t xml:space="preserve">HSI HCF190-8                  </t>
  </si>
  <si>
    <t>ZF ACTIVE SAFETY INC (7562)</t>
  </si>
  <si>
    <t>14500704430</t>
  </si>
  <si>
    <t>OCUPACIÓN DE PALLET</t>
  </si>
  <si>
    <t>E14/VI</t>
  </si>
  <si>
    <t>404003B</t>
  </si>
  <si>
    <t>404003BUA02</t>
  </si>
  <si>
    <t xml:space="preserve">HSI HCF190-7                  </t>
  </si>
  <si>
    <t>BWI INDIANA INCORPORATED. (28)</t>
  </si>
  <si>
    <t>14500704600</t>
  </si>
  <si>
    <t>E122</t>
  </si>
  <si>
    <t>452971UA02</t>
  </si>
  <si>
    <t xml:space="preserve">HSI HCF190-9                  </t>
  </si>
  <si>
    <t>KUNSHAN INAUTEK AUTOMOTIVE (4411)</t>
  </si>
  <si>
    <t>15001004600</t>
  </si>
  <si>
    <t>CAJAPALETBMW</t>
  </si>
  <si>
    <t>452972UA02</t>
  </si>
  <si>
    <t xml:space="preserve">HSI HCF190-6                  </t>
  </si>
  <si>
    <t>PIERBURG PUMP TEC. ITALY S.P.A (6223)</t>
  </si>
  <si>
    <t>1510</t>
  </si>
  <si>
    <t>COSTE FINANCIERO</t>
  </si>
  <si>
    <t>404011UA02</t>
  </si>
  <si>
    <t xml:space="preserve">HSI HCF190-5                  </t>
  </si>
  <si>
    <t>FRIC ROT S.A.I.C. (1666)</t>
  </si>
  <si>
    <t>1515</t>
  </si>
  <si>
    <t>403993UA02</t>
  </si>
  <si>
    <t xml:space="preserve">HSI HCF190-4                  </t>
  </si>
  <si>
    <t>TENNECO RIDE CONTROL SOUTH (853)</t>
  </si>
  <si>
    <t>1538</t>
  </si>
  <si>
    <t>452777UA02</t>
  </si>
  <si>
    <t xml:space="preserve">HCF160-2 HORNO PIE DE MAQUINA </t>
  </si>
  <si>
    <t>TENNECO (CHANGZHOU) (7486)</t>
  </si>
  <si>
    <t>15500954810</t>
  </si>
  <si>
    <t>PORCENTAJE OBSOLESCENCIA</t>
  </si>
  <si>
    <t>452196UA02</t>
  </si>
  <si>
    <t xml:space="preserve">HSI HCF190-3                  </t>
  </si>
  <si>
    <t>DRiV AUTOMOTIVE INC (7481)</t>
  </si>
  <si>
    <t>16001054400</t>
  </si>
  <si>
    <t>404050UA02</t>
  </si>
  <si>
    <t xml:space="preserve">HSI HCF190-1                  </t>
  </si>
  <si>
    <t>SCHAEFFLER TECH. AG &amp; CO. KG (6875)</t>
  </si>
  <si>
    <t>16001054430</t>
  </si>
  <si>
    <t>453590UA02</t>
  </si>
  <si>
    <t xml:space="preserve">HSI HCF190-2                  </t>
  </si>
  <si>
    <t>HITACHI ASTEMO BRAKE SYSTEMS (56)</t>
  </si>
  <si>
    <t>1662</t>
  </si>
  <si>
    <t>COSTE BALDA CUATRI</t>
  </si>
  <si>
    <t>451460A</t>
  </si>
  <si>
    <t>451460AUA02</t>
  </si>
  <si>
    <t xml:space="preserve">HSI HCF260-1                  </t>
  </si>
  <si>
    <t>VITESCO TECHNOLOGIES CZECH (22)</t>
  </si>
  <si>
    <t>1685</t>
  </si>
  <si>
    <t>453690UA02</t>
  </si>
  <si>
    <t xml:space="preserve">HSI SCF260-2                  </t>
  </si>
  <si>
    <t>PIERBURG PUMP TECHNOLOGY US (1669)</t>
  </si>
  <si>
    <t>1686</t>
  </si>
  <si>
    <t>453591UA02</t>
  </si>
  <si>
    <t xml:space="preserve">HSI HCF260-3                  </t>
  </si>
  <si>
    <t>CONTINENTAL AUTOMOTIVE CZECH (2011)</t>
  </si>
  <si>
    <t>1687</t>
  </si>
  <si>
    <t>COSTE HUECO WIP DIARIO</t>
  </si>
  <si>
    <t>452781UA02</t>
  </si>
  <si>
    <t xml:space="preserve">HSI HCF260-4                  </t>
  </si>
  <si>
    <t>ZF ELECT. SYST. MONTERREY S de (7608)</t>
  </si>
  <si>
    <t>1689</t>
  </si>
  <si>
    <t>453766A</t>
  </si>
  <si>
    <t>453766AUA02</t>
  </si>
  <si>
    <t xml:space="preserve">HSI HCF260-5                  </t>
  </si>
  <si>
    <t>ZF SACHS ESPAÑA S.A. (6735)</t>
  </si>
  <si>
    <t>17000704600</t>
  </si>
  <si>
    <t>453766UA02</t>
  </si>
  <si>
    <t xml:space="preserve">HSI HCF260-6                  </t>
  </si>
  <si>
    <t>PHINIA DELPHI TURKEY (2658)</t>
  </si>
  <si>
    <t>17000904810</t>
  </si>
  <si>
    <t>Peso máx por balda (kg)</t>
  </si>
  <si>
    <t>453395A</t>
  </si>
  <si>
    <t>453395AUA02</t>
  </si>
  <si>
    <t xml:space="preserve">HSI HCF260-7                  </t>
  </si>
  <si>
    <t>ZF FRIEDRICHSHAFEN AG - (6745)</t>
  </si>
  <si>
    <t>17000954400</t>
  </si>
  <si>
    <t>403901UA02</t>
  </si>
  <si>
    <t xml:space="preserve">HSI HCF 260-8                 </t>
  </si>
  <si>
    <t>ZF AUTOM. SYSTEMS POLAND Spzoo (7604)</t>
  </si>
  <si>
    <t>17000954600</t>
  </si>
  <si>
    <t>400211UA03</t>
  </si>
  <si>
    <t xml:space="preserve">HSI HCF 260-9                 </t>
  </si>
  <si>
    <t>ROBERT BOSCH SA (PTY) LTD. (6598)</t>
  </si>
  <si>
    <t>17001154300</t>
  </si>
  <si>
    <t>OCUPACIÓN DE ALMACÉN</t>
  </si>
  <si>
    <t>400291R</t>
  </si>
  <si>
    <t>400291RUA03</t>
  </si>
  <si>
    <t xml:space="preserve">HSI HCF-400-1                 </t>
  </si>
  <si>
    <t>ZF SACHS ITALIA S.R.L. (7688)</t>
  </si>
  <si>
    <t>01704095ZA</t>
  </si>
  <si>
    <t>400208UA03</t>
  </si>
  <si>
    <t xml:space="preserve">LAVADORA ALCOHOL MODIFICADO   </t>
  </si>
  <si>
    <t>DANFOSS (TIANJIN) LTD. (2612)</t>
  </si>
  <si>
    <t>17100834300</t>
  </si>
  <si>
    <t>400213UA03</t>
  </si>
  <si>
    <t xml:space="preserve">VIBRADO+SECADO WALTHER TROBAL </t>
  </si>
  <si>
    <t>EDSCHA AUTOMOTIVE KAMENICE SRO (2967)</t>
  </si>
  <si>
    <t>1726</t>
  </si>
  <si>
    <t>405680A</t>
  </si>
  <si>
    <t>405680AUA03</t>
  </si>
  <si>
    <t>VIBRADORA WALTHER TROWAL CD200</t>
  </si>
  <si>
    <t>ZF AUTOMOTIVE TECHNOLOGIES (7606)</t>
  </si>
  <si>
    <t>17500834100</t>
  </si>
  <si>
    <t>400299UA03</t>
  </si>
  <si>
    <t xml:space="preserve">CONTR UNIT BINDER 2023        </t>
  </si>
  <si>
    <t>ZF ACT. SAFETY &amp; ELECT. US LLC (7607)</t>
  </si>
  <si>
    <t>17500954810</t>
  </si>
  <si>
    <t>407518UA03</t>
  </si>
  <si>
    <t xml:space="preserve">RPK LIMPIEZA                  </t>
  </si>
  <si>
    <t>CONTINENTAL AUTOM. HUNGARY KFT (2026)</t>
  </si>
  <si>
    <t>18000904300</t>
  </si>
  <si>
    <t>400304UA03</t>
  </si>
  <si>
    <t xml:space="preserve">APS TAPE &amp; REEL               </t>
  </si>
  <si>
    <t>BWI POLAND TECHNOLOGIES SP ZOO (2646)</t>
  </si>
  <si>
    <t>18000904430</t>
  </si>
  <si>
    <t>400303UA03</t>
  </si>
  <si>
    <t xml:space="preserve">GALVANICAS PRAS               </t>
  </si>
  <si>
    <t>EATON AUTOMOTIVE COMPONENTS SP (3486)</t>
  </si>
  <si>
    <t>18000954400</t>
  </si>
  <si>
    <t>400292UA03</t>
  </si>
  <si>
    <t xml:space="preserve">CINCADO GALOL                 </t>
  </si>
  <si>
    <t>EATON MANUFACTURING HUNGARY (194)</t>
  </si>
  <si>
    <t>18000954430</t>
  </si>
  <si>
    <t>400293UA03</t>
  </si>
  <si>
    <t xml:space="preserve">GALVANICAS GIRONA             </t>
  </si>
  <si>
    <t>ZF FRIEDRICHSHAFEN AG (6746)</t>
  </si>
  <si>
    <t>18400844400</t>
  </si>
  <si>
    <t>450335A</t>
  </si>
  <si>
    <t>450335AUA03</t>
  </si>
  <si>
    <t xml:space="preserve">FORPEZ Cincados               </t>
  </si>
  <si>
    <t>PIERBURG PUMP TECH.FRANCE SARL (6222)</t>
  </si>
  <si>
    <t>18400884400</t>
  </si>
  <si>
    <t>450179UA03</t>
  </si>
  <si>
    <t xml:space="preserve">GUEMAR                        </t>
  </si>
  <si>
    <t>VITESCO TECHNOLOGIES ROMANIA (2022)</t>
  </si>
  <si>
    <t>18501057620</t>
  </si>
  <si>
    <t>413115UA03</t>
  </si>
  <si>
    <t xml:space="preserve">CINCADO INECA                 </t>
  </si>
  <si>
    <t>BWI UK LTD. (266)</t>
  </si>
  <si>
    <t>19000364600</t>
  </si>
  <si>
    <t>412440UA03</t>
  </si>
  <si>
    <t xml:space="preserve">GALVANOTECNIA                 </t>
  </si>
  <si>
    <t>BORGWARNER TECHNOLOGIE LIMITED (2666)</t>
  </si>
  <si>
    <t>19000954430</t>
  </si>
  <si>
    <t>412366UA03</t>
  </si>
  <si>
    <t xml:space="preserve">RPK FOSFATADO                 </t>
  </si>
  <si>
    <t>SCHAEFFLER ROMANIA SRL (6880)</t>
  </si>
  <si>
    <t>19001004400</t>
  </si>
  <si>
    <t>407621A</t>
  </si>
  <si>
    <t>407621AUA03</t>
  </si>
  <si>
    <t xml:space="preserve">GALOL                         </t>
  </si>
  <si>
    <t>BORGWARNER TECHNOLOGIE LIMITED (2647)</t>
  </si>
  <si>
    <t>01904095ZA</t>
  </si>
  <si>
    <t>411561UA03</t>
  </si>
  <si>
    <t xml:space="preserve">FOSCIN                        </t>
  </si>
  <si>
    <t>EATON AUTOMOTIVE SYSTEMS SP.Z. (3490)</t>
  </si>
  <si>
    <t>19300424720</t>
  </si>
  <si>
    <t>411933UA03</t>
  </si>
  <si>
    <t>BOSCH AUTOMOTIVE PRODUCTS (6622)</t>
  </si>
  <si>
    <t>19500854810</t>
  </si>
  <si>
    <t>407612UA03</t>
  </si>
  <si>
    <t xml:space="preserve">RPK DELTATONE                 </t>
  </si>
  <si>
    <t>TRW AUTOMOTIVE ESPAÑA, S.L. (7560)</t>
  </si>
  <si>
    <t>20000264600</t>
  </si>
  <si>
    <t>407605UA03</t>
  </si>
  <si>
    <t>KYB EUROPE GmbH (579)</t>
  </si>
  <si>
    <t>20000484600</t>
  </si>
  <si>
    <t>451033P</t>
  </si>
  <si>
    <t>451033PUA03</t>
  </si>
  <si>
    <t xml:space="preserve">MICROCAPAS                    </t>
  </si>
  <si>
    <t>TENNECO AUTOMOTIVE INDIA (7477)</t>
  </si>
  <si>
    <t>20000504600</t>
  </si>
  <si>
    <t>450431UA03</t>
  </si>
  <si>
    <t xml:space="preserve">BAUMAN                        </t>
  </si>
  <si>
    <t>DANFOSS EOOD, BGSC (2608)</t>
  </si>
  <si>
    <t>20000504670</t>
  </si>
  <si>
    <t>451431A</t>
  </si>
  <si>
    <t>451431AUA03</t>
  </si>
  <si>
    <t>ROBERT BOSCH LLC (1456)</t>
  </si>
  <si>
    <t>20000604600</t>
  </si>
  <si>
    <t>450431S</t>
  </si>
  <si>
    <t>450431SUA03</t>
  </si>
  <si>
    <t xml:space="preserve">GUMA                          </t>
  </si>
  <si>
    <t>PHINIA DELPHI FRANCE (5363)</t>
  </si>
  <si>
    <t>20000604670</t>
  </si>
  <si>
    <t>450431A</t>
  </si>
  <si>
    <t>450431AUA03</t>
  </si>
  <si>
    <t xml:space="preserve">Guma                          </t>
  </si>
  <si>
    <t>BORGWARNER EMOBILITY POLAND SP (4004)</t>
  </si>
  <si>
    <t>20000904430</t>
  </si>
  <si>
    <t>450962UA03</t>
  </si>
  <si>
    <t xml:space="preserve">RPK DELTATONE + DELTASEAL     </t>
  </si>
  <si>
    <t>PIERBURG PUMP TECHNOLOGY GMBH (6235)</t>
  </si>
  <si>
    <t>20002004810</t>
  </si>
  <si>
    <t>450348UA03</t>
  </si>
  <si>
    <t>DANFOSS PS TELECONTROL SL (4404)</t>
  </si>
  <si>
    <t>20500484600</t>
  </si>
  <si>
    <t>450366P</t>
  </si>
  <si>
    <t>450366PUA03</t>
  </si>
  <si>
    <t>ZF  AUTOMOTIVE BRASIL LTDA. (3672)</t>
  </si>
  <si>
    <t>20500504600</t>
  </si>
  <si>
    <t>451002UA03</t>
  </si>
  <si>
    <t>MERCEDES-BENZ AG (1609)</t>
  </si>
  <si>
    <t>20500604600</t>
  </si>
  <si>
    <t>451052A</t>
  </si>
  <si>
    <t>451052AUA03</t>
  </si>
  <si>
    <t xml:space="preserve">GALVANOTECNIA DELTATONE       </t>
  </si>
  <si>
    <t>ZF FRIEDRICHSHAFEN AG (6749)</t>
  </si>
  <si>
    <t>21000454670</t>
  </si>
  <si>
    <t>451106A</t>
  </si>
  <si>
    <t>451106AUA03</t>
  </si>
  <si>
    <t xml:space="preserve">RPK DELTATONE+DELTASEAL       </t>
  </si>
  <si>
    <t>BORGWARNER PROPUL. SYSTEMS LLC (2606)</t>
  </si>
  <si>
    <t>22001044610</t>
  </si>
  <si>
    <t>451443C</t>
  </si>
  <si>
    <t>451443CUA03</t>
  </si>
  <si>
    <t xml:space="preserve">RPK VT600                     </t>
  </si>
  <si>
    <t>ROBERT BOSCH GMBH (195)</t>
  </si>
  <si>
    <t>22001054810</t>
  </si>
  <si>
    <t>451520P</t>
  </si>
  <si>
    <t>451520PUA03</t>
  </si>
  <si>
    <t xml:space="preserve">RETSACOAT                     </t>
  </si>
  <si>
    <t>TENNECO(SUZHOU) RIDE CONTROL (7485)</t>
  </si>
  <si>
    <t>22001104600</t>
  </si>
  <si>
    <t>451696F</t>
  </si>
  <si>
    <t>451696FUA03</t>
  </si>
  <si>
    <t xml:space="preserve">BRUME                         </t>
  </si>
  <si>
    <t>HEMA TRW OTOMOTIV DIREKSIYON (7564)</t>
  </si>
  <si>
    <t>22300294600</t>
  </si>
  <si>
    <t>451621UA03</t>
  </si>
  <si>
    <t xml:space="preserve">PAVONADOS Y MECANIZACIONES    </t>
  </si>
  <si>
    <t>ZF RANE AUTOM. INDIA PVT LTD (7571)</t>
  </si>
  <si>
    <t>22501454300</t>
  </si>
  <si>
    <t>451621S</t>
  </si>
  <si>
    <t>451621SUA03</t>
  </si>
  <si>
    <t xml:space="preserve">PAVONADOS RAPIT               </t>
  </si>
  <si>
    <t>BWI FRANCE (2665)</t>
  </si>
  <si>
    <t>2290</t>
  </si>
  <si>
    <t>451621T</t>
  </si>
  <si>
    <t>451621TUA03</t>
  </si>
  <si>
    <t xml:space="preserve">BRUMESA CINCADO               </t>
  </si>
  <si>
    <t>ZF AUTOMOTIVE CZECH S.R.O. (5365)</t>
  </si>
  <si>
    <t>2291</t>
  </si>
  <si>
    <t>451811UA03</t>
  </si>
  <si>
    <t>ZF AUTOMOTIVE TECH. SHANGHAI (5381)</t>
  </si>
  <si>
    <t>2292</t>
  </si>
  <si>
    <t>451973A</t>
  </si>
  <si>
    <t>451973AUA03</t>
  </si>
  <si>
    <t xml:space="preserve">PAVONADOS SANCHEZ             </t>
  </si>
  <si>
    <t>TENNECO AUTOMOTIVE INDIA (7476)</t>
  </si>
  <si>
    <t>2295</t>
  </si>
  <si>
    <t>452169UA03</t>
  </si>
  <si>
    <t xml:space="preserve">PAVONADOS VAZQUEZ             </t>
  </si>
  <si>
    <t>ZF PASSIVE SYSTEMS POLAND zoo (7505)</t>
  </si>
  <si>
    <t>2296</t>
  </si>
  <si>
    <t>452173UA03</t>
  </si>
  <si>
    <t xml:space="preserve">VIBRAR PULIDO RPK             </t>
  </si>
  <si>
    <t>ZF ACTIVE SAFETY SLOVAKIA SRO (5386)</t>
  </si>
  <si>
    <t>2300</t>
  </si>
  <si>
    <t>452526UA03</t>
  </si>
  <si>
    <t xml:space="preserve">FORPEZ Niquelados             </t>
  </si>
  <si>
    <t>ZF ACTIVE SAFETY GMBH (5356)</t>
  </si>
  <si>
    <t>23001354810</t>
  </si>
  <si>
    <t>452579UA03</t>
  </si>
  <si>
    <t xml:space="preserve">MECLASA                       </t>
  </si>
  <si>
    <t>EDSCHA AUTOMOTIVE HENGERSBERG (2971)</t>
  </si>
  <si>
    <t>23001604100</t>
  </si>
  <si>
    <t>452590UA03</t>
  </si>
  <si>
    <t xml:space="preserve">GALVACONTAC                   </t>
  </si>
  <si>
    <t>ALK-ABELLÓ A/S (32)</t>
  </si>
  <si>
    <t>2308100</t>
  </si>
  <si>
    <t>452629UA03</t>
  </si>
  <si>
    <t xml:space="preserve">TT CARRERAS                   </t>
  </si>
  <si>
    <t>MERCEDES-BENZ AG (1607)</t>
  </si>
  <si>
    <t>23401007760</t>
  </si>
  <si>
    <t>CALCULO MTS-MTO</t>
  </si>
  <si>
    <t>452979UA03</t>
  </si>
  <si>
    <t>SCHAEFFLER AUTOM. BUEHL GMBH (6879)</t>
  </si>
  <si>
    <t>2345</t>
  </si>
  <si>
    <t>452985A</t>
  </si>
  <si>
    <t>452985AUA03</t>
  </si>
  <si>
    <t xml:space="preserve">MICROAPLICACIONES             </t>
  </si>
  <si>
    <t>HITACHI ASTEMO EL MARQUES (1328)</t>
  </si>
  <si>
    <t>0236/9218</t>
  </si>
  <si>
    <t>453641UA03</t>
  </si>
  <si>
    <t xml:space="preserve">TACSA CATAFORESIS NEGRA       </t>
  </si>
  <si>
    <t>ZF AUTOMOTIVES SYSTEMS (5354)</t>
  </si>
  <si>
    <t>23701604130</t>
  </si>
  <si>
    <t>Cantidad x recogida (Q) vs Lote fabricación (L)</t>
  </si>
  <si>
    <t>Combinación de criterios</t>
  </si>
  <si>
    <t>453516UA03</t>
  </si>
  <si>
    <t xml:space="preserve">PINTADO RPK                   </t>
  </si>
  <si>
    <t>EATON INDUSTRIES (JINING) (77)</t>
  </si>
  <si>
    <t>2373</t>
  </si>
  <si>
    <t>Dividimos Q/L</t>
  </si>
  <si>
    <t>Q/L</t>
  </si>
  <si>
    <t>LT/F</t>
  </si>
  <si>
    <t>Resultado</t>
  </si>
  <si>
    <t>453462UA03</t>
  </si>
  <si>
    <t>DANFOSS COMMERCIAL COMPRESSORS (50)</t>
  </si>
  <si>
    <t>2396</t>
  </si>
  <si>
    <t>Lim. Inferior</t>
  </si>
  <si>
    <t>Lím. Superior</t>
  </si>
  <si>
    <t>Rdo</t>
  </si>
  <si>
    <t>MTO</t>
  </si>
  <si>
    <t>MTS</t>
  </si>
  <si>
    <t>453451UA03</t>
  </si>
  <si>
    <t xml:space="preserve">CATAFORESIS INELCA            </t>
  </si>
  <si>
    <t>TRW FAWER COMMERCIAL VEHICLE (7605)</t>
  </si>
  <si>
    <t>24000554720</t>
  </si>
  <si>
    <t>404648/HUN</t>
  </si>
  <si>
    <t>404648/HUNUA03</t>
  </si>
  <si>
    <t xml:space="preserve">TALLERES BAIXCAMP             </t>
  </si>
  <si>
    <t>TENNECO AUTOMOTIVE UK LTD. (852)</t>
  </si>
  <si>
    <t>24000624720</t>
  </si>
  <si>
    <t>MTOS</t>
  </si>
  <si>
    <t>453419UA03</t>
  </si>
  <si>
    <t xml:space="preserve">FUNDACION TOPROMI             </t>
  </si>
  <si>
    <t>BORGWARNER AUTO. COMPONENTS (8002)</t>
  </si>
  <si>
    <t>24000954400</t>
  </si>
  <si>
    <t>453123UA03</t>
  </si>
  <si>
    <t xml:space="preserve">CENTRE MAS D'ENRIC            </t>
  </si>
  <si>
    <t>TENNECO INDUSTRIA DE AUTOPEÇAS (5962)</t>
  </si>
  <si>
    <t>24000954430</t>
  </si>
  <si>
    <t>453389UA03</t>
  </si>
  <si>
    <t xml:space="preserve">CTRL. CARGAS RPK VI           </t>
  </si>
  <si>
    <t>DRiV AUTOMOTIVE INC (48)</t>
  </si>
  <si>
    <t>02404095ZA</t>
  </si>
  <si>
    <t>Frecuencia de recogida (F) vs LeadTime (LT)</t>
  </si>
  <si>
    <t>453396UA03</t>
  </si>
  <si>
    <t xml:space="preserve">FORPEZ CINCADO                </t>
  </si>
  <si>
    <t>ZF AUTOMOTIVE GERMANY GMBH (5353)</t>
  </si>
  <si>
    <t>2433</t>
  </si>
  <si>
    <t>Dividimos F/LT</t>
  </si>
  <si>
    <t>453400UA03</t>
  </si>
  <si>
    <t>ZF CV SYSTEMS POLAND SP. Z.O.O (7689)</t>
  </si>
  <si>
    <t>24600834400</t>
  </si>
  <si>
    <t>453401UA03</t>
  </si>
  <si>
    <t xml:space="preserve">ARRATE ZINC GALVANICO         </t>
  </si>
  <si>
    <t>CONTINENTAL AUTOMOTIVE (2018)</t>
  </si>
  <si>
    <t>25001454600</t>
  </si>
  <si>
    <t>453410UA03</t>
  </si>
  <si>
    <t xml:space="preserve">CINCADO INDUSTRIAS DIMO       </t>
  </si>
  <si>
    <t>ZF PASSIVE SAFETY US INC (7172)</t>
  </si>
  <si>
    <t>25002004810</t>
  </si>
  <si>
    <t>453414UA03</t>
  </si>
  <si>
    <t xml:space="preserve">CROPU GALVANIZADO             </t>
  </si>
  <si>
    <t>ZF AUTOMOTIVE ITALIA S.R.L (7561)</t>
  </si>
  <si>
    <t>25002503600</t>
  </si>
  <si>
    <t>400256UA03</t>
  </si>
  <si>
    <t xml:space="preserve">ELECTROMETAL COBREADO         </t>
  </si>
  <si>
    <t>25500474600</t>
  </si>
  <si>
    <t>400311UA03</t>
  </si>
  <si>
    <t xml:space="preserve">CINCADO INELCA                </t>
  </si>
  <si>
    <t>25500504720</t>
  </si>
  <si>
    <t>400282UA03</t>
  </si>
  <si>
    <t xml:space="preserve">ARRATE ZINC NIQUEL            </t>
  </si>
  <si>
    <t>25500714720</t>
  </si>
  <si>
    <t>400296UA03</t>
  </si>
  <si>
    <t>26001004300</t>
  </si>
  <si>
    <t>400312UA01</t>
  </si>
  <si>
    <t xml:space="preserve">CINC NIQUEL ELHCO             </t>
  </si>
  <si>
    <t>26001304400</t>
  </si>
  <si>
    <t>400312R</t>
  </si>
  <si>
    <t>400312RUA01</t>
  </si>
  <si>
    <t xml:space="preserve">ZINC NIQUEL ZINCVALLÈS        </t>
  </si>
  <si>
    <t>26500674720</t>
  </si>
  <si>
    <t xml:space="preserve">MONOARTÍCULOS </t>
  </si>
  <si>
    <t>ARTÍCULOS CON 
LOTE FIJO</t>
  </si>
  <si>
    <t>ARTÍCULOS CON 
LOTE VIRTUAL</t>
  </si>
  <si>
    <t>CLIENTES SIN DESGLOSE DE CARTERA</t>
  </si>
  <si>
    <t>400314UA01</t>
  </si>
  <si>
    <t xml:space="preserve">ARRATE ZINC HIERRO(Fe)        </t>
  </si>
  <si>
    <t>2651</t>
  </si>
  <si>
    <t>413253UA01</t>
  </si>
  <si>
    <t xml:space="preserve">FOSDATADO MGN CRISTALINO RECO </t>
  </si>
  <si>
    <t>26800624720</t>
  </si>
  <si>
    <t>Referencia</t>
  </si>
  <si>
    <t>Maquina</t>
  </si>
  <si>
    <t>Lote fijo</t>
  </si>
  <si>
    <t>Lote virtual</t>
  </si>
  <si>
    <t>413481S</t>
  </si>
  <si>
    <t>413481SUA01</t>
  </si>
  <si>
    <t xml:space="preserve">FOSFATADO MUGAPE              </t>
  </si>
  <si>
    <t>2690</t>
  </si>
  <si>
    <t>CÓDIGO</t>
  </si>
  <si>
    <t>DIRECCIÓN PRINCIPAL</t>
  </si>
  <si>
    <t>450601B</t>
  </si>
  <si>
    <t>450601BUA01</t>
  </si>
  <si>
    <t>2691</t>
  </si>
  <si>
    <t>451570P</t>
  </si>
  <si>
    <t>451570PUA01</t>
  </si>
  <si>
    <t xml:space="preserve">FOSFATADO ZINCVALLÈS          </t>
  </si>
  <si>
    <t>2693</t>
  </si>
  <si>
    <t>452295S</t>
  </si>
  <si>
    <t>452295SUA01</t>
  </si>
  <si>
    <t xml:space="preserve">COMPRA RPK                    </t>
  </si>
  <si>
    <t>2694</t>
  </si>
  <si>
    <t>402336A</t>
  </si>
  <si>
    <t>452466UA01</t>
  </si>
  <si>
    <t xml:space="preserve">COBREADO CROPUSA              </t>
  </si>
  <si>
    <t>2695</t>
  </si>
  <si>
    <t>452667C</t>
  </si>
  <si>
    <t>452920C</t>
  </si>
  <si>
    <t>452920CUA01</t>
  </si>
  <si>
    <t xml:space="preserve">FORPEZ NIQUELADO              </t>
  </si>
  <si>
    <t>2697</t>
  </si>
  <si>
    <t>453055UA01</t>
  </si>
  <si>
    <t xml:space="preserve">VIBRAR VIBROVER               </t>
  </si>
  <si>
    <t>2808070</t>
  </si>
  <si>
    <t>453215UA01</t>
  </si>
  <si>
    <t xml:space="preserve">NIQUEL+PLATA ELHCO            </t>
  </si>
  <si>
    <t>02808070SA</t>
  </si>
  <si>
    <t>453333UA01</t>
  </si>
  <si>
    <t xml:space="preserve">METAFIL SYSTEM 2017 SL        </t>
  </si>
  <si>
    <t>2808080</t>
  </si>
  <si>
    <t>453363UA01</t>
  </si>
  <si>
    <t>02808080SA</t>
  </si>
  <si>
    <t>421109B</t>
  </si>
  <si>
    <t>453378UA01</t>
  </si>
  <si>
    <t xml:space="preserve">TEMPLAR BAINITICO BODYCOTE    </t>
  </si>
  <si>
    <t>2893</t>
  </si>
  <si>
    <t>451860I</t>
  </si>
  <si>
    <t>453423UA01</t>
  </si>
  <si>
    <t xml:space="preserve">TEMPLAR BAINITICO PROTERME    </t>
  </si>
  <si>
    <t>29002904810</t>
  </si>
  <si>
    <t>421653L</t>
  </si>
  <si>
    <t>453487B</t>
  </si>
  <si>
    <t>453487BUA01</t>
  </si>
  <si>
    <t xml:space="preserve">TEMPLADO BAINITICO SHU (GER)  </t>
  </si>
  <si>
    <t>30003003600</t>
  </si>
  <si>
    <t>453488A</t>
  </si>
  <si>
    <t>453488AUA01</t>
  </si>
  <si>
    <t xml:space="preserve">T. TERMICO NIVAC              </t>
  </si>
  <si>
    <t>30003007760</t>
  </si>
  <si>
    <t>453489A</t>
  </si>
  <si>
    <t>453489AUA01</t>
  </si>
  <si>
    <t xml:space="preserve">T. TÉRMICO IMESAZA            </t>
  </si>
  <si>
    <t>30003554850</t>
  </si>
  <si>
    <t>453523UA01</t>
  </si>
  <si>
    <t xml:space="preserve">T.T. BADIA S.A                </t>
  </si>
  <si>
    <t>32702754810</t>
  </si>
  <si>
    <t>453528UA01</t>
  </si>
  <si>
    <t xml:space="preserve">CROMADOS MARTIN, S. L.        </t>
  </si>
  <si>
    <t>33001304400</t>
  </si>
  <si>
    <t>453620UA01</t>
  </si>
  <si>
    <t xml:space="preserve">GALVACONTACT                  </t>
  </si>
  <si>
    <t>33001504100</t>
  </si>
  <si>
    <t>453644UA01</t>
  </si>
  <si>
    <t xml:space="preserve">COBREADO+ESTAÑADO ELHCO       </t>
  </si>
  <si>
    <t>35001304400</t>
  </si>
  <si>
    <t>453645UA01</t>
  </si>
  <si>
    <t xml:space="preserve">TAFER GALVANIZADOS            </t>
  </si>
  <si>
    <t>35001504600</t>
  </si>
  <si>
    <t>453656A</t>
  </si>
  <si>
    <t>453656AUA01</t>
  </si>
  <si>
    <t>35002204850</t>
  </si>
  <si>
    <t>407102UA01</t>
  </si>
  <si>
    <t xml:space="preserve">CATAFORESIS DEL VALLÈS,S.L.U. </t>
  </si>
  <si>
    <t>35503004810</t>
  </si>
  <si>
    <t>412206UA01</t>
  </si>
  <si>
    <t xml:space="preserve">SINARD S.A.                   </t>
  </si>
  <si>
    <t>35503754810</t>
  </si>
  <si>
    <t>421102UA01</t>
  </si>
  <si>
    <t xml:space="preserve">GRANALLADO IPARBLAST          </t>
  </si>
  <si>
    <t>3554</t>
  </si>
  <si>
    <t>453479UA01</t>
  </si>
  <si>
    <t>MICROGRANALLADO Q.A CONTROL GU</t>
  </si>
  <si>
    <t>36000804600</t>
  </si>
  <si>
    <t>453618UA01</t>
  </si>
  <si>
    <t xml:space="preserve">Máquinas Obsoletas            </t>
  </si>
  <si>
    <t>36001804810</t>
  </si>
  <si>
    <t>453719UA01</t>
  </si>
  <si>
    <t>36003254810</t>
  </si>
  <si>
    <t>400309UA01</t>
  </si>
  <si>
    <t>3619</t>
  </si>
  <si>
    <t>410997UA01</t>
  </si>
  <si>
    <t>3647</t>
  </si>
  <si>
    <t>412524UA01</t>
  </si>
  <si>
    <t>36503204810</t>
  </si>
  <si>
    <t>421060A</t>
  </si>
  <si>
    <t>421060AUA01</t>
  </si>
  <si>
    <t>3651</t>
  </si>
  <si>
    <t>421098B</t>
  </si>
  <si>
    <t>421098BUA01</t>
  </si>
  <si>
    <t>3681</t>
  </si>
  <si>
    <t>421099A</t>
  </si>
  <si>
    <t>421099AUA01</t>
  </si>
  <si>
    <t>03741</t>
  </si>
  <si>
    <t>421100UA01</t>
  </si>
  <si>
    <t>03741A</t>
  </si>
  <si>
    <t>421103UA01</t>
  </si>
  <si>
    <t>38000804600</t>
  </si>
  <si>
    <t>451860IUA01</t>
  </si>
  <si>
    <t>38001304400</t>
  </si>
  <si>
    <t>451860IA</t>
  </si>
  <si>
    <t>451860IAUA01</t>
  </si>
  <si>
    <t>03800333477T</t>
  </si>
  <si>
    <t>452357E</t>
  </si>
  <si>
    <t>452357EUA01</t>
  </si>
  <si>
    <t>3990</t>
  </si>
  <si>
    <t>452920L</t>
  </si>
  <si>
    <t>452920LUA01</t>
  </si>
  <si>
    <t>3993</t>
  </si>
  <si>
    <t>453298UA01</t>
  </si>
  <si>
    <t>40003504810</t>
  </si>
  <si>
    <t>453322A</t>
  </si>
  <si>
    <t>453322AUA01</t>
  </si>
  <si>
    <t>40003554810</t>
  </si>
  <si>
    <t>453487UA01</t>
  </si>
  <si>
    <t>42000904100</t>
  </si>
  <si>
    <t>453488UA01</t>
  </si>
  <si>
    <t>4385</t>
  </si>
  <si>
    <t>453526UA01</t>
  </si>
  <si>
    <t>4654262</t>
  </si>
  <si>
    <t>453600UA01</t>
  </si>
  <si>
    <t>4743</t>
  </si>
  <si>
    <t>453660UA01</t>
  </si>
  <si>
    <t>4744</t>
  </si>
  <si>
    <t>453686UA01</t>
  </si>
  <si>
    <t>4745</t>
  </si>
  <si>
    <t>453759UA01</t>
  </si>
  <si>
    <t>4746</t>
  </si>
  <si>
    <t>453379A</t>
  </si>
  <si>
    <t>453379AUA01</t>
  </si>
  <si>
    <t>4747</t>
  </si>
  <si>
    <t>453385A</t>
  </si>
  <si>
    <t>453385AUA01</t>
  </si>
  <si>
    <t>4748</t>
  </si>
  <si>
    <t>453449UA01</t>
  </si>
  <si>
    <t>4749</t>
  </si>
  <si>
    <t>453640UA01</t>
  </si>
  <si>
    <t>4750</t>
  </si>
  <si>
    <t>453666UA01</t>
  </si>
  <si>
    <t>4751</t>
  </si>
  <si>
    <t>453748UA01</t>
  </si>
  <si>
    <t>4754</t>
  </si>
  <si>
    <t>453772UA01</t>
  </si>
  <si>
    <t>4777</t>
  </si>
  <si>
    <t>412198A</t>
  </si>
  <si>
    <t>412198AUA01</t>
  </si>
  <si>
    <t>4868</t>
  </si>
  <si>
    <t>412203UA01</t>
  </si>
  <si>
    <t>4869</t>
  </si>
  <si>
    <t>421101A</t>
  </si>
  <si>
    <t>421101AUA01</t>
  </si>
  <si>
    <t>4870</t>
  </si>
  <si>
    <t>450612UA01</t>
  </si>
  <si>
    <t>4872</t>
  </si>
  <si>
    <t>413241UA01</t>
  </si>
  <si>
    <t>4873</t>
  </si>
  <si>
    <t>421104UA01</t>
  </si>
  <si>
    <t>5043</t>
  </si>
  <si>
    <t>411001UA01</t>
  </si>
  <si>
    <t>5044</t>
  </si>
  <si>
    <t>451439UA01</t>
  </si>
  <si>
    <t>5052</t>
  </si>
  <si>
    <t>451534UA01</t>
  </si>
  <si>
    <t>5055</t>
  </si>
  <si>
    <t>451433UA01</t>
  </si>
  <si>
    <t>5124</t>
  </si>
  <si>
    <t>451382A</t>
  </si>
  <si>
    <t>451382AUA01</t>
  </si>
  <si>
    <t>55003554850</t>
  </si>
  <si>
    <t>411490UA01</t>
  </si>
  <si>
    <t>5649</t>
  </si>
  <si>
    <t>413240UA01</t>
  </si>
  <si>
    <t>5847</t>
  </si>
  <si>
    <t>450829UA01</t>
  </si>
  <si>
    <t>6037</t>
  </si>
  <si>
    <t>451928B</t>
  </si>
  <si>
    <t>451928BUA01</t>
  </si>
  <si>
    <t>6038</t>
  </si>
  <si>
    <t>453074UA01</t>
  </si>
  <si>
    <t>6042</t>
  </si>
  <si>
    <t>453257UA01</t>
  </si>
  <si>
    <t>06139</t>
  </si>
  <si>
    <t>451381A</t>
  </si>
  <si>
    <t>451381AUA01</t>
  </si>
  <si>
    <t>6140</t>
  </si>
  <si>
    <t>420321UA01</t>
  </si>
  <si>
    <t>6150</t>
  </si>
  <si>
    <t>420323UA01</t>
  </si>
  <si>
    <t>6321</t>
  </si>
  <si>
    <t>420324UA01</t>
  </si>
  <si>
    <t>6500</t>
  </si>
  <si>
    <t>421016UA01</t>
  </si>
  <si>
    <t>6569</t>
  </si>
  <si>
    <t>421019UA01</t>
  </si>
  <si>
    <t>6606</t>
  </si>
  <si>
    <t>421109BUA01</t>
  </si>
  <si>
    <t>6607</t>
  </si>
  <si>
    <t>421404D</t>
  </si>
  <si>
    <t>421404DUA01</t>
  </si>
  <si>
    <t>6609</t>
  </si>
  <si>
    <t>421429F</t>
  </si>
  <si>
    <t>421429FUA01</t>
  </si>
  <si>
    <t>6614</t>
  </si>
  <si>
    <t>421613A</t>
  </si>
  <si>
    <t>421613AUA01</t>
  </si>
  <si>
    <t>6620</t>
  </si>
  <si>
    <t>421895B</t>
  </si>
  <si>
    <t>421895BUA01</t>
  </si>
  <si>
    <t>6688</t>
  </si>
  <si>
    <t>422060UA01</t>
  </si>
  <si>
    <t>6833</t>
  </si>
  <si>
    <t>422086UA01</t>
  </si>
  <si>
    <t>6853</t>
  </si>
  <si>
    <t>422087E</t>
  </si>
  <si>
    <t>422087EUA01</t>
  </si>
  <si>
    <t>6884</t>
  </si>
  <si>
    <t>422125A</t>
  </si>
  <si>
    <t>422125AUA01</t>
  </si>
  <si>
    <t>7134</t>
  </si>
  <si>
    <t>422125MAS</t>
  </si>
  <si>
    <t>422125MASUA01</t>
  </si>
  <si>
    <t>7223</t>
  </si>
  <si>
    <t>422136UA01</t>
  </si>
  <si>
    <t>7251</t>
  </si>
  <si>
    <t>422151UA01</t>
  </si>
  <si>
    <t>7252</t>
  </si>
  <si>
    <t>422449UA01</t>
  </si>
  <si>
    <t>7282</t>
  </si>
  <si>
    <t>451383UA01</t>
  </si>
  <si>
    <t>7414</t>
  </si>
  <si>
    <t>451384UA01</t>
  </si>
  <si>
    <t>7429</t>
  </si>
  <si>
    <t>451558UA01</t>
  </si>
  <si>
    <t>7430</t>
  </si>
  <si>
    <t>422661B</t>
  </si>
  <si>
    <t>422661BUA01</t>
  </si>
  <si>
    <t>7813</t>
  </si>
  <si>
    <t>422749D</t>
  </si>
  <si>
    <t>422749DUA01</t>
  </si>
  <si>
    <t>7815</t>
  </si>
  <si>
    <t>421809B</t>
  </si>
  <si>
    <t>421809BUA01</t>
  </si>
  <si>
    <t>7949</t>
  </si>
  <si>
    <t>422151E</t>
  </si>
  <si>
    <t>422151EUA01</t>
  </si>
  <si>
    <t>7951</t>
  </si>
  <si>
    <t>7955</t>
  </si>
  <si>
    <t>421075A</t>
  </si>
  <si>
    <t>421075AUA01</t>
  </si>
  <si>
    <t>07998</t>
  </si>
  <si>
    <t>421653LUA01</t>
  </si>
  <si>
    <t>07998A</t>
  </si>
  <si>
    <t>421654UA01</t>
  </si>
  <si>
    <t>7999</t>
  </si>
  <si>
    <t>421686UA01</t>
  </si>
  <si>
    <t>8002</t>
  </si>
  <si>
    <t>421728I</t>
  </si>
  <si>
    <t>421728IUA01</t>
  </si>
  <si>
    <t>8320</t>
  </si>
  <si>
    <t>421867UA01</t>
  </si>
  <si>
    <t>8511</t>
  </si>
  <si>
    <t>421904I</t>
  </si>
  <si>
    <t>421904IUA01</t>
  </si>
  <si>
    <t>8525</t>
  </si>
  <si>
    <t>421910A</t>
  </si>
  <si>
    <t>421910AUA01</t>
  </si>
  <si>
    <t>8640</t>
  </si>
  <si>
    <t>421979B</t>
  </si>
  <si>
    <t>421979BUA01</t>
  </si>
  <si>
    <t>8641</t>
  </si>
  <si>
    <t>422003UA01</t>
  </si>
  <si>
    <t>8650</t>
  </si>
  <si>
    <t>422007UA01</t>
  </si>
  <si>
    <t>8683</t>
  </si>
  <si>
    <t>422016UA01</t>
  </si>
  <si>
    <t>8701</t>
  </si>
  <si>
    <t>422048A</t>
  </si>
  <si>
    <t>422048AUA01</t>
  </si>
  <si>
    <t>8732</t>
  </si>
  <si>
    <t>422054B</t>
  </si>
  <si>
    <t>422054BUA01</t>
  </si>
  <si>
    <t>8826</t>
  </si>
  <si>
    <t>422088UA01</t>
  </si>
  <si>
    <t>8895</t>
  </si>
  <si>
    <t>422089A</t>
  </si>
  <si>
    <t>422089AUA01</t>
  </si>
  <si>
    <t>8935</t>
  </si>
  <si>
    <t>422144A</t>
  </si>
  <si>
    <t>422144AUA01</t>
  </si>
  <si>
    <t>8936</t>
  </si>
  <si>
    <t>422185UA01</t>
  </si>
  <si>
    <t>8961</t>
  </si>
  <si>
    <t>422216D</t>
  </si>
  <si>
    <t>422216DUA01</t>
  </si>
  <si>
    <t>8965</t>
  </si>
  <si>
    <t>422262UA01</t>
  </si>
  <si>
    <t>9015</t>
  </si>
  <si>
    <t>422297UA01</t>
  </si>
  <si>
    <t>9029</t>
  </si>
  <si>
    <t>422413A</t>
  </si>
  <si>
    <t>422413AUA01</t>
  </si>
  <si>
    <t>9033</t>
  </si>
  <si>
    <t>422414A</t>
  </si>
  <si>
    <t>422414AUA01</t>
  </si>
  <si>
    <t>9038</t>
  </si>
  <si>
    <t>422420UA01</t>
  </si>
  <si>
    <t>09038A</t>
  </si>
  <si>
    <t>422468A</t>
  </si>
  <si>
    <t>422468UA01</t>
  </si>
  <si>
    <t>9044</t>
  </si>
  <si>
    <t>422470UA01</t>
  </si>
  <si>
    <t>9045</t>
  </si>
  <si>
    <t>422480UA01</t>
  </si>
  <si>
    <t>9051</t>
  </si>
  <si>
    <t>422481UA01</t>
  </si>
  <si>
    <t>9164</t>
  </si>
  <si>
    <t>453195UA01</t>
  </si>
  <si>
    <t>9201</t>
  </si>
  <si>
    <t>422440B</t>
  </si>
  <si>
    <t>422440BUA01</t>
  </si>
  <si>
    <t>09201A</t>
  </si>
  <si>
    <t>422443UA01</t>
  </si>
  <si>
    <t>INDUSTRIALIZACIÓN</t>
  </si>
  <si>
    <t>9234</t>
  </si>
  <si>
    <t>422444UA01</t>
  </si>
  <si>
    <t>9485</t>
  </si>
  <si>
    <t>422601UA01</t>
  </si>
  <si>
    <t>09503</t>
  </si>
  <si>
    <t>422903UA01</t>
  </si>
  <si>
    <t>9678</t>
  </si>
  <si>
    <t>422185A</t>
  </si>
  <si>
    <t>422185AUA01</t>
  </si>
  <si>
    <t>9793</t>
  </si>
  <si>
    <t>9794</t>
  </si>
  <si>
    <t>9834</t>
  </si>
  <si>
    <t>9862</t>
  </si>
  <si>
    <t>10000</t>
  </si>
  <si>
    <t>10000/A</t>
  </si>
  <si>
    <t>100000</t>
  </si>
  <si>
    <t>100000/A</t>
  </si>
  <si>
    <t>100001</t>
  </si>
  <si>
    <t>100001/B</t>
  </si>
  <si>
    <t>100002</t>
  </si>
  <si>
    <t>100003</t>
  </si>
  <si>
    <t>100004</t>
  </si>
  <si>
    <t>100005</t>
  </si>
  <si>
    <t>100006</t>
  </si>
  <si>
    <t>100007</t>
  </si>
  <si>
    <t>100010</t>
  </si>
  <si>
    <t>100011</t>
  </si>
  <si>
    <t>10075</t>
  </si>
  <si>
    <t>10169</t>
  </si>
  <si>
    <t>10257</t>
  </si>
  <si>
    <t>10293</t>
  </si>
  <si>
    <t>10471</t>
  </si>
  <si>
    <t>10472</t>
  </si>
  <si>
    <t>10473</t>
  </si>
  <si>
    <t>10474</t>
  </si>
  <si>
    <t>10475</t>
  </si>
  <si>
    <t>10476</t>
  </si>
  <si>
    <t>10477</t>
  </si>
  <si>
    <t>10502</t>
  </si>
  <si>
    <t>10506</t>
  </si>
  <si>
    <t>10516</t>
  </si>
  <si>
    <t>10517</t>
  </si>
  <si>
    <t>10517A</t>
  </si>
  <si>
    <t>10518</t>
  </si>
  <si>
    <t>10519</t>
  </si>
  <si>
    <t>10519A</t>
  </si>
  <si>
    <t>10519B</t>
  </si>
  <si>
    <t>10645</t>
  </si>
  <si>
    <t>10647</t>
  </si>
  <si>
    <t>10670</t>
  </si>
  <si>
    <t>10678</t>
  </si>
  <si>
    <t>10679</t>
  </si>
  <si>
    <t>10680</t>
  </si>
  <si>
    <t>10681</t>
  </si>
  <si>
    <t>10809</t>
  </si>
  <si>
    <t>10811</t>
  </si>
  <si>
    <t>10826</t>
  </si>
  <si>
    <t>10827</t>
  </si>
  <si>
    <t>10829</t>
  </si>
  <si>
    <t>10943</t>
  </si>
  <si>
    <t>10985</t>
  </si>
  <si>
    <t>11094</t>
  </si>
  <si>
    <t>11141</t>
  </si>
  <si>
    <t>11269</t>
  </si>
  <si>
    <t>11270</t>
  </si>
  <si>
    <t>11272</t>
  </si>
  <si>
    <t>11300</t>
  </si>
  <si>
    <t>11357</t>
  </si>
  <si>
    <t>11426</t>
  </si>
  <si>
    <t>11473</t>
  </si>
  <si>
    <t>11514</t>
  </si>
  <si>
    <t>11602</t>
  </si>
  <si>
    <t>11605</t>
  </si>
  <si>
    <t>11606</t>
  </si>
  <si>
    <t>11610</t>
  </si>
  <si>
    <t>11622</t>
  </si>
  <si>
    <t>11667</t>
  </si>
  <si>
    <t>11668</t>
  </si>
  <si>
    <t>11758</t>
  </si>
  <si>
    <t>11980</t>
  </si>
  <si>
    <t>12093</t>
  </si>
  <si>
    <t>12100</t>
  </si>
  <si>
    <t>12185</t>
  </si>
  <si>
    <t>12395</t>
  </si>
  <si>
    <t>12489</t>
  </si>
  <si>
    <t>15085</t>
  </si>
  <si>
    <t>15086</t>
  </si>
  <si>
    <t>15270</t>
  </si>
  <si>
    <t>15271</t>
  </si>
  <si>
    <t>15337</t>
  </si>
  <si>
    <t>15363</t>
  </si>
  <si>
    <t>15364</t>
  </si>
  <si>
    <t>15386</t>
  </si>
  <si>
    <t>15679</t>
  </si>
  <si>
    <t>15923</t>
  </si>
  <si>
    <t>16139</t>
  </si>
  <si>
    <t>16173</t>
  </si>
  <si>
    <t>16245</t>
  </si>
  <si>
    <t>16246</t>
  </si>
  <si>
    <t>16272</t>
  </si>
  <si>
    <t>16312</t>
  </si>
  <si>
    <t>16455</t>
  </si>
  <si>
    <t>16505</t>
  </si>
  <si>
    <t>16519</t>
  </si>
  <si>
    <t>16540</t>
  </si>
  <si>
    <t>16562</t>
  </si>
  <si>
    <t>16657</t>
  </si>
  <si>
    <t>16701</t>
  </si>
  <si>
    <t>16720</t>
  </si>
  <si>
    <t>16737</t>
  </si>
  <si>
    <t>16973</t>
  </si>
  <si>
    <t>16974</t>
  </si>
  <si>
    <t>16975</t>
  </si>
  <si>
    <t>16976</t>
  </si>
  <si>
    <t>16977</t>
  </si>
  <si>
    <t>16979</t>
  </si>
  <si>
    <t>16982</t>
  </si>
  <si>
    <t>16988</t>
  </si>
  <si>
    <t>17010</t>
  </si>
  <si>
    <t>17016</t>
  </si>
  <si>
    <t>17142</t>
  </si>
  <si>
    <t>17144</t>
  </si>
  <si>
    <t>17145</t>
  </si>
  <si>
    <t>17148</t>
  </si>
  <si>
    <t>17158</t>
  </si>
  <si>
    <t>17158A</t>
  </si>
  <si>
    <t>17175</t>
  </si>
  <si>
    <t>17177</t>
  </si>
  <si>
    <t>17185</t>
  </si>
  <si>
    <t>17211</t>
  </si>
  <si>
    <t>17212</t>
  </si>
  <si>
    <t>17229</t>
  </si>
  <si>
    <t>17229/CO</t>
  </si>
  <si>
    <t>17230</t>
  </si>
  <si>
    <t>17233</t>
  </si>
  <si>
    <t>17240</t>
  </si>
  <si>
    <t>17241</t>
  </si>
  <si>
    <t>17241A</t>
  </si>
  <si>
    <t>17241A/CO</t>
  </si>
  <si>
    <t>17242</t>
  </si>
  <si>
    <t>17245</t>
  </si>
  <si>
    <t>17275</t>
  </si>
  <si>
    <t>17312</t>
  </si>
  <si>
    <t>17320</t>
  </si>
  <si>
    <t>17321</t>
  </si>
  <si>
    <t>17322</t>
  </si>
  <si>
    <t>17323</t>
  </si>
  <si>
    <t>17324</t>
  </si>
  <si>
    <t>17333</t>
  </si>
  <si>
    <t>17335</t>
  </si>
  <si>
    <t>17336</t>
  </si>
  <si>
    <t>17337</t>
  </si>
  <si>
    <t>17338</t>
  </si>
  <si>
    <t>17339</t>
  </si>
  <si>
    <t>17341</t>
  </si>
  <si>
    <t>17342</t>
  </si>
  <si>
    <t>17343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</si>
  <si>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</si>
  <si>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</si>
  <si>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</si>
  <si>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</si>
  <si>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</si>
  <si>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</si>
  <si>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</si>
  <si>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</si>
  <si>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17387</t>
  </si>
  <si>
    <t>17387A</t>
  </si>
  <si>
    <t>17534</t>
  </si>
  <si>
    <t>17535</t>
  </si>
  <si>
    <t>17720</t>
  </si>
  <si>
    <t>17725</t>
  </si>
  <si>
    <t>17727</t>
  </si>
  <si>
    <t>17774</t>
  </si>
  <si>
    <t>17837</t>
  </si>
  <si>
    <t>17875</t>
  </si>
  <si>
    <t>18077</t>
  </si>
  <si>
    <t>18195</t>
  </si>
  <si>
    <t>18338</t>
  </si>
  <si>
    <t>18338/A</t>
  </si>
  <si>
    <t>18338/B</t>
  </si>
  <si>
    <t>18422</t>
  </si>
  <si>
    <t>18456</t>
  </si>
  <si>
    <t>18482</t>
  </si>
  <si>
    <t>18487</t>
  </si>
  <si>
    <t>18827</t>
  </si>
  <si>
    <t>18900</t>
  </si>
  <si>
    <t>19063</t>
  </si>
  <si>
    <t>19077</t>
  </si>
  <si>
    <t>19191</t>
  </si>
  <si>
    <t>19278</t>
  </si>
  <si>
    <t>19330</t>
  </si>
  <si>
    <t>19346</t>
  </si>
  <si>
    <t>19347</t>
  </si>
  <si>
    <t>19355</t>
  </si>
  <si>
    <t>19407</t>
  </si>
  <si>
    <t>19408</t>
  </si>
  <si>
    <t>19409</t>
  </si>
  <si>
    <t>19434</t>
  </si>
  <si>
    <t>19521</t>
  </si>
  <si>
    <t>19523</t>
  </si>
  <si>
    <t>19592</t>
  </si>
  <si>
    <t>19619</t>
  </si>
  <si>
    <t>19625</t>
  </si>
  <si>
    <t>19644</t>
  </si>
  <si>
    <t>19645</t>
  </si>
  <si>
    <t>19707</t>
  </si>
  <si>
    <t>19737</t>
  </si>
  <si>
    <t>19741</t>
  </si>
  <si>
    <t>19768</t>
  </si>
  <si>
    <t>19781</t>
  </si>
  <si>
    <t>19783</t>
  </si>
  <si>
    <t>19838</t>
  </si>
  <si>
    <t>19868</t>
  </si>
  <si>
    <t>19869</t>
  </si>
  <si>
    <t>19877</t>
  </si>
  <si>
    <t>19891</t>
  </si>
  <si>
    <t>19896</t>
  </si>
  <si>
    <t>19948</t>
  </si>
  <si>
    <t>19950</t>
  </si>
  <si>
    <t>19951</t>
  </si>
  <si>
    <t>19981</t>
  </si>
  <si>
    <t>19983</t>
  </si>
  <si>
    <t>19984</t>
  </si>
  <si>
    <t>19985</t>
  </si>
  <si>
    <t>19989</t>
  </si>
  <si>
    <t>200106</t>
  </si>
  <si>
    <t>200111</t>
  </si>
  <si>
    <t>20013</t>
  </si>
  <si>
    <t>20036</t>
  </si>
  <si>
    <t>20042</t>
  </si>
  <si>
    <t>20059</t>
  </si>
  <si>
    <t>200623</t>
  </si>
  <si>
    <t>20070</t>
  </si>
  <si>
    <t>20072</t>
  </si>
  <si>
    <t>20096</t>
  </si>
  <si>
    <t>20191</t>
  </si>
  <si>
    <t>20196</t>
  </si>
  <si>
    <t>20205</t>
  </si>
  <si>
    <t>20223</t>
  </si>
  <si>
    <t>20235</t>
  </si>
  <si>
    <t>20236</t>
  </si>
  <si>
    <t>20264</t>
  </si>
  <si>
    <t>20265</t>
  </si>
  <si>
    <t>20266</t>
  </si>
  <si>
    <t>20267</t>
  </si>
  <si>
    <t>20268</t>
  </si>
  <si>
    <t>20270</t>
  </si>
  <si>
    <t>20277</t>
  </si>
  <si>
    <t>20527</t>
  </si>
  <si>
    <t>20528</t>
  </si>
  <si>
    <t>20529</t>
  </si>
  <si>
    <t>20530</t>
  </si>
  <si>
    <t>20543</t>
  </si>
  <si>
    <t>20546</t>
  </si>
  <si>
    <t>20547</t>
  </si>
  <si>
    <t>20548</t>
  </si>
  <si>
    <t>20575</t>
  </si>
  <si>
    <t>20576</t>
  </si>
  <si>
    <t>20630</t>
  </si>
  <si>
    <t>20703</t>
  </si>
  <si>
    <t>20709</t>
  </si>
  <si>
    <t>20713</t>
  </si>
  <si>
    <t>20761</t>
  </si>
  <si>
    <t>20761A</t>
  </si>
  <si>
    <t>20761B</t>
  </si>
  <si>
    <t>20790</t>
  </si>
  <si>
    <t>20792</t>
  </si>
  <si>
    <t>20793</t>
  </si>
  <si>
    <t>20833</t>
  </si>
  <si>
    <t>20877</t>
  </si>
  <si>
    <t>20878</t>
  </si>
  <si>
    <t>20878A</t>
  </si>
  <si>
    <t>20878B</t>
  </si>
  <si>
    <t>20879</t>
  </si>
  <si>
    <t>20970</t>
  </si>
  <si>
    <t>20986</t>
  </si>
  <si>
    <t>21015</t>
  </si>
  <si>
    <t>21045</t>
  </si>
  <si>
    <t>21046</t>
  </si>
  <si>
    <t>21047</t>
  </si>
  <si>
    <t>21062</t>
  </si>
  <si>
    <t>21124</t>
  </si>
  <si>
    <t>21189</t>
  </si>
  <si>
    <t>21202</t>
  </si>
  <si>
    <t>21225</t>
  </si>
  <si>
    <t>21270</t>
  </si>
  <si>
    <t>21272</t>
  </si>
  <si>
    <t>21296</t>
  </si>
  <si>
    <t>21404</t>
  </si>
  <si>
    <t>21460</t>
  </si>
  <si>
    <t>21461</t>
  </si>
  <si>
    <t>21532</t>
  </si>
  <si>
    <t>21556</t>
  </si>
  <si>
    <t>21560</t>
  </si>
  <si>
    <t>21573</t>
  </si>
  <si>
    <t>21621</t>
  </si>
  <si>
    <t>21622</t>
  </si>
  <si>
    <t>21636</t>
  </si>
  <si>
    <t>21638</t>
  </si>
  <si>
    <t>21644</t>
  </si>
  <si>
    <t>21656</t>
  </si>
  <si>
    <t>21657</t>
  </si>
  <si>
    <t>21680</t>
  </si>
  <si>
    <t>21726</t>
  </si>
  <si>
    <t>21742</t>
  </si>
  <si>
    <t>21782</t>
  </si>
  <si>
    <t>21783</t>
  </si>
  <si>
    <t>21785</t>
  </si>
  <si>
    <t>21788</t>
  </si>
  <si>
    <t>21917</t>
  </si>
  <si>
    <t>21950</t>
  </si>
  <si>
    <t>21951</t>
  </si>
  <si>
    <t>22001</t>
  </si>
  <si>
    <t>22052</t>
  </si>
  <si>
    <t>22074</t>
  </si>
  <si>
    <t>22085</t>
  </si>
  <si>
    <t>22087</t>
  </si>
  <si>
    <t>22088</t>
  </si>
  <si>
    <t>22089</t>
  </si>
  <si>
    <t>22090</t>
  </si>
  <si>
    <t>22146</t>
  </si>
  <si>
    <t>22164</t>
  </si>
  <si>
    <t>22165</t>
  </si>
  <si>
    <t>22168</t>
  </si>
  <si>
    <t>22305</t>
  </si>
  <si>
    <t>22306</t>
  </si>
  <si>
    <t>22334</t>
  </si>
  <si>
    <t>22435</t>
  </si>
  <si>
    <t>22440</t>
  </si>
  <si>
    <t>22449</t>
  </si>
  <si>
    <t>22474</t>
  </si>
  <si>
    <t>22510</t>
  </si>
  <si>
    <t>22543</t>
  </si>
  <si>
    <t>22556</t>
  </si>
  <si>
    <t>22575</t>
  </si>
  <si>
    <t>22583</t>
  </si>
  <si>
    <t>22583/CO</t>
  </si>
  <si>
    <t>22585</t>
  </si>
  <si>
    <t>22602</t>
  </si>
  <si>
    <t>22624</t>
  </si>
  <si>
    <t>22642</t>
  </si>
  <si>
    <t>22686</t>
  </si>
  <si>
    <t>22740</t>
  </si>
  <si>
    <t>22777</t>
  </si>
  <si>
    <t>22801</t>
  </si>
  <si>
    <t>22807</t>
  </si>
  <si>
    <t>22808</t>
  </si>
  <si>
    <t>22826</t>
  </si>
  <si>
    <t>22841</t>
  </si>
  <si>
    <t>22980</t>
  </si>
  <si>
    <t>23011</t>
  </si>
  <si>
    <t>23045</t>
  </si>
  <si>
    <t>23046</t>
  </si>
  <si>
    <t>23102</t>
  </si>
  <si>
    <t>23109</t>
  </si>
  <si>
    <t>23121</t>
  </si>
  <si>
    <t>23197</t>
  </si>
  <si>
    <t>23198</t>
  </si>
  <si>
    <t>23199</t>
  </si>
  <si>
    <t>23203</t>
  </si>
  <si>
    <t>23208</t>
  </si>
  <si>
    <t>23245</t>
  </si>
  <si>
    <t>23264</t>
  </si>
  <si>
    <t>23304</t>
  </si>
  <si>
    <t>23306</t>
  </si>
  <si>
    <t>23367</t>
  </si>
  <si>
    <t>23367A</t>
  </si>
  <si>
    <t>23367B</t>
  </si>
  <si>
    <t>23367C</t>
  </si>
  <si>
    <t>23367D</t>
  </si>
  <si>
    <t>23367E</t>
  </si>
  <si>
    <t>23375</t>
  </si>
  <si>
    <t>23429</t>
  </si>
  <si>
    <t>23461</t>
  </si>
  <si>
    <t>23464</t>
  </si>
  <si>
    <t>23482</t>
  </si>
  <si>
    <t>23495</t>
  </si>
  <si>
    <t>23496</t>
  </si>
  <si>
    <t>23527</t>
  </si>
  <si>
    <t>23549</t>
  </si>
  <si>
    <t>23569</t>
  </si>
  <si>
    <t>23570</t>
  </si>
  <si>
    <t>23571</t>
  </si>
  <si>
    <t>23607</t>
  </si>
  <si>
    <t>23619</t>
  </si>
  <si>
    <t>23647</t>
  </si>
  <si>
    <t>23654</t>
  </si>
  <si>
    <t>23655</t>
  </si>
  <si>
    <t>23722</t>
  </si>
  <si>
    <t>23733</t>
  </si>
  <si>
    <t>23840</t>
  </si>
  <si>
    <t>23911</t>
  </si>
  <si>
    <t>23915</t>
  </si>
  <si>
    <t>23934</t>
  </si>
  <si>
    <t>23949</t>
  </si>
  <si>
    <t>23972</t>
  </si>
  <si>
    <t>23977</t>
  </si>
  <si>
    <t>23989</t>
  </si>
  <si>
    <t>24008</t>
  </si>
  <si>
    <t>24015</t>
  </si>
  <si>
    <t>24016</t>
  </si>
  <si>
    <t>24098</t>
  </si>
  <si>
    <t>24143</t>
  </si>
  <si>
    <t>24171</t>
  </si>
  <si>
    <t>24179</t>
  </si>
  <si>
    <t>24188</t>
  </si>
  <si>
    <t>24199</t>
  </si>
  <si>
    <t>24200</t>
  </si>
  <si>
    <t>24201</t>
  </si>
  <si>
    <t>24204</t>
  </si>
  <si>
    <t>24236</t>
  </si>
  <si>
    <t>24248</t>
  </si>
  <si>
    <t>24256</t>
  </si>
  <si>
    <t>24305</t>
  </si>
  <si>
    <t>24305A</t>
  </si>
  <si>
    <t>24306</t>
  </si>
  <si>
    <t>24313</t>
  </si>
  <si>
    <t>24489</t>
  </si>
  <si>
    <t>24495</t>
  </si>
  <si>
    <t>24507</t>
  </si>
  <si>
    <t>24508</t>
  </si>
  <si>
    <t>24509</t>
  </si>
  <si>
    <t>24510</t>
  </si>
  <si>
    <t>24511</t>
  </si>
  <si>
    <t>24571</t>
  </si>
  <si>
    <t>24572</t>
  </si>
  <si>
    <t>24573</t>
  </si>
  <si>
    <t>24574</t>
  </si>
  <si>
    <t>24575</t>
  </si>
  <si>
    <t>24576</t>
  </si>
  <si>
    <t>24580</t>
  </si>
  <si>
    <t>24628</t>
  </si>
  <si>
    <t>24629</t>
  </si>
  <si>
    <t>24642</t>
  </si>
  <si>
    <t>24643</t>
  </si>
  <si>
    <t>24644</t>
  </si>
  <si>
    <t>24646</t>
  </si>
  <si>
    <t>24647</t>
  </si>
  <si>
    <t>24651</t>
  </si>
  <si>
    <t>24652</t>
  </si>
  <si>
    <t>24654</t>
  </si>
  <si>
    <t>24655</t>
  </si>
  <si>
    <t>24661</t>
  </si>
  <si>
    <t>24662</t>
  </si>
  <si>
    <t>24748</t>
  </si>
  <si>
    <t>24754</t>
  </si>
  <si>
    <t>24763</t>
  </si>
  <si>
    <t>24802</t>
  </si>
  <si>
    <t>24803</t>
  </si>
  <si>
    <t>24836</t>
  </si>
  <si>
    <t>24837</t>
  </si>
  <si>
    <t>24884</t>
  </si>
  <si>
    <t>24884A</t>
  </si>
  <si>
    <t>24884B</t>
  </si>
  <si>
    <t>24885</t>
  </si>
  <si>
    <t>24885A</t>
  </si>
  <si>
    <t>24885B</t>
  </si>
  <si>
    <t>24955</t>
  </si>
  <si>
    <t>24973</t>
  </si>
  <si>
    <t>25018</t>
  </si>
  <si>
    <t>25018A</t>
  </si>
  <si>
    <t>25245</t>
  </si>
  <si>
    <t>25257</t>
  </si>
  <si>
    <t>25267</t>
  </si>
  <si>
    <t>25314</t>
  </si>
  <si>
    <t>25315</t>
  </si>
  <si>
    <t>25337</t>
  </si>
  <si>
    <t>25338</t>
  </si>
  <si>
    <t>25340</t>
  </si>
  <si>
    <t>25354</t>
  </si>
  <si>
    <t>25374</t>
  </si>
  <si>
    <t>25375</t>
  </si>
  <si>
    <t>25376</t>
  </si>
  <si>
    <t>25431</t>
  </si>
  <si>
    <t>25432</t>
  </si>
  <si>
    <t>25452</t>
  </si>
  <si>
    <t>25463</t>
  </si>
  <si>
    <t>25470</t>
  </si>
  <si>
    <t>25471</t>
  </si>
  <si>
    <t>25472</t>
  </si>
  <si>
    <t>25490</t>
  </si>
  <si>
    <t>25492</t>
  </si>
  <si>
    <t>25495</t>
  </si>
  <si>
    <t>25533</t>
  </si>
  <si>
    <t>25568</t>
  </si>
  <si>
    <t>25610</t>
  </si>
  <si>
    <t>25621</t>
  </si>
  <si>
    <t>25631</t>
  </si>
  <si>
    <t>25632</t>
  </si>
  <si>
    <t>25635</t>
  </si>
  <si>
    <t>25636</t>
  </si>
  <si>
    <t>25637</t>
  </si>
  <si>
    <t>25643</t>
  </si>
  <si>
    <t>25663</t>
  </si>
  <si>
    <t>25664</t>
  </si>
  <si>
    <t>25665</t>
  </si>
  <si>
    <t>25666</t>
  </si>
  <si>
    <t>25669</t>
  </si>
  <si>
    <t>25765</t>
  </si>
  <si>
    <t>25770</t>
  </si>
  <si>
    <t>25781</t>
  </si>
  <si>
    <t>25787</t>
  </si>
  <si>
    <t>25835</t>
  </si>
  <si>
    <t>25836</t>
  </si>
  <si>
    <t>25836/A</t>
  </si>
  <si>
    <t>25836/B</t>
  </si>
  <si>
    <t>25841</t>
  </si>
  <si>
    <t>25866</t>
  </si>
  <si>
    <t>25918</t>
  </si>
  <si>
    <t>25918/A</t>
  </si>
  <si>
    <t>25918/B</t>
  </si>
  <si>
    <t>25975</t>
  </si>
  <si>
    <t>25980</t>
  </si>
  <si>
    <t>25981</t>
  </si>
  <si>
    <t>25987</t>
  </si>
  <si>
    <t>26002</t>
  </si>
  <si>
    <t>26044</t>
  </si>
  <si>
    <t>26047</t>
  </si>
  <si>
    <t>26048</t>
  </si>
  <si>
    <t>26049</t>
  </si>
  <si>
    <t>26071</t>
  </si>
  <si>
    <t>26073</t>
  </si>
  <si>
    <t>26105</t>
  </si>
  <si>
    <t>26106</t>
  </si>
  <si>
    <t>26110</t>
  </si>
  <si>
    <t>26116</t>
  </si>
  <si>
    <t>26116/CO</t>
  </si>
  <si>
    <t>26116A</t>
  </si>
  <si>
    <t>26118</t>
  </si>
  <si>
    <t>26118/CO</t>
  </si>
  <si>
    <t>26118A</t>
  </si>
  <si>
    <t>26164</t>
  </si>
  <si>
    <t>26175</t>
  </si>
  <si>
    <t>26197</t>
  </si>
  <si>
    <t>26214</t>
  </si>
  <si>
    <t>26221</t>
  </si>
  <si>
    <t>26222</t>
  </si>
  <si>
    <t>26224</t>
  </si>
  <si>
    <t>26225</t>
  </si>
  <si>
    <t>26233</t>
  </si>
  <si>
    <t>26235</t>
  </si>
  <si>
    <t>26241</t>
  </si>
  <si>
    <t>26281</t>
  </si>
  <si>
    <t>26303</t>
  </si>
  <si>
    <t>26315</t>
  </si>
  <si>
    <t>26321</t>
  </si>
  <si>
    <t>26321A</t>
  </si>
  <si>
    <t>26330</t>
  </si>
  <si>
    <t>26331</t>
  </si>
  <si>
    <t>26332</t>
  </si>
  <si>
    <t>26333</t>
  </si>
  <si>
    <t>26334</t>
  </si>
  <si>
    <t>26345</t>
  </si>
  <si>
    <t>26346</t>
  </si>
  <si>
    <t>26347</t>
  </si>
  <si>
    <t>26348</t>
  </si>
  <si>
    <t>26349</t>
  </si>
  <si>
    <t>26350</t>
  </si>
  <si>
    <t>26352</t>
  </si>
  <si>
    <t>26361</t>
  </si>
  <si>
    <t>26363</t>
  </si>
  <si>
    <t>26374</t>
  </si>
  <si>
    <t>26391</t>
  </si>
  <si>
    <t>26424</t>
  </si>
  <si>
    <t>26424A</t>
  </si>
  <si>
    <t>26424A/CO</t>
  </si>
  <si>
    <t>26447</t>
  </si>
  <si>
    <t>26449</t>
  </si>
  <si>
    <t>26450</t>
  </si>
  <si>
    <t>26452</t>
  </si>
  <si>
    <t>26465</t>
  </si>
  <si>
    <t>26466</t>
  </si>
  <si>
    <t>26468</t>
  </si>
  <si>
    <t>26504</t>
  </si>
  <si>
    <t>26505</t>
  </si>
  <si>
    <t>26506</t>
  </si>
  <si>
    <t>26512</t>
  </si>
  <si>
    <t>26512A</t>
  </si>
  <si>
    <t>26522</t>
  </si>
  <si>
    <t>26527</t>
  </si>
  <si>
    <t>26539</t>
  </si>
  <si>
    <t>26563</t>
  </si>
  <si>
    <t>26624</t>
  </si>
  <si>
    <t>26646</t>
  </si>
  <si>
    <t>26646A</t>
  </si>
  <si>
    <t>26646B</t>
  </si>
  <si>
    <t>26701</t>
  </si>
  <si>
    <t>26712</t>
  </si>
  <si>
    <t>26718</t>
  </si>
  <si>
    <t>26720</t>
  </si>
  <si>
    <t>26745</t>
  </si>
  <si>
    <t>26746</t>
  </si>
  <si>
    <t>26762</t>
  </si>
  <si>
    <t>26767</t>
  </si>
  <si>
    <t>26775</t>
  </si>
  <si>
    <t>26776</t>
  </si>
  <si>
    <t>26789</t>
  </si>
  <si>
    <t>26790</t>
  </si>
  <si>
    <t>26792</t>
  </si>
  <si>
    <t>26793</t>
  </si>
  <si>
    <t>26794</t>
  </si>
  <si>
    <t>26795</t>
  </si>
  <si>
    <t>26807</t>
  </si>
  <si>
    <t>26808</t>
  </si>
  <si>
    <t>26853</t>
  </si>
  <si>
    <t>26859</t>
  </si>
  <si>
    <t>26894</t>
  </si>
  <si>
    <t>26930</t>
  </si>
  <si>
    <t>26931</t>
  </si>
  <si>
    <t>26932</t>
  </si>
  <si>
    <t>26946</t>
  </si>
  <si>
    <t>26947</t>
  </si>
  <si>
    <t>26953</t>
  </si>
  <si>
    <t>27029</t>
  </si>
  <si>
    <t>27080</t>
  </si>
  <si>
    <t>27082</t>
  </si>
  <si>
    <t>27098</t>
  </si>
  <si>
    <t>27099</t>
  </si>
  <si>
    <t>27104</t>
  </si>
  <si>
    <t>27105</t>
  </si>
  <si>
    <t>27106</t>
  </si>
  <si>
    <t>27107</t>
  </si>
  <si>
    <t>27139</t>
  </si>
  <si>
    <t>27160</t>
  </si>
  <si>
    <t>27169</t>
  </si>
  <si>
    <t>27189</t>
  </si>
  <si>
    <t>27210</t>
  </si>
  <si>
    <t>27211</t>
  </si>
  <si>
    <t>27297</t>
  </si>
  <si>
    <t>27300</t>
  </si>
  <si>
    <t>27339</t>
  </si>
  <si>
    <t>27392</t>
  </si>
  <si>
    <t>27392/A</t>
  </si>
  <si>
    <t>27392/B</t>
  </si>
  <si>
    <t>27420</t>
  </si>
  <si>
    <t>27421</t>
  </si>
  <si>
    <t>27457</t>
  </si>
  <si>
    <t>27458</t>
  </si>
  <si>
    <t>27459</t>
  </si>
  <si>
    <t>27466</t>
  </si>
  <si>
    <t>27486</t>
  </si>
  <si>
    <t>27582</t>
  </si>
  <si>
    <t>27597</t>
  </si>
  <si>
    <t>27598</t>
  </si>
  <si>
    <t>27599</t>
  </si>
  <si>
    <t>27603</t>
  </si>
  <si>
    <t>27603A</t>
  </si>
  <si>
    <t>27604</t>
  </si>
  <si>
    <t>27604A</t>
  </si>
  <si>
    <t>27605</t>
  </si>
  <si>
    <t>27605A</t>
  </si>
  <si>
    <t>27606</t>
  </si>
  <si>
    <t>27606A</t>
  </si>
  <si>
    <t>27608</t>
  </si>
  <si>
    <t>27608/CO</t>
  </si>
  <si>
    <t>27608A</t>
  </si>
  <si>
    <t>27641</t>
  </si>
  <si>
    <t>27678</t>
  </si>
  <si>
    <t>27680</t>
  </si>
  <si>
    <t>27682</t>
  </si>
  <si>
    <t>27683</t>
  </si>
  <si>
    <t>27686</t>
  </si>
  <si>
    <t>27687</t>
  </si>
  <si>
    <t>27688</t>
  </si>
  <si>
    <t>27707</t>
  </si>
  <si>
    <t>27708</t>
  </si>
  <si>
    <t>27709</t>
  </si>
  <si>
    <t>27728</t>
  </si>
  <si>
    <t>27743</t>
  </si>
  <si>
    <t>27752</t>
  </si>
  <si>
    <t>27758</t>
  </si>
  <si>
    <t>27767</t>
  </si>
  <si>
    <t>27794</t>
  </si>
  <si>
    <t>27831</t>
  </si>
  <si>
    <t>27833</t>
  </si>
  <si>
    <t>27842</t>
  </si>
  <si>
    <t>27843</t>
  </si>
  <si>
    <t>27865</t>
  </si>
  <si>
    <t>27866</t>
  </si>
  <si>
    <t>27875</t>
  </si>
  <si>
    <t>27878</t>
  </si>
  <si>
    <t>27895</t>
  </si>
  <si>
    <t>27896</t>
  </si>
  <si>
    <t>27897</t>
  </si>
  <si>
    <t>27898</t>
  </si>
  <si>
    <t>27904</t>
  </si>
  <si>
    <t>27908</t>
  </si>
  <si>
    <t>27957</t>
  </si>
  <si>
    <t>27958</t>
  </si>
  <si>
    <t>27960</t>
  </si>
  <si>
    <t>27998</t>
  </si>
  <si>
    <t>28005</t>
  </si>
  <si>
    <t>28006</t>
  </si>
  <si>
    <t>28030</t>
  </si>
  <si>
    <t>28112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</si>
  <si>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</si>
  <si>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</si>
  <si>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</si>
  <si>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</si>
  <si>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</si>
  <si>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</si>
  <si>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</si>
  <si>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</si>
  <si>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28172</t>
  </si>
  <si>
    <t>28173</t>
  </si>
  <si>
    <t>28174</t>
  </si>
  <si>
    <t>28175</t>
  </si>
  <si>
    <t>28176</t>
  </si>
  <si>
    <t>28177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</si>
  <si>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</si>
  <si>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</si>
  <si>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</si>
  <si>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</si>
  <si>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</si>
  <si>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</si>
  <si>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</si>
  <si>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</si>
  <si>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</si>
  <si>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</si>
  <si>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</si>
  <si>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</si>
  <si>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28201</t>
  </si>
  <si>
    <t>28208</t>
  </si>
  <si>
    <t>28216</t>
  </si>
  <si>
    <t>28239</t>
  </si>
  <si>
    <t>28250</t>
  </si>
  <si>
    <t>28251</t>
  </si>
  <si>
    <t>28253</t>
  </si>
  <si>
    <t>28253/CO</t>
  </si>
  <si>
    <t>28253A/CO</t>
  </si>
  <si>
    <t>28253B/CO</t>
  </si>
  <si>
    <t>28255</t>
  </si>
  <si>
    <t>28292</t>
  </si>
  <si>
    <t>28294</t>
  </si>
  <si>
    <t>28318</t>
  </si>
  <si>
    <t>28348</t>
  </si>
  <si>
    <t>28359</t>
  </si>
  <si>
    <t>28393</t>
  </si>
  <si>
    <t>28406</t>
  </si>
  <si>
    <t>28406/A</t>
  </si>
  <si>
    <t>28406/B</t>
  </si>
  <si>
    <t>28406/C</t>
  </si>
  <si>
    <t>28411</t>
  </si>
  <si>
    <t>28418</t>
  </si>
  <si>
    <t>28421</t>
  </si>
  <si>
    <t>28422</t>
  </si>
  <si>
    <t>28438</t>
  </si>
  <si>
    <t>28441</t>
  </si>
  <si>
    <t>28474</t>
  </si>
  <si>
    <t>28476</t>
  </si>
  <si>
    <t>28534</t>
  </si>
  <si>
    <t>28537</t>
  </si>
  <si>
    <t>28544</t>
  </si>
  <si>
    <t>28560</t>
  </si>
  <si>
    <t>28560/CO</t>
  </si>
  <si>
    <t>28578</t>
  </si>
  <si>
    <t>28579</t>
  </si>
  <si>
    <t>28580</t>
  </si>
  <si>
    <t>28581</t>
  </si>
  <si>
    <t>28598</t>
  </si>
  <si>
    <t>28705</t>
  </si>
  <si>
    <t>28733</t>
  </si>
  <si>
    <t>28743</t>
  </si>
  <si>
    <t>28758</t>
  </si>
  <si>
    <t>28762</t>
  </si>
  <si>
    <t>28763</t>
  </si>
  <si>
    <t>28768</t>
  </si>
  <si>
    <t>28770</t>
  </si>
  <si>
    <t>28771</t>
  </si>
  <si>
    <t>28772</t>
  </si>
  <si>
    <t>28775</t>
  </si>
  <si>
    <t>28800</t>
  </si>
  <si>
    <t>28834</t>
  </si>
  <si>
    <t>28839</t>
  </si>
  <si>
    <t>28840</t>
  </si>
  <si>
    <t>28855</t>
  </si>
  <si>
    <t>28891</t>
  </si>
  <si>
    <t>28927</t>
  </si>
  <si>
    <t>28930</t>
  </si>
  <si>
    <t>28935</t>
  </si>
  <si>
    <t>28936</t>
  </si>
  <si>
    <t>28937</t>
  </si>
  <si>
    <t>28938</t>
  </si>
  <si>
    <t>28939</t>
  </si>
  <si>
    <t>28947</t>
  </si>
  <si>
    <t>28948</t>
  </si>
  <si>
    <t>28953</t>
  </si>
  <si>
    <t>28962</t>
  </si>
  <si>
    <t>28965</t>
  </si>
  <si>
    <t>29011</t>
  </si>
  <si>
    <t>29012</t>
  </si>
  <si>
    <t>29033</t>
  </si>
  <si>
    <t>29051</t>
  </si>
  <si>
    <t>29129</t>
  </si>
  <si>
    <t>29131</t>
  </si>
  <si>
    <t>29132</t>
  </si>
  <si>
    <t>29133</t>
  </si>
  <si>
    <t>29134</t>
  </si>
  <si>
    <t>29135</t>
  </si>
  <si>
    <t>29156</t>
  </si>
  <si>
    <t>29168</t>
  </si>
  <si>
    <t>29169</t>
  </si>
  <si>
    <t>29170</t>
  </si>
  <si>
    <t>29171</t>
  </si>
  <si>
    <t>29187</t>
  </si>
  <si>
    <t>29188</t>
  </si>
  <si>
    <t>29194</t>
  </si>
  <si>
    <t>29209</t>
  </si>
  <si>
    <t>29210</t>
  </si>
  <si>
    <t>29214</t>
  </si>
  <si>
    <t>29222</t>
  </si>
  <si>
    <t>29231</t>
  </si>
  <si>
    <t>29232</t>
  </si>
  <si>
    <t>29253</t>
  </si>
  <si>
    <t>29309</t>
  </si>
  <si>
    <t>29310</t>
  </si>
  <si>
    <t>29312</t>
  </si>
  <si>
    <t>29313</t>
  </si>
  <si>
    <t>29353</t>
  </si>
  <si>
    <t>29354</t>
  </si>
  <si>
    <t>29355</t>
  </si>
  <si>
    <t>29356</t>
  </si>
  <si>
    <t>29357</t>
  </si>
  <si>
    <t>29358</t>
  </si>
  <si>
    <t>29359</t>
  </si>
  <si>
    <t>29373</t>
  </si>
  <si>
    <t>29374</t>
  </si>
  <si>
    <t>29375</t>
  </si>
  <si>
    <t>29376</t>
  </si>
  <si>
    <t>29376/CO</t>
  </si>
  <si>
    <t>29379</t>
  </si>
  <si>
    <t>29484</t>
  </si>
  <si>
    <t>29485</t>
  </si>
  <si>
    <t>29542</t>
  </si>
  <si>
    <t>29543</t>
  </si>
  <si>
    <t>29547</t>
  </si>
  <si>
    <t>29547BOR</t>
  </si>
  <si>
    <t>29549</t>
  </si>
  <si>
    <t>29557</t>
  </si>
  <si>
    <t>29576</t>
  </si>
  <si>
    <t>29594</t>
  </si>
  <si>
    <t>29619</t>
  </si>
  <si>
    <t>29659</t>
  </si>
  <si>
    <t>29666</t>
  </si>
  <si>
    <t>29667</t>
  </si>
  <si>
    <t>29678</t>
  </si>
  <si>
    <t>29689</t>
  </si>
  <si>
    <t>29690</t>
  </si>
  <si>
    <t>29691</t>
  </si>
  <si>
    <t>29694</t>
  </si>
  <si>
    <t>29696</t>
  </si>
  <si>
    <t>29697</t>
  </si>
  <si>
    <t>29700</t>
  </si>
  <si>
    <t>29715</t>
  </si>
  <si>
    <t>29735</t>
  </si>
  <si>
    <t>29739</t>
  </si>
  <si>
    <t>29744</t>
  </si>
  <si>
    <t>29767</t>
  </si>
  <si>
    <t>29768</t>
  </si>
  <si>
    <t>29780</t>
  </si>
  <si>
    <t>29790</t>
  </si>
  <si>
    <t>29802</t>
  </si>
  <si>
    <t>29803</t>
  </si>
  <si>
    <t>29804</t>
  </si>
  <si>
    <t>29810</t>
  </si>
  <si>
    <t>29833</t>
  </si>
  <si>
    <t>29834</t>
  </si>
  <si>
    <t>29863</t>
  </si>
  <si>
    <t>29864</t>
  </si>
  <si>
    <t>29865</t>
  </si>
  <si>
    <t>29868</t>
  </si>
  <si>
    <t>29879</t>
  </si>
  <si>
    <t>29880</t>
  </si>
  <si>
    <t>29883</t>
  </si>
  <si>
    <t>29889</t>
  </si>
  <si>
    <t>29893</t>
  </si>
  <si>
    <t>29899</t>
  </si>
  <si>
    <t>29904</t>
  </si>
  <si>
    <t>29912</t>
  </si>
  <si>
    <t>29913</t>
  </si>
  <si>
    <t>29915</t>
  </si>
  <si>
    <t>29916</t>
  </si>
  <si>
    <t>29916A</t>
  </si>
  <si>
    <t>29917</t>
  </si>
  <si>
    <t>29917A</t>
  </si>
  <si>
    <t>29918</t>
  </si>
  <si>
    <t>29918A</t>
  </si>
  <si>
    <t>29919</t>
  </si>
  <si>
    <t>29919A</t>
  </si>
  <si>
    <t>29921</t>
  </si>
  <si>
    <t>29921A</t>
  </si>
  <si>
    <t>29922</t>
  </si>
  <si>
    <t>29923</t>
  </si>
  <si>
    <t>29923A</t>
  </si>
  <si>
    <t>29924</t>
  </si>
  <si>
    <t>29925</t>
  </si>
  <si>
    <t>29926</t>
  </si>
  <si>
    <t>29927</t>
  </si>
  <si>
    <t>29928</t>
  </si>
  <si>
    <t>29930</t>
  </si>
  <si>
    <t>29931</t>
  </si>
  <si>
    <t>29932</t>
  </si>
  <si>
    <t>29933</t>
  </si>
  <si>
    <t>29934</t>
  </si>
  <si>
    <t>29935</t>
  </si>
  <si>
    <t>29936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</si>
  <si>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</si>
  <si>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</si>
  <si>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</si>
  <si>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</si>
  <si>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</si>
  <si>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</si>
  <si>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</si>
  <si>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</si>
  <si>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</si>
  <si>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</si>
  <si>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</si>
  <si>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</si>
  <si>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</si>
  <si>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</si>
  <si>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</si>
  <si>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</si>
  <si>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</si>
  <si>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</si>
  <si>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</si>
  <si>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</si>
  <si>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</si>
  <si>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</si>
  <si>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</si>
  <si>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</si>
  <si>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</si>
  <si>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</si>
  <si>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</si>
  <si>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</si>
  <si>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</si>
  <si>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</si>
  <si>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</si>
  <si>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</si>
  <si>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</si>
  <si>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</si>
  <si>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</si>
  <si>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</si>
  <si>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</si>
  <si>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</si>
  <si>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</si>
  <si>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29981</t>
  </si>
  <si>
    <t>29984</t>
  </si>
  <si>
    <t>29993</t>
  </si>
  <si>
    <t>30019</t>
  </si>
  <si>
    <t>30020</t>
  </si>
  <si>
    <t>30020A</t>
  </si>
  <si>
    <t>30040</t>
  </si>
  <si>
    <t>30043</t>
  </si>
  <si>
    <t>30046</t>
  </si>
  <si>
    <t>a partir de este son nuevos</t>
  </si>
  <si>
    <t>30055</t>
  </si>
  <si>
    <t>30074</t>
  </si>
  <si>
    <t>30092</t>
  </si>
  <si>
    <t>30093</t>
  </si>
  <si>
    <t>30094</t>
  </si>
  <si>
    <t>30095</t>
  </si>
  <si>
    <t>30114</t>
  </si>
  <si>
    <t>30158</t>
  </si>
  <si>
    <t>30209</t>
  </si>
  <si>
    <t>30211</t>
  </si>
  <si>
    <t>30288</t>
  </si>
  <si>
    <t>30290</t>
  </si>
  <si>
    <t>30292</t>
  </si>
  <si>
    <t>30311</t>
  </si>
  <si>
    <t>30312</t>
  </si>
  <si>
    <t>30313</t>
  </si>
  <si>
    <t>30370</t>
  </si>
  <si>
    <t>30371</t>
  </si>
  <si>
    <t>30421</t>
  </si>
  <si>
    <t>30423</t>
  </si>
  <si>
    <t>30426</t>
  </si>
  <si>
    <t>30440</t>
  </si>
  <si>
    <t>30442</t>
  </si>
  <si>
    <t>30444</t>
  </si>
  <si>
    <t>30464</t>
  </si>
  <si>
    <t>30465</t>
  </si>
  <si>
    <t>30495</t>
  </si>
  <si>
    <t>30496</t>
  </si>
  <si>
    <t>30497</t>
  </si>
  <si>
    <t>30498</t>
  </si>
  <si>
    <t>30499</t>
  </si>
  <si>
    <t>30501</t>
  </si>
  <si>
    <t>30552</t>
  </si>
  <si>
    <t>30553</t>
  </si>
  <si>
    <t>30554</t>
  </si>
  <si>
    <t>30555</t>
  </si>
  <si>
    <t>30556</t>
  </si>
  <si>
    <t>30603</t>
  </si>
  <si>
    <t>30604</t>
  </si>
  <si>
    <t>30624</t>
  </si>
  <si>
    <t>30634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</si>
  <si>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</si>
  <si>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</si>
  <si>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</si>
  <si>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</si>
  <si>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</si>
  <si>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</si>
  <si>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</si>
  <si>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</si>
  <si>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</si>
  <si>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</si>
  <si>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30647</t>
  </si>
  <si>
    <t>30648</t>
  </si>
  <si>
    <t>30649</t>
  </si>
  <si>
    <t>30650</t>
  </si>
  <si>
    <t>30651</t>
  </si>
  <si>
    <t>30652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</si>
  <si>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</si>
  <si>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</si>
  <si>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</si>
  <si>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</si>
  <si>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</si>
  <si>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</si>
  <si>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</si>
  <si>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</si>
  <si>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</si>
  <si>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</si>
  <si>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</si>
  <si>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</si>
  <si>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30676</t>
  </si>
  <si>
    <t>30683</t>
  </si>
  <si>
    <t>30685</t>
  </si>
  <si>
    <t>30699</t>
  </si>
  <si>
    <t>30700</t>
  </si>
  <si>
    <t>30701</t>
  </si>
  <si>
    <t>30702</t>
  </si>
  <si>
    <t>30706</t>
  </si>
  <si>
    <t>30715</t>
  </si>
  <si>
    <t>30719</t>
  </si>
  <si>
    <t>30720</t>
  </si>
  <si>
    <t>30721</t>
  </si>
  <si>
    <t>30731</t>
  </si>
  <si>
    <t>30732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</si>
  <si>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</si>
  <si>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</si>
  <si>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</si>
  <si>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</si>
  <si>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</si>
  <si>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</si>
  <si>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</si>
  <si>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</si>
  <si>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30747</t>
  </si>
  <si>
    <t>30748</t>
  </si>
  <si>
    <t>30749</t>
  </si>
  <si>
    <t>30752</t>
  </si>
  <si>
    <t>30753</t>
  </si>
  <si>
    <t>30754</t>
  </si>
  <si>
    <t>30755</t>
  </si>
  <si>
    <t>30760</t>
  </si>
  <si>
    <t>30762</t>
  </si>
  <si>
    <t>30764</t>
  </si>
  <si>
    <t>30771</t>
  </si>
  <si>
    <t>30783</t>
  </si>
  <si>
    <t>30804</t>
  </si>
  <si>
    <t>30805</t>
  </si>
  <si>
    <t>30806</t>
  </si>
  <si>
    <t>30813</t>
  </si>
  <si>
    <t>30817</t>
  </si>
  <si>
    <t>30818</t>
  </si>
  <si>
    <t>30826</t>
  </si>
  <si>
    <t>30827</t>
  </si>
  <si>
    <t>30828</t>
  </si>
  <si>
    <t>30828A</t>
  </si>
  <si>
    <t>30829</t>
  </si>
  <si>
    <t>30829A</t>
  </si>
  <si>
    <t>30830</t>
  </si>
  <si>
    <t>30831</t>
  </si>
  <si>
    <t>30833</t>
  </si>
  <si>
    <t>30834</t>
  </si>
  <si>
    <t>30835</t>
  </si>
  <si>
    <t>30836</t>
  </si>
  <si>
    <t>30837</t>
  </si>
  <si>
    <t>30838</t>
  </si>
  <si>
    <t>30882</t>
  </si>
  <si>
    <t>30892</t>
  </si>
  <si>
    <t>30900</t>
  </si>
  <si>
    <t>30942</t>
  </si>
  <si>
    <t>30957</t>
  </si>
  <si>
    <t>30958</t>
  </si>
  <si>
    <t>30968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</si>
  <si>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</si>
  <si>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</si>
  <si>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</si>
  <si>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</si>
  <si>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</si>
  <si>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</si>
  <si>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</si>
  <si>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</si>
  <si>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</si>
  <si>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</si>
  <si>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</si>
  <si>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</si>
  <si>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</si>
  <si>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</si>
  <si>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</si>
  <si>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</si>
  <si>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</si>
  <si>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</si>
  <si>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</si>
  <si>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</si>
  <si>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30994</t>
  </si>
  <si>
    <t>31009</t>
  </si>
  <si>
    <t>31010</t>
  </si>
  <si>
    <t>31014</t>
  </si>
  <si>
    <t>31015</t>
  </si>
  <si>
    <t>31016</t>
  </si>
  <si>
    <t>31022</t>
  </si>
  <si>
    <t>31029</t>
  </si>
  <si>
    <t>31033</t>
  </si>
  <si>
    <t>31034</t>
  </si>
  <si>
    <t>31043</t>
  </si>
  <si>
    <t>31044</t>
  </si>
  <si>
    <t>31054</t>
  </si>
  <si>
    <t>31056</t>
  </si>
  <si>
    <t>31057</t>
  </si>
  <si>
    <t>31068</t>
  </si>
  <si>
    <t>31069</t>
  </si>
  <si>
    <t>31075</t>
  </si>
  <si>
    <t>31081</t>
  </si>
  <si>
    <t>31084</t>
  </si>
  <si>
    <t>31085</t>
  </si>
  <si>
    <t>31119</t>
  </si>
  <si>
    <t>31135</t>
  </si>
  <si>
    <t>31142</t>
  </si>
  <si>
    <t>31143</t>
  </si>
  <si>
    <t>31185</t>
  </si>
  <si>
    <t>31186</t>
  </si>
  <si>
    <t>31222</t>
  </si>
  <si>
    <t>31231</t>
  </si>
  <si>
    <t>31232</t>
  </si>
  <si>
    <t>31258</t>
  </si>
  <si>
    <t>31259</t>
  </si>
  <si>
    <t>31262</t>
  </si>
  <si>
    <t>31273</t>
  </si>
  <si>
    <t>31274</t>
  </si>
  <si>
    <t>31275</t>
  </si>
  <si>
    <t>31280</t>
  </si>
  <si>
    <t>31282</t>
  </si>
  <si>
    <t>31290</t>
  </si>
  <si>
    <t>31314</t>
  </si>
  <si>
    <t>31315</t>
  </si>
  <si>
    <t>31316</t>
  </si>
  <si>
    <t>31317</t>
  </si>
  <si>
    <t>31318</t>
  </si>
  <si>
    <t>31320</t>
  </si>
  <si>
    <t>31340</t>
  </si>
  <si>
    <t>31346</t>
  </si>
  <si>
    <t>31385</t>
  </si>
  <si>
    <t>31388</t>
  </si>
  <si>
    <t>31389</t>
  </si>
  <si>
    <t>31393</t>
  </si>
  <si>
    <t>31393A</t>
  </si>
  <si>
    <t>31393B</t>
  </si>
  <si>
    <t>31404</t>
  </si>
  <si>
    <t>31405</t>
  </si>
  <si>
    <t>31406</t>
  </si>
  <si>
    <t>31410</t>
  </si>
  <si>
    <t>31411</t>
  </si>
  <si>
    <t>31412</t>
  </si>
  <si>
    <t>31429</t>
  </si>
  <si>
    <t>31430</t>
  </si>
  <si>
    <t>31431</t>
  </si>
  <si>
    <t>31432</t>
  </si>
  <si>
    <t>31437</t>
  </si>
  <si>
    <t>31438</t>
  </si>
  <si>
    <t>31455</t>
  </si>
  <si>
    <t>31456</t>
  </si>
  <si>
    <t>31462</t>
  </si>
  <si>
    <t>31468</t>
  </si>
  <si>
    <t>31496</t>
  </si>
  <si>
    <t>31502</t>
  </si>
  <si>
    <t>31503</t>
  </si>
  <si>
    <t>31538</t>
  </si>
  <si>
    <t>31543</t>
  </si>
  <si>
    <t>31547</t>
  </si>
  <si>
    <t>31548</t>
  </si>
  <si>
    <t>31549</t>
  </si>
  <si>
    <t>31550</t>
  </si>
  <si>
    <t>31551</t>
  </si>
  <si>
    <t>31552</t>
  </si>
  <si>
    <t>31554</t>
  </si>
  <si>
    <t>31555</t>
  </si>
  <si>
    <t>31556</t>
  </si>
  <si>
    <t>31558</t>
  </si>
  <si>
    <t>31559</t>
  </si>
  <si>
    <t>31560</t>
  </si>
  <si>
    <t>31561</t>
  </si>
  <si>
    <t>31564</t>
  </si>
  <si>
    <t>31566</t>
  </si>
  <si>
    <t>31579</t>
  </si>
  <si>
    <t>31597</t>
  </si>
  <si>
    <t>31603</t>
  </si>
  <si>
    <t>31608</t>
  </si>
  <si>
    <t>31609</t>
  </si>
  <si>
    <t>31610</t>
  </si>
  <si>
    <t>31616</t>
  </si>
  <si>
    <t>31617</t>
  </si>
  <si>
    <t>31618</t>
  </si>
  <si>
    <t>31621</t>
  </si>
  <si>
    <t>31678</t>
  </si>
  <si>
    <t>31679</t>
  </si>
  <si>
    <t>31690</t>
  </si>
  <si>
    <t>31697</t>
  </si>
  <si>
    <t>31699</t>
  </si>
  <si>
    <t>31717</t>
  </si>
  <si>
    <t>31722</t>
  </si>
  <si>
    <t>31723</t>
  </si>
  <si>
    <t>31728</t>
  </si>
  <si>
    <t>31732</t>
  </si>
  <si>
    <t>31745</t>
  </si>
  <si>
    <t>31748</t>
  </si>
  <si>
    <t>31755</t>
  </si>
  <si>
    <t>31759</t>
  </si>
  <si>
    <t>31765</t>
  </si>
  <si>
    <t>31778</t>
  </si>
  <si>
    <t>31788</t>
  </si>
  <si>
    <t>31789</t>
  </si>
  <si>
    <t>31790</t>
  </si>
  <si>
    <t>31793</t>
  </si>
  <si>
    <t>31794</t>
  </si>
  <si>
    <t>31794A</t>
  </si>
  <si>
    <t>31796</t>
  </si>
  <si>
    <t>31797</t>
  </si>
  <si>
    <t>31798</t>
  </si>
  <si>
    <t>31809</t>
  </si>
  <si>
    <t>31810</t>
  </si>
  <si>
    <t>31811</t>
  </si>
  <si>
    <t>31812</t>
  </si>
  <si>
    <t>31813</t>
  </si>
  <si>
    <t>31816</t>
  </si>
  <si>
    <t>31835</t>
  </si>
  <si>
    <t>31858</t>
  </si>
  <si>
    <t>31887</t>
  </si>
  <si>
    <t>31888</t>
  </si>
  <si>
    <t>31897</t>
  </si>
  <si>
    <t>31898</t>
  </si>
  <si>
    <t>31903</t>
  </si>
  <si>
    <t>31904</t>
  </si>
  <si>
    <t>31905</t>
  </si>
  <si>
    <t>31906</t>
  </si>
  <si>
    <t>31907</t>
  </si>
  <si>
    <t>31908</t>
  </si>
  <si>
    <t>31910</t>
  </si>
  <si>
    <t>31912</t>
  </si>
  <si>
    <t>31915</t>
  </si>
  <si>
    <t>31917</t>
  </si>
  <si>
    <t>31918</t>
  </si>
  <si>
    <t>31919</t>
  </si>
  <si>
    <t>31920</t>
  </si>
  <si>
    <t>31921</t>
  </si>
  <si>
    <t>31923</t>
  </si>
  <si>
    <t>31924</t>
  </si>
  <si>
    <t>31925</t>
  </si>
  <si>
    <t>31926</t>
  </si>
  <si>
    <t>31927</t>
  </si>
  <si>
    <t>31928</t>
  </si>
  <si>
    <t>31929</t>
  </si>
  <si>
    <t>31934</t>
  </si>
  <si>
    <t>31935</t>
  </si>
  <si>
    <t>31942</t>
  </si>
  <si>
    <t>31947</t>
  </si>
  <si>
    <t>31949</t>
  </si>
  <si>
    <t>31950</t>
  </si>
  <si>
    <t>31950A</t>
  </si>
  <si>
    <t>31953</t>
  </si>
  <si>
    <t>31953A</t>
  </si>
  <si>
    <t>31953B</t>
  </si>
  <si>
    <t>31955</t>
  </si>
  <si>
    <t>31956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</si>
  <si>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</si>
  <si>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</si>
  <si>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</si>
  <si>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</si>
  <si>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</si>
  <si>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</si>
  <si>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</si>
  <si>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</si>
  <si>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</si>
  <si>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</si>
  <si>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</si>
  <si>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</si>
  <si>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</si>
  <si>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</si>
  <si>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</si>
  <si>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</si>
  <si>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31985</t>
  </si>
  <si>
    <t>31986</t>
  </si>
  <si>
    <t>31989</t>
  </si>
  <si>
    <t>32002</t>
  </si>
  <si>
    <t>32003</t>
  </si>
  <si>
    <t>32004</t>
  </si>
  <si>
    <t>32005</t>
  </si>
  <si>
    <t>32006</t>
  </si>
  <si>
    <t>32007</t>
  </si>
  <si>
    <t>32013</t>
  </si>
  <si>
    <t>32014</t>
  </si>
  <si>
    <t>32018</t>
  </si>
  <si>
    <t>32020</t>
  </si>
  <si>
    <t>32021</t>
  </si>
  <si>
    <t>32023</t>
  </si>
  <si>
    <t>32024</t>
  </si>
  <si>
    <t>32026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</si>
  <si>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</si>
  <si>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</si>
  <si>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</si>
  <si>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</si>
  <si>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</si>
  <si>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</si>
  <si>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</si>
  <si>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</si>
  <si>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</si>
  <si>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</si>
  <si>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</si>
  <si>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</si>
  <si>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</si>
  <si>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</si>
  <si>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</si>
  <si>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</si>
  <si>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</si>
  <si>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32046</t>
  </si>
  <si>
    <t>32048</t>
  </si>
  <si>
    <t>32049</t>
  </si>
  <si>
    <t>32050</t>
  </si>
  <si>
    <t>32056</t>
  </si>
  <si>
    <t>32097</t>
  </si>
  <si>
    <t>32113</t>
  </si>
  <si>
    <t>32114</t>
  </si>
  <si>
    <t>32115</t>
  </si>
  <si>
    <t>32159</t>
  </si>
  <si>
    <t>32160</t>
  </si>
  <si>
    <t>32163</t>
  </si>
  <si>
    <t>32164</t>
  </si>
  <si>
    <t>32167</t>
  </si>
  <si>
    <t>32168</t>
  </si>
  <si>
    <t>32170</t>
  </si>
  <si>
    <t>32172</t>
  </si>
  <si>
    <t>32174</t>
  </si>
  <si>
    <t>32175</t>
  </si>
  <si>
    <t>32198</t>
  </si>
  <si>
    <t>32214</t>
  </si>
  <si>
    <t>32215</t>
  </si>
  <si>
    <t>32216</t>
  </si>
  <si>
    <t>32217</t>
  </si>
  <si>
    <t>32218</t>
  </si>
  <si>
    <t>32219</t>
  </si>
  <si>
    <t>32220</t>
  </si>
  <si>
    <t>32226</t>
  </si>
  <si>
    <t>32235</t>
  </si>
  <si>
    <t>32236</t>
  </si>
  <si>
    <t>32252</t>
  </si>
  <si>
    <t>32253</t>
  </si>
  <si>
    <t>32265</t>
  </si>
  <si>
    <t>32286</t>
  </si>
  <si>
    <t>32287</t>
  </si>
  <si>
    <t>32288</t>
  </si>
  <si>
    <t>32289</t>
  </si>
  <si>
    <t>32328</t>
  </si>
  <si>
    <t>32332</t>
  </si>
  <si>
    <t>32333</t>
  </si>
  <si>
    <t>32334</t>
  </si>
  <si>
    <t>32337</t>
  </si>
  <si>
    <t>32338</t>
  </si>
  <si>
    <t>32341</t>
  </si>
  <si>
    <t>32342</t>
  </si>
  <si>
    <t>32345</t>
  </si>
  <si>
    <t>32358</t>
  </si>
  <si>
    <t>32365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</si>
  <si>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</si>
  <si>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</si>
  <si>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</si>
  <si>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</si>
  <si>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</si>
  <si>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</si>
  <si>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</si>
  <si>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</si>
  <si>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</si>
  <si>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</si>
  <si>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</si>
  <si>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</si>
  <si>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</si>
  <si>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</si>
  <si>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</si>
  <si>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</si>
  <si>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</si>
  <si>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</si>
  <si>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</si>
  <si>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</si>
  <si>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</si>
  <si>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</si>
  <si>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</si>
  <si>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</si>
  <si>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</si>
  <si>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</si>
  <si>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</si>
  <si>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</si>
  <si>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</si>
  <si>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</si>
  <si>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</si>
  <si>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</si>
  <si>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</si>
  <si>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</si>
  <si>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</si>
  <si>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</si>
  <si>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</si>
  <si>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</si>
  <si>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</si>
  <si>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</si>
  <si>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</si>
  <si>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</si>
  <si>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</si>
  <si>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</si>
  <si>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</si>
  <si>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32421</t>
  </si>
  <si>
    <t>32433</t>
  </si>
  <si>
    <t>32437</t>
  </si>
  <si>
    <t>32451</t>
  </si>
  <si>
    <t>32468</t>
  </si>
  <si>
    <t>32473</t>
  </si>
  <si>
    <t>32474</t>
  </si>
  <si>
    <t>32475</t>
  </si>
  <si>
    <t>32484</t>
  </si>
  <si>
    <t>32490</t>
  </si>
  <si>
    <t>32491</t>
  </si>
  <si>
    <t>32493</t>
  </si>
  <si>
    <t>32497</t>
  </si>
  <si>
    <t>32500</t>
  </si>
  <si>
    <t>32501</t>
  </si>
  <si>
    <t>32510</t>
  </si>
  <si>
    <t>32523</t>
  </si>
  <si>
    <t>32528</t>
  </si>
  <si>
    <t>32531</t>
  </si>
  <si>
    <t>32533</t>
  </si>
  <si>
    <t>32537</t>
  </si>
  <si>
    <t>32538</t>
  </si>
  <si>
    <t>32539</t>
  </si>
  <si>
    <t>32540</t>
  </si>
  <si>
    <t>32541</t>
  </si>
  <si>
    <t>32542</t>
  </si>
  <si>
    <t>32553</t>
  </si>
  <si>
    <t>32556</t>
  </si>
  <si>
    <t>32578</t>
  </si>
  <si>
    <t>32580</t>
  </si>
  <si>
    <t>32586</t>
  </si>
  <si>
    <t>32589</t>
  </si>
  <si>
    <t>32602</t>
  </si>
  <si>
    <t>32619</t>
  </si>
  <si>
    <t>32622</t>
  </si>
  <si>
    <t>32624</t>
  </si>
  <si>
    <t>32624A</t>
  </si>
  <si>
    <t>32625</t>
  </si>
  <si>
    <t>32625A</t>
  </si>
  <si>
    <t>32626</t>
  </si>
  <si>
    <t>32627</t>
  </si>
  <si>
    <t>32628</t>
  </si>
  <si>
    <t>32628A</t>
  </si>
  <si>
    <t>32629</t>
  </si>
  <si>
    <t>32630</t>
  </si>
  <si>
    <t>32631</t>
  </si>
  <si>
    <t>32635</t>
  </si>
  <si>
    <t>32637</t>
  </si>
  <si>
    <t>32638</t>
  </si>
  <si>
    <t>32639</t>
  </si>
  <si>
    <t>32641</t>
  </si>
  <si>
    <t>32642</t>
  </si>
  <si>
    <t>32643</t>
  </si>
  <si>
    <t>32655</t>
  </si>
  <si>
    <t>32661</t>
  </si>
  <si>
    <t>32662</t>
  </si>
  <si>
    <t>32663</t>
  </si>
  <si>
    <t>32664</t>
  </si>
  <si>
    <t>32665</t>
  </si>
  <si>
    <t>32666</t>
  </si>
  <si>
    <t>32668</t>
  </si>
  <si>
    <t>32669</t>
  </si>
  <si>
    <t>32670</t>
  </si>
  <si>
    <t>32671</t>
  </si>
  <si>
    <t>32671A</t>
  </si>
  <si>
    <t>32672</t>
  </si>
  <si>
    <t>32673</t>
  </si>
  <si>
    <t>32728</t>
  </si>
  <si>
    <t>32732</t>
  </si>
  <si>
    <t>32733</t>
  </si>
  <si>
    <t>32733A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</si>
  <si>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</si>
  <si>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</si>
  <si>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</si>
  <si>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</si>
  <si>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</si>
  <si>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</si>
  <si>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</si>
  <si>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</si>
  <si>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</si>
  <si>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</si>
  <si>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</si>
  <si>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</si>
  <si>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</si>
  <si>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</si>
  <si>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</si>
  <si>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</si>
  <si>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32856</t>
  </si>
  <si>
    <t>32857</t>
  </si>
  <si>
    <t>32858</t>
  </si>
  <si>
    <t>32861</t>
  </si>
  <si>
    <t>32881</t>
  </si>
  <si>
    <t>32882</t>
  </si>
  <si>
    <t>32883</t>
  </si>
  <si>
    <t>32884</t>
  </si>
  <si>
    <t>32910</t>
  </si>
  <si>
    <t>32912</t>
  </si>
  <si>
    <t>32913</t>
  </si>
  <si>
    <t>32914</t>
  </si>
  <si>
    <t>32921</t>
  </si>
  <si>
    <t>32924</t>
  </si>
  <si>
    <t>32928</t>
  </si>
  <si>
    <t>32929</t>
  </si>
  <si>
    <t>32931</t>
  </si>
  <si>
    <t>32932</t>
  </si>
  <si>
    <t>32934</t>
  </si>
  <si>
    <t>32935</t>
  </si>
  <si>
    <t>32936</t>
  </si>
  <si>
    <t>32946</t>
  </si>
  <si>
    <t>32953</t>
  </si>
  <si>
    <t>32954</t>
  </si>
  <si>
    <t>32968</t>
  </si>
  <si>
    <t>32968A</t>
  </si>
  <si>
    <t>32972</t>
  </si>
  <si>
    <t>32976</t>
  </si>
  <si>
    <t>32977</t>
  </si>
  <si>
    <t>32978</t>
  </si>
  <si>
    <t>32979</t>
  </si>
  <si>
    <t>32980</t>
  </si>
  <si>
    <t>32981</t>
  </si>
  <si>
    <t>32982</t>
  </si>
  <si>
    <t>32983</t>
  </si>
  <si>
    <t>32984</t>
  </si>
  <si>
    <t>32999</t>
  </si>
  <si>
    <t>33005</t>
  </si>
  <si>
    <t>33006</t>
  </si>
  <si>
    <t>33007</t>
  </si>
  <si>
    <t>33016</t>
  </si>
  <si>
    <t>33017</t>
  </si>
  <si>
    <t>33020</t>
  </si>
  <si>
    <t>33028</t>
  </si>
  <si>
    <t>33029</t>
  </si>
  <si>
    <t>33044</t>
  </si>
  <si>
    <t>33048</t>
  </si>
  <si>
    <t>33049</t>
  </si>
  <si>
    <t>33086</t>
  </si>
  <si>
    <t>33088</t>
  </si>
  <si>
    <t>33105</t>
  </si>
  <si>
    <t>33112</t>
  </si>
  <si>
    <t>33113</t>
  </si>
  <si>
    <t>33114</t>
  </si>
  <si>
    <t>33120</t>
  </si>
  <si>
    <t>33141</t>
  </si>
  <si>
    <t>33146</t>
  </si>
  <si>
    <t>33147</t>
  </si>
  <si>
    <t>33148</t>
  </si>
  <si>
    <t>33149</t>
  </si>
  <si>
    <t>33150</t>
  </si>
  <si>
    <t>33152</t>
  </si>
  <si>
    <t>33153</t>
  </si>
  <si>
    <t>33154</t>
  </si>
  <si>
    <t>33182</t>
  </si>
  <si>
    <t>33182/CO</t>
  </si>
  <si>
    <t>33183</t>
  </si>
  <si>
    <t>33184</t>
  </si>
  <si>
    <t>33185</t>
  </si>
  <si>
    <t>33186</t>
  </si>
  <si>
    <t>33187</t>
  </si>
  <si>
    <t>33191</t>
  </si>
  <si>
    <t>33208</t>
  </si>
  <si>
    <t>33209</t>
  </si>
  <si>
    <t>33252</t>
  </si>
  <si>
    <t>33253</t>
  </si>
  <si>
    <t>33254</t>
  </si>
  <si>
    <t>33255</t>
  </si>
  <si>
    <t>33256</t>
  </si>
  <si>
    <t>33258</t>
  </si>
  <si>
    <t>33260</t>
  </si>
  <si>
    <t>33261</t>
  </si>
  <si>
    <t>33262</t>
  </si>
  <si>
    <t>33267</t>
  </si>
  <si>
    <t>33293</t>
  </si>
  <si>
    <t>33295</t>
  </si>
  <si>
    <t>33296</t>
  </si>
  <si>
    <t>33297</t>
  </si>
  <si>
    <t>33302</t>
  </si>
  <si>
    <t>33333</t>
  </si>
  <si>
    <t>33336</t>
  </si>
  <si>
    <t>33336A</t>
  </si>
  <si>
    <t>33337</t>
  </si>
  <si>
    <t>33339</t>
  </si>
  <si>
    <t>33341</t>
  </si>
  <si>
    <t>33342</t>
  </si>
  <si>
    <t>33348</t>
  </si>
  <si>
    <t>33350</t>
  </si>
  <si>
    <t>33351</t>
  </si>
  <si>
    <t>33353</t>
  </si>
  <si>
    <t>33359</t>
  </si>
  <si>
    <t>33360</t>
  </si>
  <si>
    <t>33361</t>
  </si>
  <si>
    <t>33362</t>
  </si>
  <si>
    <t>33363</t>
  </si>
  <si>
    <t>33371</t>
  </si>
  <si>
    <t>33377</t>
  </si>
  <si>
    <t>33378</t>
  </si>
  <si>
    <t>33379</t>
  </si>
  <si>
    <t>33380</t>
  </si>
  <si>
    <t>33381</t>
  </si>
  <si>
    <t>33382</t>
  </si>
  <si>
    <t>33383</t>
  </si>
  <si>
    <t>33395</t>
  </si>
  <si>
    <t>33402</t>
  </si>
  <si>
    <t>33404</t>
  </si>
  <si>
    <t>33405</t>
  </si>
  <si>
    <t>33409</t>
  </si>
  <si>
    <t>33411</t>
  </si>
  <si>
    <t>33412</t>
  </si>
  <si>
    <t>33413</t>
  </si>
  <si>
    <t>33414</t>
  </si>
  <si>
    <t>33419</t>
  </si>
  <si>
    <t>33422</t>
  </si>
  <si>
    <t>33445</t>
  </si>
  <si>
    <t>33453</t>
  </si>
  <si>
    <t>33473</t>
  </si>
  <si>
    <t>33474</t>
  </si>
  <si>
    <t>33474/CO</t>
  </si>
  <si>
    <t>33475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</si>
  <si>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</si>
  <si>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</si>
  <si>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</si>
  <si>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</si>
  <si>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</si>
  <si>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</si>
  <si>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</si>
  <si>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</si>
  <si>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</si>
  <si>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</si>
  <si>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33491</t>
  </si>
  <si>
    <t>33496</t>
  </si>
  <si>
    <t>33497</t>
  </si>
  <si>
    <t>33498</t>
  </si>
  <si>
    <t>33505</t>
  </si>
  <si>
    <t>33508</t>
  </si>
  <si>
    <t>33509</t>
  </si>
  <si>
    <t>33510</t>
  </si>
  <si>
    <t>33515</t>
  </si>
  <si>
    <t>33517</t>
  </si>
  <si>
    <t>33518</t>
  </si>
  <si>
    <t>33519</t>
  </si>
  <si>
    <t>33523</t>
  </si>
  <si>
    <t>33524</t>
  </si>
  <si>
    <t>33527</t>
  </si>
  <si>
    <t>33528</t>
  </si>
  <si>
    <t>33529</t>
  </si>
  <si>
    <t>33530</t>
  </si>
  <si>
    <t>33542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</si>
  <si>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</si>
  <si>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</si>
  <si>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</si>
  <si>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</si>
  <si>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</si>
  <si>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</si>
  <si>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</si>
  <si>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</si>
  <si>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33573</t>
  </si>
  <si>
    <t>33574</t>
  </si>
  <si>
    <t>33576</t>
  </si>
  <si>
    <t>33580</t>
  </si>
  <si>
    <t>33582</t>
  </si>
  <si>
    <t>33596</t>
  </si>
  <si>
    <t>33603</t>
  </si>
  <si>
    <t>33610</t>
  </si>
  <si>
    <t>33616</t>
  </si>
  <si>
    <t>33619</t>
  </si>
  <si>
    <t>33620</t>
  </si>
  <si>
    <t>33621</t>
  </si>
  <si>
    <t>33622</t>
  </si>
  <si>
    <t>33623</t>
  </si>
  <si>
    <t>33626</t>
  </si>
  <si>
    <t>33627</t>
  </si>
  <si>
    <t>33651</t>
  </si>
  <si>
    <t>33654</t>
  </si>
  <si>
    <t>33658</t>
  </si>
  <si>
    <t>33661</t>
  </si>
  <si>
    <t>33662</t>
  </si>
  <si>
    <t>33663</t>
  </si>
  <si>
    <t>33714</t>
  </si>
  <si>
    <t>33717</t>
  </si>
  <si>
    <t>33718</t>
  </si>
  <si>
    <t>33719</t>
  </si>
  <si>
    <t>33720</t>
  </si>
  <si>
    <t>33721</t>
  </si>
  <si>
    <t>33722</t>
  </si>
  <si>
    <t>34339</t>
  </si>
  <si>
    <t>34340</t>
  </si>
  <si>
    <t>34341</t>
  </si>
  <si>
    <t>34342</t>
  </si>
  <si>
    <t>34347</t>
  </si>
  <si>
    <t>34348</t>
  </si>
  <si>
    <t>34349</t>
  </si>
  <si>
    <t>34350</t>
  </si>
  <si>
    <t>34351</t>
  </si>
  <si>
    <t>34352</t>
  </si>
  <si>
    <t>34353</t>
  </si>
  <si>
    <t>34354</t>
  </si>
  <si>
    <t>34355</t>
  </si>
  <si>
    <t>34356</t>
  </si>
  <si>
    <t>34357</t>
  </si>
  <si>
    <t>34358</t>
  </si>
  <si>
    <t>34359</t>
  </si>
  <si>
    <t>34361</t>
  </si>
  <si>
    <t>34367</t>
  </si>
  <si>
    <t>34371</t>
  </si>
  <si>
    <t>34374</t>
  </si>
  <si>
    <t>34377</t>
  </si>
  <si>
    <t>34403</t>
  </si>
  <si>
    <t>34404</t>
  </si>
  <si>
    <t>34405</t>
  </si>
  <si>
    <t>34406</t>
  </si>
  <si>
    <t>34407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</si>
  <si>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</si>
  <si>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</si>
  <si>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</si>
  <si>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</si>
  <si>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</si>
  <si>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</si>
  <si>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</si>
  <si>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</si>
  <si>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</si>
  <si>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</si>
  <si>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</si>
  <si>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34424</t>
  </si>
  <si>
    <t>34425</t>
  </si>
  <si>
    <t>34426</t>
  </si>
  <si>
    <t>34427</t>
  </si>
  <si>
    <t>34428</t>
  </si>
  <si>
    <t>34429</t>
  </si>
  <si>
    <t>34430</t>
  </si>
  <si>
    <t>34431</t>
  </si>
  <si>
    <t>34432</t>
  </si>
  <si>
    <t>34433</t>
  </si>
  <si>
    <t>34434</t>
  </si>
  <si>
    <t>34442</t>
  </si>
  <si>
    <t>34445</t>
  </si>
  <si>
    <t>34446</t>
  </si>
  <si>
    <t>34448</t>
  </si>
  <si>
    <t>34469</t>
  </si>
  <si>
    <t>34470</t>
  </si>
  <si>
    <t>34471</t>
  </si>
  <si>
    <t>34472</t>
  </si>
  <si>
    <t>34474</t>
  </si>
  <si>
    <t>34475</t>
  </si>
  <si>
    <t>34476</t>
  </si>
  <si>
    <t>34477</t>
  </si>
  <si>
    <t>34478</t>
  </si>
  <si>
    <t>34479</t>
  </si>
  <si>
    <t>34480</t>
  </si>
  <si>
    <t>34484</t>
  </si>
  <si>
    <t>34485</t>
  </si>
  <si>
    <t>34486</t>
  </si>
  <si>
    <t>34489</t>
  </si>
  <si>
    <t>34490</t>
  </si>
  <si>
    <t>34491</t>
  </si>
  <si>
    <t>34492</t>
  </si>
  <si>
    <t>34493</t>
  </si>
  <si>
    <t>34494</t>
  </si>
  <si>
    <t>34495</t>
  </si>
  <si>
    <t>34508</t>
  </si>
  <si>
    <t>34510</t>
  </si>
  <si>
    <t>34511</t>
  </si>
  <si>
    <t>34515</t>
  </si>
  <si>
    <t>34518</t>
  </si>
  <si>
    <t>34521</t>
  </si>
  <si>
    <t>34531</t>
  </si>
  <si>
    <t>34537</t>
  </si>
  <si>
    <t>34546</t>
  </si>
  <si>
    <t>34547</t>
  </si>
  <si>
    <t>34612</t>
  </si>
  <si>
    <t>34615</t>
  </si>
  <si>
    <t>34616</t>
  </si>
  <si>
    <t>34617</t>
  </si>
  <si>
    <t>34620</t>
  </si>
  <si>
    <t>34632</t>
  </si>
  <si>
    <t>34633</t>
  </si>
  <si>
    <t>34634</t>
  </si>
  <si>
    <t>34635</t>
  </si>
  <si>
    <t>34636</t>
  </si>
  <si>
    <t>34643</t>
  </si>
  <si>
    <t>34651</t>
  </si>
  <si>
    <t>34657</t>
  </si>
  <si>
    <t>34661</t>
  </si>
  <si>
    <t>34661/CO</t>
  </si>
  <si>
    <t>34664</t>
  </si>
  <si>
    <t>34665</t>
  </si>
  <si>
    <t>34665/CO</t>
  </si>
  <si>
    <t>34668</t>
  </si>
  <si>
    <t>34668/CO</t>
  </si>
  <si>
    <t>34669</t>
  </si>
  <si>
    <t>34706</t>
  </si>
  <si>
    <t>34719</t>
  </si>
  <si>
    <t>34721</t>
  </si>
  <si>
    <t>34722</t>
  </si>
  <si>
    <t>34725</t>
  </si>
  <si>
    <t>34726</t>
  </si>
  <si>
    <t>34732</t>
  </si>
  <si>
    <t>34733</t>
  </si>
  <si>
    <t>34736</t>
  </si>
  <si>
    <t>34737</t>
  </si>
  <si>
    <t>34738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</si>
  <si>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</si>
  <si>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</si>
  <si>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</si>
  <si>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</si>
  <si>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</si>
  <si>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</si>
  <si>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</si>
  <si>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</si>
  <si>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</si>
  <si>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</si>
  <si>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</si>
  <si>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34751</t>
  </si>
  <si>
    <t>34752</t>
  </si>
  <si>
    <t>34753</t>
  </si>
  <si>
    <t>34754</t>
  </si>
  <si>
    <t>34755</t>
  </si>
  <si>
    <t>34756</t>
  </si>
  <si>
    <t>34757</t>
  </si>
  <si>
    <t>34758</t>
  </si>
  <si>
    <t>34760</t>
  </si>
  <si>
    <t>34761</t>
  </si>
  <si>
    <t>34762</t>
  </si>
  <si>
    <t>34763</t>
  </si>
  <si>
    <t>34764</t>
  </si>
  <si>
    <t>34765</t>
  </si>
  <si>
    <t>34766</t>
  </si>
  <si>
    <t>34770</t>
  </si>
  <si>
    <t>34771</t>
  </si>
  <si>
    <t>34772</t>
  </si>
  <si>
    <t>34774</t>
  </si>
  <si>
    <t>34778</t>
  </si>
  <si>
    <t>34779</t>
  </si>
  <si>
    <t>34782</t>
  </si>
  <si>
    <t>34783</t>
  </si>
  <si>
    <t>34787</t>
  </si>
  <si>
    <t>34788</t>
  </si>
  <si>
    <t>34789</t>
  </si>
  <si>
    <t>34790</t>
  </si>
  <si>
    <t>34810</t>
  </si>
  <si>
    <t>34811</t>
  </si>
  <si>
    <t>34812</t>
  </si>
  <si>
    <t>34844</t>
  </si>
  <si>
    <t>34846</t>
  </si>
  <si>
    <t>34848</t>
  </si>
  <si>
    <t>34848/A</t>
  </si>
  <si>
    <t>34849</t>
  </si>
  <si>
    <t>34849/A</t>
  </si>
  <si>
    <t>34855</t>
  </si>
  <si>
    <t>34856</t>
  </si>
  <si>
    <t>34860</t>
  </si>
  <si>
    <t>34861</t>
  </si>
  <si>
    <t>34862</t>
  </si>
  <si>
    <t>34863</t>
  </si>
  <si>
    <t>34864</t>
  </si>
  <si>
    <t>34873</t>
  </si>
  <si>
    <t>34874</t>
  </si>
  <si>
    <t>34875</t>
  </si>
  <si>
    <t>34876</t>
  </si>
  <si>
    <t>34877</t>
  </si>
  <si>
    <t>34881</t>
  </si>
  <si>
    <t>34884</t>
  </si>
  <si>
    <t>34887</t>
  </si>
  <si>
    <t>34899</t>
  </si>
  <si>
    <t>34903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</si>
  <si>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</si>
  <si>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</si>
  <si>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</si>
  <si>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</si>
  <si>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</si>
  <si>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</si>
  <si>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</si>
  <si>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</si>
  <si>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34930</t>
  </si>
  <si>
    <t>34931</t>
  </si>
  <si>
    <t>34932</t>
  </si>
  <si>
    <t>34934</t>
  </si>
  <si>
    <t>34998</t>
  </si>
  <si>
    <t>35006</t>
  </si>
  <si>
    <t>35012</t>
  </si>
  <si>
    <t>35013</t>
  </si>
  <si>
    <t>35015</t>
  </si>
  <si>
    <t>35016</t>
  </si>
  <si>
    <t>35018</t>
  </si>
  <si>
    <t>35019</t>
  </si>
  <si>
    <t>35020</t>
  </si>
  <si>
    <t>35021</t>
  </si>
  <si>
    <t>35047</t>
  </si>
  <si>
    <t>35050</t>
  </si>
  <si>
    <t>35058</t>
  </si>
  <si>
    <t>35063</t>
  </si>
  <si>
    <t>35064</t>
  </si>
  <si>
    <t>35065</t>
  </si>
  <si>
    <t>35067</t>
  </si>
  <si>
    <t>35067A</t>
  </si>
  <si>
    <t>35068</t>
  </si>
  <si>
    <t>35068A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</si>
  <si>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</si>
  <si>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</si>
  <si>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</si>
  <si>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</si>
  <si>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</si>
  <si>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</si>
  <si>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</si>
  <si>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</si>
  <si>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</si>
  <si>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</si>
  <si>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</si>
  <si>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</si>
  <si>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35083</t>
  </si>
  <si>
    <t>35084</t>
  </si>
  <si>
    <t>35085</t>
  </si>
  <si>
    <t>35086</t>
  </si>
  <si>
    <t>35088</t>
  </si>
  <si>
    <t>35089</t>
  </si>
  <si>
    <t>35091</t>
  </si>
  <si>
    <t>35107</t>
  </si>
  <si>
    <t>35115</t>
  </si>
  <si>
    <t>35117</t>
  </si>
  <si>
    <t>35120</t>
  </si>
  <si>
    <t>35121</t>
  </si>
  <si>
    <t>35122</t>
  </si>
  <si>
    <t>35123</t>
  </si>
  <si>
    <t>35124</t>
  </si>
  <si>
    <t>35131</t>
  </si>
  <si>
    <t>35132</t>
  </si>
  <si>
    <t>35146</t>
  </si>
  <si>
    <t>35149</t>
  </si>
  <si>
    <t>35150</t>
  </si>
  <si>
    <t>35152</t>
  </si>
  <si>
    <t>35153</t>
  </si>
  <si>
    <t>35156</t>
  </si>
  <si>
    <t>35157</t>
  </si>
  <si>
    <t>35157/A</t>
  </si>
  <si>
    <t>35159</t>
  </si>
  <si>
    <t>35176</t>
  </si>
  <si>
    <t>35178</t>
  </si>
  <si>
    <t>35179</t>
  </si>
  <si>
    <t>35182</t>
  </si>
  <si>
    <t>35183</t>
  </si>
  <si>
    <t>35184</t>
  </si>
  <si>
    <t>35185</t>
  </si>
  <si>
    <t>35186</t>
  </si>
  <si>
    <t>35187</t>
  </si>
  <si>
    <t>35188</t>
  </si>
  <si>
    <t>35188/CO</t>
  </si>
  <si>
    <t>35188A</t>
  </si>
  <si>
    <t>35188B</t>
  </si>
  <si>
    <t>35198</t>
  </si>
  <si>
    <t>35199</t>
  </si>
  <si>
    <t>35200</t>
  </si>
  <si>
    <t>35201</t>
  </si>
  <si>
    <t>35202</t>
  </si>
  <si>
    <t>35203</t>
  </si>
  <si>
    <t>35210</t>
  </si>
  <si>
    <t>35213</t>
  </si>
  <si>
    <t>35215</t>
  </si>
  <si>
    <t>35216</t>
  </si>
  <si>
    <t>35216A</t>
  </si>
  <si>
    <t>35216B</t>
  </si>
  <si>
    <t>35216B/CO</t>
  </si>
  <si>
    <t>35217</t>
  </si>
  <si>
    <t>35217A</t>
  </si>
  <si>
    <t>35218</t>
  </si>
  <si>
    <t>35230</t>
  </si>
  <si>
    <t>35231</t>
  </si>
  <si>
    <t>35232</t>
  </si>
  <si>
    <t>35234</t>
  </si>
  <si>
    <t>35238</t>
  </si>
  <si>
    <t>35240</t>
  </si>
  <si>
    <t>35256</t>
  </si>
  <si>
    <t>35260</t>
  </si>
  <si>
    <t>35265</t>
  </si>
  <si>
    <t>35265/A</t>
  </si>
  <si>
    <t>35265/B</t>
  </si>
  <si>
    <t>35265/CO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</si>
  <si>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</si>
  <si>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</si>
  <si>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</si>
  <si>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</si>
  <si>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</si>
  <si>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</si>
  <si>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</si>
  <si>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</si>
  <si>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</si>
  <si>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</si>
  <si>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</si>
  <si>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</si>
  <si>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</si>
  <si>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</si>
  <si>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35285</t>
  </si>
  <si>
    <t>35288</t>
  </si>
  <si>
    <t>35289</t>
  </si>
  <si>
    <t>35291</t>
  </si>
  <si>
    <t>35297</t>
  </si>
  <si>
    <t>35298</t>
  </si>
  <si>
    <t>35299</t>
  </si>
  <si>
    <t>35300</t>
  </si>
  <si>
    <t>35301</t>
  </si>
  <si>
    <t>35303</t>
  </si>
  <si>
    <t>35305</t>
  </si>
  <si>
    <t>35306</t>
  </si>
  <si>
    <t>35308</t>
  </si>
  <si>
    <t>35328</t>
  </si>
  <si>
    <t>35329</t>
  </si>
  <si>
    <t>35340</t>
  </si>
  <si>
    <t>35346</t>
  </si>
  <si>
    <t>35348</t>
  </si>
  <si>
    <t>35349</t>
  </si>
  <si>
    <t>35357</t>
  </si>
  <si>
    <t>35363</t>
  </si>
  <si>
    <t>35364</t>
  </si>
  <si>
    <t>35365</t>
  </si>
  <si>
    <t>35389</t>
  </si>
  <si>
    <t>35390</t>
  </si>
  <si>
    <t>35391</t>
  </si>
  <si>
    <t>35392</t>
  </si>
  <si>
    <t>35393</t>
  </si>
  <si>
    <t>35394</t>
  </si>
  <si>
    <t>35424</t>
  </si>
  <si>
    <t>35430</t>
  </si>
  <si>
    <t>35432</t>
  </si>
  <si>
    <t>35434</t>
  </si>
  <si>
    <t>35453</t>
  </si>
  <si>
    <t>35454</t>
  </si>
  <si>
    <t>35455</t>
  </si>
  <si>
    <t>35456</t>
  </si>
  <si>
    <t>35464</t>
  </si>
  <si>
    <t>35465</t>
  </si>
  <si>
    <t>35466</t>
  </si>
  <si>
    <t>35474</t>
  </si>
  <si>
    <t>35477</t>
  </si>
  <si>
    <t>35478</t>
  </si>
  <si>
    <t>35479</t>
  </si>
  <si>
    <t>35480</t>
  </si>
  <si>
    <t>35481</t>
  </si>
  <si>
    <t>35486</t>
  </si>
  <si>
    <t>35489</t>
  </si>
  <si>
    <t>35493</t>
  </si>
  <si>
    <t>35495</t>
  </si>
  <si>
    <t>35500</t>
  </si>
  <si>
    <t>35510</t>
  </si>
  <si>
    <t>35511</t>
  </si>
  <si>
    <t>35513</t>
  </si>
  <si>
    <t>35519</t>
  </si>
  <si>
    <t>35531</t>
  </si>
  <si>
    <t>35531/CO</t>
  </si>
  <si>
    <t>35532</t>
  </si>
  <si>
    <t>35532A</t>
  </si>
  <si>
    <t>35534</t>
  </si>
  <si>
    <t>35536</t>
  </si>
  <si>
    <t>35537</t>
  </si>
  <si>
    <t>35538</t>
  </si>
  <si>
    <t>35539</t>
  </si>
  <si>
    <t>35540</t>
  </si>
  <si>
    <t>35541</t>
  </si>
  <si>
    <t>35542</t>
  </si>
  <si>
    <t>35543</t>
  </si>
  <si>
    <t>35544</t>
  </si>
  <si>
    <t>35545</t>
  </si>
  <si>
    <t>35546</t>
  </si>
  <si>
    <t>35547</t>
  </si>
  <si>
    <t>35548</t>
  </si>
  <si>
    <t>35550</t>
  </si>
  <si>
    <t>35552</t>
  </si>
  <si>
    <t>35553</t>
  </si>
  <si>
    <t>35554</t>
  </si>
  <si>
    <t>35555</t>
  </si>
  <si>
    <t>35556</t>
  </si>
  <si>
    <t>35557</t>
  </si>
  <si>
    <t>35558</t>
  </si>
  <si>
    <t>35559</t>
  </si>
  <si>
    <t>35560</t>
  </si>
  <si>
    <t>35561</t>
  </si>
  <si>
    <t>35562</t>
  </si>
  <si>
    <t>35563</t>
  </si>
  <si>
    <t>35564</t>
  </si>
  <si>
    <t>35565</t>
  </si>
  <si>
    <t>35566</t>
  </si>
  <si>
    <t>35567</t>
  </si>
  <si>
    <t>35568</t>
  </si>
  <si>
    <t>35569</t>
  </si>
  <si>
    <t>35570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</si>
  <si>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</si>
  <si>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</si>
  <si>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</si>
  <si>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</si>
  <si>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</si>
  <si>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</si>
  <si>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</si>
  <si>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</si>
  <si>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</si>
  <si>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</si>
  <si>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</si>
  <si>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</si>
  <si>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35583</t>
  </si>
  <si>
    <t>35584</t>
  </si>
  <si>
    <t>35585</t>
  </si>
  <si>
    <t>35586</t>
  </si>
  <si>
    <t>35587</t>
  </si>
  <si>
    <t>35588</t>
  </si>
  <si>
    <t>35591</t>
  </si>
  <si>
    <t>35592</t>
  </si>
  <si>
    <t>35593</t>
  </si>
  <si>
    <t>35594</t>
  </si>
  <si>
    <t>35595</t>
  </si>
  <si>
    <t>35596</t>
  </si>
  <si>
    <t>35597</t>
  </si>
  <si>
    <t>35650</t>
  </si>
  <si>
    <t>35652</t>
  </si>
  <si>
    <t>35659</t>
  </si>
  <si>
    <t>35660</t>
  </si>
  <si>
    <t>35661</t>
  </si>
  <si>
    <t>35662</t>
  </si>
  <si>
    <t>35666</t>
  </si>
  <si>
    <t>35667</t>
  </si>
  <si>
    <t>35668</t>
  </si>
  <si>
    <t>35669</t>
  </si>
  <si>
    <t>35670</t>
  </si>
  <si>
    <t>35671</t>
  </si>
  <si>
    <t>35672</t>
  </si>
  <si>
    <t>35674</t>
  </si>
  <si>
    <t>35675</t>
  </si>
  <si>
    <t>35676</t>
  </si>
  <si>
    <t>35677</t>
  </si>
  <si>
    <t>35679</t>
  </si>
  <si>
    <t>35680</t>
  </si>
  <si>
    <t>35687</t>
  </si>
  <si>
    <t>35703</t>
  </si>
  <si>
    <t>35709</t>
  </si>
  <si>
    <t>35710</t>
  </si>
  <si>
    <t>35711</t>
  </si>
  <si>
    <t>35721</t>
  </si>
  <si>
    <t>35722</t>
  </si>
  <si>
    <t>35723</t>
  </si>
  <si>
    <t>35724</t>
  </si>
  <si>
    <t>35725</t>
  </si>
  <si>
    <t>35726</t>
  </si>
  <si>
    <t>35727</t>
  </si>
  <si>
    <t>35728</t>
  </si>
  <si>
    <t>35729</t>
  </si>
  <si>
    <t>35730</t>
  </si>
  <si>
    <t>35736</t>
  </si>
  <si>
    <t>35766</t>
  </si>
  <si>
    <t>35767</t>
  </si>
  <si>
    <t>35776</t>
  </si>
  <si>
    <t>35777</t>
  </si>
  <si>
    <t>35778</t>
  </si>
  <si>
    <t>35779</t>
  </si>
  <si>
    <t>35780</t>
  </si>
  <si>
    <t>35781</t>
  </si>
  <si>
    <t>35782</t>
  </si>
  <si>
    <t>35783</t>
  </si>
  <si>
    <t>35784</t>
  </si>
  <si>
    <t>35791</t>
  </si>
  <si>
    <t>35797</t>
  </si>
  <si>
    <t>35800</t>
  </si>
  <si>
    <t>35802</t>
  </si>
  <si>
    <t>35807</t>
  </si>
  <si>
    <t>35809</t>
  </si>
  <si>
    <t>35810</t>
  </si>
  <si>
    <t>35811</t>
  </si>
  <si>
    <t>35813</t>
  </si>
  <si>
    <t>35814</t>
  </si>
  <si>
    <t>35815</t>
  </si>
  <si>
    <t>35824</t>
  </si>
  <si>
    <t>35828</t>
  </si>
  <si>
    <t>35829</t>
  </si>
  <si>
    <t>35833</t>
  </si>
  <si>
    <t>35837</t>
  </si>
  <si>
    <t>35840</t>
  </si>
  <si>
    <t>35841</t>
  </si>
  <si>
    <t>35843</t>
  </si>
  <si>
    <t>35844</t>
  </si>
  <si>
    <t>35902</t>
  </si>
  <si>
    <t>35903</t>
  </si>
  <si>
    <t>35904</t>
  </si>
  <si>
    <t>35905</t>
  </si>
  <si>
    <t>35910</t>
  </si>
  <si>
    <t>35911</t>
  </si>
  <si>
    <t>35914</t>
  </si>
  <si>
    <t>35915</t>
  </si>
  <si>
    <t>35916</t>
  </si>
  <si>
    <t>35918</t>
  </si>
  <si>
    <t>35920</t>
  </si>
  <si>
    <t>35922</t>
  </si>
  <si>
    <t>35923</t>
  </si>
  <si>
    <t>35924</t>
  </si>
  <si>
    <t>35925</t>
  </si>
  <si>
    <t>35931</t>
  </si>
  <si>
    <t>35932</t>
  </si>
  <si>
    <t>35939</t>
  </si>
  <si>
    <t>35940</t>
  </si>
  <si>
    <t>36036</t>
  </si>
  <si>
    <t>36041</t>
  </si>
  <si>
    <t>36045</t>
  </si>
  <si>
    <t>36046</t>
  </si>
  <si>
    <t>36047</t>
  </si>
  <si>
    <t>36048</t>
  </si>
  <si>
    <t>36051</t>
  </si>
  <si>
    <t>36056</t>
  </si>
  <si>
    <t>36060</t>
  </si>
  <si>
    <t>36062</t>
  </si>
  <si>
    <t>36063</t>
  </si>
  <si>
    <t>36064</t>
  </si>
  <si>
    <t>36065</t>
  </si>
  <si>
    <t>36066</t>
  </si>
  <si>
    <t>36070</t>
  </si>
  <si>
    <t>36071</t>
  </si>
  <si>
    <t>36078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</si>
  <si>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</si>
  <si>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</si>
  <si>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</si>
  <si>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</si>
  <si>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</si>
  <si>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</si>
  <si>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</si>
  <si>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</si>
  <si>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</si>
  <si>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</si>
  <si>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</si>
  <si>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</si>
  <si>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</si>
  <si>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</si>
  <si>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</si>
  <si>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</si>
  <si>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</si>
  <si>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</si>
  <si>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</si>
  <si>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</si>
  <si>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</si>
  <si>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</si>
  <si>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</si>
  <si>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</si>
  <si>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</si>
  <si>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</si>
  <si>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</si>
  <si>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</si>
  <si>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</si>
  <si>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36117</t>
  </si>
  <si>
    <t>36127</t>
  </si>
  <si>
    <t>36131</t>
  </si>
  <si>
    <t>36132</t>
  </si>
  <si>
    <t>36132/CO</t>
  </si>
  <si>
    <t>36133</t>
  </si>
  <si>
    <t>36134</t>
  </si>
  <si>
    <t>36136</t>
  </si>
  <si>
    <t>36137</t>
  </si>
  <si>
    <t>36138</t>
  </si>
  <si>
    <t>36139</t>
  </si>
  <si>
    <t>36159</t>
  </si>
  <si>
    <t>36160</t>
  </si>
  <si>
    <t>36161</t>
  </si>
  <si>
    <t>36173</t>
  </si>
  <si>
    <t>36174</t>
  </si>
  <si>
    <t>36175</t>
  </si>
  <si>
    <t>36176</t>
  </si>
  <si>
    <t>36177</t>
  </si>
  <si>
    <t>36178</t>
  </si>
  <si>
    <t>36181</t>
  </si>
  <si>
    <t>36193</t>
  </si>
  <si>
    <t>36194</t>
  </si>
  <si>
    <t>36195</t>
  </si>
  <si>
    <t>36196</t>
  </si>
  <si>
    <t>36197</t>
  </si>
  <si>
    <t>36198</t>
  </si>
  <si>
    <t>36199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</si>
  <si>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</si>
  <si>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</si>
  <si>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</si>
  <si>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</si>
  <si>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</si>
  <si>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</si>
  <si>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</si>
  <si>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</si>
  <si>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</si>
  <si>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</si>
  <si>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</si>
  <si>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</si>
  <si>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</si>
  <si>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</si>
  <si>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</si>
  <si>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</si>
  <si>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</si>
  <si>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</si>
  <si>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</si>
  <si>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</si>
  <si>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</si>
  <si>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</si>
  <si>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</si>
  <si>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</si>
  <si>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</si>
  <si>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</si>
  <si>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</si>
  <si>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</si>
  <si>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</si>
  <si>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</si>
  <si>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36232</t>
  </si>
  <si>
    <t>36235</t>
  </si>
  <si>
    <t>36240</t>
  </si>
  <si>
    <t>36243</t>
  </si>
  <si>
    <t>36245</t>
  </si>
  <si>
    <t>36247</t>
  </si>
  <si>
    <t>36248</t>
  </si>
  <si>
    <t>36249</t>
  </si>
  <si>
    <t>36250</t>
  </si>
  <si>
    <t>36255</t>
  </si>
  <si>
    <t>36256</t>
  </si>
  <si>
    <t>36257</t>
  </si>
  <si>
    <t>36260</t>
  </si>
  <si>
    <t>36261</t>
  </si>
  <si>
    <t>36261/CO</t>
  </si>
  <si>
    <t>36274</t>
  </si>
  <si>
    <t>36275</t>
  </si>
  <si>
    <t>36279</t>
  </si>
  <si>
    <t>36299</t>
  </si>
  <si>
    <t>36301</t>
  </si>
  <si>
    <t>36304</t>
  </si>
  <si>
    <t>36305</t>
  </si>
  <si>
    <t>36307</t>
  </si>
  <si>
    <t>36310</t>
  </si>
  <si>
    <t>36311</t>
  </si>
  <si>
    <t>36313</t>
  </si>
  <si>
    <t>36317</t>
  </si>
  <si>
    <t>36320</t>
  </si>
  <si>
    <t>36325</t>
  </si>
  <si>
    <t>36326</t>
  </si>
  <si>
    <t>36328</t>
  </si>
  <si>
    <t>36329</t>
  </si>
  <si>
    <t>36330</t>
  </si>
  <si>
    <t>36331</t>
  </si>
  <si>
    <t>36332</t>
  </si>
  <si>
    <t>36333</t>
  </si>
  <si>
    <t>36334</t>
  </si>
  <si>
    <t>36335</t>
  </si>
  <si>
    <t>36336</t>
  </si>
  <si>
    <t>36337</t>
  </si>
  <si>
    <t>36338</t>
  </si>
  <si>
    <t>36341</t>
  </si>
  <si>
    <t>36344</t>
  </si>
  <si>
    <t>36345</t>
  </si>
  <si>
    <t>36346</t>
  </si>
  <si>
    <t>36347</t>
  </si>
  <si>
    <t>36348</t>
  </si>
  <si>
    <t>36349</t>
  </si>
  <si>
    <t>36350</t>
  </si>
  <si>
    <t>36351</t>
  </si>
  <si>
    <t>36352</t>
  </si>
  <si>
    <t>36353</t>
  </si>
  <si>
    <t>36354</t>
  </si>
  <si>
    <t>36360</t>
  </si>
  <si>
    <t>36361</t>
  </si>
  <si>
    <t>36363</t>
  </si>
  <si>
    <t>36372</t>
  </si>
  <si>
    <t>36373</t>
  </si>
  <si>
    <t>36374</t>
  </si>
  <si>
    <t>36375</t>
  </si>
  <si>
    <t>36377</t>
  </si>
  <si>
    <t>36378</t>
  </si>
  <si>
    <t>36379</t>
  </si>
  <si>
    <t>36380</t>
  </si>
  <si>
    <t>36381</t>
  </si>
  <si>
    <t>36382</t>
  </si>
  <si>
    <t>36383</t>
  </si>
  <si>
    <t>36384</t>
  </si>
  <si>
    <t>36385</t>
  </si>
  <si>
    <t>36386</t>
  </si>
  <si>
    <t>36387</t>
  </si>
  <si>
    <t>36388</t>
  </si>
  <si>
    <t>36389</t>
  </si>
  <si>
    <t>36390</t>
  </si>
  <si>
    <t>36391</t>
  </si>
  <si>
    <t>36392</t>
  </si>
  <si>
    <t>36393</t>
  </si>
  <si>
    <t>36394</t>
  </si>
  <si>
    <t>36395</t>
  </si>
  <si>
    <t>36396</t>
  </si>
  <si>
    <t>36397</t>
  </si>
  <si>
    <t>36398</t>
  </si>
  <si>
    <t>36399</t>
  </si>
  <si>
    <t>36400</t>
  </si>
  <si>
    <t>36401</t>
  </si>
  <si>
    <t>36402</t>
  </si>
  <si>
    <t>36403</t>
  </si>
  <si>
    <t>36404</t>
  </si>
  <si>
    <t>36405</t>
  </si>
  <si>
    <t>36406</t>
  </si>
  <si>
    <t>36407</t>
  </si>
  <si>
    <t>36408</t>
  </si>
  <si>
    <t>36409</t>
  </si>
  <si>
    <t>36410</t>
  </si>
  <si>
    <t>36411</t>
  </si>
  <si>
    <t>36412</t>
  </si>
  <si>
    <t>36413</t>
  </si>
  <si>
    <t>36414</t>
  </si>
  <si>
    <t>36416</t>
  </si>
  <si>
    <t>36417</t>
  </si>
  <si>
    <t>36418</t>
  </si>
  <si>
    <t>36419</t>
  </si>
  <si>
    <t>36420</t>
  </si>
  <si>
    <t>36421</t>
  </si>
  <si>
    <t>36422</t>
  </si>
  <si>
    <t>36423</t>
  </si>
  <si>
    <t>36424</t>
  </si>
  <si>
    <t>36425</t>
  </si>
  <si>
    <t>36426</t>
  </si>
  <si>
    <t>36427</t>
  </si>
  <si>
    <t>36428</t>
  </si>
  <si>
    <t>36429</t>
  </si>
  <si>
    <t>36430</t>
  </si>
  <si>
    <t>36431</t>
  </si>
  <si>
    <t>36432</t>
  </si>
  <si>
    <t>36433</t>
  </si>
  <si>
    <t>36435</t>
  </si>
  <si>
    <t>36436</t>
  </si>
  <si>
    <t>36437</t>
  </si>
  <si>
    <t>36438</t>
  </si>
  <si>
    <t>36439</t>
  </si>
  <si>
    <t>36440</t>
  </si>
  <si>
    <t>36441</t>
  </si>
  <si>
    <t>36442</t>
  </si>
  <si>
    <t>36443</t>
  </si>
  <si>
    <t>36444</t>
  </si>
  <si>
    <t>36445</t>
  </si>
  <si>
    <t>36446</t>
  </si>
  <si>
    <t>36447</t>
  </si>
  <si>
    <t>36448</t>
  </si>
  <si>
    <t>36449</t>
  </si>
  <si>
    <t>36450</t>
  </si>
  <si>
    <t>36451</t>
  </si>
  <si>
    <t>36452</t>
  </si>
  <si>
    <t>36453</t>
  </si>
  <si>
    <t>36454</t>
  </si>
  <si>
    <t>36455</t>
  </si>
  <si>
    <t>36456</t>
  </si>
  <si>
    <t>36457</t>
  </si>
  <si>
    <t>36458</t>
  </si>
  <si>
    <t>36459</t>
  </si>
  <si>
    <t>36460</t>
  </si>
  <si>
    <t>36461</t>
  </si>
  <si>
    <t>36462</t>
  </si>
  <si>
    <t>36463</t>
  </si>
  <si>
    <t>36464</t>
  </si>
  <si>
    <t>36465</t>
  </si>
  <si>
    <t>36466</t>
  </si>
  <si>
    <t>36467</t>
  </si>
  <si>
    <t>36468</t>
  </si>
  <si>
    <t>36469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</si>
  <si>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</si>
  <si>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</si>
  <si>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</si>
  <si>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</si>
  <si>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</si>
  <si>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</si>
  <si>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</si>
  <si>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</si>
  <si>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36478</t>
  </si>
  <si>
    <t>36479</t>
  </si>
  <si>
    <t>36480</t>
  </si>
  <si>
    <t>36481</t>
  </si>
  <si>
    <t>36483</t>
  </si>
  <si>
    <t>36487</t>
  </si>
  <si>
    <t>36488</t>
  </si>
  <si>
    <t>36489</t>
  </si>
  <si>
    <t>36496</t>
  </si>
  <si>
    <t>36497</t>
  </si>
  <si>
    <t>36498</t>
  </si>
  <si>
    <t>36499</t>
  </si>
  <si>
    <t>36500</t>
  </si>
  <si>
    <t>36501</t>
  </si>
  <si>
    <t>36502</t>
  </si>
  <si>
    <t>36503</t>
  </si>
  <si>
    <t>36504</t>
  </si>
  <si>
    <t>36505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</si>
  <si>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</si>
  <si>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</si>
  <si>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</si>
  <si>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</si>
  <si>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</si>
  <si>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</si>
  <si>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</si>
  <si>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</si>
  <si>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</si>
  <si>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</si>
  <si>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</si>
  <si>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</si>
  <si>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36521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</si>
  <si>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</si>
  <si>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</si>
  <si>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</si>
  <si>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</si>
  <si>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</si>
  <si>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</si>
  <si>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</si>
  <si>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</si>
  <si>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36531</t>
  </si>
  <si>
    <t>36532</t>
  </si>
  <si>
    <t>36533</t>
  </si>
  <si>
    <t>36534</t>
  </si>
  <si>
    <t>36535</t>
  </si>
  <si>
    <t>36536</t>
  </si>
  <si>
    <t>36537</t>
  </si>
  <si>
    <t>36538</t>
  </si>
  <si>
    <t>36539</t>
  </si>
  <si>
    <t>36540</t>
  </si>
  <si>
    <t>36541</t>
  </si>
  <si>
    <t>36542</t>
  </si>
  <si>
    <t>36543</t>
  </si>
  <si>
    <t>36544</t>
  </si>
  <si>
    <t>36545</t>
  </si>
  <si>
    <t>36546</t>
  </si>
  <si>
    <t>36547</t>
  </si>
  <si>
    <t>36548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</si>
  <si>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</si>
  <si>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</si>
  <si>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</si>
  <si>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</si>
  <si>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</si>
  <si>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</si>
  <si>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</si>
  <si>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</si>
  <si>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36557</t>
  </si>
  <si>
    <t>36558</t>
  </si>
  <si>
    <t>36559</t>
  </si>
  <si>
    <t>36560</t>
  </si>
  <si>
    <t>36561</t>
  </si>
  <si>
    <t>36562</t>
  </si>
  <si>
    <t>36563</t>
  </si>
  <si>
    <t>36564</t>
  </si>
  <si>
    <t>36565</t>
  </si>
  <si>
    <t>36566</t>
  </si>
  <si>
    <t>36567</t>
  </si>
  <si>
    <t>36568</t>
  </si>
  <si>
    <t>36569</t>
  </si>
  <si>
    <t>36570</t>
  </si>
  <si>
    <t>36571</t>
  </si>
  <si>
    <t>36572</t>
  </si>
  <si>
    <t>36573</t>
  </si>
  <si>
    <t>36574</t>
  </si>
  <si>
    <t>36575</t>
  </si>
  <si>
    <t>36576</t>
  </si>
  <si>
    <t>36582</t>
  </si>
  <si>
    <t>36585</t>
  </si>
  <si>
    <t>36586</t>
  </si>
  <si>
    <t>36587</t>
  </si>
  <si>
    <t>36588</t>
  </si>
  <si>
    <t>36589</t>
  </si>
  <si>
    <t>36590</t>
  </si>
  <si>
    <t>36591</t>
  </si>
  <si>
    <t>36596</t>
  </si>
  <si>
    <t>36597</t>
  </si>
  <si>
    <t>36600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</si>
  <si>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</si>
  <si>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</si>
  <si>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</si>
  <si>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</si>
  <si>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</si>
  <si>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</si>
  <si>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</si>
  <si>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</si>
  <si>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</si>
  <si>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</si>
  <si>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36612</t>
  </si>
  <si>
    <t>36613</t>
  </si>
  <si>
    <t>36616</t>
  </si>
  <si>
    <t>36617</t>
  </si>
  <si>
    <t>36620</t>
  </si>
  <si>
    <t>36621</t>
  </si>
  <si>
    <t>36622</t>
  </si>
  <si>
    <t>36623</t>
  </si>
  <si>
    <t>36624</t>
  </si>
  <si>
    <t>36626</t>
  </si>
  <si>
    <t>36627</t>
  </si>
  <si>
    <t>36628</t>
  </si>
  <si>
    <t>36629</t>
  </si>
  <si>
    <t>36630</t>
  </si>
  <si>
    <t>36631</t>
  </si>
  <si>
    <t>36632</t>
  </si>
  <si>
    <t>36634</t>
  </si>
  <si>
    <t>36640</t>
  </si>
  <si>
    <t>36647</t>
  </si>
  <si>
    <t>36648</t>
  </si>
  <si>
    <t>36649</t>
  </si>
  <si>
    <t>36650</t>
  </si>
  <si>
    <t>36651</t>
  </si>
  <si>
    <t>36656</t>
  </si>
  <si>
    <t>36657</t>
  </si>
  <si>
    <t>36658</t>
  </si>
  <si>
    <t>36659</t>
  </si>
  <si>
    <t>36660</t>
  </si>
  <si>
    <t>36662</t>
  </si>
  <si>
    <t>36663</t>
  </si>
  <si>
    <t>36665</t>
  </si>
  <si>
    <t>36666</t>
  </si>
  <si>
    <t>36668</t>
  </si>
  <si>
    <t>36669</t>
  </si>
  <si>
    <t>36670</t>
  </si>
  <si>
    <t>36671</t>
  </si>
  <si>
    <t>36672</t>
  </si>
  <si>
    <t>36673</t>
  </si>
  <si>
    <t>36674</t>
  </si>
  <si>
    <t>36675</t>
  </si>
  <si>
    <t>36676</t>
  </si>
  <si>
    <t>36677</t>
  </si>
  <si>
    <t>36678</t>
  </si>
  <si>
    <t>36679</t>
  </si>
  <si>
    <t>36680</t>
  </si>
  <si>
    <t>36681</t>
  </si>
  <si>
    <t>36705</t>
  </si>
  <si>
    <t>36706</t>
  </si>
  <si>
    <t>36707</t>
  </si>
  <si>
    <t>36708</t>
  </si>
  <si>
    <t>36710</t>
  </si>
  <si>
    <t>36711</t>
  </si>
  <si>
    <t>36712</t>
  </si>
  <si>
    <t>36713</t>
  </si>
  <si>
    <t>36714</t>
  </si>
  <si>
    <t>36719</t>
  </si>
  <si>
    <t>36721</t>
  </si>
  <si>
    <t>36722</t>
  </si>
  <si>
    <t>36723</t>
  </si>
  <si>
    <t>36726</t>
  </si>
  <si>
    <t>36728</t>
  </si>
  <si>
    <t>36733</t>
  </si>
  <si>
    <t>36734</t>
  </si>
  <si>
    <t>36735</t>
  </si>
  <si>
    <t>36736</t>
  </si>
  <si>
    <t>36737</t>
  </si>
  <si>
    <t>36738</t>
  </si>
  <si>
    <t>36739</t>
  </si>
  <si>
    <t>36740</t>
  </si>
  <si>
    <t>36741</t>
  </si>
  <si>
    <t>36742</t>
  </si>
  <si>
    <t>36743</t>
  </si>
  <si>
    <t>36744</t>
  </si>
  <si>
    <t>36747</t>
  </si>
  <si>
    <t>36748</t>
  </si>
  <si>
    <t>36791</t>
  </si>
  <si>
    <t>36793</t>
  </si>
  <si>
    <t>36794</t>
  </si>
  <si>
    <t>36795</t>
  </si>
  <si>
    <t>36798</t>
  </si>
  <si>
    <t>36799</t>
  </si>
  <si>
    <t>36800</t>
  </si>
  <si>
    <t>36801</t>
  </si>
  <si>
    <t>36802</t>
  </si>
  <si>
    <t>36803</t>
  </si>
  <si>
    <t>36804</t>
  </si>
  <si>
    <t>36805</t>
  </si>
  <si>
    <t>36811</t>
  </si>
  <si>
    <t>36812</t>
  </si>
  <si>
    <t>36813</t>
  </si>
  <si>
    <t>36814</t>
  </si>
  <si>
    <t>36815</t>
  </si>
  <si>
    <t>36818</t>
  </si>
  <si>
    <t>36819</t>
  </si>
  <si>
    <t>36820</t>
  </si>
  <si>
    <t>36821</t>
  </si>
  <si>
    <t>36822</t>
  </si>
  <si>
    <t>36823</t>
  </si>
  <si>
    <t>36824</t>
  </si>
  <si>
    <t>36825</t>
  </si>
  <si>
    <t>36826</t>
  </si>
  <si>
    <t>36827</t>
  </si>
  <si>
    <t>36828</t>
  </si>
  <si>
    <t>36829</t>
  </si>
  <si>
    <t>36831</t>
  </si>
  <si>
    <t>36832</t>
  </si>
  <si>
    <t>36833</t>
  </si>
  <si>
    <t>36835</t>
  </si>
  <si>
    <t>36836</t>
  </si>
  <si>
    <t>36837</t>
  </si>
  <si>
    <t>36838</t>
  </si>
  <si>
    <t>36839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</si>
  <si>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</si>
  <si>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</si>
  <si>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</si>
  <si>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</si>
  <si>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</si>
  <si>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</si>
  <si>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</si>
  <si>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</si>
  <si>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36848</t>
  </si>
  <si>
    <t>36849</t>
  </si>
  <si>
    <t>36850</t>
  </si>
  <si>
    <t>36857</t>
  </si>
  <si>
    <t>36858</t>
  </si>
  <si>
    <t>36860</t>
  </si>
  <si>
    <t>36861</t>
  </si>
  <si>
    <t>36862</t>
  </si>
  <si>
    <t>36863</t>
  </si>
  <si>
    <t>36902</t>
  </si>
  <si>
    <t>36905</t>
  </si>
  <si>
    <t>36906</t>
  </si>
  <si>
    <t>36907</t>
  </si>
  <si>
    <t>36909</t>
  </si>
  <si>
    <t>36921</t>
  </si>
  <si>
    <t>36921/A</t>
  </si>
  <si>
    <t>36921/B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</si>
  <si>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</si>
  <si>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</si>
  <si>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</si>
  <si>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</si>
  <si>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</si>
  <si>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</si>
  <si>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</si>
  <si>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</si>
  <si>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</si>
  <si>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</si>
  <si>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</si>
  <si>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</si>
  <si>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</si>
  <si>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</si>
  <si>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</si>
  <si>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</si>
  <si>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36938</t>
  </si>
  <si>
    <t>36939</t>
  </si>
  <si>
    <t>36940</t>
  </si>
  <si>
    <t>36941</t>
  </si>
  <si>
    <t>36942</t>
  </si>
  <si>
    <t>36943</t>
  </si>
  <si>
    <t>36944</t>
  </si>
  <si>
    <t>36975</t>
  </si>
  <si>
    <t>36983</t>
  </si>
  <si>
    <t>36985</t>
  </si>
  <si>
    <t>36986</t>
  </si>
  <si>
    <t>36987</t>
  </si>
  <si>
    <t>36991</t>
  </si>
  <si>
    <t>36992</t>
  </si>
  <si>
    <t>36993</t>
  </si>
  <si>
    <t>36994</t>
  </si>
  <si>
    <t>37000</t>
  </si>
  <si>
    <t>37003</t>
  </si>
  <si>
    <t>37004</t>
  </si>
  <si>
    <t>37005</t>
  </si>
  <si>
    <t>37006</t>
  </si>
  <si>
    <t>37007</t>
  </si>
  <si>
    <t>37008</t>
  </si>
  <si>
    <t>37018</t>
  </si>
  <si>
    <t>37025</t>
  </si>
  <si>
    <t>37028</t>
  </si>
  <si>
    <t>37029</t>
  </si>
  <si>
    <t>37032</t>
  </si>
  <si>
    <t>37033</t>
  </si>
  <si>
    <t>37034</t>
  </si>
  <si>
    <t>37037</t>
  </si>
  <si>
    <t>37038</t>
  </si>
  <si>
    <t>37039</t>
  </si>
  <si>
    <t>37040</t>
  </si>
  <si>
    <t>37041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</si>
  <si>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</si>
  <si>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</si>
  <si>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</si>
  <si>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</si>
  <si>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</si>
  <si>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</si>
  <si>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</si>
  <si>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</si>
  <si>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</si>
  <si>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37055</t>
  </si>
  <si>
    <t>37056</t>
  </si>
  <si>
    <t>37057</t>
  </si>
  <si>
    <t>37058</t>
  </si>
  <si>
    <t>37067</t>
  </si>
  <si>
    <t>37094</t>
  </si>
  <si>
    <t>37096</t>
  </si>
  <si>
    <t>37098</t>
  </si>
  <si>
    <t>37099</t>
  </si>
  <si>
    <t>37102</t>
  </si>
  <si>
    <t>37103</t>
  </si>
  <si>
    <t>37104</t>
  </si>
  <si>
    <t>37105</t>
  </si>
  <si>
    <t>37106</t>
  </si>
  <si>
    <t>37107</t>
  </si>
  <si>
    <t>37108</t>
  </si>
  <si>
    <t>37113</t>
  </si>
  <si>
    <t>37114</t>
  </si>
  <si>
    <t>37116</t>
  </si>
  <si>
    <t>37117</t>
  </si>
  <si>
    <t>37118</t>
  </si>
  <si>
    <t>37119</t>
  </si>
  <si>
    <t>37120</t>
  </si>
  <si>
    <t>37121</t>
  </si>
  <si>
    <t>37125</t>
  </si>
  <si>
    <t>37126</t>
  </si>
  <si>
    <t>37127</t>
  </si>
  <si>
    <t>37130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</si>
  <si>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</si>
  <si>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</si>
  <si>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</si>
  <si>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</si>
  <si>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</si>
  <si>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</si>
  <si>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</si>
  <si>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</si>
  <si>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</si>
  <si>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</si>
  <si>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</si>
  <si>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</si>
  <si>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</si>
  <si>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</si>
  <si>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</si>
  <si>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</si>
  <si>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37166</t>
  </si>
  <si>
    <t>37167</t>
  </si>
  <si>
    <t>37169</t>
  </si>
  <si>
    <t>37170</t>
  </si>
  <si>
    <t>37175</t>
  </si>
  <si>
    <t>37176</t>
  </si>
  <si>
    <t>37177</t>
  </si>
  <si>
    <t>37178</t>
  </si>
  <si>
    <t>37180</t>
  </si>
  <si>
    <t>37183</t>
  </si>
  <si>
    <t>37184</t>
  </si>
  <si>
    <t>37185</t>
  </si>
  <si>
    <t>37186</t>
  </si>
  <si>
    <t>37196</t>
  </si>
  <si>
    <t>37197</t>
  </si>
  <si>
    <t>37201</t>
  </si>
  <si>
    <t>37202</t>
  </si>
  <si>
    <t>37206</t>
  </si>
  <si>
    <t>37207</t>
  </si>
  <si>
    <t>37208</t>
  </si>
  <si>
    <t>37209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</si>
  <si>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</si>
  <si>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</si>
  <si>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</si>
  <si>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</si>
  <si>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</si>
  <si>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</si>
  <si>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</si>
  <si>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</si>
  <si>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37224</t>
  </si>
  <si>
    <t>37225</t>
  </si>
  <si>
    <t>37232</t>
  </si>
  <si>
    <t>37233</t>
  </si>
  <si>
    <t>37234</t>
  </si>
  <si>
    <t>37235</t>
  </si>
  <si>
    <t>37236</t>
  </si>
  <si>
    <t>37238</t>
  </si>
  <si>
    <t>37239</t>
  </si>
  <si>
    <t>37241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</si>
  <si>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</si>
  <si>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</si>
  <si>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</si>
  <si>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</si>
  <si>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</si>
  <si>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</si>
  <si>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</si>
  <si>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</si>
  <si>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37255</t>
  </si>
  <si>
    <t>37280</t>
  </si>
  <si>
    <t>37281</t>
  </si>
  <si>
    <t>37282</t>
  </si>
  <si>
    <t>37285</t>
  </si>
  <si>
    <t>37286</t>
  </si>
  <si>
    <t>37288</t>
  </si>
  <si>
    <t>37289</t>
  </si>
  <si>
    <t>37290</t>
  </si>
  <si>
    <t>37291</t>
  </si>
  <si>
    <t>37292</t>
  </si>
  <si>
    <t>37293</t>
  </si>
  <si>
    <t>37294</t>
  </si>
  <si>
    <t>37295</t>
  </si>
  <si>
    <t>37296</t>
  </si>
  <si>
    <t>37297</t>
  </si>
  <si>
    <t>37298</t>
  </si>
  <si>
    <t>37299</t>
  </si>
  <si>
    <t>37300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</si>
  <si>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</si>
  <si>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</si>
  <si>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</si>
  <si>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</si>
  <si>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</si>
  <si>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</si>
  <si>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</si>
  <si>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</si>
  <si>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</si>
  <si>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</si>
  <si>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</si>
  <si>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</si>
  <si>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37319</t>
  </si>
  <si>
    <t>37320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</si>
  <si>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</si>
  <si>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</si>
  <si>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</si>
  <si>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</si>
  <si>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</si>
  <si>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</si>
  <si>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</si>
  <si>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</si>
  <si>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</si>
  <si>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</si>
  <si>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</si>
  <si>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</si>
  <si>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</si>
  <si>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</si>
  <si>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37340</t>
  </si>
  <si>
    <t>37341</t>
  </si>
  <si>
    <t>37342</t>
  </si>
  <si>
    <t>37343</t>
  </si>
  <si>
    <t>37344</t>
  </si>
  <si>
    <t>37345</t>
  </si>
  <si>
    <t>37346</t>
  </si>
  <si>
    <t>37348</t>
  </si>
  <si>
    <t>37349</t>
  </si>
  <si>
    <t>37350</t>
  </si>
  <si>
    <t>37354</t>
  </si>
  <si>
    <t>37355</t>
  </si>
  <si>
    <t>37356</t>
  </si>
  <si>
    <t>37357</t>
  </si>
  <si>
    <t>37359</t>
  </si>
  <si>
    <t>37360</t>
  </si>
  <si>
    <t>37361</t>
  </si>
  <si>
    <t>37362</t>
  </si>
  <si>
    <t>37364</t>
  </si>
  <si>
    <t>37371</t>
  </si>
  <si>
    <t>37372</t>
  </si>
  <si>
    <t>37375</t>
  </si>
  <si>
    <t>37377</t>
  </si>
  <si>
    <t>37378</t>
  </si>
  <si>
    <t>37379</t>
  </si>
  <si>
    <t>37380</t>
  </si>
  <si>
    <t>37382</t>
  </si>
  <si>
    <t>37383</t>
  </si>
  <si>
    <t>37384</t>
  </si>
  <si>
    <t>37385</t>
  </si>
  <si>
    <t>37386</t>
  </si>
  <si>
    <t>37387</t>
  </si>
  <si>
    <t>37391</t>
  </si>
  <si>
    <t>37392</t>
  </si>
  <si>
    <t>37393</t>
  </si>
  <si>
    <t>37394</t>
  </si>
  <si>
    <t>37397</t>
  </si>
  <si>
    <t>37398</t>
  </si>
  <si>
    <t>37400</t>
  </si>
  <si>
    <t>37401</t>
  </si>
  <si>
    <t>37402</t>
  </si>
  <si>
    <t>37403</t>
  </si>
  <si>
    <t>37406</t>
  </si>
  <si>
    <t>37415</t>
  </si>
  <si>
    <t>37418</t>
  </si>
  <si>
    <t>37420</t>
  </si>
  <si>
    <t>37422</t>
  </si>
  <si>
    <t>37423</t>
  </si>
  <si>
    <t>37424</t>
  </si>
  <si>
    <t>37425</t>
  </si>
  <si>
    <t>37426</t>
  </si>
  <si>
    <t>37427</t>
  </si>
  <si>
    <t>37428</t>
  </si>
  <si>
    <t>37430</t>
  </si>
  <si>
    <t>37431</t>
  </si>
  <si>
    <t>37432</t>
  </si>
  <si>
    <t>37444</t>
  </si>
  <si>
    <t>37445</t>
  </si>
  <si>
    <t>37447</t>
  </si>
  <si>
    <t>37448</t>
  </si>
  <si>
    <t>37449</t>
  </si>
  <si>
    <t>37450</t>
  </si>
  <si>
    <t>37451</t>
  </si>
  <si>
    <t>37452</t>
  </si>
  <si>
    <t>37453</t>
  </si>
  <si>
    <t>37454</t>
  </si>
  <si>
    <t>37455</t>
  </si>
  <si>
    <t>37456</t>
  </si>
  <si>
    <t>37457</t>
  </si>
  <si>
    <t>37458</t>
  </si>
  <si>
    <t>37459</t>
  </si>
  <si>
    <t>37460</t>
  </si>
  <si>
    <t>37461</t>
  </si>
  <si>
    <t>37462</t>
  </si>
  <si>
    <t>37463</t>
  </si>
  <si>
    <t>37464</t>
  </si>
  <si>
    <t>37465</t>
  </si>
  <si>
    <t>37466</t>
  </si>
  <si>
    <t>37467</t>
  </si>
  <si>
    <t>37468</t>
  </si>
  <si>
    <t>37469</t>
  </si>
  <si>
    <t>37470</t>
  </si>
  <si>
    <t>37471</t>
  </si>
  <si>
    <t>37472</t>
  </si>
  <si>
    <t>37473</t>
  </si>
  <si>
    <t>37474</t>
  </si>
  <si>
    <t>37475</t>
  </si>
  <si>
    <t>37476</t>
  </si>
  <si>
    <t>37477</t>
  </si>
  <si>
    <t>37483</t>
  </si>
  <si>
    <t>37484</t>
  </si>
  <si>
    <t>37486</t>
  </si>
  <si>
    <t>37486A</t>
  </si>
  <si>
    <t>37486A/CO</t>
  </si>
  <si>
    <t>37487</t>
  </si>
  <si>
    <t>37488</t>
  </si>
  <si>
    <t>37490</t>
  </si>
  <si>
    <t>37491</t>
  </si>
  <si>
    <t>37492</t>
  </si>
  <si>
    <t>37493</t>
  </si>
  <si>
    <t>37494</t>
  </si>
  <si>
    <t>37495</t>
  </si>
  <si>
    <t>37499</t>
  </si>
  <si>
    <t>37501</t>
  </si>
  <si>
    <t>37502</t>
  </si>
  <si>
    <t>37503</t>
  </si>
  <si>
    <t>37504</t>
  </si>
  <si>
    <t>37505</t>
  </si>
  <si>
    <t>37506</t>
  </si>
  <si>
    <t>37507</t>
  </si>
  <si>
    <t>37508</t>
  </si>
  <si>
    <t>37509</t>
  </si>
  <si>
    <t>37510</t>
  </si>
  <si>
    <t>37511</t>
  </si>
  <si>
    <t>37512</t>
  </si>
  <si>
    <t>37513</t>
  </si>
  <si>
    <t>37514</t>
  </si>
  <si>
    <t>37515</t>
  </si>
  <si>
    <t>37516</t>
  </si>
  <si>
    <t>37517</t>
  </si>
  <si>
    <t>37518</t>
  </si>
  <si>
    <t>37519</t>
  </si>
  <si>
    <t>37521</t>
  </si>
  <si>
    <t>37522</t>
  </si>
  <si>
    <t>37523</t>
  </si>
  <si>
    <t>37524</t>
  </si>
  <si>
    <t>37525</t>
  </si>
  <si>
    <t>37527</t>
  </si>
  <si>
    <t>37528</t>
  </si>
  <si>
    <t>37529</t>
  </si>
  <si>
    <t>37530</t>
  </si>
  <si>
    <t>37531</t>
  </si>
  <si>
    <t>37532</t>
  </si>
  <si>
    <t>37533</t>
  </si>
  <si>
    <t>37544</t>
  </si>
  <si>
    <t>37545</t>
  </si>
  <si>
    <t>37546</t>
  </si>
  <si>
    <t>37547</t>
  </si>
  <si>
    <t>37548</t>
  </si>
  <si>
    <t>37552</t>
  </si>
  <si>
    <t>37553</t>
  </si>
  <si>
    <t>37554</t>
  </si>
  <si>
    <t>37555</t>
  </si>
  <si>
    <t>37556</t>
  </si>
  <si>
    <t>37557</t>
  </si>
  <si>
    <t>37558</t>
  </si>
  <si>
    <t>37559</t>
  </si>
  <si>
    <t>37562</t>
  </si>
  <si>
    <t>37565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</si>
  <si>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</si>
  <si>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</si>
  <si>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</si>
  <si>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</si>
  <si>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</si>
  <si>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</si>
  <si>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</si>
  <si>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</si>
  <si>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37589</t>
  </si>
  <si>
    <t>37590</t>
  </si>
  <si>
    <t>37591</t>
  </si>
  <si>
    <t>37592</t>
  </si>
  <si>
    <t>37593</t>
  </si>
  <si>
    <t>37596</t>
  </si>
  <si>
    <t>37597</t>
  </si>
  <si>
    <t>37598</t>
  </si>
  <si>
    <t>37599</t>
  </si>
  <si>
    <t>37600</t>
  </si>
  <si>
    <t>37601</t>
  </si>
  <si>
    <t>37603</t>
  </si>
  <si>
    <t>37604</t>
  </si>
  <si>
    <t>37605</t>
  </si>
  <si>
    <t>37606</t>
  </si>
  <si>
    <t>37607</t>
  </si>
  <si>
    <t>37608</t>
  </si>
  <si>
    <t>37610</t>
  </si>
  <si>
    <t>37611</t>
  </si>
  <si>
    <t>37612</t>
  </si>
  <si>
    <t>37616</t>
  </si>
  <si>
    <t>37617</t>
  </si>
  <si>
    <t>37618</t>
  </si>
  <si>
    <t>37619</t>
  </si>
  <si>
    <t>37620</t>
  </si>
  <si>
    <t>37622</t>
  </si>
  <si>
    <t>37623</t>
  </si>
  <si>
    <t>37624</t>
  </si>
  <si>
    <t>37625</t>
  </si>
  <si>
    <t>37626</t>
  </si>
  <si>
    <t>37627</t>
  </si>
  <si>
    <t>37628</t>
  </si>
  <si>
    <t>37629</t>
  </si>
  <si>
    <t>37632</t>
  </si>
  <si>
    <t>37633</t>
  </si>
  <si>
    <t>37634</t>
  </si>
  <si>
    <t>37637</t>
  </si>
  <si>
    <t>37638</t>
  </si>
  <si>
    <t>37640</t>
  </si>
  <si>
    <t>37641</t>
  </si>
  <si>
    <t>37642</t>
  </si>
  <si>
    <t>37643</t>
  </si>
  <si>
    <t>37644</t>
  </si>
  <si>
    <t>37645</t>
  </si>
  <si>
    <t>37647</t>
  </si>
  <si>
    <t>37648</t>
  </si>
  <si>
    <t>37650</t>
  </si>
  <si>
    <t>37651</t>
  </si>
  <si>
    <t>37652</t>
  </si>
  <si>
    <t>37653</t>
  </si>
  <si>
    <t>37654</t>
  </si>
  <si>
    <t>37655</t>
  </si>
  <si>
    <t>37656</t>
  </si>
  <si>
    <t>37657</t>
  </si>
  <si>
    <t>37658</t>
  </si>
  <si>
    <t>37659</t>
  </si>
  <si>
    <t>37660</t>
  </si>
  <si>
    <t>37661</t>
  </si>
  <si>
    <t>37662</t>
  </si>
  <si>
    <t>37663</t>
  </si>
  <si>
    <t>37664</t>
  </si>
  <si>
    <t>37665</t>
  </si>
  <si>
    <t>37666</t>
  </si>
  <si>
    <t>37667</t>
  </si>
  <si>
    <t>37668</t>
  </si>
  <si>
    <t>37669</t>
  </si>
  <si>
    <t>37670</t>
  </si>
  <si>
    <t>37671</t>
  </si>
  <si>
    <t>37672</t>
  </si>
  <si>
    <t>37673</t>
  </si>
  <si>
    <t>37674</t>
  </si>
  <si>
    <t>37675</t>
  </si>
  <si>
    <t>37676</t>
  </si>
  <si>
    <t>37677</t>
  </si>
  <si>
    <t>37678</t>
  </si>
  <si>
    <t>37679</t>
  </si>
  <si>
    <t>37680</t>
  </si>
  <si>
    <t>37681</t>
  </si>
  <si>
    <t>37682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</si>
  <si>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</si>
  <si>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</si>
  <si>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</si>
  <si>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</si>
  <si>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</si>
  <si>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</si>
  <si>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</si>
  <si>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</si>
  <si>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37699</t>
  </si>
  <si>
    <t>37700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</si>
  <si>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</si>
  <si>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</si>
  <si>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</si>
  <si>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</si>
  <si>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</si>
  <si>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</si>
  <si>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</si>
  <si>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</si>
  <si>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</si>
  <si>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37711</t>
  </si>
  <si>
    <t>37716</t>
  </si>
  <si>
    <t>37717</t>
  </si>
  <si>
    <t>37718</t>
  </si>
  <si>
    <t>37719</t>
  </si>
  <si>
    <t>37720</t>
  </si>
  <si>
    <t>37721</t>
  </si>
  <si>
    <t>37722</t>
  </si>
  <si>
    <t>37723</t>
  </si>
  <si>
    <t>37725</t>
  </si>
  <si>
    <t>37727</t>
  </si>
  <si>
    <t>37727A</t>
  </si>
  <si>
    <t>37728</t>
  </si>
  <si>
    <t>37729</t>
  </si>
  <si>
    <t>37732</t>
  </si>
  <si>
    <t>37733</t>
  </si>
  <si>
    <t>37734</t>
  </si>
  <si>
    <t>37735</t>
  </si>
  <si>
    <t>37736</t>
  </si>
  <si>
    <t>37737</t>
  </si>
  <si>
    <t>37738</t>
  </si>
  <si>
    <t>37739</t>
  </si>
  <si>
    <t>37740</t>
  </si>
  <si>
    <t>37744</t>
  </si>
  <si>
    <t>37745</t>
  </si>
  <si>
    <t>37746</t>
  </si>
  <si>
    <t>37747</t>
  </si>
  <si>
    <t>37748</t>
  </si>
  <si>
    <t>37749</t>
  </si>
  <si>
    <t>37750</t>
  </si>
  <si>
    <t>37751</t>
  </si>
  <si>
    <t>37752</t>
  </si>
  <si>
    <t>37754</t>
  </si>
  <si>
    <t>37755</t>
  </si>
  <si>
    <t>37756</t>
  </si>
  <si>
    <t>37757</t>
  </si>
  <si>
    <t>37758</t>
  </si>
  <si>
    <t>37759</t>
  </si>
  <si>
    <t>37760</t>
  </si>
  <si>
    <t>37761</t>
  </si>
  <si>
    <t>37762</t>
  </si>
  <si>
    <t>37763</t>
  </si>
  <si>
    <t>37764</t>
  </si>
  <si>
    <t>37765</t>
  </si>
  <si>
    <t>37766</t>
  </si>
  <si>
    <t>37767</t>
  </si>
  <si>
    <t>37768</t>
  </si>
  <si>
    <t>37769</t>
  </si>
  <si>
    <t>37770</t>
  </si>
  <si>
    <t>37771</t>
  </si>
  <si>
    <t>37772</t>
  </si>
  <si>
    <t>37773</t>
  </si>
  <si>
    <t>37774</t>
  </si>
  <si>
    <t>37775</t>
  </si>
  <si>
    <t>37776</t>
  </si>
  <si>
    <t>37777</t>
  </si>
  <si>
    <t>37778</t>
  </si>
  <si>
    <t>37779</t>
  </si>
  <si>
    <t>37780</t>
  </si>
  <si>
    <t>37781</t>
  </si>
  <si>
    <t>37782</t>
  </si>
  <si>
    <t>37783</t>
  </si>
  <si>
    <t>37784</t>
  </si>
  <si>
    <t>37785</t>
  </si>
  <si>
    <t>37786</t>
  </si>
  <si>
    <t>37787</t>
  </si>
  <si>
    <t>37788</t>
  </si>
  <si>
    <t>37789</t>
  </si>
  <si>
    <t>37790</t>
  </si>
  <si>
    <t>37792</t>
  </si>
  <si>
    <t>37794</t>
  </si>
  <si>
    <t>37795</t>
  </si>
  <si>
    <t>37796</t>
  </si>
  <si>
    <t>37797</t>
  </si>
  <si>
    <t>37798</t>
  </si>
  <si>
    <t>37799</t>
  </si>
  <si>
    <t>37800</t>
  </si>
  <si>
    <t>37801</t>
  </si>
  <si>
    <t>37802</t>
  </si>
  <si>
    <t>37803</t>
  </si>
  <si>
    <t>37804</t>
  </si>
  <si>
    <t>37805</t>
  </si>
  <si>
    <t>37806</t>
  </si>
  <si>
    <t>37815</t>
  </si>
  <si>
    <t>37816</t>
  </si>
  <si>
    <t>37817</t>
  </si>
  <si>
    <t>37818</t>
  </si>
  <si>
    <t>37820</t>
  </si>
  <si>
    <t>37821</t>
  </si>
  <si>
    <t>37822</t>
  </si>
  <si>
    <t>37823</t>
  </si>
  <si>
    <t>37824</t>
  </si>
  <si>
    <t>37825</t>
  </si>
  <si>
    <t>37826</t>
  </si>
  <si>
    <t>37827</t>
  </si>
  <si>
    <t>37828</t>
  </si>
  <si>
    <t>37829</t>
  </si>
  <si>
    <t>37830</t>
  </si>
  <si>
    <t>37831</t>
  </si>
  <si>
    <t>37832</t>
  </si>
  <si>
    <t>37834</t>
  </si>
  <si>
    <t>37835</t>
  </si>
  <si>
    <t>37836</t>
  </si>
  <si>
    <t>37837</t>
  </si>
  <si>
    <t>37838</t>
  </si>
  <si>
    <t>37839</t>
  </si>
  <si>
    <t>37840</t>
  </si>
  <si>
    <t>37841</t>
  </si>
  <si>
    <t>37842</t>
  </si>
  <si>
    <t>37843</t>
  </si>
  <si>
    <t>37845</t>
  </si>
  <si>
    <t>37846</t>
  </si>
  <si>
    <t>37847</t>
  </si>
  <si>
    <t>37848</t>
  </si>
  <si>
    <t>37849</t>
  </si>
  <si>
    <t>37850</t>
  </si>
  <si>
    <t>37851</t>
  </si>
  <si>
    <t>37854</t>
  </si>
  <si>
    <t>37855</t>
  </si>
  <si>
    <t>37856</t>
  </si>
  <si>
    <t>37857</t>
  </si>
  <si>
    <t>37858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</si>
  <si>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</si>
  <si>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</si>
  <si>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</si>
  <si>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</si>
  <si>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</si>
  <si>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</si>
  <si>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</si>
  <si>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</si>
  <si>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</si>
  <si>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</si>
  <si>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</si>
  <si>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</si>
  <si>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</si>
  <si>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37895</t>
  </si>
  <si>
    <t>37896</t>
  </si>
  <si>
    <t>37897</t>
  </si>
  <si>
    <t>37898</t>
  </si>
  <si>
    <t>37899</t>
  </si>
  <si>
    <t>37900</t>
  </si>
  <si>
    <t>37901</t>
  </si>
  <si>
    <t>37902</t>
  </si>
  <si>
    <t>37903</t>
  </si>
  <si>
    <t>37904</t>
  </si>
  <si>
    <t>37904A</t>
  </si>
  <si>
    <t>37905</t>
  </si>
  <si>
    <t>37906</t>
  </si>
  <si>
    <t>37907</t>
  </si>
  <si>
    <t>37909</t>
  </si>
  <si>
    <t>37910</t>
  </si>
  <si>
    <t>37912</t>
  </si>
  <si>
    <t>37914</t>
  </si>
  <si>
    <t>37918</t>
  </si>
  <si>
    <t>37921</t>
  </si>
  <si>
    <t>37922</t>
  </si>
  <si>
    <t>37930</t>
  </si>
  <si>
    <t>37931</t>
  </si>
  <si>
    <t>37932</t>
  </si>
  <si>
    <t>37933</t>
  </si>
  <si>
    <t>37935</t>
  </si>
  <si>
    <t>37936</t>
  </si>
  <si>
    <t>37937</t>
  </si>
  <si>
    <t>37938</t>
  </si>
  <si>
    <t>37939</t>
  </si>
  <si>
    <t>37940</t>
  </si>
  <si>
    <t>37941</t>
  </si>
  <si>
    <t>37942</t>
  </si>
  <si>
    <t>37943</t>
  </si>
  <si>
    <t>37944</t>
  </si>
  <si>
    <t>37946</t>
  </si>
  <si>
    <t>37947</t>
  </si>
  <si>
    <t>37949</t>
  </si>
  <si>
    <t>37951</t>
  </si>
  <si>
    <t>37952</t>
  </si>
  <si>
    <t>37953</t>
  </si>
  <si>
    <t>37955</t>
  </si>
  <si>
    <t>37957</t>
  </si>
  <si>
    <t>37958</t>
  </si>
  <si>
    <t>37959</t>
  </si>
  <si>
    <t>37965</t>
  </si>
  <si>
    <t>37966</t>
  </si>
  <si>
    <t>37967</t>
  </si>
  <si>
    <t>37970</t>
  </si>
  <si>
    <t>37971</t>
  </si>
  <si>
    <t>37972</t>
  </si>
  <si>
    <t>37973</t>
  </si>
  <si>
    <t>37974</t>
  </si>
  <si>
    <t>37975</t>
  </si>
  <si>
    <t>37976</t>
  </si>
  <si>
    <t>37977</t>
  </si>
  <si>
    <t>37978</t>
  </si>
  <si>
    <t>37979</t>
  </si>
  <si>
    <t>37980</t>
  </si>
  <si>
    <t>37981</t>
  </si>
  <si>
    <t>37982</t>
  </si>
  <si>
    <t>37983</t>
  </si>
  <si>
    <t>37984</t>
  </si>
  <si>
    <t>37985</t>
  </si>
  <si>
    <t>37989</t>
  </si>
  <si>
    <t>37990</t>
  </si>
  <si>
    <t>37992</t>
  </si>
  <si>
    <t>37995</t>
  </si>
  <si>
    <t>37996</t>
  </si>
  <si>
    <t>37997</t>
  </si>
  <si>
    <t>37999</t>
  </si>
  <si>
    <t>38001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</si>
  <si>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</si>
  <si>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</si>
  <si>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</si>
  <si>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</si>
  <si>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</si>
  <si>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</si>
  <si>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</si>
  <si>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</si>
  <si>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</si>
  <si>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</si>
  <si>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</si>
  <si>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</si>
  <si>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</si>
  <si>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</si>
  <si>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</si>
  <si>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</si>
  <si>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</si>
  <si>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</si>
  <si>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</si>
  <si>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</si>
  <si>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</si>
  <si>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</si>
  <si>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</si>
  <si>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</si>
  <si>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</si>
  <si>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</si>
  <si>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</si>
  <si>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</si>
  <si>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</si>
  <si>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</si>
  <si>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</si>
  <si>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</si>
  <si>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</si>
  <si>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38040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</si>
  <si>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</si>
  <si>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</si>
  <si>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</si>
  <si>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</si>
  <si>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</si>
  <si>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</si>
  <si>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</si>
  <si>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</si>
  <si>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</si>
  <si>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</si>
  <si>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</si>
  <si>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</si>
  <si>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</si>
  <si>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</si>
  <si>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</si>
  <si>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</si>
  <si>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</si>
  <si>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</si>
  <si>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</si>
  <si>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</si>
  <si>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</si>
  <si>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</si>
  <si>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</si>
  <si>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</si>
  <si>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</si>
  <si>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</si>
  <si>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</si>
  <si>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</si>
  <si>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</si>
  <si>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</si>
  <si>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</si>
  <si>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</si>
  <si>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</si>
  <si>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</si>
  <si>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</si>
  <si>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</si>
  <si>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</si>
  <si>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</si>
  <si>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</si>
  <si>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</si>
  <si>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</si>
  <si>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</si>
  <si>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</si>
  <si>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</si>
  <si>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</si>
  <si>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</si>
  <si>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</si>
  <si>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</si>
  <si>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</si>
  <si>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</si>
  <si>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</si>
  <si>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</si>
  <si>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</si>
  <si>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</si>
  <si>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</si>
  <si>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</si>
  <si>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</si>
  <si>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</si>
  <si>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</si>
  <si>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</si>
  <si>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</si>
  <si>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</si>
  <si>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</si>
  <si>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</si>
  <si>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</si>
  <si>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</si>
  <si>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</si>
  <si>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</si>
  <si>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</si>
  <si>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</si>
  <si>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</si>
  <si>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38138</t>
  </si>
  <si>
    <t>38143</t>
  </si>
  <si>
    <t>38144</t>
  </si>
  <si>
    <t>38145</t>
  </si>
  <si>
    <t>38146</t>
  </si>
  <si>
    <t>38147</t>
  </si>
  <si>
    <t>38148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</si>
  <si>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</si>
  <si>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</si>
  <si>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</si>
  <si>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</si>
  <si>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</si>
  <si>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</si>
  <si>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</si>
  <si>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</si>
  <si>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</si>
  <si>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</si>
  <si>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</si>
  <si>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</si>
  <si>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</si>
  <si>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</si>
  <si>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</si>
  <si>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38164A</t>
  </si>
  <si>
    <t>38165</t>
  </si>
  <si>
    <t>38166</t>
  </si>
  <si>
    <t>38167</t>
  </si>
  <si>
    <t>38170</t>
  </si>
  <si>
    <t>38171</t>
  </si>
  <si>
    <t>38173</t>
  </si>
  <si>
    <t>38174</t>
  </si>
  <si>
    <t>38177</t>
  </si>
  <si>
    <t>38182</t>
  </si>
  <si>
    <t>38183</t>
  </si>
  <si>
    <t>38184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</si>
  <si>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</si>
  <si>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</si>
  <si>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</si>
  <si>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</si>
  <si>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</si>
  <si>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</si>
  <si>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</si>
  <si>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</si>
  <si>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</si>
  <si>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38198</t>
  </si>
  <si>
    <t>38201</t>
  </si>
  <si>
    <t>38202</t>
  </si>
  <si>
    <t>38203</t>
  </si>
  <si>
    <t>38203A</t>
  </si>
  <si>
    <t>38203B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</si>
  <si>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</si>
  <si>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</si>
  <si>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</si>
  <si>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</si>
  <si>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</si>
  <si>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</si>
  <si>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</si>
  <si>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</si>
  <si>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</si>
  <si>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38214</t>
  </si>
  <si>
    <t>38215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</si>
  <si>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</si>
  <si>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</si>
  <si>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</si>
  <si>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</si>
  <si>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</si>
  <si>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</si>
  <si>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</si>
  <si>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</si>
  <si>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</si>
  <si>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</si>
  <si>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</si>
  <si>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</si>
  <si>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</si>
  <si>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</si>
  <si>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</si>
  <si>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</si>
  <si>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</si>
  <si>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</si>
  <si>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</si>
  <si>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</si>
  <si>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</si>
  <si>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</si>
  <si>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</si>
  <si>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</si>
  <si>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</si>
  <si>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</si>
  <si>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</si>
  <si>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</si>
  <si>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</si>
  <si>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</si>
  <si>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38258</t>
  </si>
  <si>
    <t>38259</t>
  </si>
  <si>
    <t>38260</t>
  </si>
  <si>
    <t>38261</t>
  </si>
  <si>
    <t>38262</t>
  </si>
  <si>
    <t>38264</t>
  </si>
  <si>
    <t>38265</t>
  </si>
  <si>
    <t>38266</t>
  </si>
  <si>
    <t>38267</t>
  </si>
  <si>
    <t>38268</t>
  </si>
  <si>
    <t>38269</t>
  </si>
  <si>
    <t>38271</t>
  </si>
  <si>
    <t>38272</t>
  </si>
  <si>
    <t>38273</t>
  </si>
  <si>
    <t>38274</t>
  </si>
  <si>
    <t>38275</t>
  </si>
  <si>
    <t>38276</t>
  </si>
  <si>
    <t>38283</t>
  </si>
  <si>
    <t>38284</t>
  </si>
  <si>
    <t>38285</t>
  </si>
  <si>
    <t>38286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</si>
  <si>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</si>
  <si>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</si>
  <si>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</si>
  <si>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</si>
  <si>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</si>
  <si>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</si>
  <si>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</si>
  <si>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</si>
  <si>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</si>
  <si>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</si>
  <si>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</si>
  <si>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</si>
  <si>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</si>
  <si>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</si>
  <si>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</si>
  <si>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</si>
  <si>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</si>
  <si>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</si>
  <si>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</si>
  <si>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</si>
  <si>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</si>
  <si>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</si>
  <si>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</si>
  <si>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</si>
  <si>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</si>
  <si>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</si>
  <si>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</si>
  <si>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</si>
  <si>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38324</t>
  </si>
  <si>
    <t>38325</t>
  </si>
  <si>
    <t>38326</t>
  </si>
  <si>
    <t>38328</t>
  </si>
  <si>
    <t>38329</t>
  </si>
  <si>
    <t>38330</t>
  </si>
  <si>
    <t>38331</t>
  </si>
  <si>
    <t>38332</t>
  </si>
  <si>
    <t>38334</t>
  </si>
  <si>
    <t>38337</t>
  </si>
  <si>
    <t>38339</t>
  </si>
  <si>
    <t>38340</t>
  </si>
  <si>
    <t>38341</t>
  </si>
  <si>
    <t>38342</t>
  </si>
  <si>
    <t>38343</t>
  </si>
  <si>
    <t>38344</t>
  </si>
  <si>
    <t>38347</t>
  </si>
  <si>
    <t>38348</t>
  </si>
  <si>
    <t>38349</t>
  </si>
  <si>
    <t>38350</t>
  </si>
  <si>
    <t>38351</t>
  </si>
  <si>
    <t>38352</t>
  </si>
  <si>
    <t>38355</t>
  </si>
  <si>
    <t>38356</t>
  </si>
  <si>
    <t>38358</t>
  </si>
  <si>
    <t>38360</t>
  </si>
  <si>
    <t>38361</t>
  </si>
  <si>
    <t>38363</t>
  </si>
  <si>
    <t>38364</t>
  </si>
  <si>
    <t>38365</t>
  </si>
  <si>
    <t>38366</t>
  </si>
  <si>
    <t>38367</t>
  </si>
  <si>
    <t>38370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</si>
  <si>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</si>
  <si>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</si>
  <si>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</si>
  <si>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</si>
  <si>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</si>
  <si>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</si>
  <si>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</si>
  <si>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</si>
  <si>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</si>
  <si>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</si>
  <si>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</si>
  <si>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38388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</si>
  <si>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</si>
  <si>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</si>
  <si>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</si>
  <si>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</si>
  <si>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</si>
  <si>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</si>
  <si>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</si>
  <si>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</si>
  <si>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</si>
  <si>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</si>
  <si>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</si>
  <si>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38407</t>
  </si>
  <si>
    <t>38408</t>
  </si>
  <si>
    <t>38411</t>
  </si>
  <si>
    <t>38412</t>
  </si>
  <si>
    <t>38413</t>
  </si>
  <si>
    <t>38415</t>
  </si>
  <si>
    <t>38419</t>
  </si>
  <si>
    <t>38420</t>
  </si>
  <si>
    <t>38421</t>
  </si>
  <si>
    <t>38422</t>
  </si>
  <si>
    <t>38423</t>
  </si>
  <si>
    <t>38425</t>
  </si>
  <si>
    <t>38428</t>
  </si>
  <si>
    <t>38429</t>
  </si>
  <si>
    <t>38434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</si>
  <si>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</si>
  <si>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</si>
  <si>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</si>
  <si>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</si>
  <si>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</si>
  <si>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</si>
  <si>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</si>
  <si>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</si>
  <si>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</si>
  <si>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</si>
  <si>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</si>
  <si>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38449</t>
  </si>
  <si>
    <t>38450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</si>
  <si>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</si>
  <si>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</si>
  <si>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</si>
  <si>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</si>
  <si>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</si>
  <si>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</si>
  <si>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</si>
  <si>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</si>
  <si>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</si>
  <si>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</si>
  <si>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</si>
  <si>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</si>
  <si>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</si>
  <si>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</si>
  <si>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38467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</si>
  <si>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</si>
  <si>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</si>
  <si>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</si>
  <si>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</si>
  <si>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</si>
  <si>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</si>
  <si>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</si>
  <si>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</si>
  <si>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</si>
  <si>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</si>
  <si>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</si>
  <si>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</si>
  <si>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</si>
  <si>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</si>
  <si>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</si>
  <si>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</si>
  <si>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</si>
  <si>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</si>
  <si>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</si>
  <si>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</si>
  <si>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</si>
  <si>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</si>
  <si>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</si>
  <si>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</si>
  <si>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</si>
  <si>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</si>
  <si>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</si>
  <si>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</si>
  <si>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</si>
  <si>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</si>
  <si>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</si>
  <si>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38504</t>
  </si>
  <si>
    <t>38505</t>
  </si>
  <si>
    <t>38506</t>
  </si>
  <si>
    <t>38507</t>
  </si>
  <si>
    <t>38509</t>
  </si>
  <si>
    <t>38510</t>
  </si>
  <si>
    <t>38511</t>
  </si>
  <si>
    <t>38512</t>
  </si>
  <si>
    <t>38513</t>
  </si>
  <si>
    <t>38514</t>
  </si>
  <si>
    <t>38517</t>
  </si>
  <si>
    <t>38518</t>
  </si>
  <si>
    <t>38519</t>
  </si>
  <si>
    <t>38524</t>
  </si>
  <si>
    <t>38527</t>
  </si>
  <si>
    <t>38528</t>
  </si>
  <si>
    <t>38529</t>
  </si>
  <si>
    <t>38530</t>
  </si>
  <si>
    <t>38530A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</si>
  <si>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</si>
  <si>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</si>
  <si>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</si>
  <si>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</si>
  <si>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</si>
  <si>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</si>
  <si>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</si>
  <si>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</si>
  <si>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</si>
  <si>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38539A</t>
  </si>
  <si>
    <t>38540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</si>
  <si>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</si>
  <si>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</si>
  <si>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</si>
  <si>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</si>
  <si>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</si>
  <si>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</si>
  <si>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</si>
  <si>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</si>
  <si>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</si>
  <si>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</si>
  <si>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</si>
  <si>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</si>
  <si>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</si>
  <si>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</si>
  <si>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</si>
  <si>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</si>
  <si>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</si>
  <si>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</si>
  <si>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</si>
  <si>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</si>
  <si>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</si>
  <si>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</si>
  <si>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</si>
  <si>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</si>
  <si>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</si>
  <si>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</si>
  <si>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</si>
  <si>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</si>
  <si>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</si>
  <si>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</si>
  <si>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</si>
  <si>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</si>
  <si>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</si>
  <si>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</si>
  <si>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</si>
  <si>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</si>
  <si>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</si>
  <si>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</si>
  <si>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</si>
  <si>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</si>
  <si>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</si>
  <si>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38584</t>
  </si>
  <si>
    <t>38586</t>
  </si>
  <si>
    <t>38587</t>
  </si>
  <si>
    <t>38588</t>
  </si>
  <si>
    <t>38589</t>
  </si>
  <si>
    <t>38590</t>
  </si>
  <si>
    <t>38592</t>
  </si>
  <si>
    <t>38593</t>
  </si>
  <si>
    <t>38597</t>
  </si>
  <si>
    <t>38598</t>
  </si>
  <si>
    <t>38600</t>
  </si>
  <si>
    <t>38601</t>
  </si>
  <si>
    <t>38602</t>
  </si>
  <si>
    <t>38603</t>
  </si>
  <si>
    <t>38604</t>
  </si>
  <si>
    <t>38605</t>
  </si>
  <si>
    <t>38606</t>
  </si>
  <si>
    <t>38607</t>
  </si>
  <si>
    <t>38608</t>
  </si>
  <si>
    <t>38614</t>
  </si>
  <si>
    <t>38615</t>
  </si>
  <si>
    <t>38616</t>
  </si>
  <si>
    <t>38617</t>
  </si>
  <si>
    <t>38618</t>
  </si>
  <si>
    <t>38619</t>
  </si>
  <si>
    <t>38620</t>
  </si>
  <si>
    <t>38621</t>
  </si>
  <si>
    <t>38622</t>
  </si>
  <si>
    <t>38623</t>
  </si>
  <si>
    <t>38624</t>
  </si>
  <si>
    <t>38625</t>
  </si>
  <si>
    <t>38627</t>
  </si>
  <si>
    <t>38628</t>
  </si>
  <si>
    <t>38629</t>
  </si>
  <si>
    <t>38631</t>
  </si>
  <si>
    <t>38632</t>
  </si>
  <si>
    <t>38633</t>
  </si>
  <si>
    <t>38634</t>
  </si>
  <si>
    <t>38635</t>
  </si>
  <si>
    <t>38636</t>
  </si>
  <si>
    <t>38637</t>
  </si>
  <si>
    <t>38638</t>
  </si>
  <si>
    <t>38639</t>
  </si>
  <si>
    <t>38640</t>
  </si>
  <si>
    <t>38641</t>
  </si>
  <si>
    <t>38642</t>
  </si>
  <si>
    <t>38643</t>
  </si>
  <si>
    <t>38644</t>
  </si>
  <si>
    <t>38645</t>
  </si>
  <si>
    <t>38646</t>
  </si>
  <si>
    <t>38647</t>
  </si>
  <si>
    <t>38649</t>
  </si>
  <si>
    <t>38650</t>
  </si>
  <si>
    <t>38651</t>
  </si>
  <si>
    <t>38652</t>
  </si>
  <si>
    <t>38653</t>
  </si>
  <si>
    <t>38654</t>
  </si>
  <si>
    <t>38655</t>
  </si>
  <si>
    <t>38656</t>
  </si>
  <si>
    <t>38657</t>
  </si>
  <si>
    <t>38658</t>
  </si>
  <si>
    <t>38659</t>
  </si>
  <si>
    <t>38664</t>
  </si>
  <si>
    <t>38666</t>
  </si>
  <si>
    <t>38667</t>
  </si>
  <si>
    <t>38668</t>
  </si>
  <si>
    <t>38670</t>
  </si>
  <si>
    <t>38671</t>
  </si>
  <si>
    <t>38672</t>
  </si>
  <si>
    <t>38673</t>
  </si>
  <si>
    <t>38674</t>
  </si>
  <si>
    <t>38677</t>
  </si>
  <si>
    <t>38678</t>
  </si>
  <si>
    <t>38679</t>
  </si>
  <si>
    <t>38680</t>
  </si>
  <si>
    <t>38681</t>
  </si>
  <si>
    <t>38681A</t>
  </si>
  <si>
    <t>38683</t>
  </si>
  <si>
    <t>38687</t>
  </si>
  <si>
    <t>38690</t>
  </si>
  <si>
    <t>38691</t>
  </si>
  <si>
    <t>38692</t>
  </si>
  <si>
    <t>38693</t>
  </si>
  <si>
    <t>38694</t>
  </si>
  <si>
    <t>38697</t>
  </si>
  <si>
    <t>38699</t>
  </si>
  <si>
    <t>38701</t>
  </si>
  <si>
    <t>38702</t>
  </si>
  <si>
    <t>38703</t>
  </si>
  <si>
    <t>38704</t>
  </si>
  <si>
    <t>38705</t>
  </si>
  <si>
    <t>38714</t>
  </si>
  <si>
    <t>38715</t>
  </si>
  <si>
    <t>38716</t>
  </si>
  <si>
    <t>38719</t>
  </si>
  <si>
    <t>38720</t>
  </si>
  <si>
    <t>38721</t>
  </si>
  <si>
    <t>38722</t>
  </si>
  <si>
    <t>38725</t>
  </si>
  <si>
    <t>38726</t>
  </si>
  <si>
    <t>38727</t>
  </si>
  <si>
    <t>38728</t>
  </si>
  <si>
    <t>38731</t>
  </si>
  <si>
    <t>38732</t>
  </si>
  <si>
    <t>38735</t>
  </si>
  <si>
    <t>38736</t>
  </si>
  <si>
    <t>38737</t>
  </si>
  <si>
    <t>38740</t>
  </si>
  <si>
    <t>38741</t>
  </si>
  <si>
    <t>38742</t>
  </si>
  <si>
    <t>38743</t>
  </si>
  <si>
    <t>38744</t>
  </si>
  <si>
    <t>38745</t>
  </si>
  <si>
    <t>38746</t>
  </si>
  <si>
    <t>38747</t>
  </si>
  <si>
    <t>38748</t>
  </si>
  <si>
    <t>38749</t>
  </si>
  <si>
    <t>38750</t>
  </si>
  <si>
    <t>38751</t>
  </si>
  <si>
    <t>38751A</t>
  </si>
  <si>
    <t>38752</t>
  </si>
  <si>
    <t>38753</t>
  </si>
  <si>
    <t>38754</t>
  </si>
  <si>
    <t>38755</t>
  </si>
  <si>
    <t>38756</t>
  </si>
  <si>
    <t>38757</t>
  </si>
  <si>
    <t>38758</t>
  </si>
  <si>
    <t>38759</t>
  </si>
  <si>
    <t>38760</t>
  </si>
  <si>
    <t>38761</t>
  </si>
  <si>
    <t>38762</t>
  </si>
  <si>
    <t>38763</t>
  </si>
  <si>
    <t>38764</t>
  </si>
  <si>
    <t>38765</t>
  </si>
  <si>
    <t>38766</t>
  </si>
  <si>
    <t>38767</t>
  </si>
  <si>
    <t>38768</t>
  </si>
  <si>
    <t>38769</t>
  </si>
  <si>
    <t>38770</t>
  </si>
  <si>
    <t>38771</t>
  </si>
  <si>
    <t>38772</t>
  </si>
  <si>
    <t>38773</t>
  </si>
  <si>
    <t>38774</t>
  </si>
  <si>
    <t>38775</t>
  </si>
  <si>
    <t>38776</t>
  </si>
  <si>
    <t>38777</t>
  </si>
  <si>
    <t>38778</t>
  </si>
  <si>
    <t>38779</t>
  </si>
  <si>
    <t>38780</t>
  </si>
  <si>
    <t>38782</t>
  </si>
  <si>
    <t>38783</t>
  </si>
  <si>
    <t>38784</t>
  </si>
  <si>
    <t>38785</t>
  </si>
  <si>
    <t>38786</t>
  </si>
  <si>
    <t>38787</t>
  </si>
  <si>
    <t>38788</t>
  </si>
  <si>
    <t>38790</t>
  </si>
  <si>
    <t>38791</t>
  </si>
  <si>
    <t>38792</t>
  </si>
  <si>
    <t>38793</t>
  </si>
  <si>
    <t>38794</t>
  </si>
  <si>
    <t>38795</t>
  </si>
  <si>
    <t>38796</t>
  </si>
  <si>
    <t>38797</t>
  </si>
  <si>
    <t>38800</t>
  </si>
  <si>
    <t>38801</t>
  </si>
  <si>
    <t>38806</t>
  </si>
  <si>
    <t>38808</t>
  </si>
  <si>
    <t>38809</t>
  </si>
  <si>
    <t>38812</t>
  </si>
  <si>
    <t>38813</t>
  </si>
  <si>
    <t>38814</t>
  </si>
  <si>
    <t>38815</t>
  </si>
  <si>
    <t>38816</t>
  </si>
  <si>
    <t>38817</t>
  </si>
  <si>
    <t>38818</t>
  </si>
  <si>
    <t>38819</t>
  </si>
  <si>
    <t>38820</t>
  </si>
  <si>
    <t>38821</t>
  </si>
  <si>
    <t>38822</t>
  </si>
  <si>
    <t>38823</t>
  </si>
  <si>
    <t>38824</t>
  </si>
  <si>
    <t>38825</t>
  </si>
  <si>
    <t>38826</t>
  </si>
  <si>
    <t>38827</t>
  </si>
  <si>
    <t>38828</t>
  </si>
  <si>
    <t>38829</t>
  </si>
  <si>
    <t>38831</t>
  </si>
  <si>
    <t>38832</t>
  </si>
  <si>
    <t>38833</t>
  </si>
  <si>
    <t>38834</t>
  </si>
  <si>
    <t>38835</t>
  </si>
  <si>
    <t>38836</t>
  </si>
  <si>
    <t>38837</t>
  </si>
  <si>
    <t>38838</t>
  </si>
  <si>
    <t>38839</t>
  </si>
  <si>
    <t>38840</t>
  </si>
  <si>
    <t>38841</t>
  </si>
  <si>
    <t>38842</t>
  </si>
  <si>
    <t>38843</t>
  </si>
  <si>
    <t>38844</t>
  </si>
  <si>
    <t>38845</t>
  </si>
  <si>
    <t>38846</t>
  </si>
  <si>
    <t>38847</t>
  </si>
  <si>
    <t>38849</t>
  </si>
  <si>
    <t>38852</t>
  </si>
  <si>
    <t>38853</t>
  </si>
  <si>
    <t>38854</t>
  </si>
  <si>
    <t>38855</t>
  </si>
  <si>
    <t>38856</t>
  </si>
  <si>
    <t>38857</t>
  </si>
  <si>
    <t>38858</t>
  </si>
  <si>
    <t>38859</t>
  </si>
  <si>
    <t>38860</t>
  </si>
  <si>
    <t>38861</t>
  </si>
  <si>
    <t>38862</t>
  </si>
  <si>
    <t>38863</t>
  </si>
  <si>
    <t>38864</t>
  </si>
  <si>
    <t>38865</t>
  </si>
  <si>
    <t>38866</t>
  </si>
  <si>
    <t>38867</t>
  </si>
  <si>
    <t>38870</t>
  </si>
  <si>
    <t>38871</t>
  </si>
  <si>
    <t>38872</t>
  </si>
  <si>
    <t>38873</t>
  </si>
  <si>
    <t>38874</t>
  </si>
  <si>
    <t>38875</t>
  </si>
  <si>
    <t>38876</t>
  </si>
  <si>
    <t>38879</t>
  </si>
  <si>
    <t>38880</t>
  </si>
  <si>
    <t>38881</t>
  </si>
  <si>
    <t>38882</t>
  </si>
  <si>
    <t>38883</t>
  </si>
  <si>
    <t>38884</t>
  </si>
  <si>
    <t>38885</t>
  </si>
  <si>
    <t>38886</t>
  </si>
  <si>
    <t>38887</t>
  </si>
  <si>
    <t>38888</t>
  </si>
  <si>
    <t>38889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</si>
  <si>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</si>
  <si>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</si>
  <si>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</si>
  <si>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</si>
  <si>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</si>
  <si>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</si>
  <si>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</si>
  <si>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</si>
  <si>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</si>
  <si>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38900</t>
  </si>
  <si>
    <t>38901</t>
  </si>
  <si>
    <t>38902</t>
  </si>
  <si>
    <t>38903</t>
  </si>
  <si>
    <t>38905</t>
  </si>
  <si>
    <t>38906</t>
  </si>
  <si>
    <t>38907</t>
  </si>
  <si>
    <t>38908</t>
  </si>
  <si>
    <t>38909</t>
  </si>
  <si>
    <t>38911</t>
  </si>
  <si>
    <t>38912</t>
  </si>
  <si>
    <t>38913</t>
  </si>
  <si>
    <t>38914</t>
  </si>
  <si>
    <t>38916</t>
  </si>
  <si>
    <t>38917</t>
  </si>
  <si>
    <t>38918</t>
  </si>
  <si>
    <t>38919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</si>
  <si>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</si>
  <si>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</si>
  <si>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</si>
  <si>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</si>
  <si>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</si>
  <si>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</si>
  <si>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</si>
  <si>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</si>
  <si>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38930</t>
  </si>
  <si>
    <t>38931</t>
  </si>
  <si>
    <t>38932</t>
  </si>
  <si>
    <t>38933</t>
  </si>
  <si>
    <t>38934</t>
  </si>
  <si>
    <t>38935</t>
  </si>
  <si>
    <t>38937</t>
  </si>
  <si>
    <t>38938</t>
  </si>
  <si>
    <t>38939</t>
  </si>
  <si>
    <t>38940</t>
  </si>
  <si>
    <t>38941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</si>
  <si>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</si>
  <si>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</si>
  <si>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</si>
  <si>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</si>
  <si>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</si>
  <si>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</si>
  <si>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</si>
  <si>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</si>
  <si>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</si>
  <si>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</si>
  <si>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</si>
  <si>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</si>
  <si>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</si>
  <si>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38956</t>
  </si>
  <si>
    <t>38957</t>
  </si>
  <si>
    <t>38958</t>
  </si>
  <si>
    <t>38959</t>
  </si>
  <si>
    <t>38960</t>
  </si>
  <si>
    <t>38961</t>
  </si>
  <si>
    <t>38962</t>
  </si>
  <si>
    <t>38963</t>
  </si>
  <si>
    <t>38964</t>
  </si>
  <si>
    <t>38965</t>
  </si>
  <si>
    <t>38966</t>
  </si>
  <si>
    <t>38967</t>
  </si>
  <si>
    <t>38968</t>
  </si>
  <si>
    <t>38971</t>
  </si>
  <si>
    <t>38972</t>
  </si>
  <si>
    <t>38973</t>
  </si>
  <si>
    <t>38974</t>
  </si>
  <si>
    <t>38975</t>
  </si>
  <si>
    <t>38976</t>
  </si>
  <si>
    <t>38977</t>
  </si>
  <si>
    <t>38978</t>
  </si>
  <si>
    <t>38979</t>
  </si>
  <si>
    <t>38980</t>
  </si>
  <si>
    <t>38981</t>
  </si>
  <si>
    <t>38982</t>
  </si>
  <si>
    <t>38983</t>
  </si>
  <si>
    <t>38984</t>
  </si>
  <si>
    <t>38986</t>
  </si>
  <si>
    <t>38987</t>
  </si>
  <si>
    <t>38988</t>
  </si>
  <si>
    <t>38989</t>
  </si>
  <si>
    <t>38990</t>
  </si>
  <si>
    <t>38991</t>
  </si>
  <si>
    <t>38992</t>
  </si>
  <si>
    <t>38993</t>
  </si>
  <si>
    <t>38994</t>
  </si>
  <si>
    <t>38995</t>
  </si>
  <si>
    <t>38996</t>
  </si>
  <si>
    <t>38997</t>
  </si>
  <si>
    <t>38998</t>
  </si>
  <si>
    <t>38999</t>
  </si>
  <si>
    <t>39000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</si>
  <si>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</si>
  <si>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</si>
  <si>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</si>
  <si>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</si>
  <si>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</si>
  <si>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</si>
  <si>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</si>
  <si>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</si>
  <si>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</si>
  <si>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</si>
  <si>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</si>
  <si>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39014</t>
  </si>
  <si>
    <t>39015</t>
  </si>
  <si>
    <t>39016</t>
  </si>
  <si>
    <t>39019</t>
  </si>
  <si>
    <t>39020</t>
  </si>
  <si>
    <t>39021</t>
  </si>
  <si>
    <t>39022</t>
  </si>
  <si>
    <t>39023</t>
  </si>
  <si>
    <t>39024</t>
  </si>
  <si>
    <t>39025</t>
  </si>
  <si>
    <t>39027</t>
  </si>
  <si>
    <t>39028</t>
  </si>
  <si>
    <t>39029</t>
  </si>
  <si>
    <t>39030</t>
  </si>
  <si>
    <t>39031</t>
  </si>
  <si>
    <t>39033</t>
  </si>
  <si>
    <t>39034</t>
  </si>
  <si>
    <t>39035</t>
  </si>
  <si>
    <t>39036</t>
  </si>
  <si>
    <t>39037</t>
  </si>
  <si>
    <t>39038</t>
  </si>
  <si>
    <t>39041</t>
  </si>
  <si>
    <t>39042</t>
  </si>
  <si>
    <t>39044</t>
  </si>
  <si>
    <t>39045</t>
  </si>
  <si>
    <t>39046</t>
  </si>
  <si>
    <t>39047</t>
  </si>
  <si>
    <t>39048</t>
  </si>
  <si>
    <t>39049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</si>
  <si>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</si>
  <si>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</si>
  <si>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</si>
  <si>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</si>
  <si>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</si>
  <si>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</si>
  <si>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</si>
  <si>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</si>
  <si>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</si>
  <si>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39063</t>
  </si>
  <si>
    <t>39064</t>
  </si>
  <si>
    <t>39065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</si>
  <si>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</si>
  <si>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</si>
  <si>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</si>
  <si>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</si>
  <si>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</si>
  <si>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</si>
  <si>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</si>
  <si>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</si>
  <si>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</si>
  <si>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</si>
  <si>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</si>
  <si>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</si>
  <si>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</si>
  <si>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</si>
  <si>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</si>
  <si>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39083</t>
  </si>
  <si>
    <t>39084</t>
  </si>
  <si>
    <t>39085</t>
  </si>
  <si>
    <t>39086</t>
  </si>
  <si>
    <t>39087</t>
  </si>
  <si>
    <t>39088</t>
  </si>
  <si>
    <t>39090</t>
  </si>
  <si>
    <t>39092</t>
  </si>
  <si>
    <t>39092A</t>
  </si>
  <si>
    <t>39093</t>
  </si>
  <si>
    <t>39093A</t>
  </si>
  <si>
    <t>39094</t>
  </si>
  <si>
    <t>39094A</t>
  </si>
  <si>
    <t>39095</t>
  </si>
  <si>
    <t>39095A</t>
  </si>
  <si>
    <t>39096</t>
  </si>
  <si>
    <t>39096A</t>
  </si>
  <si>
    <t>39097</t>
  </si>
  <si>
    <t>39097A</t>
  </si>
  <si>
    <t>39098</t>
  </si>
  <si>
    <t>39098A</t>
  </si>
  <si>
    <t>39099</t>
  </si>
  <si>
    <t>39099A</t>
  </si>
  <si>
    <t>39100</t>
  </si>
  <si>
    <t>39100A</t>
  </si>
  <si>
    <t>39100B</t>
  </si>
  <si>
    <t>39101</t>
  </si>
  <si>
    <t>39101A</t>
  </si>
  <si>
    <t>39101B</t>
  </si>
  <si>
    <t>39102</t>
  </si>
  <si>
    <t>39102A</t>
  </si>
  <si>
    <t>39102A/CO</t>
  </si>
  <si>
    <t>39103</t>
  </si>
  <si>
    <t>39103A</t>
  </si>
  <si>
    <t>39103A/CO</t>
  </si>
  <si>
    <t>39103B</t>
  </si>
  <si>
    <t>39103C</t>
  </si>
  <si>
    <t>39103D</t>
  </si>
  <si>
    <t>39104</t>
  </si>
  <si>
    <t>39104A</t>
  </si>
  <si>
    <t>39104B</t>
  </si>
  <si>
    <t>39105</t>
  </si>
  <si>
    <t>39105A</t>
  </si>
  <si>
    <t>39105B</t>
  </si>
  <si>
    <t>39105C</t>
  </si>
  <si>
    <t>39105D</t>
  </si>
  <si>
    <t>39105E</t>
  </si>
  <si>
    <t>39106</t>
  </si>
  <si>
    <t>39106A</t>
  </si>
  <si>
    <t>39106B</t>
  </si>
  <si>
    <t>39106C</t>
  </si>
  <si>
    <t>39106D</t>
  </si>
  <si>
    <t>39106E</t>
  </si>
  <si>
    <t>39106F</t>
  </si>
  <si>
    <t>39106G</t>
  </si>
  <si>
    <t>39107</t>
  </si>
  <si>
    <t>39107A</t>
  </si>
  <si>
    <t>39107B</t>
  </si>
  <si>
    <t>39107C</t>
  </si>
  <si>
    <t>39107D</t>
  </si>
  <si>
    <t>39108</t>
  </si>
  <si>
    <t>39108A</t>
  </si>
  <si>
    <t>39108B</t>
  </si>
  <si>
    <t>39108C</t>
  </si>
  <si>
    <t>39108D</t>
  </si>
  <si>
    <t>39108E</t>
  </si>
  <si>
    <t>39109</t>
  </si>
  <si>
    <t>39109A</t>
  </si>
  <si>
    <t>39109B</t>
  </si>
  <si>
    <t>39109C</t>
  </si>
  <si>
    <t>39109D</t>
  </si>
  <si>
    <t>39109E</t>
  </si>
  <si>
    <t>39110</t>
  </si>
  <si>
    <t>39110A</t>
  </si>
  <si>
    <t>39110B</t>
  </si>
  <si>
    <t>39110C</t>
  </si>
  <si>
    <t>39110D</t>
  </si>
  <si>
    <t>39110E</t>
  </si>
  <si>
    <t>39110F</t>
  </si>
  <si>
    <t>39110G</t>
  </si>
  <si>
    <t>39110H</t>
  </si>
  <si>
    <t>39110I</t>
  </si>
  <si>
    <t>39111</t>
  </si>
  <si>
    <t>39112</t>
  </si>
  <si>
    <t>39113</t>
  </si>
  <si>
    <t>39114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</si>
  <si>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</si>
  <si>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</si>
  <si>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</si>
  <si>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</si>
  <si>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</si>
  <si>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</si>
  <si>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</si>
  <si>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</si>
  <si>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39125</t>
  </si>
  <si>
    <t>39126</t>
  </si>
  <si>
    <t>39127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</si>
  <si>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</si>
  <si>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</si>
  <si>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</si>
  <si>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</si>
  <si>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</si>
  <si>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</si>
  <si>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</si>
  <si>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</si>
  <si>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39136A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</si>
  <si>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</si>
  <si>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</si>
  <si>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</si>
  <si>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</si>
  <si>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</si>
  <si>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</si>
  <si>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</si>
  <si>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</si>
  <si>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39150</t>
  </si>
  <si>
    <t>39151</t>
  </si>
  <si>
    <t>39152</t>
  </si>
  <si>
    <t>39153</t>
  </si>
  <si>
    <t>39155</t>
  </si>
  <si>
    <t>39156</t>
  </si>
  <si>
    <t>39158</t>
  </si>
  <si>
    <t>39159</t>
  </si>
  <si>
    <t>39160</t>
  </si>
  <si>
    <t>39161</t>
  </si>
  <si>
    <t>39163</t>
  </si>
  <si>
    <t>39164</t>
  </si>
  <si>
    <t>39172</t>
  </si>
  <si>
    <t>39173</t>
  </si>
  <si>
    <t>39174</t>
  </si>
  <si>
    <t>39175</t>
  </si>
  <si>
    <t>39180</t>
  </si>
  <si>
    <t>39181</t>
  </si>
  <si>
    <t>39182</t>
  </si>
  <si>
    <t>39183</t>
  </si>
  <si>
    <t>39185</t>
  </si>
  <si>
    <t>39186</t>
  </si>
  <si>
    <t>39195</t>
  </si>
  <si>
    <t>39196</t>
  </si>
  <si>
    <t>39197</t>
  </si>
  <si>
    <t>39198</t>
  </si>
  <si>
    <t>39199</t>
  </si>
  <si>
    <t>39200</t>
  </si>
  <si>
    <t>39202</t>
  </si>
  <si>
    <t>39203</t>
  </si>
  <si>
    <t>39204</t>
  </si>
  <si>
    <t>39205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</si>
  <si>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</si>
  <si>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</si>
  <si>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</si>
  <si>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</si>
  <si>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</si>
  <si>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</si>
  <si>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</si>
  <si>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</si>
  <si>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39217</t>
  </si>
  <si>
    <t>39218</t>
  </si>
  <si>
    <t>39221</t>
  </si>
  <si>
    <t>39222</t>
  </si>
  <si>
    <t>39223</t>
  </si>
  <si>
    <t>39224</t>
  </si>
  <si>
    <t>39226</t>
  </si>
  <si>
    <t>39227</t>
  </si>
  <si>
    <t>39228</t>
  </si>
  <si>
    <t>39229</t>
  </si>
  <si>
    <t>39230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</si>
  <si>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</si>
  <si>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</si>
  <si>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</si>
  <si>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</si>
  <si>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</si>
  <si>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</si>
  <si>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</si>
  <si>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</si>
  <si>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</si>
  <si>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</si>
  <si>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</si>
  <si>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</si>
  <si>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</si>
  <si>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39246</t>
  </si>
  <si>
    <t>39247</t>
  </si>
  <si>
    <t>39248</t>
  </si>
  <si>
    <t>39249</t>
  </si>
  <si>
    <t>39251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</si>
  <si>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</si>
  <si>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</si>
  <si>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</si>
  <si>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</si>
  <si>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</si>
  <si>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</si>
  <si>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</si>
  <si>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</si>
  <si>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</si>
  <si>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</si>
  <si>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</si>
  <si>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</si>
  <si>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</si>
  <si>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39268</t>
  </si>
  <si>
    <t>39269</t>
  </si>
  <si>
    <t>39270</t>
  </si>
  <si>
    <t>39273</t>
  </si>
  <si>
    <t>39274</t>
  </si>
  <si>
    <t>39275</t>
  </si>
  <si>
    <t>39276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</si>
  <si>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</si>
  <si>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</si>
  <si>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</si>
  <si>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</si>
  <si>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</si>
  <si>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</si>
  <si>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</si>
  <si>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</si>
  <si>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</si>
  <si>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</si>
  <si>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</si>
  <si>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</si>
  <si>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</si>
  <si>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</si>
  <si>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</si>
  <si>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</si>
  <si>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</si>
  <si>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</si>
  <si>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</si>
  <si>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</si>
  <si>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</si>
  <si>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</si>
  <si>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</si>
  <si>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</si>
  <si>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</si>
  <si>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</si>
  <si>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</si>
  <si>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</si>
  <si>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</si>
  <si>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</si>
  <si>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</si>
  <si>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</si>
  <si>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</si>
  <si>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</si>
  <si>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</si>
  <si>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</si>
  <si>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</si>
  <si>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</si>
  <si>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</si>
  <si>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</si>
  <si>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</si>
  <si>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</si>
  <si>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</si>
  <si>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</si>
  <si>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</si>
  <si>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</si>
  <si>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</si>
  <si>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</si>
  <si>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</si>
  <si>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</si>
  <si>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</si>
  <si>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</si>
  <si>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</si>
  <si>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</si>
  <si>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</si>
  <si>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</si>
  <si>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</si>
  <si>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</si>
  <si>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</si>
  <si>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39344</t>
  </si>
  <si>
    <t>39345</t>
  </si>
  <si>
    <t>39347</t>
  </si>
  <si>
    <t>39348</t>
  </si>
  <si>
    <t>39349</t>
  </si>
  <si>
    <t>39350</t>
  </si>
  <si>
    <t>39351</t>
  </si>
  <si>
    <t>39352</t>
  </si>
  <si>
    <t>39353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</si>
  <si>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</si>
  <si>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</si>
  <si>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</si>
  <si>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</si>
  <si>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</si>
  <si>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</si>
  <si>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</si>
  <si>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</si>
  <si>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</si>
  <si>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</si>
  <si>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39366</t>
  </si>
  <si>
    <t>39367</t>
  </si>
  <si>
    <t>39368</t>
  </si>
  <si>
    <t>39369</t>
  </si>
  <si>
    <t>39370</t>
  </si>
  <si>
    <t>39371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</si>
  <si>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</si>
  <si>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</si>
  <si>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</si>
  <si>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</si>
  <si>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</si>
  <si>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</si>
  <si>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</si>
  <si>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</si>
  <si>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</si>
  <si>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39383</t>
  </si>
  <si>
    <t>39384</t>
  </si>
  <si>
    <t>39386</t>
  </si>
  <si>
    <t>39387</t>
  </si>
  <si>
    <t>39388</t>
  </si>
  <si>
    <t>39389</t>
  </si>
  <si>
    <t>39390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</si>
  <si>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</si>
  <si>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</si>
  <si>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</si>
  <si>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</si>
  <si>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</si>
  <si>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</si>
  <si>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</si>
  <si>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</si>
  <si>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</si>
  <si>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</si>
  <si>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</si>
  <si>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</si>
  <si>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</si>
  <si>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</si>
  <si>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</si>
  <si>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</si>
  <si>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</si>
  <si>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</si>
  <si>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</si>
  <si>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</si>
  <si>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</si>
  <si>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</si>
  <si>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</si>
  <si>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</si>
  <si>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</si>
  <si>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</si>
  <si>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</si>
  <si>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</si>
  <si>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</si>
  <si>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</si>
  <si>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</si>
  <si>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</si>
  <si>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</si>
  <si>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</si>
  <si>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</si>
  <si>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</si>
  <si>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</si>
  <si>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</si>
  <si>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39431A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</si>
  <si>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</si>
  <si>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</si>
  <si>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</si>
  <si>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</si>
  <si>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</si>
  <si>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</si>
  <si>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</si>
  <si>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</si>
  <si>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</si>
  <si>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</si>
  <si>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</si>
  <si>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</si>
  <si>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</si>
  <si>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</si>
  <si>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</si>
  <si>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</si>
  <si>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</si>
  <si>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</si>
  <si>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</si>
  <si>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</si>
  <si>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</si>
  <si>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</si>
  <si>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</si>
  <si>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</si>
  <si>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</si>
  <si>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</si>
  <si>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</si>
  <si>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</si>
  <si>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</si>
  <si>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</si>
  <si>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</si>
  <si>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</si>
  <si>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</si>
  <si>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</si>
  <si>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</si>
  <si>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</si>
  <si>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</si>
  <si>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</si>
  <si>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</si>
  <si>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</si>
  <si>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</si>
  <si>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</si>
  <si>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</si>
  <si>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</si>
  <si>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</si>
  <si>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39481</t>
  </si>
  <si>
    <t>39482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</si>
  <si>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</si>
  <si>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</si>
  <si>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</si>
  <si>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</si>
  <si>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</si>
  <si>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</si>
  <si>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</si>
  <si>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</si>
  <si>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</si>
  <si>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39494</t>
  </si>
  <si>
    <t>39495</t>
  </si>
  <si>
    <t>39496</t>
  </si>
  <si>
    <t>39497</t>
  </si>
  <si>
    <t>39498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</si>
  <si>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</si>
  <si>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</si>
  <si>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</si>
  <si>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</si>
  <si>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</si>
  <si>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</si>
  <si>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</si>
  <si>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</si>
  <si>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</si>
  <si>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</si>
  <si>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</si>
  <si>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</si>
  <si>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</si>
  <si>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</si>
  <si>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</si>
  <si>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</si>
  <si>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</si>
  <si>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</si>
  <si>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</si>
  <si>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</si>
  <si>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39521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</si>
  <si>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</si>
  <si>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</si>
  <si>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</si>
  <si>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</si>
  <si>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</si>
  <si>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</si>
  <si>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</si>
  <si>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</si>
  <si>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</si>
  <si>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39534</t>
  </si>
  <si>
    <t>39535</t>
  </si>
  <si>
    <t>39536</t>
  </si>
  <si>
    <t>39537</t>
  </si>
  <si>
    <t>39538</t>
  </si>
  <si>
    <t>39539</t>
  </si>
  <si>
    <t>39540</t>
  </si>
  <si>
    <t>39540A</t>
  </si>
  <si>
    <t>39541</t>
  </si>
  <si>
    <t>39542</t>
  </si>
  <si>
    <t>39543</t>
  </si>
  <si>
    <t>39544</t>
  </si>
  <si>
    <t>39545</t>
  </si>
  <si>
    <t>39569</t>
  </si>
  <si>
    <t>39570</t>
  </si>
  <si>
    <t>39572</t>
  </si>
  <si>
    <t>39573</t>
  </si>
  <si>
    <t>39574</t>
  </si>
  <si>
    <t>39574A</t>
  </si>
  <si>
    <t>39575</t>
  </si>
  <si>
    <t>39576</t>
  </si>
  <si>
    <t>39577</t>
  </si>
  <si>
    <t>39578</t>
  </si>
  <si>
    <t>39579</t>
  </si>
  <si>
    <t>39580</t>
  </si>
  <si>
    <t>39581</t>
  </si>
  <si>
    <t>39583</t>
  </si>
  <si>
    <t>39584</t>
  </si>
  <si>
    <t>39585</t>
  </si>
  <si>
    <t>39586</t>
  </si>
  <si>
    <t>39587</t>
  </si>
  <si>
    <t>39588</t>
  </si>
  <si>
    <t>39589</t>
  </si>
  <si>
    <t>39590</t>
  </si>
  <si>
    <t>39594</t>
  </si>
  <si>
    <t>39595</t>
  </si>
  <si>
    <t>39596</t>
  </si>
  <si>
    <t>39597</t>
  </si>
  <si>
    <t>39598</t>
  </si>
  <si>
    <t>39599</t>
  </si>
  <si>
    <t>39600</t>
  </si>
  <si>
    <t>39601</t>
  </si>
  <si>
    <t>39602</t>
  </si>
  <si>
    <t>39608</t>
  </si>
  <si>
    <t>39609</t>
  </si>
  <si>
    <t>39613</t>
  </si>
  <si>
    <t>39614</t>
  </si>
  <si>
    <t>39615</t>
  </si>
  <si>
    <t>39616</t>
  </si>
  <si>
    <t>39617</t>
  </si>
  <si>
    <t>39618</t>
  </si>
  <si>
    <t>39619</t>
  </si>
  <si>
    <t>39620</t>
  </si>
  <si>
    <t>39621</t>
  </si>
  <si>
    <t>39622</t>
  </si>
  <si>
    <t>39623</t>
  </si>
  <si>
    <t>39624</t>
  </si>
  <si>
    <t>39625</t>
  </si>
  <si>
    <t>39626</t>
  </si>
  <si>
    <t>39628</t>
  </si>
  <si>
    <t>39629</t>
  </si>
  <si>
    <t>39630</t>
  </si>
  <si>
    <t>39631</t>
  </si>
  <si>
    <t>39632</t>
  </si>
  <si>
    <t>39633</t>
  </si>
  <si>
    <t>39634</t>
  </si>
  <si>
    <t>39637</t>
  </si>
  <si>
    <t>39638</t>
  </si>
  <si>
    <t>39639</t>
  </si>
  <si>
    <t>39641</t>
  </si>
  <si>
    <t>39642</t>
  </si>
  <si>
    <t>39643</t>
  </si>
  <si>
    <t>39645</t>
  </si>
  <si>
    <t>39646</t>
  </si>
  <si>
    <t>39647</t>
  </si>
  <si>
    <t>39648</t>
  </si>
  <si>
    <t>39649</t>
  </si>
  <si>
    <t>39650</t>
  </si>
  <si>
    <t>39651</t>
  </si>
  <si>
    <t>39654</t>
  </si>
  <si>
    <t>39658</t>
  </si>
  <si>
    <t>39659</t>
  </si>
  <si>
    <t>39660</t>
  </si>
  <si>
    <t>39661</t>
  </si>
  <si>
    <t>39662</t>
  </si>
  <si>
    <t>39663</t>
  </si>
  <si>
    <t>39664</t>
  </si>
  <si>
    <t>39665</t>
  </si>
  <si>
    <t>39666</t>
  </si>
  <si>
    <t>39667</t>
  </si>
  <si>
    <t>39669</t>
  </si>
  <si>
    <t>39670</t>
  </si>
  <si>
    <t>39671</t>
  </si>
  <si>
    <t>39672</t>
  </si>
  <si>
    <t>39673</t>
  </si>
  <si>
    <t>39674</t>
  </si>
  <si>
    <t>39675</t>
  </si>
  <si>
    <t>39684</t>
  </si>
  <si>
    <t>39685</t>
  </si>
  <si>
    <t>39686</t>
  </si>
  <si>
    <t>39687</t>
  </si>
  <si>
    <t>39688</t>
  </si>
  <si>
    <t>39690</t>
  </si>
  <si>
    <t>39691</t>
  </si>
  <si>
    <t>39692</t>
  </si>
  <si>
    <t>39693</t>
  </si>
  <si>
    <t>39694</t>
  </si>
  <si>
    <t>39696</t>
  </si>
  <si>
    <t>39701</t>
  </si>
  <si>
    <t>39703</t>
  </si>
  <si>
    <t>39705</t>
  </si>
  <si>
    <t>39706</t>
  </si>
  <si>
    <t>39707</t>
  </si>
  <si>
    <t>39708</t>
  </si>
  <si>
    <t>39709</t>
  </si>
  <si>
    <t>39710</t>
  </si>
  <si>
    <t>39711</t>
  </si>
  <si>
    <t>39712</t>
  </si>
  <si>
    <t>39714</t>
  </si>
  <si>
    <t>39715</t>
  </si>
  <si>
    <t>39716</t>
  </si>
  <si>
    <t>39717</t>
  </si>
  <si>
    <t>39718</t>
  </si>
  <si>
    <t>39719</t>
  </si>
  <si>
    <t>39720</t>
  </si>
  <si>
    <t>39721</t>
  </si>
  <si>
    <t>39722</t>
  </si>
  <si>
    <t>39723</t>
  </si>
  <si>
    <t>39724</t>
  </si>
  <si>
    <t>39725</t>
  </si>
  <si>
    <t>39726</t>
  </si>
  <si>
    <t>39727</t>
  </si>
  <si>
    <t>39728</t>
  </si>
  <si>
    <t>39729</t>
  </si>
  <si>
    <t>39730</t>
  </si>
  <si>
    <t>39731</t>
  </si>
  <si>
    <t>39732</t>
  </si>
  <si>
    <t>39733</t>
  </si>
  <si>
    <t>39734</t>
  </si>
  <si>
    <t>39735</t>
  </si>
  <si>
    <t>39736</t>
  </si>
  <si>
    <t>39737</t>
  </si>
  <si>
    <t>39738</t>
  </si>
  <si>
    <t>39742</t>
  </si>
  <si>
    <t>39743</t>
  </si>
  <si>
    <t>39744</t>
  </si>
  <si>
    <t>39745</t>
  </si>
  <si>
    <t>39746</t>
  </si>
  <si>
    <t>39747</t>
  </si>
  <si>
    <t>39748</t>
  </si>
  <si>
    <t>39749</t>
  </si>
  <si>
    <t>39750</t>
  </si>
  <si>
    <t>39752</t>
  </si>
  <si>
    <t>39753</t>
  </si>
  <si>
    <t>39754</t>
  </si>
  <si>
    <t>39755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</si>
  <si>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</si>
  <si>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</si>
  <si>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</si>
  <si>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</si>
  <si>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</si>
  <si>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</si>
  <si>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</si>
  <si>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</si>
  <si>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39767</t>
  </si>
  <si>
    <t>39769</t>
  </si>
  <si>
    <t>39770</t>
  </si>
  <si>
    <t>39771</t>
  </si>
  <si>
    <t>39772</t>
  </si>
  <si>
    <t>39773</t>
  </si>
  <si>
    <t>39774</t>
  </si>
  <si>
    <t>39775</t>
  </si>
  <si>
    <t>39776</t>
  </si>
  <si>
    <t>39777</t>
  </si>
  <si>
    <t>39778</t>
  </si>
  <si>
    <t>39779</t>
  </si>
  <si>
    <t>39780</t>
  </si>
  <si>
    <t>39781</t>
  </si>
  <si>
    <t>39783</t>
  </si>
  <si>
    <t>39788</t>
  </si>
  <si>
    <t>39789</t>
  </si>
  <si>
    <t>39790</t>
  </si>
  <si>
    <t>39793</t>
  </si>
  <si>
    <t>39794</t>
  </si>
  <si>
    <t>39796</t>
  </si>
  <si>
    <t>39797</t>
  </si>
  <si>
    <t>39798</t>
  </si>
  <si>
    <t>39802</t>
  </si>
  <si>
    <t>39803</t>
  </si>
  <si>
    <t>39804</t>
  </si>
  <si>
    <t>39805</t>
  </si>
  <si>
    <t>39806</t>
  </si>
  <si>
    <t>39808</t>
  </si>
  <si>
    <t>39809</t>
  </si>
  <si>
    <t>39810</t>
  </si>
  <si>
    <t>39813</t>
  </si>
  <si>
    <t>39814</t>
  </si>
  <si>
    <t>39815</t>
  </si>
  <si>
    <t>39816</t>
  </si>
  <si>
    <t>39818</t>
  </si>
  <si>
    <t>39819</t>
  </si>
  <si>
    <t>39821</t>
  </si>
  <si>
    <t>39822</t>
  </si>
  <si>
    <t>39824</t>
  </si>
  <si>
    <t>39825</t>
  </si>
  <si>
    <t>39826</t>
  </si>
  <si>
    <t>39827</t>
  </si>
  <si>
    <t>39828</t>
  </si>
  <si>
    <t>39829</t>
  </si>
  <si>
    <t>39830</t>
  </si>
  <si>
    <t>39832</t>
  </si>
  <si>
    <t>39833</t>
  </si>
  <si>
    <t>39834</t>
  </si>
  <si>
    <t>39835</t>
  </si>
  <si>
    <t>39836</t>
  </si>
  <si>
    <t>39837</t>
  </si>
  <si>
    <t>39838</t>
  </si>
  <si>
    <t>39839</t>
  </si>
  <si>
    <t>39840</t>
  </si>
  <si>
    <t>39841</t>
  </si>
  <si>
    <t>39842</t>
  </si>
  <si>
    <t>39843</t>
  </si>
  <si>
    <t>39844</t>
  </si>
  <si>
    <t>39845</t>
  </si>
  <si>
    <t>39846</t>
  </si>
  <si>
    <t>39847</t>
  </si>
  <si>
    <t>39848</t>
  </si>
  <si>
    <t>39849</t>
  </si>
  <si>
    <t>39850</t>
  </si>
  <si>
    <t>39851</t>
  </si>
  <si>
    <t>39852</t>
  </si>
  <si>
    <t>39853</t>
  </si>
  <si>
    <t>39854</t>
  </si>
  <si>
    <t>39855</t>
  </si>
  <si>
    <t>39856</t>
  </si>
  <si>
    <t>39857</t>
  </si>
  <si>
    <t>39858</t>
  </si>
  <si>
    <t>39859</t>
  </si>
  <si>
    <t>39860</t>
  </si>
  <si>
    <t>39861</t>
  </si>
  <si>
    <t>39863</t>
  </si>
  <si>
    <t>39864</t>
  </si>
  <si>
    <t>39866</t>
  </si>
  <si>
    <t>39867</t>
  </si>
  <si>
    <t>39868</t>
  </si>
  <si>
    <t>39869</t>
  </si>
  <si>
    <t>39870</t>
  </si>
  <si>
    <t>39871</t>
  </si>
  <si>
    <t>39872</t>
  </si>
  <si>
    <t>39873</t>
  </si>
  <si>
    <t>39874</t>
  </si>
  <si>
    <t>39875</t>
  </si>
  <si>
    <t>39876</t>
  </si>
  <si>
    <t>39877</t>
  </si>
  <si>
    <t>39880</t>
  </si>
  <si>
    <t>39881</t>
  </si>
  <si>
    <t>39882</t>
  </si>
  <si>
    <t>39883</t>
  </si>
  <si>
    <t>39884</t>
  </si>
  <si>
    <t>39885</t>
  </si>
  <si>
    <t>39886</t>
  </si>
  <si>
    <t>39887</t>
  </si>
  <si>
    <t>39888</t>
  </si>
  <si>
    <t>39889</t>
  </si>
  <si>
    <t>39896</t>
  </si>
  <si>
    <t>39897</t>
  </si>
  <si>
    <t>39898</t>
  </si>
  <si>
    <t>39899</t>
  </si>
  <si>
    <t>39900</t>
  </si>
  <si>
    <t>39901</t>
  </si>
  <si>
    <t>39902</t>
  </si>
  <si>
    <t>39903</t>
  </si>
  <si>
    <t>39904</t>
  </si>
  <si>
    <t>39905</t>
  </si>
  <si>
    <t>39905A</t>
  </si>
  <si>
    <t>39906</t>
  </si>
  <si>
    <t>39907</t>
  </si>
  <si>
    <t>39908</t>
  </si>
  <si>
    <t>39909</t>
  </si>
  <si>
    <t>39910</t>
  </si>
  <si>
    <t>39911</t>
  </si>
  <si>
    <t>39912</t>
  </si>
  <si>
    <t>39913</t>
  </si>
  <si>
    <t>39914</t>
  </si>
  <si>
    <t>39915</t>
  </si>
  <si>
    <t>39916</t>
  </si>
  <si>
    <t>39917</t>
  </si>
  <si>
    <t>39918</t>
  </si>
  <si>
    <t>39919</t>
  </si>
  <si>
    <t>39921</t>
  </si>
  <si>
    <t>39922</t>
  </si>
  <si>
    <t>39923</t>
  </si>
  <si>
    <t>39924</t>
  </si>
  <si>
    <t>39925</t>
  </si>
  <si>
    <t>39926</t>
  </si>
  <si>
    <t>39927</t>
  </si>
  <si>
    <t>39928</t>
  </si>
  <si>
    <t>39929</t>
  </si>
  <si>
    <t>39930</t>
  </si>
  <si>
    <t>39931</t>
  </si>
  <si>
    <t>39932</t>
  </si>
  <si>
    <t>39933</t>
  </si>
  <si>
    <t>39934</t>
  </si>
  <si>
    <t>39935</t>
  </si>
  <si>
    <t>39936</t>
  </si>
  <si>
    <t>39937</t>
  </si>
  <si>
    <t>39938</t>
  </si>
  <si>
    <t>39939</t>
  </si>
  <si>
    <t>39940</t>
  </si>
  <si>
    <t>39941</t>
  </si>
  <si>
    <t>39942</t>
  </si>
  <si>
    <t>39943</t>
  </si>
  <si>
    <t>39944</t>
  </si>
  <si>
    <t>39945</t>
  </si>
  <si>
    <t>39948</t>
  </si>
  <si>
    <t>39949</t>
  </si>
  <si>
    <t>39950</t>
  </si>
  <si>
    <t>39951</t>
  </si>
  <si>
    <t>39952</t>
  </si>
  <si>
    <t>39954</t>
  </si>
  <si>
    <t>39955</t>
  </si>
  <si>
    <t>39956</t>
  </si>
  <si>
    <t>39957</t>
  </si>
  <si>
    <t>39959</t>
  </si>
  <si>
    <t>39959A</t>
  </si>
  <si>
    <t>39960</t>
  </si>
  <si>
    <t>39961</t>
  </si>
  <si>
    <t>39962</t>
  </si>
  <si>
    <t>39963</t>
  </si>
  <si>
    <t>39964</t>
  </si>
  <si>
    <t>39965</t>
  </si>
  <si>
    <t>39966</t>
  </si>
  <si>
    <t>39967</t>
  </si>
  <si>
    <t>39968</t>
  </si>
  <si>
    <t>39969</t>
  </si>
  <si>
    <t>39970</t>
  </si>
  <si>
    <t>39971</t>
  </si>
  <si>
    <t>39972</t>
  </si>
  <si>
    <t>39975</t>
  </si>
  <si>
    <t>39976</t>
  </si>
  <si>
    <t>39977</t>
  </si>
  <si>
    <t>39978</t>
  </si>
  <si>
    <t>39979</t>
  </si>
  <si>
    <t>39980</t>
  </si>
  <si>
    <t>39981</t>
  </si>
  <si>
    <t>39982</t>
  </si>
  <si>
    <t>39983</t>
  </si>
  <si>
    <t>39984</t>
  </si>
  <si>
    <t>39985</t>
  </si>
  <si>
    <t>39986</t>
  </si>
  <si>
    <t>39987</t>
  </si>
  <si>
    <t>39988</t>
  </si>
  <si>
    <t>39989</t>
  </si>
  <si>
    <t>39990</t>
  </si>
  <si>
    <t>39990A</t>
  </si>
  <si>
    <t>39991</t>
  </si>
  <si>
    <t>39991A</t>
  </si>
  <si>
    <t>39992</t>
  </si>
  <si>
    <t>39992A</t>
  </si>
  <si>
    <t>39993</t>
  </si>
  <si>
    <t>39994</t>
  </si>
  <si>
    <t>39995</t>
  </si>
  <si>
    <t>39997</t>
  </si>
  <si>
    <t>39998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</si>
  <si>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</si>
  <si>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</si>
  <si>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</si>
  <si>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</si>
  <si>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</si>
  <si>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</si>
  <si>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</si>
  <si>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</si>
  <si>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</si>
  <si>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</si>
  <si>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</si>
  <si>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</si>
  <si>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</si>
  <si>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</si>
  <si>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</si>
  <si>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</si>
  <si>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</si>
  <si>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</si>
  <si>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</si>
  <si>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</si>
  <si>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</si>
  <si>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</si>
  <si>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</si>
  <si>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</si>
  <si>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40027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</si>
  <si>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</si>
  <si>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</si>
  <si>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</si>
  <si>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</si>
  <si>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</si>
  <si>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</si>
  <si>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</si>
  <si>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</si>
  <si>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</si>
  <si>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</si>
  <si>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</si>
  <si>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</si>
  <si>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</si>
  <si>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</si>
  <si>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</si>
  <si>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</si>
  <si>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</si>
  <si>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</si>
  <si>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</si>
  <si>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</si>
  <si>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</si>
  <si>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</si>
  <si>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</si>
  <si>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</si>
  <si>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</si>
  <si>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</si>
  <si>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</si>
  <si>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</si>
  <si>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</si>
  <si>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</si>
  <si>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</si>
  <si>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</si>
  <si>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</si>
  <si>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</si>
  <si>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</si>
  <si>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</si>
  <si>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</si>
  <si>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</si>
  <si>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</si>
  <si>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</si>
  <si>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40072</t>
  </si>
  <si>
    <t>40073</t>
  </si>
  <si>
    <t>40074</t>
  </si>
  <si>
    <t>40076</t>
  </si>
  <si>
    <t>40078</t>
  </si>
  <si>
    <t>40079</t>
  </si>
  <si>
    <t>40080</t>
  </si>
  <si>
    <t>40083</t>
  </si>
  <si>
    <t>40084</t>
  </si>
  <si>
    <t>40085</t>
  </si>
  <si>
    <t>40085A</t>
  </si>
  <si>
    <t>40086</t>
  </si>
  <si>
    <t>40087</t>
  </si>
  <si>
    <t>40089</t>
  </si>
  <si>
    <t>40090</t>
  </si>
  <si>
    <t>40091</t>
  </si>
  <si>
    <t>40094</t>
  </si>
  <si>
    <t>40095</t>
  </si>
  <si>
    <t>40096</t>
  </si>
  <si>
    <t>40097</t>
  </si>
  <si>
    <t>40099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</si>
  <si>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</si>
  <si>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</si>
  <si>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</si>
  <si>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</si>
  <si>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</si>
  <si>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</si>
  <si>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</si>
  <si>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</si>
  <si>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</si>
  <si>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</si>
  <si>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</si>
  <si>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</si>
  <si>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40114</t>
  </si>
  <si>
    <t>40115</t>
  </si>
  <si>
    <t>40116</t>
  </si>
  <si>
    <t>40117</t>
  </si>
  <si>
    <t>40118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</si>
  <si>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</si>
  <si>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</si>
  <si>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</si>
  <si>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</si>
  <si>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</si>
  <si>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</si>
  <si>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</si>
  <si>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</si>
  <si>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</si>
  <si>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</si>
  <si>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</si>
  <si>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</si>
  <si>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</si>
  <si>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</si>
  <si>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40134A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</si>
  <si>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</si>
  <si>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</si>
  <si>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</si>
  <si>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</si>
  <si>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</si>
  <si>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</si>
  <si>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</si>
  <si>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</si>
  <si>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</si>
  <si>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</si>
  <si>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</si>
  <si>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</si>
  <si>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</si>
  <si>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</si>
  <si>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</si>
  <si>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</si>
  <si>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</si>
  <si>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</si>
  <si>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</si>
  <si>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</si>
  <si>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</si>
  <si>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</si>
  <si>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</si>
  <si>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</si>
  <si>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</si>
  <si>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</si>
  <si>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40166</t>
  </si>
  <si>
    <t>40167</t>
  </si>
  <si>
    <t>40168</t>
  </si>
  <si>
    <t>40171</t>
  </si>
  <si>
    <t>40174</t>
  </si>
  <si>
    <t>40175</t>
  </si>
  <si>
    <t>40177</t>
  </si>
  <si>
    <t>40178</t>
  </si>
  <si>
    <t>40179</t>
  </si>
  <si>
    <t>40180</t>
  </si>
  <si>
    <t>40181</t>
  </si>
  <si>
    <t>40182</t>
  </si>
  <si>
    <t>40183</t>
  </si>
  <si>
    <t>40185</t>
  </si>
  <si>
    <t>40186</t>
  </si>
  <si>
    <t>40187</t>
  </si>
  <si>
    <t>40188</t>
  </si>
  <si>
    <t>40189</t>
  </si>
  <si>
    <t>40192</t>
  </si>
  <si>
    <t>40193</t>
  </si>
  <si>
    <t>40194</t>
  </si>
  <si>
    <t>40195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</si>
  <si>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</si>
  <si>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</si>
  <si>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</si>
  <si>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</si>
  <si>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</si>
  <si>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</si>
  <si>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</si>
  <si>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</si>
  <si>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</si>
  <si>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</si>
  <si>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</si>
  <si>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</si>
  <si>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</si>
  <si>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</si>
  <si>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</si>
  <si>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</si>
  <si>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40215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</si>
  <si>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</si>
  <si>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</si>
  <si>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</si>
  <si>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</si>
  <si>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</si>
  <si>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</si>
  <si>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</si>
  <si>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</si>
  <si>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</si>
  <si>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</si>
  <si>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</si>
  <si>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</si>
  <si>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</si>
  <si>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</si>
  <si>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</si>
  <si>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</si>
  <si>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</si>
  <si>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</si>
  <si>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</si>
  <si>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</si>
  <si>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</si>
  <si>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</si>
  <si>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</si>
  <si>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</si>
  <si>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</si>
  <si>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</si>
  <si>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</si>
  <si>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40248</t>
  </si>
  <si>
    <t>40249</t>
  </si>
  <si>
    <t>40250</t>
  </si>
  <si>
    <t>40252</t>
  </si>
  <si>
    <t>40253</t>
  </si>
  <si>
    <t>40254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</si>
  <si>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</si>
  <si>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</si>
  <si>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</si>
  <si>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</si>
  <si>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</si>
  <si>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</si>
  <si>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</si>
  <si>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</si>
  <si>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</si>
  <si>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</si>
  <si>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</si>
  <si>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</si>
  <si>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</si>
  <si>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</si>
  <si>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</si>
  <si>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</si>
  <si>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</si>
  <si>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</si>
  <si>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</si>
  <si>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</si>
  <si>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</si>
  <si>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</si>
  <si>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40279</t>
  </si>
  <si>
    <t>40280</t>
  </si>
  <si>
    <t>40281</t>
  </si>
  <si>
    <t>40282</t>
  </si>
  <si>
    <t>40283</t>
  </si>
  <si>
    <t>40285</t>
  </si>
  <si>
    <t>40286</t>
  </si>
  <si>
    <t>40287</t>
  </si>
  <si>
    <t>40290</t>
  </si>
  <si>
    <t>40291</t>
  </si>
  <si>
    <t>40292</t>
  </si>
  <si>
    <t>40293</t>
  </si>
  <si>
    <t>40294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</si>
  <si>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</si>
  <si>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</si>
  <si>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</si>
  <si>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</si>
  <si>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</si>
  <si>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</si>
  <si>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</si>
  <si>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</si>
  <si>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</si>
  <si>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40306</t>
  </si>
  <si>
    <t>40313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</si>
  <si>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</si>
  <si>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</si>
  <si>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</si>
  <si>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</si>
  <si>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</si>
  <si>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</si>
  <si>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</si>
  <si>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</si>
  <si>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</si>
  <si>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</si>
  <si>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</si>
  <si>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</si>
  <si>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</si>
  <si>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</si>
  <si>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</si>
  <si>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</si>
  <si>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</si>
  <si>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</si>
  <si>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</si>
  <si>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</si>
  <si>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40335</t>
  </si>
  <si>
    <t>40336</t>
  </si>
  <si>
    <t>40337</t>
  </si>
  <si>
    <t>40337A</t>
  </si>
  <si>
    <t>40338</t>
  </si>
  <si>
    <t>40339</t>
  </si>
  <si>
    <t>40341</t>
  </si>
  <si>
    <t>40342</t>
  </si>
  <si>
    <t>40343</t>
  </si>
  <si>
    <t>40344</t>
  </si>
  <si>
    <t>40345</t>
  </si>
  <si>
    <t>40346</t>
  </si>
  <si>
    <t>40347</t>
  </si>
  <si>
    <t>40348</t>
  </si>
  <si>
    <t>40350</t>
  </si>
  <si>
    <t>40352</t>
  </si>
  <si>
    <t>40353</t>
  </si>
  <si>
    <t>40355</t>
  </si>
  <si>
    <t>40355A</t>
  </si>
  <si>
    <t>40356</t>
  </si>
  <si>
    <t>40356A</t>
  </si>
  <si>
    <t>40358</t>
  </si>
  <si>
    <t>40359</t>
  </si>
  <si>
    <t>40360</t>
  </si>
  <si>
    <t>40361</t>
  </si>
  <si>
    <t>40362</t>
  </si>
  <si>
    <t>40363</t>
  </si>
  <si>
    <t>40364</t>
  </si>
  <si>
    <t>40365</t>
  </si>
  <si>
    <t>40366</t>
  </si>
  <si>
    <t>40367</t>
  </si>
  <si>
    <t>40368</t>
  </si>
  <si>
    <t>40369</t>
  </si>
  <si>
    <t>40370</t>
  </si>
  <si>
    <t>40371</t>
  </si>
  <si>
    <t>40372</t>
  </si>
  <si>
    <t>40373</t>
  </si>
  <si>
    <t>40374</t>
  </si>
  <si>
    <t>40375</t>
  </si>
  <si>
    <t>40376</t>
  </si>
  <si>
    <t>40377</t>
  </si>
  <si>
    <t>40378</t>
  </si>
  <si>
    <t>40379</t>
  </si>
  <si>
    <t>40380</t>
  </si>
  <si>
    <t>40381</t>
  </si>
  <si>
    <t>40382</t>
  </si>
  <si>
    <t>40383</t>
  </si>
  <si>
    <t>40384</t>
  </si>
  <si>
    <t>40385</t>
  </si>
  <si>
    <t>40386</t>
  </si>
  <si>
    <t>40387</t>
  </si>
  <si>
    <t>40388</t>
  </si>
  <si>
    <t>40389</t>
  </si>
  <si>
    <t>40390</t>
  </si>
  <si>
    <t>40391</t>
  </si>
  <si>
    <t>40391A</t>
  </si>
  <si>
    <t>40392</t>
  </si>
  <si>
    <t>40392A</t>
  </si>
  <si>
    <t>40393</t>
  </si>
  <si>
    <t>40393A</t>
  </si>
  <si>
    <t>40394</t>
  </si>
  <si>
    <t>40394A</t>
  </si>
  <si>
    <t>40395</t>
  </si>
  <si>
    <t>40395A</t>
  </si>
  <si>
    <t>40396</t>
  </si>
  <si>
    <t>40396A</t>
  </si>
  <si>
    <t>40397</t>
  </si>
  <si>
    <t>40397A</t>
  </si>
  <si>
    <t>40398</t>
  </si>
  <si>
    <t>40398A</t>
  </si>
  <si>
    <t>40399</t>
  </si>
  <si>
    <t>40399A</t>
  </si>
  <si>
    <t>40400</t>
  </si>
  <si>
    <t>40400A</t>
  </si>
  <si>
    <t>40402</t>
  </si>
  <si>
    <t>40402A</t>
  </si>
  <si>
    <t>40403</t>
  </si>
  <si>
    <t>40403A</t>
  </si>
  <si>
    <t>40404</t>
  </si>
  <si>
    <t>40404A</t>
  </si>
  <si>
    <t>40404B</t>
  </si>
  <si>
    <t>40405</t>
  </si>
  <si>
    <t>40405A</t>
  </si>
  <si>
    <t>40406</t>
  </si>
  <si>
    <t>40407</t>
  </si>
  <si>
    <t>40409</t>
  </si>
  <si>
    <t>40410</t>
  </si>
  <si>
    <t>40411</t>
  </si>
  <si>
    <t>40412</t>
  </si>
  <si>
    <t>40414</t>
  </si>
  <si>
    <t>40415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</si>
  <si>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</si>
  <si>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</si>
  <si>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</si>
  <si>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</si>
  <si>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</si>
  <si>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</si>
  <si>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</si>
  <si>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</si>
  <si>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</si>
  <si>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</si>
  <si>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</si>
  <si>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40426A</t>
  </si>
  <si>
    <t>40428</t>
  </si>
  <si>
    <t>40429</t>
  </si>
  <si>
    <t>40430</t>
  </si>
  <si>
    <t>40431</t>
  </si>
  <si>
    <t>40432</t>
  </si>
  <si>
    <t>40433</t>
  </si>
  <si>
    <t>40435</t>
  </si>
  <si>
    <t>40436</t>
  </si>
  <si>
    <t>40437</t>
  </si>
  <si>
    <t>40438</t>
  </si>
  <si>
    <t>40439</t>
  </si>
  <si>
    <t>40440</t>
  </si>
  <si>
    <t>40441</t>
  </si>
  <si>
    <t>40442</t>
  </si>
  <si>
    <t>40443</t>
  </si>
  <si>
    <t>40444</t>
  </si>
  <si>
    <t>40445</t>
  </si>
  <si>
    <t>40446</t>
  </si>
  <si>
    <t>40447</t>
  </si>
  <si>
    <t>40448</t>
  </si>
  <si>
    <t>40449</t>
  </si>
  <si>
    <t>40450</t>
  </si>
  <si>
    <t>40451</t>
  </si>
  <si>
    <t>40452</t>
  </si>
  <si>
    <t>40453</t>
  </si>
  <si>
    <t>40454</t>
  </si>
  <si>
    <t>40455</t>
  </si>
  <si>
    <t>40456</t>
  </si>
  <si>
    <t>40457</t>
  </si>
  <si>
    <t>40458</t>
  </si>
  <si>
    <t>40459</t>
  </si>
  <si>
    <t>40460</t>
  </si>
  <si>
    <t>40461</t>
  </si>
  <si>
    <t>40462</t>
  </si>
  <si>
    <t>40463</t>
  </si>
  <si>
    <t>40464</t>
  </si>
  <si>
    <t>40465</t>
  </si>
  <si>
    <t>40466</t>
  </si>
  <si>
    <t>40467</t>
  </si>
  <si>
    <t>40468</t>
  </si>
  <si>
    <t>40470</t>
  </si>
  <si>
    <t>40471</t>
  </si>
  <si>
    <t>40472</t>
  </si>
  <si>
    <t>40473</t>
  </si>
  <si>
    <t>40474</t>
  </si>
  <si>
    <t>40475</t>
  </si>
  <si>
    <t>40476</t>
  </si>
  <si>
    <t>40477</t>
  </si>
  <si>
    <t>40479</t>
  </si>
  <si>
    <t>40480</t>
  </si>
  <si>
    <t>40481</t>
  </si>
  <si>
    <t>40482</t>
  </si>
  <si>
    <t>40483</t>
  </si>
  <si>
    <t>40484</t>
  </si>
  <si>
    <t>40485</t>
  </si>
  <si>
    <t>40486</t>
  </si>
  <si>
    <t>40487</t>
  </si>
  <si>
    <t>40489</t>
  </si>
  <si>
    <t>40490</t>
  </si>
  <si>
    <t>40497</t>
  </si>
  <si>
    <t>40498</t>
  </si>
  <si>
    <t>40499</t>
  </si>
  <si>
    <t>40500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</si>
  <si>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</si>
  <si>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</si>
  <si>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</si>
  <si>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</si>
  <si>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</si>
  <si>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</si>
  <si>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</si>
  <si>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</si>
  <si>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</si>
  <si>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</si>
  <si>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</si>
  <si>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</si>
  <si>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</si>
  <si>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</si>
  <si>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</si>
  <si>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</si>
  <si>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</si>
  <si>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</si>
  <si>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40519</t>
  </si>
  <si>
    <t>40520</t>
  </si>
  <si>
    <t>40521</t>
  </si>
  <si>
    <t>40522</t>
  </si>
  <si>
    <t>40523</t>
  </si>
  <si>
    <t>40524</t>
  </si>
  <si>
    <t>40525</t>
  </si>
  <si>
    <t>40526</t>
  </si>
  <si>
    <t>40527</t>
  </si>
  <si>
    <t>40528</t>
  </si>
  <si>
    <t>40529</t>
  </si>
  <si>
    <t>40530</t>
  </si>
  <si>
    <t>40531</t>
  </si>
  <si>
    <t>40532</t>
  </si>
  <si>
    <t>40533</t>
  </si>
  <si>
    <t>40535</t>
  </si>
  <si>
    <t>40536</t>
  </si>
  <si>
    <t>40537</t>
  </si>
  <si>
    <t>40538</t>
  </si>
  <si>
    <t>40539</t>
  </si>
  <si>
    <t>40540</t>
  </si>
  <si>
    <t>40541</t>
  </si>
  <si>
    <t>40542</t>
  </si>
  <si>
    <t>40544</t>
  </si>
  <si>
    <t>40545</t>
  </si>
  <si>
    <t>40546</t>
  </si>
  <si>
    <t>40547</t>
  </si>
  <si>
    <t>40548</t>
  </si>
  <si>
    <t>40551</t>
  </si>
  <si>
    <t>40555</t>
  </si>
  <si>
    <t>40556</t>
  </si>
  <si>
    <t>40557</t>
  </si>
  <si>
    <t>40558</t>
  </si>
  <si>
    <t>40559</t>
  </si>
  <si>
    <t>40560</t>
  </si>
  <si>
    <t>40561</t>
  </si>
  <si>
    <t>40562</t>
  </si>
  <si>
    <t>40563</t>
  </si>
  <si>
    <t>40564</t>
  </si>
  <si>
    <t>40565</t>
  </si>
  <si>
    <t>40566</t>
  </si>
  <si>
    <t>40567</t>
  </si>
  <si>
    <t>40568</t>
  </si>
  <si>
    <t>40570</t>
  </si>
  <si>
    <t>40572</t>
  </si>
  <si>
    <t>40573</t>
  </si>
  <si>
    <t>40574</t>
  </si>
  <si>
    <t>40577</t>
  </si>
  <si>
    <t>40578</t>
  </si>
  <si>
    <t>40579</t>
  </si>
  <si>
    <t>40580</t>
  </si>
  <si>
    <t>40581</t>
  </si>
  <si>
    <t>40582</t>
  </si>
  <si>
    <t>40583</t>
  </si>
  <si>
    <t>40584</t>
  </si>
  <si>
    <t>40591</t>
  </si>
  <si>
    <t>40593</t>
  </si>
  <si>
    <t>40594</t>
  </si>
  <si>
    <t>40595</t>
  </si>
  <si>
    <t>40596</t>
  </si>
  <si>
    <t>40597</t>
  </si>
  <si>
    <t>40598</t>
  </si>
  <si>
    <t>40600</t>
  </si>
  <si>
    <t>40601</t>
  </si>
  <si>
    <t>40602</t>
  </si>
  <si>
    <t>40604</t>
  </si>
  <si>
    <t>40605</t>
  </si>
  <si>
    <t>40607</t>
  </si>
  <si>
    <t>40608</t>
  </si>
  <si>
    <t>40609</t>
  </si>
  <si>
    <t>40610</t>
  </si>
  <si>
    <t>40611</t>
  </si>
  <si>
    <t>40612</t>
  </si>
  <si>
    <t>40613</t>
  </si>
  <si>
    <t>40614</t>
  </si>
  <si>
    <t>40615</t>
  </si>
  <si>
    <t>40616</t>
  </si>
  <si>
    <t>40617</t>
  </si>
  <si>
    <t>40621</t>
  </si>
  <si>
    <t>40622</t>
  </si>
  <si>
    <t>40623</t>
  </si>
  <si>
    <t>40625</t>
  </si>
  <si>
    <t>40626</t>
  </si>
  <si>
    <t>40627</t>
  </si>
  <si>
    <t>40628</t>
  </si>
  <si>
    <t>40629</t>
  </si>
  <si>
    <t>40630</t>
  </si>
  <si>
    <t>40631</t>
  </si>
  <si>
    <t>40632</t>
  </si>
  <si>
    <t>40633</t>
  </si>
  <si>
    <t>40634</t>
  </si>
  <si>
    <t>40635</t>
  </si>
  <si>
    <t>40636</t>
  </si>
  <si>
    <t>40637</t>
  </si>
  <si>
    <t>40638</t>
  </si>
  <si>
    <t>40639</t>
  </si>
  <si>
    <t>40640</t>
  </si>
  <si>
    <t>40641</t>
  </si>
  <si>
    <t>40642</t>
  </si>
  <si>
    <t>40643</t>
  </si>
  <si>
    <t>40644</t>
  </si>
  <si>
    <t>40645</t>
  </si>
  <si>
    <t>40646</t>
  </si>
  <si>
    <t>40647</t>
  </si>
  <si>
    <t>40648</t>
  </si>
  <si>
    <t>40649</t>
  </si>
  <si>
    <t>40650</t>
  </si>
  <si>
    <t>40651</t>
  </si>
  <si>
    <t>40651/CO</t>
  </si>
  <si>
    <t>40652</t>
  </si>
  <si>
    <t>40653</t>
  </si>
  <si>
    <t>40654</t>
  </si>
  <si>
    <t>40655</t>
  </si>
  <si>
    <t>40656</t>
  </si>
  <si>
    <t>40657</t>
  </si>
  <si>
    <t>40658</t>
  </si>
  <si>
    <t>40659</t>
  </si>
  <si>
    <t>40660</t>
  </si>
  <si>
    <t>40661</t>
  </si>
  <si>
    <t>40662</t>
  </si>
  <si>
    <t>40663</t>
  </si>
  <si>
    <t>40664</t>
  </si>
  <si>
    <t>40665</t>
  </si>
  <si>
    <t>40666</t>
  </si>
  <si>
    <t>40667</t>
  </si>
  <si>
    <t>40668</t>
  </si>
  <si>
    <t>40669</t>
  </si>
  <si>
    <t>40670</t>
  </si>
  <si>
    <t>40671</t>
  </si>
  <si>
    <t>40672</t>
  </si>
  <si>
    <t>40673</t>
  </si>
  <si>
    <t>40674</t>
  </si>
  <si>
    <t>40675</t>
  </si>
  <si>
    <t>40676</t>
  </si>
  <si>
    <t>40677</t>
  </si>
  <si>
    <t>40678</t>
  </si>
  <si>
    <t>40681</t>
  </si>
  <si>
    <t>40682</t>
  </si>
  <si>
    <t>40683</t>
  </si>
  <si>
    <t>40684</t>
  </si>
  <si>
    <t>40686</t>
  </si>
  <si>
    <t>40687</t>
  </si>
  <si>
    <t>40688</t>
  </si>
  <si>
    <t>40689</t>
  </si>
  <si>
    <t>40690</t>
  </si>
  <si>
    <t>40691</t>
  </si>
  <si>
    <t>40692</t>
  </si>
  <si>
    <t>40695</t>
  </si>
  <si>
    <t>40696</t>
  </si>
  <si>
    <t>40699</t>
  </si>
  <si>
    <t>40700</t>
  </si>
  <si>
    <t>40701</t>
  </si>
  <si>
    <t>40702</t>
  </si>
  <si>
    <t>40703</t>
  </si>
  <si>
    <t>40704</t>
  </si>
  <si>
    <t>40705</t>
  </si>
  <si>
    <t>40709</t>
  </si>
  <si>
    <t>40710</t>
  </si>
  <si>
    <t>40711</t>
  </si>
  <si>
    <t>40712</t>
  </si>
  <si>
    <t>40713</t>
  </si>
  <si>
    <t>40714</t>
  </si>
  <si>
    <t>40715</t>
  </si>
  <si>
    <t>40716</t>
  </si>
  <si>
    <t>40717</t>
  </si>
  <si>
    <t>40718</t>
  </si>
  <si>
    <t>40719</t>
  </si>
  <si>
    <t>40720</t>
  </si>
  <si>
    <t>40721</t>
  </si>
  <si>
    <t>40721/CO</t>
  </si>
  <si>
    <t>40722</t>
  </si>
  <si>
    <t>40723</t>
  </si>
  <si>
    <t>40725</t>
  </si>
  <si>
    <t>40727</t>
  </si>
  <si>
    <t>40728</t>
  </si>
  <si>
    <t>40729</t>
  </si>
  <si>
    <t>40730</t>
  </si>
  <si>
    <t>40732</t>
  </si>
  <si>
    <t>40734</t>
  </si>
  <si>
    <t>40735</t>
  </si>
  <si>
    <t>40736</t>
  </si>
  <si>
    <t>40737</t>
  </si>
  <si>
    <t>40738</t>
  </si>
  <si>
    <t>40739</t>
  </si>
  <si>
    <t>40740</t>
  </si>
  <si>
    <t>40741</t>
  </si>
  <si>
    <t>40742</t>
  </si>
  <si>
    <t>40743</t>
  </si>
  <si>
    <t>40744</t>
  </si>
  <si>
    <t>40745</t>
  </si>
  <si>
    <t>40745A</t>
  </si>
  <si>
    <t>40746</t>
  </si>
  <si>
    <t>40748</t>
  </si>
  <si>
    <t>40749</t>
  </si>
  <si>
    <t>40750</t>
  </si>
  <si>
    <t>40751</t>
  </si>
  <si>
    <t>40752</t>
  </si>
  <si>
    <t>40753</t>
  </si>
  <si>
    <t>40753A</t>
  </si>
  <si>
    <t>40754</t>
  </si>
  <si>
    <t>40755</t>
  </si>
  <si>
    <t>40756</t>
  </si>
  <si>
    <t>40757</t>
  </si>
  <si>
    <t>40758</t>
  </si>
  <si>
    <t>40759</t>
  </si>
  <si>
    <t>40760</t>
  </si>
  <si>
    <t>50000</t>
  </si>
  <si>
    <t>50001</t>
  </si>
  <si>
    <t>50002</t>
  </si>
  <si>
    <t>50003</t>
  </si>
  <si>
    <t>50005</t>
  </si>
  <si>
    <t>50006</t>
  </si>
  <si>
    <t>50007</t>
  </si>
  <si>
    <t>50008</t>
  </si>
  <si>
    <t>50009</t>
  </si>
  <si>
    <t>50010</t>
  </si>
  <si>
    <t>50011</t>
  </si>
  <si>
    <t>50016</t>
  </si>
  <si>
    <t>50017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</si>
  <si>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</si>
  <si>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</si>
  <si>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</si>
  <si>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</si>
  <si>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</si>
  <si>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</si>
  <si>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</si>
  <si>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</si>
  <si>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</si>
  <si>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</si>
  <si>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</si>
  <si>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</si>
  <si>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</si>
  <si>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</si>
  <si>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</si>
  <si>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</si>
  <si>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</si>
  <si>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</si>
  <si>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</si>
  <si>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</si>
  <si>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50042</t>
  </si>
  <si>
    <t>50044</t>
  </si>
  <si>
    <t>50045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</si>
  <si>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</si>
  <si>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</si>
  <si>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</si>
  <si>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</si>
  <si>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</si>
  <si>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</si>
  <si>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</si>
  <si>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</si>
  <si>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</si>
  <si>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</si>
  <si>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</si>
  <si>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</si>
  <si>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</si>
  <si>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</si>
  <si>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</si>
  <si>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</si>
  <si>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</si>
  <si>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</si>
  <si>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</si>
  <si>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</si>
  <si>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</si>
  <si>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</si>
  <si>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</si>
  <si>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</si>
  <si>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</si>
  <si>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</si>
  <si>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</si>
  <si>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</si>
  <si>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</si>
  <si>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</si>
  <si>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</si>
  <si>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</si>
  <si>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</si>
  <si>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</si>
  <si>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</si>
  <si>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</si>
  <si>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</si>
  <si>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</si>
  <si>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</si>
  <si>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</si>
  <si>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</si>
  <si>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</si>
  <si>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</si>
  <si>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</si>
  <si>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</si>
  <si>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</si>
  <si>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</si>
  <si>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</si>
  <si>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</si>
  <si>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</si>
  <si>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</si>
  <si>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</si>
  <si>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</si>
  <si>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</si>
  <si>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</si>
  <si>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</si>
  <si>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</si>
  <si>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</si>
  <si>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</si>
  <si>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</si>
  <si>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</si>
  <si>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</si>
  <si>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</si>
  <si>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</si>
  <si>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</si>
  <si>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</si>
  <si>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50115A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</si>
  <si>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</si>
  <si>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</si>
  <si>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</si>
  <si>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</si>
  <si>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</si>
  <si>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</si>
  <si>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</si>
  <si>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</si>
  <si>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</si>
  <si>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</si>
  <si>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</si>
  <si>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</si>
  <si>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</si>
  <si>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</si>
  <si>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</si>
  <si>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</si>
  <si>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</si>
  <si>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</si>
  <si>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</si>
  <si>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</si>
  <si>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</si>
  <si>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</si>
  <si>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</si>
  <si>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</si>
  <si>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</si>
  <si>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</si>
  <si>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</si>
  <si>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</si>
  <si>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</si>
  <si>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</si>
  <si>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</si>
  <si>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</si>
  <si>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</si>
  <si>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</si>
  <si>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</si>
  <si>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</si>
  <si>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</si>
  <si>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</si>
  <si>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</si>
  <si>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</si>
  <si>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</si>
  <si>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</si>
  <si>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</si>
  <si>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</si>
  <si>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</si>
  <si>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</si>
  <si>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</si>
  <si>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</si>
  <si>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</si>
  <si>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</si>
  <si>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50174</t>
  </si>
  <si>
    <t>50175</t>
  </si>
  <si>
    <t>50176</t>
  </si>
  <si>
    <t>50177</t>
  </si>
  <si>
    <t>50178</t>
  </si>
  <si>
    <t>50179</t>
  </si>
  <si>
    <t>50180</t>
  </si>
  <si>
    <t>50180A</t>
  </si>
  <si>
    <t>50181</t>
  </si>
  <si>
    <t>50182</t>
  </si>
  <si>
    <t>50183</t>
  </si>
  <si>
    <t>50184</t>
  </si>
  <si>
    <t>50185</t>
  </si>
  <si>
    <t>50186</t>
  </si>
  <si>
    <t>50187</t>
  </si>
  <si>
    <t>50189</t>
  </si>
  <si>
    <t>50190</t>
  </si>
  <si>
    <t>50190A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</si>
  <si>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</si>
  <si>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</si>
  <si>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</si>
  <si>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</si>
  <si>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</si>
  <si>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</si>
  <si>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</si>
  <si>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</si>
  <si>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50201</t>
  </si>
  <si>
    <t>50202</t>
  </si>
  <si>
    <t>50203</t>
  </si>
  <si>
    <t>50204</t>
  </si>
  <si>
    <t>50206</t>
  </si>
  <si>
    <t>50207</t>
  </si>
  <si>
    <t>50208</t>
  </si>
  <si>
    <t>50209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</si>
  <si>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</si>
  <si>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</si>
  <si>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</si>
  <si>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</si>
  <si>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</si>
  <si>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</si>
  <si>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</si>
  <si>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</si>
  <si>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</si>
  <si>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</si>
  <si>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</si>
  <si>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</si>
  <si>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</si>
  <si>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</si>
  <si>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</si>
  <si>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</si>
  <si>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</si>
  <si>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</si>
  <si>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</si>
  <si>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</si>
  <si>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</si>
  <si>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</si>
  <si>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</si>
  <si>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</si>
  <si>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</si>
  <si>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</si>
  <si>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</si>
  <si>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</si>
  <si>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</si>
  <si>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</si>
  <si>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</si>
  <si>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</si>
  <si>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</si>
  <si>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</si>
  <si>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</si>
  <si>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</si>
  <si>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</si>
  <si>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</si>
  <si>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</si>
  <si>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</si>
  <si>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</si>
  <si>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</si>
  <si>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</si>
  <si>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</si>
  <si>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</si>
  <si>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</si>
  <si>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</si>
  <si>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50260A</t>
  </si>
  <si>
    <t>50260B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</si>
  <si>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</si>
  <si>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</si>
  <si>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</si>
  <si>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</si>
  <si>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</si>
  <si>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</si>
  <si>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</si>
  <si>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</si>
  <si>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</si>
  <si>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</si>
  <si>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</si>
  <si>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</si>
  <si>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</si>
  <si>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</si>
  <si>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</si>
  <si>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</si>
  <si>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</si>
  <si>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</si>
  <si>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</si>
  <si>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</si>
  <si>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</si>
  <si>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</si>
  <si>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</si>
  <si>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</si>
  <si>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</si>
  <si>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</si>
  <si>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50286A</t>
  </si>
  <si>
    <t>50286B</t>
  </si>
  <si>
    <t>50286C</t>
  </si>
  <si>
    <t>50287</t>
  </si>
  <si>
    <t>50288</t>
  </si>
  <si>
    <t>50289</t>
  </si>
  <si>
    <t>50290</t>
  </si>
  <si>
    <t>50291</t>
  </si>
  <si>
    <t>50292</t>
  </si>
  <si>
    <t>50294</t>
  </si>
  <si>
    <t>50295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</si>
  <si>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</si>
  <si>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</si>
  <si>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</si>
  <si>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</si>
  <si>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</si>
  <si>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</si>
  <si>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</si>
  <si>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</si>
  <si>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</si>
  <si>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</si>
  <si>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</si>
  <si>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</si>
  <si>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</si>
  <si>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</si>
  <si>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</si>
  <si>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</si>
  <si>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</si>
  <si>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</si>
  <si>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</si>
  <si>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</si>
  <si>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</si>
  <si>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</si>
  <si>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</si>
  <si>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</si>
  <si>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</si>
  <si>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</si>
  <si>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</si>
  <si>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</si>
  <si>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</si>
  <si>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</si>
  <si>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</si>
  <si>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</si>
  <si>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</si>
  <si>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</si>
  <si>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</si>
  <si>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</si>
  <si>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</si>
  <si>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</si>
  <si>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</si>
  <si>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</si>
  <si>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</si>
  <si>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</si>
  <si>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</si>
  <si>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</si>
  <si>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50347</t>
  </si>
  <si>
    <t>50348</t>
  </si>
  <si>
    <t>50348/CO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</si>
  <si>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</si>
  <si>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</si>
  <si>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</si>
  <si>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</si>
  <si>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</si>
  <si>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</si>
  <si>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</si>
  <si>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</si>
  <si>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</si>
  <si>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</si>
  <si>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</si>
  <si>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</si>
  <si>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</si>
  <si>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</si>
  <si>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</si>
  <si>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</si>
  <si>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</si>
  <si>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</si>
  <si>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</si>
  <si>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</si>
  <si>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</si>
  <si>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</si>
  <si>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50373</t>
  </si>
  <si>
    <t>50374</t>
  </si>
  <si>
    <t>50375</t>
  </si>
  <si>
    <t>50376</t>
  </si>
  <si>
    <t>50378</t>
  </si>
  <si>
    <t>50379</t>
  </si>
  <si>
    <t>50380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</si>
  <si>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</si>
  <si>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</si>
  <si>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</si>
  <si>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</si>
  <si>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</si>
  <si>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</si>
  <si>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</si>
  <si>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</si>
  <si>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</si>
  <si>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</si>
  <si>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</si>
  <si>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</si>
  <si>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</si>
  <si>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</si>
  <si>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</si>
  <si>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</si>
  <si>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</si>
  <si>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</si>
  <si>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</si>
  <si>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</si>
  <si>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</si>
  <si>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</si>
  <si>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</si>
  <si>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</si>
  <si>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</si>
  <si>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</si>
  <si>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50408A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</si>
  <si>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</si>
  <si>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</si>
  <si>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</si>
  <si>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</si>
  <si>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</si>
  <si>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</si>
  <si>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</si>
  <si>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</si>
  <si>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</si>
  <si>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</si>
  <si>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</si>
  <si>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</si>
  <si>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</si>
  <si>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</si>
  <si>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</si>
  <si>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</si>
  <si>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</si>
  <si>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</si>
  <si>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</si>
  <si>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</si>
  <si>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</si>
  <si>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</si>
  <si>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</si>
  <si>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</si>
  <si>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50435</t>
  </si>
  <si>
    <t>50436</t>
  </si>
  <si>
    <t>50437</t>
  </si>
  <si>
    <t>50438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</si>
  <si>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</si>
  <si>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</si>
  <si>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</si>
  <si>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</si>
  <si>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</si>
  <si>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</si>
  <si>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</si>
  <si>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</si>
  <si>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</si>
  <si>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</si>
  <si>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</si>
  <si>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</si>
  <si>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</si>
  <si>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</si>
  <si>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</si>
  <si>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</si>
  <si>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</si>
  <si>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</si>
  <si>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</si>
  <si>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</si>
  <si>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</si>
  <si>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</si>
  <si>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50466</t>
  </si>
  <si>
    <t>50467</t>
  </si>
  <si>
    <t>50468</t>
  </si>
  <si>
    <t>50469</t>
  </si>
  <si>
    <t>50470</t>
  </si>
  <si>
    <t>50471</t>
  </si>
  <si>
    <t>50472</t>
  </si>
  <si>
    <t>50474</t>
  </si>
  <si>
    <t>50474A</t>
  </si>
  <si>
    <t>50475</t>
  </si>
  <si>
    <t>50475A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</si>
  <si>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</si>
  <si>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</si>
  <si>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</si>
  <si>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</si>
  <si>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</si>
  <si>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</si>
  <si>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</si>
  <si>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</si>
  <si>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</si>
  <si>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</si>
  <si>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</si>
  <si>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</si>
  <si>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</si>
  <si>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</si>
  <si>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</si>
  <si>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</si>
  <si>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</si>
  <si>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</si>
  <si>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</si>
  <si>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</si>
  <si>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</si>
  <si>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</si>
  <si>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</si>
  <si>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</si>
  <si>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</si>
  <si>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</si>
  <si>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</si>
  <si>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</si>
  <si>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</si>
  <si>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</si>
  <si>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</si>
  <si>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</si>
  <si>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</si>
  <si>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</si>
  <si>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</si>
  <si>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</si>
  <si>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</si>
  <si>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</si>
  <si>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</si>
  <si>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</si>
  <si>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</si>
  <si>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</si>
  <si>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</si>
  <si>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</si>
  <si>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</si>
  <si>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</si>
  <si>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</si>
  <si>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50532</t>
  </si>
  <si>
    <t>50533</t>
  </si>
  <si>
    <t>50534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</si>
  <si>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</si>
  <si>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</si>
  <si>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</si>
  <si>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</si>
  <si>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</si>
  <si>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</si>
  <si>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</si>
  <si>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</si>
  <si>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</si>
  <si>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</si>
  <si>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</si>
  <si>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</si>
  <si>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</si>
  <si>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</si>
  <si>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</si>
  <si>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</si>
  <si>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</si>
  <si>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</si>
  <si>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</si>
  <si>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</si>
  <si>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</si>
  <si>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</si>
  <si>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</si>
  <si>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</si>
  <si>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</si>
  <si>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</si>
  <si>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</si>
  <si>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</si>
  <si>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</si>
  <si>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</si>
  <si>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</si>
  <si>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</si>
  <si>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</si>
  <si>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</si>
  <si>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</si>
  <si>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</si>
  <si>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</si>
  <si>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</si>
  <si>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</si>
  <si>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</si>
  <si>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</si>
  <si>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</si>
  <si>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</si>
  <si>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</si>
  <si>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</si>
  <si>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</si>
  <si>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</si>
  <si>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</si>
  <si>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</si>
  <si>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</si>
  <si>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</si>
  <si>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</si>
  <si>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</si>
  <si>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</si>
  <si>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</si>
  <si>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</si>
  <si>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</si>
  <si>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</si>
  <si>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</si>
  <si>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</si>
  <si>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</si>
  <si>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</si>
  <si>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</si>
  <si>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</si>
  <si>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</si>
  <si>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50606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</si>
  <si>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</si>
  <si>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</si>
  <si>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</si>
  <si>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</si>
  <si>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</si>
  <si>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</si>
  <si>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</si>
  <si>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</si>
  <si>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</si>
  <si>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</si>
  <si>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</si>
  <si>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</si>
  <si>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</si>
  <si>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</si>
  <si>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</si>
  <si>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</si>
  <si>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</si>
  <si>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</si>
  <si>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</si>
  <si>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</si>
  <si>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</si>
  <si>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</si>
  <si>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</si>
  <si>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</si>
  <si>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</si>
  <si>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</si>
  <si>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</si>
  <si>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</si>
  <si>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</si>
  <si>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</si>
  <si>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</si>
  <si>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</si>
  <si>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</si>
  <si>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</si>
  <si>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</si>
  <si>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</si>
  <si>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</si>
  <si>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</si>
  <si>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</si>
  <si>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</si>
  <si>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50650</t>
  </si>
  <si>
    <t>50651</t>
  </si>
  <si>
    <t>50652</t>
  </si>
  <si>
    <t>50655</t>
  </si>
  <si>
    <t>50656</t>
  </si>
  <si>
    <t>50657</t>
  </si>
  <si>
    <t>50658</t>
  </si>
  <si>
    <t>50659</t>
  </si>
  <si>
    <t>50660</t>
  </si>
  <si>
    <t>50661</t>
  </si>
  <si>
    <t>50662</t>
  </si>
  <si>
    <t>50663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</si>
  <si>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</si>
  <si>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</si>
  <si>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</si>
  <si>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</si>
  <si>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</si>
  <si>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</si>
  <si>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</si>
  <si>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</si>
  <si>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</si>
  <si>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</si>
  <si>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</si>
  <si>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</si>
  <si>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</si>
  <si>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</si>
  <si>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50678</t>
  </si>
  <si>
    <t>50679</t>
  </si>
  <si>
    <t>50680</t>
  </si>
  <si>
    <t>50682</t>
  </si>
  <si>
    <t>50683</t>
  </si>
  <si>
    <t>50684</t>
  </si>
  <si>
    <t>50685</t>
  </si>
  <si>
    <t>50686</t>
  </si>
  <si>
    <t>50687</t>
  </si>
  <si>
    <t>50688</t>
  </si>
  <si>
    <t>50689</t>
  </si>
  <si>
    <t>50690</t>
  </si>
  <si>
    <t>50691</t>
  </si>
  <si>
    <t>50692</t>
  </si>
  <si>
    <t>50695</t>
  </si>
  <si>
    <t>50696</t>
  </si>
  <si>
    <t>50697</t>
  </si>
  <si>
    <t>50698</t>
  </si>
  <si>
    <t>50699</t>
  </si>
  <si>
    <t>50700</t>
  </si>
  <si>
    <t>50701</t>
  </si>
  <si>
    <t>50702</t>
  </si>
  <si>
    <t>50703</t>
  </si>
  <si>
    <t>50704</t>
  </si>
  <si>
    <t>50705</t>
  </si>
  <si>
    <t>50706</t>
  </si>
  <si>
    <t>50707</t>
  </si>
  <si>
    <t>50708</t>
  </si>
  <si>
    <t>50709</t>
  </si>
  <si>
    <t>50710</t>
  </si>
  <si>
    <t>50715</t>
  </si>
  <si>
    <t>50716</t>
  </si>
  <si>
    <t>50718</t>
  </si>
  <si>
    <t>50719</t>
  </si>
  <si>
    <t>50720</t>
  </si>
  <si>
    <t>50722</t>
  </si>
  <si>
    <t>50723</t>
  </si>
  <si>
    <t>50724</t>
  </si>
  <si>
    <t>50725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</si>
  <si>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</si>
  <si>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</si>
  <si>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</si>
  <si>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</si>
  <si>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</si>
  <si>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</si>
  <si>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</si>
  <si>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</si>
  <si>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</si>
  <si>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</si>
  <si>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</si>
  <si>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</si>
  <si>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</si>
  <si>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</si>
  <si>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</si>
  <si>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</si>
  <si>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</si>
  <si>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</si>
  <si>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</si>
  <si>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</si>
  <si>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50746</t>
  </si>
  <si>
    <t>50748</t>
  </si>
  <si>
    <t>50750</t>
  </si>
  <si>
    <t>50754</t>
  </si>
  <si>
    <t>50755</t>
  </si>
  <si>
    <t>50757</t>
  </si>
  <si>
    <t>50758</t>
  </si>
  <si>
    <t>50759</t>
  </si>
  <si>
    <t>50760</t>
  </si>
  <si>
    <t>50761</t>
  </si>
  <si>
    <t>50762</t>
  </si>
  <si>
    <t>50763</t>
  </si>
  <si>
    <t>50764</t>
  </si>
  <si>
    <t>50765</t>
  </si>
  <si>
    <t>50766</t>
  </si>
  <si>
    <t>50768</t>
  </si>
  <si>
    <t>50769</t>
  </si>
  <si>
    <t>50770</t>
  </si>
  <si>
    <t>50771</t>
  </si>
  <si>
    <t>50772</t>
  </si>
  <si>
    <t>50773</t>
  </si>
  <si>
    <t>50774</t>
  </si>
  <si>
    <t>50775</t>
  </si>
  <si>
    <t>50776</t>
  </si>
  <si>
    <t>50777</t>
  </si>
  <si>
    <t>50778</t>
  </si>
  <si>
    <t>50780</t>
  </si>
  <si>
    <t>50781</t>
  </si>
  <si>
    <t>50782</t>
  </si>
  <si>
    <t>50783</t>
  </si>
  <si>
    <t>50784</t>
  </si>
  <si>
    <t>50785</t>
  </si>
  <si>
    <t>50786</t>
  </si>
  <si>
    <t>50787</t>
  </si>
  <si>
    <t>50788</t>
  </si>
  <si>
    <t>50789</t>
  </si>
  <si>
    <t>50790</t>
  </si>
  <si>
    <t>50791</t>
  </si>
  <si>
    <t>50792</t>
  </si>
  <si>
    <t>50793</t>
  </si>
  <si>
    <t>50794</t>
  </si>
  <si>
    <t>50795</t>
  </si>
  <si>
    <t>50796</t>
  </si>
  <si>
    <t>50797</t>
  </si>
  <si>
    <t>50798</t>
  </si>
  <si>
    <t>50799</t>
  </si>
  <si>
    <t>50800</t>
  </si>
  <si>
    <t>50801</t>
  </si>
  <si>
    <t>50802</t>
  </si>
  <si>
    <t>50803</t>
  </si>
  <si>
    <t>50804</t>
  </si>
  <si>
    <t>50805</t>
  </si>
  <si>
    <t>50806</t>
  </si>
  <si>
    <t>50807</t>
  </si>
  <si>
    <t>50808</t>
  </si>
  <si>
    <t>50809</t>
  </si>
  <si>
    <t>50810</t>
  </si>
  <si>
    <t>50811</t>
  </si>
  <si>
    <t>50812</t>
  </si>
  <si>
    <t>50813</t>
  </si>
  <si>
    <t>50814</t>
  </si>
  <si>
    <t>50815</t>
  </si>
  <si>
    <t>50816</t>
  </si>
  <si>
    <t>50817</t>
  </si>
  <si>
    <t>50818</t>
  </si>
  <si>
    <t>50821</t>
  </si>
  <si>
    <t>50822</t>
  </si>
  <si>
    <t>50823</t>
  </si>
  <si>
    <t>50825</t>
  </si>
  <si>
    <t>50828</t>
  </si>
  <si>
    <t>50831</t>
  </si>
  <si>
    <t>50832</t>
  </si>
  <si>
    <t>50833</t>
  </si>
  <si>
    <t>50834</t>
  </si>
  <si>
    <t>50835</t>
  </si>
  <si>
    <t>50836</t>
  </si>
  <si>
    <t>50837</t>
  </si>
  <si>
    <t>50838</t>
  </si>
  <si>
    <t>50839</t>
  </si>
  <si>
    <t>50840</t>
  </si>
  <si>
    <t>50841</t>
  </si>
  <si>
    <t>50842</t>
  </si>
  <si>
    <t>50843</t>
  </si>
  <si>
    <t>50844</t>
  </si>
  <si>
    <t>50845</t>
  </si>
  <si>
    <t>50846</t>
  </si>
  <si>
    <t>50847</t>
  </si>
  <si>
    <t>50848</t>
  </si>
  <si>
    <t>50849</t>
  </si>
  <si>
    <t>50850</t>
  </si>
  <si>
    <t>50851</t>
  </si>
  <si>
    <t>50852</t>
  </si>
  <si>
    <t>50853</t>
  </si>
  <si>
    <t>50854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</si>
  <si>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</si>
  <si>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</si>
  <si>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</si>
  <si>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</si>
  <si>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</si>
  <si>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</si>
  <si>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</si>
  <si>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</si>
  <si>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</si>
  <si>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</si>
  <si>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</si>
  <si>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</si>
  <si>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</si>
  <si>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</si>
  <si>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50871</t>
  </si>
  <si>
    <t>50872</t>
  </si>
  <si>
    <t>50873</t>
  </si>
  <si>
    <t>50874</t>
  </si>
  <si>
    <t>50875</t>
  </si>
  <si>
    <t>50876</t>
  </si>
  <si>
    <t>50877</t>
  </si>
  <si>
    <t>50878</t>
  </si>
  <si>
    <t>50879</t>
  </si>
  <si>
    <t>50880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</si>
  <si>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</si>
  <si>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</si>
  <si>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</si>
  <si>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</si>
  <si>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</si>
  <si>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</si>
  <si>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</si>
  <si>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</si>
  <si>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50889</t>
  </si>
  <si>
    <t>50890</t>
  </si>
  <si>
    <t>50891</t>
  </si>
  <si>
    <t>50892</t>
  </si>
  <si>
    <t>50894</t>
  </si>
  <si>
    <t>50895</t>
  </si>
  <si>
    <t>50896</t>
  </si>
  <si>
    <t>50897</t>
  </si>
  <si>
    <t>50898</t>
  </si>
  <si>
    <t>50899</t>
  </si>
  <si>
    <t>50901</t>
  </si>
  <si>
    <t>50903</t>
  </si>
  <si>
    <t>50905</t>
  </si>
  <si>
    <t>50906</t>
  </si>
  <si>
    <t>50907</t>
  </si>
  <si>
    <t>50908</t>
  </si>
  <si>
    <t>50909</t>
  </si>
  <si>
    <t>50910</t>
  </si>
  <si>
    <t>50911</t>
  </si>
  <si>
    <t>50912</t>
  </si>
  <si>
    <t>50913</t>
  </si>
  <si>
    <t>50914</t>
  </si>
  <si>
    <t>50915</t>
  </si>
  <si>
    <t>50916</t>
  </si>
  <si>
    <t>50917</t>
  </si>
  <si>
    <t>50918</t>
  </si>
  <si>
    <t>50919</t>
  </si>
  <si>
    <t>50920</t>
  </si>
  <si>
    <t>50921</t>
  </si>
  <si>
    <t>50922</t>
  </si>
  <si>
    <t>50923</t>
  </si>
  <si>
    <t>50924</t>
  </si>
  <si>
    <t>50925</t>
  </si>
  <si>
    <t>50926</t>
  </si>
  <si>
    <t>50928</t>
  </si>
  <si>
    <t>50929</t>
  </si>
  <si>
    <t>50930</t>
  </si>
  <si>
    <t>50931</t>
  </si>
  <si>
    <t>50932</t>
  </si>
  <si>
    <t>50933</t>
  </si>
  <si>
    <t>50934</t>
  </si>
  <si>
    <t>50935</t>
  </si>
  <si>
    <t>50936</t>
  </si>
  <si>
    <t>50939</t>
  </si>
  <si>
    <t>50940</t>
  </si>
  <si>
    <t>50941</t>
  </si>
  <si>
    <t>50942</t>
  </si>
  <si>
    <t>50943</t>
  </si>
  <si>
    <t>50944</t>
  </si>
  <si>
    <t>50945</t>
  </si>
  <si>
    <t>50946</t>
  </si>
  <si>
    <t>50947</t>
  </si>
  <si>
    <t>50948</t>
  </si>
  <si>
    <t>50949</t>
  </si>
  <si>
    <t>50950</t>
  </si>
  <si>
    <t>50951</t>
  </si>
  <si>
    <t>50952</t>
  </si>
  <si>
    <t>50953</t>
  </si>
  <si>
    <t>50954</t>
  </si>
  <si>
    <t>50955</t>
  </si>
  <si>
    <t>50956</t>
  </si>
  <si>
    <t>50957</t>
  </si>
  <si>
    <t>50958</t>
  </si>
  <si>
    <t>50959</t>
  </si>
  <si>
    <t>50960</t>
  </si>
  <si>
    <t>50961</t>
  </si>
  <si>
    <t>50962</t>
  </si>
  <si>
    <t>50963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</si>
  <si>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</si>
  <si>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</si>
  <si>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</si>
  <si>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</si>
  <si>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</si>
  <si>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</si>
  <si>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</si>
  <si>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</si>
  <si>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50972</t>
  </si>
  <si>
    <t>50973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</si>
  <si>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</si>
  <si>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</si>
  <si>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</si>
  <si>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</si>
  <si>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</si>
  <si>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</si>
  <si>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</si>
  <si>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</si>
  <si>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50984</t>
  </si>
  <si>
    <t>50985</t>
  </si>
  <si>
    <t>50986</t>
  </si>
  <si>
    <t>50987</t>
  </si>
  <si>
    <t>50988</t>
  </si>
  <si>
    <t>50989</t>
  </si>
  <si>
    <t>50990</t>
  </si>
  <si>
    <t>50992</t>
  </si>
  <si>
    <t>50993</t>
  </si>
  <si>
    <t>50994</t>
  </si>
  <si>
    <t>50995</t>
  </si>
  <si>
    <t>50996</t>
  </si>
  <si>
    <t>50999</t>
  </si>
  <si>
    <t>51000</t>
  </si>
  <si>
    <t>51001</t>
  </si>
  <si>
    <t>51002</t>
  </si>
  <si>
    <t>51003</t>
  </si>
  <si>
    <t>51004</t>
  </si>
  <si>
    <t>51005</t>
  </si>
  <si>
    <t>51006</t>
  </si>
  <si>
    <t>51007</t>
  </si>
  <si>
    <t>51009</t>
  </si>
  <si>
    <t>51010</t>
  </si>
  <si>
    <t>51011</t>
  </si>
  <si>
    <t>51012</t>
  </si>
  <si>
    <t>51013</t>
  </si>
  <si>
    <t>51017</t>
  </si>
  <si>
    <t>51018</t>
  </si>
  <si>
    <t>51019</t>
  </si>
  <si>
    <t>51020</t>
  </si>
  <si>
    <t>51021</t>
  </si>
  <si>
    <t>51022</t>
  </si>
  <si>
    <t>51023</t>
  </si>
  <si>
    <t>51025</t>
  </si>
  <si>
    <t>51025A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</si>
  <si>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</si>
  <si>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</si>
  <si>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</si>
  <si>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</si>
  <si>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</si>
  <si>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</si>
  <si>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</si>
  <si>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</si>
  <si>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</si>
  <si>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</si>
  <si>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51041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</si>
  <si>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</si>
  <si>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</si>
  <si>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</si>
  <si>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</si>
  <si>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</si>
  <si>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</si>
  <si>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</si>
  <si>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</si>
  <si>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</si>
  <si>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</si>
  <si>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</si>
  <si>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</si>
  <si>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</si>
  <si>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</si>
  <si>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</si>
  <si>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</si>
  <si>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</si>
  <si>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</si>
  <si>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</si>
  <si>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</si>
  <si>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</si>
  <si>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</si>
  <si>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</si>
  <si>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</si>
  <si>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51070</t>
  </si>
  <si>
    <t>51071</t>
  </si>
  <si>
    <t>51072</t>
  </si>
  <si>
    <t>51074</t>
  </si>
  <si>
    <t>51075</t>
  </si>
  <si>
    <t>51076</t>
  </si>
  <si>
    <t>51077</t>
  </si>
  <si>
    <t>51078</t>
  </si>
  <si>
    <t>51079</t>
  </si>
  <si>
    <t>51082</t>
  </si>
  <si>
    <t>51083</t>
  </si>
  <si>
    <t>51084</t>
  </si>
  <si>
    <t>51085</t>
  </si>
  <si>
    <t>51086</t>
  </si>
  <si>
    <t>51087</t>
  </si>
  <si>
    <t>51089</t>
  </si>
  <si>
    <t>51099</t>
  </si>
  <si>
    <t>51107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</si>
  <si>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</si>
  <si>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</si>
  <si>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</si>
  <si>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</si>
  <si>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</si>
  <si>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</si>
  <si>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</si>
  <si>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</si>
  <si>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</si>
  <si>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</si>
  <si>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51120</t>
  </si>
  <si>
    <t>51121</t>
  </si>
  <si>
    <t>51122</t>
  </si>
  <si>
    <t>51136</t>
  </si>
  <si>
    <t>51137</t>
  </si>
  <si>
    <t>51140</t>
  </si>
  <si>
    <t>51141</t>
  </si>
  <si>
    <t>51142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</si>
  <si>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</si>
  <si>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</si>
  <si>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</si>
  <si>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</si>
  <si>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</si>
  <si>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</si>
  <si>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</si>
  <si>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</si>
  <si>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</si>
  <si>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</si>
  <si>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</si>
  <si>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</si>
  <si>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</si>
  <si>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</si>
  <si>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</si>
  <si>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</si>
  <si>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</si>
  <si>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</si>
  <si>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</si>
  <si>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</si>
  <si>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</si>
  <si>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</si>
  <si>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</si>
  <si>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</si>
  <si>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</si>
  <si>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</si>
  <si>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</si>
  <si>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</si>
  <si>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</si>
  <si>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</si>
  <si>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</si>
  <si>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</si>
  <si>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</si>
  <si>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</si>
  <si>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</si>
  <si>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</si>
  <si>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</si>
  <si>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</si>
  <si>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</si>
  <si>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</si>
  <si>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</si>
  <si>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</si>
  <si>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</si>
  <si>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</si>
  <si>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</si>
  <si>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</si>
  <si>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</si>
  <si>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</si>
  <si>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</si>
  <si>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</si>
  <si>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</si>
  <si>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</si>
  <si>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</si>
  <si>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</si>
  <si>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</si>
  <si>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</si>
  <si>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</si>
  <si>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</si>
  <si>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</si>
  <si>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</si>
  <si>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</si>
  <si>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</si>
  <si>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</si>
  <si>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</si>
  <si>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</si>
  <si>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</si>
  <si>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</si>
  <si>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</si>
  <si>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</si>
  <si>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</si>
  <si>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</si>
  <si>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</si>
  <si>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</si>
  <si>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</si>
  <si>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</si>
  <si>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</si>
  <si>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</si>
  <si>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</si>
  <si>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</si>
  <si>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</si>
  <si>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</si>
  <si>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</si>
  <si>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</si>
  <si>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</si>
  <si>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</si>
  <si>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</si>
  <si>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</si>
  <si>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</si>
  <si>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</si>
  <si>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</si>
  <si>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</si>
  <si>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</si>
  <si>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</si>
  <si>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</si>
  <si>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</si>
  <si>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</si>
  <si>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</si>
  <si>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</si>
  <si>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</si>
  <si>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</si>
  <si>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</si>
  <si>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51247A</t>
  </si>
  <si>
    <t>51247B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</si>
  <si>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</si>
  <si>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</si>
  <si>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</si>
  <si>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</si>
  <si>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</si>
  <si>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</si>
  <si>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</si>
  <si>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</si>
  <si>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</si>
  <si>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</si>
  <si>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</si>
  <si>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</si>
  <si>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</si>
  <si>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</si>
  <si>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</si>
  <si>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</si>
  <si>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</si>
  <si>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</si>
  <si>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</si>
  <si>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</si>
  <si>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</si>
  <si>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</si>
  <si>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51270A</t>
  </si>
  <si>
    <t>51271</t>
  </si>
  <si>
    <t>51272</t>
  </si>
  <si>
    <t>51273</t>
  </si>
  <si>
    <t>51274</t>
  </si>
  <si>
    <t>51275</t>
  </si>
  <si>
    <t>51279</t>
  </si>
  <si>
    <t>51280</t>
  </si>
  <si>
    <t>51281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</si>
  <si>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</si>
  <si>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</si>
  <si>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</si>
  <si>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</si>
  <si>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</si>
  <si>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</si>
  <si>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</si>
  <si>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</si>
  <si>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</si>
  <si>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</si>
  <si>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</si>
  <si>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</si>
  <si>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</si>
  <si>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</si>
  <si>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</si>
  <si>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</si>
  <si>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</si>
  <si>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</si>
  <si>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</si>
  <si>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51314</t>
  </si>
  <si>
    <t>51320</t>
  </si>
  <si>
    <t>51321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</si>
  <si>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</si>
  <si>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</si>
  <si>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</si>
  <si>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</si>
  <si>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</si>
  <si>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</si>
  <si>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</si>
  <si>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</si>
  <si>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</si>
  <si>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</si>
  <si>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</si>
  <si>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</si>
  <si>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</si>
  <si>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</si>
  <si>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</si>
  <si>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</si>
  <si>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</si>
  <si>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</si>
  <si>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</si>
  <si>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</si>
  <si>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</si>
  <si>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</si>
  <si>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</si>
  <si>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</si>
  <si>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</si>
  <si>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51354</t>
  </si>
  <si>
    <t>51355</t>
  </si>
  <si>
    <t>51359</t>
  </si>
  <si>
    <t>51360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</si>
  <si>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</si>
  <si>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</si>
  <si>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</si>
  <si>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</si>
  <si>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</si>
  <si>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</si>
  <si>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</si>
  <si>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</si>
  <si>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</si>
  <si>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</si>
  <si>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51373</t>
  </si>
  <si>
    <t>51377</t>
  </si>
  <si>
    <t>51383</t>
  </si>
  <si>
    <t>51391</t>
  </si>
  <si>
    <t>51392</t>
  </si>
  <si>
    <t>51393</t>
  </si>
  <si>
    <t>51394</t>
  </si>
  <si>
    <t>51395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</si>
  <si>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</si>
  <si>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</si>
  <si>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</si>
  <si>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</si>
  <si>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</si>
  <si>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</si>
  <si>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</si>
  <si>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</si>
  <si>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</si>
  <si>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</si>
  <si>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</si>
  <si>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</si>
  <si>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</si>
  <si>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</si>
  <si>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</si>
  <si>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</si>
  <si>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</si>
  <si>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</si>
  <si>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</si>
  <si>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</si>
  <si>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</si>
  <si>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</si>
  <si>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</si>
  <si>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</si>
  <si>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</si>
  <si>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</si>
  <si>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</si>
  <si>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</si>
  <si>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</si>
  <si>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</si>
  <si>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</si>
  <si>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</si>
  <si>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</si>
  <si>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</si>
  <si>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</si>
  <si>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</si>
  <si>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</si>
  <si>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</si>
  <si>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</si>
  <si>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</si>
  <si>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</si>
  <si>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</si>
  <si>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</si>
  <si>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</si>
  <si>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</si>
  <si>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</si>
  <si>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</si>
  <si>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</si>
  <si>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</si>
  <si>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</si>
  <si>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</si>
  <si>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</si>
  <si>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</si>
  <si>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</si>
  <si>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</si>
  <si>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</si>
  <si>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</si>
  <si>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</si>
  <si>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</si>
  <si>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</si>
  <si>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51462</t>
  </si>
  <si>
    <t>51466</t>
  </si>
  <si>
    <t>51467</t>
  </si>
  <si>
    <t>51468</t>
  </si>
  <si>
    <t>51469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</si>
  <si>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</si>
  <si>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</si>
  <si>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</si>
  <si>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</si>
  <si>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</si>
  <si>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</si>
  <si>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</si>
  <si>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</si>
  <si>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</si>
  <si>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</si>
  <si>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</si>
  <si>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</si>
  <si>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</si>
  <si>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</si>
  <si>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</si>
  <si>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</si>
  <si>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</si>
  <si>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</si>
  <si>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</si>
  <si>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</si>
  <si>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</si>
  <si>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51493</t>
  </si>
  <si>
    <t>51494</t>
  </si>
  <si>
    <t>51496</t>
  </si>
  <si>
    <t>51498</t>
  </si>
  <si>
    <t>51499</t>
  </si>
  <si>
    <t>51500</t>
  </si>
  <si>
    <t>51501</t>
  </si>
  <si>
    <t>51502</t>
  </si>
  <si>
    <t>51503</t>
  </si>
  <si>
    <t>51503A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</si>
  <si>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</si>
  <si>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</si>
  <si>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</si>
  <si>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</si>
  <si>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</si>
  <si>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</si>
  <si>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</si>
  <si>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</si>
  <si>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</si>
  <si>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</si>
  <si>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</si>
  <si>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51514/A</t>
  </si>
  <si>
    <t>51514/B</t>
  </si>
  <si>
    <t>51517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</si>
  <si>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</si>
  <si>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</si>
  <si>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</si>
  <si>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</si>
  <si>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</si>
  <si>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</si>
  <si>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</si>
  <si>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</si>
  <si>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</si>
  <si>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</si>
  <si>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</si>
  <si>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</si>
  <si>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</si>
  <si>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</si>
  <si>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</si>
  <si>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</si>
  <si>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51536</t>
  </si>
  <si>
    <t>51537</t>
  </si>
  <si>
    <t>51538</t>
  </si>
  <si>
    <t>51539</t>
  </si>
  <si>
    <t>51541</t>
  </si>
  <si>
    <t>51542</t>
  </si>
  <si>
    <t>51543</t>
  </si>
  <si>
    <t>51544</t>
  </si>
  <si>
    <t>51545</t>
  </si>
  <si>
    <t>51546</t>
  </si>
  <si>
    <t>51547</t>
  </si>
  <si>
    <t>51553</t>
  </si>
  <si>
    <t>51554</t>
  </si>
  <si>
    <t>51555</t>
  </si>
  <si>
    <t>51556</t>
  </si>
  <si>
    <t>51558</t>
  </si>
  <si>
    <t>51562</t>
  </si>
  <si>
    <t>51563</t>
  </si>
  <si>
    <t>51563A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</si>
  <si>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</si>
  <si>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</si>
  <si>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</si>
  <si>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</si>
  <si>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</si>
  <si>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</si>
  <si>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</si>
  <si>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</si>
  <si>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</si>
  <si>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</si>
  <si>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</si>
  <si>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</si>
  <si>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</si>
  <si>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</si>
  <si>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</si>
  <si>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</si>
  <si>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</si>
  <si>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</si>
  <si>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</si>
  <si>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</si>
  <si>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</si>
  <si>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</si>
  <si>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</si>
  <si>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</si>
  <si>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</si>
  <si>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</si>
  <si>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</si>
  <si>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51594</t>
  </si>
  <si>
    <t>51595</t>
  </si>
  <si>
    <t>51596</t>
  </si>
  <si>
    <t>51597</t>
  </si>
  <si>
    <t>51598</t>
  </si>
  <si>
    <t>51600</t>
  </si>
  <si>
    <t>51601</t>
  </si>
  <si>
    <t>51602</t>
  </si>
  <si>
    <t>51605</t>
  </si>
  <si>
    <t>51606</t>
  </si>
  <si>
    <t>51608</t>
  </si>
  <si>
    <t>51610</t>
  </si>
  <si>
    <t>51612</t>
  </si>
  <si>
    <t>51613</t>
  </si>
  <si>
    <t>51614</t>
  </si>
  <si>
    <t>51614/B</t>
  </si>
  <si>
    <t>51615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</si>
  <si>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</si>
  <si>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</si>
  <si>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</si>
  <si>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</si>
  <si>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</si>
  <si>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</si>
  <si>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</si>
  <si>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</si>
  <si>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</si>
  <si>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51625A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</si>
  <si>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</si>
  <si>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</si>
  <si>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</si>
  <si>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</si>
  <si>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</si>
  <si>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</si>
  <si>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</si>
  <si>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</si>
  <si>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</si>
  <si>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</si>
  <si>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</si>
  <si>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</si>
  <si>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</si>
  <si>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</si>
  <si>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</si>
  <si>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</si>
  <si>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</si>
  <si>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</si>
  <si>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</si>
  <si>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</si>
  <si>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</si>
  <si>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</si>
  <si>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</si>
  <si>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</si>
  <si>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</si>
  <si>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</si>
  <si>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</si>
  <si>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</si>
  <si>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</si>
  <si>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</si>
  <si>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</si>
  <si>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</si>
  <si>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</si>
  <si>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</si>
  <si>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</si>
  <si>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</si>
  <si>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</si>
  <si>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51665</t>
  </si>
  <si>
    <t>51666</t>
  </si>
  <si>
    <t>51667</t>
  </si>
  <si>
    <t>51668</t>
  </si>
  <si>
    <t>51669</t>
  </si>
  <si>
    <t>51670</t>
  </si>
  <si>
    <t>51671</t>
  </si>
  <si>
    <t>51672</t>
  </si>
  <si>
    <t>51673</t>
  </si>
  <si>
    <t>51674</t>
  </si>
  <si>
    <t>51675</t>
  </si>
  <si>
    <t>51676</t>
  </si>
  <si>
    <t>51677</t>
  </si>
  <si>
    <t>51678</t>
  </si>
  <si>
    <t>51679</t>
  </si>
  <si>
    <t>51680</t>
  </si>
  <si>
    <t>51681</t>
  </si>
  <si>
    <t>51682</t>
  </si>
  <si>
    <t>51683</t>
  </si>
  <si>
    <t>51684</t>
  </si>
  <si>
    <t>51685</t>
  </si>
  <si>
    <t>51686</t>
  </si>
  <si>
    <t>51687</t>
  </si>
  <si>
    <t>51688</t>
  </si>
  <si>
    <t>51689</t>
  </si>
  <si>
    <t>51690</t>
  </si>
  <si>
    <t>51691</t>
  </si>
  <si>
    <t>51692</t>
  </si>
  <si>
    <t>51693</t>
  </si>
  <si>
    <t>51694</t>
  </si>
  <si>
    <t>51695</t>
  </si>
  <si>
    <t>51696</t>
  </si>
  <si>
    <t>51697</t>
  </si>
  <si>
    <t>51705</t>
  </si>
  <si>
    <t>51706</t>
  </si>
  <si>
    <t>51710</t>
  </si>
  <si>
    <t>51711</t>
  </si>
  <si>
    <t>51712</t>
  </si>
  <si>
    <t>51713</t>
  </si>
  <si>
    <t>51714</t>
  </si>
  <si>
    <t>51715</t>
  </si>
  <si>
    <t>51716</t>
  </si>
  <si>
    <t>51717</t>
  </si>
  <si>
    <t>51718</t>
  </si>
  <si>
    <t>51719</t>
  </si>
  <si>
    <t>51720</t>
  </si>
  <si>
    <t>51721</t>
  </si>
  <si>
    <t>51722</t>
  </si>
  <si>
    <t>51723</t>
  </si>
  <si>
    <t>51725</t>
  </si>
  <si>
    <t>51726</t>
  </si>
  <si>
    <t>51727</t>
  </si>
  <si>
    <t>51728</t>
  </si>
  <si>
    <t>51729</t>
  </si>
  <si>
    <t>51730</t>
  </si>
  <si>
    <t>51731</t>
  </si>
  <si>
    <t>51732</t>
  </si>
  <si>
    <t>51733</t>
  </si>
  <si>
    <t>51734</t>
  </si>
  <si>
    <t>51735</t>
  </si>
  <si>
    <t>51736</t>
  </si>
  <si>
    <t>51736A</t>
  </si>
  <si>
    <t>51738</t>
  </si>
  <si>
    <t>51739</t>
  </si>
  <si>
    <t>51740</t>
  </si>
  <si>
    <t>51741</t>
  </si>
  <si>
    <t>51742</t>
  </si>
  <si>
    <t>51743</t>
  </si>
  <si>
    <t>51744</t>
  </si>
  <si>
    <t>51745</t>
  </si>
  <si>
    <t>51746</t>
  </si>
  <si>
    <t>51747</t>
  </si>
  <si>
    <t>51748</t>
  </si>
  <si>
    <t>51749</t>
  </si>
  <si>
    <t>51750</t>
  </si>
  <si>
    <t>51751</t>
  </si>
  <si>
    <t>51752</t>
  </si>
  <si>
    <t>51753</t>
  </si>
  <si>
    <t>51754</t>
  </si>
  <si>
    <t>51755</t>
  </si>
  <si>
    <t>51756</t>
  </si>
  <si>
    <t>51757</t>
  </si>
  <si>
    <t>51758</t>
  </si>
  <si>
    <t>51759</t>
  </si>
  <si>
    <t>51760</t>
  </si>
  <si>
    <t>51761</t>
  </si>
  <si>
    <t>51762</t>
  </si>
  <si>
    <t>51763</t>
  </si>
  <si>
    <t>51764</t>
  </si>
  <si>
    <t>51765</t>
  </si>
  <si>
    <t>51766</t>
  </si>
  <si>
    <t>51767</t>
  </si>
  <si>
    <t>51768</t>
  </si>
  <si>
    <t>51769</t>
  </si>
  <si>
    <t>51770</t>
  </si>
  <si>
    <t>51772</t>
  </si>
  <si>
    <t>51773</t>
  </si>
  <si>
    <t>51774</t>
  </si>
  <si>
    <t>51775</t>
  </si>
  <si>
    <t>51776</t>
  </si>
  <si>
    <t>51777</t>
  </si>
  <si>
    <t>51780</t>
  </si>
  <si>
    <t>51781</t>
  </si>
  <si>
    <t>51783</t>
  </si>
  <si>
    <t>51784</t>
  </si>
  <si>
    <t>51785</t>
  </si>
  <si>
    <t>51787</t>
  </si>
  <si>
    <t>51789</t>
  </si>
  <si>
    <t>51790</t>
  </si>
  <si>
    <t>51791</t>
  </si>
  <si>
    <t>51792</t>
  </si>
  <si>
    <t>51793</t>
  </si>
  <si>
    <t>51794</t>
  </si>
  <si>
    <t>51794A</t>
  </si>
  <si>
    <t>51794B</t>
  </si>
  <si>
    <t>51794C</t>
  </si>
  <si>
    <t>51795</t>
  </si>
  <si>
    <t>51796</t>
  </si>
  <si>
    <t>51797</t>
  </si>
  <si>
    <t>51798</t>
  </si>
  <si>
    <t>51798A</t>
  </si>
  <si>
    <t>51798B</t>
  </si>
  <si>
    <t>51798C</t>
  </si>
  <si>
    <t>51799</t>
  </si>
  <si>
    <t>51800</t>
  </si>
  <si>
    <t>51801</t>
  </si>
  <si>
    <t>51802</t>
  </si>
  <si>
    <t>51803</t>
  </si>
  <si>
    <t>51804</t>
  </si>
  <si>
    <t>51805</t>
  </si>
  <si>
    <t>51806</t>
  </si>
  <si>
    <t>51807</t>
  </si>
  <si>
    <t>51808</t>
  </si>
  <si>
    <t>51809</t>
  </si>
  <si>
    <t>51810</t>
  </si>
  <si>
    <t>51811</t>
  </si>
  <si>
    <t>51812</t>
  </si>
  <si>
    <t>51813</t>
  </si>
  <si>
    <t>51814</t>
  </si>
  <si>
    <t>51815</t>
  </si>
  <si>
    <t>51816</t>
  </si>
  <si>
    <t>51817</t>
  </si>
  <si>
    <t>51818</t>
  </si>
  <si>
    <t>51819</t>
  </si>
  <si>
    <t>51820</t>
  </si>
  <si>
    <t>51821</t>
  </si>
  <si>
    <t>51822</t>
  </si>
  <si>
    <t>51823</t>
  </si>
  <si>
    <t>51824</t>
  </si>
  <si>
    <t>51825</t>
  </si>
  <si>
    <t>51826</t>
  </si>
  <si>
    <t>51827</t>
  </si>
  <si>
    <t>51828</t>
  </si>
  <si>
    <t>51829</t>
  </si>
  <si>
    <t>51830</t>
  </si>
  <si>
    <t>51834</t>
  </si>
  <si>
    <t>51844</t>
  </si>
  <si>
    <t>51846</t>
  </si>
  <si>
    <t>51852</t>
  </si>
  <si>
    <t>51870</t>
  </si>
  <si>
    <t>51871</t>
  </si>
  <si>
    <t>51872</t>
  </si>
  <si>
    <t>51873</t>
  </si>
  <si>
    <t>51874</t>
  </si>
  <si>
    <t>51875</t>
  </si>
  <si>
    <t>51876</t>
  </si>
  <si>
    <t>51877</t>
  </si>
  <si>
    <t>51878</t>
  </si>
  <si>
    <t>51879</t>
  </si>
  <si>
    <t>51880</t>
  </si>
  <si>
    <t>51881</t>
  </si>
  <si>
    <t>51882</t>
  </si>
  <si>
    <t>51883</t>
  </si>
  <si>
    <t>51883A</t>
  </si>
  <si>
    <t>51884</t>
  </si>
  <si>
    <t>51885</t>
  </si>
  <si>
    <t>51886</t>
  </si>
  <si>
    <t>51887</t>
  </si>
  <si>
    <t>51888</t>
  </si>
  <si>
    <t>51889</t>
  </si>
  <si>
    <t>51890</t>
  </si>
  <si>
    <t>51891</t>
  </si>
  <si>
    <t>51892</t>
  </si>
  <si>
    <t>51893</t>
  </si>
  <si>
    <t>51894</t>
  </si>
  <si>
    <t>51895</t>
  </si>
  <si>
    <t>51896</t>
  </si>
  <si>
    <t>51897</t>
  </si>
  <si>
    <t>51899</t>
  </si>
  <si>
    <t>51900</t>
  </si>
  <si>
    <t>51901</t>
  </si>
  <si>
    <t>51902</t>
  </si>
  <si>
    <t>51903</t>
  </si>
  <si>
    <t>51905</t>
  </si>
  <si>
    <t>51906</t>
  </si>
  <si>
    <t>51907</t>
  </si>
  <si>
    <t>51908</t>
  </si>
  <si>
    <t>51909</t>
  </si>
  <si>
    <t>51910</t>
  </si>
  <si>
    <t>51911</t>
  </si>
  <si>
    <t>51912</t>
  </si>
  <si>
    <t>51913</t>
  </si>
  <si>
    <t>51914</t>
  </si>
  <si>
    <t>51915</t>
  </si>
  <si>
    <t>51916</t>
  </si>
  <si>
    <t>51917</t>
  </si>
  <si>
    <t>51918</t>
  </si>
  <si>
    <t>51919</t>
  </si>
  <si>
    <t>51920</t>
  </si>
  <si>
    <t>51921</t>
  </si>
  <si>
    <t>51922</t>
  </si>
  <si>
    <t>51923</t>
  </si>
  <si>
    <t>51924</t>
  </si>
  <si>
    <t>51925</t>
  </si>
  <si>
    <t>51926</t>
  </si>
  <si>
    <t>51927</t>
  </si>
  <si>
    <t>51930</t>
  </si>
  <si>
    <t>51931</t>
  </si>
  <si>
    <t>51932</t>
  </si>
  <si>
    <t>51933</t>
  </si>
  <si>
    <t>51934</t>
  </si>
  <si>
    <t>51935</t>
  </si>
  <si>
    <t>51936</t>
  </si>
  <si>
    <t>51937</t>
  </si>
  <si>
    <t>51938</t>
  </si>
  <si>
    <t>51939</t>
  </si>
  <si>
    <t>51940</t>
  </si>
  <si>
    <t>51941</t>
  </si>
  <si>
    <t>51942</t>
  </si>
  <si>
    <t>51943</t>
  </si>
  <si>
    <t>51944</t>
  </si>
  <si>
    <t>51945</t>
  </si>
  <si>
    <t>51947</t>
  </si>
  <si>
    <t>51948</t>
  </si>
  <si>
    <t>51949</t>
  </si>
  <si>
    <t>51950</t>
  </si>
  <si>
    <t>51951</t>
  </si>
  <si>
    <t>51952</t>
  </si>
  <si>
    <t>51953</t>
  </si>
  <si>
    <t>51954</t>
  </si>
  <si>
    <t>51956</t>
  </si>
  <si>
    <t>51957</t>
  </si>
  <si>
    <t>51958</t>
  </si>
  <si>
    <t>51959</t>
  </si>
  <si>
    <t>51960</t>
  </si>
  <si>
    <t>51961</t>
  </si>
  <si>
    <t>51962</t>
  </si>
  <si>
    <t>51963</t>
  </si>
  <si>
    <t>51964</t>
  </si>
  <si>
    <t>51965</t>
  </si>
  <si>
    <t>51966</t>
  </si>
  <si>
    <t>51967</t>
  </si>
  <si>
    <t>51968</t>
  </si>
  <si>
    <t>51969</t>
  </si>
  <si>
    <t>51970</t>
  </si>
  <si>
    <t>51971</t>
  </si>
  <si>
    <t>51972</t>
  </si>
  <si>
    <t>51973</t>
  </si>
  <si>
    <t>51974</t>
  </si>
  <si>
    <t>51975</t>
  </si>
  <si>
    <t>51976</t>
  </si>
  <si>
    <t>51977</t>
  </si>
  <si>
    <t>51978</t>
  </si>
  <si>
    <t>51979</t>
  </si>
  <si>
    <t>51980</t>
  </si>
  <si>
    <t>51981</t>
  </si>
  <si>
    <t>51982</t>
  </si>
  <si>
    <t>51983</t>
  </si>
  <si>
    <t>51984</t>
  </si>
  <si>
    <t>51985</t>
  </si>
  <si>
    <t>51987</t>
  </si>
  <si>
    <t>51988</t>
  </si>
  <si>
    <t>51990</t>
  </si>
  <si>
    <t>51991</t>
  </si>
  <si>
    <t>51992</t>
  </si>
  <si>
    <t>51993</t>
  </si>
  <si>
    <t>51994</t>
  </si>
  <si>
    <t>51995</t>
  </si>
  <si>
    <t>51996</t>
  </si>
  <si>
    <t>51997</t>
  </si>
  <si>
    <t>51998</t>
  </si>
  <si>
    <t>51999</t>
  </si>
  <si>
    <t>52000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</si>
  <si>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</si>
  <si>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</si>
  <si>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</si>
  <si>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</si>
  <si>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</si>
  <si>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</si>
  <si>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</si>
  <si>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</si>
  <si>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</si>
  <si>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</si>
  <si>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</si>
  <si>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</si>
  <si>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</si>
  <si>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</si>
  <si>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</si>
  <si>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</si>
  <si>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</si>
  <si>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</si>
  <si>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</si>
  <si>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</si>
  <si>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</si>
  <si>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</si>
  <si>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</si>
  <si>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</si>
  <si>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</si>
  <si>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</si>
  <si>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</si>
  <si>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</si>
  <si>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</si>
  <si>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</si>
  <si>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</si>
  <si>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</si>
  <si>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</si>
  <si>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</si>
  <si>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</si>
  <si>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</si>
  <si>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</si>
  <si>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</si>
  <si>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</si>
  <si>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</si>
  <si>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</si>
  <si>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</si>
  <si>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</si>
  <si>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</si>
  <si>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</si>
  <si>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</si>
  <si>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</si>
  <si>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</si>
  <si>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</si>
  <si>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</si>
  <si>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</si>
  <si>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</si>
  <si>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</si>
  <si>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</si>
  <si>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</si>
  <si>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</si>
  <si>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52060</t>
  </si>
  <si>
    <t>52061</t>
  </si>
  <si>
    <t>52062</t>
  </si>
  <si>
    <t>52063</t>
  </si>
  <si>
    <t>52064</t>
  </si>
  <si>
    <t>52065</t>
  </si>
  <si>
    <t>52066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</si>
  <si>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</si>
  <si>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</si>
  <si>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</si>
  <si>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</si>
  <si>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</si>
  <si>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</si>
  <si>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</si>
  <si>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</si>
  <si>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</si>
  <si>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</si>
  <si>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</si>
  <si>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</si>
  <si>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</si>
  <si>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</si>
  <si>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</si>
  <si>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</si>
  <si>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</si>
  <si>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</si>
  <si>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</si>
  <si>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</si>
  <si>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</si>
  <si>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</si>
  <si>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</si>
  <si>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</si>
  <si>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</si>
  <si>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</si>
  <si>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</si>
  <si>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</si>
  <si>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</si>
  <si>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</si>
  <si>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</si>
  <si>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</si>
  <si>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</si>
  <si>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</si>
  <si>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</si>
  <si>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</si>
  <si>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</si>
  <si>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</si>
  <si>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</si>
  <si>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</si>
  <si>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</si>
  <si>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</si>
  <si>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</si>
  <si>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</si>
  <si>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</si>
  <si>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</si>
  <si>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</si>
  <si>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</si>
  <si>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</si>
  <si>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</si>
  <si>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</si>
  <si>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</si>
  <si>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</si>
  <si>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</si>
  <si>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</si>
  <si>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</si>
  <si>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</si>
  <si>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</si>
  <si>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</si>
  <si>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</si>
  <si>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</si>
  <si>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</si>
  <si>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</si>
  <si>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</si>
  <si>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</si>
  <si>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</si>
  <si>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</si>
  <si>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</si>
  <si>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</si>
  <si>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</si>
  <si>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</si>
  <si>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</si>
  <si>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52145A</t>
  </si>
  <si>
    <t>52146</t>
  </si>
  <si>
    <t>52147</t>
  </si>
  <si>
    <t>52148</t>
  </si>
  <si>
    <t>52149</t>
  </si>
  <si>
    <t>52149/A</t>
  </si>
  <si>
    <t>52150</t>
  </si>
  <si>
    <t>52150/A</t>
  </si>
  <si>
    <t>52151</t>
  </si>
  <si>
    <t>52152</t>
  </si>
  <si>
    <t>52153</t>
  </si>
  <si>
    <t>52154</t>
  </si>
  <si>
    <t>52154/A</t>
  </si>
  <si>
    <t>52155</t>
  </si>
  <si>
    <t>52155/A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</si>
  <si>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</si>
  <si>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</si>
  <si>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</si>
  <si>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</si>
  <si>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</si>
  <si>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</si>
  <si>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</si>
  <si>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</si>
  <si>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</si>
  <si>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</si>
  <si>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</si>
  <si>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</si>
  <si>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</si>
  <si>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</si>
  <si>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</si>
  <si>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</si>
  <si>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</si>
  <si>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</si>
  <si>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</si>
  <si>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</si>
  <si>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</si>
  <si>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52178/A</t>
  </si>
  <si>
    <t>52179</t>
  </si>
  <si>
    <t>52180</t>
  </si>
  <si>
    <t>52181</t>
  </si>
  <si>
    <t>52182</t>
  </si>
  <si>
    <t>52184</t>
  </si>
  <si>
    <t>52185</t>
  </si>
  <si>
    <t>52186</t>
  </si>
  <si>
    <t>52188</t>
  </si>
  <si>
    <t>52189</t>
  </si>
  <si>
    <t>52189/A</t>
  </si>
  <si>
    <t>52190</t>
  </si>
  <si>
    <t>52191</t>
  </si>
  <si>
    <t>52192</t>
  </si>
  <si>
    <t>52193</t>
  </si>
  <si>
    <t>52194</t>
  </si>
  <si>
    <t>52194/A</t>
  </si>
  <si>
    <t>52195</t>
  </si>
  <si>
    <t>52195/A</t>
  </si>
  <si>
    <t>52196</t>
  </si>
  <si>
    <t>52196/A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</si>
  <si>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</si>
  <si>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</si>
  <si>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</si>
  <si>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</si>
  <si>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</si>
  <si>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</si>
  <si>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</si>
  <si>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</si>
  <si>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</si>
  <si>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</si>
  <si>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</si>
  <si>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</si>
  <si>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</si>
  <si>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</si>
  <si>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</si>
  <si>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</si>
  <si>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</si>
  <si>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</si>
  <si>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</si>
  <si>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</si>
  <si>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</si>
  <si>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</si>
  <si>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</si>
  <si>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</si>
  <si>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</si>
  <si>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</si>
  <si>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</si>
  <si>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</si>
  <si>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</si>
  <si>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</si>
  <si>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</si>
  <si>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</si>
  <si>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</si>
  <si>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</si>
  <si>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</si>
  <si>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</si>
  <si>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</si>
  <si>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</si>
  <si>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</si>
  <si>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</si>
  <si>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</si>
  <si>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</si>
  <si>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</si>
  <si>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</si>
  <si>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</si>
  <si>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</si>
  <si>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</si>
  <si>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</si>
  <si>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</si>
  <si>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</si>
  <si>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</si>
  <si>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</si>
  <si>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</si>
  <si>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</si>
  <si>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</si>
  <si>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</si>
  <si>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</si>
  <si>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</si>
  <si>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</si>
  <si>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</si>
  <si>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</si>
  <si>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</si>
  <si>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</si>
  <si>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</si>
  <si>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</si>
  <si>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</si>
  <si>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</si>
  <si>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</si>
  <si>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</si>
  <si>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</si>
  <si>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</si>
  <si>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</si>
  <si>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</si>
  <si>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</si>
  <si>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</si>
  <si>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</si>
  <si>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</si>
  <si>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</si>
  <si>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</si>
  <si>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</si>
  <si>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</si>
  <si>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</si>
  <si>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</si>
  <si>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</si>
  <si>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</si>
  <si>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</si>
  <si>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</si>
  <si>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</si>
  <si>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</si>
  <si>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</si>
  <si>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</si>
  <si>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</si>
  <si>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</si>
  <si>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</si>
  <si>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</si>
  <si>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52295A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</si>
  <si>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</si>
  <si>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</si>
  <si>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</si>
  <si>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</si>
  <si>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</si>
  <si>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</si>
  <si>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</si>
  <si>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</si>
  <si>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</si>
  <si>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</si>
  <si>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</si>
  <si>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</si>
  <si>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</si>
  <si>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</si>
  <si>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</si>
  <si>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</si>
  <si>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</si>
  <si>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</si>
  <si>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</si>
  <si>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</si>
  <si>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</si>
  <si>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</si>
  <si>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</si>
  <si>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</si>
  <si>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</si>
  <si>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</si>
  <si>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52324/A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</si>
  <si>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</si>
  <si>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</si>
  <si>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</si>
  <si>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</si>
  <si>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</si>
  <si>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</si>
  <si>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</si>
  <si>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</si>
  <si>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</si>
  <si>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</si>
  <si>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</si>
  <si>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</si>
  <si>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</si>
  <si>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</si>
  <si>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</si>
  <si>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</si>
  <si>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</si>
  <si>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</si>
  <si>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</si>
  <si>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</si>
  <si>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</si>
  <si>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</si>
  <si>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</si>
  <si>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</si>
  <si>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</si>
  <si>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</si>
  <si>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</si>
  <si>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</si>
  <si>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</si>
  <si>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</si>
  <si>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</si>
  <si>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</si>
  <si>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</si>
  <si>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</si>
  <si>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</si>
  <si>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</si>
  <si>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</si>
  <si>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</si>
  <si>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</si>
  <si>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</si>
  <si>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</si>
  <si>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</si>
  <si>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52368</t>
  </si>
  <si>
    <t>52369</t>
  </si>
  <si>
    <t>52370</t>
  </si>
  <si>
    <t>52371</t>
  </si>
  <si>
    <t>52372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</si>
  <si>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</si>
  <si>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</si>
  <si>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</si>
  <si>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</si>
  <si>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</si>
  <si>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</si>
  <si>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</si>
  <si>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</si>
  <si>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</si>
  <si>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</si>
  <si>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</si>
  <si>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</si>
  <si>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</si>
  <si>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</si>
  <si>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</si>
  <si>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</si>
  <si>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</si>
  <si>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</si>
  <si>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</si>
  <si>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</si>
  <si>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</si>
  <si>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</si>
  <si>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</si>
  <si>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</si>
  <si>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</si>
  <si>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</si>
  <si>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</si>
  <si>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</si>
  <si>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</si>
  <si>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</si>
  <si>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</si>
  <si>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</si>
  <si>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52407</t>
  </si>
  <si>
    <t>52408</t>
  </si>
  <si>
    <t>52409</t>
  </si>
  <si>
    <t>52410</t>
  </si>
  <si>
    <t>52411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</si>
  <si>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</si>
  <si>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</si>
  <si>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</si>
  <si>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</si>
  <si>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</si>
  <si>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</si>
  <si>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</si>
  <si>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</si>
  <si>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</si>
  <si>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</si>
  <si>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</si>
  <si>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</si>
  <si>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</si>
  <si>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</si>
  <si>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</si>
  <si>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</si>
  <si>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</si>
  <si>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</si>
  <si>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</si>
  <si>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</si>
  <si>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</si>
  <si>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</si>
  <si>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</si>
  <si>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52439</t>
  </si>
  <si>
    <t>52440</t>
  </si>
  <si>
    <t>52441</t>
  </si>
  <si>
    <t>52442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</si>
  <si>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</si>
  <si>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</si>
  <si>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</si>
  <si>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</si>
  <si>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</si>
  <si>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</si>
  <si>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</si>
  <si>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</si>
  <si>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</si>
  <si>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</si>
  <si>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</si>
  <si>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</si>
  <si>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</si>
  <si>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</si>
  <si>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</si>
  <si>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</si>
  <si>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</si>
  <si>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</si>
  <si>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</si>
  <si>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</si>
  <si>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</si>
  <si>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</si>
  <si>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52471</t>
  </si>
  <si>
    <t>52472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</si>
  <si>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</si>
  <si>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</si>
  <si>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</si>
  <si>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</si>
  <si>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</si>
  <si>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</si>
  <si>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</si>
  <si>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</si>
  <si>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</si>
  <si>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</si>
  <si>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</si>
  <si>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</si>
  <si>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</si>
  <si>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</si>
  <si>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</si>
  <si>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</si>
  <si>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</si>
  <si>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</si>
  <si>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</si>
  <si>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</si>
  <si>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</si>
  <si>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</si>
  <si>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</si>
  <si>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</si>
  <si>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</si>
  <si>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</si>
  <si>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</si>
  <si>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</si>
  <si>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</si>
  <si>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</si>
  <si>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</si>
  <si>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</si>
  <si>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</si>
  <si>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</si>
  <si>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</si>
  <si>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</si>
  <si>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</si>
  <si>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</si>
  <si>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</si>
  <si>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</si>
  <si>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</si>
  <si>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52520</t>
  </si>
  <si>
    <t>52521</t>
  </si>
  <si>
    <t>52522</t>
  </si>
  <si>
    <t>52523</t>
  </si>
  <si>
    <t>52524</t>
  </si>
  <si>
    <t>52524A</t>
  </si>
  <si>
    <t>52524B</t>
  </si>
  <si>
    <t>52524C</t>
  </si>
  <si>
    <t>52525</t>
  </si>
  <si>
    <t>52526</t>
  </si>
  <si>
    <t>52527</t>
  </si>
  <si>
    <t>52533</t>
  </si>
  <si>
    <t>52534</t>
  </si>
  <si>
    <t>52536</t>
  </si>
  <si>
    <t>52537</t>
  </si>
  <si>
    <t>52538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</si>
  <si>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</si>
  <si>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</si>
  <si>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</si>
  <si>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</si>
  <si>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</si>
  <si>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</si>
  <si>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</si>
  <si>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</si>
  <si>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</si>
  <si>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</si>
  <si>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52551</t>
  </si>
  <si>
    <t>52552</t>
  </si>
  <si>
    <t>52553</t>
  </si>
  <si>
    <t>52553/A</t>
  </si>
  <si>
    <t>52554</t>
  </si>
  <si>
    <t>52555</t>
  </si>
  <si>
    <t>52556</t>
  </si>
  <si>
    <t>52557</t>
  </si>
  <si>
    <t>52558</t>
  </si>
  <si>
    <t>52559</t>
  </si>
  <si>
    <t>52560</t>
  </si>
  <si>
    <t>52560/A</t>
  </si>
  <si>
    <t>52561</t>
  </si>
  <si>
    <t>52563</t>
  </si>
  <si>
    <t>52564</t>
  </si>
  <si>
    <t>52565</t>
  </si>
  <si>
    <t>52566</t>
  </si>
  <si>
    <t>52567</t>
  </si>
  <si>
    <t>52568</t>
  </si>
  <si>
    <t>52569</t>
  </si>
  <si>
    <t>52570</t>
  </si>
  <si>
    <t>52571</t>
  </si>
  <si>
    <t>52572</t>
  </si>
  <si>
    <t>52573</t>
  </si>
  <si>
    <t>52574</t>
  </si>
  <si>
    <t>52575</t>
  </si>
  <si>
    <t>52576</t>
  </si>
  <si>
    <t>52577</t>
  </si>
  <si>
    <t>52577/A</t>
  </si>
  <si>
    <t>52577/B</t>
  </si>
  <si>
    <t>52577/C</t>
  </si>
  <si>
    <t>52578</t>
  </si>
  <si>
    <t>52579</t>
  </si>
  <si>
    <t>52580</t>
  </si>
  <si>
    <t>52580/A</t>
  </si>
  <si>
    <t>52581</t>
  </si>
  <si>
    <t>52582</t>
  </si>
  <si>
    <t>52583</t>
  </si>
  <si>
    <t>52584</t>
  </si>
  <si>
    <t>52585</t>
  </si>
  <si>
    <t>52586</t>
  </si>
  <si>
    <t>52587</t>
  </si>
  <si>
    <t>52588</t>
  </si>
  <si>
    <t>52589</t>
  </si>
  <si>
    <t>52590</t>
  </si>
  <si>
    <t>52591</t>
  </si>
  <si>
    <t>52592</t>
  </si>
  <si>
    <t>52593</t>
  </si>
  <si>
    <t>52594</t>
  </si>
  <si>
    <t>52595</t>
  </si>
  <si>
    <t>52596</t>
  </si>
  <si>
    <t>52597</t>
  </si>
  <si>
    <t>52598</t>
  </si>
  <si>
    <t>52599</t>
  </si>
  <si>
    <t>52600</t>
  </si>
  <si>
    <t>52601</t>
  </si>
  <si>
    <t>52602</t>
  </si>
  <si>
    <t>52603</t>
  </si>
  <si>
    <t>52604</t>
  </si>
  <si>
    <t>52605</t>
  </si>
  <si>
    <t>52606</t>
  </si>
  <si>
    <t>52609</t>
  </si>
  <si>
    <t>52610</t>
  </si>
  <si>
    <t>52611</t>
  </si>
  <si>
    <t>52612</t>
  </si>
  <si>
    <t>52613</t>
  </si>
  <si>
    <t>52614</t>
  </si>
  <si>
    <t>52615</t>
  </si>
  <si>
    <t>52616</t>
  </si>
  <si>
    <t>52617</t>
  </si>
  <si>
    <t>52618</t>
  </si>
  <si>
    <t>52619</t>
  </si>
  <si>
    <t>52620</t>
  </si>
  <si>
    <t>52621</t>
  </si>
  <si>
    <t>52622</t>
  </si>
  <si>
    <t>52623</t>
  </si>
  <si>
    <t>52624</t>
  </si>
  <si>
    <t>52625</t>
  </si>
  <si>
    <t>52626</t>
  </si>
  <si>
    <t>52627</t>
  </si>
  <si>
    <t>52628</t>
  </si>
  <si>
    <t>52629</t>
  </si>
  <si>
    <t>52630</t>
  </si>
  <si>
    <t>52631</t>
  </si>
  <si>
    <t>52632</t>
  </si>
  <si>
    <t>52633</t>
  </si>
  <si>
    <t>52634</t>
  </si>
  <si>
    <t>52635</t>
  </si>
  <si>
    <t>52636</t>
  </si>
  <si>
    <t>52637</t>
  </si>
  <si>
    <t>52638</t>
  </si>
  <si>
    <t>52639</t>
  </si>
  <si>
    <t>52639A</t>
  </si>
  <si>
    <t>52640</t>
  </si>
  <si>
    <t>52641</t>
  </si>
  <si>
    <t>52642</t>
  </si>
  <si>
    <t>52643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</si>
  <si>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</si>
  <si>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</si>
  <si>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</si>
  <si>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</si>
  <si>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</si>
  <si>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</si>
  <si>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</si>
  <si>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</si>
  <si>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</si>
  <si>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</si>
  <si>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</si>
  <si>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52656</t>
  </si>
  <si>
    <t>52657</t>
  </si>
  <si>
    <t>52659</t>
  </si>
  <si>
    <t>52661</t>
  </si>
  <si>
    <t>52662</t>
  </si>
  <si>
    <t>52663</t>
  </si>
  <si>
    <t>52664</t>
  </si>
  <si>
    <t>52665</t>
  </si>
  <si>
    <t>52666</t>
  </si>
  <si>
    <t>52667</t>
  </si>
  <si>
    <t>52668</t>
  </si>
  <si>
    <t>52669</t>
  </si>
  <si>
    <t>52670</t>
  </si>
  <si>
    <t>52671</t>
  </si>
  <si>
    <t>52672</t>
  </si>
  <si>
    <t>52673</t>
  </si>
  <si>
    <t>52674</t>
  </si>
  <si>
    <t>52675</t>
  </si>
  <si>
    <t>52676</t>
  </si>
  <si>
    <t>52677</t>
  </si>
  <si>
    <t>52678</t>
  </si>
  <si>
    <t>52679</t>
  </si>
  <si>
    <t>52680</t>
  </si>
  <si>
    <t>52681</t>
  </si>
  <si>
    <t>52682</t>
  </si>
  <si>
    <t>52683</t>
  </si>
  <si>
    <t>52684</t>
  </si>
  <si>
    <t>52685</t>
  </si>
  <si>
    <t>52686</t>
  </si>
  <si>
    <t>52687</t>
  </si>
  <si>
    <t>52689</t>
  </si>
  <si>
    <t>52691</t>
  </si>
  <si>
    <t>52693</t>
  </si>
  <si>
    <t>52694</t>
  </si>
  <si>
    <t>52695</t>
  </si>
  <si>
    <t>52696</t>
  </si>
  <si>
    <t>52697</t>
  </si>
  <si>
    <t>52698</t>
  </si>
  <si>
    <t>52699</t>
  </si>
  <si>
    <t>52700</t>
  </si>
  <si>
    <t>52701</t>
  </si>
  <si>
    <t>52702</t>
  </si>
  <si>
    <t>52703</t>
  </si>
  <si>
    <t>52704</t>
  </si>
  <si>
    <t>52705</t>
  </si>
  <si>
    <t>52706</t>
  </si>
  <si>
    <t>52707</t>
  </si>
  <si>
    <t>52708</t>
  </si>
  <si>
    <t>52709</t>
  </si>
  <si>
    <t>52710</t>
  </si>
  <si>
    <t>52711</t>
  </si>
  <si>
    <t>52712</t>
  </si>
  <si>
    <t>52713</t>
  </si>
  <si>
    <t>52714</t>
  </si>
  <si>
    <t>52715</t>
  </si>
  <si>
    <t>52716</t>
  </si>
  <si>
    <t>52717</t>
  </si>
  <si>
    <t>52718</t>
  </si>
  <si>
    <t>52719</t>
  </si>
  <si>
    <t>52720</t>
  </si>
  <si>
    <t>52721</t>
  </si>
  <si>
    <t>52722</t>
  </si>
  <si>
    <t>52723</t>
  </si>
  <si>
    <t>52724</t>
  </si>
  <si>
    <t>52725</t>
  </si>
  <si>
    <t>52726</t>
  </si>
  <si>
    <t>52727</t>
  </si>
  <si>
    <t>52728</t>
  </si>
  <si>
    <t>52729</t>
  </si>
  <si>
    <t>52731</t>
  </si>
  <si>
    <t>52732</t>
  </si>
  <si>
    <t>52733</t>
  </si>
  <si>
    <t>52734</t>
  </si>
  <si>
    <t>52735</t>
  </si>
  <si>
    <t>52736</t>
  </si>
  <si>
    <t>52737</t>
  </si>
  <si>
    <t>52738</t>
  </si>
  <si>
    <t>52739</t>
  </si>
  <si>
    <t>52740</t>
  </si>
  <si>
    <t>52741</t>
  </si>
  <si>
    <t>52742</t>
  </si>
  <si>
    <t>52743</t>
  </si>
  <si>
    <t>52744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</si>
  <si>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</si>
  <si>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</si>
  <si>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</si>
  <si>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</si>
  <si>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</si>
  <si>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</si>
  <si>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</si>
  <si>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</si>
  <si>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</si>
  <si>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</si>
  <si>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</si>
  <si>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52755A</t>
  </si>
  <si>
    <t>52755B</t>
  </si>
  <si>
    <t>52759</t>
  </si>
  <si>
    <t>52760</t>
  </si>
  <si>
    <t>52761</t>
  </si>
  <si>
    <t>52762</t>
  </si>
  <si>
    <t>52763</t>
  </si>
  <si>
    <t>52764</t>
  </si>
  <si>
    <t>52765</t>
  </si>
  <si>
    <t>52766</t>
  </si>
  <si>
    <t>52767</t>
  </si>
  <si>
    <t>52768</t>
  </si>
  <si>
    <t>52769</t>
  </si>
  <si>
    <t>52774</t>
  </si>
  <si>
    <t>52775</t>
  </si>
  <si>
    <t>52776</t>
  </si>
  <si>
    <t>52777</t>
  </si>
  <si>
    <t>52778</t>
  </si>
  <si>
    <t>52779</t>
  </si>
  <si>
    <t>52780</t>
  </si>
  <si>
    <t>52781</t>
  </si>
  <si>
    <t>52782</t>
  </si>
  <si>
    <t>52783</t>
  </si>
  <si>
    <t>52784</t>
  </si>
  <si>
    <t>52785</t>
  </si>
  <si>
    <t>52786</t>
  </si>
  <si>
    <t>52787</t>
  </si>
  <si>
    <t>52788</t>
  </si>
  <si>
    <t>52790</t>
  </si>
  <si>
    <t>52791</t>
  </si>
  <si>
    <t>52792</t>
  </si>
  <si>
    <t>52793</t>
  </si>
  <si>
    <t>52794</t>
  </si>
  <si>
    <t>52795</t>
  </si>
  <si>
    <t>52796</t>
  </si>
  <si>
    <t>52797</t>
  </si>
  <si>
    <t>52798</t>
  </si>
  <si>
    <t>52798A</t>
  </si>
  <si>
    <t>52798B</t>
  </si>
  <si>
    <t>52799</t>
  </si>
  <si>
    <t>52800</t>
  </si>
  <si>
    <t>52801</t>
  </si>
  <si>
    <t>52802</t>
  </si>
  <si>
    <t>52803</t>
  </si>
  <si>
    <t>52804</t>
  </si>
  <si>
    <t>52805</t>
  </si>
  <si>
    <t>52806</t>
  </si>
  <si>
    <t>52806A</t>
  </si>
  <si>
    <t>52806B</t>
  </si>
  <si>
    <t>52806B/CO</t>
  </si>
  <si>
    <t>52807</t>
  </si>
  <si>
    <t>52808</t>
  </si>
  <si>
    <t>52809</t>
  </si>
  <si>
    <t>52810</t>
  </si>
  <si>
    <t>52811</t>
  </si>
  <si>
    <t>52812</t>
  </si>
  <si>
    <t>52813</t>
  </si>
  <si>
    <t>52814</t>
  </si>
  <si>
    <t>52815</t>
  </si>
  <si>
    <t>52816</t>
  </si>
  <si>
    <t>52817</t>
  </si>
  <si>
    <t>52818</t>
  </si>
  <si>
    <t>52819</t>
  </si>
  <si>
    <t>52820</t>
  </si>
  <si>
    <t>52821</t>
  </si>
  <si>
    <t>52822</t>
  </si>
  <si>
    <t>52824</t>
  </si>
  <si>
    <t>52825</t>
  </si>
  <si>
    <t>52826</t>
  </si>
  <si>
    <t>52827</t>
  </si>
  <si>
    <t>52828</t>
  </si>
  <si>
    <t>52829</t>
  </si>
  <si>
    <t>52830</t>
  </si>
  <si>
    <t>52831</t>
  </si>
  <si>
    <t>52832</t>
  </si>
  <si>
    <t>52838</t>
  </si>
  <si>
    <t>52839</t>
  </si>
  <si>
    <t>52840</t>
  </si>
  <si>
    <t>52841</t>
  </si>
  <si>
    <t>52842</t>
  </si>
  <si>
    <t>52843</t>
  </si>
  <si>
    <t>52844</t>
  </si>
  <si>
    <t>52845</t>
  </si>
  <si>
    <t>52846</t>
  </si>
  <si>
    <t>52847</t>
  </si>
  <si>
    <t>52848</t>
  </si>
  <si>
    <t>52849</t>
  </si>
  <si>
    <t>52851</t>
  </si>
  <si>
    <t>52852</t>
  </si>
  <si>
    <t>52853</t>
  </si>
  <si>
    <t>52854</t>
  </si>
  <si>
    <t>52855</t>
  </si>
  <si>
    <t>52856</t>
  </si>
  <si>
    <t>52857</t>
  </si>
  <si>
    <t>52858</t>
  </si>
  <si>
    <t>52859</t>
  </si>
  <si>
    <t>52860</t>
  </si>
  <si>
    <t>52861</t>
  </si>
  <si>
    <t>52862</t>
  </si>
  <si>
    <t>52863</t>
  </si>
  <si>
    <t>52864</t>
  </si>
  <si>
    <t>52865</t>
  </si>
  <si>
    <t>52866</t>
  </si>
  <si>
    <t>52867</t>
  </si>
  <si>
    <t>52868</t>
  </si>
  <si>
    <t>52869</t>
  </si>
  <si>
    <t>52870</t>
  </si>
  <si>
    <t>52871</t>
  </si>
  <si>
    <t>52872</t>
  </si>
  <si>
    <t>52873</t>
  </si>
  <si>
    <t>52874</t>
  </si>
  <si>
    <t>52875</t>
  </si>
  <si>
    <t>52876</t>
  </si>
  <si>
    <t>52877</t>
  </si>
  <si>
    <t>52879</t>
  </si>
  <si>
    <t>52880</t>
  </si>
  <si>
    <t>52881</t>
  </si>
  <si>
    <t>52882</t>
  </si>
  <si>
    <t>52883</t>
  </si>
  <si>
    <t>52884</t>
  </si>
  <si>
    <t>52885</t>
  </si>
  <si>
    <t>52886</t>
  </si>
  <si>
    <t>52887</t>
  </si>
  <si>
    <t>52888</t>
  </si>
  <si>
    <t>52888/CO</t>
  </si>
  <si>
    <t>52894</t>
  </si>
  <si>
    <t>52895</t>
  </si>
  <si>
    <t>52896</t>
  </si>
  <si>
    <t>52897</t>
  </si>
  <si>
    <t>52898</t>
  </si>
  <si>
    <t>52899</t>
  </si>
  <si>
    <t>52900</t>
  </si>
  <si>
    <t>52901</t>
  </si>
  <si>
    <t>52902</t>
  </si>
  <si>
    <t>52904</t>
  </si>
  <si>
    <t>52905</t>
  </si>
  <si>
    <t>52906</t>
  </si>
  <si>
    <t>52907</t>
  </si>
  <si>
    <t>52908</t>
  </si>
  <si>
    <t>52909</t>
  </si>
  <si>
    <t>52909A</t>
  </si>
  <si>
    <t>52910</t>
  </si>
  <si>
    <t>52910A</t>
  </si>
  <si>
    <t>52913</t>
  </si>
  <si>
    <t>52914</t>
  </si>
  <si>
    <t>52915</t>
  </si>
  <si>
    <t>52916</t>
  </si>
  <si>
    <t>52917</t>
  </si>
  <si>
    <t>52918</t>
  </si>
  <si>
    <t>52919</t>
  </si>
  <si>
    <t>52920</t>
  </si>
  <si>
    <t>52921</t>
  </si>
  <si>
    <t>52922</t>
  </si>
  <si>
    <t>52923</t>
  </si>
  <si>
    <t>52924</t>
  </si>
  <si>
    <t>52925</t>
  </si>
  <si>
    <t>52926</t>
  </si>
  <si>
    <t>52927</t>
  </si>
  <si>
    <t>52928</t>
  </si>
  <si>
    <t>52929</t>
  </si>
  <si>
    <t>52931</t>
  </si>
  <si>
    <t>52932</t>
  </si>
  <si>
    <t>52933</t>
  </si>
  <si>
    <t>52934</t>
  </si>
  <si>
    <t>52935</t>
  </si>
  <si>
    <t>52936</t>
  </si>
  <si>
    <t>52937</t>
  </si>
  <si>
    <t>52938</t>
  </si>
  <si>
    <t>52939</t>
  </si>
  <si>
    <t>52940</t>
  </si>
  <si>
    <t>52941</t>
  </si>
  <si>
    <t>52942</t>
  </si>
  <si>
    <t>52943</t>
  </si>
  <si>
    <t>52944</t>
  </si>
  <si>
    <t>52945</t>
  </si>
  <si>
    <t>52945A</t>
  </si>
  <si>
    <t>52946</t>
  </si>
  <si>
    <t>52947</t>
  </si>
  <si>
    <t>52947A</t>
  </si>
  <si>
    <t>52948</t>
  </si>
  <si>
    <t>52949</t>
  </si>
  <si>
    <t>52950</t>
  </si>
  <si>
    <t>52951</t>
  </si>
  <si>
    <t>52952</t>
  </si>
  <si>
    <t>52954</t>
  </si>
  <si>
    <t>52956</t>
  </si>
  <si>
    <t>52957</t>
  </si>
  <si>
    <t>52958</t>
  </si>
  <si>
    <t>52959</t>
  </si>
  <si>
    <t>52960</t>
  </si>
  <si>
    <t>52961</t>
  </si>
  <si>
    <t>52963</t>
  </si>
  <si>
    <t>52964</t>
  </si>
  <si>
    <t>52965</t>
  </si>
  <si>
    <t>52966</t>
  </si>
  <si>
    <t>52967</t>
  </si>
  <si>
    <t>52968</t>
  </si>
  <si>
    <t>52970</t>
  </si>
  <si>
    <t>52971</t>
  </si>
  <si>
    <t>52972</t>
  </si>
  <si>
    <t>52973</t>
  </si>
  <si>
    <t>52974</t>
  </si>
  <si>
    <t>52975</t>
  </si>
  <si>
    <t>52976</t>
  </si>
  <si>
    <t>52977</t>
  </si>
  <si>
    <t>52978</t>
  </si>
  <si>
    <t>52979</t>
  </si>
  <si>
    <t>52980</t>
  </si>
  <si>
    <t>52981</t>
  </si>
  <si>
    <t>52982</t>
  </si>
  <si>
    <t>52983</t>
  </si>
  <si>
    <t>52984</t>
  </si>
  <si>
    <t>52985</t>
  </si>
  <si>
    <t>52986</t>
  </si>
  <si>
    <t>52987</t>
  </si>
  <si>
    <t>52988</t>
  </si>
  <si>
    <t>52989</t>
  </si>
  <si>
    <t>52990</t>
  </si>
  <si>
    <t>52991</t>
  </si>
  <si>
    <t>52992</t>
  </si>
  <si>
    <t>52993</t>
  </si>
  <si>
    <t>52994</t>
  </si>
  <si>
    <t>52995</t>
  </si>
  <si>
    <t>52996</t>
  </si>
  <si>
    <t>52997</t>
  </si>
  <si>
    <t>52999</t>
  </si>
  <si>
    <t>53000</t>
  </si>
  <si>
    <t>53001</t>
  </si>
  <si>
    <t>53002</t>
  </si>
  <si>
    <t>53003</t>
  </si>
  <si>
    <t>53004</t>
  </si>
  <si>
    <t>53005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</si>
  <si>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</si>
  <si>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</si>
  <si>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</si>
  <si>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</si>
  <si>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</si>
  <si>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</si>
  <si>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</si>
  <si>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</si>
  <si>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</si>
  <si>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</si>
  <si>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</si>
  <si>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</si>
  <si>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</si>
  <si>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</si>
  <si>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</si>
  <si>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</si>
  <si>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</si>
  <si>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</si>
  <si>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</si>
  <si>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</si>
  <si>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</si>
  <si>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</si>
  <si>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53040</t>
  </si>
  <si>
    <t>53041</t>
  </si>
  <si>
    <t>53042</t>
  </si>
  <si>
    <t>53044</t>
  </si>
  <si>
    <t>53045</t>
  </si>
  <si>
    <t>53046</t>
  </si>
  <si>
    <t>53047</t>
  </si>
  <si>
    <t>53047/CO</t>
  </si>
  <si>
    <t>53047A</t>
  </si>
  <si>
    <t>53047B</t>
  </si>
  <si>
    <t>53047B/CO</t>
  </si>
  <si>
    <t>53047B/SE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</si>
  <si>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</si>
  <si>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</si>
  <si>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</si>
  <si>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</si>
  <si>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</si>
  <si>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</si>
  <si>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</si>
  <si>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</si>
  <si>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</si>
  <si>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</si>
  <si>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</si>
  <si>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</si>
  <si>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</si>
  <si>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</si>
  <si>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</si>
  <si>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</si>
  <si>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</si>
  <si>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</si>
  <si>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</si>
  <si>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</si>
  <si>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</si>
  <si>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</si>
  <si>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</si>
  <si>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</si>
  <si>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</si>
  <si>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</si>
  <si>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</si>
  <si>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</si>
  <si>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</si>
  <si>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</si>
  <si>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</si>
  <si>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</si>
  <si>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</si>
  <si>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</si>
  <si>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</si>
  <si>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</si>
  <si>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</si>
  <si>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</si>
  <si>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</si>
  <si>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</si>
  <si>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</si>
  <si>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</si>
  <si>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</si>
  <si>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</si>
  <si>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</si>
  <si>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</si>
  <si>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</si>
  <si>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</si>
  <si>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53098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</si>
  <si>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</si>
  <si>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</si>
  <si>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</si>
  <si>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</si>
  <si>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</si>
  <si>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</si>
  <si>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</si>
  <si>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</si>
  <si>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</si>
  <si>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</si>
  <si>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</si>
  <si>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</si>
  <si>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</si>
  <si>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</si>
  <si>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</si>
  <si>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</si>
  <si>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</si>
  <si>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</si>
  <si>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</si>
  <si>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</si>
  <si>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</si>
  <si>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</si>
  <si>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</si>
  <si>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</si>
  <si>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</si>
  <si>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</si>
  <si>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</si>
  <si>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</si>
  <si>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</si>
  <si>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</si>
  <si>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</si>
  <si>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</si>
  <si>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</si>
  <si>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53136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</si>
  <si>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</si>
  <si>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</si>
  <si>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</si>
  <si>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</si>
  <si>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</si>
  <si>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</si>
  <si>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</si>
  <si>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</si>
  <si>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</si>
  <si>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</si>
  <si>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</si>
  <si>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</si>
  <si>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</si>
  <si>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</si>
  <si>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</si>
  <si>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</si>
  <si>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</si>
  <si>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</si>
  <si>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</si>
  <si>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</si>
  <si>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</si>
  <si>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</si>
  <si>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</si>
  <si>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</si>
  <si>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</si>
  <si>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</si>
  <si>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</si>
  <si>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</si>
  <si>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</si>
  <si>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53170</t>
  </si>
  <si>
    <t>53171</t>
  </si>
  <si>
    <t>53173</t>
  </si>
  <si>
    <t>53174</t>
  </si>
  <si>
    <t>53176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</si>
  <si>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</si>
  <si>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</si>
  <si>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</si>
  <si>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</si>
  <si>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</si>
  <si>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</si>
  <si>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</si>
  <si>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</si>
  <si>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</si>
  <si>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</si>
  <si>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</si>
  <si>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</si>
  <si>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</si>
  <si>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</si>
  <si>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</si>
  <si>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</si>
  <si>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</si>
  <si>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</si>
  <si>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</si>
  <si>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</si>
  <si>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</si>
  <si>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</si>
  <si>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</si>
  <si>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</si>
  <si>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</si>
  <si>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</si>
  <si>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</si>
  <si>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</si>
  <si>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</si>
  <si>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53211</t>
  </si>
  <si>
    <t>53212</t>
  </si>
  <si>
    <t>53213</t>
  </si>
  <si>
    <t>53214</t>
  </si>
  <si>
    <t>53215</t>
  </si>
  <si>
    <t>53216</t>
  </si>
  <si>
    <t>53217</t>
  </si>
  <si>
    <t>53220</t>
  </si>
  <si>
    <t>53221</t>
  </si>
  <si>
    <t>53222</t>
  </si>
  <si>
    <t>53223</t>
  </si>
  <si>
    <t>53224</t>
  </si>
  <si>
    <t>53226</t>
  </si>
  <si>
    <t>53227</t>
  </si>
  <si>
    <t>53228</t>
  </si>
  <si>
    <t>53229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</si>
  <si>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</si>
  <si>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</si>
  <si>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</si>
  <si>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</si>
  <si>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</si>
  <si>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</si>
  <si>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</si>
  <si>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</si>
  <si>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</si>
  <si>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</si>
  <si>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</si>
  <si>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</si>
  <si>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</si>
  <si>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</si>
  <si>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</si>
  <si>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</si>
  <si>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</si>
  <si>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53252</t>
  </si>
  <si>
    <t>53255</t>
  </si>
  <si>
    <t>53256</t>
  </si>
  <si>
    <t>53257</t>
  </si>
  <si>
    <t>53258</t>
  </si>
  <si>
    <t>53259</t>
  </si>
  <si>
    <t>53260</t>
  </si>
  <si>
    <t>53264</t>
  </si>
  <si>
    <t>53265</t>
  </si>
  <si>
    <t>53265/A</t>
  </si>
  <si>
    <t>53267</t>
  </si>
  <si>
    <t>53268</t>
  </si>
  <si>
    <t>53269</t>
  </si>
  <si>
    <t>53270</t>
  </si>
  <si>
    <t>53271</t>
  </si>
  <si>
    <t>53272</t>
  </si>
  <si>
    <t>53273</t>
  </si>
  <si>
    <t>53275</t>
  </si>
  <si>
    <t>53276</t>
  </si>
  <si>
    <t>53277</t>
  </si>
  <si>
    <t>53278</t>
  </si>
  <si>
    <t>53279</t>
  </si>
  <si>
    <t>53280</t>
  </si>
  <si>
    <t>53281</t>
  </si>
  <si>
    <t>53282</t>
  </si>
  <si>
    <t>53283</t>
  </si>
  <si>
    <t>53284</t>
  </si>
  <si>
    <t>53285</t>
  </si>
  <si>
    <t>53286</t>
  </si>
  <si>
    <t>53287</t>
  </si>
  <si>
    <t>53288</t>
  </si>
  <si>
    <t>53289</t>
  </si>
  <si>
    <t>53290</t>
  </si>
  <si>
    <t>53291</t>
  </si>
  <si>
    <t>53292</t>
  </si>
  <si>
    <t>53293</t>
  </si>
  <si>
    <t>53294</t>
  </si>
  <si>
    <t>53295</t>
  </si>
  <si>
    <t>53296</t>
  </si>
  <si>
    <t>53297</t>
  </si>
  <si>
    <t>53298</t>
  </si>
  <si>
    <t>53299</t>
  </si>
  <si>
    <t>53300</t>
  </si>
  <si>
    <t>53301</t>
  </si>
  <si>
    <t>53302</t>
  </si>
  <si>
    <t>53303</t>
  </si>
  <si>
    <t>53304</t>
  </si>
  <si>
    <t>53305</t>
  </si>
  <si>
    <t>53306</t>
  </si>
  <si>
    <t>53306A</t>
  </si>
  <si>
    <t>53306B</t>
  </si>
  <si>
    <t>53307</t>
  </si>
  <si>
    <t>53308</t>
  </si>
  <si>
    <t>53309</t>
  </si>
  <si>
    <t>53310</t>
  </si>
  <si>
    <t>53311</t>
  </si>
  <si>
    <t>53312</t>
  </si>
  <si>
    <t>53313</t>
  </si>
  <si>
    <t>53314</t>
  </si>
  <si>
    <t>53315</t>
  </si>
  <si>
    <t>53316</t>
  </si>
  <si>
    <t>53317</t>
  </si>
  <si>
    <t>53318</t>
  </si>
  <si>
    <t>53319</t>
  </si>
  <si>
    <t>53320</t>
  </si>
  <si>
    <t>53321</t>
  </si>
  <si>
    <t>53322</t>
  </si>
  <si>
    <t>53323</t>
  </si>
  <si>
    <t>53324</t>
  </si>
  <si>
    <t>53325</t>
  </si>
  <si>
    <t>53326</t>
  </si>
  <si>
    <t>53327</t>
  </si>
  <si>
    <t>53328</t>
  </si>
  <si>
    <t>53329</t>
  </si>
  <si>
    <t>53330</t>
  </si>
  <si>
    <t>53331</t>
  </si>
  <si>
    <t>53332</t>
  </si>
  <si>
    <t>53333</t>
  </si>
  <si>
    <t>53334</t>
  </si>
  <si>
    <t>53335</t>
  </si>
  <si>
    <t>53336</t>
  </si>
  <si>
    <t>53337</t>
  </si>
  <si>
    <t>53338</t>
  </si>
  <si>
    <t>53339</t>
  </si>
  <si>
    <t>53340</t>
  </si>
  <si>
    <t>53341</t>
  </si>
  <si>
    <t>53342</t>
  </si>
  <si>
    <t>53343</t>
  </si>
  <si>
    <t>53344</t>
  </si>
  <si>
    <t>53345</t>
  </si>
  <si>
    <t>53346</t>
  </si>
  <si>
    <t>53347</t>
  </si>
  <si>
    <t>53348</t>
  </si>
  <si>
    <t>53349</t>
  </si>
  <si>
    <t>53350</t>
  </si>
  <si>
    <t>53351</t>
  </si>
  <si>
    <t>53352</t>
  </si>
  <si>
    <t>53353</t>
  </si>
  <si>
    <t>53354</t>
  </si>
  <si>
    <t>53355</t>
  </si>
  <si>
    <t>53356</t>
  </si>
  <si>
    <t>53357</t>
  </si>
  <si>
    <t>53358</t>
  </si>
  <si>
    <t>53359</t>
  </si>
  <si>
    <t>53360</t>
  </si>
  <si>
    <t>53361</t>
  </si>
  <si>
    <t>53362</t>
  </si>
  <si>
    <t>53363</t>
  </si>
  <si>
    <t>53364</t>
  </si>
  <si>
    <t>53365</t>
  </si>
  <si>
    <t>53366</t>
  </si>
  <si>
    <t>53367</t>
  </si>
  <si>
    <t>53368</t>
  </si>
  <si>
    <t>53369</t>
  </si>
  <si>
    <t>53370</t>
  </si>
  <si>
    <t>53371</t>
  </si>
  <si>
    <t>53372</t>
  </si>
  <si>
    <t>53373</t>
  </si>
  <si>
    <t>53374</t>
  </si>
  <si>
    <t>53375</t>
  </si>
  <si>
    <t>53376</t>
  </si>
  <si>
    <t>53377</t>
  </si>
  <si>
    <t>53378</t>
  </si>
  <si>
    <t>53379</t>
  </si>
  <si>
    <t>53380</t>
  </si>
  <si>
    <t>53381</t>
  </si>
  <si>
    <t>53382</t>
  </si>
  <si>
    <t>53383</t>
  </si>
  <si>
    <t>53384</t>
  </si>
  <si>
    <t>53385</t>
  </si>
  <si>
    <t>53386</t>
  </si>
  <si>
    <t>53387</t>
  </si>
  <si>
    <t>53388</t>
  </si>
  <si>
    <t>53389</t>
  </si>
  <si>
    <t>53390</t>
  </si>
  <si>
    <t>53391</t>
  </si>
  <si>
    <t>53392</t>
  </si>
  <si>
    <t>53393</t>
  </si>
  <si>
    <t>53394</t>
  </si>
  <si>
    <t>53395</t>
  </si>
  <si>
    <t>53396</t>
  </si>
  <si>
    <t>53397</t>
  </si>
  <si>
    <t>53398</t>
  </si>
  <si>
    <t>53399</t>
  </si>
  <si>
    <t>53400</t>
  </si>
  <si>
    <t>53400A</t>
  </si>
  <si>
    <t>53400B</t>
  </si>
  <si>
    <t>53400C</t>
  </si>
  <si>
    <t>53400D</t>
  </si>
  <si>
    <t>53400E</t>
  </si>
  <si>
    <t>53400F</t>
  </si>
  <si>
    <t>53400G</t>
  </si>
  <si>
    <t>53400H</t>
  </si>
  <si>
    <t>53401</t>
  </si>
  <si>
    <t>53402</t>
  </si>
  <si>
    <t>53403</t>
  </si>
  <si>
    <t>53404</t>
  </si>
  <si>
    <t>53409</t>
  </si>
  <si>
    <t>53410</t>
  </si>
  <si>
    <t>53411</t>
  </si>
  <si>
    <t>53412</t>
  </si>
  <si>
    <t>53413</t>
  </si>
  <si>
    <t>53414</t>
  </si>
  <si>
    <t>53415</t>
  </si>
  <si>
    <t>53416</t>
  </si>
  <si>
    <t>53417</t>
  </si>
  <si>
    <t>53417/A</t>
  </si>
  <si>
    <t>53418</t>
  </si>
  <si>
    <t>53418/A</t>
  </si>
  <si>
    <t>53419</t>
  </si>
  <si>
    <t>53419/A</t>
  </si>
  <si>
    <t>53420</t>
  </si>
  <si>
    <t>53421</t>
  </si>
  <si>
    <t>53422</t>
  </si>
  <si>
    <t>53423</t>
  </si>
  <si>
    <t>53424</t>
  </si>
  <si>
    <t>53425</t>
  </si>
  <si>
    <t>53426</t>
  </si>
  <si>
    <t>53427</t>
  </si>
  <si>
    <t>53429</t>
  </si>
  <si>
    <t>53430</t>
  </si>
  <si>
    <t>53430/CO</t>
  </si>
  <si>
    <t>53430A</t>
  </si>
  <si>
    <t>53430A/CO</t>
  </si>
  <si>
    <t>53430A/SE</t>
  </si>
  <si>
    <t>53431</t>
  </si>
  <si>
    <t>53432</t>
  </si>
  <si>
    <t>53433</t>
  </si>
  <si>
    <t>53434</t>
  </si>
  <si>
    <t>53435</t>
  </si>
  <si>
    <t>53436</t>
  </si>
  <si>
    <t>53437</t>
  </si>
  <si>
    <t>53438</t>
  </si>
  <si>
    <t>53439</t>
  </si>
  <si>
    <t>53440</t>
  </si>
  <si>
    <t>53441</t>
  </si>
  <si>
    <t>53442</t>
  </si>
  <si>
    <t>53443</t>
  </si>
  <si>
    <t>53444</t>
  </si>
  <si>
    <t>53445</t>
  </si>
  <si>
    <t>53446</t>
  </si>
  <si>
    <t>53447</t>
  </si>
  <si>
    <t>53448</t>
  </si>
  <si>
    <t>53449</t>
  </si>
  <si>
    <t>53450</t>
  </si>
  <si>
    <t>53451</t>
  </si>
  <si>
    <t>53452</t>
  </si>
  <si>
    <t>53453</t>
  </si>
  <si>
    <t>53454</t>
  </si>
  <si>
    <t>53455</t>
  </si>
  <si>
    <t>53456</t>
  </si>
  <si>
    <t>53457</t>
  </si>
  <si>
    <t>53458</t>
  </si>
  <si>
    <t>53459</t>
  </si>
  <si>
    <t>53460</t>
  </si>
  <si>
    <t>53461</t>
  </si>
  <si>
    <t>53462</t>
  </si>
  <si>
    <t>53463</t>
  </si>
  <si>
    <t>53465</t>
  </si>
  <si>
    <t>53466</t>
  </si>
  <si>
    <t>53467</t>
  </si>
  <si>
    <t>53468</t>
  </si>
  <si>
    <t>53469</t>
  </si>
  <si>
    <t>53470</t>
  </si>
  <si>
    <t>53471</t>
  </si>
  <si>
    <t>53472</t>
  </si>
  <si>
    <t>53473</t>
  </si>
  <si>
    <t>53474</t>
  </si>
  <si>
    <t>53475</t>
  </si>
  <si>
    <t>53476</t>
  </si>
  <si>
    <t>53477</t>
  </si>
  <si>
    <t>53478</t>
  </si>
  <si>
    <t>53479</t>
  </si>
  <si>
    <t>53480</t>
  </si>
  <si>
    <t>53481</t>
  </si>
  <si>
    <t>53482</t>
  </si>
  <si>
    <t>53483</t>
  </si>
  <si>
    <t>53484</t>
  </si>
  <si>
    <t>53485</t>
  </si>
  <si>
    <t>53486</t>
  </si>
  <si>
    <t>53487</t>
  </si>
  <si>
    <t>53488</t>
  </si>
  <si>
    <t>53489</t>
  </si>
  <si>
    <t>53490</t>
  </si>
  <si>
    <t>53491</t>
  </si>
  <si>
    <t>53492</t>
  </si>
  <si>
    <t>53493</t>
  </si>
  <si>
    <t>53494</t>
  </si>
  <si>
    <t>53495</t>
  </si>
  <si>
    <t>53496</t>
  </si>
  <si>
    <t>53497</t>
  </si>
  <si>
    <t>53498</t>
  </si>
  <si>
    <t>53499</t>
  </si>
  <si>
    <t>53500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</si>
  <si>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</si>
  <si>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</si>
  <si>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</si>
  <si>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</si>
  <si>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</si>
  <si>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</si>
  <si>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</si>
  <si>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</si>
  <si>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</si>
  <si>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</si>
  <si>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53511</t>
  </si>
  <si>
    <t>53512</t>
  </si>
  <si>
    <t>53513</t>
  </si>
  <si>
    <t>53514</t>
  </si>
  <si>
    <t>53515</t>
  </si>
  <si>
    <t>53516</t>
  </si>
  <si>
    <t>53517</t>
  </si>
  <si>
    <t>53518</t>
  </si>
  <si>
    <t>53519</t>
  </si>
  <si>
    <t>53520</t>
  </si>
  <si>
    <t>53521</t>
  </si>
  <si>
    <t>53523</t>
  </si>
  <si>
    <t>53524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</si>
  <si>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</si>
  <si>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</si>
  <si>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</si>
  <si>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</si>
  <si>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</si>
  <si>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</si>
  <si>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</si>
  <si>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</si>
  <si>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</si>
  <si>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</si>
  <si>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53535</t>
  </si>
  <si>
    <t>53536</t>
  </si>
  <si>
    <t>53537</t>
  </si>
  <si>
    <t>53538</t>
  </si>
  <si>
    <t>53539</t>
  </si>
  <si>
    <t>53540</t>
  </si>
  <si>
    <t>53541</t>
  </si>
  <si>
    <t>53542</t>
  </si>
  <si>
    <t>53543</t>
  </si>
  <si>
    <t>53566</t>
  </si>
  <si>
    <t>53567</t>
  </si>
  <si>
    <t>53568</t>
  </si>
  <si>
    <t>53569</t>
  </si>
  <si>
    <t>53570</t>
  </si>
  <si>
    <t>53571</t>
  </si>
  <si>
    <t>53572</t>
  </si>
  <si>
    <t>53573</t>
  </si>
  <si>
    <t>53575</t>
  </si>
  <si>
    <t>53576</t>
  </si>
  <si>
    <t>53577</t>
  </si>
  <si>
    <t>53578</t>
  </si>
  <si>
    <t>53579</t>
  </si>
  <si>
    <t>53580</t>
  </si>
  <si>
    <t>53581</t>
  </si>
  <si>
    <t>53582</t>
  </si>
  <si>
    <t>53583</t>
  </si>
  <si>
    <t>53584</t>
  </si>
  <si>
    <t>53585</t>
  </si>
  <si>
    <t>53586</t>
  </si>
  <si>
    <t>53587</t>
  </si>
  <si>
    <t>53588</t>
  </si>
  <si>
    <t>53589</t>
  </si>
  <si>
    <t>53590</t>
  </si>
  <si>
    <t>53591</t>
  </si>
  <si>
    <t>53592</t>
  </si>
  <si>
    <t>53593</t>
  </si>
  <si>
    <t>53594</t>
  </si>
  <si>
    <t>53595</t>
  </si>
  <si>
    <t>53596</t>
  </si>
  <si>
    <t>53597</t>
  </si>
  <si>
    <t>53598</t>
  </si>
  <si>
    <t>53599</t>
  </si>
  <si>
    <t>53600</t>
  </si>
  <si>
    <t>53601</t>
  </si>
  <si>
    <t>53602</t>
  </si>
  <si>
    <t>53603</t>
  </si>
  <si>
    <t>53605</t>
  </si>
  <si>
    <t>53606</t>
  </si>
  <si>
    <t>53607</t>
  </si>
  <si>
    <t>53608</t>
  </si>
  <si>
    <t>53609</t>
  </si>
  <si>
    <t>53610</t>
  </si>
  <si>
    <t>53611</t>
  </si>
  <si>
    <t>53613</t>
  </si>
  <si>
    <t>53614</t>
  </si>
  <si>
    <t>53615</t>
  </si>
  <si>
    <t>53616</t>
  </si>
  <si>
    <t>53617</t>
  </si>
  <si>
    <t>53618</t>
  </si>
  <si>
    <t>53619</t>
  </si>
  <si>
    <t>53620</t>
  </si>
  <si>
    <t>53621</t>
  </si>
  <si>
    <t>53622</t>
  </si>
  <si>
    <t>53623</t>
  </si>
  <si>
    <t>53624</t>
  </si>
  <si>
    <t>53625</t>
  </si>
  <si>
    <t>53626</t>
  </si>
  <si>
    <t>53628</t>
  </si>
  <si>
    <t>53629</t>
  </si>
  <si>
    <t>53630</t>
  </si>
  <si>
    <t>53631</t>
  </si>
  <si>
    <t>53632</t>
  </si>
  <si>
    <t>53633</t>
  </si>
  <si>
    <t>53634</t>
  </si>
  <si>
    <t>53635</t>
  </si>
  <si>
    <t>53636</t>
  </si>
  <si>
    <t>53637</t>
  </si>
  <si>
    <t>53638</t>
  </si>
  <si>
    <t>53639</t>
  </si>
  <si>
    <t>53640</t>
  </si>
  <si>
    <t>53641</t>
  </si>
  <si>
    <t>53642</t>
  </si>
  <si>
    <t>53643</t>
  </si>
  <si>
    <t>53644</t>
  </si>
  <si>
    <t>53645</t>
  </si>
  <si>
    <t>53646</t>
  </si>
  <si>
    <t>53647</t>
  </si>
  <si>
    <t>53648</t>
  </si>
  <si>
    <t>53649</t>
  </si>
  <si>
    <t>53650</t>
  </si>
  <si>
    <t>53651</t>
  </si>
  <si>
    <t>53652</t>
  </si>
  <si>
    <t>53653</t>
  </si>
  <si>
    <t>53654</t>
  </si>
  <si>
    <t>53655</t>
  </si>
  <si>
    <t>53659</t>
  </si>
  <si>
    <t>53660</t>
  </si>
  <si>
    <t>53661</t>
  </si>
  <si>
    <t>53662</t>
  </si>
  <si>
    <t>53663</t>
  </si>
  <si>
    <t>53664</t>
  </si>
  <si>
    <t>53665</t>
  </si>
  <si>
    <t>53666</t>
  </si>
  <si>
    <t>53667</t>
  </si>
  <si>
    <t>53669</t>
  </si>
  <si>
    <t>53671</t>
  </si>
  <si>
    <t>53672</t>
  </si>
  <si>
    <t>53673</t>
  </si>
  <si>
    <t>53674</t>
  </si>
  <si>
    <t>53675</t>
  </si>
  <si>
    <t>53675A</t>
  </si>
  <si>
    <t>53676</t>
  </si>
  <si>
    <t>53677</t>
  </si>
  <si>
    <t>53678</t>
  </si>
  <si>
    <t>53679</t>
  </si>
  <si>
    <t>53680</t>
  </si>
  <si>
    <t>53685</t>
  </si>
  <si>
    <t>53686</t>
  </si>
  <si>
    <t>53687</t>
  </si>
  <si>
    <t>53688</t>
  </si>
  <si>
    <t>53689</t>
  </si>
  <si>
    <t>53690</t>
  </si>
  <si>
    <t>53691</t>
  </si>
  <si>
    <t>53692</t>
  </si>
  <si>
    <t>53693</t>
  </si>
  <si>
    <t>53694</t>
  </si>
  <si>
    <t>53695</t>
  </si>
  <si>
    <t>53696</t>
  </si>
  <si>
    <t>53696A</t>
  </si>
  <si>
    <t>53697</t>
  </si>
  <si>
    <t>53698</t>
  </si>
  <si>
    <t>53699</t>
  </si>
  <si>
    <t>53700</t>
  </si>
  <si>
    <t>53701</t>
  </si>
  <si>
    <t>53703</t>
  </si>
  <si>
    <t>53704</t>
  </si>
  <si>
    <t>53705</t>
  </si>
  <si>
    <t>53706</t>
  </si>
  <si>
    <t>53707</t>
  </si>
  <si>
    <t>53708</t>
  </si>
  <si>
    <t>53709</t>
  </si>
  <si>
    <t>53710</t>
  </si>
  <si>
    <t>53710A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</si>
  <si>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</si>
  <si>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</si>
  <si>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</si>
  <si>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</si>
  <si>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</si>
  <si>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</si>
  <si>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</si>
  <si>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</si>
  <si>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53720</t>
  </si>
  <si>
    <t>53721</t>
  </si>
  <si>
    <t>53722</t>
  </si>
  <si>
    <t>53723</t>
  </si>
  <si>
    <t>53724</t>
  </si>
  <si>
    <t>53725</t>
  </si>
  <si>
    <t>53725/A</t>
  </si>
  <si>
    <t>53726</t>
  </si>
  <si>
    <t>53726/A</t>
  </si>
  <si>
    <t>53727</t>
  </si>
  <si>
    <t>53727/A</t>
  </si>
  <si>
    <t>53728</t>
  </si>
  <si>
    <t>53728/A</t>
  </si>
  <si>
    <t>53729</t>
  </si>
  <si>
    <t>53729/A</t>
  </si>
  <si>
    <t>53730</t>
  </si>
  <si>
    <t>53730/A</t>
  </si>
  <si>
    <t>53731</t>
  </si>
  <si>
    <t>53732</t>
  </si>
  <si>
    <t>53733</t>
  </si>
  <si>
    <t>53734</t>
  </si>
  <si>
    <t>53735</t>
  </si>
  <si>
    <t>53736</t>
  </si>
  <si>
    <t>53737</t>
  </si>
  <si>
    <t>53738</t>
  </si>
  <si>
    <t>53739</t>
  </si>
  <si>
    <t>53740</t>
  </si>
  <si>
    <t>53741</t>
  </si>
  <si>
    <t>53742</t>
  </si>
  <si>
    <t>53743</t>
  </si>
  <si>
    <t>53744</t>
  </si>
  <si>
    <t>53747</t>
  </si>
  <si>
    <t>53748</t>
  </si>
  <si>
    <t>53749</t>
  </si>
  <si>
    <t>53750</t>
  </si>
  <si>
    <t>53751</t>
  </si>
  <si>
    <t>53752</t>
  </si>
  <si>
    <t>53753</t>
  </si>
  <si>
    <t>53754</t>
  </si>
  <si>
    <t>53755</t>
  </si>
  <si>
    <t>53756</t>
  </si>
  <si>
    <t>53757</t>
  </si>
  <si>
    <t>53759</t>
  </si>
  <si>
    <t>53760</t>
  </si>
  <si>
    <t>53761</t>
  </si>
  <si>
    <t>53762</t>
  </si>
  <si>
    <t>53763</t>
  </si>
  <si>
    <t>53764</t>
  </si>
  <si>
    <t>53765</t>
  </si>
  <si>
    <t>53766</t>
  </si>
  <si>
    <t>53767</t>
  </si>
  <si>
    <t>53768</t>
  </si>
  <si>
    <t>53769</t>
  </si>
  <si>
    <t>53770</t>
  </si>
  <si>
    <t>53771</t>
  </si>
  <si>
    <t>53772</t>
  </si>
  <si>
    <t>53773</t>
  </si>
  <si>
    <t>53774</t>
  </si>
  <si>
    <t>53775</t>
  </si>
  <si>
    <t>53777</t>
  </si>
  <si>
    <t>53778</t>
  </si>
  <si>
    <t>53779</t>
  </si>
  <si>
    <t>53780</t>
  </si>
  <si>
    <t>53781</t>
  </si>
  <si>
    <t>53782</t>
  </si>
  <si>
    <t>53783</t>
  </si>
  <si>
    <t>53784</t>
  </si>
  <si>
    <t>53785</t>
  </si>
  <si>
    <t>53786</t>
  </si>
  <si>
    <t>53787</t>
  </si>
  <si>
    <t>53788</t>
  </si>
  <si>
    <t>53789</t>
  </si>
  <si>
    <t>53790</t>
  </si>
  <si>
    <t>53791</t>
  </si>
  <si>
    <t>53792</t>
  </si>
  <si>
    <t>53793</t>
  </si>
  <si>
    <t>53794</t>
  </si>
  <si>
    <t>53795</t>
  </si>
  <si>
    <t>53796</t>
  </si>
  <si>
    <t>53797</t>
  </si>
  <si>
    <t>53798</t>
  </si>
  <si>
    <t>53799</t>
  </si>
  <si>
    <t>53800</t>
  </si>
  <si>
    <t>53801</t>
  </si>
  <si>
    <t>53802</t>
  </si>
  <si>
    <t>53803</t>
  </si>
  <si>
    <t>53804</t>
  </si>
  <si>
    <t>53805</t>
  </si>
  <si>
    <t>53806</t>
  </si>
  <si>
    <t>53807</t>
  </si>
  <si>
    <t>53810</t>
  </si>
  <si>
    <t>53811</t>
  </si>
  <si>
    <t>53812</t>
  </si>
  <si>
    <t>53813</t>
  </si>
  <si>
    <t>53814</t>
  </si>
  <si>
    <t>53815</t>
  </si>
  <si>
    <t>53816</t>
  </si>
  <si>
    <t>53817</t>
  </si>
  <si>
    <t>53818</t>
  </si>
  <si>
    <t>53819</t>
  </si>
  <si>
    <t>53820</t>
  </si>
  <si>
    <t>53821</t>
  </si>
  <si>
    <t>53822</t>
  </si>
  <si>
    <t>53823</t>
  </si>
  <si>
    <t>53824</t>
  </si>
  <si>
    <t>53825</t>
  </si>
  <si>
    <t>53825/A</t>
  </si>
  <si>
    <t>53826</t>
  </si>
  <si>
    <t>53827</t>
  </si>
  <si>
    <t>53828</t>
  </si>
  <si>
    <t>53829</t>
  </si>
  <si>
    <t>53830</t>
  </si>
  <si>
    <t>53831</t>
  </si>
  <si>
    <t>53832</t>
  </si>
  <si>
    <t>53833</t>
  </si>
  <si>
    <t>53834</t>
  </si>
  <si>
    <t>53835</t>
  </si>
  <si>
    <t>53836</t>
  </si>
  <si>
    <t>53837</t>
  </si>
  <si>
    <t>53838</t>
  </si>
  <si>
    <t>53839</t>
  </si>
  <si>
    <t>53840</t>
  </si>
  <si>
    <t>53841</t>
  </si>
  <si>
    <t>53842</t>
  </si>
  <si>
    <t>53843</t>
  </si>
  <si>
    <t>53844</t>
  </si>
  <si>
    <t>53845</t>
  </si>
  <si>
    <t>53846</t>
  </si>
  <si>
    <t>53847</t>
  </si>
  <si>
    <t>53848</t>
  </si>
  <si>
    <t>53849</t>
  </si>
  <si>
    <t>53850</t>
  </si>
  <si>
    <t>53852</t>
  </si>
  <si>
    <t>53853</t>
  </si>
  <si>
    <t>53854</t>
  </si>
  <si>
    <t>53855</t>
  </si>
  <si>
    <t>53855/CO</t>
  </si>
  <si>
    <t>53856</t>
  </si>
  <si>
    <t>53857</t>
  </si>
  <si>
    <t>53858</t>
  </si>
  <si>
    <t>53859</t>
  </si>
  <si>
    <t>53860</t>
  </si>
  <si>
    <t>53861</t>
  </si>
  <si>
    <t>53862</t>
  </si>
  <si>
    <t>53863</t>
  </si>
  <si>
    <t>53864</t>
  </si>
  <si>
    <t>53865</t>
  </si>
  <si>
    <t>53867</t>
  </si>
  <si>
    <t>53868</t>
  </si>
  <si>
    <t>53869</t>
  </si>
  <si>
    <t>53870</t>
  </si>
  <si>
    <t>53871</t>
  </si>
  <si>
    <t>53872</t>
  </si>
  <si>
    <t>53873</t>
  </si>
  <si>
    <t>53874</t>
  </si>
  <si>
    <t>53875</t>
  </si>
  <si>
    <t>53876</t>
  </si>
  <si>
    <t>53877</t>
  </si>
  <si>
    <t>53878</t>
  </si>
  <si>
    <t>53879</t>
  </si>
  <si>
    <t>53880</t>
  </si>
  <si>
    <t>53881</t>
  </si>
  <si>
    <t>53882</t>
  </si>
  <si>
    <t>53883</t>
  </si>
  <si>
    <t>53884</t>
  </si>
  <si>
    <t>53885</t>
  </si>
  <si>
    <t>53886</t>
  </si>
  <si>
    <t>53887</t>
  </si>
  <si>
    <t>53887/10</t>
  </si>
  <si>
    <t>53887/20</t>
  </si>
  <si>
    <t>53887/A</t>
  </si>
  <si>
    <t>53887/B</t>
  </si>
  <si>
    <t>53888</t>
  </si>
  <si>
    <t>53889</t>
  </si>
  <si>
    <t>53890</t>
  </si>
  <si>
    <t>53891</t>
  </si>
  <si>
    <t>53892</t>
  </si>
  <si>
    <t>53893</t>
  </si>
  <si>
    <t>53894</t>
  </si>
  <si>
    <t>53895</t>
  </si>
  <si>
    <t>53896</t>
  </si>
  <si>
    <t>53897</t>
  </si>
  <si>
    <t>53898</t>
  </si>
  <si>
    <t>53899</t>
  </si>
  <si>
    <t>53900</t>
  </si>
  <si>
    <t>53902</t>
  </si>
  <si>
    <t>53903</t>
  </si>
  <si>
    <t>53904</t>
  </si>
  <si>
    <t>53905</t>
  </si>
  <si>
    <t>53906</t>
  </si>
  <si>
    <t>53907</t>
  </si>
  <si>
    <t>53908</t>
  </si>
  <si>
    <t>53909</t>
  </si>
  <si>
    <t>53910</t>
  </si>
  <si>
    <t>53911</t>
  </si>
  <si>
    <t>53912</t>
  </si>
  <si>
    <t>53913</t>
  </si>
  <si>
    <t>53914</t>
  </si>
  <si>
    <t>53915</t>
  </si>
  <si>
    <t>53916</t>
  </si>
  <si>
    <t>53917</t>
  </si>
  <si>
    <t>53918</t>
  </si>
  <si>
    <t>53919</t>
  </si>
  <si>
    <t>53920</t>
  </si>
  <si>
    <t>53921</t>
  </si>
  <si>
    <t>53922</t>
  </si>
  <si>
    <t>53923</t>
  </si>
  <si>
    <t>53924</t>
  </si>
  <si>
    <t>53925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</si>
  <si>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</si>
  <si>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</si>
  <si>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</si>
  <si>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</si>
  <si>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</si>
  <si>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</si>
  <si>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</si>
  <si>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</si>
  <si>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</si>
  <si>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</si>
  <si>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</si>
  <si>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53938</t>
  </si>
  <si>
    <t>53939</t>
  </si>
  <si>
    <t>53940</t>
  </si>
  <si>
    <t>53941</t>
  </si>
  <si>
    <t>53942</t>
  </si>
  <si>
    <t>53944</t>
  </si>
  <si>
    <t>53945</t>
  </si>
  <si>
    <t>53946</t>
  </si>
  <si>
    <t>53947</t>
  </si>
  <si>
    <t>53948</t>
  </si>
  <si>
    <t>53949</t>
  </si>
  <si>
    <t>53950</t>
  </si>
  <si>
    <t>53951</t>
  </si>
  <si>
    <t>53952</t>
  </si>
  <si>
    <t>53953</t>
  </si>
  <si>
    <t>53955</t>
  </si>
  <si>
    <t>53956</t>
  </si>
  <si>
    <t>53957</t>
  </si>
  <si>
    <t>53958</t>
  </si>
  <si>
    <t>53959</t>
  </si>
  <si>
    <t>53960</t>
  </si>
  <si>
    <t>53961</t>
  </si>
  <si>
    <t>53962</t>
  </si>
  <si>
    <t>53963</t>
  </si>
  <si>
    <t>53964</t>
  </si>
  <si>
    <t>53965</t>
  </si>
  <si>
    <t>53966</t>
  </si>
  <si>
    <t>53967</t>
  </si>
  <si>
    <t>53968</t>
  </si>
  <si>
    <t>53969</t>
  </si>
  <si>
    <t>53970</t>
  </si>
  <si>
    <t>53970/A</t>
  </si>
  <si>
    <t>53971</t>
  </si>
  <si>
    <t>53972</t>
  </si>
  <si>
    <t>53973</t>
  </si>
  <si>
    <t>53975</t>
  </si>
  <si>
    <t>53976</t>
  </si>
  <si>
    <t>53977</t>
  </si>
  <si>
    <t>53978</t>
  </si>
  <si>
    <t>53979</t>
  </si>
  <si>
    <t>53980</t>
  </si>
  <si>
    <t>53981</t>
  </si>
  <si>
    <t>53982</t>
  </si>
  <si>
    <t>53982A</t>
  </si>
  <si>
    <t>53982B</t>
  </si>
  <si>
    <t>53983</t>
  </si>
  <si>
    <t>53984</t>
  </si>
  <si>
    <t>53985</t>
  </si>
  <si>
    <t>53986</t>
  </si>
  <si>
    <t>53987</t>
  </si>
  <si>
    <t>53988</t>
  </si>
  <si>
    <t>53989</t>
  </si>
  <si>
    <t>53990</t>
  </si>
  <si>
    <t>53991</t>
  </si>
  <si>
    <t>53992</t>
  </si>
  <si>
    <t>53993</t>
  </si>
  <si>
    <t>53994</t>
  </si>
  <si>
    <t>53995</t>
  </si>
  <si>
    <t>53996</t>
  </si>
  <si>
    <t>53997</t>
  </si>
  <si>
    <t>53998</t>
  </si>
  <si>
    <t>53999</t>
  </si>
  <si>
    <t>54000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</si>
  <si>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</si>
  <si>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</si>
  <si>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</si>
  <si>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</si>
  <si>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</si>
  <si>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</si>
  <si>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</si>
  <si>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</si>
  <si>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</si>
  <si>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</si>
  <si>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</si>
  <si>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</si>
  <si>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</si>
  <si>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</si>
  <si>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</si>
  <si>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</si>
  <si>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</si>
  <si>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</si>
  <si>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</si>
  <si>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</si>
  <si>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</si>
  <si>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</si>
  <si>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</si>
  <si>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54023/A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</si>
  <si>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</si>
  <si>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</si>
  <si>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</si>
  <si>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</si>
  <si>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</si>
  <si>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</si>
  <si>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</si>
  <si>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</si>
  <si>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</si>
  <si>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</si>
  <si>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</si>
  <si>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</si>
  <si>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</si>
  <si>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</si>
  <si>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</si>
  <si>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</si>
  <si>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</si>
  <si>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</si>
  <si>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</si>
  <si>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</si>
  <si>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</si>
  <si>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</si>
  <si>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</si>
  <si>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</si>
  <si>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</si>
  <si>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</si>
  <si>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</si>
  <si>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</si>
  <si>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</si>
  <si>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</si>
  <si>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</si>
  <si>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</si>
  <si>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</si>
  <si>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</si>
  <si>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</si>
  <si>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54060A</t>
  </si>
  <si>
    <t>54061</t>
  </si>
  <si>
    <t>54062</t>
  </si>
  <si>
    <t>54063</t>
  </si>
  <si>
    <t>54064</t>
  </si>
  <si>
    <t>54065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</si>
  <si>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</si>
  <si>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</si>
  <si>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</si>
  <si>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</si>
  <si>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</si>
  <si>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</si>
  <si>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</si>
  <si>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</si>
  <si>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</si>
  <si>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</si>
  <si>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</si>
  <si>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</si>
  <si>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</si>
  <si>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</si>
  <si>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</si>
  <si>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</si>
  <si>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</si>
  <si>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</si>
  <si>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</si>
  <si>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</si>
  <si>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</si>
  <si>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</si>
  <si>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</si>
  <si>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</si>
  <si>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</si>
  <si>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</si>
  <si>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</si>
  <si>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</si>
  <si>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</si>
  <si>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</si>
  <si>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</si>
  <si>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</si>
  <si>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</si>
  <si>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</si>
  <si>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</si>
  <si>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</si>
  <si>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</si>
  <si>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</si>
  <si>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</si>
  <si>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</si>
  <si>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</si>
  <si>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</si>
  <si>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</si>
  <si>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</si>
  <si>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</si>
  <si>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</si>
  <si>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</si>
  <si>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</si>
  <si>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</si>
  <si>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</si>
  <si>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</si>
  <si>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</si>
  <si>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</si>
  <si>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</si>
  <si>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</si>
  <si>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</si>
  <si>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</si>
  <si>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</si>
  <si>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</si>
  <si>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</si>
  <si>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</si>
  <si>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</si>
  <si>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</si>
  <si>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</si>
  <si>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</si>
  <si>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</si>
  <si>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</si>
  <si>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</si>
  <si>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</si>
  <si>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</si>
  <si>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</si>
  <si>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</si>
  <si>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</si>
  <si>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</si>
  <si>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</si>
  <si>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</si>
  <si>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</si>
  <si>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</si>
  <si>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</si>
  <si>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</si>
  <si>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</si>
  <si>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</si>
  <si>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</si>
  <si>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</si>
  <si>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54161</t>
  </si>
  <si>
    <t>54162</t>
  </si>
  <si>
    <t>54163</t>
  </si>
  <si>
    <t>54164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</si>
  <si>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</si>
  <si>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</si>
  <si>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</si>
  <si>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</si>
  <si>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</si>
  <si>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</si>
  <si>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</si>
  <si>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</si>
  <si>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</si>
  <si>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</si>
  <si>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</si>
  <si>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</si>
  <si>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</si>
  <si>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</si>
  <si>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</si>
  <si>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</si>
  <si>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</si>
  <si>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</si>
  <si>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</si>
  <si>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</si>
  <si>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</si>
  <si>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</si>
  <si>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</si>
  <si>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</si>
  <si>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</si>
  <si>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</si>
  <si>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</si>
  <si>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</si>
  <si>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54195B</t>
  </si>
  <si>
    <t>54196</t>
  </si>
  <si>
    <t>54196B</t>
  </si>
  <si>
    <t>54197</t>
  </si>
  <si>
    <t>54197B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</si>
  <si>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</si>
  <si>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</si>
  <si>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</si>
  <si>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</si>
  <si>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</si>
  <si>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</si>
  <si>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</si>
  <si>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</si>
  <si>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</si>
  <si>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</si>
  <si>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54207A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</si>
  <si>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</si>
  <si>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</si>
  <si>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</si>
  <si>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</si>
  <si>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</si>
  <si>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</si>
  <si>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</si>
  <si>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</si>
  <si>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</si>
  <si>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</si>
  <si>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</si>
  <si>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</si>
  <si>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</si>
  <si>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</si>
  <si>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</si>
  <si>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</si>
  <si>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</si>
  <si>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</si>
  <si>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</si>
  <si>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</si>
  <si>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</si>
  <si>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</si>
  <si>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</si>
  <si>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</si>
  <si>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</si>
  <si>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</si>
  <si>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</si>
  <si>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</si>
  <si>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</si>
  <si>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</si>
  <si>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</si>
  <si>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</si>
  <si>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</si>
  <si>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</si>
  <si>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</si>
  <si>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</si>
  <si>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</si>
  <si>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</si>
  <si>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</si>
  <si>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</si>
  <si>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</si>
  <si>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</si>
  <si>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</si>
  <si>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</si>
  <si>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</si>
  <si>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</si>
  <si>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</si>
  <si>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</si>
  <si>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</si>
  <si>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</si>
  <si>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</si>
  <si>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</si>
  <si>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</si>
  <si>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</si>
  <si>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</si>
  <si>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</si>
  <si>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</si>
  <si>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</si>
  <si>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</si>
  <si>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</si>
  <si>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</si>
  <si>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</si>
  <si>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</si>
  <si>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</si>
  <si>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</si>
  <si>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</si>
  <si>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</si>
  <si>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</si>
  <si>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</si>
  <si>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</si>
  <si>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</si>
  <si>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</si>
  <si>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</si>
  <si>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</si>
  <si>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</si>
  <si>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</si>
  <si>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</si>
  <si>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</si>
  <si>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</si>
  <si>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54288B</t>
  </si>
  <si>
    <t>54289</t>
  </si>
  <si>
    <t>54290</t>
  </si>
  <si>
    <t>54291</t>
  </si>
  <si>
    <t>54292</t>
  </si>
  <si>
    <t>54293</t>
  </si>
  <si>
    <t>54294</t>
  </si>
  <si>
    <t>54295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</si>
  <si>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</si>
  <si>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</si>
  <si>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</si>
  <si>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</si>
  <si>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</si>
  <si>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</si>
  <si>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</si>
  <si>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</si>
  <si>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</si>
  <si>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</si>
  <si>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</si>
  <si>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</si>
  <si>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</si>
  <si>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</si>
  <si>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</si>
  <si>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</si>
  <si>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</si>
  <si>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</si>
  <si>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</si>
  <si>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</si>
  <si>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</si>
  <si>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</si>
  <si>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</si>
  <si>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</si>
  <si>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</si>
  <si>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</si>
  <si>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54322A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</si>
  <si>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</si>
  <si>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</si>
  <si>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</si>
  <si>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</si>
  <si>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</si>
  <si>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</si>
  <si>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</si>
  <si>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</si>
  <si>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</si>
  <si>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</si>
  <si>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</si>
  <si>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</si>
  <si>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</si>
  <si>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</si>
  <si>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</si>
  <si>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</si>
  <si>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</si>
  <si>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</si>
  <si>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</si>
  <si>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</si>
  <si>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</si>
  <si>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</si>
  <si>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</si>
  <si>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</si>
  <si>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</si>
  <si>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</si>
  <si>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</si>
  <si>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</si>
  <si>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</si>
  <si>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</si>
  <si>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</si>
  <si>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</si>
  <si>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</si>
  <si>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</si>
  <si>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</si>
  <si>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</si>
  <si>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</si>
  <si>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</si>
  <si>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</si>
  <si>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</si>
  <si>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</si>
  <si>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</si>
  <si>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</si>
  <si>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</si>
  <si>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</si>
  <si>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</si>
  <si>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</si>
  <si>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</si>
  <si>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</si>
  <si>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</si>
  <si>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</si>
  <si>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</si>
  <si>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</si>
  <si>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</si>
  <si>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</si>
  <si>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</si>
  <si>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</si>
  <si>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</si>
  <si>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</si>
  <si>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</si>
  <si>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</si>
  <si>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</si>
  <si>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</si>
  <si>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</si>
  <si>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</si>
  <si>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</si>
  <si>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</si>
  <si>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54391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</si>
  <si>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</si>
  <si>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</si>
  <si>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</si>
  <si>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</si>
  <si>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</si>
  <si>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</si>
  <si>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</si>
  <si>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</si>
  <si>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</si>
  <si>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</si>
  <si>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</si>
  <si>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</si>
  <si>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</si>
  <si>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</si>
  <si>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</si>
  <si>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</si>
  <si>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</si>
  <si>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</si>
  <si>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</si>
  <si>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</si>
  <si>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</si>
  <si>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</si>
  <si>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54414A</t>
  </si>
  <si>
    <t>54415</t>
  </si>
  <si>
    <t>54416</t>
  </si>
  <si>
    <t>54417</t>
  </si>
  <si>
    <t>54418</t>
  </si>
  <si>
    <t>54419</t>
  </si>
  <si>
    <t>54420</t>
  </si>
  <si>
    <t>54421</t>
  </si>
  <si>
    <t>54424</t>
  </si>
  <si>
    <t>54425</t>
  </si>
  <si>
    <t>54426</t>
  </si>
  <si>
    <t>54427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</si>
  <si>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</si>
  <si>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</si>
  <si>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</si>
  <si>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</si>
  <si>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</si>
  <si>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</si>
  <si>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</si>
  <si>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</si>
  <si>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</si>
  <si>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</si>
  <si>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</si>
  <si>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</si>
  <si>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</si>
  <si>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</si>
  <si>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</si>
  <si>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</si>
  <si>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</si>
  <si>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</si>
  <si>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</si>
  <si>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</si>
  <si>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</si>
  <si>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</si>
  <si>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</si>
  <si>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</si>
  <si>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</si>
  <si>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</si>
  <si>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</si>
  <si>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</si>
  <si>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</si>
  <si>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</si>
  <si>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</si>
  <si>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</si>
  <si>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</si>
  <si>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</si>
  <si>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</si>
  <si>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</si>
  <si>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</si>
  <si>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</si>
  <si>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</si>
  <si>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</si>
  <si>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</si>
  <si>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</si>
  <si>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</si>
  <si>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</si>
  <si>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</si>
  <si>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</si>
  <si>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</si>
  <si>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</si>
  <si>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</si>
  <si>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</si>
  <si>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</si>
  <si>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</si>
  <si>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</si>
  <si>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</si>
  <si>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</si>
  <si>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</si>
  <si>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</si>
  <si>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</si>
  <si>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</si>
  <si>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</si>
  <si>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</si>
  <si>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</si>
  <si>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</si>
  <si>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</si>
  <si>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</si>
  <si>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</si>
  <si>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</si>
  <si>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</si>
  <si>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</si>
  <si>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</si>
  <si>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</si>
  <si>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</si>
  <si>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</si>
  <si>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</si>
  <si>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</si>
  <si>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</si>
  <si>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</si>
  <si>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</si>
  <si>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</si>
  <si>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</si>
  <si>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</si>
  <si>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</si>
  <si>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</si>
  <si>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</si>
  <si>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</si>
  <si>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</si>
  <si>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</si>
  <si>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</si>
  <si>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54521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</si>
  <si>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</si>
  <si>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</si>
  <si>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</si>
  <si>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</si>
  <si>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</si>
  <si>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</si>
  <si>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</si>
  <si>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</si>
  <si>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</si>
  <si>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</si>
  <si>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</si>
  <si>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</si>
  <si>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</si>
  <si>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</si>
  <si>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</si>
  <si>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</si>
  <si>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</si>
  <si>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</si>
  <si>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</si>
  <si>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</si>
  <si>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</si>
  <si>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</si>
  <si>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</si>
  <si>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</si>
  <si>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</si>
  <si>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</si>
  <si>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</si>
  <si>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</si>
  <si>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</si>
  <si>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</si>
  <si>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54554</t>
  </si>
  <si>
    <t>54555</t>
  </si>
  <si>
    <t>54556</t>
  </si>
  <si>
    <t>54557</t>
  </si>
  <si>
    <t>54558</t>
  </si>
  <si>
    <t>54559</t>
  </si>
  <si>
    <t>54560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</si>
  <si>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</si>
  <si>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</si>
  <si>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</si>
  <si>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</si>
  <si>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</si>
  <si>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</si>
  <si>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</si>
  <si>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</si>
  <si>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</si>
  <si>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54573A</t>
  </si>
  <si>
    <t>54573B</t>
  </si>
  <si>
    <t>54573C</t>
  </si>
  <si>
    <t>54573D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</si>
  <si>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</si>
  <si>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</si>
  <si>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</si>
  <si>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</si>
  <si>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</si>
  <si>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</si>
  <si>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</si>
  <si>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</si>
  <si>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</si>
  <si>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</si>
  <si>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</si>
  <si>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</si>
  <si>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</si>
  <si>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</si>
  <si>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</si>
  <si>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</si>
  <si>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</si>
  <si>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</si>
  <si>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</si>
  <si>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</si>
  <si>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</si>
  <si>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</si>
  <si>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</si>
  <si>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</si>
  <si>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</si>
  <si>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54600</t>
  </si>
  <si>
    <t>54601</t>
  </si>
  <si>
    <t>54602</t>
  </si>
  <si>
    <t>54604</t>
  </si>
  <si>
    <t>54605</t>
  </si>
  <si>
    <t>54606</t>
  </si>
  <si>
    <t>54607</t>
  </si>
  <si>
    <t>54608</t>
  </si>
  <si>
    <t>54609</t>
  </si>
  <si>
    <t>54610</t>
  </si>
  <si>
    <t>54611</t>
  </si>
  <si>
    <t>54612</t>
  </si>
  <si>
    <t>54613</t>
  </si>
  <si>
    <t>54614</t>
  </si>
  <si>
    <t>54615</t>
  </si>
  <si>
    <t>54631</t>
  </si>
  <si>
    <t>54632</t>
  </si>
  <si>
    <t>54633</t>
  </si>
  <si>
    <t>54634</t>
  </si>
  <si>
    <t>54635</t>
  </si>
  <si>
    <t>54636</t>
  </si>
  <si>
    <t>54638</t>
  </si>
  <si>
    <t>54639</t>
  </si>
  <si>
    <t>54640</t>
  </si>
  <si>
    <t>54641</t>
  </si>
  <si>
    <t>54642</t>
  </si>
  <si>
    <t>54643</t>
  </si>
  <si>
    <t>54644</t>
  </si>
  <si>
    <t>54645</t>
  </si>
  <si>
    <t>54646</t>
  </si>
  <si>
    <t>54647</t>
  </si>
  <si>
    <t>54648</t>
  </si>
  <si>
    <t>54649</t>
  </si>
  <si>
    <t>54650</t>
  </si>
  <si>
    <t>54651</t>
  </si>
  <si>
    <t>54652</t>
  </si>
  <si>
    <t>54653</t>
  </si>
  <si>
    <t>54654</t>
  </si>
  <si>
    <t>54655</t>
  </si>
  <si>
    <t>54656</t>
  </si>
  <si>
    <t>54657</t>
  </si>
  <si>
    <t>54658</t>
  </si>
  <si>
    <t>54659</t>
  </si>
  <si>
    <t>54660</t>
  </si>
  <si>
    <t>54661</t>
  </si>
  <si>
    <t>54664</t>
  </si>
  <si>
    <t>54668</t>
  </si>
  <si>
    <t>54669</t>
  </si>
  <si>
    <t>54670</t>
  </si>
  <si>
    <t>54671</t>
  </si>
  <si>
    <t>54672</t>
  </si>
  <si>
    <t>54673</t>
  </si>
  <si>
    <t>54674</t>
  </si>
  <si>
    <t>54675</t>
  </si>
  <si>
    <t>54676</t>
  </si>
  <si>
    <t>54677</t>
  </si>
  <si>
    <t>54679</t>
  </si>
  <si>
    <t>54680</t>
  </si>
  <si>
    <t>54681</t>
  </si>
  <si>
    <t>54682</t>
  </si>
  <si>
    <t>54683</t>
  </si>
  <si>
    <t>54684</t>
  </si>
  <si>
    <t>54685</t>
  </si>
  <si>
    <t>54686</t>
  </si>
  <si>
    <t>54688</t>
  </si>
  <si>
    <t>54689</t>
  </si>
  <si>
    <t>54690</t>
  </si>
  <si>
    <t>54691</t>
  </si>
  <si>
    <t>54692</t>
  </si>
  <si>
    <t>54693</t>
  </si>
  <si>
    <t>54694</t>
  </si>
  <si>
    <t>54695</t>
  </si>
  <si>
    <t>54696</t>
  </si>
  <si>
    <t>54697</t>
  </si>
  <si>
    <t>54698</t>
  </si>
  <si>
    <t>54699</t>
  </si>
  <si>
    <t>54700</t>
  </si>
  <si>
    <t>54702</t>
  </si>
  <si>
    <t>54704</t>
  </si>
  <si>
    <t>54705</t>
  </si>
  <si>
    <t>54706</t>
  </si>
  <si>
    <t>54707</t>
  </si>
  <si>
    <t>54708</t>
  </si>
  <si>
    <t>54709</t>
  </si>
  <si>
    <t>54710</t>
  </si>
  <si>
    <t>54711</t>
  </si>
  <si>
    <t>54712</t>
  </si>
  <si>
    <t>54713</t>
  </si>
  <si>
    <t>54714</t>
  </si>
  <si>
    <t>54715</t>
  </si>
  <si>
    <t>54716</t>
  </si>
  <si>
    <t>54717</t>
  </si>
  <si>
    <t>54718</t>
  </si>
  <si>
    <t>54719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</si>
  <si>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</si>
  <si>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</si>
  <si>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</si>
  <si>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</si>
  <si>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</si>
  <si>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</si>
  <si>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</si>
  <si>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</si>
  <si>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</si>
  <si>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</si>
  <si>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</si>
  <si>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</si>
  <si>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</si>
  <si>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</si>
  <si>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</si>
  <si>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54735</t>
  </si>
  <si>
    <t>54736</t>
  </si>
  <si>
    <t>54737</t>
  </si>
  <si>
    <t>54738</t>
  </si>
  <si>
    <t>54739</t>
  </si>
  <si>
    <t>54740</t>
  </si>
  <si>
    <t>54741</t>
  </si>
  <si>
    <t>54742</t>
  </si>
  <si>
    <t>54743</t>
  </si>
  <si>
    <t>54744</t>
  </si>
  <si>
    <t>54745</t>
  </si>
  <si>
    <t>54746</t>
  </si>
  <si>
    <t>54747</t>
  </si>
  <si>
    <t>54748</t>
  </si>
  <si>
    <t>54749</t>
  </si>
  <si>
    <t>54750</t>
  </si>
  <si>
    <t>54751</t>
  </si>
  <si>
    <t>54752</t>
  </si>
  <si>
    <t>54753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</si>
  <si>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</si>
  <si>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</si>
  <si>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</si>
  <si>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</si>
  <si>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</si>
  <si>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</si>
  <si>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</si>
  <si>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</si>
  <si>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</si>
  <si>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54764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</si>
  <si>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</si>
  <si>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</si>
  <si>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</si>
  <si>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</si>
  <si>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</si>
  <si>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</si>
  <si>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</si>
  <si>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</si>
  <si>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</si>
  <si>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54774</t>
  </si>
  <si>
    <t>54775</t>
  </si>
  <si>
    <t>54776</t>
  </si>
  <si>
    <t>54777</t>
  </si>
  <si>
    <t>54778</t>
  </si>
  <si>
    <t>54779</t>
  </si>
  <si>
    <t>54780</t>
  </si>
  <si>
    <t>54781</t>
  </si>
  <si>
    <t>54782</t>
  </si>
  <si>
    <t>54783</t>
  </si>
  <si>
    <t>54784</t>
  </si>
  <si>
    <t>54785</t>
  </si>
  <si>
    <t>54786</t>
  </si>
  <si>
    <t>54786/CO</t>
  </si>
  <si>
    <t>54786A</t>
  </si>
  <si>
    <t>54786B</t>
  </si>
  <si>
    <t>54787</t>
  </si>
  <si>
    <t>54788</t>
  </si>
  <si>
    <t>54789</t>
  </si>
  <si>
    <t>54790</t>
  </si>
  <si>
    <t>54791</t>
  </si>
  <si>
    <t>54792</t>
  </si>
  <si>
    <t>54794</t>
  </si>
  <si>
    <t>54795</t>
  </si>
  <si>
    <t>54796</t>
  </si>
  <si>
    <t>54797</t>
  </si>
  <si>
    <t>54798</t>
  </si>
  <si>
    <t>54799</t>
  </si>
  <si>
    <t>54801</t>
  </si>
  <si>
    <t>54802</t>
  </si>
  <si>
    <t>54803</t>
  </si>
  <si>
    <t>54804</t>
  </si>
  <si>
    <t>54805</t>
  </si>
  <si>
    <t>54806</t>
  </si>
  <si>
    <t>54807</t>
  </si>
  <si>
    <t>54808</t>
  </si>
  <si>
    <t>54809</t>
  </si>
  <si>
    <t>54810</t>
  </si>
  <si>
    <t>54811</t>
  </si>
  <si>
    <t>54812</t>
  </si>
  <si>
    <t>54813</t>
  </si>
  <si>
    <t>54814</t>
  </si>
  <si>
    <t>54815</t>
  </si>
  <si>
    <t>54816</t>
  </si>
  <si>
    <t>54817</t>
  </si>
  <si>
    <t>54818</t>
  </si>
  <si>
    <t>54819</t>
  </si>
  <si>
    <t>54820</t>
  </si>
  <si>
    <t>54821</t>
  </si>
  <si>
    <t>54822</t>
  </si>
  <si>
    <t>54823</t>
  </si>
  <si>
    <t>54824</t>
  </si>
  <si>
    <t>54825</t>
  </si>
  <si>
    <t>54826</t>
  </si>
  <si>
    <t>54826A</t>
  </si>
  <si>
    <t>54826B</t>
  </si>
  <si>
    <t>54827</t>
  </si>
  <si>
    <t>54827A</t>
  </si>
  <si>
    <t>54827B</t>
  </si>
  <si>
    <t>54828</t>
  </si>
  <si>
    <t>54829</t>
  </si>
  <si>
    <t>54830</t>
  </si>
  <si>
    <t>54831</t>
  </si>
  <si>
    <t>54832</t>
  </si>
  <si>
    <t>54835</t>
  </si>
  <si>
    <t>54836</t>
  </si>
  <si>
    <t>54837</t>
  </si>
  <si>
    <t>54838</t>
  </si>
  <si>
    <t>54839</t>
  </si>
  <si>
    <t>54840</t>
  </si>
  <si>
    <t>54841</t>
  </si>
  <si>
    <t>54842</t>
  </si>
  <si>
    <t>54843</t>
  </si>
  <si>
    <t>54844</t>
  </si>
  <si>
    <t>54845</t>
  </si>
  <si>
    <t>54846</t>
  </si>
  <si>
    <t>54848</t>
  </si>
  <si>
    <t>54849</t>
  </si>
  <si>
    <t>54850</t>
  </si>
  <si>
    <t>54851</t>
  </si>
  <si>
    <t>54852</t>
  </si>
  <si>
    <t>54853</t>
  </si>
  <si>
    <t>54854</t>
  </si>
  <si>
    <t>54855</t>
  </si>
  <si>
    <t>54856</t>
  </si>
  <si>
    <t>54857</t>
  </si>
  <si>
    <t>54858</t>
  </si>
  <si>
    <t>54859</t>
  </si>
  <si>
    <t>54860</t>
  </si>
  <si>
    <t>54860/A</t>
  </si>
  <si>
    <t>54861</t>
  </si>
  <si>
    <t>54862</t>
  </si>
  <si>
    <t>54863</t>
  </si>
  <si>
    <t>54864</t>
  </si>
  <si>
    <t>54865</t>
  </si>
  <si>
    <t>54866</t>
  </si>
  <si>
    <t>54867</t>
  </si>
  <si>
    <t>54868</t>
  </si>
  <si>
    <t>54869</t>
  </si>
  <si>
    <t>54870</t>
  </si>
  <si>
    <t>54871</t>
  </si>
  <si>
    <t>54872</t>
  </si>
  <si>
    <t>54873</t>
  </si>
  <si>
    <t>54874</t>
  </si>
  <si>
    <t>54875</t>
  </si>
  <si>
    <t>54876</t>
  </si>
  <si>
    <t>54877</t>
  </si>
  <si>
    <t>54878</t>
  </si>
  <si>
    <t>54880</t>
  </si>
  <si>
    <t>54881</t>
  </si>
  <si>
    <t>54882</t>
  </si>
  <si>
    <t>54883</t>
  </si>
  <si>
    <t>54884</t>
  </si>
  <si>
    <t>54885</t>
  </si>
  <si>
    <t>54886</t>
  </si>
  <si>
    <t>54887</t>
  </si>
  <si>
    <t>54887/A</t>
  </si>
  <si>
    <t>54888</t>
  </si>
  <si>
    <t>54888/A</t>
  </si>
  <si>
    <t>54889</t>
  </si>
  <si>
    <t>54890</t>
  </si>
  <si>
    <t>54891</t>
  </si>
  <si>
    <t>54892</t>
  </si>
  <si>
    <t>54893</t>
  </si>
  <si>
    <t>54894</t>
  </si>
  <si>
    <t>54895</t>
  </si>
  <si>
    <t>54896</t>
  </si>
  <si>
    <t>54897</t>
  </si>
  <si>
    <t>54898</t>
  </si>
  <si>
    <t>54899</t>
  </si>
  <si>
    <t>54900</t>
  </si>
  <si>
    <t>54901</t>
  </si>
  <si>
    <t>54902</t>
  </si>
  <si>
    <t>54903</t>
  </si>
  <si>
    <t>54904</t>
  </si>
  <si>
    <t>54905</t>
  </si>
  <si>
    <t>54906</t>
  </si>
  <si>
    <t>54907</t>
  </si>
  <si>
    <t>54908</t>
  </si>
  <si>
    <t>54909</t>
  </si>
  <si>
    <t>54910</t>
  </si>
  <si>
    <t>54911</t>
  </si>
  <si>
    <t>54912</t>
  </si>
  <si>
    <t>54913</t>
  </si>
  <si>
    <t>54914</t>
  </si>
  <si>
    <t>54915</t>
  </si>
  <si>
    <t>54916</t>
  </si>
  <si>
    <t>54917</t>
  </si>
  <si>
    <t>54918</t>
  </si>
  <si>
    <t>54919</t>
  </si>
  <si>
    <t>54920</t>
  </si>
  <si>
    <t>54921</t>
  </si>
  <si>
    <t>54922</t>
  </si>
  <si>
    <t>54923</t>
  </si>
  <si>
    <t>54924</t>
  </si>
  <si>
    <t>54925</t>
  </si>
  <si>
    <t>54926</t>
  </si>
  <si>
    <t>54927</t>
  </si>
  <si>
    <t>54928</t>
  </si>
  <si>
    <t>54929</t>
  </si>
  <si>
    <t>54930</t>
  </si>
  <si>
    <t>54931</t>
  </si>
  <si>
    <t>54932</t>
  </si>
  <si>
    <t>54933</t>
  </si>
  <si>
    <t>54934</t>
  </si>
  <si>
    <t>54934A</t>
  </si>
  <si>
    <t>54935</t>
  </si>
  <si>
    <t>54936</t>
  </si>
  <si>
    <t>54937</t>
  </si>
  <si>
    <t>54938</t>
  </si>
  <si>
    <t>54939</t>
  </si>
  <si>
    <t>54940</t>
  </si>
  <si>
    <t>54941</t>
  </si>
  <si>
    <t>54942</t>
  </si>
  <si>
    <t>54943</t>
  </si>
  <si>
    <t>54944</t>
  </si>
  <si>
    <t>54945</t>
  </si>
  <si>
    <t>54946</t>
  </si>
  <si>
    <t>54947</t>
  </si>
  <si>
    <t>54948</t>
  </si>
  <si>
    <t>54949</t>
  </si>
  <si>
    <t>54950</t>
  </si>
  <si>
    <t>54951</t>
  </si>
  <si>
    <t>54952</t>
  </si>
  <si>
    <t>54953</t>
  </si>
  <si>
    <t>54954</t>
  </si>
  <si>
    <t>54955</t>
  </si>
  <si>
    <t>54956</t>
  </si>
  <si>
    <t>54957</t>
  </si>
  <si>
    <t>54958</t>
  </si>
  <si>
    <t>54959</t>
  </si>
  <si>
    <t>54960</t>
  </si>
  <si>
    <t>54961</t>
  </si>
  <si>
    <t>54962</t>
  </si>
  <si>
    <t>54963</t>
  </si>
  <si>
    <t>54964</t>
  </si>
  <si>
    <t>54965</t>
  </si>
  <si>
    <t>54966</t>
  </si>
  <si>
    <t>54967</t>
  </si>
  <si>
    <t>54968</t>
  </si>
  <si>
    <t>54969</t>
  </si>
  <si>
    <t>54970</t>
  </si>
  <si>
    <t>54971</t>
  </si>
  <si>
    <t>54972</t>
  </si>
  <si>
    <t>54973</t>
  </si>
  <si>
    <t>54974</t>
  </si>
  <si>
    <t>54975</t>
  </si>
  <si>
    <t>54976</t>
  </si>
  <si>
    <t>54977</t>
  </si>
  <si>
    <t>54978</t>
  </si>
  <si>
    <t>54979</t>
  </si>
  <si>
    <t>54980</t>
  </si>
  <si>
    <t>54981</t>
  </si>
  <si>
    <t>54982</t>
  </si>
  <si>
    <t>54983</t>
  </si>
  <si>
    <t>54984</t>
  </si>
  <si>
    <t>54985</t>
  </si>
  <si>
    <t>54986</t>
  </si>
  <si>
    <t>54987</t>
  </si>
  <si>
    <t>54988</t>
  </si>
  <si>
    <t>54989</t>
  </si>
  <si>
    <t>54990</t>
  </si>
  <si>
    <t>54991</t>
  </si>
  <si>
    <t>54992</t>
  </si>
  <si>
    <t>54993</t>
  </si>
  <si>
    <t>54994</t>
  </si>
  <si>
    <t>54995</t>
  </si>
  <si>
    <t>54996</t>
  </si>
  <si>
    <t>54997</t>
  </si>
  <si>
    <t>54998</t>
  </si>
  <si>
    <t>54999</t>
  </si>
  <si>
    <t>55000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</si>
  <si>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</si>
  <si>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</si>
  <si>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</si>
  <si>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</si>
  <si>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</si>
  <si>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</si>
  <si>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</si>
  <si>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</si>
  <si>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</si>
  <si>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</si>
  <si>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</si>
  <si>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</si>
  <si>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</si>
  <si>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55013A</t>
  </si>
  <si>
    <t>55014</t>
  </si>
  <si>
    <t>55016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</si>
  <si>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</si>
  <si>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</si>
  <si>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</si>
  <si>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</si>
  <si>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</si>
  <si>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</si>
  <si>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</si>
  <si>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</si>
  <si>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</si>
  <si>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</si>
  <si>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</si>
  <si>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</si>
  <si>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</si>
  <si>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</si>
  <si>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</si>
  <si>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</si>
  <si>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55033/A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</si>
  <si>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</si>
  <si>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</si>
  <si>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</si>
  <si>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</si>
  <si>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</si>
  <si>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</si>
  <si>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</si>
  <si>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</si>
  <si>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</si>
  <si>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</si>
  <si>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</si>
  <si>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</si>
  <si>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</si>
  <si>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</si>
  <si>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</si>
  <si>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</si>
  <si>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</si>
  <si>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</si>
  <si>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</si>
  <si>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</si>
  <si>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</si>
  <si>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</si>
  <si>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</si>
  <si>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</si>
  <si>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</si>
  <si>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</si>
  <si>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</si>
  <si>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55062</t>
  </si>
  <si>
    <t>55064</t>
  </si>
  <si>
    <t>55066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</si>
  <si>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</si>
  <si>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</si>
  <si>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</si>
  <si>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</si>
  <si>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</si>
  <si>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</si>
  <si>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</si>
  <si>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</si>
  <si>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</si>
  <si>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</si>
  <si>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</si>
  <si>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</si>
  <si>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</si>
  <si>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</si>
  <si>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</si>
  <si>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</si>
  <si>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55086</t>
  </si>
  <si>
    <t>55086A</t>
  </si>
  <si>
    <t>55086A/CO</t>
  </si>
  <si>
    <t>55087</t>
  </si>
  <si>
    <t>55088</t>
  </si>
  <si>
    <t>55089</t>
  </si>
  <si>
    <t>55090</t>
  </si>
  <si>
    <t>55091</t>
  </si>
  <si>
    <t>55092</t>
  </si>
  <si>
    <t>55092A</t>
  </si>
  <si>
    <t>55093</t>
  </si>
  <si>
    <t>55094</t>
  </si>
  <si>
    <t>55095</t>
  </si>
  <si>
    <t>55096</t>
  </si>
  <si>
    <t>55097</t>
  </si>
  <si>
    <t>55098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</si>
  <si>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</si>
  <si>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</si>
  <si>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</si>
  <si>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</si>
  <si>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</si>
  <si>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</si>
  <si>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</si>
  <si>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</si>
  <si>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</si>
  <si>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</si>
  <si>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</si>
  <si>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</si>
  <si>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</si>
  <si>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55112/CO</t>
  </si>
  <si>
    <t>55114</t>
  </si>
  <si>
    <t>55115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</si>
  <si>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</si>
  <si>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</si>
  <si>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</si>
  <si>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</si>
  <si>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</si>
  <si>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</si>
  <si>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</si>
  <si>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</si>
  <si>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</si>
  <si>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55128</t>
  </si>
  <si>
    <t>55128A</t>
  </si>
  <si>
    <t>55129</t>
  </si>
  <si>
    <t>55129A</t>
  </si>
  <si>
    <t>55130</t>
  </si>
  <si>
    <t>55131</t>
  </si>
  <si>
    <t>55132</t>
  </si>
  <si>
    <t>55133</t>
  </si>
  <si>
    <t>55134</t>
  </si>
  <si>
    <t>55136</t>
  </si>
  <si>
    <t>55137</t>
  </si>
  <si>
    <t>55138</t>
  </si>
  <si>
    <t>55139</t>
  </si>
  <si>
    <t>55140</t>
  </si>
  <si>
    <t>55141</t>
  </si>
  <si>
    <t>55142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</si>
  <si>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</si>
  <si>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</si>
  <si>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</si>
  <si>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</si>
  <si>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</si>
  <si>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</si>
  <si>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</si>
  <si>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</si>
  <si>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</si>
  <si>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</si>
  <si>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</si>
  <si>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55159</t>
  </si>
  <si>
    <t>55160</t>
  </si>
  <si>
    <t>55161</t>
  </si>
  <si>
    <t>55162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</si>
  <si>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</si>
  <si>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</si>
  <si>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</si>
  <si>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</si>
  <si>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</si>
  <si>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</si>
  <si>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</si>
  <si>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</si>
  <si>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</si>
  <si>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</si>
  <si>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</si>
  <si>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</si>
  <si>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</si>
  <si>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</si>
  <si>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</si>
  <si>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</si>
  <si>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</si>
  <si>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</si>
  <si>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</si>
  <si>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</si>
  <si>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</si>
  <si>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</si>
  <si>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</si>
  <si>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</si>
  <si>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</si>
  <si>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</si>
  <si>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</si>
  <si>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</si>
  <si>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</si>
  <si>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</si>
  <si>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</si>
  <si>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</si>
  <si>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</si>
  <si>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</si>
  <si>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</si>
  <si>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</si>
  <si>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</si>
  <si>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</si>
  <si>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</si>
  <si>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</si>
  <si>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</si>
  <si>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</si>
  <si>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</si>
  <si>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</si>
  <si>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</si>
  <si>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</si>
  <si>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</si>
  <si>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</si>
  <si>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</si>
  <si>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</si>
  <si>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</si>
  <si>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</si>
  <si>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</si>
  <si>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</si>
  <si>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</si>
  <si>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</si>
  <si>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</si>
  <si>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</si>
  <si>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</si>
  <si>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</si>
  <si>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</si>
  <si>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</si>
  <si>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</si>
  <si>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</si>
  <si>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55233/CO</t>
  </si>
  <si>
    <t>55233A</t>
  </si>
  <si>
    <t>55233B</t>
  </si>
  <si>
    <t>55233C</t>
  </si>
  <si>
    <t>55233D</t>
  </si>
  <si>
    <t>55233E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</si>
  <si>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</si>
  <si>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</si>
  <si>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</si>
  <si>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</si>
  <si>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</si>
  <si>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</si>
  <si>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</si>
  <si>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</si>
  <si>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55241/A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</si>
  <si>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</si>
  <si>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</si>
  <si>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</si>
  <si>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</si>
  <si>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</si>
  <si>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</si>
  <si>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</si>
  <si>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</si>
  <si>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</si>
  <si>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</si>
  <si>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</si>
  <si>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</si>
  <si>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</si>
  <si>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</si>
  <si>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55255A</t>
  </si>
  <si>
    <t>55255B</t>
  </si>
  <si>
    <t>55256</t>
  </si>
  <si>
    <t>55257</t>
  </si>
  <si>
    <t>55258</t>
  </si>
  <si>
    <t>55259</t>
  </si>
  <si>
    <t>55260</t>
  </si>
  <si>
    <t>55268</t>
  </si>
  <si>
    <t>55268/A</t>
  </si>
  <si>
    <t>55269</t>
  </si>
  <si>
    <t>55270</t>
  </si>
  <si>
    <t>55271</t>
  </si>
  <si>
    <t>55272</t>
  </si>
  <si>
    <t>55273</t>
  </si>
  <si>
    <t>55277</t>
  </si>
  <si>
    <t>55278</t>
  </si>
  <si>
    <t>55279</t>
  </si>
  <si>
    <t>55280</t>
  </si>
  <si>
    <t>55281</t>
  </si>
  <si>
    <t>55282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</si>
  <si>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</si>
  <si>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</si>
  <si>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</si>
  <si>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</si>
  <si>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</si>
  <si>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</si>
  <si>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</si>
  <si>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</si>
  <si>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</si>
  <si>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</si>
  <si>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</si>
  <si>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</si>
  <si>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</si>
  <si>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</si>
  <si>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</si>
  <si>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</si>
  <si>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</si>
  <si>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</si>
  <si>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</si>
  <si>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</si>
  <si>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</si>
  <si>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</si>
  <si>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</si>
  <si>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</si>
  <si>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</si>
  <si>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</si>
  <si>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</si>
  <si>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</si>
  <si>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</si>
  <si>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</si>
  <si>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</si>
  <si>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</si>
  <si>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</si>
  <si>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</si>
  <si>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</si>
  <si>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</si>
  <si>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</si>
  <si>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</si>
  <si>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</si>
  <si>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</si>
  <si>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</si>
  <si>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</si>
  <si>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</si>
  <si>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</si>
  <si>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</si>
  <si>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</si>
  <si>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</si>
  <si>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</si>
  <si>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</si>
  <si>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</si>
  <si>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</si>
  <si>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</si>
  <si>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</si>
  <si>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</si>
  <si>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</si>
  <si>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</si>
  <si>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</si>
  <si>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</si>
  <si>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</si>
  <si>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</si>
  <si>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</si>
  <si>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</si>
  <si>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</si>
  <si>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</si>
  <si>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</si>
  <si>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</si>
  <si>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</si>
  <si>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</si>
  <si>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</si>
  <si>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</si>
  <si>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</si>
  <si>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</si>
  <si>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</si>
  <si>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</si>
  <si>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</si>
  <si>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55360/A</t>
  </si>
  <si>
    <t>55361</t>
  </si>
  <si>
    <t>55362</t>
  </si>
  <si>
    <t>55363</t>
  </si>
  <si>
    <t>55372</t>
  </si>
  <si>
    <t>55373</t>
  </si>
  <si>
    <t>55374</t>
  </si>
  <si>
    <t>55375</t>
  </si>
  <si>
    <t>55376</t>
  </si>
  <si>
    <t>55401</t>
  </si>
  <si>
    <t>55410</t>
  </si>
  <si>
    <t>55410A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</si>
  <si>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</si>
  <si>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</si>
  <si>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</si>
  <si>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</si>
  <si>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</si>
  <si>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</si>
  <si>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</si>
  <si>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</si>
  <si>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</si>
  <si>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</si>
  <si>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</si>
  <si>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</si>
  <si>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</si>
  <si>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</si>
  <si>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</si>
  <si>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</si>
  <si>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</si>
  <si>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</si>
  <si>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</si>
  <si>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</si>
  <si>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</si>
  <si>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</si>
  <si>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</si>
  <si>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</si>
  <si>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</si>
  <si>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</si>
  <si>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</si>
  <si>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</si>
  <si>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</si>
  <si>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</si>
  <si>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55442A</t>
  </si>
  <si>
    <t>55442B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</si>
  <si>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</si>
  <si>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</si>
  <si>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</si>
  <si>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</si>
  <si>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</si>
  <si>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</si>
  <si>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</si>
  <si>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</si>
  <si>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</si>
  <si>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</si>
  <si>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</si>
  <si>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</si>
  <si>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</si>
  <si>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</si>
  <si>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</si>
  <si>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</si>
  <si>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</si>
  <si>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</si>
  <si>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</si>
  <si>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</si>
  <si>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</si>
  <si>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</si>
  <si>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</si>
  <si>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</si>
  <si>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</si>
  <si>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</si>
  <si>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</si>
  <si>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</si>
  <si>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</si>
  <si>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</si>
  <si>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</si>
  <si>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</si>
  <si>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</si>
  <si>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</si>
  <si>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</si>
  <si>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</si>
  <si>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</si>
  <si>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</si>
  <si>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</si>
  <si>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</si>
  <si>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</si>
  <si>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</si>
  <si>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</si>
  <si>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</si>
  <si>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</si>
  <si>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</si>
  <si>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</si>
  <si>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</si>
  <si>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</si>
  <si>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</si>
  <si>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</si>
  <si>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</si>
  <si>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</si>
  <si>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</si>
  <si>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</si>
  <si>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</si>
  <si>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</si>
  <si>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</si>
  <si>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</si>
  <si>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</si>
  <si>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</si>
  <si>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</si>
  <si>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</si>
  <si>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</si>
  <si>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</si>
  <si>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</si>
  <si>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</si>
  <si>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</si>
  <si>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</si>
  <si>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</si>
  <si>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</si>
  <si>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</si>
  <si>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</si>
  <si>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</si>
  <si>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</si>
  <si>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</si>
  <si>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</si>
  <si>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</si>
  <si>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</si>
  <si>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</si>
  <si>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</si>
  <si>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</si>
  <si>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</si>
  <si>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</si>
  <si>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</si>
  <si>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</si>
  <si>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</si>
  <si>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</si>
  <si>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</si>
  <si>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</si>
  <si>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</si>
  <si>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</si>
  <si>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</si>
  <si>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</si>
  <si>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</si>
  <si>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</si>
  <si>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</si>
  <si>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</si>
  <si>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</si>
  <si>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</si>
  <si>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</si>
  <si>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</si>
  <si>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</si>
  <si>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</si>
  <si>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</si>
  <si>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</si>
  <si>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</si>
  <si>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</si>
  <si>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</si>
  <si>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</si>
  <si>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</si>
  <si>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</si>
  <si>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</si>
  <si>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</si>
  <si>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</si>
  <si>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</si>
  <si>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</si>
  <si>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</si>
  <si>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</si>
  <si>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</si>
  <si>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</si>
  <si>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</si>
  <si>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</si>
  <si>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</si>
  <si>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</si>
  <si>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</si>
  <si>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</si>
  <si>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</si>
  <si>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</si>
  <si>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</si>
  <si>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</si>
  <si>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</si>
  <si>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</si>
  <si>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55577</t>
  </si>
  <si>
    <t>55578</t>
  </si>
  <si>
    <t>55579</t>
  </si>
  <si>
    <t>55580</t>
  </si>
  <si>
    <t>55582</t>
  </si>
  <si>
    <t>55583</t>
  </si>
  <si>
    <t>55583A</t>
  </si>
  <si>
    <t>55584</t>
  </si>
  <si>
    <t>55585</t>
  </si>
  <si>
    <t>55586</t>
  </si>
  <si>
    <t>55587</t>
  </si>
  <si>
    <t>55588</t>
  </si>
  <si>
    <t>55589</t>
  </si>
  <si>
    <t>55590</t>
  </si>
  <si>
    <t>55591</t>
  </si>
  <si>
    <t>55592</t>
  </si>
  <si>
    <t>55593</t>
  </si>
  <si>
    <t>55594</t>
  </si>
  <si>
    <t>55595</t>
  </si>
  <si>
    <t>55596</t>
  </si>
  <si>
    <t>55597</t>
  </si>
  <si>
    <t>55598</t>
  </si>
  <si>
    <t>55599</t>
  </si>
  <si>
    <t>55601</t>
  </si>
  <si>
    <t>55602</t>
  </si>
  <si>
    <t>55604</t>
  </si>
  <si>
    <t>55605</t>
  </si>
  <si>
    <t>55606</t>
  </si>
  <si>
    <t>55607</t>
  </si>
  <si>
    <t>55608</t>
  </si>
  <si>
    <t>55609</t>
  </si>
  <si>
    <t>55610</t>
  </si>
  <si>
    <t>55611</t>
  </si>
  <si>
    <t>55612</t>
  </si>
  <si>
    <t>55613</t>
  </si>
  <si>
    <t>55614</t>
  </si>
  <si>
    <t>55615</t>
  </si>
  <si>
    <t>55616</t>
  </si>
  <si>
    <t>55617</t>
  </si>
  <si>
    <t>55618</t>
  </si>
  <si>
    <t>55619</t>
  </si>
  <si>
    <t>55620</t>
  </si>
  <si>
    <t>55621</t>
  </si>
  <si>
    <t>55622</t>
  </si>
  <si>
    <t>55623</t>
  </si>
  <si>
    <t>55624</t>
  </si>
  <si>
    <t>55625</t>
  </si>
  <si>
    <t>55626</t>
  </si>
  <si>
    <t>55627</t>
  </si>
  <si>
    <t>55628</t>
  </si>
  <si>
    <t>55628/A</t>
  </si>
  <si>
    <t>55629</t>
  </si>
  <si>
    <t>55630</t>
  </si>
  <si>
    <t>55631</t>
  </si>
  <si>
    <t>55632</t>
  </si>
  <si>
    <t>55635</t>
  </si>
  <si>
    <t>55636</t>
  </si>
  <si>
    <t>55637</t>
  </si>
  <si>
    <t>55637A</t>
  </si>
  <si>
    <t>55638</t>
  </si>
  <si>
    <t>55639</t>
  </si>
  <si>
    <t>55640</t>
  </si>
  <si>
    <t>55641</t>
  </si>
  <si>
    <t>55642</t>
  </si>
  <si>
    <t>55643</t>
  </si>
  <si>
    <t>55644</t>
  </si>
  <si>
    <t>55645</t>
  </si>
  <si>
    <t>55646</t>
  </si>
  <si>
    <t>55647</t>
  </si>
  <si>
    <t>55648</t>
  </si>
  <si>
    <t>55649</t>
  </si>
  <si>
    <t>55650</t>
  </si>
  <si>
    <t>55651</t>
  </si>
  <si>
    <t>55653</t>
  </si>
  <si>
    <t>55654</t>
  </si>
  <si>
    <t>55655</t>
  </si>
  <si>
    <t>55656</t>
  </si>
  <si>
    <t>55657</t>
  </si>
  <si>
    <t>55658</t>
  </si>
  <si>
    <t>55659</t>
  </si>
  <si>
    <t>55660</t>
  </si>
  <si>
    <t>55661</t>
  </si>
  <si>
    <t>55662</t>
  </si>
  <si>
    <t>55663</t>
  </si>
  <si>
    <t>55664</t>
  </si>
  <si>
    <t>55665</t>
  </si>
  <si>
    <t>55666</t>
  </si>
  <si>
    <t>55667</t>
  </si>
  <si>
    <t>55669</t>
  </si>
  <si>
    <t>55670</t>
  </si>
  <si>
    <t>55671</t>
  </si>
  <si>
    <t>55672</t>
  </si>
  <si>
    <t>55673</t>
  </si>
  <si>
    <t>55675</t>
  </si>
  <si>
    <t>55676</t>
  </si>
  <si>
    <t>55678</t>
  </si>
  <si>
    <t>55679</t>
  </si>
  <si>
    <t>55680</t>
  </si>
  <si>
    <t>55681</t>
  </si>
  <si>
    <t>55682</t>
  </si>
  <si>
    <t>55683</t>
  </si>
  <si>
    <t>55684</t>
  </si>
  <si>
    <t>55685</t>
  </si>
  <si>
    <t>55686</t>
  </si>
  <si>
    <t>55687</t>
  </si>
  <si>
    <t>55688</t>
  </si>
  <si>
    <t>55690</t>
  </si>
  <si>
    <t>55691</t>
  </si>
  <si>
    <t>55692</t>
  </si>
  <si>
    <t>55693</t>
  </si>
  <si>
    <t>55694</t>
  </si>
  <si>
    <t>55695</t>
  </si>
  <si>
    <t>55696</t>
  </si>
  <si>
    <t>55697</t>
  </si>
  <si>
    <t>55698</t>
  </si>
  <si>
    <t>55699</t>
  </si>
  <si>
    <t>55700</t>
  </si>
  <si>
    <t>55701</t>
  </si>
  <si>
    <t>55701A</t>
  </si>
  <si>
    <t>55702</t>
  </si>
  <si>
    <t>55703</t>
  </si>
  <si>
    <t>55704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</si>
  <si>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</si>
  <si>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</si>
  <si>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</si>
  <si>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</si>
  <si>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</si>
  <si>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</si>
  <si>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</si>
  <si>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</si>
  <si>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</si>
  <si>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55714</t>
  </si>
  <si>
    <t>55715</t>
  </si>
  <si>
    <t>55716</t>
  </si>
  <si>
    <t>55717</t>
  </si>
  <si>
    <t>55718</t>
  </si>
  <si>
    <t>55719</t>
  </si>
  <si>
    <t>55720</t>
  </si>
  <si>
    <t>55721</t>
  </si>
  <si>
    <t>55722</t>
  </si>
  <si>
    <t>55723</t>
  </si>
  <si>
    <t>55724</t>
  </si>
  <si>
    <t>55725</t>
  </si>
  <si>
    <t>55725A</t>
  </si>
  <si>
    <t>55727</t>
  </si>
  <si>
    <t>55727/A</t>
  </si>
  <si>
    <t>55729</t>
  </si>
  <si>
    <t>55729/A</t>
  </si>
  <si>
    <t>55730</t>
  </si>
  <si>
    <t>55731</t>
  </si>
  <si>
    <t>55732</t>
  </si>
  <si>
    <t>55733</t>
  </si>
  <si>
    <t>55734</t>
  </si>
  <si>
    <t>55735</t>
  </si>
  <si>
    <t>55736</t>
  </si>
  <si>
    <t>55737</t>
  </si>
  <si>
    <t>55738</t>
  </si>
  <si>
    <t>55739</t>
  </si>
  <si>
    <t>55741</t>
  </si>
  <si>
    <t>55741A</t>
  </si>
  <si>
    <t>55741B</t>
  </si>
  <si>
    <t>55741C</t>
  </si>
  <si>
    <t>55743</t>
  </si>
  <si>
    <t>55744</t>
  </si>
  <si>
    <t>55746</t>
  </si>
  <si>
    <t>55747</t>
  </si>
  <si>
    <t>55748</t>
  </si>
  <si>
    <t>55748A</t>
  </si>
  <si>
    <t>55748B</t>
  </si>
  <si>
    <t>55749</t>
  </si>
  <si>
    <t>55750</t>
  </si>
  <si>
    <t>55751</t>
  </si>
  <si>
    <t>55752</t>
  </si>
  <si>
    <t>55753</t>
  </si>
  <si>
    <t>55754</t>
  </si>
  <si>
    <t>55755</t>
  </si>
  <si>
    <t>55756</t>
  </si>
  <si>
    <t>55757</t>
  </si>
  <si>
    <t>55758</t>
  </si>
  <si>
    <t>55759</t>
  </si>
  <si>
    <t>55760</t>
  </si>
  <si>
    <t>55761</t>
  </si>
  <si>
    <t>55762</t>
  </si>
  <si>
    <t>55763</t>
  </si>
  <si>
    <t>55764</t>
  </si>
  <si>
    <t>55765</t>
  </si>
  <si>
    <t>55766</t>
  </si>
  <si>
    <t>55767</t>
  </si>
  <si>
    <t>55768</t>
  </si>
  <si>
    <t>55769</t>
  </si>
  <si>
    <t>55770</t>
  </si>
  <si>
    <t>55771</t>
  </si>
  <si>
    <t>55772</t>
  </si>
  <si>
    <t>55773</t>
  </si>
  <si>
    <t>55774</t>
  </si>
  <si>
    <t>55775</t>
  </si>
  <si>
    <t>55776</t>
  </si>
  <si>
    <t>55777</t>
  </si>
  <si>
    <t>55778</t>
  </si>
  <si>
    <t>55779</t>
  </si>
  <si>
    <t>55780</t>
  </si>
  <si>
    <t>55781</t>
  </si>
  <si>
    <t>55782</t>
  </si>
  <si>
    <t>55783</t>
  </si>
  <si>
    <t>55784</t>
  </si>
  <si>
    <t>55785</t>
  </si>
  <si>
    <t>55786</t>
  </si>
  <si>
    <t>55787</t>
  </si>
  <si>
    <t>55788</t>
  </si>
  <si>
    <t>55789</t>
  </si>
  <si>
    <t>55790</t>
  </si>
  <si>
    <t>55791</t>
  </si>
  <si>
    <t>55792</t>
  </si>
  <si>
    <t>55793</t>
  </si>
  <si>
    <t>55794</t>
  </si>
  <si>
    <t>55795</t>
  </si>
  <si>
    <t>55796</t>
  </si>
  <si>
    <t>55797</t>
  </si>
  <si>
    <t>55798</t>
  </si>
  <si>
    <t>55799</t>
  </si>
  <si>
    <t>55800</t>
  </si>
  <si>
    <t>55801</t>
  </si>
  <si>
    <t>55802</t>
  </si>
  <si>
    <t>55804</t>
  </si>
  <si>
    <t>55805</t>
  </si>
  <si>
    <t>55806</t>
  </si>
  <si>
    <t>55807</t>
  </si>
  <si>
    <t>55808</t>
  </si>
  <si>
    <t>55809</t>
  </si>
  <si>
    <t>55811</t>
  </si>
  <si>
    <t>55812</t>
  </si>
  <si>
    <t>55813</t>
  </si>
  <si>
    <t>55814</t>
  </si>
  <si>
    <t>55815</t>
  </si>
  <si>
    <t>55816</t>
  </si>
  <si>
    <t>55817</t>
  </si>
  <si>
    <t>55818</t>
  </si>
  <si>
    <t>55819</t>
  </si>
  <si>
    <t>55821</t>
  </si>
  <si>
    <t>55821A</t>
  </si>
  <si>
    <t>55821B</t>
  </si>
  <si>
    <t>55821C</t>
  </si>
  <si>
    <t>55821D</t>
  </si>
  <si>
    <t>55822</t>
  </si>
  <si>
    <t>55823</t>
  </si>
  <si>
    <t>55824</t>
  </si>
  <si>
    <t>55825</t>
  </si>
  <si>
    <t>55826</t>
  </si>
  <si>
    <t>55827</t>
  </si>
  <si>
    <t>55828</t>
  </si>
  <si>
    <t>55829</t>
  </si>
  <si>
    <t>55830</t>
  </si>
  <si>
    <t>55831</t>
  </si>
  <si>
    <t>55832</t>
  </si>
  <si>
    <t>55833</t>
  </si>
  <si>
    <t>55834</t>
  </si>
  <si>
    <t>55835</t>
  </si>
  <si>
    <t>55836</t>
  </si>
  <si>
    <t>55837</t>
  </si>
  <si>
    <t>55838</t>
  </si>
  <si>
    <t>55839</t>
  </si>
  <si>
    <t>55840</t>
  </si>
  <si>
    <t>55841</t>
  </si>
  <si>
    <t>55842</t>
  </si>
  <si>
    <t>55843</t>
  </si>
  <si>
    <t>55844</t>
  </si>
  <si>
    <t>55845</t>
  </si>
  <si>
    <t>55846</t>
  </si>
  <si>
    <t>55847</t>
  </si>
  <si>
    <t>55848</t>
  </si>
  <si>
    <t>55849</t>
  </si>
  <si>
    <t>55850</t>
  </si>
  <si>
    <t>55851</t>
  </si>
  <si>
    <t>55852</t>
  </si>
  <si>
    <t>55853</t>
  </si>
  <si>
    <t>55854</t>
  </si>
  <si>
    <t>55855</t>
  </si>
  <si>
    <t>55856</t>
  </si>
  <si>
    <t>55857</t>
  </si>
  <si>
    <t>55858</t>
  </si>
  <si>
    <t>55859</t>
  </si>
  <si>
    <t>55860</t>
  </si>
  <si>
    <t>55861</t>
  </si>
  <si>
    <t>55862</t>
  </si>
  <si>
    <t>55863</t>
  </si>
  <si>
    <t>55864</t>
  </si>
  <si>
    <t>55864A</t>
  </si>
  <si>
    <t>55865</t>
  </si>
  <si>
    <t>55866</t>
  </si>
  <si>
    <t>55867</t>
  </si>
  <si>
    <t>55867A</t>
  </si>
  <si>
    <t>55868</t>
  </si>
  <si>
    <t>55868A</t>
  </si>
  <si>
    <t>55868B</t>
  </si>
  <si>
    <t>55868C</t>
  </si>
  <si>
    <t>55868D</t>
  </si>
  <si>
    <t>55869</t>
  </si>
  <si>
    <t>55869A</t>
  </si>
  <si>
    <t>55870</t>
  </si>
  <si>
    <t>55871</t>
  </si>
  <si>
    <t>55872</t>
  </si>
  <si>
    <t>55873</t>
  </si>
  <si>
    <t>55874</t>
  </si>
  <si>
    <t>55875</t>
  </si>
  <si>
    <t>55877</t>
  </si>
  <si>
    <t>55878</t>
  </si>
  <si>
    <t>55879</t>
  </si>
  <si>
    <t>55880</t>
  </si>
  <si>
    <t>55881</t>
  </si>
  <si>
    <t>55882</t>
  </si>
  <si>
    <t>55883</t>
  </si>
  <si>
    <t>55884</t>
  </si>
  <si>
    <t>55885</t>
  </si>
  <si>
    <t>55886</t>
  </si>
  <si>
    <t>55887</t>
  </si>
  <si>
    <t>55888</t>
  </si>
  <si>
    <t>55888A</t>
  </si>
  <si>
    <t>55889</t>
  </si>
  <si>
    <t>55890</t>
  </si>
  <si>
    <t>55891</t>
  </si>
  <si>
    <t>55892</t>
  </si>
  <si>
    <t>55893</t>
  </si>
  <si>
    <t>55894</t>
  </si>
  <si>
    <t>55895</t>
  </si>
  <si>
    <t>55896</t>
  </si>
  <si>
    <t>55897</t>
  </si>
  <si>
    <t>55898</t>
  </si>
  <si>
    <t>55900</t>
  </si>
  <si>
    <t>55901</t>
  </si>
  <si>
    <t>55902</t>
  </si>
  <si>
    <t>55903</t>
  </si>
  <si>
    <t>55904</t>
  </si>
  <si>
    <t>55905</t>
  </si>
  <si>
    <t>55905A</t>
  </si>
  <si>
    <t>55905B</t>
  </si>
  <si>
    <t>55905C</t>
  </si>
  <si>
    <t>55905D</t>
  </si>
  <si>
    <t>55906</t>
  </si>
  <si>
    <t>55906A</t>
  </si>
  <si>
    <t>55906B</t>
  </si>
  <si>
    <t>55906C</t>
  </si>
  <si>
    <t>55906D</t>
  </si>
  <si>
    <t>55907</t>
  </si>
  <si>
    <t>55907A</t>
  </si>
  <si>
    <t>55908</t>
  </si>
  <si>
    <t>55908A</t>
  </si>
  <si>
    <t>55909</t>
  </si>
  <si>
    <t>55909A</t>
  </si>
  <si>
    <t>55909B</t>
  </si>
  <si>
    <t>55909C</t>
  </si>
  <si>
    <t>55909D</t>
  </si>
  <si>
    <t>55910</t>
  </si>
  <si>
    <t>55910A</t>
  </si>
  <si>
    <t>55911</t>
  </si>
  <si>
    <t>55912</t>
  </si>
  <si>
    <t>55913</t>
  </si>
  <si>
    <t>55914</t>
  </si>
  <si>
    <t>55915</t>
  </si>
  <si>
    <t>55916</t>
  </si>
  <si>
    <t>55917</t>
  </si>
  <si>
    <t>55918</t>
  </si>
  <si>
    <t>55918A</t>
  </si>
  <si>
    <t>55918B</t>
  </si>
  <si>
    <t>55919</t>
  </si>
  <si>
    <t>55920</t>
  </si>
  <si>
    <t>55921</t>
  </si>
  <si>
    <t>55922</t>
  </si>
  <si>
    <t>55923</t>
  </si>
  <si>
    <t>55924</t>
  </si>
  <si>
    <t>55925</t>
  </si>
  <si>
    <t>55926</t>
  </si>
  <si>
    <t>55927</t>
  </si>
  <si>
    <t>55928</t>
  </si>
  <si>
    <t>55929</t>
  </si>
  <si>
    <t>55930</t>
  </si>
  <si>
    <t>55931</t>
  </si>
  <si>
    <t>55932</t>
  </si>
  <si>
    <t>55932A</t>
  </si>
  <si>
    <t>55932B</t>
  </si>
  <si>
    <t>55933</t>
  </si>
  <si>
    <t>55933A</t>
  </si>
  <si>
    <t>55934</t>
  </si>
  <si>
    <t>55935</t>
  </si>
  <si>
    <t>55936</t>
  </si>
  <si>
    <t>55937</t>
  </si>
  <si>
    <t>55938</t>
  </si>
  <si>
    <t>55942</t>
  </si>
  <si>
    <t>55943</t>
  </si>
  <si>
    <t>55944</t>
  </si>
  <si>
    <t>55947</t>
  </si>
  <si>
    <t>55948</t>
  </si>
  <si>
    <t>55949</t>
  </si>
  <si>
    <t>55950</t>
  </si>
  <si>
    <t>55951</t>
  </si>
  <si>
    <t>55952</t>
  </si>
  <si>
    <t>55953</t>
  </si>
  <si>
    <t>55954</t>
  </si>
  <si>
    <t>55955</t>
  </si>
  <si>
    <t>55955A</t>
  </si>
  <si>
    <t>55956</t>
  </si>
  <si>
    <t>55957</t>
  </si>
  <si>
    <t>55958</t>
  </si>
  <si>
    <t>55959</t>
  </si>
  <si>
    <t>55960</t>
  </si>
  <si>
    <t>55961</t>
  </si>
  <si>
    <t>55962</t>
  </si>
  <si>
    <t>55963</t>
  </si>
  <si>
    <t>55964</t>
  </si>
  <si>
    <t>55965</t>
  </si>
  <si>
    <t>55966</t>
  </si>
  <si>
    <t>55967</t>
  </si>
  <si>
    <t>55968</t>
  </si>
  <si>
    <t>55969</t>
  </si>
  <si>
    <t>55970</t>
  </si>
  <si>
    <t>55971</t>
  </si>
  <si>
    <t>55972</t>
  </si>
  <si>
    <t>55973</t>
  </si>
  <si>
    <t>55974</t>
  </si>
  <si>
    <t>55975</t>
  </si>
  <si>
    <t>55976</t>
  </si>
  <si>
    <t>55977</t>
  </si>
  <si>
    <t>55978</t>
  </si>
  <si>
    <t>55979</t>
  </si>
  <si>
    <t>55982</t>
  </si>
  <si>
    <t>55983</t>
  </si>
  <si>
    <t>55984</t>
  </si>
  <si>
    <t>55985</t>
  </si>
  <si>
    <t>55986</t>
  </si>
  <si>
    <t>55986A</t>
  </si>
  <si>
    <t>55986B</t>
  </si>
  <si>
    <t>55987</t>
  </si>
  <si>
    <t>55988</t>
  </si>
  <si>
    <t>55989</t>
  </si>
  <si>
    <t>55990</t>
  </si>
  <si>
    <t>55995</t>
  </si>
  <si>
    <t>55996</t>
  </si>
  <si>
    <t>55997</t>
  </si>
  <si>
    <t>55998</t>
  </si>
  <si>
    <t>55999</t>
  </si>
  <si>
    <t>56000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</si>
  <si>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</si>
  <si>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</si>
  <si>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</si>
  <si>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</si>
  <si>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</si>
  <si>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</si>
  <si>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</si>
  <si>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</si>
  <si>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</si>
  <si>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</si>
  <si>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</si>
  <si>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</si>
  <si>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</si>
  <si>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</si>
  <si>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</si>
  <si>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</si>
  <si>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</si>
  <si>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</si>
  <si>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</si>
  <si>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</si>
  <si>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56023</t>
  </si>
  <si>
    <t>56024</t>
  </si>
  <si>
    <t>56025</t>
  </si>
  <si>
    <t>56026</t>
  </si>
  <si>
    <t>56027</t>
  </si>
  <si>
    <t>56028</t>
  </si>
  <si>
    <t>56030</t>
  </si>
  <si>
    <t>56031</t>
  </si>
  <si>
    <t>56032</t>
  </si>
  <si>
    <t>56032A</t>
  </si>
  <si>
    <t>56032A/CO</t>
  </si>
  <si>
    <t>56032B</t>
  </si>
  <si>
    <t>56032C</t>
  </si>
  <si>
    <t>56032D</t>
  </si>
  <si>
    <t>56032E</t>
  </si>
  <si>
    <t>56032F</t>
  </si>
  <si>
    <t>56032G</t>
  </si>
  <si>
    <t>56032G/CO</t>
  </si>
  <si>
    <t>56032G/SE</t>
  </si>
  <si>
    <t>56032H</t>
  </si>
  <si>
    <t>56033</t>
  </si>
  <si>
    <t>56035</t>
  </si>
  <si>
    <t>56036</t>
  </si>
  <si>
    <t>56037</t>
  </si>
  <si>
    <t>56038</t>
  </si>
  <si>
    <t>56038A</t>
  </si>
  <si>
    <t>56039</t>
  </si>
  <si>
    <t>56040</t>
  </si>
  <si>
    <t>56040B</t>
  </si>
  <si>
    <t>56040C</t>
  </si>
  <si>
    <t>56041</t>
  </si>
  <si>
    <t>56041A</t>
  </si>
  <si>
    <t>56042</t>
  </si>
  <si>
    <t>56042A</t>
  </si>
  <si>
    <t>56042B</t>
  </si>
  <si>
    <t>56042D</t>
  </si>
  <si>
    <t>56043</t>
  </si>
  <si>
    <t>56044</t>
  </si>
  <si>
    <t>56045</t>
  </si>
  <si>
    <t>56046</t>
  </si>
  <si>
    <t>56047</t>
  </si>
  <si>
    <t>56048</t>
  </si>
  <si>
    <t>56050</t>
  </si>
  <si>
    <t>56051</t>
  </si>
  <si>
    <t>56052</t>
  </si>
  <si>
    <t>56053</t>
  </si>
  <si>
    <t>56054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</si>
  <si>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</si>
  <si>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</si>
  <si>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</si>
  <si>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</si>
  <si>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</si>
  <si>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</si>
  <si>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</si>
  <si>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</si>
  <si>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</si>
  <si>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</si>
  <si>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</si>
  <si>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</si>
  <si>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</si>
  <si>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</si>
  <si>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</si>
  <si>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</si>
  <si>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</si>
  <si>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</si>
  <si>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</si>
  <si>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</si>
  <si>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</si>
  <si>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</si>
  <si>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</si>
  <si>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</si>
  <si>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56080A</t>
  </si>
  <si>
    <t>56081</t>
  </si>
  <si>
    <t>56082</t>
  </si>
  <si>
    <t>56084</t>
  </si>
  <si>
    <t>56084A</t>
  </si>
  <si>
    <t>56084B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</si>
  <si>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</si>
  <si>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</si>
  <si>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</si>
  <si>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</si>
  <si>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</si>
  <si>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</si>
  <si>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</si>
  <si>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</si>
  <si>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</si>
  <si>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</si>
  <si>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</si>
  <si>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</si>
  <si>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</si>
  <si>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</si>
  <si>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</si>
  <si>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</si>
  <si>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</si>
  <si>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</si>
  <si>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</si>
  <si>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</si>
  <si>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</si>
  <si>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</si>
  <si>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</si>
  <si>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</si>
  <si>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</si>
  <si>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</si>
  <si>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</si>
  <si>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</si>
  <si>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</si>
  <si>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56117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</si>
  <si>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</si>
  <si>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</si>
  <si>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</si>
  <si>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</si>
  <si>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</si>
  <si>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</si>
  <si>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</si>
  <si>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</si>
  <si>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</si>
  <si>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</si>
  <si>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</si>
  <si>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</si>
  <si>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</si>
  <si>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</si>
  <si>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</si>
  <si>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</si>
  <si>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</si>
  <si>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</si>
  <si>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</si>
  <si>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</si>
  <si>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</si>
  <si>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</si>
  <si>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</si>
  <si>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</si>
  <si>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</si>
  <si>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</si>
  <si>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</si>
  <si>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</si>
  <si>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56147A</t>
  </si>
  <si>
    <t>56147B</t>
  </si>
  <si>
    <t>56148</t>
  </si>
  <si>
    <t>56149</t>
  </si>
  <si>
    <t>56151</t>
  </si>
  <si>
    <t>56152</t>
  </si>
  <si>
    <t>56153</t>
  </si>
  <si>
    <t>56154</t>
  </si>
  <si>
    <t>56155</t>
  </si>
  <si>
    <t>56155/CO</t>
  </si>
  <si>
    <t>56155A</t>
  </si>
  <si>
    <t>56155B</t>
  </si>
  <si>
    <t>56156</t>
  </si>
  <si>
    <t>56157</t>
  </si>
  <si>
    <t>56158</t>
  </si>
  <si>
    <t>56159</t>
  </si>
  <si>
    <t>56161</t>
  </si>
  <si>
    <t>56162</t>
  </si>
  <si>
    <t>56163</t>
  </si>
  <si>
    <t>56164</t>
  </si>
  <si>
    <t>56165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</si>
  <si>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</si>
  <si>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</si>
  <si>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</si>
  <si>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</si>
  <si>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</si>
  <si>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</si>
  <si>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</si>
  <si>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</si>
  <si>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</si>
  <si>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</si>
  <si>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</si>
  <si>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</si>
  <si>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</si>
  <si>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</si>
  <si>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</si>
  <si>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</si>
  <si>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</si>
  <si>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</si>
  <si>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</si>
  <si>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</si>
  <si>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56191</t>
  </si>
  <si>
    <t>56201</t>
  </si>
  <si>
    <t>56205</t>
  </si>
  <si>
    <t>56207</t>
  </si>
  <si>
    <t>56219</t>
  </si>
  <si>
    <t>56220</t>
  </si>
  <si>
    <t>56221</t>
  </si>
  <si>
    <t>56222</t>
  </si>
  <si>
    <t>56226</t>
  </si>
  <si>
    <t>56227</t>
  </si>
  <si>
    <t>56228</t>
  </si>
  <si>
    <t>56229</t>
  </si>
  <si>
    <t>56230</t>
  </si>
  <si>
    <t>56232</t>
  </si>
  <si>
    <t>56233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</si>
  <si>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</si>
  <si>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</si>
  <si>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</si>
  <si>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</si>
  <si>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</si>
  <si>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</si>
  <si>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</si>
  <si>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</si>
  <si>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</si>
  <si>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</si>
  <si>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</si>
  <si>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</si>
  <si>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</si>
  <si>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</si>
  <si>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</si>
  <si>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</si>
  <si>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</si>
  <si>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</si>
  <si>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</si>
  <si>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</si>
  <si>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</si>
  <si>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</si>
  <si>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</si>
  <si>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</si>
  <si>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</si>
  <si>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</si>
  <si>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</si>
  <si>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</si>
  <si>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</si>
  <si>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56265</t>
  </si>
  <si>
    <t>56266</t>
  </si>
  <si>
    <t>56267</t>
  </si>
  <si>
    <t>56267/A</t>
  </si>
  <si>
    <t>56268</t>
  </si>
  <si>
    <t>56268/A</t>
  </si>
  <si>
    <t>56269</t>
  </si>
  <si>
    <t>56270</t>
  </si>
  <si>
    <t>56271</t>
  </si>
  <si>
    <t>56272</t>
  </si>
  <si>
    <t>56273</t>
  </si>
  <si>
    <t>56274</t>
  </si>
  <si>
    <t>56275</t>
  </si>
  <si>
    <t>56276</t>
  </si>
  <si>
    <t>56277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</si>
  <si>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</si>
  <si>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</si>
  <si>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</si>
  <si>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</si>
  <si>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</si>
  <si>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</si>
  <si>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</si>
  <si>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</si>
  <si>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56286</t>
  </si>
  <si>
    <t>56287</t>
  </si>
  <si>
    <t>56288</t>
  </si>
  <si>
    <t>56289</t>
  </si>
  <si>
    <t>56290</t>
  </si>
  <si>
    <t>56291</t>
  </si>
  <si>
    <t>56292</t>
  </si>
  <si>
    <t>56293</t>
  </si>
  <si>
    <t>56296</t>
  </si>
  <si>
    <t>56298</t>
  </si>
  <si>
    <t>56299</t>
  </si>
  <si>
    <t>56300</t>
  </si>
  <si>
    <t>56301</t>
  </si>
  <si>
    <t>56302</t>
  </si>
  <si>
    <t>56303</t>
  </si>
  <si>
    <t>56304</t>
  </si>
  <si>
    <t>56305</t>
  </si>
  <si>
    <t>56306</t>
  </si>
  <si>
    <t>56307</t>
  </si>
  <si>
    <t>56308</t>
  </si>
  <si>
    <t>56309</t>
  </si>
  <si>
    <t>56312</t>
  </si>
  <si>
    <t>56313</t>
  </si>
  <si>
    <t>56317</t>
  </si>
  <si>
    <t>56318</t>
  </si>
  <si>
    <t>56319</t>
  </si>
  <si>
    <t>56320</t>
  </si>
  <si>
    <t>56321</t>
  </si>
  <si>
    <t>56322</t>
  </si>
  <si>
    <t>56323</t>
  </si>
  <si>
    <t>56324</t>
  </si>
  <si>
    <t>56325</t>
  </si>
  <si>
    <t>56326</t>
  </si>
  <si>
    <t>56327</t>
  </si>
  <si>
    <t>56328</t>
  </si>
  <si>
    <t>56329</t>
  </si>
  <si>
    <t>56330</t>
  </si>
  <si>
    <t>56331</t>
  </si>
  <si>
    <t>56332</t>
  </si>
  <si>
    <t>56333</t>
  </si>
  <si>
    <t>56334</t>
  </si>
  <si>
    <t>56335</t>
  </si>
  <si>
    <t>56336</t>
  </si>
  <si>
    <t>56337</t>
  </si>
  <si>
    <t>56338</t>
  </si>
  <si>
    <t>56339</t>
  </si>
  <si>
    <t>56340</t>
  </si>
  <si>
    <t>56341</t>
  </si>
  <si>
    <t>56342</t>
  </si>
  <si>
    <t>56343</t>
  </si>
  <si>
    <t>56343A</t>
  </si>
  <si>
    <t>56344</t>
  </si>
  <si>
    <t>56345</t>
  </si>
  <si>
    <t>56346</t>
  </si>
  <si>
    <t>56348</t>
  </si>
  <si>
    <t>56348A</t>
  </si>
  <si>
    <t>56348B</t>
  </si>
  <si>
    <t>56349</t>
  </si>
  <si>
    <t>56350</t>
  </si>
  <si>
    <t>56351</t>
  </si>
  <si>
    <t>56352</t>
  </si>
  <si>
    <t>56353</t>
  </si>
  <si>
    <t>56354</t>
  </si>
  <si>
    <t>56355</t>
  </si>
  <si>
    <t>56356</t>
  </si>
  <si>
    <t>56357</t>
  </si>
  <si>
    <t>56358</t>
  </si>
  <si>
    <t>56359</t>
  </si>
  <si>
    <t>56360</t>
  </si>
  <si>
    <t>56361</t>
  </si>
  <si>
    <t>56362</t>
  </si>
  <si>
    <t>56363</t>
  </si>
  <si>
    <t>56364</t>
  </si>
  <si>
    <t>56365</t>
  </si>
  <si>
    <t>56366</t>
  </si>
  <si>
    <t>56366/A</t>
  </si>
  <si>
    <t>56366/B</t>
  </si>
  <si>
    <t>56367</t>
  </si>
  <si>
    <t>56368</t>
  </si>
  <si>
    <t>56369</t>
  </si>
  <si>
    <t>56370</t>
  </si>
  <si>
    <t>56371</t>
  </si>
  <si>
    <t>56372</t>
  </si>
  <si>
    <t>56372A</t>
  </si>
  <si>
    <t>56373</t>
  </si>
  <si>
    <t>56374</t>
  </si>
  <si>
    <t>56375</t>
  </si>
  <si>
    <t>56376</t>
  </si>
  <si>
    <t>56378</t>
  </si>
  <si>
    <t>56379</t>
  </si>
  <si>
    <t>56380</t>
  </si>
  <si>
    <t>56381</t>
  </si>
  <si>
    <t>56382</t>
  </si>
  <si>
    <t>56383</t>
  </si>
  <si>
    <t>56384</t>
  </si>
  <si>
    <t>56385</t>
  </si>
  <si>
    <t>56386</t>
  </si>
  <si>
    <t>56387</t>
  </si>
  <si>
    <t>56388</t>
  </si>
  <si>
    <t>56388A</t>
  </si>
  <si>
    <t>56390</t>
  </si>
  <si>
    <t>56390A</t>
  </si>
  <si>
    <t>56391</t>
  </si>
  <si>
    <t>56392</t>
  </si>
  <si>
    <t>56393</t>
  </si>
  <si>
    <t>56394</t>
  </si>
  <si>
    <t>56395</t>
  </si>
  <si>
    <t>56396</t>
  </si>
  <si>
    <t>56397</t>
  </si>
  <si>
    <t>56398</t>
  </si>
  <si>
    <t>56399</t>
  </si>
  <si>
    <t>56400</t>
  </si>
  <si>
    <t>56401</t>
  </si>
  <si>
    <t>56402</t>
  </si>
  <si>
    <t>56403</t>
  </si>
  <si>
    <t>56404</t>
  </si>
  <si>
    <t>56405</t>
  </si>
  <si>
    <t>56406</t>
  </si>
  <si>
    <t>56407</t>
  </si>
  <si>
    <t>56408</t>
  </si>
  <si>
    <t>56409</t>
  </si>
  <si>
    <t>56410</t>
  </si>
  <si>
    <t>56411</t>
  </si>
  <si>
    <t>56412</t>
  </si>
  <si>
    <t>56413</t>
  </si>
  <si>
    <t>56414</t>
  </si>
  <si>
    <t>56415</t>
  </si>
  <si>
    <t>56416</t>
  </si>
  <si>
    <t>56417</t>
  </si>
  <si>
    <t>56418</t>
  </si>
  <si>
    <t>56419</t>
  </si>
  <si>
    <t>56420</t>
  </si>
  <si>
    <t>56421</t>
  </si>
  <si>
    <t>56422</t>
  </si>
  <si>
    <t>56423</t>
  </si>
  <si>
    <t>56424</t>
  </si>
  <si>
    <t>56425</t>
  </si>
  <si>
    <t>56426</t>
  </si>
  <si>
    <t>56427</t>
  </si>
  <si>
    <t>56428</t>
  </si>
  <si>
    <t>56429</t>
  </si>
  <si>
    <t>56430</t>
  </si>
  <si>
    <t>56431</t>
  </si>
  <si>
    <t>56432</t>
  </si>
  <si>
    <t>56433</t>
  </si>
  <si>
    <t>56434</t>
  </si>
  <si>
    <t>56435</t>
  </si>
  <si>
    <t>56436</t>
  </si>
  <si>
    <t>56437</t>
  </si>
  <si>
    <t>56438</t>
  </si>
  <si>
    <t>56439</t>
  </si>
  <si>
    <t>56440</t>
  </si>
  <si>
    <t>56441</t>
  </si>
  <si>
    <t>56442</t>
  </si>
  <si>
    <t>56443</t>
  </si>
  <si>
    <t>56444</t>
  </si>
  <si>
    <t>56445</t>
  </si>
  <si>
    <t>56446</t>
  </si>
  <si>
    <t>56447</t>
  </si>
  <si>
    <t>56448</t>
  </si>
  <si>
    <t>56449</t>
  </si>
  <si>
    <t>56450</t>
  </si>
  <si>
    <t>56451</t>
  </si>
  <si>
    <t>56452</t>
  </si>
  <si>
    <t>56453</t>
  </si>
  <si>
    <t>56454</t>
  </si>
  <si>
    <t>56455</t>
  </si>
  <si>
    <t>56458</t>
  </si>
  <si>
    <t>56458/A</t>
  </si>
  <si>
    <t>56459</t>
  </si>
  <si>
    <t>56459/A</t>
  </si>
  <si>
    <t>56460</t>
  </si>
  <si>
    <t>56461</t>
  </si>
  <si>
    <t>56462</t>
  </si>
  <si>
    <t>56463</t>
  </si>
  <si>
    <t>56464</t>
  </si>
  <si>
    <t>56464/A</t>
  </si>
  <si>
    <t>56466</t>
  </si>
  <si>
    <t>56467</t>
  </si>
  <si>
    <t>56468</t>
  </si>
  <si>
    <t>56469</t>
  </si>
  <si>
    <t>56470</t>
  </si>
  <si>
    <t>56471</t>
  </si>
  <si>
    <t>56472</t>
  </si>
  <si>
    <t>56473</t>
  </si>
  <si>
    <t>56474</t>
  </si>
  <si>
    <t>56475</t>
  </si>
  <si>
    <t>56475A</t>
  </si>
  <si>
    <t>56475B</t>
  </si>
  <si>
    <t>56475C</t>
  </si>
  <si>
    <t>56475D</t>
  </si>
  <si>
    <t>56476</t>
  </si>
  <si>
    <t>56477</t>
  </si>
  <si>
    <t>56477A</t>
  </si>
  <si>
    <t>56478</t>
  </si>
  <si>
    <t>56479</t>
  </si>
  <si>
    <t>56480</t>
  </si>
  <si>
    <t>56481</t>
  </si>
  <si>
    <t>56481A</t>
  </si>
  <si>
    <t>56481B</t>
  </si>
  <si>
    <t>56482</t>
  </si>
  <si>
    <t>56482A</t>
  </si>
  <si>
    <t>56483</t>
  </si>
  <si>
    <t>56483A</t>
  </si>
  <si>
    <t>56483B</t>
  </si>
  <si>
    <t>56484</t>
  </si>
  <si>
    <t>56485</t>
  </si>
  <si>
    <t>56486</t>
  </si>
  <si>
    <t>56487</t>
  </si>
  <si>
    <t>56488</t>
  </si>
  <si>
    <t>56489</t>
  </si>
  <si>
    <t>56490</t>
  </si>
  <si>
    <t>56491</t>
  </si>
  <si>
    <t>56491A</t>
  </si>
  <si>
    <t>56492</t>
  </si>
  <si>
    <t>56493</t>
  </si>
  <si>
    <t>56494</t>
  </si>
  <si>
    <t>56495</t>
  </si>
  <si>
    <t>56496</t>
  </si>
  <si>
    <t>56498</t>
  </si>
  <si>
    <t>56499</t>
  </si>
  <si>
    <t>56501</t>
  </si>
  <si>
    <t>56501/A</t>
  </si>
  <si>
    <t>56503</t>
  </si>
  <si>
    <t>56504</t>
  </si>
  <si>
    <t>56505</t>
  </si>
  <si>
    <t>56507</t>
  </si>
  <si>
    <t>56509</t>
  </si>
  <si>
    <t>56509/CO</t>
  </si>
  <si>
    <t>56510</t>
  </si>
  <si>
    <t>56511</t>
  </si>
  <si>
    <t>56512</t>
  </si>
  <si>
    <t>56513</t>
  </si>
  <si>
    <t>56514</t>
  </si>
  <si>
    <t>56515</t>
  </si>
  <si>
    <t>56516</t>
  </si>
  <si>
    <t>56517</t>
  </si>
  <si>
    <t>56518</t>
  </si>
  <si>
    <t>56519</t>
  </si>
  <si>
    <t>56520</t>
  </si>
  <si>
    <t>56521</t>
  </si>
  <si>
    <t>56522</t>
  </si>
  <si>
    <t>56523</t>
  </si>
  <si>
    <t>56524</t>
  </si>
  <si>
    <t>56525</t>
  </si>
  <si>
    <t>56526</t>
  </si>
  <si>
    <t>56527</t>
  </si>
  <si>
    <t>56528</t>
  </si>
  <si>
    <t>56529</t>
  </si>
  <si>
    <t>56530</t>
  </si>
  <si>
    <t>56531</t>
  </si>
  <si>
    <t>56532</t>
  </si>
  <si>
    <t>56533</t>
  </si>
  <si>
    <t>56534</t>
  </si>
  <si>
    <t>56535</t>
  </si>
  <si>
    <t>56536</t>
  </si>
  <si>
    <t>56537</t>
  </si>
  <si>
    <t>56538</t>
  </si>
  <si>
    <t>56539</t>
  </si>
  <si>
    <t>56540</t>
  </si>
  <si>
    <t>56541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</si>
  <si>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</si>
  <si>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</si>
  <si>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</si>
  <si>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</si>
  <si>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</si>
  <si>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</si>
  <si>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</si>
  <si>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</si>
  <si>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</si>
  <si>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</si>
  <si>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</si>
  <si>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56553</t>
  </si>
  <si>
    <t>56554</t>
  </si>
  <si>
    <t>56554A</t>
  </si>
  <si>
    <t>56555</t>
  </si>
  <si>
    <t>56556</t>
  </si>
  <si>
    <t>56557</t>
  </si>
  <si>
    <t>56558</t>
  </si>
  <si>
    <t>56559</t>
  </si>
  <si>
    <t>56560</t>
  </si>
  <si>
    <t>56561</t>
  </si>
  <si>
    <t>56562</t>
  </si>
  <si>
    <t>56563</t>
  </si>
  <si>
    <t>56564</t>
  </si>
  <si>
    <t>56565</t>
  </si>
  <si>
    <t>56566</t>
  </si>
  <si>
    <t>56567</t>
  </si>
  <si>
    <t>56568</t>
  </si>
  <si>
    <t>56569</t>
  </si>
  <si>
    <t>56570</t>
  </si>
  <si>
    <t>56571</t>
  </si>
  <si>
    <t>56572</t>
  </si>
  <si>
    <t>56573</t>
  </si>
  <si>
    <t>56574</t>
  </si>
  <si>
    <t>56575</t>
  </si>
  <si>
    <t>56576</t>
  </si>
  <si>
    <t>56577</t>
  </si>
  <si>
    <t>56578</t>
  </si>
  <si>
    <t>56579</t>
  </si>
  <si>
    <t>56580</t>
  </si>
  <si>
    <t>56581</t>
  </si>
  <si>
    <t>56582</t>
  </si>
  <si>
    <t>56583</t>
  </si>
  <si>
    <t>56584</t>
  </si>
  <si>
    <t>56585</t>
  </si>
  <si>
    <t>56586</t>
  </si>
  <si>
    <t>56587</t>
  </si>
  <si>
    <t>56589</t>
  </si>
  <si>
    <t>56590</t>
  </si>
  <si>
    <t>56591</t>
  </si>
  <si>
    <t>56592</t>
  </si>
  <si>
    <t>56593</t>
  </si>
  <si>
    <t>56594</t>
  </si>
  <si>
    <t>56594A</t>
  </si>
  <si>
    <t>56594B</t>
  </si>
  <si>
    <t>56594C</t>
  </si>
  <si>
    <t>56594D</t>
  </si>
  <si>
    <t>56594E</t>
  </si>
  <si>
    <t>56594F</t>
  </si>
  <si>
    <t>56595</t>
  </si>
  <si>
    <t>56596</t>
  </si>
  <si>
    <t>56597</t>
  </si>
  <si>
    <t>56598</t>
  </si>
  <si>
    <t>56599</t>
  </si>
  <si>
    <t>56600</t>
  </si>
  <si>
    <t>56601</t>
  </si>
  <si>
    <t>56602</t>
  </si>
  <si>
    <t>56603</t>
  </si>
  <si>
    <t>56604</t>
  </si>
  <si>
    <t>56605</t>
  </si>
  <si>
    <t>56606</t>
  </si>
  <si>
    <t>56607</t>
  </si>
  <si>
    <t>56608</t>
  </si>
  <si>
    <t>56609</t>
  </si>
  <si>
    <t>56610</t>
  </si>
  <si>
    <t>56611</t>
  </si>
  <si>
    <t>56612</t>
  </si>
  <si>
    <t>56613</t>
  </si>
  <si>
    <t>56614</t>
  </si>
  <si>
    <t>56615</t>
  </si>
  <si>
    <t>56615/A</t>
  </si>
  <si>
    <t>56616</t>
  </si>
  <si>
    <t>56617</t>
  </si>
  <si>
    <t>56619</t>
  </si>
  <si>
    <t>56620</t>
  </si>
  <si>
    <t>56621</t>
  </si>
  <si>
    <t>56622</t>
  </si>
  <si>
    <t>56624</t>
  </si>
  <si>
    <t>56625</t>
  </si>
  <si>
    <t>56627</t>
  </si>
  <si>
    <t>56627A</t>
  </si>
  <si>
    <t>56627B</t>
  </si>
  <si>
    <t>56627C</t>
  </si>
  <si>
    <t>56628</t>
  </si>
  <si>
    <t>56628A</t>
  </si>
  <si>
    <t>56628B</t>
  </si>
  <si>
    <t>56628C</t>
  </si>
  <si>
    <t>56628D</t>
  </si>
  <si>
    <t>56628E</t>
  </si>
  <si>
    <t>56629</t>
  </si>
  <si>
    <t>56629A</t>
  </si>
  <si>
    <t>56629B</t>
  </si>
  <si>
    <t>56629C</t>
  </si>
  <si>
    <t>56629D</t>
  </si>
  <si>
    <t>56629E</t>
  </si>
  <si>
    <t>56630</t>
  </si>
  <si>
    <t>56631</t>
  </si>
  <si>
    <t>56632</t>
  </si>
  <si>
    <t>56633</t>
  </si>
  <si>
    <t>56634</t>
  </si>
  <si>
    <t>56635</t>
  </si>
  <si>
    <t>56635A</t>
  </si>
  <si>
    <t>56635B</t>
  </si>
  <si>
    <t>56636</t>
  </si>
  <si>
    <t>56637</t>
  </si>
  <si>
    <t>56638</t>
  </si>
  <si>
    <t>56639</t>
  </si>
  <si>
    <t>56640</t>
  </si>
  <si>
    <t>56641</t>
  </si>
  <si>
    <t>56642</t>
  </si>
  <si>
    <t>56644</t>
  </si>
  <si>
    <t>56645</t>
  </si>
  <si>
    <t>56646</t>
  </si>
  <si>
    <t>56647</t>
  </si>
  <si>
    <t>56648</t>
  </si>
  <si>
    <t>56649</t>
  </si>
  <si>
    <t>56650</t>
  </si>
  <si>
    <t>56651</t>
  </si>
  <si>
    <t>56652</t>
  </si>
  <si>
    <t>56652A</t>
  </si>
  <si>
    <t>56653</t>
  </si>
  <si>
    <t>56654</t>
  </si>
  <si>
    <t>56655</t>
  </si>
  <si>
    <t>56656</t>
  </si>
  <si>
    <t>56657</t>
  </si>
  <si>
    <t>56659</t>
  </si>
  <si>
    <t>56659/CO</t>
  </si>
  <si>
    <t>56661</t>
  </si>
  <si>
    <t>56662</t>
  </si>
  <si>
    <t>56663</t>
  </si>
  <si>
    <t>56664</t>
  </si>
  <si>
    <t>56664/A</t>
  </si>
  <si>
    <t>56666</t>
  </si>
  <si>
    <t>56667</t>
  </si>
  <si>
    <t>56668</t>
  </si>
  <si>
    <t>56669</t>
  </si>
  <si>
    <t>56670</t>
  </si>
  <si>
    <t>56672</t>
  </si>
  <si>
    <t>56673</t>
  </si>
  <si>
    <t>56674</t>
  </si>
  <si>
    <t>56675</t>
  </si>
  <si>
    <t>56676</t>
  </si>
  <si>
    <t>56677</t>
  </si>
  <si>
    <t>56679</t>
  </si>
  <si>
    <t>56680</t>
  </si>
  <si>
    <t>56681</t>
  </si>
  <si>
    <t>56682</t>
  </si>
  <si>
    <t>56682A</t>
  </si>
  <si>
    <t>56682B</t>
  </si>
  <si>
    <t>56683</t>
  </si>
  <si>
    <t>56684</t>
  </si>
  <si>
    <t>56687</t>
  </si>
  <si>
    <t>56689</t>
  </si>
  <si>
    <t>56689A</t>
  </si>
  <si>
    <t>56689B</t>
  </si>
  <si>
    <t>56689C</t>
  </si>
  <si>
    <t>56690</t>
  </si>
  <si>
    <t>56692</t>
  </si>
  <si>
    <t>56692A</t>
  </si>
  <si>
    <t>56692B</t>
  </si>
  <si>
    <t>56693</t>
  </si>
  <si>
    <t>56694</t>
  </si>
  <si>
    <t>56695</t>
  </si>
  <si>
    <t>56698</t>
  </si>
  <si>
    <t>56699</t>
  </si>
  <si>
    <t>56700</t>
  </si>
  <si>
    <t>56701</t>
  </si>
  <si>
    <t>56701A</t>
  </si>
  <si>
    <t>56702</t>
  </si>
  <si>
    <t>56702A</t>
  </si>
  <si>
    <t>56703</t>
  </si>
  <si>
    <t>56704</t>
  </si>
  <si>
    <t>56705</t>
  </si>
  <si>
    <t>56706</t>
  </si>
  <si>
    <t>56707</t>
  </si>
  <si>
    <t>56708</t>
  </si>
  <si>
    <t>56709</t>
  </si>
  <si>
    <t>56710</t>
  </si>
  <si>
    <t>56711</t>
  </si>
  <si>
    <t>56712</t>
  </si>
  <si>
    <t>56713</t>
  </si>
  <si>
    <t>56714</t>
  </si>
  <si>
    <t>56715</t>
  </si>
  <si>
    <t>56716</t>
  </si>
  <si>
    <t>56717</t>
  </si>
  <si>
    <t>56718</t>
  </si>
  <si>
    <t>56719</t>
  </si>
  <si>
    <t>56720</t>
  </si>
  <si>
    <t>56721</t>
  </si>
  <si>
    <t>56722</t>
  </si>
  <si>
    <t>56723</t>
  </si>
  <si>
    <t>56723A</t>
  </si>
  <si>
    <t>56724</t>
  </si>
  <si>
    <t>56724A</t>
  </si>
  <si>
    <t>56724B</t>
  </si>
  <si>
    <t>56724C</t>
  </si>
  <si>
    <t>56724D</t>
  </si>
  <si>
    <t>56724E</t>
  </si>
  <si>
    <t>56725</t>
  </si>
  <si>
    <t>56726</t>
  </si>
  <si>
    <t>56727</t>
  </si>
  <si>
    <t>56728</t>
  </si>
  <si>
    <t>56729</t>
  </si>
  <si>
    <t>56730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</si>
  <si>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</si>
  <si>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</si>
  <si>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</si>
  <si>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</si>
  <si>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</si>
  <si>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</si>
  <si>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</si>
  <si>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</si>
  <si>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</si>
  <si>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</si>
  <si>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</si>
  <si>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</si>
  <si>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</si>
  <si>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</si>
  <si>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</si>
  <si>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</si>
  <si>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>56747</t>
  </si>
  <si>
    <t>56748</t>
  </si>
  <si>
    <t>56749</t>
  </si>
  <si>
    <t>56750</t>
  </si>
  <si>
    <t>56751</t>
  </si>
  <si>
    <t>56752</t>
  </si>
  <si>
    <t>56753</t>
  </si>
  <si>
    <t>56754</t>
  </si>
  <si>
    <t>56755</t>
  </si>
  <si>
    <t>56756</t>
  </si>
  <si>
    <t>56757</t>
  </si>
  <si>
    <t>56758</t>
  </si>
  <si>
    <t>56759</t>
  </si>
  <si>
    <t>56760</t>
  </si>
  <si>
    <t>56761</t>
  </si>
  <si>
    <t>56762</t>
  </si>
  <si>
    <t>56763</t>
  </si>
  <si>
    <t>56764</t>
  </si>
  <si>
    <t>56765</t>
  </si>
  <si>
    <t>56766</t>
  </si>
  <si>
    <t>56767</t>
  </si>
  <si>
    <t>56768</t>
  </si>
  <si>
    <t>56769</t>
  </si>
  <si>
    <t>56770</t>
  </si>
  <si>
    <t>56774</t>
  </si>
  <si>
    <t>56780</t>
  </si>
  <si>
    <t>56781</t>
  </si>
  <si>
    <t>56782</t>
  </si>
  <si>
    <t>56783</t>
  </si>
  <si>
    <t>56784</t>
  </si>
  <si>
    <t>56785</t>
  </si>
  <si>
    <t>56786</t>
  </si>
  <si>
    <t>56787</t>
  </si>
  <si>
    <t>56788</t>
  </si>
  <si>
    <t>56789</t>
  </si>
  <si>
    <t>56790</t>
  </si>
  <si>
    <t>56791</t>
  </si>
  <si>
    <t>56792</t>
  </si>
  <si>
    <t>56793</t>
  </si>
  <si>
    <t>56794</t>
  </si>
  <si>
    <t>56795</t>
  </si>
  <si>
    <t>56797</t>
  </si>
  <si>
    <t>56798</t>
  </si>
  <si>
    <t>56800</t>
  </si>
  <si>
    <t>56801</t>
  </si>
  <si>
    <t>56802</t>
  </si>
  <si>
    <t>56803</t>
  </si>
  <si>
    <t>56804</t>
  </si>
  <si>
    <t>56805</t>
  </si>
  <si>
    <t>56806</t>
  </si>
  <si>
    <t>56807</t>
  </si>
  <si>
    <t>56808</t>
  </si>
  <si>
    <t>56809</t>
  </si>
  <si>
    <t>56810</t>
  </si>
  <si>
    <t>56811</t>
  </si>
  <si>
    <t>56811/CO</t>
  </si>
  <si>
    <t>56813</t>
  </si>
  <si>
    <t>56814</t>
  </si>
  <si>
    <t>56815</t>
  </si>
  <si>
    <t>56815A</t>
  </si>
  <si>
    <t>56815B</t>
  </si>
  <si>
    <t>56815C</t>
  </si>
  <si>
    <t>56815D</t>
  </si>
  <si>
    <t>56816</t>
  </si>
  <si>
    <t>56817</t>
  </si>
  <si>
    <t>56819</t>
  </si>
  <si>
    <t>56820</t>
  </si>
  <si>
    <t>56821</t>
  </si>
  <si>
    <t>56823</t>
  </si>
  <si>
    <t>56823A</t>
  </si>
  <si>
    <t>56824</t>
  </si>
  <si>
    <t>56824A</t>
  </si>
  <si>
    <t>56825</t>
  </si>
  <si>
    <t>56826</t>
  </si>
  <si>
    <t>56829</t>
  </si>
  <si>
    <t>56831</t>
  </si>
  <si>
    <t>56832</t>
  </si>
  <si>
    <t>56833</t>
  </si>
  <si>
    <t>56834</t>
  </si>
  <si>
    <t>56835</t>
  </si>
  <si>
    <t>56836</t>
  </si>
  <si>
    <t>56837</t>
  </si>
  <si>
    <t>56838</t>
  </si>
  <si>
    <t>56839</t>
  </si>
  <si>
    <t>56840</t>
  </si>
  <si>
    <t>56841</t>
  </si>
  <si>
    <t>56841A</t>
  </si>
  <si>
    <t>56842</t>
  </si>
  <si>
    <t>56843</t>
  </si>
  <si>
    <t>56844</t>
  </si>
  <si>
    <t>56845</t>
  </si>
  <si>
    <t>56846</t>
  </si>
  <si>
    <t>56847</t>
  </si>
  <si>
    <t>56848</t>
  </si>
  <si>
    <t>56849</t>
  </si>
  <si>
    <t>56850</t>
  </si>
  <si>
    <t>56851</t>
  </si>
  <si>
    <t>56852</t>
  </si>
  <si>
    <t>56853</t>
  </si>
  <si>
    <t>56854</t>
  </si>
  <si>
    <t>56856</t>
  </si>
  <si>
    <t>56857</t>
  </si>
  <si>
    <t>56858</t>
  </si>
  <si>
    <t>56859</t>
  </si>
  <si>
    <t>56860</t>
  </si>
  <si>
    <t>56861</t>
  </si>
  <si>
    <t>56861A</t>
  </si>
  <si>
    <t>56862</t>
  </si>
  <si>
    <t>56863</t>
  </si>
  <si>
    <t>56864</t>
  </si>
  <si>
    <t>56865</t>
  </si>
  <si>
    <t>56866</t>
  </si>
  <si>
    <t>56867</t>
  </si>
  <si>
    <t>56868</t>
  </si>
  <si>
    <t>56869</t>
  </si>
  <si>
    <t>56870</t>
  </si>
  <si>
    <t>56871</t>
  </si>
  <si>
    <t>56872</t>
  </si>
  <si>
    <t>56873</t>
  </si>
  <si>
    <t>56874</t>
  </si>
  <si>
    <t>56875</t>
  </si>
  <si>
    <t>56877</t>
  </si>
  <si>
    <t>56878</t>
  </si>
  <si>
    <t>56878A</t>
  </si>
  <si>
    <t>56878B</t>
  </si>
  <si>
    <t>56879</t>
  </si>
  <si>
    <t>56880</t>
  </si>
  <si>
    <t>56881</t>
  </si>
  <si>
    <t>56882</t>
  </si>
  <si>
    <t>56883</t>
  </si>
  <si>
    <t>56884</t>
  </si>
  <si>
    <t>56885</t>
  </si>
  <si>
    <t>56886</t>
  </si>
  <si>
    <t>56887</t>
  </si>
  <si>
    <t>56888</t>
  </si>
  <si>
    <t>56889</t>
  </si>
  <si>
    <t>56890</t>
  </si>
  <si>
    <t>56891</t>
  </si>
  <si>
    <t>56892</t>
  </si>
  <si>
    <t>56893</t>
  </si>
  <si>
    <t>56894</t>
  </si>
  <si>
    <t>56895</t>
  </si>
  <si>
    <t>56896</t>
  </si>
  <si>
    <t>56897</t>
  </si>
  <si>
    <t>56899</t>
  </si>
  <si>
    <t>56900</t>
  </si>
  <si>
    <t>56901</t>
  </si>
  <si>
    <t>56902</t>
  </si>
  <si>
    <t>56903</t>
  </si>
  <si>
    <t>56904</t>
  </si>
  <si>
    <t>56905</t>
  </si>
  <si>
    <t>56906</t>
  </si>
  <si>
    <t>56907</t>
  </si>
  <si>
    <t>56908</t>
  </si>
  <si>
    <t>56909</t>
  </si>
  <si>
    <t>56910</t>
  </si>
  <si>
    <t>56911</t>
  </si>
  <si>
    <t>56912</t>
  </si>
  <si>
    <t>56913</t>
  </si>
  <si>
    <t>56914</t>
  </si>
  <si>
    <t>56917</t>
  </si>
  <si>
    <t>56918</t>
  </si>
  <si>
    <t>56919</t>
  </si>
  <si>
    <t>56920</t>
  </si>
  <si>
    <t>56921</t>
  </si>
  <si>
    <t>56922</t>
  </si>
  <si>
    <t>56923</t>
  </si>
  <si>
    <t>56924</t>
  </si>
  <si>
    <t>56925</t>
  </si>
  <si>
    <t>56926</t>
  </si>
  <si>
    <t>56927</t>
  </si>
  <si>
    <t>56929</t>
  </si>
  <si>
    <t>56930</t>
  </si>
  <si>
    <t>56931</t>
  </si>
  <si>
    <t>56932</t>
  </si>
  <si>
    <t>56933</t>
  </si>
  <si>
    <t>56934</t>
  </si>
  <si>
    <t>56935</t>
  </si>
  <si>
    <t>56936</t>
  </si>
  <si>
    <t>56937</t>
  </si>
  <si>
    <t>56938</t>
  </si>
  <si>
    <t>56939</t>
  </si>
  <si>
    <t>56940</t>
  </si>
  <si>
    <t>56941</t>
  </si>
  <si>
    <t>56942</t>
  </si>
  <si>
    <t>56943</t>
  </si>
  <si>
    <t>56944</t>
  </si>
  <si>
    <t>56945</t>
  </si>
  <si>
    <t>56945/CO</t>
  </si>
  <si>
    <t>56946</t>
  </si>
  <si>
    <t>56947</t>
  </si>
  <si>
    <t>56948</t>
  </si>
  <si>
    <t>56949</t>
  </si>
  <si>
    <t>56950</t>
  </si>
  <si>
    <t>56951</t>
  </si>
  <si>
    <t>56952</t>
  </si>
  <si>
    <t>56953</t>
  </si>
  <si>
    <t>56954</t>
  </si>
  <si>
    <t>56955</t>
  </si>
  <si>
    <t>56956</t>
  </si>
  <si>
    <t>56957</t>
  </si>
  <si>
    <t>56958</t>
  </si>
  <si>
    <t>56959</t>
  </si>
  <si>
    <t>56960</t>
  </si>
  <si>
    <t>56961</t>
  </si>
  <si>
    <t>56962</t>
  </si>
  <si>
    <t>56963</t>
  </si>
  <si>
    <t>56964</t>
  </si>
  <si>
    <t>56965</t>
  </si>
  <si>
    <t>56966</t>
  </si>
  <si>
    <t>56967</t>
  </si>
  <si>
    <t>56968</t>
  </si>
  <si>
    <t>56969</t>
  </si>
  <si>
    <t>56970</t>
  </si>
  <si>
    <t>56971</t>
  </si>
  <si>
    <t>56973</t>
  </si>
  <si>
    <t>56975</t>
  </si>
  <si>
    <t>56977</t>
  </si>
  <si>
    <t>56978</t>
  </si>
  <si>
    <t>56979</t>
  </si>
  <si>
    <t>56980</t>
  </si>
  <si>
    <t>56981</t>
  </si>
  <si>
    <t>56982</t>
  </si>
  <si>
    <t>56983</t>
  </si>
  <si>
    <t>56984</t>
  </si>
  <si>
    <t>56985</t>
  </si>
  <si>
    <t>56986</t>
  </si>
  <si>
    <t>56987</t>
  </si>
  <si>
    <t>56988</t>
  </si>
  <si>
    <t>56989</t>
  </si>
  <si>
    <t>56990</t>
  </si>
  <si>
    <t>56991</t>
  </si>
  <si>
    <t>56992</t>
  </si>
  <si>
    <t>56993</t>
  </si>
  <si>
    <t>56994</t>
  </si>
  <si>
    <t>56995</t>
  </si>
  <si>
    <t>56996</t>
  </si>
  <si>
    <t>56997</t>
  </si>
  <si>
    <t>56998</t>
  </si>
  <si>
    <t>56999</t>
  </si>
  <si>
    <t>57000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</si>
  <si>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</si>
  <si>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</si>
  <si>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</si>
  <si>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</si>
  <si>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</si>
  <si>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</si>
  <si>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</si>
  <si>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</si>
  <si>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</si>
  <si>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</si>
  <si>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</si>
  <si>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</si>
  <si>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</si>
  <si>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57013A</t>
  </si>
  <si>
    <t>57014</t>
  </si>
  <si>
    <t>57015</t>
  </si>
  <si>
    <t>57016</t>
  </si>
  <si>
    <t>57017</t>
  </si>
  <si>
    <t>57018</t>
  </si>
  <si>
    <t>57020</t>
  </si>
  <si>
    <t>57021</t>
  </si>
  <si>
    <t>57022</t>
  </si>
  <si>
    <t>57023</t>
  </si>
  <si>
    <t>57024</t>
  </si>
  <si>
    <t>57025</t>
  </si>
  <si>
    <t>57026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</si>
  <si>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</si>
  <si>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</si>
  <si>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</si>
  <si>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</si>
  <si>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</si>
  <si>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</si>
  <si>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</si>
  <si>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</si>
  <si>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</si>
  <si>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</si>
  <si>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</si>
  <si>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</si>
  <si>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</si>
  <si>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</si>
  <si>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</si>
  <si>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</si>
  <si>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</si>
  <si>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</si>
  <si>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</si>
  <si>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</si>
  <si>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</si>
  <si>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</si>
  <si>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</si>
  <si>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</si>
  <si>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</si>
  <si>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</si>
  <si>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</si>
  <si>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</si>
  <si>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</si>
  <si>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</si>
  <si>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</si>
  <si>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</si>
  <si>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</si>
  <si>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</si>
  <si>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</si>
  <si>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</si>
  <si>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</si>
  <si>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</si>
  <si>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</si>
  <si>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</si>
  <si>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</si>
  <si>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</si>
  <si>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</si>
  <si>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</si>
  <si>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</si>
  <si>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</si>
  <si>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</si>
  <si>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</si>
  <si>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</si>
  <si>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</si>
  <si>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</si>
  <si>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</si>
  <si>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</si>
  <si>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</si>
  <si>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</si>
  <si>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</si>
  <si>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</si>
  <si>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</si>
  <si>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</si>
  <si>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</si>
  <si>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</si>
  <si>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</si>
  <si>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</si>
  <si>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</si>
  <si>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</si>
  <si>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</si>
  <si>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</si>
  <si>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</si>
  <si>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</si>
  <si>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</si>
  <si>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</si>
  <si>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</si>
  <si>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</si>
  <si>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</si>
  <si>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</si>
  <si>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</si>
  <si>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</si>
  <si>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57108A</t>
  </si>
  <si>
    <t>57108A/CO</t>
  </si>
  <si>
    <t>57109</t>
  </si>
  <si>
    <t>57109A</t>
  </si>
  <si>
    <t>57109A/CO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</si>
  <si>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</si>
  <si>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</si>
  <si>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</si>
  <si>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</si>
  <si>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</si>
  <si>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</si>
  <si>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</si>
  <si>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</si>
  <si>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</si>
  <si>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</si>
  <si>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</si>
  <si>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</si>
  <si>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</si>
  <si>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</si>
  <si>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</si>
  <si>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</si>
  <si>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</si>
  <si>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</si>
  <si>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</si>
  <si>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</si>
  <si>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</si>
  <si>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</si>
  <si>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</si>
  <si>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</si>
  <si>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57133A</t>
  </si>
  <si>
    <t>57133B</t>
  </si>
  <si>
    <t>57134</t>
  </si>
  <si>
    <t>57134A</t>
  </si>
  <si>
    <t>57135</t>
  </si>
  <si>
    <t>57136</t>
  </si>
  <si>
    <t>57137</t>
  </si>
  <si>
    <t>57138</t>
  </si>
  <si>
    <t>57139</t>
  </si>
  <si>
    <t>57140</t>
  </si>
  <si>
    <t>57141</t>
  </si>
  <si>
    <t>57141A</t>
  </si>
  <si>
    <t>57142</t>
  </si>
  <si>
    <t>57142A</t>
  </si>
  <si>
    <t>57143</t>
  </si>
  <si>
    <t>57143A</t>
  </si>
  <si>
    <t>57144</t>
  </si>
  <si>
    <t>57144A</t>
  </si>
  <si>
    <t>57145</t>
  </si>
  <si>
    <t>57145A</t>
  </si>
  <si>
    <t>57146</t>
  </si>
  <si>
    <t>57147</t>
  </si>
  <si>
    <t>57148</t>
  </si>
  <si>
    <t>57149</t>
  </si>
  <si>
    <t>57150</t>
  </si>
  <si>
    <t>57151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</si>
  <si>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</si>
  <si>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</si>
  <si>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</si>
  <si>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</si>
  <si>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</si>
  <si>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</si>
  <si>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</si>
  <si>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</si>
  <si>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</si>
  <si>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</si>
  <si>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</si>
  <si>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</si>
  <si>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</si>
  <si>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</si>
  <si>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</si>
  <si>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57169</t>
  </si>
  <si>
    <t>57170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</si>
  <si>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</si>
  <si>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</si>
  <si>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</si>
  <si>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</si>
  <si>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</si>
  <si>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</si>
  <si>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</si>
  <si>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</si>
  <si>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</si>
  <si>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</si>
  <si>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</si>
  <si>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</si>
  <si>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</si>
  <si>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</si>
  <si>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</si>
  <si>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</si>
  <si>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</si>
  <si>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</si>
  <si>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</si>
  <si>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</si>
  <si>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</si>
  <si>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</si>
  <si>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</si>
  <si>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</si>
  <si>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</si>
  <si>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</si>
  <si>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</si>
  <si>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</si>
  <si>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</si>
  <si>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</si>
  <si>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</si>
  <si>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</si>
  <si>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</si>
  <si>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</si>
  <si>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</si>
  <si>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</si>
  <si>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</si>
  <si>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</si>
  <si>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</si>
  <si>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</si>
  <si>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57211A</t>
  </si>
  <si>
    <t>57212</t>
  </si>
  <si>
    <t>57213</t>
  </si>
  <si>
    <t>57214</t>
  </si>
  <si>
    <t>57215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</si>
  <si>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</si>
  <si>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</si>
  <si>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</si>
  <si>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</si>
  <si>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</si>
  <si>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</si>
  <si>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</si>
  <si>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</si>
  <si>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</si>
  <si>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</si>
  <si>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</si>
  <si>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</si>
  <si>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</si>
  <si>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</si>
  <si>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</si>
  <si>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57231/A</t>
  </si>
  <si>
    <t>57231/B</t>
  </si>
  <si>
    <t>57232</t>
  </si>
  <si>
    <t>57234</t>
  </si>
  <si>
    <t>57235</t>
  </si>
  <si>
    <t>57236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</si>
  <si>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</si>
  <si>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</si>
  <si>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</si>
  <si>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</si>
  <si>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</si>
  <si>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</si>
  <si>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</si>
  <si>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</si>
  <si>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</si>
  <si>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</si>
  <si>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</si>
  <si>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</si>
  <si>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57251</t>
  </si>
  <si>
    <t>57252</t>
  </si>
  <si>
    <t>57254</t>
  </si>
  <si>
    <t>57255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</si>
  <si>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</si>
  <si>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</si>
  <si>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</si>
  <si>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</si>
  <si>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</si>
  <si>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</si>
  <si>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</si>
  <si>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</si>
  <si>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</si>
  <si>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</si>
  <si>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</si>
  <si>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</si>
  <si>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</si>
  <si>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</si>
  <si>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</si>
  <si>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</si>
  <si>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</si>
  <si>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57273A</t>
  </si>
  <si>
    <t>57273C</t>
  </si>
  <si>
    <t>57274</t>
  </si>
  <si>
    <t>57275</t>
  </si>
  <si>
    <t>57276</t>
  </si>
  <si>
    <t>57277</t>
  </si>
  <si>
    <t>57278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</si>
  <si>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</si>
  <si>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</si>
  <si>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</si>
  <si>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</si>
  <si>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</si>
  <si>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</si>
  <si>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</si>
  <si>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</si>
  <si>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57287A</t>
  </si>
  <si>
    <t>57288</t>
  </si>
  <si>
    <t>57289</t>
  </si>
  <si>
    <t>57290</t>
  </si>
  <si>
    <t>57291</t>
  </si>
  <si>
    <t>57292</t>
  </si>
  <si>
    <t>57293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</si>
  <si>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</si>
  <si>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</si>
  <si>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</si>
  <si>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</si>
  <si>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</si>
  <si>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</si>
  <si>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</si>
  <si>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</si>
  <si>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</si>
  <si>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</si>
  <si>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</si>
  <si>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</si>
  <si>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</si>
  <si>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</si>
  <si>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</si>
  <si>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</si>
  <si>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57310A</t>
  </si>
  <si>
    <t>57311</t>
  </si>
  <si>
    <t>57312</t>
  </si>
  <si>
    <t>57313</t>
  </si>
  <si>
    <t>57314</t>
  </si>
  <si>
    <t>57315</t>
  </si>
  <si>
    <t>57316</t>
  </si>
  <si>
    <t>57316A</t>
  </si>
  <si>
    <t>57316B</t>
  </si>
  <si>
    <t>57316C</t>
  </si>
  <si>
    <t>57317</t>
  </si>
  <si>
    <t>57318</t>
  </si>
  <si>
    <t>57320</t>
  </si>
  <si>
    <t>57321</t>
  </si>
  <si>
    <t>57322</t>
  </si>
  <si>
    <t>57323</t>
  </si>
  <si>
    <t>57324</t>
  </si>
  <si>
    <t>57326</t>
  </si>
  <si>
    <t>57326A</t>
  </si>
  <si>
    <t>57329</t>
  </si>
  <si>
    <t>57330</t>
  </si>
  <si>
    <t>57331</t>
  </si>
  <si>
    <t>57332</t>
  </si>
  <si>
    <t>57333</t>
  </si>
  <si>
    <t>57334</t>
  </si>
  <si>
    <t>57335</t>
  </si>
  <si>
    <t>57335A</t>
  </si>
  <si>
    <t>57335B</t>
  </si>
  <si>
    <t>57336</t>
  </si>
  <si>
    <t>57337</t>
  </si>
  <si>
    <t>57338</t>
  </si>
  <si>
    <t>57338/CO</t>
  </si>
  <si>
    <t>57339</t>
  </si>
  <si>
    <t>57340</t>
  </si>
  <si>
    <t>57341</t>
  </si>
  <si>
    <t>57344</t>
  </si>
  <si>
    <t>57344A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</si>
  <si>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</si>
  <si>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</si>
  <si>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</si>
  <si>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</si>
  <si>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</si>
  <si>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</si>
  <si>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</si>
  <si>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</si>
  <si>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</si>
  <si>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</si>
  <si>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</si>
  <si>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</si>
  <si>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</si>
  <si>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</si>
  <si>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</si>
  <si>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</si>
  <si>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</si>
  <si>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</si>
  <si>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</si>
  <si>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</si>
  <si>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</si>
  <si>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</si>
  <si>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</si>
  <si>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57370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</si>
  <si>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</si>
  <si>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</si>
  <si>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</si>
  <si>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</si>
  <si>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</si>
  <si>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</si>
  <si>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</si>
  <si>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</si>
  <si>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</si>
  <si>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</si>
  <si>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</si>
  <si>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</si>
  <si>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</si>
  <si>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</si>
  <si>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57387</t>
  </si>
  <si>
    <t>57388</t>
  </si>
  <si>
    <t>57389</t>
  </si>
  <si>
    <t>57392</t>
  </si>
  <si>
    <t>57393</t>
  </si>
  <si>
    <t>57394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</si>
  <si>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</si>
  <si>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</si>
  <si>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</si>
  <si>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</si>
  <si>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</si>
  <si>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</si>
  <si>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</si>
  <si>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</si>
  <si>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</si>
  <si>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</si>
  <si>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</si>
  <si>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57406/CO</t>
  </si>
  <si>
    <t>57406A</t>
  </si>
  <si>
    <t>57407</t>
  </si>
  <si>
    <t>57408</t>
  </si>
  <si>
    <t>57409</t>
  </si>
  <si>
    <t>57410</t>
  </si>
  <si>
    <t>57412</t>
  </si>
  <si>
    <t>57413</t>
  </si>
  <si>
    <t>57414</t>
  </si>
  <si>
    <t>57416</t>
  </si>
  <si>
    <t>57417</t>
  </si>
  <si>
    <t>57418</t>
  </si>
  <si>
    <t>57419</t>
  </si>
  <si>
    <t>57420</t>
  </si>
  <si>
    <t>57421</t>
  </si>
  <si>
    <t>57421A</t>
  </si>
  <si>
    <t>57421B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</si>
  <si>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</si>
  <si>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</si>
  <si>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</si>
  <si>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</si>
  <si>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</si>
  <si>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</si>
  <si>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</si>
  <si>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</si>
  <si>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</si>
  <si>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</si>
  <si>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</si>
  <si>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</si>
  <si>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</si>
  <si>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</si>
  <si>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</si>
  <si>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</si>
  <si>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</si>
  <si>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</si>
  <si>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</si>
  <si>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</si>
  <si>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</si>
  <si>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</si>
  <si>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</si>
  <si>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</si>
  <si>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</si>
  <si>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</si>
  <si>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</si>
  <si>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</si>
  <si>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</si>
  <si>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</si>
  <si>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</si>
  <si>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</si>
  <si>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</si>
  <si>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</si>
  <si>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</si>
  <si>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</si>
  <si>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</si>
  <si>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</si>
  <si>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</si>
  <si>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</si>
  <si>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</si>
  <si>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</si>
  <si>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</si>
  <si>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</si>
  <si>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</si>
  <si>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</si>
  <si>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</si>
  <si>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</si>
  <si>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</si>
  <si>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</si>
  <si>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</si>
  <si>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</si>
  <si>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</si>
  <si>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</si>
  <si>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</si>
  <si>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</si>
  <si>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</si>
  <si>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</si>
  <si>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</si>
  <si>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</si>
  <si>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</si>
  <si>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</si>
  <si>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</si>
  <si>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</si>
  <si>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</si>
  <si>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</si>
  <si>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</si>
  <si>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</si>
  <si>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</si>
  <si>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</si>
  <si>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</si>
  <si>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</si>
  <si>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</si>
  <si>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</si>
  <si>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</si>
  <si>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</si>
  <si>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</si>
  <si>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</si>
  <si>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</si>
  <si>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</si>
  <si>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</si>
  <si>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</si>
  <si>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</si>
  <si>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</si>
  <si>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</si>
  <si>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</si>
  <si>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</si>
  <si>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</si>
  <si>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</si>
  <si>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</si>
  <si>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</si>
  <si>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</si>
  <si>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</si>
  <si>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</si>
  <si>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</si>
  <si>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</si>
  <si>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</si>
  <si>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</si>
  <si>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</si>
  <si>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</si>
  <si>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</si>
  <si>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</si>
  <si>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</si>
  <si>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</si>
  <si>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</si>
  <si>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</si>
  <si>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</si>
  <si>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</si>
  <si>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</si>
  <si>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</si>
  <si>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</si>
  <si>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</si>
  <si>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</si>
  <si>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</si>
  <si>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</si>
  <si>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</si>
  <si>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</si>
  <si>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</si>
  <si>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</si>
  <si>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</si>
  <si>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</si>
  <si>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</si>
  <si>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</si>
  <si>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</si>
  <si>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</si>
  <si>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</si>
  <si>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</si>
  <si>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</si>
  <si>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</si>
  <si>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</si>
  <si>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</si>
  <si>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</si>
  <si>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</si>
  <si>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</si>
  <si>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</si>
  <si>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</si>
  <si>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</si>
  <si>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</si>
  <si>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</si>
  <si>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</si>
  <si>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</si>
  <si>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</si>
  <si>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</si>
  <si>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</si>
  <si>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</si>
  <si>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</si>
  <si>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</si>
  <si>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</si>
  <si>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</si>
  <si>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</si>
  <si>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</si>
  <si>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</si>
  <si>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</si>
  <si>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</si>
  <si>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</si>
  <si>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</si>
  <si>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</si>
  <si>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</si>
  <si>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</si>
  <si>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</si>
  <si>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</si>
  <si>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</si>
  <si>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</si>
  <si>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</si>
  <si>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</si>
  <si>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</si>
  <si>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</si>
  <si>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</si>
  <si>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</si>
  <si>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</si>
  <si>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</si>
  <si>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</si>
  <si>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</si>
  <si>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</si>
  <si>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</si>
  <si>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</si>
  <si>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</si>
  <si>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</si>
  <si>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</si>
  <si>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</si>
  <si>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</si>
  <si>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</si>
  <si>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</si>
  <si>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</si>
  <si>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57606A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</si>
  <si>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</si>
  <si>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</si>
  <si>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</si>
  <si>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</si>
  <si>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</si>
  <si>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</si>
  <si>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</si>
  <si>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</si>
  <si>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</si>
  <si>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</si>
  <si>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</si>
  <si>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</si>
  <si>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</si>
  <si>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</si>
  <si>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</si>
  <si>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</si>
  <si>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</si>
  <si>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</si>
  <si>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</si>
  <si>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</si>
  <si>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</si>
  <si>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</si>
  <si>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</si>
  <si>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</si>
  <si>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</si>
  <si>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</si>
  <si>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</si>
  <si>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</si>
  <si>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</si>
  <si>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</si>
  <si>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</si>
  <si>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</si>
  <si>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</si>
  <si>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</si>
  <si>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</si>
  <si>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</si>
  <si>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</si>
  <si>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</si>
  <si>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</si>
  <si>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</si>
  <si>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</si>
  <si>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</si>
  <si>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</si>
  <si>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</si>
  <si>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</si>
  <si>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</si>
  <si>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</si>
  <si>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</si>
  <si>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</si>
  <si>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</si>
  <si>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</si>
  <si>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</si>
  <si>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</si>
  <si>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</si>
  <si>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</si>
  <si>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</si>
  <si>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</si>
  <si>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</si>
  <si>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</si>
  <si>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</si>
  <si>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</si>
  <si>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</si>
  <si>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</si>
  <si>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</si>
  <si>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57671A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</si>
  <si>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</si>
  <si>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</si>
  <si>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</si>
  <si>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</si>
  <si>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</si>
  <si>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</si>
  <si>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</si>
  <si>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</si>
  <si>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</si>
  <si>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</si>
  <si>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</si>
  <si>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</si>
  <si>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</si>
  <si>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</si>
  <si>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</si>
  <si>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</si>
  <si>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</si>
  <si>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</si>
  <si>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</si>
  <si>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</si>
  <si>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</si>
  <si>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</si>
  <si>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</si>
  <si>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</si>
  <si>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</si>
  <si>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</si>
  <si>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</si>
  <si>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</si>
  <si>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</si>
  <si>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</si>
  <si>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</si>
  <si>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</si>
  <si>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</si>
  <si>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</si>
  <si>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</si>
  <si>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</si>
  <si>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</si>
  <si>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</si>
  <si>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</si>
  <si>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</si>
  <si>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</si>
  <si>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</si>
  <si>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</si>
  <si>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</si>
  <si>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</si>
  <si>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57716A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</si>
  <si>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</si>
  <si>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</si>
  <si>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</si>
  <si>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</si>
  <si>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</si>
  <si>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</si>
  <si>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</si>
  <si>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</si>
  <si>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</si>
  <si>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</si>
  <si>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</si>
  <si>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</si>
  <si>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</si>
  <si>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</si>
  <si>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</si>
  <si>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</si>
  <si>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</si>
  <si>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</si>
  <si>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</si>
  <si>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</si>
  <si>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</si>
  <si>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</si>
  <si>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</si>
  <si>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</si>
  <si>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</si>
  <si>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57744</t>
  </si>
  <si>
    <t>57744A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</si>
  <si>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</si>
  <si>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</si>
  <si>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</si>
  <si>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</si>
  <si>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</si>
  <si>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</si>
  <si>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</si>
  <si>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</si>
  <si>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</si>
  <si>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</si>
  <si>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</si>
  <si>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</si>
  <si>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</si>
  <si>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</si>
  <si>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</si>
  <si>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</si>
  <si>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</si>
  <si>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</si>
  <si>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57764</t>
  </si>
  <si>
    <t>57766</t>
  </si>
  <si>
    <t>57768</t>
  </si>
  <si>
    <t>57769</t>
  </si>
  <si>
    <t>57770</t>
  </si>
  <si>
    <t>57771</t>
  </si>
  <si>
    <t>57772</t>
  </si>
  <si>
    <t>57773</t>
  </si>
  <si>
    <t>57774</t>
  </si>
  <si>
    <t>57776</t>
  </si>
  <si>
    <t>57777</t>
  </si>
  <si>
    <t>57778</t>
  </si>
  <si>
    <t>57779</t>
  </si>
  <si>
    <t>57780</t>
  </si>
  <si>
    <t>57781</t>
  </si>
  <si>
    <t>57782</t>
  </si>
  <si>
    <t>57783</t>
  </si>
  <si>
    <t>57787</t>
  </si>
  <si>
    <t>57788</t>
  </si>
  <si>
    <t>57789</t>
  </si>
  <si>
    <t>57790</t>
  </si>
  <si>
    <t>57791</t>
  </si>
  <si>
    <t>57792</t>
  </si>
  <si>
    <t>57793</t>
  </si>
  <si>
    <t>57794</t>
  </si>
  <si>
    <t>57795</t>
  </si>
  <si>
    <t>57796</t>
  </si>
  <si>
    <t>57797</t>
  </si>
  <si>
    <t>57805</t>
  </si>
  <si>
    <t>57806</t>
  </si>
  <si>
    <t>57807</t>
  </si>
  <si>
    <t>57808</t>
  </si>
  <si>
    <t>57809</t>
  </si>
  <si>
    <t>57810</t>
  </si>
  <si>
    <t>57811</t>
  </si>
  <si>
    <t>57812</t>
  </si>
  <si>
    <t>57813</t>
  </si>
  <si>
    <t>57814</t>
  </si>
  <si>
    <t>57815</t>
  </si>
  <si>
    <t>57816</t>
  </si>
  <si>
    <t>57817</t>
  </si>
  <si>
    <t>57818</t>
  </si>
  <si>
    <t>57819</t>
  </si>
  <si>
    <t>57820</t>
  </si>
  <si>
    <t>57821</t>
  </si>
  <si>
    <t>57822</t>
  </si>
  <si>
    <t>57824</t>
  </si>
  <si>
    <t>57825</t>
  </si>
  <si>
    <t>57826</t>
  </si>
  <si>
    <t>57828</t>
  </si>
  <si>
    <t>57829</t>
  </si>
  <si>
    <t>57830</t>
  </si>
  <si>
    <t>57831</t>
  </si>
  <si>
    <t>57832</t>
  </si>
  <si>
    <t>57833</t>
  </si>
  <si>
    <t>57834</t>
  </si>
  <si>
    <t>57835</t>
  </si>
  <si>
    <t>57836</t>
  </si>
  <si>
    <t>57836A</t>
  </si>
  <si>
    <t>57836B</t>
  </si>
  <si>
    <t>57837</t>
  </si>
  <si>
    <t>57838</t>
  </si>
  <si>
    <t>57839</t>
  </si>
  <si>
    <t>57840</t>
  </si>
  <si>
    <t>57841</t>
  </si>
  <si>
    <t>57842</t>
  </si>
  <si>
    <t>57843</t>
  </si>
  <si>
    <t>57844</t>
  </si>
  <si>
    <t>57845</t>
  </si>
  <si>
    <t>57845A</t>
  </si>
  <si>
    <t>57846</t>
  </si>
  <si>
    <t>57846A</t>
  </si>
  <si>
    <t>57847</t>
  </si>
  <si>
    <t>57848</t>
  </si>
  <si>
    <t>57849</t>
  </si>
  <si>
    <t>57849A</t>
  </si>
  <si>
    <t>57850</t>
  </si>
  <si>
    <t>57850A</t>
  </si>
  <si>
    <t>57850B</t>
  </si>
  <si>
    <t>57851</t>
  </si>
  <si>
    <t>57852</t>
  </si>
  <si>
    <t>57854</t>
  </si>
  <si>
    <t>57855</t>
  </si>
  <si>
    <t>57856</t>
  </si>
  <si>
    <t>57857</t>
  </si>
  <si>
    <t>57858</t>
  </si>
  <si>
    <t>57860</t>
  </si>
  <si>
    <t>57861</t>
  </si>
  <si>
    <t>57865</t>
  </si>
  <si>
    <t>57865A</t>
  </si>
  <si>
    <t>57865B</t>
  </si>
  <si>
    <t>57865C</t>
  </si>
  <si>
    <t>57865D</t>
  </si>
  <si>
    <t>57865E</t>
  </si>
  <si>
    <t>57865F</t>
  </si>
  <si>
    <t>57865G</t>
  </si>
  <si>
    <t>57866</t>
  </si>
  <si>
    <t>57867</t>
  </si>
  <si>
    <t>57868</t>
  </si>
  <si>
    <t>57869</t>
  </si>
  <si>
    <t>57870</t>
  </si>
  <si>
    <t>57871</t>
  </si>
  <si>
    <t>57872</t>
  </si>
  <si>
    <t>57873</t>
  </si>
  <si>
    <t>57889</t>
  </si>
  <si>
    <t>57890</t>
  </si>
  <si>
    <t>57891</t>
  </si>
  <si>
    <t>57892</t>
  </si>
  <si>
    <t>57893</t>
  </si>
  <si>
    <t>57894</t>
  </si>
  <si>
    <t>57895</t>
  </si>
  <si>
    <t>57896</t>
  </si>
  <si>
    <t>57897</t>
  </si>
  <si>
    <t>57920</t>
  </si>
  <si>
    <t>57921</t>
  </si>
  <si>
    <t>57922</t>
  </si>
  <si>
    <t>57923</t>
  </si>
  <si>
    <t>57924</t>
  </si>
  <si>
    <t>57927</t>
  </si>
  <si>
    <t>57929</t>
  </si>
  <si>
    <t>57930</t>
  </si>
  <si>
    <t>57931</t>
  </si>
  <si>
    <t>57933</t>
  </si>
  <si>
    <t>57934</t>
  </si>
  <si>
    <t>57935</t>
  </si>
  <si>
    <t>57936</t>
  </si>
  <si>
    <t>57937</t>
  </si>
  <si>
    <t>57938</t>
  </si>
  <si>
    <t>57939</t>
  </si>
  <si>
    <t>57940</t>
  </si>
  <si>
    <t>57941</t>
  </si>
  <si>
    <t>57942</t>
  </si>
  <si>
    <t>57943</t>
  </si>
  <si>
    <t>57944</t>
  </si>
  <si>
    <t>57945</t>
  </si>
  <si>
    <t>57946</t>
  </si>
  <si>
    <t>57947</t>
  </si>
  <si>
    <t>57948</t>
  </si>
  <si>
    <t>57949</t>
  </si>
  <si>
    <t>57950</t>
  </si>
  <si>
    <t>57951</t>
  </si>
  <si>
    <t>57952</t>
  </si>
  <si>
    <t>57953</t>
  </si>
  <si>
    <t>57954</t>
  </si>
  <si>
    <t>57955</t>
  </si>
  <si>
    <t>57956</t>
  </si>
  <si>
    <t>57957</t>
  </si>
  <si>
    <t>57958</t>
  </si>
  <si>
    <t>57959</t>
  </si>
  <si>
    <t>57960</t>
  </si>
  <si>
    <t>57961</t>
  </si>
  <si>
    <t>57962</t>
  </si>
  <si>
    <t>57963</t>
  </si>
  <si>
    <t>57964</t>
  </si>
  <si>
    <t>57965</t>
  </si>
  <si>
    <t>57966</t>
  </si>
  <si>
    <t>57967</t>
  </si>
  <si>
    <t>57968</t>
  </si>
  <si>
    <t>57969</t>
  </si>
  <si>
    <t>57970</t>
  </si>
  <si>
    <t>57971</t>
  </si>
  <si>
    <t>57972</t>
  </si>
  <si>
    <t>57973</t>
  </si>
  <si>
    <t>57974</t>
  </si>
  <si>
    <t>57974A</t>
  </si>
  <si>
    <t>57975</t>
  </si>
  <si>
    <t>57976</t>
  </si>
  <si>
    <t>57977</t>
  </si>
  <si>
    <t>57977A</t>
  </si>
  <si>
    <t>57978</t>
  </si>
  <si>
    <t>57979</t>
  </si>
  <si>
    <t>57980</t>
  </si>
  <si>
    <t>57981</t>
  </si>
  <si>
    <t>57982</t>
  </si>
  <si>
    <t>57983</t>
  </si>
  <si>
    <t>57984</t>
  </si>
  <si>
    <t>57985</t>
  </si>
  <si>
    <t>57986</t>
  </si>
  <si>
    <t>57987</t>
  </si>
  <si>
    <t>57988</t>
  </si>
  <si>
    <t>57989</t>
  </si>
  <si>
    <t>57990</t>
  </si>
  <si>
    <t>57991</t>
  </si>
  <si>
    <t>57992</t>
  </si>
  <si>
    <t>57993</t>
  </si>
  <si>
    <t>57993A</t>
  </si>
  <si>
    <t>57995</t>
  </si>
  <si>
    <t>57996</t>
  </si>
  <si>
    <t>57997</t>
  </si>
  <si>
    <t>57998</t>
  </si>
  <si>
    <t>57999</t>
  </si>
  <si>
    <t>58000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</si>
  <si>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</si>
  <si>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</si>
  <si>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</si>
  <si>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</si>
  <si>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</si>
  <si>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</si>
  <si>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</si>
  <si>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</si>
  <si>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</si>
  <si>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</si>
  <si>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</si>
  <si>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</si>
  <si>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</si>
  <si>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</si>
  <si>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</si>
  <si>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</si>
  <si>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</si>
  <si>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</si>
  <si>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</si>
  <si>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</si>
  <si>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</si>
  <si>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</si>
  <si>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</si>
  <si>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</si>
  <si>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</si>
  <si>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58025A</t>
  </si>
  <si>
    <t>58025B</t>
  </si>
  <si>
    <t>58025C</t>
  </si>
  <si>
    <t>58025D</t>
  </si>
  <si>
    <t>58025E</t>
  </si>
  <si>
    <t>58025F</t>
  </si>
  <si>
    <t>58026</t>
  </si>
  <si>
    <t>58027</t>
  </si>
  <si>
    <t>58027A</t>
  </si>
  <si>
    <t>58027B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</si>
  <si>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</si>
  <si>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</si>
  <si>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</si>
  <si>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</si>
  <si>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</si>
  <si>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</si>
  <si>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</si>
  <si>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</si>
  <si>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</si>
  <si>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</si>
  <si>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</si>
  <si>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</si>
  <si>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</si>
  <si>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</si>
  <si>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</si>
  <si>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58042A</t>
  </si>
  <si>
    <t>58042B</t>
  </si>
  <si>
    <t>58042C</t>
  </si>
  <si>
    <t>58043</t>
  </si>
  <si>
    <t>58044</t>
  </si>
  <si>
    <t>58045</t>
  </si>
  <si>
    <t>58046</t>
  </si>
  <si>
    <t>58047</t>
  </si>
  <si>
    <t>58048</t>
  </si>
  <si>
    <t>58049</t>
  </si>
  <si>
    <t>58051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</si>
  <si>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</si>
  <si>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</si>
  <si>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</si>
  <si>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</si>
  <si>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</si>
  <si>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</si>
  <si>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</si>
  <si>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</si>
  <si>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58060/CO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</si>
  <si>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</si>
  <si>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</si>
  <si>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</si>
  <si>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</si>
  <si>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</si>
  <si>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</si>
  <si>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</si>
  <si>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</si>
  <si>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</si>
  <si>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</si>
  <si>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</si>
  <si>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</si>
  <si>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</si>
  <si>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</si>
  <si>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</si>
  <si>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</si>
  <si>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</si>
  <si>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</si>
  <si>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</si>
  <si>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</si>
  <si>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</si>
  <si>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</si>
  <si>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</si>
  <si>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</si>
  <si>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</si>
  <si>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</si>
  <si>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</si>
  <si>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</si>
  <si>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</si>
  <si>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</si>
  <si>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</si>
  <si>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</si>
  <si>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</si>
  <si>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</si>
  <si>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</si>
  <si>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</si>
  <si>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</si>
  <si>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</si>
  <si>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</si>
  <si>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</si>
  <si>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</si>
  <si>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</si>
  <si>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</si>
  <si>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</si>
  <si>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</si>
  <si>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</si>
  <si>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</si>
  <si>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</si>
  <si>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</si>
  <si>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58110A</t>
  </si>
  <si>
    <t>58111</t>
  </si>
  <si>
    <t>58113</t>
  </si>
  <si>
    <t>58114</t>
  </si>
  <si>
    <t>58115</t>
  </si>
  <si>
    <t>58116</t>
  </si>
  <si>
    <t>58116A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</si>
  <si>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</si>
  <si>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</si>
  <si>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</si>
  <si>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</si>
  <si>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</si>
  <si>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</si>
  <si>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</si>
  <si>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</si>
  <si>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</si>
  <si>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</si>
  <si>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</si>
  <si>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</si>
  <si>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</si>
  <si>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</si>
  <si>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</si>
  <si>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</si>
  <si>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</si>
  <si>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</si>
  <si>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</si>
  <si>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58138</t>
  </si>
  <si>
    <t>58139</t>
  </si>
  <si>
    <t>58140</t>
  </si>
  <si>
    <t>58141</t>
  </si>
  <si>
    <t>58142</t>
  </si>
  <si>
    <t>58143</t>
  </si>
  <si>
    <t>58144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</si>
  <si>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</si>
  <si>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</si>
  <si>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</si>
  <si>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</si>
  <si>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</si>
  <si>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</si>
  <si>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</si>
  <si>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</si>
  <si>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58155/A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</si>
  <si>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</si>
  <si>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</si>
  <si>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</si>
  <si>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</si>
  <si>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</si>
  <si>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</si>
  <si>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</si>
  <si>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</si>
  <si>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</si>
  <si>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</si>
  <si>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</si>
  <si>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</si>
  <si>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58170</t>
  </si>
  <si>
    <t>58171</t>
  </si>
  <si>
    <t>58172</t>
  </si>
  <si>
    <t>58173</t>
  </si>
  <si>
    <t>58174</t>
  </si>
  <si>
    <t>58174/CO</t>
  </si>
  <si>
    <t>58174A</t>
  </si>
  <si>
    <t>58174B</t>
  </si>
  <si>
    <t>58174C</t>
  </si>
  <si>
    <t>58174D</t>
  </si>
  <si>
    <t>58174E</t>
  </si>
  <si>
    <t>58174F</t>
  </si>
  <si>
    <t>58174G</t>
  </si>
  <si>
    <t>58174H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</si>
  <si>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</si>
  <si>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</si>
  <si>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</si>
  <si>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</si>
  <si>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</si>
  <si>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</si>
  <si>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</si>
  <si>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</si>
  <si>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</si>
  <si>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58183A</t>
  </si>
  <si>
    <t>58184</t>
  </si>
  <si>
    <t>58184A</t>
  </si>
  <si>
    <t>58185</t>
  </si>
  <si>
    <t>58186</t>
  </si>
  <si>
    <t>58187</t>
  </si>
  <si>
    <t>58188</t>
  </si>
  <si>
    <t>58188A</t>
  </si>
  <si>
    <t>58188B</t>
  </si>
  <si>
    <t>58188C</t>
  </si>
  <si>
    <t>58189</t>
  </si>
  <si>
    <t>58191</t>
  </si>
  <si>
    <t>58192</t>
  </si>
  <si>
    <t>58193</t>
  </si>
  <si>
    <t>58194</t>
  </si>
  <si>
    <t>58195</t>
  </si>
  <si>
    <t>58196</t>
  </si>
  <si>
    <t>58196A</t>
  </si>
  <si>
    <t>58197</t>
  </si>
  <si>
    <t>58198</t>
  </si>
  <si>
    <t>58198A</t>
  </si>
  <si>
    <t>58199</t>
  </si>
  <si>
    <t>58200</t>
  </si>
  <si>
    <t>58201</t>
  </si>
  <si>
    <t>58202</t>
  </si>
  <si>
    <t>58203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</si>
  <si>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</si>
  <si>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</si>
  <si>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</si>
  <si>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</si>
  <si>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</si>
  <si>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</si>
  <si>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</si>
  <si>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</si>
  <si>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</si>
  <si>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</si>
  <si>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</si>
  <si>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</si>
  <si>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</si>
  <si>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</si>
  <si>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</si>
  <si>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</si>
  <si>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</si>
  <si>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</si>
  <si>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</si>
  <si>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</si>
  <si>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</si>
  <si>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</si>
  <si>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</si>
  <si>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</si>
  <si>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</si>
  <si>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</si>
  <si>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</si>
  <si>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</si>
  <si>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</si>
  <si>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</si>
  <si>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</si>
  <si>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</si>
  <si>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</si>
  <si>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</si>
  <si>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</si>
  <si>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</si>
  <si>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</si>
  <si>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</si>
  <si>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</si>
  <si>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</si>
  <si>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</si>
  <si>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</si>
  <si>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</si>
  <si>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</si>
  <si>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</si>
  <si>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</si>
  <si>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</si>
  <si>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</si>
  <si>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</si>
  <si>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</si>
  <si>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</si>
  <si>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</si>
  <si>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</si>
  <si>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58259A</t>
  </si>
  <si>
    <t>58260</t>
  </si>
  <si>
    <t>58262</t>
  </si>
  <si>
    <t>58264</t>
  </si>
  <si>
    <t>58266</t>
  </si>
  <si>
    <t>58267</t>
  </si>
  <si>
    <t>58268</t>
  </si>
  <si>
    <t>58269</t>
  </si>
  <si>
    <t>58269/1</t>
  </si>
  <si>
    <t>58269/A</t>
  </si>
  <si>
    <t>58270</t>
  </si>
  <si>
    <t>58271</t>
  </si>
  <si>
    <t>58272</t>
  </si>
  <si>
    <t>58273</t>
  </si>
  <si>
    <t>58274</t>
  </si>
  <si>
    <t>58278</t>
  </si>
  <si>
    <t>58279</t>
  </si>
  <si>
    <t>58280</t>
  </si>
  <si>
    <t>58281</t>
  </si>
  <si>
    <t>58282</t>
  </si>
  <si>
    <t>58283</t>
  </si>
  <si>
    <t>58283A</t>
  </si>
  <si>
    <t>58283B</t>
  </si>
  <si>
    <t>58284</t>
  </si>
  <si>
    <t>58284A</t>
  </si>
  <si>
    <t>58284B</t>
  </si>
  <si>
    <t>58284C</t>
  </si>
  <si>
    <t>58284D</t>
  </si>
  <si>
    <t>58285</t>
  </si>
  <si>
    <t>58286</t>
  </si>
  <si>
    <t>58286A</t>
  </si>
  <si>
    <t>58286B</t>
  </si>
  <si>
    <t>58286C</t>
  </si>
  <si>
    <t>58287</t>
  </si>
  <si>
    <t>58287A</t>
  </si>
  <si>
    <t>58288</t>
  </si>
  <si>
    <t>58288A</t>
  </si>
  <si>
    <t>58288B</t>
  </si>
  <si>
    <t>58288C</t>
  </si>
  <si>
    <t>58289</t>
  </si>
  <si>
    <t>58290</t>
  </si>
  <si>
    <t>58291</t>
  </si>
  <si>
    <t>58292</t>
  </si>
  <si>
    <t>58294</t>
  </si>
  <si>
    <t>58295</t>
  </si>
  <si>
    <t>58296</t>
  </si>
  <si>
    <t>58297</t>
  </si>
  <si>
    <t>58298</t>
  </si>
  <si>
    <t>58299</t>
  </si>
  <si>
    <t>58300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</si>
  <si>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</si>
  <si>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</si>
  <si>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</si>
  <si>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</si>
  <si>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</si>
  <si>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</si>
  <si>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</si>
  <si>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</si>
  <si>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</si>
  <si>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</si>
  <si>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</si>
  <si>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</si>
  <si>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58314</t>
  </si>
  <si>
    <t>58315</t>
  </si>
  <si>
    <t>58316</t>
  </si>
  <si>
    <t>58317</t>
  </si>
  <si>
    <t>58318</t>
  </si>
  <si>
    <t>58319</t>
  </si>
  <si>
    <t>58320</t>
  </si>
  <si>
    <t>58321</t>
  </si>
  <si>
    <t>58322</t>
  </si>
  <si>
    <t>58323</t>
  </si>
  <si>
    <t>58324</t>
  </si>
  <si>
    <t>58325</t>
  </si>
  <si>
    <t>58326</t>
  </si>
  <si>
    <t>58327</t>
  </si>
  <si>
    <t>58328</t>
  </si>
  <si>
    <t>58329</t>
  </si>
  <si>
    <t>58330</t>
  </si>
  <si>
    <t>58331</t>
  </si>
  <si>
    <t>58332</t>
  </si>
  <si>
    <t>58332A</t>
  </si>
  <si>
    <t>58333</t>
  </si>
  <si>
    <t>58334</t>
  </si>
  <si>
    <t>58335</t>
  </si>
  <si>
    <t>58336</t>
  </si>
  <si>
    <t>58336A</t>
  </si>
  <si>
    <t>58337</t>
  </si>
  <si>
    <t>58338</t>
  </si>
  <si>
    <t>58338A</t>
  </si>
  <si>
    <t>58339</t>
  </si>
  <si>
    <t>58340</t>
  </si>
  <si>
    <t>58341</t>
  </si>
  <si>
    <t>58342</t>
  </si>
  <si>
    <t>58343</t>
  </si>
  <si>
    <t>58344</t>
  </si>
  <si>
    <t>58345</t>
  </si>
  <si>
    <t>58346</t>
  </si>
  <si>
    <t>58347</t>
  </si>
  <si>
    <t>58348</t>
  </si>
  <si>
    <t>58349</t>
  </si>
  <si>
    <t>58350</t>
  </si>
  <si>
    <t>58351</t>
  </si>
  <si>
    <t>58352</t>
  </si>
  <si>
    <t>58353</t>
  </si>
  <si>
    <t>58354</t>
  </si>
  <si>
    <t>58355</t>
  </si>
  <si>
    <t>58356</t>
  </si>
  <si>
    <t>58357</t>
  </si>
  <si>
    <t>58358</t>
  </si>
  <si>
    <t>58358A</t>
  </si>
  <si>
    <t>58358B</t>
  </si>
  <si>
    <t>58358C</t>
  </si>
  <si>
    <t>58359</t>
  </si>
  <si>
    <t>58360</t>
  </si>
  <si>
    <t>58361</t>
  </si>
  <si>
    <t>58362</t>
  </si>
  <si>
    <t>58363</t>
  </si>
  <si>
    <t>58364</t>
  </si>
  <si>
    <t>58365</t>
  </si>
  <si>
    <t>58366</t>
  </si>
  <si>
    <t>58367</t>
  </si>
  <si>
    <t>58368</t>
  </si>
  <si>
    <t>58368A</t>
  </si>
  <si>
    <t>58369</t>
  </si>
  <si>
    <t>58370</t>
  </si>
  <si>
    <t>58371</t>
  </si>
  <si>
    <t>58372</t>
  </si>
  <si>
    <t>58373</t>
  </si>
  <si>
    <t>58374</t>
  </si>
  <si>
    <t>58375</t>
  </si>
  <si>
    <t>58376</t>
  </si>
  <si>
    <t>58377</t>
  </si>
  <si>
    <t>58378</t>
  </si>
  <si>
    <t>58379</t>
  </si>
  <si>
    <t>58380</t>
  </si>
  <si>
    <t>58381</t>
  </si>
  <si>
    <t>58382</t>
  </si>
  <si>
    <t>58383</t>
  </si>
  <si>
    <t>58384</t>
  </si>
  <si>
    <t>58385</t>
  </si>
  <si>
    <t>58386</t>
  </si>
  <si>
    <t>58387</t>
  </si>
  <si>
    <t>58388</t>
  </si>
  <si>
    <t>58388A</t>
  </si>
  <si>
    <t>58388C</t>
  </si>
  <si>
    <t>58388D</t>
  </si>
  <si>
    <t>58389</t>
  </si>
  <si>
    <t>58390</t>
  </si>
  <si>
    <t>58391</t>
  </si>
  <si>
    <t>58392</t>
  </si>
  <si>
    <t>58393</t>
  </si>
  <si>
    <t>58394</t>
  </si>
  <si>
    <t>58395</t>
  </si>
  <si>
    <t>58396</t>
  </si>
  <si>
    <t>58397</t>
  </si>
  <si>
    <t>58398</t>
  </si>
  <si>
    <t>58399</t>
  </si>
  <si>
    <t>58400</t>
  </si>
  <si>
    <t>58401</t>
  </si>
  <si>
    <t>58402</t>
  </si>
  <si>
    <t>58403</t>
  </si>
  <si>
    <t>58403A</t>
  </si>
  <si>
    <t>58404</t>
  </si>
  <si>
    <t>58405</t>
  </si>
  <si>
    <t>58406</t>
  </si>
  <si>
    <t>58407</t>
  </si>
  <si>
    <t>58408</t>
  </si>
  <si>
    <t>58409</t>
  </si>
  <si>
    <t>58409A</t>
  </si>
  <si>
    <t>58410</t>
  </si>
  <si>
    <t>58410A</t>
  </si>
  <si>
    <t>58411</t>
  </si>
  <si>
    <t>58411A</t>
  </si>
  <si>
    <t>58412</t>
  </si>
  <si>
    <t>58413</t>
  </si>
  <si>
    <t>58414</t>
  </si>
  <si>
    <t>58415</t>
  </si>
  <si>
    <t>58416</t>
  </si>
  <si>
    <t>58417</t>
  </si>
  <si>
    <t>58418</t>
  </si>
  <si>
    <t>58419</t>
  </si>
  <si>
    <t>58420</t>
  </si>
  <si>
    <t>58421</t>
  </si>
  <si>
    <t>58422</t>
  </si>
  <si>
    <t>58423</t>
  </si>
  <si>
    <t>58424</t>
  </si>
  <si>
    <t>58426</t>
  </si>
  <si>
    <t>58427</t>
  </si>
  <si>
    <t>58428</t>
  </si>
  <si>
    <t>58430</t>
  </si>
  <si>
    <t>58431</t>
  </si>
  <si>
    <t>58432</t>
  </si>
  <si>
    <t>58433</t>
  </si>
  <si>
    <t>58434</t>
  </si>
  <si>
    <t>58435</t>
  </si>
  <si>
    <t>58436</t>
  </si>
  <si>
    <t>58437</t>
  </si>
  <si>
    <t>58438</t>
  </si>
  <si>
    <t>58439</t>
  </si>
  <si>
    <t>58440</t>
  </si>
  <si>
    <t>58441</t>
  </si>
  <si>
    <t>58442</t>
  </si>
  <si>
    <t>58443</t>
  </si>
  <si>
    <t>58444</t>
  </si>
  <si>
    <t>58445</t>
  </si>
  <si>
    <t>58446</t>
  </si>
  <si>
    <t>58447</t>
  </si>
  <si>
    <t>58448</t>
  </si>
  <si>
    <t>58449</t>
  </si>
  <si>
    <t>58450</t>
  </si>
  <si>
    <t>58451</t>
  </si>
  <si>
    <t>58452</t>
  </si>
  <si>
    <t>58453</t>
  </si>
  <si>
    <t>58455</t>
  </si>
  <si>
    <t>58456</t>
  </si>
  <si>
    <t>58457</t>
  </si>
  <si>
    <t>58458</t>
  </si>
  <si>
    <t>58459</t>
  </si>
  <si>
    <t>58460</t>
  </si>
  <si>
    <t>58461</t>
  </si>
  <si>
    <t>58462</t>
  </si>
  <si>
    <t>58463</t>
  </si>
  <si>
    <t>58464</t>
  </si>
  <si>
    <t>58465</t>
  </si>
  <si>
    <t>58466</t>
  </si>
  <si>
    <t>58467</t>
  </si>
  <si>
    <t>58468</t>
  </si>
  <si>
    <t>58469</t>
  </si>
  <si>
    <t>58470</t>
  </si>
  <si>
    <t>58471</t>
  </si>
  <si>
    <t>58472</t>
  </si>
  <si>
    <t>58473</t>
  </si>
  <si>
    <t>58474</t>
  </si>
  <si>
    <t>58475</t>
  </si>
  <si>
    <t>58476</t>
  </si>
  <si>
    <t>58476A</t>
  </si>
  <si>
    <t>58477</t>
  </si>
  <si>
    <t>58478</t>
  </si>
  <si>
    <t>58479</t>
  </si>
  <si>
    <t>58480</t>
  </si>
  <si>
    <t>58481</t>
  </si>
  <si>
    <t>58482</t>
  </si>
  <si>
    <t>58483</t>
  </si>
  <si>
    <t>58484</t>
  </si>
  <si>
    <t>58485</t>
  </si>
  <si>
    <t>58486</t>
  </si>
  <si>
    <t>58488</t>
  </si>
  <si>
    <t>58489</t>
  </si>
  <si>
    <t>58490</t>
  </si>
  <si>
    <t>58490/A</t>
  </si>
  <si>
    <t>58491</t>
  </si>
  <si>
    <t>58491/A</t>
  </si>
  <si>
    <t>58492</t>
  </si>
  <si>
    <t>58492/A</t>
  </si>
  <si>
    <t>58493</t>
  </si>
  <si>
    <t>58493/A</t>
  </si>
  <si>
    <t>58494</t>
  </si>
  <si>
    <t>58494/A</t>
  </si>
  <si>
    <t>58495</t>
  </si>
  <si>
    <t>58495/A</t>
  </si>
  <si>
    <t>58496</t>
  </si>
  <si>
    <t>58496/A</t>
  </si>
  <si>
    <t>58497</t>
  </si>
  <si>
    <t>58498</t>
  </si>
  <si>
    <t>58499</t>
  </si>
  <si>
    <t>58499A</t>
  </si>
  <si>
    <t>58500</t>
  </si>
  <si>
    <t>58500B</t>
  </si>
  <si>
    <t>58501</t>
  </si>
  <si>
    <t>58501B</t>
  </si>
  <si>
    <t>58502</t>
  </si>
  <si>
    <t>58503</t>
  </si>
  <si>
    <t>58504</t>
  </si>
  <si>
    <t>58505</t>
  </si>
  <si>
    <t>58506</t>
  </si>
  <si>
    <t>58506A</t>
  </si>
  <si>
    <t>58507</t>
  </si>
  <si>
    <t>58508</t>
  </si>
  <si>
    <t>58509</t>
  </si>
  <si>
    <t>58510</t>
  </si>
  <si>
    <t>58510A</t>
  </si>
  <si>
    <t>58511</t>
  </si>
  <si>
    <t>58512</t>
  </si>
  <si>
    <t>58513</t>
  </si>
  <si>
    <t>58514</t>
  </si>
  <si>
    <t>58515</t>
  </si>
  <si>
    <t>58516</t>
  </si>
  <si>
    <t>58517</t>
  </si>
  <si>
    <t>58518</t>
  </si>
  <si>
    <t>58519</t>
  </si>
  <si>
    <t>58520</t>
  </si>
  <si>
    <t>58521</t>
  </si>
  <si>
    <t>58522</t>
  </si>
  <si>
    <t>58523</t>
  </si>
  <si>
    <t>58524</t>
  </si>
  <si>
    <t>58525</t>
  </si>
  <si>
    <t>58526</t>
  </si>
  <si>
    <t>58527</t>
  </si>
  <si>
    <t>58528</t>
  </si>
  <si>
    <t>58529</t>
  </si>
  <si>
    <t>58530</t>
  </si>
  <si>
    <t>58531</t>
  </si>
  <si>
    <t>58532</t>
  </si>
  <si>
    <t>58534</t>
  </si>
  <si>
    <t>58535</t>
  </si>
  <si>
    <t>58536</t>
  </si>
  <si>
    <t>58537</t>
  </si>
  <si>
    <t>58538</t>
  </si>
  <si>
    <t>58539</t>
  </si>
  <si>
    <t>58540</t>
  </si>
  <si>
    <t>58541</t>
  </si>
  <si>
    <t>58542</t>
  </si>
  <si>
    <t>58543</t>
  </si>
  <si>
    <t>58544</t>
  </si>
  <si>
    <t>58545</t>
  </si>
  <si>
    <t>58546</t>
  </si>
  <si>
    <t>58547</t>
  </si>
  <si>
    <t>58548</t>
  </si>
  <si>
    <t>58549</t>
  </si>
  <si>
    <t>58550</t>
  </si>
  <si>
    <t>58550A</t>
  </si>
  <si>
    <t>58551</t>
  </si>
  <si>
    <t>58552</t>
  </si>
  <si>
    <t>58553</t>
  </si>
  <si>
    <t>58554</t>
  </si>
  <si>
    <t>58555</t>
  </si>
  <si>
    <t>58556</t>
  </si>
  <si>
    <t>58557</t>
  </si>
  <si>
    <t>58559</t>
  </si>
  <si>
    <t>58560</t>
  </si>
  <si>
    <t>58561</t>
  </si>
  <si>
    <t>58562</t>
  </si>
  <si>
    <t>58563</t>
  </si>
  <si>
    <t>58564</t>
  </si>
  <si>
    <t>58565</t>
  </si>
  <si>
    <t>58566</t>
  </si>
  <si>
    <t>58567</t>
  </si>
  <si>
    <t>58568</t>
  </si>
  <si>
    <t>58569</t>
  </si>
  <si>
    <t>58570</t>
  </si>
  <si>
    <t>58571</t>
  </si>
  <si>
    <t>58573</t>
  </si>
  <si>
    <t>58574</t>
  </si>
  <si>
    <t>58575</t>
  </si>
  <si>
    <t>58576</t>
  </si>
  <si>
    <t>58578</t>
  </si>
  <si>
    <t>58579</t>
  </si>
  <si>
    <t>58580</t>
  </si>
  <si>
    <t>58581</t>
  </si>
  <si>
    <t>58582</t>
  </si>
  <si>
    <t>58583</t>
  </si>
  <si>
    <t>58584</t>
  </si>
  <si>
    <t>58585</t>
  </si>
  <si>
    <t>58586</t>
  </si>
  <si>
    <t>58587</t>
  </si>
  <si>
    <t>58589</t>
  </si>
  <si>
    <t>58590</t>
  </si>
  <si>
    <t>58590A</t>
  </si>
  <si>
    <t>58591</t>
  </si>
  <si>
    <t>58592</t>
  </si>
  <si>
    <t>58593</t>
  </si>
  <si>
    <t>58594</t>
  </si>
  <si>
    <t>58595</t>
  </si>
  <si>
    <t>58596</t>
  </si>
  <si>
    <t>58598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</si>
  <si>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</si>
  <si>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</si>
  <si>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</si>
  <si>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</si>
  <si>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</si>
  <si>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</si>
  <si>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</si>
  <si>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</si>
  <si>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58607</t>
  </si>
  <si>
    <t>58608</t>
  </si>
  <si>
    <t>58609</t>
  </si>
  <si>
    <t>58610</t>
  </si>
  <si>
    <t>58611</t>
  </si>
  <si>
    <t>58612</t>
  </si>
  <si>
    <t>58613</t>
  </si>
  <si>
    <t>58614</t>
  </si>
  <si>
    <t>58615</t>
  </si>
  <si>
    <t>58616</t>
  </si>
  <si>
    <t>58617</t>
  </si>
  <si>
    <t>58618</t>
  </si>
  <si>
    <t>58619</t>
  </si>
  <si>
    <t>58620</t>
  </si>
  <si>
    <t>58621</t>
  </si>
  <si>
    <t>58622</t>
  </si>
  <si>
    <t>58623</t>
  </si>
  <si>
    <t>58624</t>
  </si>
  <si>
    <t>58625</t>
  </si>
  <si>
    <t>58626</t>
  </si>
  <si>
    <t>58626A</t>
  </si>
  <si>
    <t>58627</t>
  </si>
  <si>
    <t>58628</t>
  </si>
  <si>
    <t>58629</t>
  </si>
  <si>
    <t>58630</t>
  </si>
  <si>
    <t>58630A</t>
  </si>
  <si>
    <t>58631</t>
  </si>
  <si>
    <t>58632</t>
  </si>
  <si>
    <t>58633</t>
  </si>
  <si>
    <t>58634</t>
  </si>
  <si>
    <t>58635</t>
  </si>
  <si>
    <t>58636</t>
  </si>
  <si>
    <t>58637</t>
  </si>
  <si>
    <t>58638</t>
  </si>
  <si>
    <t>58639</t>
  </si>
  <si>
    <t>58641</t>
  </si>
  <si>
    <t>58642</t>
  </si>
  <si>
    <t>58643</t>
  </si>
  <si>
    <t>58644</t>
  </si>
  <si>
    <t>58645</t>
  </si>
  <si>
    <t>58646</t>
  </si>
  <si>
    <t>58647</t>
  </si>
  <si>
    <t>58648</t>
  </si>
  <si>
    <t>58649</t>
  </si>
  <si>
    <t>58650</t>
  </si>
  <si>
    <t>58651</t>
  </si>
  <si>
    <t>58652</t>
  </si>
  <si>
    <t>58653</t>
  </si>
  <si>
    <t>58654</t>
  </si>
  <si>
    <t>58655</t>
  </si>
  <si>
    <t>58656</t>
  </si>
  <si>
    <t>58657</t>
  </si>
  <si>
    <t>58658</t>
  </si>
  <si>
    <t>58659</t>
  </si>
  <si>
    <t>58660</t>
  </si>
  <si>
    <t>58660A</t>
  </si>
  <si>
    <t>58661</t>
  </si>
  <si>
    <t>58662</t>
  </si>
  <si>
    <t>58663</t>
  </si>
  <si>
    <t>58664</t>
  </si>
  <si>
    <t>58665</t>
  </si>
  <si>
    <t>58666</t>
  </si>
  <si>
    <t>58667</t>
  </si>
  <si>
    <t>58668</t>
  </si>
  <si>
    <t>58669</t>
  </si>
  <si>
    <t>58670</t>
  </si>
  <si>
    <t>58671</t>
  </si>
  <si>
    <t>58672</t>
  </si>
  <si>
    <t>58673</t>
  </si>
  <si>
    <t>58673A</t>
  </si>
  <si>
    <t>58674</t>
  </si>
  <si>
    <t>58675</t>
  </si>
  <si>
    <t>58676</t>
  </si>
  <si>
    <t>58677</t>
  </si>
  <si>
    <t>58678</t>
  </si>
  <si>
    <t>58679</t>
  </si>
  <si>
    <t>58680</t>
  </si>
  <si>
    <t>58681</t>
  </si>
  <si>
    <t>58682</t>
  </si>
  <si>
    <t>58684</t>
  </si>
  <si>
    <t>58685</t>
  </si>
  <si>
    <t>58686</t>
  </si>
  <si>
    <t>58687</t>
  </si>
  <si>
    <t>58688</t>
  </si>
  <si>
    <t>58689</t>
  </si>
  <si>
    <t>58690</t>
  </si>
  <si>
    <t>58691</t>
  </si>
  <si>
    <t>58692</t>
  </si>
  <si>
    <t>58693</t>
  </si>
  <si>
    <t>58694</t>
  </si>
  <si>
    <t>58695</t>
  </si>
  <si>
    <t>58696</t>
  </si>
  <si>
    <t>58697</t>
  </si>
  <si>
    <t>58698</t>
  </si>
  <si>
    <t>58699</t>
  </si>
  <si>
    <t>58700</t>
  </si>
  <si>
    <t>58701</t>
  </si>
  <si>
    <t>58702</t>
  </si>
  <si>
    <t>58703</t>
  </si>
  <si>
    <t>58704</t>
  </si>
  <si>
    <t>58705</t>
  </si>
  <si>
    <t>58706</t>
  </si>
  <si>
    <t>58707</t>
  </si>
  <si>
    <t>58708</t>
  </si>
  <si>
    <t>58709</t>
  </si>
  <si>
    <t>58710</t>
  </si>
  <si>
    <t>58711</t>
  </si>
  <si>
    <t>58712</t>
  </si>
  <si>
    <t>58713</t>
  </si>
  <si>
    <t>58714</t>
  </si>
  <si>
    <t>58715</t>
  </si>
  <si>
    <t>58716</t>
  </si>
  <si>
    <t>58717</t>
  </si>
  <si>
    <t>58718</t>
  </si>
  <si>
    <t>58719</t>
  </si>
  <si>
    <t>58720</t>
  </si>
  <si>
    <t>58721</t>
  </si>
  <si>
    <t>58722</t>
  </si>
  <si>
    <t>58723</t>
  </si>
  <si>
    <t>58724</t>
  </si>
  <si>
    <t>58725</t>
  </si>
  <si>
    <t>58726</t>
  </si>
  <si>
    <t>58727</t>
  </si>
  <si>
    <t>58728</t>
  </si>
  <si>
    <t>58728A</t>
  </si>
  <si>
    <t>58729</t>
  </si>
  <si>
    <t>58730</t>
  </si>
  <si>
    <t>58731</t>
  </si>
  <si>
    <t>58732</t>
  </si>
  <si>
    <t>58733</t>
  </si>
  <si>
    <t>58734</t>
  </si>
  <si>
    <t>58735</t>
  </si>
  <si>
    <t>58736</t>
  </si>
  <si>
    <t>58737</t>
  </si>
  <si>
    <t>58738</t>
  </si>
  <si>
    <t>58739</t>
  </si>
  <si>
    <t>58740</t>
  </si>
  <si>
    <t>58741</t>
  </si>
  <si>
    <t>58742</t>
  </si>
  <si>
    <t>58743</t>
  </si>
  <si>
    <t>58744</t>
  </si>
  <si>
    <t>58745</t>
  </si>
  <si>
    <t>58746</t>
  </si>
  <si>
    <t>58747</t>
  </si>
  <si>
    <t>58747A</t>
  </si>
  <si>
    <t>58747B</t>
  </si>
  <si>
    <t>58748</t>
  </si>
  <si>
    <t>58748A</t>
  </si>
  <si>
    <t>58748B</t>
  </si>
  <si>
    <t>58749</t>
  </si>
  <si>
    <t>58750</t>
  </si>
  <si>
    <t>58750A</t>
  </si>
  <si>
    <t>58750B</t>
  </si>
  <si>
    <t>58750C</t>
  </si>
  <si>
    <t>58751</t>
  </si>
  <si>
    <t>58752</t>
  </si>
  <si>
    <t>58754</t>
  </si>
  <si>
    <t>58755</t>
  </si>
  <si>
    <t>58756</t>
  </si>
  <si>
    <t>58757</t>
  </si>
  <si>
    <t>58758</t>
  </si>
  <si>
    <t>58759</t>
  </si>
  <si>
    <t>58760</t>
  </si>
  <si>
    <t>58761</t>
  </si>
  <si>
    <t>58762</t>
  </si>
  <si>
    <t>58763</t>
  </si>
  <si>
    <t>58764</t>
  </si>
  <si>
    <t>58765</t>
  </si>
  <si>
    <t>58766</t>
  </si>
  <si>
    <t>58767</t>
  </si>
  <si>
    <t>58767A</t>
  </si>
  <si>
    <t>58768</t>
  </si>
  <si>
    <t>58769</t>
  </si>
  <si>
    <t>58770</t>
  </si>
  <si>
    <t>58771</t>
  </si>
  <si>
    <t>58772</t>
  </si>
  <si>
    <t>58773</t>
  </si>
  <si>
    <t>58774</t>
  </si>
  <si>
    <t>58775</t>
  </si>
  <si>
    <t>58776</t>
  </si>
  <si>
    <t>58777</t>
  </si>
  <si>
    <t>58778</t>
  </si>
  <si>
    <t>58779</t>
  </si>
  <si>
    <t>58780</t>
  </si>
  <si>
    <t>58781</t>
  </si>
  <si>
    <t>58782</t>
  </si>
  <si>
    <t>58783</t>
  </si>
  <si>
    <t>58784</t>
  </si>
  <si>
    <t>58785</t>
  </si>
  <si>
    <t>58786</t>
  </si>
  <si>
    <t>58787</t>
  </si>
  <si>
    <t>58788</t>
  </si>
  <si>
    <t>58789</t>
  </si>
  <si>
    <t>58790</t>
  </si>
  <si>
    <t>58791</t>
  </si>
  <si>
    <t>58792</t>
  </si>
  <si>
    <t>58793</t>
  </si>
  <si>
    <t>58794</t>
  </si>
  <si>
    <t>58795</t>
  </si>
  <si>
    <t>58796</t>
  </si>
  <si>
    <t>58797</t>
  </si>
  <si>
    <t>58798</t>
  </si>
  <si>
    <t>58799</t>
  </si>
  <si>
    <t>58800</t>
  </si>
  <si>
    <t>58802</t>
  </si>
  <si>
    <t>58803</t>
  </si>
  <si>
    <t>58805</t>
  </si>
  <si>
    <t>58805A</t>
  </si>
  <si>
    <t>58806</t>
  </si>
  <si>
    <t>58806B</t>
  </si>
  <si>
    <t>58807</t>
  </si>
  <si>
    <t>58808</t>
  </si>
  <si>
    <t>58810</t>
  </si>
  <si>
    <t>58811</t>
  </si>
  <si>
    <t>58812</t>
  </si>
  <si>
    <t>58813</t>
  </si>
  <si>
    <t>58814</t>
  </si>
  <si>
    <t>58815</t>
  </si>
  <si>
    <t>58816</t>
  </si>
  <si>
    <t>58817</t>
  </si>
  <si>
    <t>58818</t>
  </si>
  <si>
    <t>58820</t>
  </si>
  <si>
    <t>58821</t>
  </si>
  <si>
    <t>58822</t>
  </si>
  <si>
    <t>58823</t>
  </si>
  <si>
    <t>58824</t>
  </si>
  <si>
    <t>58825</t>
  </si>
  <si>
    <t>58826</t>
  </si>
  <si>
    <t>58827</t>
  </si>
  <si>
    <t>58828</t>
  </si>
  <si>
    <t>58829</t>
  </si>
  <si>
    <t>58830</t>
  </si>
  <si>
    <t>58831</t>
  </si>
  <si>
    <t>58832</t>
  </si>
  <si>
    <t>58833</t>
  </si>
  <si>
    <t>58834</t>
  </si>
  <si>
    <t>58835</t>
  </si>
  <si>
    <t>58836</t>
  </si>
  <si>
    <t>58837</t>
  </si>
  <si>
    <t>58838</t>
  </si>
  <si>
    <t>58839</t>
  </si>
  <si>
    <t>58840</t>
  </si>
  <si>
    <t>58841</t>
  </si>
  <si>
    <t>58842</t>
  </si>
  <si>
    <t>58843</t>
  </si>
  <si>
    <t>58844</t>
  </si>
  <si>
    <t>58845</t>
  </si>
  <si>
    <t>58846</t>
  </si>
  <si>
    <t>58847</t>
  </si>
  <si>
    <t>58848</t>
  </si>
  <si>
    <t>58849</t>
  </si>
  <si>
    <t>58850</t>
  </si>
  <si>
    <t>58851</t>
  </si>
  <si>
    <t>58852</t>
  </si>
  <si>
    <t>58853</t>
  </si>
  <si>
    <t>58854</t>
  </si>
  <si>
    <t>58855</t>
  </si>
  <si>
    <t>58856</t>
  </si>
  <si>
    <t>58857</t>
  </si>
  <si>
    <t>58858</t>
  </si>
  <si>
    <t>58859</t>
  </si>
  <si>
    <t>58860</t>
  </si>
  <si>
    <t>58861</t>
  </si>
  <si>
    <t>58862</t>
  </si>
  <si>
    <t>58863</t>
  </si>
  <si>
    <t>58864</t>
  </si>
  <si>
    <t>58865</t>
  </si>
  <si>
    <t>58865A</t>
  </si>
  <si>
    <t>58866</t>
  </si>
  <si>
    <t>58867</t>
  </si>
  <si>
    <t>58868</t>
  </si>
  <si>
    <t>58868A</t>
  </si>
  <si>
    <t>58869</t>
  </si>
  <si>
    <t>58869A</t>
  </si>
  <si>
    <t>58870</t>
  </si>
  <si>
    <t>58870A</t>
  </si>
  <si>
    <t>58871</t>
  </si>
  <si>
    <t>58871A</t>
  </si>
  <si>
    <t>58872</t>
  </si>
  <si>
    <t>58873</t>
  </si>
  <si>
    <t>58874</t>
  </si>
  <si>
    <t>58875</t>
  </si>
  <si>
    <t>58878</t>
  </si>
  <si>
    <t>58879</t>
  </si>
  <si>
    <t>58880</t>
  </si>
  <si>
    <t>58881</t>
  </si>
  <si>
    <t>58882</t>
  </si>
  <si>
    <t>58883</t>
  </si>
  <si>
    <t>58888</t>
  </si>
  <si>
    <t>58889</t>
  </si>
  <si>
    <t>58890</t>
  </si>
  <si>
    <t>58891</t>
  </si>
  <si>
    <t>58892</t>
  </si>
  <si>
    <t>58892A</t>
  </si>
  <si>
    <t>58892B</t>
  </si>
  <si>
    <t>58893</t>
  </si>
  <si>
    <t>58894</t>
  </si>
  <si>
    <t>58894/A</t>
  </si>
  <si>
    <t>58895</t>
  </si>
  <si>
    <t>58896</t>
  </si>
  <si>
    <t>58897</t>
  </si>
  <si>
    <t>58903</t>
  </si>
  <si>
    <t>58905</t>
  </si>
  <si>
    <t>58906</t>
  </si>
  <si>
    <t>58907</t>
  </si>
  <si>
    <t>58908</t>
  </si>
  <si>
    <t>58909</t>
  </si>
  <si>
    <t>58910</t>
  </si>
  <si>
    <t>58911</t>
  </si>
  <si>
    <t>58912</t>
  </si>
  <si>
    <t>58913</t>
  </si>
  <si>
    <t>58914</t>
  </si>
  <si>
    <t>58915</t>
  </si>
  <si>
    <t>58916</t>
  </si>
  <si>
    <t>58917</t>
  </si>
  <si>
    <t>58918</t>
  </si>
  <si>
    <t>58919</t>
  </si>
  <si>
    <t>58920</t>
  </si>
  <si>
    <t>58921</t>
  </si>
  <si>
    <t>58922</t>
  </si>
  <si>
    <t>58923</t>
  </si>
  <si>
    <t>58924</t>
  </si>
  <si>
    <t>58925</t>
  </si>
  <si>
    <t>58926</t>
  </si>
  <si>
    <t>58927</t>
  </si>
  <si>
    <t>58928</t>
  </si>
  <si>
    <t>58929</t>
  </si>
  <si>
    <t>58930</t>
  </si>
  <si>
    <t>58931</t>
  </si>
  <si>
    <t>58932</t>
  </si>
  <si>
    <t>58933</t>
  </si>
  <si>
    <t>58934</t>
  </si>
  <si>
    <t>58935</t>
  </si>
  <si>
    <t>58936</t>
  </si>
  <si>
    <t>58937</t>
  </si>
  <si>
    <t>58938</t>
  </si>
  <si>
    <t>58939</t>
  </si>
  <si>
    <t>58940</t>
  </si>
  <si>
    <t>58941</t>
  </si>
  <si>
    <t>58942</t>
  </si>
  <si>
    <t>58943</t>
  </si>
  <si>
    <t>58944</t>
  </si>
  <si>
    <t>58945</t>
  </si>
  <si>
    <t>58946</t>
  </si>
  <si>
    <t>58947</t>
  </si>
  <si>
    <t>58948</t>
  </si>
  <si>
    <t>58949</t>
  </si>
  <si>
    <t>58950</t>
  </si>
  <si>
    <t>58950A</t>
  </si>
  <si>
    <t>58951</t>
  </si>
  <si>
    <t>58952</t>
  </si>
  <si>
    <t>58954</t>
  </si>
  <si>
    <t>58958</t>
  </si>
  <si>
    <t>58959</t>
  </si>
  <si>
    <t>58960</t>
  </si>
  <si>
    <t>58961</t>
  </si>
  <si>
    <t>58962</t>
  </si>
  <si>
    <t>58963</t>
  </si>
  <si>
    <t>58966</t>
  </si>
  <si>
    <t>58967</t>
  </si>
  <si>
    <t>58968</t>
  </si>
  <si>
    <t>58969</t>
  </si>
  <si>
    <t>58970</t>
  </si>
  <si>
    <t>58971</t>
  </si>
  <si>
    <t>58972</t>
  </si>
  <si>
    <t>58973</t>
  </si>
  <si>
    <t>58974</t>
  </si>
  <si>
    <t>58975</t>
  </si>
  <si>
    <t>58976</t>
  </si>
  <si>
    <t>58977</t>
  </si>
  <si>
    <t>58978</t>
  </si>
  <si>
    <t>58979</t>
  </si>
  <si>
    <t>58980</t>
  </si>
  <si>
    <t>58981</t>
  </si>
  <si>
    <t>58982</t>
  </si>
  <si>
    <t>58983</t>
  </si>
  <si>
    <t>58984</t>
  </si>
  <si>
    <t>58985</t>
  </si>
  <si>
    <t>58986</t>
  </si>
  <si>
    <t>58987</t>
  </si>
  <si>
    <t>58988</t>
  </si>
  <si>
    <t>58990</t>
  </si>
  <si>
    <t>58991</t>
  </si>
  <si>
    <t>58992</t>
  </si>
  <si>
    <t>58993</t>
  </si>
  <si>
    <t>58994</t>
  </si>
  <si>
    <t>58995</t>
  </si>
  <si>
    <t>58996</t>
  </si>
  <si>
    <t>58997</t>
  </si>
  <si>
    <t>59000</t>
  </si>
  <si>
    <t>59001</t>
  </si>
  <si>
    <t>59002</t>
  </si>
  <si>
    <t>59003</t>
  </si>
  <si>
    <t>59004</t>
  </si>
  <si>
    <t>59005</t>
  </si>
  <si>
    <t>59006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</si>
  <si>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</si>
  <si>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</si>
  <si>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</si>
  <si>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</si>
  <si>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</si>
  <si>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</si>
  <si>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</si>
  <si>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</si>
  <si>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</si>
  <si>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</si>
  <si>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</si>
  <si>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</si>
  <si>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</si>
  <si>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</si>
  <si>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</si>
  <si>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</si>
  <si>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</si>
  <si>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</si>
  <si>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</si>
  <si>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</si>
  <si>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</si>
  <si>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</si>
  <si>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</si>
  <si>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</si>
  <si>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</si>
  <si>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</si>
  <si>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</si>
  <si>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</si>
  <si>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</si>
  <si>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59038</t>
  </si>
  <si>
    <t>59038A</t>
  </si>
  <si>
    <t>59038B</t>
  </si>
  <si>
    <t>59038C</t>
  </si>
  <si>
    <t>59038D</t>
  </si>
  <si>
    <t>59038E</t>
  </si>
  <si>
    <t>59038F</t>
  </si>
  <si>
    <t>59038G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</si>
  <si>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</si>
  <si>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</si>
  <si>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</si>
  <si>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</si>
  <si>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</si>
  <si>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</si>
  <si>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</si>
  <si>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</si>
  <si>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</si>
  <si>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</si>
  <si>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</si>
  <si>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</si>
  <si>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</si>
  <si>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</si>
  <si>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</si>
  <si>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</si>
  <si>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</si>
  <si>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</si>
  <si>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</si>
  <si>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</si>
  <si>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</si>
  <si>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</si>
  <si>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</si>
  <si>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</si>
  <si>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</si>
  <si>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</si>
  <si>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</si>
  <si>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</si>
  <si>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</si>
  <si>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</si>
  <si>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</si>
  <si>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</si>
  <si>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</si>
  <si>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</si>
  <si>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</si>
  <si>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</si>
  <si>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</si>
  <si>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</si>
  <si>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</si>
  <si>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</si>
  <si>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</si>
  <si>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59080A</t>
  </si>
  <si>
    <t>59080B</t>
  </si>
  <si>
    <t>59080C</t>
  </si>
  <si>
    <t>59081</t>
  </si>
  <si>
    <t>59082</t>
  </si>
  <si>
    <t>59083</t>
  </si>
  <si>
    <t>59084</t>
  </si>
  <si>
    <t>59085</t>
  </si>
  <si>
    <t>59086</t>
  </si>
  <si>
    <t>59087</t>
  </si>
  <si>
    <t>59087A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</si>
  <si>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</si>
  <si>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</si>
  <si>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</si>
  <si>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</si>
  <si>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</si>
  <si>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</si>
  <si>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</si>
  <si>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</si>
  <si>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</si>
  <si>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</si>
  <si>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</si>
  <si>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</si>
  <si>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</si>
  <si>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</si>
  <si>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</si>
  <si>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59102A</t>
  </si>
  <si>
    <t>59103</t>
  </si>
  <si>
    <t>59103A</t>
  </si>
  <si>
    <t>59104</t>
  </si>
  <si>
    <t>59104A</t>
  </si>
  <si>
    <t>59105</t>
  </si>
  <si>
    <t>59105A</t>
  </si>
  <si>
    <t>59106</t>
  </si>
  <si>
    <t>59106A</t>
  </si>
  <si>
    <t>59106B</t>
  </si>
  <si>
    <t>59107</t>
  </si>
  <si>
    <t>59107A</t>
  </si>
  <si>
    <t>59107B</t>
  </si>
  <si>
    <t>59108</t>
  </si>
  <si>
    <t>59108A</t>
  </si>
  <si>
    <t>59108B</t>
  </si>
  <si>
    <t>59109</t>
  </si>
  <si>
    <t>59109A</t>
  </si>
  <si>
    <t>59109B</t>
  </si>
  <si>
    <t>59110</t>
  </si>
  <si>
    <t>59110A</t>
  </si>
  <si>
    <t>59110B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</si>
  <si>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</si>
  <si>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</si>
  <si>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</si>
  <si>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</si>
  <si>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</si>
  <si>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</si>
  <si>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</si>
  <si>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</si>
  <si>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59120</t>
  </si>
  <si>
    <t>59121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</si>
  <si>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</si>
  <si>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</si>
  <si>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</si>
  <si>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</si>
  <si>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</si>
  <si>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</si>
  <si>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</si>
  <si>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</si>
  <si>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</si>
  <si>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</si>
  <si>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</si>
  <si>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</si>
  <si>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</si>
  <si>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</si>
  <si>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</si>
  <si>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</si>
  <si>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</si>
  <si>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</si>
  <si>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</si>
  <si>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</si>
  <si>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</si>
  <si>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</si>
  <si>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</si>
  <si>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</si>
  <si>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</si>
  <si>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</si>
  <si>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</si>
  <si>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</si>
  <si>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</si>
  <si>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</si>
  <si>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</si>
  <si>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</si>
  <si>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</si>
  <si>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</si>
  <si>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</si>
  <si>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</si>
  <si>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</si>
  <si>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</si>
  <si>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</si>
  <si>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</si>
  <si>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</si>
  <si>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</si>
  <si>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</si>
  <si>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</si>
  <si>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</si>
  <si>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</si>
  <si>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</si>
  <si>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</si>
  <si>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</si>
  <si>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</si>
  <si>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</si>
  <si>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</si>
  <si>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</si>
  <si>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</si>
  <si>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</si>
  <si>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</si>
  <si>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</si>
  <si>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</si>
  <si>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</si>
  <si>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</si>
  <si>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</si>
  <si>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</si>
  <si>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</si>
  <si>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</si>
  <si>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</si>
  <si>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</si>
  <si>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</si>
  <si>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</si>
  <si>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</si>
  <si>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</si>
  <si>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</si>
  <si>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</si>
  <si>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</si>
  <si>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</si>
  <si>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</si>
  <si>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</si>
  <si>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</si>
  <si>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</si>
  <si>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</si>
  <si>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</si>
  <si>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</si>
  <si>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</si>
  <si>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</si>
  <si>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</si>
  <si>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</si>
  <si>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</si>
  <si>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</si>
  <si>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</si>
  <si>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</si>
  <si>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</si>
  <si>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</si>
  <si>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</si>
  <si>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59219</t>
  </si>
  <si>
    <t>59220</t>
  </si>
  <si>
    <t>59220A</t>
  </si>
  <si>
    <t>59221</t>
  </si>
  <si>
    <t>59222</t>
  </si>
  <si>
    <t>59223</t>
  </si>
  <si>
    <t>59224</t>
  </si>
  <si>
    <t>59225</t>
  </si>
  <si>
    <t>59226</t>
  </si>
  <si>
    <t>59228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</si>
  <si>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</si>
  <si>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</si>
  <si>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</si>
  <si>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</si>
  <si>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</si>
  <si>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</si>
  <si>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</si>
  <si>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</si>
  <si>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</si>
  <si>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</si>
  <si>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</si>
  <si>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</si>
  <si>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</si>
  <si>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</si>
  <si>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</si>
  <si>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</si>
  <si>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</si>
  <si>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</si>
  <si>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59247A</t>
  </si>
  <si>
    <t>59250</t>
  </si>
  <si>
    <t>59251</t>
  </si>
  <si>
    <t>59251A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</si>
  <si>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</si>
  <si>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</si>
  <si>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</si>
  <si>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</si>
  <si>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</si>
  <si>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</si>
  <si>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</si>
  <si>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</si>
  <si>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</si>
  <si>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59262/1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</si>
  <si>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</si>
  <si>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</si>
  <si>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</si>
  <si>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</si>
  <si>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</si>
  <si>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</si>
  <si>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</si>
  <si>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</si>
  <si>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</si>
  <si>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</si>
  <si>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</si>
  <si>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</si>
  <si>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</si>
  <si>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59277</t>
  </si>
  <si>
    <t>59277A</t>
  </si>
  <si>
    <t>59279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</si>
  <si>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</si>
  <si>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</si>
  <si>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</si>
  <si>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</si>
  <si>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</si>
  <si>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</si>
  <si>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</si>
  <si>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</si>
  <si>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</si>
  <si>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</si>
  <si>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</si>
  <si>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</si>
  <si>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</si>
  <si>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</si>
  <si>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</si>
  <si>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</si>
  <si>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</si>
  <si>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</si>
  <si>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</si>
  <si>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</si>
  <si>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</si>
  <si>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</si>
  <si>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</si>
  <si>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</si>
  <si>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</si>
  <si>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</si>
  <si>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</si>
  <si>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</si>
  <si>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</si>
  <si>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</si>
  <si>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</si>
  <si>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</si>
  <si>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</si>
  <si>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</si>
  <si>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</si>
  <si>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</si>
  <si>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</si>
  <si>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</si>
  <si>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</si>
  <si>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</si>
  <si>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</si>
  <si>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</si>
  <si>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59323A</t>
  </si>
  <si>
    <t>59324</t>
  </si>
  <si>
    <t>59325</t>
  </si>
  <si>
    <t>59326</t>
  </si>
  <si>
    <t>59327</t>
  </si>
  <si>
    <t>59328</t>
  </si>
  <si>
    <t>59329</t>
  </si>
  <si>
    <t>59329A</t>
  </si>
  <si>
    <t>59330</t>
  </si>
  <si>
    <t>59331</t>
  </si>
  <si>
    <t>59332</t>
  </si>
  <si>
    <t>59333</t>
  </si>
  <si>
    <t>59333A</t>
  </si>
  <si>
    <t>59334</t>
  </si>
  <si>
    <t>59335</t>
  </si>
  <si>
    <t>59336</t>
  </si>
  <si>
    <t>59337</t>
  </si>
  <si>
    <t>59339</t>
  </si>
  <si>
    <t>59340</t>
  </si>
  <si>
    <t>59342</t>
  </si>
  <si>
    <t>59343</t>
  </si>
  <si>
    <t>59344</t>
  </si>
  <si>
    <t>59346</t>
  </si>
  <si>
    <t>59347</t>
  </si>
  <si>
    <t>59348</t>
  </si>
  <si>
    <t>59349</t>
  </si>
  <si>
    <t>59351</t>
  </si>
  <si>
    <t>59352</t>
  </si>
  <si>
    <t>59353</t>
  </si>
  <si>
    <t>59354</t>
  </si>
  <si>
    <t>59356</t>
  </si>
  <si>
    <t>59357</t>
  </si>
  <si>
    <t>59357A</t>
  </si>
  <si>
    <t>59358</t>
  </si>
  <si>
    <t>59359</t>
  </si>
  <si>
    <t>59360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</si>
  <si>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</si>
  <si>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</si>
  <si>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</si>
  <si>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</si>
  <si>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</si>
  <si>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</si>
  <si>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</si>
  <si>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</si>
  <si>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</si>
  <si>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</si>
  <si>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</si>
  <si>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</si>
  <si>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</si>
  <si>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</si>
  <si>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59379</t>
  </si>
  <si>
    <t>59380</t>
  </si>
  <si>
    <t>59380A</t>
  </si>
  <si>
    <t>59380B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</si>
  <si>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</si>
  <si>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</si>
  <si>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</si>
  <si>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</si>
  <si>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</si>
  <si>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</si>
  <si>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</si>
  <si>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</si>
  <si>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</si>
  <si>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59391</t>
  </si>
  <si>
    <t>59392</t>
  </si>
  <si>
    <t>59393</t>
  </si>
  <si>
    <t>59394</t>
  </si>
  <si>
    <t>59395</t>
  </si>
  <si>
    <t>59396</t>
  </si>
  <si>
    <t>59397</t>
  </si>
  <si>
    <t>59397A</t>
  </si>
  <si>
    <t>59398</t>
  </si>
  <si>
    <t>59399</t>
  </si>
  <si>
    <t>59400</t>
  </si>
  <si>
    <t>59400A</t>
  </si>
  <si>
    <t>59401</t>
  </si>
  <si>
    <t>59401A</t>
  </si>
  <si>
    <t>59401B</t>
  </si>
  <si>
    <t>59401C</t>
  </si>
  <si>
    <t>59401D</t>
  </si>
  <si>
    <t>59401E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</si>
  <si>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</si>
  <si>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</si>
  <si>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</si>
  <si>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</si>
  <si>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</si>
  <si>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</si>
  <si>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</si>
  <si>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</si>
  <si>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</si>
  <si>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</si>
  <si>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59411A</t>
  </si>
  <si>
    <t>59411B</t>
  </si>
  <si>
    <t>59412</t>
  </si>
  <si>
    <t>59419</t>
  </si>
  <si>
    <t>59419A</t>
  </si>
  <si>
    <t>59419B</t>
  </si>
  <si>
    <t>59419C</t>
  </si>
  <si>
    <t>59419D</t>
  </si>
  <si>
    <t>59420</t>
  </si>
  <si>
    <t>59421</t>
  </si>
  <si>
    <t>59421/A</t>
  </si>
  <si>
    <t>59421/B</t>
  </si>
  <si>
    <t>59422</t>
  </si>
  <si>
    <t>59422/A</t>
  </si>
  <si>
    <t>59423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</si>
  <si>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</si>
  <si>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</si>
  <si>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</si>
  <si>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</si>
  <si>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</si>
  <si>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</si>
  <si>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</si>
  <si>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</si>
  <si>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</si>
  <si>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</si>
  <si>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</si>
  <si>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</si>
  <si>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</si>
  <si>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</si>
  <si>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</si>
  <si>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</si>
  <si>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</si>
  <si>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</si>
  <si>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</si>
  <si>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</si>
  <si>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</si>
  <si>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</si>
  <si>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</si>
  <si>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</si>
  <si>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</si>
  <si>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</si>
  <si>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</si>
  <si>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</si>
  <si>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</si>
  <si>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</si>
  <si>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</si>
  <si>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</si>
  <si>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</si>
  <si>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</si>
  <si>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</si>
  <si>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</si>
  <si>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</si>
  <si>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59462A</t>
  </si>
  <si>
    <t>59465</t>
  </si>
  <si>
    <t>59466</t>
  </si>
  <si>
    <t>59467</t>
  </si>
  <si>
    <t>59468</t>
  </si>
  <si>
    <t>59469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</si>
  <si>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</si>
  <si>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</si>
  <si>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</si>
  <si>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</si>
  <si>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</si>
  <si>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</si>
  <si>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</si>
  <si>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</si>
  <si>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</si>
  <si>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</si>
  <si>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</si>
  <si>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</si>
  <si>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</si>
  <si>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</si>
  <si>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</si>
  <si>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</si>
  <si>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</si>
  <si>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</si>
  <si>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</si>
  <si>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</si>
  <si>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</si>
  <si>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</si>
  <si>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</si>
  <si>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</si>
  <si>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</si>
  <si>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</si>
  <si>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</si>
  <si>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</si>
  <si>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</si>
  <si>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</si>
  <si>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</si>
  <si>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</si>
  <si>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59509A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</si>
  <si>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</si>
  <si>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</si>
  <si>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</si>
  <si>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</si>
  <si>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</si>
  <si>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</si>
  <si>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</si>
  <si>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</si>
  <si>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</si>
  <si>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</si>
  <si>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</si>
  <si>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</si>
  <si>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</si>
  <si>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</si>
  <si>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</si>
  <si>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</si>
  <si>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</si>
  <si>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</si>
  <si>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</si>
  <si>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</si>
  <si>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</si>
  <si>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</si>
  <si>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</si>
  <si>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</si>
  <si>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</si>
  <si>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</si>
  <si>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</si>
  <si>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</si>
  <si>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</si>
  <si>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</si>
  <si>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</si>
  <si>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</si>
  <si>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</si>
  <si>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</si>
  <si>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</si>
  <si>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</si>
  <si>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</si>
  <si>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</si>
  <si>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</si>
  <si>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</si>
  <si>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</si>
  <si>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</si>
  <si>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59553A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</si>
  <si>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</si>
  <si>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</si>
  <si>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</si>
  <si>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</si>
  <si>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</si>
  <si>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</si>
  <si>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</si>
  <si>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</si>
  <si>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</si>
  <si>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</si>
  <si>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</si>
  <si>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</si>
  <si>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</si>
  <si>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</si>
  <si>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</si>
  <si>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</si>
  <si>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</si>
  <si>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</si>
  <si>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</si>
  <si>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</si>
  <si>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</si>
  <si>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</si>
  <si>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</si>
  <si>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</si>
  <si>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</si>
  <si>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</si>
  <si>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</si>
  <si>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</si>
  <si>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</si>
  <si>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</si>
  <si>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</si>
  <si>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</si>
  <si>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</si>
  <si>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</si>
  <si>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</si>
  <si>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</si>
  <si>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</si>
  <si>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59594</t>
  </si>
  <si>
    <t>59595</t>
  </si>
  <si>
    <t>59596</t>
  </si>
  <si>
    <t>59597</t>
  </si>
  <si>
    <t>59598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</si>
  <si>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</si>
  <si>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</si>
  <si>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</si>
  <si>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</si>
  <si>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</si>
  <si>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</si>
  <si>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</si>
  <si>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</si>
  <si>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</si>
  <si>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</si>
  <si>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</si>
  <si>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</si>
  <si>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</si>
  <si>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</si>
  <si>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</si>
  <si>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</si>
  <si>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</si>
  <si>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</si>
  <si>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</si>
  <si>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</si>
  <si>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</si>
  <si>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</si>
  <si>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</si>
  <si>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</si>
  <si>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</si>
  <si>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</si>
  <si>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</si>
  <si>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</si>
  <si>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</si>
  <si>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</si>
  <si>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</si>
  <si>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59631A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</si>
  <si>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</si>
  <si>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</si>
  <si>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</si>
  <si>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</si>
  <si>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</si>
  <si>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</si>
  <si>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</si>
  <si>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</si>
  <si>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</si>
  <si>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</si>
  <si>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</si>
  <si>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</si>
  <si>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</si>
  <si>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</si>
  <si>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</si>
  <si>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</si>
  <si>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</si>
  <si>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</si>
  <si>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</si>
  <si>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</si>
  <si>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</si>
  <si>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59654</t>
  </si>
  <si>
    <t>59655</t>
  </si>
  <si>
    <t>59656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</si>
  <si>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</si>
  <si>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</si>
  <si>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</si>
  <si>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</si>
  <si>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</si>
  <si>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</si>
  <si>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</si>
  <si>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</si>
  <si>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</si>
  <si>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</si>
  <si>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</si>
  <si>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</si>
  <si>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</si>
  <si>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59671</t>
  </si>
  <si>
    <t>60000</t>
  </si>
  <si>
    <t>60001</t>
  </si>
  <si>
    <t>60002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</si>
  <si>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</si>
  <si>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</si>
  <si>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</si>
  <si>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</si>
  <si>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</si>
  <si>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</si>
  <si>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</si>
  <si>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</si>
  <si>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</si>
  <si>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</si>
  <si>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</si>
  <si>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</si>
  <si>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</si>
  <si>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</si>
  <si>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</si>
  <si>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</si>
  <si>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</si>
  <si>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</si>
  <si>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</si>
  <si>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</si>
  <si>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</si>
  <si>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</si>
  <si>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</si>
  <si>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</si>
  <si>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</si>
  <si>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</si>
  <si>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</si>
  <si>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</si>
  <si>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</si>
  <si>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</si>
  <si>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60034/A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</si>
  <si>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</si>
  <si>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</si>
  <si>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</si>
  <si>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</si>
  <si>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</si>
  <si>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</si>
  <si>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</si>
  <si>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</si>
  <si>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60042A</t>
  </si>
  <si>
    <t>60043</t>
  </si>
  <si>
    <t>60043A</t>
  </si>
  <si>
    <t>60043B</t>
  </si>
  <si>
    <t>60043C</t>
  </si>
  <si>
    <t>60043D</t>
  </si>
  <si>
    <t>60044</t>
  </si>
  <si>
    <t>60045</t>
  </si>
  <si>
    <t>60046</t>
  </si>
  <si>
    <t>60046A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</si>
  <si>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</si>
  <si>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</si>
  <si>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</si>
  <si>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</si>
  <si>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</si>
  <si>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</si>
  <si>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</si>
  <si>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</si>
  <si>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</si>
  <si>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</si>
  <si>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</si>
  <si>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</si>
  <si>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</si>
  <si>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</si>
  <si>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</si>
  <si>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</si>
  <si>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</si>
  <si>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</si>
  <si>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</si>
  <si>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</si>
  <si>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</si>
  <si>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</si>
  <si>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</si>
  <si>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</si>
  <si>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</si>
  <si>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</si>
  <si>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</si>
  <si>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</si>
  <si>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</si>
  <si>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</si>
  <si>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</si>
  <si>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</si>
  <si>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</si>
  <si>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</si>
  <si>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</si>
  <si>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</si>
  <si>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</si>
  <si>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</si>
  <si>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</si>
  <si>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</si>
  <si>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</si>
  <si>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</si>
  <si>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</si>
  <si>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</si>
  <si>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</si>
  <si>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</si>
  <si>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</si>
  <si>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</si>
  <si>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</si>
  <si>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</si>
  <si>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</si>
  <si>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</si>
  <si>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</si>
  <si>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</si>
  <si>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</si>
  <si>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60104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</si>
  <si>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</si>
  <si>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</si>
  <si>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</si>
  <si>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</si>
  <si>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</si>
  <si>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</si>
  <si>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</si>
  <si>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</si>
  <si>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</si>
  <si>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</si>
  <si>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</si>
  <si>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</si>
  <si>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</si>
  <si>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</si>
  <si>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</si>
  <si>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</si>
  <si>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</si>
  <si>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</si>
  <si>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</si>
  <si>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</si>
  <si>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</si>
  <si>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</si>
  <si>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</si>
  <si>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</si>
  <si>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</si>
  <si>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</si>
  <si>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</si>
  <si>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</si>
  <si>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</si>
  <si>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60136</t>
  </si>
  <si>
    <t>60138</t>
  </si>
  <si>
    <t>60140</t>
  </si>
  <si>
    <t>60141</t>
  </si>
  <si>
    <t>60142</t>
  </si>
  <si>
    <t>60143</t>
  </si>
  <si>
    <t>60144</t>
  </si>
  <si>
    <t>60145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</si>
  <si>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</si>
  <si>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</si>
  <si>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</si>
  <si>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</si>
  <si>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</si>
  <si>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</si>
  <si>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</si>
  <si>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</si>
  <si>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</si>
  <si>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</si>
  <si>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60156A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</si>
  <si>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</si>
  <si>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</si>
  <si>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</si>
  <si>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</si>
  <si>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</si>
  <si>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</si>
  <si>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</si>
  <si>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</si>
  <si>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</si>
  <si>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</si>
  <si>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</si>
  <si>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</si>
  <si>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</si>
  <si>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</si>
  <si>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</si>
  <si>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</si>
  <si>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</si>
  <si>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</si>
  <si>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</si>
  <si>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</si>
  <si>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60178</t>
  </si>
  <si>
    <t>60179</t>
  </si>
  <si>
    <t>60180</t>
  </si>
  <si>
    <t>60181</t>
  </si>
  <si>
    <t>60182</t>
  </si>
  <si>
    <t>60183</t>
  </si>
  <si>
    <t>60185</t>
  </si>
  <si>
    <t>60186</t>
  </si>
  <si>
    <t>60187</t>
  </si>
  <si>
    <t>60188</t>
  </si>
  <si>
    <t>60189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</si>
  <si>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</si>
  <si>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</si>
  <si>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</si>
  <si>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</si>
  <si>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</si>
  <si>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</si>
  <si>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</si>
  <si>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</si>
  <si>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</si>
  <si>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</si>
  <si>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</si>
  <si>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</si>
  <si>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</si>
  <si>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</si>
  <si>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</si>
  <si>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</si>
  <si>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</si>
  <si>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60211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</si>
  <si>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</si>
  <si>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</si>
  <si>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</si>
  <si>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</si>
  <si>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</si>
  <si>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</si>
  <si>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</si>
  <si>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</si>
  <si>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</si>
  <si>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</si>
  <si>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</si>
  <si>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</si>
  <si>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</si>
  <si>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</si>
  <si>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</si>
  <si>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</si>
  <si>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</si>
  <si>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</si>
  <si>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</si>
  <si>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</si>
  <si>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</si>
  <si>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</si>
  <si>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</si>
  <si>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</si>
  <si>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</si>
  <si>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</si>
  <si>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</si>
  <si>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</si>
  <si>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</si>
  <si>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</si>
  <si>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</si>
  <si>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</si>
  <si>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</si>
  <si>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</si>
  <si>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</si>
  <si>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</si>
  <si>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</si>
  <si>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</si>
  <si>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</si>
  <si>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</si>
  <si>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</si>
  <si>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</si>
  <si>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</si>
  <si>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</si>
  <si>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</si>
  <si>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</si>
  <si>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</si>
  <si>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</si>
  <si>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</si>
  <si>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</si>
  <si>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60264</t>
  </si>
  <si>
    <t>60265</t>
  </si>
  <si>
    <t>60266</t>
  </si>
  <si>
    <t>60267</t>
  </si>
  <si>
    <t>60268</t>
  </si>
  <si>
    <t>60269</t>
  </si>
  <si>
    <t>60271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</si>
  <si>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</si>
  <si>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</si>
  <si>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</si>
  <si>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</si>
  <si>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</si>
  <si>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</si>
  <si>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</si>
  <si>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</si>
  <si>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60282</t>
  </si>
  <si>
    <t>60283</t>
  </si>
  <si>
    <t>60285</t>
  </si>
  <si>
    <t>60286</t>
  </si>
  <si>
    <t>60287</t>
  </si>
  <si>
    <t>60288</t>
  </si>
  <si>
    <t>60289</t>
  </si>
  <si>
    <t>60290</t>
  </si>
  <si>
    <t>60291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</si>
  <si>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</si>
  <si>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</si>
  <si>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</si>
  <si>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</si>
  <si>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</si>
  <si>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</si>
  <si>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</si>
  <si>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</si>
  <si>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</si>
  <si>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</si>
  <si>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</si>
  <si>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</si>
  <si>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</si>
  <si>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</si>
  <si>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</si>
  <si>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</si>
  <si>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</si>
  <si>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</si>
  <si>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</si>
  <si>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</si>
  <si>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</si>
  <si>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</si>
  <si>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</si>
  <si>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</si>
  <si>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</si>
  <si>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</si>
  <si>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</si>
  <si>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</si>
  <si>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</si>
  <si>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</si>
  <si>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</si>
  <si>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</si>
  <si>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</si>
  <si>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</si>
  <si>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</si>
  <si>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</si>
  <si>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</si>
  <si>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</si>
  <si>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</si>
  <si>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</si>
  <si>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</si>
  <si>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</si>
  <si>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</si>
  <si>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</si>
  <si>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60340</t>
  </si>
  <si>
    <t>60340A</t>
  </si>
  <si>
    <t>60341</t>
  </si>
  <si>
    <t>60342</t>
  </si>
  <si>
    <t>60343</t>
  </si>
  <si>
    <t>60344</t>
  </si>
  <si>
    <t>60345</t>
  </si>
  <si>
    <t>60346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</si>
  <si>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</si>
  <si>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</si>
  <si>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</si>
  <si>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</si>
  <si>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</si>
  <si>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</si>
  <si>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</si>
  <si>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</si>
  <si>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</si>
  <si>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</si>
  <si>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</si>
  <si>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</si>
  <si>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</si>
  <si>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</si>
  <si>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</si>
  <si>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</si>
  <si>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</si>
  <si>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</si>
  <si>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</si>
  <si>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</si>
  <si>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</si>
  <si>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60368A</t>
  </si>
  <si>
    <t>60368B</t>
  </si>
  <si>
    <t>60369</t>
  </si>
  <si>
    <t>60369A</t>
  </si>
  <si>
    <t>60369B</t>
  </si>
  <si>
    <t>60369C</t>
  </si>
  <si>
    <t>60369D</t>
  </si>
  <si>
    <t>60369E</t>
  </si>
  <si>
    <t>60370</t>
  </si>
  <si>
    <t>60371</t>
  </si>
  <si>
    <t>60372</t>
  </si>
  <si>
    <t>60373</t>
  </si>
  <si>
    <t>60374</t>
  </si>
  <si>
    <t>60374A</t>
  </si>
  <si>
    <t>60374B</t>
  </si>
  <si>
    <t>60375</t>
  </si>
  <si>
    <t>60375A</t>
  </si>
  <si>
    <t>60375B</t>
  </si>
  <si>
    <t>60376</t>
  </si>
  <si>
    <t>60376A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</si>
  <si>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</si>
  <si>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</si>
  <si>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</si>
  <si>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</si>
  <si>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</si>
  <si>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</si>
  <si>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</si>
  <si>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</si>
  <si>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</si>
  <si>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</si>
  <si>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</si>
  <si>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</si>
  <si>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</si>
  <si>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</si>
  <si>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</si>
  <si>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</si>
  <si>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</si>
  <si>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</si>
  <si>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</si>
  <si>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</si>
  <si>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</si>
  <si>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</si>
  <si>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</si>
  <si>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</si>
  <si>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</si>
  <si>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</si>
  <si>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</si>
  <si>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60405</t>
  </si>
  <si>
    <t>60406</t>
  </si>
  <si>
    <t>60407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</si>
  <si>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</si>
  <si>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</si>
  <si>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</si>
  <si>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</si>
  <si>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</si>
  <si>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</si>
  <si>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</si>
  <si>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</si>
  <si>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</si>
  <si>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</si>
  <si>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</si>
  <si>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</si>
  <si>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</si>
  <si>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</si>
  <si>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</si>
  <si>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</si>
  <si>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</si>
  <si>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</si>
  <si>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</si>
  <si>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</si>
  <si>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</si>
  <si>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</si>
  <si>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</si>
  <si>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</si>
  <si>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</si>
  <si>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</si>
  <si>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</si>
  <si>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</si>
  <si>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</si>
  <si>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</si>
  <si>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</si>
  <si>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</si>
  <si>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</si>
  <si>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</si>
  <si>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</si>
  <si>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</si>
  <si>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</si>
  <si>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</si>
  <si>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</si>
  <si>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</si>
  <si>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</si>
  <si>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</si>
  <si>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</si>
  <si>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</si>
  <si>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</si>
  <si>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</si>
  <si>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</si>
  <si>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</si>
  <si>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</si>
  <si>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</si>
  <si>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</si>
  <si>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</si>
  <si>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</si>
  <si>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</si>
  <si>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</si>
  <si>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</si>
  <si>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</si>
  <si>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</si>
  <si>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</si>
  <si>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</si>
  <si>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</si>
  <si>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60472A</t>
  </si>
  <si>
    <t>60473</t>
  </si>
  <si>
    <t>60474</t>
  </si>
  <si>
    <t>60475</t>
  </si>
  <si>
    <t>60476</t>
  </si>
  <si>
    <t>60477</t>
  </si>
  <si>
    <t>60478</t>
  </si>
  <si>
    <t>60478A</t>
  </si>
  <si>
    <t>60478B</t>
  </si>
  <si>
    <t>60478C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</si>
  <si>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</si>
  <si>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</si>
  <si>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</si>
  <si>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</si>
  <si>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</si>
  <si>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</si>
  <si>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</si>
  <si>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</si>
  <si>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</si>
  <si>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</si>
  <si>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</si>
  <si>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</si>
  <si>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</si>
  <si>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</si>
  <si>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</si>
  <si>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</si>
  <si>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</si>
  <si>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</si>
  <si>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</si>
  <si>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</si>
  <si>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</si>
  <si>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</si>
  <si>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</si>
  <si>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</si>
  <si>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</si>
  <si>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</si>
  <si>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</si>
  <si>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</si>
  <si>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</si>
  <si>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</si>
  <si>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</si>
  <si>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</si>
  <si>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60510/A</t>
  </si>
  <si>
    <t>60511</t>
  </si>
  <si>
    <t>60512</t>
  </si>
  <si>
    <t>60513</t>
  </si>
  <si>
    <t>60514</t>
  </si>
  <si>
    <t>60515</t>
  </si>
  <si>
    <t>60516</t>
  </si>
  <si>
    <t>60517</t>
  </si>
  <si>
    <t>60517A</t>
  </si>
  <si>
    <t>60518</t>
  </si>
  <si>
    <t>60519</t>
  </si>
  <si>
    <t>60519A</t>
  </si>
  <si>
    <t>60519B</t>
  </si>
  <si>
    <t>60519C</t>
  </si>
  <si>
    <t>60519D</t>
  </si>
  <si>
    <t>60519E</t>
  </si>
  <si>
    <t>60520</t>
  </si>
  <si>
    <t>60521</t>
  </si>
  <si>
    <t>60525</t>
  </si>
  <si>
    <t>60526</t>
  </si>
  <si>
    <t>60527</t>
  </si>
  <si>
    <t>60528</t>
  </si>
  <si>
    <t>60529</t>
  </si>
  <si>
    <t>60530</t>
  </si>
  <si>
    <t>60532</t>
  </si>
  <si>
    <t>60532A</t>
  </si>
  <si>
    <t>60533</t>
  </si>
  <si>
    <t>60534</t>
  </si>
  <si>
    <t>60535</t>
  </si>
  <si>
    <t>60536</t>
  </si>
  <si>
    <t>60537</t>
  </si>
  <si>
    <t>60537A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</si>
  <si>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</si>
  <si>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</si>
  <si>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</si>
  <si>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</si>
  <si>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</si>
  <si>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</si>
  <si>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</si>
  <si>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</si>
  <si>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</si>
  <si>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</si>
  <si>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</si>
  <si>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</si>
  <si>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</si>
  <si>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</si>
  <si>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</si>
  <si>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</si>
  <si>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</si>
  <si>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</si>
  <si>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</si>
  <si>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</si>
  <si>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</si>
  <si>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</si>
  <si>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</si>
  <si>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</si>
  <si>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</si>
  <si>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</si>
  <si>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</si>
  <si>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</si>
  <si>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</si>
  <si>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</si>
  <si>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</si>
  <si>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</si>
  <si>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</si>
  <si>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</si>
  <si>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</si>
  <si>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</si>
  <si>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</si>
  <si>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</si>
  <si>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</si>
  <si>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</si>
  <si>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</si>
  <si>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</si>
  <si>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</si>
  <si>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</si>
  <si>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</si>
  <si>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</si>
  <si>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</si>
  <si>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</si>
  <si>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</si>
  <si>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</si>
  <si>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</si>
  <si>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</si>
  <si>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</si>
  <si>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</si>
  <si>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</si>
  <si>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</si>
  <si>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</si>
  <si>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</si>
  <si>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</si>
  <si>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</si>
  <si>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</si>
  <si>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</si>
  <si>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</si>
  <si>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</si>
  <si>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</si>
  <si>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</si>
  <si>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</si>
  <si>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</si>
  <si>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</si>
  <si>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</si>
  <si>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</si>
  <si>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</si>
  <si>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</si>
  <si>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</si>
  <si>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</si>
  <si>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</si>
  <si>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</si>
  <si>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</si>
  <si>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</si>
  <si>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</si>
  <si>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</si>
  <si>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60625</t>
  </si>
  <si>
    <t>60627</t>
  </si>
  <si>
    <t>60628</t>
  </si>
  <si>
    <t>60630</t>
  </si>
  <si>
    <t>60633</t>
  </si>
  <si>
    <t>60634</t>
  </si>
  <si>
    <t>60635</t>
  </si>
  <si>
    <t>60635A</t>
  </si>
  <si>
    <t>60636</t>
  </si>
  <si>
    <t>60636A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</si>
  <si>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</si>
  <si>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</si>
  <si>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</si>
  <si>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</si>
  <si>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</si>
  <si>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</si>
  <si>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</si>
  <si>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</si>
  <si>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</si>
  <si>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</si>
  <si>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</si>
  <si>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</si>
  <si>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</si>
  <si>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</si>
  <si>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60650A</t>
  </si>
  <si>
    <t>60651</t>
  </si>
  <si>
    <t>60652</t>
  </si>
  <si>
    <t>60653</t>
  </si>
  <si>
    <t>60653A</t>
  </si>
  <si>
    <t>60655</t>
  </si>
  <si>
    <t>60656</t>
  </si>
  <si>
    <t>60657</t>
  </si>
  <si>
    <t>60657A</t>
  </si>
  <si>
    <t>60657B</t>
  </si>
  <si>
    <t>60657C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</si>
  <si>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</si>
  <si>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</si>
  <si>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</si>
  <si>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</si>
  <si>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</si>
  <si>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</si>
  <si>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</si>
  <si>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</si>
  <si>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</si>
  <si>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</si>
  <si>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</si>
  <si>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</si>
  <si>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</si>
  <si>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60670A</t>
  </si>
  <si>
    <t>60670B</t>
  </si>
  <si>
    <t>60671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</si>
  <si>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</si>
  <si>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</si>
  <si>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</si>
  <si>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</si>
  <si>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</si>
  <si>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</si>
  <si>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</si>
  <si>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</si>
  <si>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</si>
  <si>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</si>
  <si>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</si>
  <si>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</si>
  <si>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</si>
  <si>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</si>
  <si>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</si>
  <si>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</si>
  <si>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</si>
  <si>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60692</t>
  </si>
  <si>
    <t>60695</t>
  </si>
  <si>
    <t>60696</t>
  </si>
  <si>
    <t>60697</t>
  </si>
  <si>
    <t>60698</t>
  </si>
  <si>
    <t>60699</t>
  </si>
  <si>
    <t>60700</t>
  </si>
  <si>
    <t>60700B</t>
  </si>
  <si>
    <t>60700C</t>
  </si>
  <si>
    <t>60701</t>
  </si>
  <si>
    <t>60703</t>
  </si>
  <si>
    <t>60704</t>
  </si>
  <si>
    <t>60705</t>
  </si>
  <si>
    <t>60706</t>
  </si>
  <si>
    <t>60707</t>
  </si>
  <si>
    <t>60708</t>
  </si>
  <si>
    <t>60709</t>
  </si>
  <si>
    <t>60710</t>
  </si>
  <si>
    <t>60711</t>
  </si>
  <si>
    <t>60712</t>
  </si>
  <si>
    <t>60713</t>
  </si>
  <si>
    <t>60714</t>
  </si>
  <si>
    <t>60716</t>
  </si>
  <si>
    <t>60717</t>
  </si>
  <si>
    <t>60718</t>
  </si>
  <si>
    <t>60719</t>
  </si>
  <si>
    <t>60720</t>
  </si>
  <si>
    <t>60721</t>
  </si>
  <si>
    <t>60722</t>
  </si>
  <si>
    <t>60723</t>
  </si>
  <si>
    <t>60724</t>
  </si>
  <si>
    <t>60725</t>
  </si>
  <si>
    <t>60726</t>
  </si>
  <si>
    <t>60727</t>
  </si>
  <si>
    <t>60728</t>
  </si>
  <si>
    <t>60729</t>
  </si>
  <si>
    <t>60730</t>
  </si>
  <si>
    <t>60731</t>
  </si>
  <si>
    <t>60732</t>
  </si>
  <si>
    <t>60733</t>
  </si>
  <si>
    <t>60734</t>
  </si>
  <si>
    <t>60735</t>
  </si>
  <si>
    <t>60736</t>
  </si>
  <si>
    <t>60737</t>
  </si>
  <si>
    <t>60738</t>
  </si>
  <si>
    <t>60739</t>
  </si>
  <si>
    <t>60740</t>
  </si>
  <si>
    <t>60741</t>
  </si>
  <si>
    <t>60742</t>
  </si>
  <si>
    <t>60745</t>
  </si>
  <si>
    <t>60746</t>
  </si>
  <si>
    <t>60747</t>
  </si>
  <si>
    <t>60748</t>
  </si>
  <si>
    <t>60749</t>
  </si>
  <si>
    <t>60749A</t>
  </si>
  <si>
    <t>60752</t>
  </si>
  <si>
    <t>60754</t>
  </si>
  <si>
    <t>60755</t>
  </si>
  <si>
    <t>60756</t>
  </si>
  <si>
    <t>60759</t>
  </si>
  <si>
    <t>60760</t>
  </si>
  <si>
    <t>60761</t>
  </si>
  <si>
    <t>60762</t>
  </si>
  <si>
    <t>60763</t>
  </si>
  <si>
    <t>60764</t>
  </si>
  <si>
    <t>60764A</t>
  </si>
  <si>
    <t>60765</t>
  </si>
  <si>
    <t>60766</t>
  </si>
  <si>
    <t>60770</t>
  </si>
  <si>
    <t>60771</t>
  </si>
  <si>
    <t>60772</t>
  </si>
  <si>
    <t>60773AA</t>
  </si>
  <si>
    <t>60773BA</t>
  </si>
  <si>
    <t>60773CA</t>
  </si>
  <si>
    <t>60773DA</t>
  </si>
  <si>
    <t>60774</t>
  </si>
  <si>
    <t>60774A</t>
  </si>
  <si>
    <t>60775</t>
  </si>
  <si>
    <t>60776</t>
  </si>
  <si>
    <t>60777</t>
  </si>
  <si>
    <t>60778</t>
  </si>
  <si>
    <t>60779</t>
  </si>
  <si>
    <t>60780</t>
  </si>
  <si>
    <t>60781</t>
  </si>
  <si>
    <t>60782</t>
  </si>
  <si>
    <t>60783</t>
  </si>
  <si>
    <t>60784</t>
  </si>
  <si>
    <t>60784A</t>
  </si>
  <si>
    <t>60785</t>
  </si>
  <si>
    <t>60786</t>
  </si>
  <si>
    <t>60787</t>
  </si>
  <si>
    <t>60788</t>
  </si>
  <si>
    <t>60788A</t>
  </si>
  <si>
    <t>60788B</t>
  </si>
  <si>
    <t>60788C</t>
  </si>
  <si>
    <t>60788D</t>
  </si>
  <si>
    <t>60788E</t>
  </si>
  <si>
    <t>60788F</t>
  </si>
  <si>
    <t>60788G</t>
  </si>
  <si>
    <t>60788H</t>
  </si>
  <si>
    <t>60788I</t>
  </si>
  <si>
    <t>60788J</t>
  </si>
  <si>
    <t>60788K</t>
  </si>
  <si>
    <t>60789</t>
  </si>
  <si>
    <t>60790</t>
  </si>
  <si>
    <t>60791</t>
  </si>
  <si>
    <t>60792</t>
  </si>
  <si>
    <t>60793</t>
  </si>
  <si>
    <t>60794</t>
  </si>
  <si>
    <t>60795</t>
  </si>
  <si>
    <t>60796</t>
  </si>
  <si>
    <t>60797</t>
  </si>
  <si>
    <t>60798</t>
  </si>
  <si>
    <t>60798A</t>
  </si>
  <si>
    <t>60799</t>
  </si>
  <si>
    <t>60799A</t>
  </si>
  <si>
    <t>60799B</t>
  </si>
  <si>
    <t>60799C</t>
  </si>
  <si>
    <t>60799D</t>
  </si>
  <si>
    <t>60800</t>
  </si>
  <si>
    <t>60801</t>
  </si>
  <si>
    <t>60802</t>
  </si>
  <si>
    <t>60803</t>
  </si>
  <si>
    <t>60804</t>
  </si>
  <si>
    <t>60805</t>
  </si>
  <si>
    <t>60806</t>
  </si>
  <si>
    <t>60807</t>
  </si>
  <si>
    <t>60808</t>
  </si>
  <si>
    <t>60810</t>
  </si>
  <si>
    <t>60811</t>
  </si>
  <si>
    <t>60812</t>
  </si>
  <si>
    <t>60813</t>
  </si>
  <si>
    <t>60814</t>
  </si>
  <si>
    <t>60815</t>
  </si>
  <si>
    <t>60816</t>
  </si>
  <si>
    <t>60817</t>
  </si>
  <si>
    <t>60818</t>
  </si>
  <si>
    <t>60819</t>
  </si>
  <si>
    <t>60820</t>
  </si>
  <si>
    <t>60821</t>
  </si>
  <si>
    <t>60822</t>
  </si>
  <si>
    <t>60823</t>
  </si>
  <si>
    <t>60824</t>
  </si>
  <si>
    <t>60825</t>
  </si>
  <si>
    <t>60826</t>
  </si>
  <si>
    <t>60827</t>
  </si>
  <si>
    <t>60828</t>
  </si>
  <si>
    <t>60829</t>
  </si>
  <si>
    <t>60830</t>
  </si>
  <si>
    <t>60831</t>
  </si>
  <si>
    <t>60832</t>
  </si>
  <si>
    <t>60833</t>
  </si>
  <si>
    <t>60834</t>
  </si>
  <si>
    <t>60835</t>
  </si>
  <si>
    <t>60836</t>
  </si>
  <si>
    <t>60837</t>
  </si>
  <si>
    <t>60838</t>
  </si>
  <si>
    <t>60839</t>
  </si>
  <si>
    <t>60840</t>
  </si>
  <si>
    <t>60841</t>
  </si>
  <si>
    <t>60842</t>
  </si>
  <si>
    <t>60843</t>
  </si>
  <si>
    <t>60844</t>
  </si>
  <si>
    <t>60845</t>
  </si>
  <si>
    <t>60846</t>
  </si>
  <si>
    <t>60847</t>
  </si>
  <si>
    <t>60848</t>
  </si>
  <si>
    <t>60849</t>
  </si>
  <si>
    <t>60866</t>
  </si>
  <si>
    <t>60867</t>
  </si>
  <si>
    <t>60868</t>
  </si>
  <si>
    <t>60869</t>
  </si>
  <si>
    <t>60870</t>
  </si>
  <si>
    <t>60871</t>
  </si>
  <si>
    <t>60872</t>
  </si>
  <si>
    <t>60873</t>
  </si>
  <si>
    <t>60874</t>
  </si>
  <si>
    <t>60875</t>
  </si>
  <si>
    <t>60876</t>
  </si>
  <si>
    <t>60877</t>
  </si>
  <si>
    <t>60878</t>
  </si>
  <si>
    <t>60879</t>
  </si>
  <si>
    <t>60880</t>
  </si>
  <si>
    <t>60881</t>
  </si>
  <si>
    <t>60882</t>
  </si>
  <si>
    <t>60883</t>
  </si>
  <si>
    <t>60884</t>
  </si>
  <si>
    <t>60885</t>
  </si>
  <si>
    <t>60886</t>
  </si>
  <si>
    <t>60887</t>
  </si>
  <si>
    <t>60888</t>
  </si>
  <si>
    <t>60889</t>
  </si>
  <si>
    <t>60890</t>
  </si>
  <si>
    <t>60891</t>
  </si>
  <si>
    <t>60892</t>
  </si>
  <si>
    <t>60893</t>
  </si>
  <si>
    <t>60894</t>
  </si>
  <si>
    <t>60895</t>
  </si>
  <si>
    <t>60896</t>
  </si>
  <si>
    <t>60897</t>
  </si>
  <si>
    <t>60898</t>
  </si>
  <si>
    <t>60899</t>
  </si>
  <si>
    <t>60900</t>
  </si>
  <si>
    <t>60901</t>
  </si>
  <si>
    <t>60902</t>
  </si>
  <si>
    <t>60903</t>
  </si>
  <si>
    <t>60904</t>
  </si>
  <si>
    <t>60905</t>
  </si>
  <si>
    <t>60905A</t>
  </si>
  <si>
    <t>60906</t>
  </si>
  <si>
    <t>60907</t>
  </si>
  <si>
    <t>60908</t>
  </si>
  <si>
    <t>60909</t>
  </si>
  <si>
    <t>60910</t>
  </si>
  <si>
    <t>60911</t>
  </si>
  <si>
    <t>60912</t>
  </si>
  <si>
    <t>60913</t>
  </si>
  <si>
    <t>60914</t>
  </si>
  <si>
    <t>60915</t>
  </si>
  <si>
    <t>60916</t>
  </si>
  <si>
    <t>60917</t>
  </si>
  <si>
    <t>60918</t>
  </si>
  <si>
    <t>60919</t>
  </si>
  <si>
    <t>60920</t>
  </si>
  <si>
    <t>60921</t>
  </si>
  <si>
    <t>60922</t>
  </si>
  <si>
    <t>60923</t>
  </si>
  <si>
    <t>60924</t>
  </si>
  <si>
    <t>60925</t>
  </si>
  <si>
    <t>60926</t>
  </si>
  <si>
    <t>60927</t>
  </si>
  <si>
    <t>60928</t>
  </si>
  <si>
    <t>60929</t>
  </si>
  <si>
    <t>60930</t>
  </si>
  <si>
    <t>60931</t>
  </si>
  <si>
    <t>60932</t>
  </si>
  <si>
    <t>60933</t>
  </si>
  <si>
    <t>60935</t>
  </si>
  <si>
    <t>60936</t>
  </si>
  <si>
    <t>60937</t>
  </si>
  <si>
    <t>60938</t>
  </si>
  <si>
    <t>60939</t>
  </si>
  <si>
    <t>60940</t>
  </si>
  <si>
    <t>60941</t>
  </si>
  <si>
    <t>60942</t>
  </si>
  <si>
    <t>60943</t>
  </si>
  <si>
    <t>60944</t>
  </si>
  <si>
    <t>60945</t>
  </si>
  <si>
    <t>60946</t>
  </si>
  <si>
    <t>60947</t>
  </si>
  <si>
    <t>60948</t>
  </si>
  <si>
    <t>60949</t>
  </si>
  <si>
    <t>60950</t>
  </si>
  <si>
    <t>60951</t>
  </si>
  <si>
    <t>60951A</t>
  </si>
  <si>
    <t>60951B</t>
  </si>
  <si>
    <t>60952</t>
  </si>
  <si>
    <t>60953</t>
  </si>
  <si>
    <t>60954</t>
  </si>
  <si>
    <t>60954A</t>
  </si>
  <si>
    <t>60955</t>
  </si>
  <si>
    <t>60956</t>
  </si>
  <si>
    <t>60956A</t>
  </si>
  <si>
    <t>60956B</t>
  </si>
  <si>
    <t>60956C</t>
  </si>
  <si>
    <t>60956D</t>
  </si>
  <si>
    <t>60957</t>
  </si>
  <si>
    <t>60958</t>
  </si>
  <si>
    <t>60958A</t>
  </si>
  <si>
    <t>60959</t>
  </si>
  <si>
    <t>60960</t>
  </si>
  <si>
    <t>60961</t>
  </si>
  <si>
    <t>60962</t>
  </si>
  <si>
    <t>60963</t>
  </si>
  <si>
    <t>60964</t>
  </si>
  <si>
    <t>60965</t>
  </si>
  <si>
    <t>60966</t>
  </si>
  <si>
    <t>60967</t>
  </si>
  <si>
    <t>60968</t>
  </si>
  <si>
    <t>60969</t>
  </si>
  <si>
    <t>60970</t>
  </si>
  <si>
    <t>60971</t>
  </si>
  <si>
    <t>60972</t>
  </si>
  <si>
    <t>60973</t>
  </si>
  <si>
    <t>60974</t>
  </si>
  <si>
    <t>60975</t>
  </si>
  <si>
    <t>60976</t>
  </si>
  <si>
    <t>60977</t>
  </si>
  <si>
    <t>60978</t>
  </si>
  <si>
    <t>60979</t>
  </si>
  <si>
    <t>60980</t>
  </si>
  <si>
    <t>60981</t>
  </si>
  <si>
    <t>60982</t>
  </si>
  <si>
    <t>60983</t>
  </si>
  <si>
    <t>60985</t>
  </si>
  <si>
    <t>60986</t>
  </si>
  <si>
    <t>60987</t>
  </si>
  <si>
    <t>60988</t>
  </si>
  <si>
    <t>60989</t>
  </si>
  <si>
    <t>60990</t>
  </si>
  <si>
    <t>60991</t>
  </si>
  <si>
    <t>60992</t>
  </si>
  <si>
    <t>60993</t>
  </si>
  <si>
    <t>60994</t>
  </si>
  <si>
    <t>60996</t>
  </si>
  <si>
    <t>60997</t>
  </si>
  <si>
    <t>60998</t>
  </si>
  <si>
    <t>60999</t>
  </si>
  <si>
    <t>61000</t>
  </si>
  <si>
    <t>61001</t>
  </si>
  <si>
    <t>61002</t>
  </si>
  <si>
    <t>61003</t>
  </si>
  <si>
    <t>61004</t>
  </si>
  <si>
    <t>61004A</t>
  </si>
  <si>
    <t>61004B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</si>
  <si>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</si>
  <si>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</si>
  <si>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</si>
  <si>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</si>
  <si>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</si>
  <si>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</si>
  <si>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</si>
  <si>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</si>
  <si>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</si>
  <si>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</si>
  <si>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</si>
  <si>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</si>
  <si>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</si>
  <si>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</si>
  <si>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</si>
  <si>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</si>
  <si>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</si>
  <si>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</si>
  <si>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</si>
  <si>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</si>
  <si>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</si>
  <si>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</si>
  <si>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</si>
  <si>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</si>
  <si>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</si>
  <si>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</si>
  <si>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</si>
  <si>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</si>
  <si>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61038</t>
  </si>
  <si>
    <t>61039</t>
  </si>
  <si>
    <t>61040</t>
  </si>
  <si>
    <t>61041</t>
  </si>
  <si>
    <t>61041/CO</t>
  </si>
  <si>
    <t>61042</t>
  </si>
  <si>
    <t>61043</t>
  </si>
  <si>
    <t>61044</t>
  </si>
  <si>
    <t>61045</t>
  </si>
  <si>
    <t>61047</t>
  </si>
  <si>
    <t>61048</t>
  </si>
  <si>
    <t>61049</t>
  </si>
  <si>
    <t>61050</t>
  </si>
  <si>
    <t>61051</t>
  </si>
  <si>
    <t>61052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</si>
  <si>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</si>
  <si>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</si>
  <si>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</si>
  <si>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</si>
  <si>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</si>
  <si>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</si>
  <si>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</si>
  <si>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</si>
  <si>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</si>
  <si>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</si>
  <si>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</si>
  <si>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</si>
  <si>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</si>
  <si>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</si>
  <si>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</si>
  <si>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</si>
  <si>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</si>
  <si>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</si>
  <si>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</si>
  <si>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</si>
  <si>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</si>
  <si>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</si>
  <si>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</si>
  <si>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</si>
  <si>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</si>
  <si>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</si>
  <si>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</si>
  <si>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</si>
  <si>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</si>
  <si>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</si>
  <si>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</si>
  <si>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</si>
  <si>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61090</t>
  </si>
  <si>
    <t>61090A</t>
  </si>
  <si>
    <t>61091</t>
  </si>
  <si>
    <t>61092</t>
  </si>
  <si>
    <t>61093</t>
  </si>
  <si>
    <t>61094</t>
  </si>
  <si>
    <t>61095</t>
  </si>
  <si>
    <t>61096</t>
  </si>
  <si>
    <t>61098</t>
  </si>
  <si>
    <t>61098A</t>
  </si>
  <si>
    <t>61098B</t>
  </si>
  <si>
    <t>61098C</t>
  </si>
  <si>
    <t>61098D</t>
  </si>
  <si>
    <t>61098E</t>
  </si>
  <si>
    <t>61099</t>
  </si>
  <si>
    <t>61100</t>
  </si>
  <si>
    <t>61101</t>
  </si>
  <si>
    <t>61101A</t>
  </si>
  <si>
    <t>61102</t>
  </si>
  <si>
    <t>61103</t>
  </si>
  <si>
    <t>61104</t>
  </si>
  <si>
    <t>61104A</t>
  </si>
  <si>
    <t>61104B</t>
  </si>
  <si>
    <t>61104C</t>
  </si>
  <si>
    <t>61104D</t>
  </si>
  <si>
    <t>61104E</t>
  </si>
  <si>
    <t>61104F</t>
  </si>
  <si>
    <t>61104G</t>
  </si>
  <si>
    <t>61104H</t>
  </si>
  <si>
    <t>61104I</t>
  </si>
  <si>
    <t>61104J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</si>
  <si>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</si>
  <si>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</si>
  <si>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</si>
  <si>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</si>
  <si>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</si>
  <si>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</si>
  <si>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</si>
  <si>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</si>
  <si>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</si>
  <si>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</si>
  <si>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</si>
  <si>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61115/A</t>
  </si>
  <si>
    <t>61115/B</t>
  </si>
  <si>
    <t>61115A</t>
  </si>
  <si>
    <t>61116</t>
  </si>
  <si>
    <t>61117</t>
  </si>
  <si>
    <t>61118</t>
  </si>
  <si>
    <t>61119</t>
  </si>
  <si>
    <t>61120</t>
  </si>
  <si>
    <t>61121</t>
  </si>
  <si>
    <t>61122</t>
  </si>
  <si>
    <t>61122/A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</si>
  <si>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</si>
  <si>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</si>
  <si>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</si>
  <si>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</si>
  <si>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</si>
  <si>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</si>
  <si>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</si>
  <si>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</si>
  <si>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</si>
  <si>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</si>
  <si>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</si>
  <si>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</si>
  <si>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</si>
  <si>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</si>
  <si>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</si>
  <si>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</si>
  <si>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</si>
  <si>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</si>
  <si>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</si>
  <si>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</si>
  <si>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</si>
  <si>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</si>
  <si>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</si>
  <si>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</si>
  <si>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</si>
  <si>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</si>
  <si>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61151</t>
  </si>
  <si>
    <t>61152</t>
  </si>
  <si>
    <t>61153</t>
  </si>
  <si>
    <t>61154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</si>
  <si>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</si>
  <si>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</si>
  <si>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</si>
  <si>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</si>
  <si>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</si>
  <si>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</si>
  <si>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</si>
  <si>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</si>
  <si>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</si>
  <si>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</si>
  <si>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61165A</t>
  </si>
  <si>
    <t>61166</t>
  </si>
  <si>
    <t>61167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</si>
  <si>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</si>
  <si>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</si>
  <si>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</si>
  <si>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</si>
  <si>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</si>
  <si>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</si>
  <si>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</si>
  <si>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</si>
  <si>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61176A</t>
  </si>
  <si>
    <t>61176B</t>
  </si>
  <si>
    <t>61176C</t>
  </si>
  <si>
    <t>61178</t>
  </si>
  <si>
    <t>61179</t>
  </si>
  <si>
    <t>61180</t>
  </si>
  <si>
    <t>61181</t>
  </si>
  <si>
    <t>61182</t>
  </si>
  <si>
    <t>61182A</t>
  </si>
  <si>
    <t>61182B</t>
  </si>
  <si>
    <t>61182C</t>
  </si>
  <si>
    <t>61182D</t>
  </si>
  <si>
    <t>61182E</t>
  </si>
  <si>
    <t>61184</t>
  </si>
  <si>
    <t>61184/A</t>
  </si>
  <si>
    <t>61185</t>
  </si>
  <si>
    <t>61186</t>
  </si>
  <si>
    <t>61187</t>
  </si>
  <si>
    <t>61188</t>
  </si>
  <si>
    <t>61189</t>
  </si>
  <si>
    <t>61189A</t>
  </si>
  <si>
    <t>61189B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</si>
  <si>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</si>
  <si>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</si>
  <si>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</si>
  <si>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</si>
  <si>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</si>
  <si>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</si>
  <si>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</si>
  <si>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</si>
  <si>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</si>
  <si>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</si>
  <si>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</si>
  <si>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</si>
  <si>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</si>
  <si>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</si>
  <si>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</si>
  <si>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61204A</t>
  </si>
  <si>
    <t>61204B</t>
  </si>
  <si>
    <t>61205</t>
  </si>
  <si>
    <t>61205A</t>
  </si>
  <si>
    <t>61205B</t>
  </si>
  <si>
    <t>61205C</t>
  </si>
  <si>
    <t>61205D</t>
  </si>
  <si>
    <t>61205E</t>
  </si>
  <si>
    <t>61205F</t>
  </si>
  <si>
    <t>61205G</t>
  </si>
  <si>
    <t>61205G/CO</t>
  </si>
  <si>
    <t>61206</t>
  </si>
  <si>
    <t>61207</t>
  </si>
  <si>
    <t>61208</t>
  </si>
  <si>
    <t>61209</t>
  </si>
  <si>
    <t>61210</t>
  </si>
  <si>
    <t>61212</t>
  </si>
  <si>
    <t>61213</t>
  </si>
  <si>
    <t>61214</t>
  </si>
  <si>
    <t>61215</t>
  </si>
  <si>
    <t>61216</t>
  </si>
  <si>
    <t>61217</t>
  </si>
  <si>
    <t>61218</t>
  </si>
  <si>
    <t>61218/A</t>
  </si>
  <si>
    <t>61219</t>
  </si>
  <si>
    <t>61219/A</t>
  </si>
  <si>
    <t>61220</t>
  </si>
  <si>
    <t>61220/A</t>
  </si>
  <si>
    <t>61221</t>
  </si>
  <si>
    <t>61221/A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</si>
  <si>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</si>
  <si>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</si>
  <si>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</si>
  <si>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</si>
  <si>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</si>
  <si>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</si>
  <si>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</si>
  <si>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</si>
  <si>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</si>
  <si>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</si>
  <si>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</si>
  <si>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</si>
  <si>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</si>
  <si>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</si>
  <si>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</si>
  <si>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</si>
  <si>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</si>
  <si>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</si>
  <si>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</si>
  <si>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61243A</t>
  </si>
  <si>
    <t>61243B</t>
  </si>
  <si>
    <t>61243C</t>
  </si>
  <si>
    <t>61243D</t>
  </si>
  <si>
    <t>61243E</t>
  </si>
  <si>
    <t>61243F</t>
  </si>
  <si>
    <t>61244</t>
  </si>
  <si>
    <t>61244/CO</t>
  </si>
  <si>
    <t>61244A</t>
  </si>
  <si>
    <t>61245</t>
  </si>
  <si>
    <t>61245A</t>
  </si>
  <si>
    <t>61245B</t>
  </si>
  <si>
    <t>61245B/CO</t>
  </si>
  <si>
    <t>61245C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</si>
  <si>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</si>
  <si>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</si>
  <si>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</si>
  <si>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</si>
  <si>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</si>
  <si>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</si>
  <si>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</si>
  <si>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</si>
  <si>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61253A</t>
  </si>
  <si>
    <t>61254</t>
  </si>
  <si>
    <t>61255</t>
  </si>
  <si>
    <t>61256</t>
  </si>
  <si>
    <t>61257</t>
  </si>
  <si>
    <t>61258</t>
  </si>
  <si>
    <t>61259</t>
  </si>
  <si>
    <t>61259A</t>
  </si>
  <si>
    <t>61259B</t>
  </si>
  <si>
    <t>61259C</t>
  </si>
  <si>
    <t>61260</t>
  </si>
  <si>
    <t>61261</t>
  </si>
  <si>
    <t>61262</t>
  </si>
  <si>
    <t>61263</t>
  </si>
  <si>
    <t>61265</t>
  </si>
  <si>
    <t>61266</t>
  </si>
  <si>
    <t>61267</t>
  </si>
  <si>
    <t>61268</t>
  </si>
  <si>
    <t>61269</t>
  </si>
  <si>
    <t>61270</t>
  </si>
  <si>
    <t>61270A</t>
  </si>
  <si>
    <t>61271</t>
  </si>
  <si>
    <t>61271A</t>
  </si>
  <si>
    <t>61271B</t>
  </si>
  <si>
    <t>61271C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</si>
  <si>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</si>
  <si>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</si>
  <si>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</si>
  <si>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</si>
  <si>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</si>
  <si>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</si>
  <si>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</si>
  <si>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</si>
  <si>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61281</t>
  </si>
  <si>
    <t>61282</t>
  </si>
  <si>
    <t>61283</t>
  </si>
  <si>
    <t>61284</t>
  </si>
  <si>
    <t>61285</t>
  </si>
  <si>
    <t>61286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</si>
  <si>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</si>
  <si>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</si>
  <si>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</si>
  <si>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</si>
  <si>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</si>
  <si>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</si>
  <si>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</si>
  <si>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</si>
  <si>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</si>
  <si>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</si>
  <si>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</si>
  <si>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</si>
  <si>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61299A</t>
  </si>
  <si>
    <t>61300</t>
  </si>
  <si>
    <t>61301</t>
  </si>
  <si>
    <t>61302</t>
  </si>
  <si>
    <t>61303</t>
  </si>
  <si>
    <t>61304</t>
  </si>
  <si>
    <t>61304A</t>
  </si>
  <si>
    <t>61305</t>
  </si>
  <si>
    <t>61306</t>
  </si>
  <si>
    <t>61307</t>
  </si>
  <si>
    <t>61308</t>
  </si>
  <si>
    <t>61309</t>
  </si>
  <si>
    <t>61310</t>
  </si>
  <si>
    <t>61310A</t>
  </si>
  <si>
    <t>61310B</t>
  </si>
  <si>
    <t>61310C</t>
  </si>
  <si>
    <t>61310D</t>
  </si>
  <si>
    <t>61310E</t>
  </si>
  <si>
    <t>61311</t>
  </si>
  <si>
    <t>61311A</t>
  </si>
  <si>
    <t>61311B</t>
  </si>
  <si>
    <t>61311C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</si>
  <si>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</si>
  <si>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</si>
  <si>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</si>
  <si>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</si>
  <si>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</si>
  <si>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</si>
  <si>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</si>
  <si>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</si>
  <si>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</si>
  <si>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</si>
  <si>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</si>
  <si>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</si>
  <si>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</si>
  <si>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</si>
  <si>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</si>
  <si>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</si>
  <si>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</si>
  <si>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</si>
  <si>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</si>
  <si>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</si>
  <si>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</si>
  <si>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</si>
  <si>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</si>
  <si>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61335A</t>
  </si>
  <si>
    <t>61335B</t>
  </si>
  <si>
    <t>61335C</t>
  </si>
  <si>
    <t>61335D</t>
  </si>
  <si>
    <t>61335E</t>
  </si>
  <si>
    <t>61336</t>
  </si>
  <si>
    <t>61337</t>
  </si>
  <si>
    <t>61338</t>
  </si>
  <si>
    <t>61339</t>
  </si>
  <si>
    <t>61340</t>
  </si>
  <si>
    <t>61340A</t>
  </si>
  <si>
    <t>61340C</t>
  </si>
  <si>
    <t>61341</t>
  </si>
  <si>
    <t>61342</t>
  </si>
  <si>
    <t>61343</t>
  </si>
  <si>
    <t>61344</t>
  </si>
  <si>
    <t>61344A</t>
  </si>
  <si>
    <t>61344B</t>
  </si>
  <si>
    <t>61345</t>
  </si>
  <si>
    <t>61346</t>
  </si>
  <si>
    <t>61347</t>
  </si>
  <si>
    <t>61350</t>
  </si>
  <si>
    <t>61351</t>
  </si>
  <si>
    <t>61352</t>
  </si>
  <si>
    <t>61352A</t>
  </si>
  <si>
    <t>61352B</t>
  </si>
  <si>
    <t>61352C</t>
  </si>
  <si>
    <t>61352D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</si>
  <si>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</si>
  <si>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</si>
  <si>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</si>
  <si>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</si>
  <si>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</si>
  <si>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</si>
  <si>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</si>
  <si>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</si>
  <si>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</si>
  <si>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</si>
  <si>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</si>
  <si>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61365</t>
  </si>
  <si>
    <t>61366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</si>
  <si>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</si>
  <si>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</si>
  <si>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</si>
  <si>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</si>
  <si>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</si>
  <si>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</si>
  <si>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</si>
  <si>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</si>
  <si>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</si>
  <si>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</si>
  <si>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</si>
  <si>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</si>
  <si>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</si>
  <si>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</si>
  <si>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</si>
  <si>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</si>
  <si>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</si>
  <si>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</si>
  <si>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</si>
  <si>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</si>
  <si>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</si>
  <si>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</si>
  <si>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</si>
  <si>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</si>
  <si>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</si>
  <si>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</si>
  <si>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</si>
  <si>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</si>
  <si>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</si>
  <si>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</si>
  <si>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</si>
  <si>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</si>
  <si>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</si>
  <si>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</si>
  <si>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</si>
  <si>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</si>
  <si>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61404</t>
  </si>
  <si>
    <t>61405</t>
  </si>
  <si>
    <t>61406</t>
  </si>
  <si>
    <t>61407</t>
  </si>
  <si>
    <t>61408</t>
  </si>
  <si>
    <t>61409</t>
  </si>
  <si>
    <t>61409A</t>
  </si>
  <si>
    <t>61410</t>
  </si>
  <si>
    <t>61411</t>
  </si>
  <si>
    <t>61412</t>
  </si>
  <si>
    <t>61413</t>
  </si>
  <si>
    <t>61415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</si>
  <si>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</si>
  <si>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</si>
  <si>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</si>
  <si>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</si>
  <si>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</si>
  <si>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</si>
  <si>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</si>
  <si>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</si>
  <si>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</si>
  <si>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</si>
  <si>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</si>
  <si>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</si>
  <si>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</si>
  <si>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</si>
  <si>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</si>
  <si>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</si>
  <si>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</si>
  <si>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</si>
  <si>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</si>
  <si>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</si>
  <si>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</si>
  <si>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</si>
  <si>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</si>
  <si>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</si>
  <si>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</si>
  <si>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</si>
  <si>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</si>
  <si>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</si>
  <si>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</si>
  <si>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</si>
  <si>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</si>
  <si>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</si>
  <si>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</si>
  <si>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</si>
  <si>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</si>
  <si>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</si>
  <si>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</si>
  <si>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</si>
  <si>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61456</t>
  </si>
  <si>
    <t>61457</t>
  </si>
  <si>
    <t>61458</t>
  </si>
  <si>
    <t>61459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</si>
  <si>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</si>
  <si>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</si>
  <si>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</si>
  <si>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</si>
  <si>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</si>
  <si>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</si>
  <si>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</si>
  <si>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</si>
  <si>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61468A</t>
  </si>
  <si>
    <t>61468D</t>
  </si>
  <si>
    <t>61469</t>
  </si>
  <si>
    <t>61470</t>
  </si>
  <si>
    <t>61471</t>
  </si>
  <si>
    <t>61472</t>
  </si>
  <si>
    <t>61473</t>
  </si>
  <si>
    <t>61474</t>
  </si>
  <si>
    <t>61474A</t>
  </si>
  <si>
    <t>61475</t>
  </si>
  <si>
    <t>61475A</t>
  </si>
  <si>
    <t>61476</t>
  </si>
  <si>
    <t>61478</t>
  </si>
  <si>
    <t>61481</t>
  </si>
  <si>
    <t>61481A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</si>
  <si>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</si>
  <si>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</si>
  <si>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</si>
  <si>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</si>
  <si>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</si>
  <si>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</si>
  <si>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</si>
  <si>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</si>
  <si>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</si>
  <si>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61493</t>
  </si>
  <si>
    <t>61494</t>
  </si>
  <si>
    <t>61495</t>
  </si>
  <si>
    <t>61496</t>
  </si>
  <si>
    <t>61497</t>
  </si>
  <si>
    <t>61498</t>
  </si>
  <si>
    <t>61499</t>
  </si>
  <si>
    <t>61499A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</si>
  <si>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</si>
  <si>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</si>
  <si>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</si>
  <si>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</si>
  <si>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</si>
  <si>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</si>
  <si>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</si>
  <si>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</si>
  <si>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</si>
  <si>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</si>
  <si>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</si>
  <si>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61510A</t>
  </si>
  <si>
    <t>61511</t>
  </si>
  <si>
    <t>61512</t>
  </si>
  <si>
    <t>61513</t>
  </si>
  <si>
    <t>61515</t>
  </si>
  <si>
    <t>61516</t>
  </si>
  <si>
    <t>61517</t>
  </si>
  <si>
    <t>61518</t>
  </si>
  <si>
    <t>61519</t>
  </si>
  <si>
    <t>61520</t>
  </si>
  <si>
    <t>61521</t>
  </si>
  <si>
    <t>61522</t>
  </si>
  <si>
    <t>61523</t>
  </si>
  <si>
    <t>61524</t>
  </si>
  <si>
    <t>61525</t>
  </si>
  <si>
    <t>61526</t>
  </si>
  <si>
    <t>61527</t>
  </si>
  <si>
    <t>61528</t>
  </si>
  <si>
    <t>61529</t>
  </si>
  <si>
    <t>61529A</t>
  </si>
  <si>
    <t>61529B</t>
  </si>
  <si>
    <t>61530</t>
  </si>
  <si>
    <t>61531</t>
  </si>
  <si>
    <t>61532</t>
  </si>
  <si>
    <t>61533</t>
  </si>
  <si>
    <t>61534</t>
  </si>
  <si>
    <t>61535</t>
  </si>
  <si>
    <t>61537</t>
  </si>
  <si>
    <t>61538</t>
  </si>
  <si>
    <t>61539</t>
  </si>
  <si>
    <t>61539A</t>
  </si>
  <si>
    <t>61539B</t>
  </si>
  <si>
    <t>61540</t>
  </si>
  <si>
    <t>61541</t>
  </si>
  <si>
    <t>61541A</t>
  </si>
  <si>
    <t>61541B</t>
  </si>
  <si>
    <t>61542</t>
  </si>
  <si>
    <t>61544</t>
  </si>
  <si>
    <t>61545</t>
  </si>
  <si>
    <t>61546</t>
  </si>
  <si>
    <t>61547</t>
  </si>
  <si>
    <t>61548</t>
  </si>
  <si>
    <t>61549</t>
  </si>
  <si>
    <t>61550</t>
  </si>
  <si>
    <t>61552</t>
  </si>
  <si>
    <t>61553</t>
  </si>
  <si>
    <t>61554</t>
  </si>
  <si>
    <t>61555</t>
  </si>
  <si>
    <t>61556</t>
  </si>
  <si>
    <t>61557</t>
  </si>
  <si>
    <t>61558</t>
  </si>
  <si>
    <t>61558A</t>
  </si>
  <si>
    <t>61558B</t>
  </si>
  <si>
    <t>61558C</t>
  </si>
  <si>
    <t>61558D</t>
  </si>
  <si>
    <t>61558E</t>
  </si>
  <si>
    <t>61558F</t>
  </si>
  <si>
    <t>61559</t>
  </si>
  <si>
    <t>61560</t>
  </si>
  <si>
    <t>61561</t>
  </si>
  <si>
    <t>61562</t>
  </si>
  <si>
    <t>61566</t>
  </si>
  <si>
    <t>61567</t>
  </si>
  <si>
    <t>61568</t>
  </si>
  <si>
    <t>61570</t>
  </si>
  <si>
    <t>61570A</t>
  </si>
  <si>
    <t>61570B</t>
  </si>
  <si>
    <t>61570C</t>
  </si>
  <si>
    <t>61570D</t>
  </si>
  <si>
    <t>61570E</t>
  </si>
  <si>
    <t>61570F</t>
  </si>
  <si>
    <t>61570G</t>
  </si>
  <si>
    <t>61570H</t>
  </si>
  <si>
    <t>61570I</t>
  </si>
  <si>
    <t>61571</t>
  </si>
  <si>
    <t>61572</t>
  </si>
  <si>
    <t>61573</t>
  </si>
  <si>
    <t>61574</t>
  </si>
  <si>
    <t>61574A</t>
  </si>
  <si>
    <t>61574B</t>
  </si>
  <si>
    <t>61575</t>
  </si>
  <si>
    <t>61575A</t>
  </si>
  <si>
    <t>61576</t>
  </si>
  <si>
    <t>61579</t>
  </si>
  <si>
    <t>61580</t>
  </si>
  <si>
    <t>61580/CO</t>
  </si>
  <si>
    <t>61581</t>
  </si>
  <si>
    <t>61581/CO</t>
  </si>
  <si>
    <t>61582</t>
  </si>
  <si>
    <t>61582A</t>
  </si>
  <si>
    <t>61583</t>
  </si>
  <si>
    <t>61584</t>
  </si>
  <si>
    <t>61585</t>
  </si>
  <si>
    <t>61586</t>
  </si>
  <si>
    <t>61587</t>
  </si>
  <si>
    <t>61588</t>
  </si>
  <si>
    <t>61589</t>
  </si>
  <si>
    <t>61592</t>
  </si>
  <si>
    <t>61593</t>
  </si>
  <si>
    <t>61594</t>
  </si>
  <si>
    <t>61595</t>
  </si>
  <si>
    <t>61595/CO</t>
  </si>
  <si>
    <t>61596</t>
  </si>
  <si>
    <t>61597</t>
  </si>
  <si>
    <t>61598</t>
  </si>
  <si>
    <t>61599</t>
  </si>
  <si>
    <t>61600</t>
  </si>
  <si>
    <t>61601</t>
  </si>
  <si>
    <t>61601A</t>
  </si>
  <si>
    <t>61601B</t>
  </si>
  <si>
    <t>61602</t>
  </si>
  <si>
    <t>61602/CO</t>
  </si>
  <si>
    <t>61602A</t>
  </si>
  <si>
    <t>61603</t>
  </si>
  <si>
    <t>61603A</t>
  </si>
  <si>
    <t>61603B</t>
  </si>
  <si>
    <t>61603C</t>
  </si>
  <si>
    <t>61603D</t>
  </si>
  <si>
    <t>61604</t>
  </si>
  <si>
    <t>61604A</t>
  </si>
  <si>
    <t>61604B</t>
  </si>
  <si>
    <t>61604C</t>
  </si>
  <si>
    <t>61604D</t>
  </si>
  <si>
    <t>61605</t>
  </si>
  <si>
    <t>61606</t>
  </si>
  <si>
    <t>61607</t>
  </si>
  <si>
    <t>61608</t>
  </si>
  <si>
    <t>61609</t>
  </si>
  <si>
    <t>61612</t>
  </si>
  <si>
    <t>61613</t>
  </si>
  <si>
    <t>61614</t>
  </si>
  <si>
    <t>61615</t>
  </si>
  <si>
    <t>61616</t>
  </si>
  <si>
    <t>61617</t>
  </si>
  <si>
    <t>61618</t>
  </si>
  <si>
    <t>61619</t>
  </si>
  <si>
    <t>61620</t>
  </si>
  <si>
    <t>61621</t>
  </si>
  <si>
    <t>61622</t>
  </si>
  <si>
    <t>61623</t>
  </si>
  <si>
    <t>61624</t>
  </si>
  <si>
    <t>61625</t>
  </si>
  <si>
    <t>61626</t>
  </si>
  <si>
    <t>61627</t>
  </si>
  <si>
    <t>61628</t>
  </si>
  <si>
    <t>61630</t>
  </si>
  <si>
    <t>61631</t>
  </si>
  <si>
    <t>61632</t>
  </si>
  <si>
    <t>61633</t>
  </si>
  <si>
    <t>61634</t>
  </si>
  <si>
    <t>61635</t>
  </si>
  <si>
    <t>61636</t>
  </si>
  <si>
    <t>61637</t>
  </si>
  <si>
    <t>61639</t>
  </si>
  <si>
    <t>61640</t>
  </si>
  <si>
    <t>61641</t>
  </si>
  <si>
    <t>61642</t>
  </si>
  <si>
    <t>61643</t>
  </si>
  <si>
    <t>61644</t>
  </si>
  <si>
    <t>61645</t>
  </si>
  <si>
    <t>61646</t>
  </si>
  <si>
    <t>61647</t>
  </si>
  <si>
    <t>61648</t>
  </si>
  <si>
    <t>61649</t>
  </si>
  <si>
    <t>61650</t>
  </si>
  <si>
    <t>61651</t>
  </si>
  <si>
    <t>61653</t>
  </si>
  <si>
    <t>61654</t>
  </si>
  <si>
    <t>61655</t>
  </si>
  <si>
    <t>61656</t>
  </si>
  <si>
    <t>61657</t>
  </si>
  <si>
    <t>61658</t>
  </si>
  <si>
    <t>61659</t>
  </si>
  <si>
    <t>61660</t>
  </si>
  <si>
    <t>61661</t>
  </si>
  <si>
    <t>61662</t>
  </si>
  <si>
    <t>61663</t>
  </si>
  <si>
    <t>61664</t>
  </si>
  <si>
    <t>61664A</t>
  </si>
  <si>
    <t>61664B</t>
  </si>
  <si>
    <t>61665</t>
  </si>
  <si>
    <t>61666</t>
  </si>
  <si>
    <t>61667</t>
  </si>
  <si>
    <t>61668</t>
  </si>
  <si>
    <t>61669</t>
  </si>
  <si>
    <t>61670</t>
  </si>
  <si>
    <t>61671</t>
  </si>
  <si>
    <t>61672</t>
  </si>
  <si>
    <t>61673</t>
  </si>
  <si>
    <t>61674</t>
  </si>
  <si>
    <t>61675</t>
  </si>
  <si>
    <t>61676</t>
  </si>
  <si>
    <t>61677</t>
  </si>
  <si>
    <t>61678</t>
  </si>
  <si>
    <t>61679</t>
  </si>
  <si>
    <t>61680</t>
  </si>
  <si>
    <t>61681</t>
  </si>
  <si>
    <t>61682</t>
  </si>
  <si>
    <t>61683</t>
  </si>
  <si>
    <t>61684</t>
  </si>
  <si>
    <t>61684A</t>
  </si>
  <si>
    <t>61685</t>
  </si>
  <si>
    <t>61686</t>
  </si>
  <si>
    <t>61687</t>
  </si>
  <si>
    <t>61688</t>
  </si>
  <si>
    <t>61689</t>
  </si>
  <si>
    <t>61690</t>
  </si>
  <si>
    <t>61691</t>
  </si>
  <si>
    <t>61692</t>
  </si>
  <si>
    <t>61693</t>
  </si>
  <si>
    <t>61694</t>
  </si>
  <si>
    <t>61695</t>
  </si>
  <si>
    <t>61696</t>
  </si>
  <si>
    <t>61697</t>
  </si>
  <si>
    <t>61698</t>
  </si>
  <si>
    <t>61699</t>
  </si>
  <si>
    <t>61700</t>
  </si>
  <si>
    <t>61701</t>
  </si>
  <si>
    <t>61702</t>
  </si>
  <si>
    <t>61703</t>
  </si>
  <si>
    <t>61704</t>
  </si>
  <si>
    <t>61705</t>
  </si>
  <si>
    <t>61706</t>
  </si>
  <si>
    <t>61707</t>
  </si>
  <si>
    <t>61708</t>
  </si>
  <si>
    <t>61709</t>
  </si>
  <si>
    <t>61710</t>
  </si>
  <si>
    <t>61711</t>
  </si>
  <si>
    <t>61713</t>
  </si>
  <si>
    <t>61714</t>
  </si>
  <si>
    <t>61715</t>
  </si>
  <si>
    <t>61716</t>
  </si>
  <si>
    <t>61717</t>
  </si>
  <si>
    <t>61717A</t>
  </si>
  <si>
    <t>61717B</t>
  </si>
  <si>
    <t>61717C</t>
  </si>
  <si>
    <t>61717D</t>
  </si>
  <si>
    <t>61717E</t>
  </si>
  <si>
    <t>61718</t>
  </si>
  <si>
    <t>61719</t>
  </si>
  <si>
    <t>61720</t>
  </si>
  <si>
    <t>61721</t>
  </si>
  <si>
    <t>61722</t>
  </si>
  <si>
    <t>61723</t>
  </si>
  <si>
    <t>61724</t>
  </si>
  <si>
    <t>61724A</t>
  </si>
  <si>
    <t>61725</t>
  </si>
  <si>
    <t>61726</t>
  </si>
  <si>
    <t>61727</t>
  </si>
  <si>
    <t>61729</t>
  </si>
  <si>
    <t>61730</t>
  </si>
  <si>
    <t>61732</t>
  </si>
  <si>
    <t>61733</t>
  </si>
  <si>
    <t>61734</t>
  </si>
  <si>
    <t>61735</t>
  </si>
  <si>
    <t>61736</t>
  </si>
  <si>
    <t>61737</t>
  </si>
  <si>
    <t>61738</t>
  </si>
  <si>
    <t>61740</t>
  </si>
  <si>
    <t>61741</t>
  </si>
  <si>
    <t>61741A</t>
  </si>
  <si>
    <t>61742</t>
  </si>
  <si>
    <t>61742A</t>
  </si>
  <si>
    <t>61742B</t>
  </si>
  <si>
    <t>61743</t>
  </si>
  <si>
    <t>61744</t>
  </si>
  <si>
    <t>61745</t>
  </si>
  <si>
    <t>61745/CO</t>
  </si>
  <si>
    <t>61746</t>
  </si>
  <si>
    <t>61747</t>
  </si>
  <si>
    <t>61748</t>
  </si>
  <si>
    <t>61749</t>
  </si>
  <si>
    <t>61751</t>
  </si>
  <si>
    <t>61752</t>
  </si>
  <si>
    <t>61753</t>
  </si>
  <si>
    <t>61754</t>
  </si>
  <si>
    <t>61756</t>
  </si>
  <si>
    <t>61757</t>
  </si>
  <si>
    <t>61759</t>
  </si>
  <si>
    <t>61760</t>
  </si>
  <si>
    <t>61761</t>
  </si>
  <si>
    <t>61762</t>
  </si>
  <si>
    <t>61763</t>
  </si>
  <si>
    <t>61764</t>
  </si>
  <si>
    <t>61765</t>
  </si>
  <si>
    <t>61766</t>
  </si>
  <si>
    <t>61767</t>
  </si>
  <si>
    <t>61768</t>
  </si>
  <si>
    <t>61769</t>
  </si>
  <si>
    <t>61770</t>
  </si>
  <si>
    <t>61771</t>
  </si>
  <si>
    <t>61772</t>
  </si>
  <si>
    <t>61773</t>
  </si>
  <si>
    <t>61774</t>
  </si>
  <si>
    <t>61775</t>
  </si>
  <si>
    <t>61776</t>
  </si>
  <si>
    <t>61777</t>
  </si>
  <si>
    <t>61778</t>
  </si>
  <si>
    <t>61779</t>
  </si>
  <si>
    <t>61780</t>
  </si>
  <si>
    <t>61781</t>
  </si>
  <si>
    <t>61782</t>
  </si>
  <si>
    <t>61783</t>
  </si>
  <si>
    <t>61784</t>
  </si>
  <si>
    <t>61785</t>
  </si>
  <si>
    <t>61788</t>
  </si>
  <si>
    <t>61789</t>
  </si>
  <si>
    <t>61790</t>
  </si>
  <si>
    <t>61790A</t>
  </si>
  <si>
    <t>61791</t>
  </si>
  <si>
    <t>61792</t>
  </si>
  <si>
    <t>61793</t>
  </si>
  <si>
    <t>61794</t>
  </si>
  <si>
    <t>61795</t>
  </si>
  <si>
    <t>61796</t>
  </si>
  <si>
    <t>61797</t>
  </si>
  <si>
    <t>61798</t>
  </si>
  <si>
    <t>61799</t>
  </si>
  <si>
    <t>61800</t>
  </si>
  <si>
    <t>61801</t>
  </si>
  <si>
    <t>61802</t>
  </si>
  <si>
    <t>61803</t>
  </si>
  <si>
    <t>61804</t>
  </si>
  <si>
    <t>61805</t>
  </si>
  <si>
    <t>61806</t>
  </si>
  <si>
    <t>61812</t>
  </si>
  <si>
    <t>61813</t>
  </si>
  <si>
    <t>61814</t>
  </si>
  <si>
    <t>61815</t>
  </si>
  <si>
    <t>61815A</t>
  </si>
  <si>
    <t>61815A/SE</t>
  </si>
  <si>
    <t>61815B</t>
  </si>
  <si>
    <t>61815C</t>
  </si>
  <si>
    <t>61816</t>
  </si>
  <si>
    <t>61817</t>
  </si>
  <si>
    <t>61818</t>
  </si>
  <si>
    <t>61819</t>
  </si>
  <si>
    <t>61820</t>
  </si>
  <si>
    <t>61821</t>
  </si>
  <si>
    <t>61822</t>
  </si>
  <si>
    <t>61822/A</t>
  </si>
  <si>
    <t>61823</t>
  </si>
  <si>
    <t>61824</t>
  </si>
  <si>
    <t>61826</t>
  </si>
  <si>
    <t>61827</t>
  </si>
  <si>
    <t>61828</t>
  </si>
  <si>
    <t>61829</t>
  </si>
  <si>
    <t>61835</t>
  </si>
  <si>
    <t>61836</t>
  </si>
  <si>
    <t>61838</t>
  </si>
  <si>
    <t>61840</t>
  </si>
  <si>
    <t>61841</t>
  </si>
  <si>
    <t>61842</t>
  </si>
  <si>
    <t>61843</t>
  </si>
  <si>
    <t>61844</t>
  </si>
  <si>
    <t>61845</t>
  </si>
  <si>
    <t>61846</t>
  </si>
  <si>
    <t>61847</t>
  </si>
  <si>
    <t>61848</t>
  </si>
  <si>
    <t>61849</t>
  </si>
  <si>
    <t>61850</t>
  </si>
  <si>
    <t>61851</t>
  </si>
  <si>
    <t>61852</t>
  </si>
  <si>
    <t>61853</t>
  </si>
  <si>
    <t>61854</t>
  </si>
  <si>
    <t>61855</t>
  </si>
  <si>
    <t>61856</t>
  </si>
  <si>
    <t>61857</t>
  </si>
  <si>
    <t>61858</t>
  </si>
  <si>
    <t>61859</t>
  </si>
  <si>
    <t>61860</t>
  </si>
  <si>
    <t>61861</t>
  </si>
  <si>
    <t>61863</t>
  </si>
  <si>
    <t>61864</t>
  </si>
  <si>
    <t>61865</t>
  </si>
  <si>
    <t>61866</t>
  </si>
  <si>
    <t>61866/CO</t>
  </si>
  <si>
    <t>61866A</t>
  </si>
  <si>
    <t>61867</t>
  </si>
  <si>
    <t>61868</t>
  </si>
  <si>
    <t>61869</t>
  </si>
  <si>
    <t>61871</t>
  </si>
  <si>
    <t>61872</t>
  </si>
  <si>
    <t>61873</t>
  </si>
  <si>
    <t>61874</t>
  </si>
  <si>
    <t>61875</t>
  </si>
  <si>
    <t>61878</t>
  </si>
  <si>
    <t>61879</t>
  </si>
  <si>
    <t>61880</t>
  </si>
  <si>
    <t>61881</t>
  </si>
  <si>
    <t>61882</t>
  </si>
  <si>
    <t>61884</t>
  </si>
  <si>
    <t>61885</t>
  </si>
  <si>
    <t>61886</t>
  </si>
  <si>
    <t>61887</t>
  </si>
  <si>
    <t>61888</t>
  </si>
  <si>
    <t>61889</t>
  </si>
  <si>
    <t>61890</t>
  </si>
  <si>
    <t>61891</t>
  </si>
  <si>
    <t>61891A</t>
  </si>
  <si>
    <t>61891B</t>
  </si>
  <si>
    <t>61891B/CO</t>
  </si>
  <si>
    <t>61891C</t>
  </si>
  <si>
    <t>61892</t>
  </si>
  <si>
    <t>61893</t>
  </si>
  <si>
    <t>61894</t>
  </si>
  <si>
    <t>61895</t>
  </si>
  <si>
    <t>61896</t>
  </si>
  <si>
    <t>61898</t>
  </si>
  <si>
    <t>61901</t>
  </si>
  <si>
    <t>61902</t>
  </si>
  <si>
    <t>61903</t>
  </si>
  <si>
    <t>61904</t>
  </si>
  <si>
    <t>61905</t>
  </si>
  <si>
    <t>61906</t>
  </si>
  <si>
    <t>61907</t>
  </si>
  <si>
    <t>61908</t>
  </si>
  <si>
    <t>61909</t>
  </si>
  <si>
    <t>61911</t>
  </si>
  <si>
    <t>61912</t>
  </si>
  <si>
    <t>61914</t>
  </si>
  <si>
    <t>61915</t>
  </si>
  <si>
    <t>61916</t>
  </si>
  <si>
    <t>61917</t>
  </si>
  <si>
    <t>61918</t>
  </si>
  <si>
    <t>61919</t>
  </si>
  <si>
    <t>61920</t>
  </si>
  <si>
    <t>61921</t>
  </si>
  <si>
    <t>61922</t>
  </si>
  <si>
    <t>61923</t>
  </si>
  <si>
    <t>61924</t>
  </si>
  <si>
    <t>61924C</t>
  </si>
  <si>
    <t>61925</t>
  </si>
  <si>
    <t>61926</t>
  </si>
  <si>
    <t>61926A</t>
  </si>
  <si>
    <t>61927</t>
  </si>
  <si>
    <t>61928</t>
  </si>
  <si>
    <t>61929</t>
  </si>
  <si>
    <t>61930</t>
  </si>
  <si>
    <t>61931</t>
  </si>
  <si>
    <t>61931A</t>
  </si>
  <si>
    <t>61932</t>
  </si>
  <si>
    <t>61932A</t>
  </si>
  <si>
    <t>61932B</t>
  </si>
  <si>
    <t>61932C</t>
  </si>
  <si>
    <t>61932D</t>
  </si>
  <si>
    <t>61933</t>
  </si>
  <si>
    <t>61933A</t>
  </si>
  <si>
    <t>61933B</t>
  </si>
  <si>
    <t>61933C</t>
  </si>
  <si>
    <t>61933D</t>
  </si>
  <si>
    <t>61934</t>
  </si>
  <si>
    <t>61935</t>
  </si>
  <si>
    <t>61936</t>
  </si>
  <si>
    <t>61937</t>
  </si>
  <si>
    <t>61938</t>
  </si>
  <si>
    <t>61940</t>
  </si>
  <si>
    <t>61942</t>
  </si>
  <si>
    <t>61943</t>
  </si>
  <si>
    <t>61944</t>
  </si>
  <si>
    <t>61945</t>
  </si>
  <si>
    <t>61946</t>
  </si>
  <si>
    <t>61948</t>
  </si>
  <si>
    <t>61949</t>
  </si>
  <si>
    <t>61950</t>
  </si>
  <si>
    <t>61951</t>
  </si>
  <si>
    <t>61951A</t>
  </si>
  <si>
    <t>61952</t>
  </si>
  <si>
    <t>61953</t>
  </si>
  <si>
    <t>61954</t>
  </si>
  <si>
    <t>61955</t>
  </si>
  <si>
    <t>61956</t>
  </si>
  <si>
    <t>61957</t>
  </si>
  <si>
    <t>61958</t>
  </si>
  <si>
    <t>61959</t>
  </si>
  <si>
    <t>61960</t>
  </si>
  <si>
    <t>61961</t>
  </si>
  <si>
    <t>61962</t>
  </si>
  <si>
    <t>61963</t>
  </si>
  <si>
    <t>61964</t>
  </si>
  <si>
    <t>61965</t>
  </si>
  <si>
    <t>61965A</t>
  </si>
  <si>
    <t>61965B</t>
  </si>
  <si>
    <t>61966</t>
  </si>
  <si>
    <t>61967</t>
  </si>
  <si>
    <t>61967A</t>
  </si>
  <si>
    <t>61968</t>
  </si>
  <si>
    <t>61970</t>
  </si>
  <si>
    <t>61970A</t>
  </si>
  <si>
    <t>61970B</t>
  </si>
  <si>
    <t>61970C</t>
  </si>
  <si>
    <t>61971</t>
  </si>
  <si>
    <t>61971A</t>
  </si>
  <si>
    <t>61971B</t>
  </si>
  <si>
    <t>61971C</t>
  </si>
  <si>
    <t>61972</t>
  </si>
  <si>
    <t>61973</t>
  </si>
  <si>
    <t>61974</t>
  </si>
  <si>
    <t>61975</t>
  </si>
  <si>
    <t>61976</t>
  </si>
  <si>
    <t>61977</t>
  </si>
  <si>
    <t>61978</t>
  </si>
  <si>
    <t>61979</t>
  </si>
  <si>
    <t>61980</t>
  </si>
  <si>
    <t>61981</t>
  </si>
  <si>
    <t>61982</t>
  </si>
  <si>
    <t>61983</t>
  </si>
  <si>
    <t>61984</t>
  </si>
  <si>
    <t>61985</t>
  </si>
  <si>
    <t>61985A</t>
  </si>
  <si>
    <t>61986</t>
  </si>
  <si>
    <t>61986/CO</t>
  </si>
  <si>
    <t>61992</t>
  </si>
  <si>
    <t>61993</t>
  </si>
  <si>
    <t>61994</t>
  </si>
  <si>
    <t>61995</t>
  </si>
  <si>
    <t>61996</t>
  </si>
  <si>
    <t>61997</t>
  </si>
  <si>
    <t>61998</t>
  </si>
  <si>
    <t>61999</t>
  </si>
  <si>
    <t>62000</t>
  </si>
  <si>
    <t>62001</t>
  </si>
  <si>
    <t>62005</t>
  </si>
  <si>
    <t>62005A</t>
  </si>
  <si>
    <t>62005B</t>
  </si>
  <si>
    <t>62005C</t>
  </si>
  <si>
    <t>62005D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</si>
  <si>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</si>
  <si>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</si>
  <si>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</si>
  <si>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</si>
  <si>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</si>
  <si>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</si>
  <si>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</si>
  <si>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</si>
  <si>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</si>
  <si>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</si>
  <si>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</si>
  <si>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</si>
  <si>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</si>
  <si>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62020</t>
  </si>
  <si>
    <t>62021</t>
  </si>
  <si>
    <t>62022</t>
  </si>
  <si>
    <t>62023</t>
  </si>
  <si>
    <t>62024</t>
  </si>
  <si>
    <t>62025</t>
  </si>
  <si>
    <t>62026</t>
  </si>
  <si>
    <t>62026A</t>
  </si>
  <si>
    <t>62026B</t>
  </si>
  <si>
    <t>62027</t>
  </si>
  <si>
    <t>62028</t>
  </si>
  <si>
    <t>62028A</t>
  </si>
  <si>
    <t>62028B</t>
  </si>
  <si>
    <t>62029</t>
  </si>
  <si>
    <t>62030</t>
  </si>
  <si>
    <t>62030A</t>
  </si>
  <si>
    <t>62030B</t>
  </si>
  <si>
    <t>62031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</si>
  <si>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</si>
  <si>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</si>
  <si>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</si>
  <si>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</si>
  <si>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</si>
  <si>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</si>
  <si>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</si>
  <si>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</si>
  <si>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</si>
  <si>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</si>
  <si>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</si>
  <si>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</si>
  <si>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</si>
  <si>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</si>
  <si>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</si>
  <si>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</si>
  <si>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</si>
  <si>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</si>
  <si>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</si>
  <si>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</si>
  <si>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</si>
  <si>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</si>
  <si>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</si>
  <si>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</si>
  <si>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</si>
  <si>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</si>
  <si>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</si>
  <si>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</si>
  <si>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</si>
  <si>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</si>
  <si>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62064</t>
  </si>
  <si>
    <t>62065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</si>
  <si>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</si>
  <si>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</si>
  <si>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</si>
  <si>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</si>
  <si>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</si>
  <si>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</si>
  <si>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</si>
  <si>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</si>
  <si>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</si>
  <si>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</si>
  <si>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</si>
  <si>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</si>
  <si>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</si>
  <si>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</si>
  <si>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</si>
  <si>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</si>
  <si>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</si>
  <si>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62083A</t>
  </si>
  <si>
    <t>62084</t>
  </si>
  <si>
    <t>62085</t>
  </si>
  <si>
    <t>62086</t>
  </si>
  <si>
    <t>62086A</t>
  </si>
  <si>
    <t>62088</t>
  </si>
  <si>
    <t>62090</t>
  </si>
  <si>
    <t>62091</t>
  </si>
  <si>
    <t>62092</t>
  </si>
  <si>
    <t>62093</t>
  </si>
  <si>
    <t>62094</t>
  </si>
  <si>
    <t>62096</t>
  </si>
  <si>
    <t>62097</t>
  </si>
  <si>
    <t>62098</t>
  </si>
  <si>
    <t>62099</t>
  </si>
  <si>
    <t>62100</t>
  </si>
  <si>
    <t>62101</t>
  </si>
  <si>
    <t>62101A</t>
  </si>
  <si>
    <t>62101B</t>
  </si>
  <si>
    <t>62101C</t>
  </si>
  <si>
    <t>62101D</t>
  </si>
  <si>
    <t>62102</t>
  </si>
  <si>
    <t>62103</t>
  </si>
  <si>
    <t>62105</t>
  </si>
  <si>
    <t>62106</t>
  </si>
  <si>
    <t>62107</t>
  </si>
  <si>
    <t>62108</t>
  </si>
  <si>
    <t>62109</t>
  </si>
  <si>
    <t>62109A</t>
  </si>
  <si>
    <t>62109B</t>
  </si>
  <si>
    <t>62109C</t>
  </si>
  <si>
    <t>62109D</t>
  </si>
  <si>
    <t>62109E</t>
  </si>
  <si>
    <t>62109F</t>
  </si>
  <si>
    <t>62109G</t>
  </si>
  <si>
    <t>62110</t>
  </si>
  <si>
    <t>62110A</t>
  </si>
  <si>
    <t>62110B</t>
  </si>
  <si>
    <t>62110C</t>
  </si>
  <si>
    <t>62110D</t>
  </si>
  <si>
    <t>62110E</t>
  </si>
  <si>
    <t>62110F</t>
  </si>
  <si>
    <t>62111</t>
  </si>
  <si>
    <t>62111A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</si>
  <si>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</si>
  <si>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</si>
  <si>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</si>
  <si>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</si>
  <si>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</si>
  <si>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</si>
  <si>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</si>
  <si>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</si>
  <si>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62119A</t>
  </si>
  <si>
    <t>62120</t>
  </si>
  <si>
    <t>62121</t>
  </si>
  <si>
    <t>62121A</t>
  </si>
  <si>
    <t>62121B</t>
  </si>
  <si>
    <t>62122</t>
  </si>
  <si>
    <t>62123</t>
  </si>
  <si>
    <t>62124</t>
  </si>
  <si>
    <t>62125</t>
  </si>
  <si>
    <t>62126</t>
  </si>
  <si>
    <t>62128</t>
  </si>
  <si>
    <t>62129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</si>
  <si>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</si>
  <si>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</si>
  <si>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</si>
  <si>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</si>
  <si>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</si>
  <si>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</si>
  <si>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</si>
  <si>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</si>
  <si>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</si>
  <si>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</si>
  <si>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</si>
  <si>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</si>
  <si>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</si>
  <si>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</si>
  <si>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</si>
  <si>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</si>
  <si>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</si>
  <si>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</si>
  <si>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</si>
  <si>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</si>
  <si>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</si>
  <si>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62151A</t>
  </si>
  <si>
    <t>62151B</t>
  </si>
  <si>
    <t>62152</t>
  </si>
  <si>
    <t>62152A</t>
  </si>
  <si>
    <t>62152B</t>
  </si>
  <si>
    <t>62153</t>
  </si>
  <si>
    <t>62153A</t>
  </si>
  <si>
    <t>62153B</t>
  </si>
  <si>
    <t>62154</t>
  </si>
  <si>
    <t>62154A</t>
  </si>
  <si>
    <t>62154B</t>
  </si>
  <si>
    <t>62155</t>
  </si>
  <si>
    <t>62155A</t>
  </si>
  <si>
    <t>62155B</t>
  </si>
  <si>
    <t>62156</t>
  </si>
  <si>
    <t>62156A</t>
  </si>
  <si>
    <t>62156B</t>
  </si>
  <si>
    <t>62158</t>
  </si>
  <si>
    <t>62159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</si>
  <si>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</si>
  <si>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</si>
  <si>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</si>
  <si>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</si>
  <si>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</si>
  <si>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</si>
  <si>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</si>
  <si>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</si>
  <si>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</si>
  <si>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</si>
  <si>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62170</t>
  </si>
  <si>
    <t>62171</t>
  </si>
  <si>
    <t>62172</t>
  </si>
  <si>
    <t>62173</t>
  </si>
  <si>
    <t>62174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</si>
  <si>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</si>
  <si>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</si>
  <si>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</si>
  <si>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</si>
  <si>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</si>
  <si>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</si>
  <si>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</si>
  <si>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</si>
  <si>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</si>
  <si>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</si>
  <si>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</si>
  <si>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</si>
  <si>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</si>
  <si>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</si>
  <si>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</si>
  <si>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</si>
  <si>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</si>
  <si>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62193</t>
  </si>
  <si>
    <t>62194</t>
  </si>
  <si>
    <t>62196</t>
  </si>
  <si>
    <t>62197</t>
  </si>
  <si>
    <t>62198</t>
  </si>
  <si>
    <t>62199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</si>
  <si>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</si>
  <si>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</si>
  <si>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</si>
  <si>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</si>
  <si>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</si>
  <si>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</si>
  <si>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</si>
  <si>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</si>
  <si>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</si>
  <si>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</si>
  <si>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</si>
  <si>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62212</t>
  </si>
  <si>
    <t>62213</t>
  </si>
  <si>
    <t>62215</t>
  </si>
  <si>
    <t>62215A</t>
  </si>
  <si>
    <t>62215B</t>
  </si>
  <si>
    <t>62216</t>
  </si>
  <si>
    <t>62216A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</si>
  <si>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</si>
  <si>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</si>
  <si>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</si>
  <si>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</si>
  <si>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</si>
  <si>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</si>
  <si>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</si>
  <si>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</si>
  <si>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</si>
  <si>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</si>
  <si>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</si>
  <si>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</si>
  <si>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</si>
  <si>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</si>
  <si>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</si>
  <si>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</si>
  <si>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</si>
  <si>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</si>
  <si>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</si>
  <si>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</si>
  <si>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</si>
  <si>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62239A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</si>
  <si>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</si>
  <si>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</si>
  <si>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</si>
  <si>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</si>
  <si>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</si>
  <si>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</si>
  <si>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</si>
  <si>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</si>
  <si>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</si>
  <si>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</si>
  <si>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</si>
  <si>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62250A</t>
  </si>
  <si>
    <t>62251</t>
  </si>
  <si>
    <t>62251A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</si>
  <si>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</si>
  <si>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</si>
  <si>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</si>
  <si>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</si>
  <si>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</si>
  <si>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</si>
  <si>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</si>
  <si>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</si>
  <si>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</si>
  <si>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</si>
  <si>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</si>
  <si>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</si>
  <si>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</si>
  <si>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</si>
  <si>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</si>
  <si>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</si>
  <si>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</si>
  <si>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</si>
  <si>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</si>
  <si>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</si>
  <si>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</si>
  <si>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</si>
  <si>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</si>
  <si>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</si>
  <si>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</si>
  <si>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</si>
  <si>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</si>
  <si>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</si>
  <si>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</si>
  <si>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</si>
  <si>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</si>
  <si>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</si>
  <si>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</si>
  <si>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</si>
  <si>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</si>
  <si>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</si>
  <si>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</si>
  <si>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</si>
  <si>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</si>
  <si>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</si>
  <si>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</si>
  <si>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62292/CO</t>
  </si>
  <si>
    <t>62293</t>
  </si>
  <si>
    <t>62293/CO</t>
  </si>
  <si>
    <t>62294</t>
  </si>
  <si>
    <t>62295</t>
  </si>
  <si>
    <t>62296</t>
  </si>
  <si>
    <t>62296A</t>
  </si>
  <si>
    <t>62298</t>
  </si>
  <si>
    <t>62299</t>
  </si>
  <si>
    <t>62300</t>
  </si>
  <si>
    <t>62300A</t>
  </si>
  <si>
    <t>62300B</t>
  </si>
  <si>
    <t>62300C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</si>
  <si>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</si>
  <si>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</si>
  <si>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</si>
  <si>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</si>
  <si>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</si>
  <si>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</si>
  <si>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</si>
  <si>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</si>
  <si>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</si>
  <si>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</si>
  <si>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</si>
  <si>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</si>
  <si>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</si>
  <si>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62315</t>
  </si>
  <si>
    <t>62316</t>
  </si>
  <si>
    <t>62317</t>
  </si>
  <si>
    <t>62318</t>
  </si>
  <si>
    <t>62321</t>
  </si>
  <si>
    <t>62322</t>
  </si>
  <si>
    <t>62323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</si>
  <si>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</si>
  <si>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</si>
  <si>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</si>
  <si>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</si>
  <si>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</si>
  <si>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</si>
  <si>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</si>
  <si>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</si>
  <si>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62335</t>
  </si>
  <si>
    <t>62336</t>
  </si>
  <si>
    <t>62337</t>
  </si>
  <si>
    <t>62338</t>
  </si>
  <si>
    <t>62339</t>
  </si>
  <si>
    <t>62341</t>
  </si>
  <si>
    <t>62342</t>
  </si>
  <si>
    <t>62343</t>
  </si>
  <si>
    <t>62343/A</t>
  </si>
  <si>
    <t>62343/B</t>
  </si>
  <si>
    <t>62343A</t>
  </si>
  <si>
    <t>62343B</t>
  </si>
  <si>
    <t>62343C</t>
  </si>
  <si>
    <t>62343D</t>
  </si>
  <si>
    <t>62343E</t>
  </si>
  <si>
    <t>62343F</t>
  </si>
  <si>
    <t>62344</t>
  </si>
  <si>
    <t>62345</t>
  </si>
  <si>
    <t>62346</t>
  </si>
  <si>
    <t>62347</t>
  </si>
  <si>
    <t>62348</t>
  </si>
  <si>
    <t>62349</t>
  </si>
  <si>
    <t>62349A</t>
  </si>
  <si>
    <t>62349B</t>
  </si>
  <si>
    <t>62349C</t>
  </si>
  <si>
    <t>62349C/CO</t>
  </si>
  <si>
    <t>62349D</t>
  </si>
  <si>
    <t>62349E</t>
  </si>
  <si>
    <t>62350</t>
  </si>
  <si>
    <t>62354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</si>
  <si>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</si>
  <si>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</si>
  <si>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</si>
  <si>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</si>
  <si>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</si>
  <si>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</si>
  <si>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</si>
  <si>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</si>
  <si>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</si>
  <si>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</si>
  <si>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</si>
  <si>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</si>
  <si>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</si>
  <si>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</si>
  <si>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</si>
  <si>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</si>
  <si>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</si>
  <si>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</si>
  <si>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</si>
  <si>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</si>
  <si>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62378</t>
  </si>
  <si>
    <t>62378A</t>
  </si>
  <si>
    <t>62378B</t>
  </si>
  <si>
    <t>62379</t>
  </si>
  <si>
    <t>62380</t>
  </si>
  <si>
    <t>62381</t>
  </si>
  <si>
    <t>62381A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</si>
  <si>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</si>
  <si>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</si>
  <si>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</si>
  <si>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</si>
  <si>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</si>
  <si>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</si>
  <si>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</si>
  <si>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</si>
  <si>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</si>
  <si>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</si>
  <si>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</si>
  <si>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</si>
  <si>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62393A</t>
  </si>
  <si>
    <t>62393A/CO</t>
  </si>
  <si>
    <t>62394</t>
  </si>
  <si>
    <t>62395</t>
  </si>
  <si>
    <t>62396</t>
  </si>
  <si>
    <t>62397</t>
  </si>
  <si>
    <t>62398</t>
  </si>
  <si>
    <t>62399</t>
  </si>
  <si>
    <t>62400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</si>
  <si>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</si>
  <si>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</si>
  <si>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</si>
  <si>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</si>
  <si>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</si>
  <si>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</si>
  <si>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</si>
  <si>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</si>
  <si>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</si>
  <si>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</si>
  <si>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</si>
  <si>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</si>
  <si>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</si>
  <si>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</si>
  <si>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62416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</si>
  <si>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</si>
  <si>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</si>
  <si>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</si>
  <si>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</si>
  <si>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</si>
  <si>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</si>
  <si>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</si>
  <si>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</si>
  <si>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</si>
  <si>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</si>
  <si>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</si>
  <si>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</si>
  <si>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</si>
  <si>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62431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</si>
  <si>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</si>
  <si>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</si>
  <si>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</si>
  <si>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</si>
  <si>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</si>
  <si>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</si>
  <si>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</si>
  <si>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</si>
  <si>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</si>
  <si>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</si>
  <si>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</si>
  <si>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</si>
  <si>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</si>
  <si>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</si>
  <si>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</si>
  <si>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</si>
  <si>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</si>
  <si>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</si>
  <si>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</si>
  <si>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62450A</t>
  </si>
  <si>
    <t>62450B</t>
  </si>
  <si>
    <t>62450C</t>
  </si>
  <si>
    <t>62450D</t>
  </si>
  <si>
    <t>62450E</t>
  </si>
  <si>
    <t>62450F</t>
  </si>
  <si>
    <t>62450G</t>
  </si>
  <si>
    <t>62450H</t>
  </si>
  <si>
    <t>62451</t>
  </si>
  <si>
    <t>62451A</t>
  </si>
  <si>
    <t>62451B</t>
  </si>
  <si>
    <t>62451C</t>
  </si>
  <si>
    <t>62451D</t>
  </si>
  <si>
    <t>62451E</t>
  </si>
  <si>
    <t>62451F</t>
  </si>
  <si>
    <t>62451G</t>
  </si>
  <si>
    <t>62451H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</si>
  <si>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</si>
  <si>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</si>
  <si>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</si>
  <si>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</si>
  <si>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</si>
  <si>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</si>
  <si>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</si>
  <si>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</si>
  <si>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</si>
  <si>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62462</t>
  </si>
  <si>
    <t>62463</t>
  </si>
  <si>
    <t>62464</t>
  </si>
  <si>
    <t>62465</t>
  </si>
  <si>
    <t>62466</t>
  </si>
  <si>
    <t>62467</t>
  </si>
  <si>
    <t>62468</t>
  </si>
  <si>
    <t>62471</t>
  </si>
  <si>
    <t>62471/CO</t>
  </si>
  <si>
    <t>62473</t>
  </si>
  <si>
    <t>62474</t>
  </si>
  <si>
    <t>62475</t>
  </si>
  <si>
    <t>62476</t>
  </si>
  <si>
    <t>62478</t>
  </si>
  <si>
    <t>62481</t>
  </si>
  <si>
    <t>62484</t>
  </si>
  <si>
    <t>62486</t>
  </si>
  <si>
    <t>62487</t>
  </si>
  <si>
    <t>62488</t>
  </si>
  <si>
    <t>62490</t>
  </si>
  <si>
    <t>62491</t>
  </si>
  <si>
    <t>62492</t>
  </si>
  <si>
    <t>62493</t>
  </si>
  <si>
    <t>62494</t>
  </si>
  <si>
    <t>62498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</si>
  <si>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</si>
  <si>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</si>
  <si>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</si>
  <si>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</si>
  <si>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</si>
  <si>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</si>
  <si>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</si>
  <si>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</si>
  <si>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</si>
  <si>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</si>
  <si>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</si>
  <si>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</si>
  <si>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</si>
  <si>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</si>
  <si>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</si>
  <si>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</si>
  <si>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</si>
  <si>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</si>
  <si>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</si>
  <si>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</si>
  <si>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</si>
  <si>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</si>
  <si>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</si>
  <si>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</si>
  <si>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</si>
  <si>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</si>
  <si>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</si>
  <si>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</si>
  <si>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</si>
  <si>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</si>
  <si>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</si>
  <si>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</si>
  <si>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</si>
  <si>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</si>
  <si>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</si>
  <si>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</si>
  <si>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</si>
  <si>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</si>
  <si>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</si>
  <si>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</si>
  <si>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</si>
  <si>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</si>
  <si>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</si>
  <si>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</si>
  <si>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</si>
  <si>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</si>
  <si>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</si>
  <si>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</si>
  <si>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</si>
  <si>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62548/CO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</si>
  <si>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</si>
  <si>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</si>
  <si>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</si>
  <si>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</si>
  <si>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</si>
  <si>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</si>
  <si>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</si>
  <si>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</si>
  <si>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62556A</t>
  </si>
  <si>
    <t>62557</t>
  </si>
  <si>
    <t>62559</t>
  </si>
  <si>
    <t>62560</t>
  </si>
  <si>
    <t>62561</t>
  </si>
  <si>
    <t>62562</t>
  </si>
  <si>
    <t>62562A</t>
  </si>
  <si>
    <t>62563</t>
  </si>
  <si>
    <t>62563A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</si>
  <si>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</si>
  <si>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</si>
  <si>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</si>
  <si>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</si>
  <si>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</si>
  <si>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</si>
  <si>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</si>
  <si>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</si>
  <si>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</si>
  <si>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</si>
  <si>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</si>
  <si>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62575</t>
  </si>
  <si>
    <t>62576</t>
  </si>
  <si>
    <t>62577</t>
  </si>
  <si>
    <t>62578</t>
  </si>
  <si>
    <t>62579</t>
  </si>
  <si>
    <t>62580</t>
  </si>
  <si>
    <t>62582</t>
  </si>
  <si>
    <t>62583</t>
  </si>
  <si>
    <t>62584</t>
  </si>
  <si>
    <t>62585</t>
  </si>
  <si>
    <t>62586</t>
  </si>
  <si>
    <t>62588</t>
  </si>
  <si>
    <t>62589</t>
  </si>
  <si>
    <t>62590</t>
  </si>
  <si>
    <t>62591</t>
  </si>
  <si>
    <t>62592</t>
  </si>
  <si>
    <t>62593</t>
  </si>
  <si>
    <t>62594</t>
  </si>
  <si>
    <t>62597</t>
  </si>
  <si>
    <t>62598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</si>
  <si>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</si>
  <si>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</si>
  <si>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</si>
  <si>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</si>
  <si>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</si>
  <si>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</si>
  <si>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</si>
  <si>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</si>
  <si>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</si>
  <si>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</si>
  <si>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62611</t>
  </si>
  <si>
    <t>62612</t>
  </si>
  <si>
    <t>62613</t>
  </si>
  <si>
    <t>62614</t>
  </si>
  <si>
    <t>62615</t>
  </si>
  <si>
    <t>62616</t>
  </si>
  <si>
    <t>62619</t>
  </si>
  <si>
    <t>62620</t>
  </si>
  <si>
    <t>62622</t>
  </si>
  <si>
    <t>62623</t>
  </si>
  <si>
    <t>62624</t>
  </si>
  <si>
    <t>62625</t>
  </si>
  <si>
    <t>62626</t>
  </si>
  <si>
    <t>62628</t>
  </si>
  <si>
    <t>62629</t>
  </si>
  <si>
    <t>62630</t>
  </si>
  <si>
    <t>62634</t>
  </si>
  <si>
    <t>62635</t>
  </si>
  <si>
    <t>62637</t>
  </si>
  <si>
    <t>62638</t>
  </si>
  <si>
    <t>62639</t>
  </si>
  <si>
    <t>62640</t>
  </si>
  <si>
    <t>62641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</si>
  <si>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</si>
  <si>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</si>
  <si>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</si>
  <si>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</si>
  <si>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</si>
  <si>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</si>
  <si>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</si>
  <si>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</si>
  <si>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</si>
  <si>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</si>
  <si>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</si>
  <si>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</si>
  <si>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</si>
  <si>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</si>
  <si>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</si>
  <si>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</si>
  <si>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</si>
  <si>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</si>
  <si>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</si>
  <si>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</si>
  <si>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</si>
  <si>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</si>
  <si>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</si>
  <si>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</si>
  <si>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</si>
  <si>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</si>
  <si>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</si>
  <si>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</si>
  <si>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</si>
  <si>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</si>
  <si>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</si>
  <si>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</si>
  <si>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</si>
  <si>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</si>
  <si>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</si>
  <si>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62684</t>
  </si>
  <si>
    <t>62685</t>
  </si>
  <si>
    <t>62686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</si>
  <si>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</si>
  <si>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</si>
  <si>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</si>
  <si>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</si>
  <si>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</si>
  <si>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</si>
  <si>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</si>
  <si>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</si>
  <si>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</si>
  <si>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</si>
  <si>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</si>
  <si>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</si>
  <si>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</si>
  <si>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</si>
  <si>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</si>
  <si>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</si>
  <si>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</si>
  <si>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</si>
  <si>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</si>
  <si>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</si>
  <si>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</si>
  <si>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</si>
  <si>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</si>
  <si>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</si>
  <si>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</si>
  <si>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</si>
  <si>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</si>
  <si>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</si>
  <si>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</si>
  <si>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</si>
  <si>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</si>
  <si>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</si>
  <si>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</si>
  <si>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</si>
  <si>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</si>
  <si>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</si>
  <si>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</si>
  <si>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</si>
  <si>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</si>
  <si>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62739</t>
  </si>
  <si>
    <t>62740</t>
  </si>
  <si>
    <t>62740A</t>
  </si>
  <si>
    <t>62747</t>
  </si>
  <si>
    <t>62747A</t>
  </si>
  <si>
    <t>62747B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</si>
  <si>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</si>
  <si>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</si>
  <si>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</si>
  <si>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</si>
  <si>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</si>
  <si>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</si>
  <si>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</si>
  <si>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</si>
  <si>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</si>
  <si>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</si>
  <si>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</si>
  <si>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</si>
  <si>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</si>
  <si>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</si>
  <si>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</si>
  <si>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</si>
  <si>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</si>
  <si>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</si>
  <si>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</si>
  <si>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</si>
  <si>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</si>
  <si>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</si>
  <si>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</si>
  <si>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</si>
  <si>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</si>
  <si>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</si>
  <si>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</si>
  <si>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</si>
  <si>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</si>
  <si>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</si>
  <si>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</si>
  <si>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</si>
  <si>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</si>
  <si>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</si>
  <si>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</si>
  <si>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</si>
  <si>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</si>
  <si>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</si>
  <si>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</si>
  <si>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</si>
  <si>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</si>
  <si>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62790A</t>
  </si>
  <si>
    <t>62791</t>
  </si>
  <si>
    <t>62792</t>
  </si>
  <si>
    <t>62793</t>
  </si>
  <si>
    <t>62794</t>
  </si>
  <si>
    <t>62795</t>
  </si>
  <si>
    <t>62796</t>
  </si>
  <si>
    <t>62797</t>
  </si>
  <si>
    <t>62799</t>
  </si>
  <si>
    <t>62799A</t>
  </si>
  <si>
    <t>62799B</t>
  </si>
  <si>
    <t>62800</t>
  </si>
  <si>
    <t>62800A</t>
  </si>
  <si>
    <t>62800B</t>
  </si>
  <si>
    <t>62800C</t>
  </si>
  <si>
    <t>62800D</t>
  </si>
  <si>
    <t>62800E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</si>
  <si>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</si>
  <si>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</si>
  <si>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</si>
  <si>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</si>
  <si>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</si>
  <si>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</si>
  <si>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</si>
  <si>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</si>
  <si>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</si>
  <si>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</si>
  <si>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</si>
  <si>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</si>
  <si>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</si>
  <si>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</si>
  <si>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</si>
  <si>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62819</t>
  </si>
  <si>
    <t>62820</t>
  </si>
  <si>
    <t>62821</t>
  </si>
  <si>
    <t>62821/A</t>
  </si>
  <si>
    <t>62821/B</t>
  </si>
  <si>
    <t>62822</t>
  </si>
  <si>
    <t>62823</t>
  </si>
  <si>
    <t>62825</t>
  </si>
  <si>
    <t>62826</t>
  </si>
  <si>
    <t>62827</t>
  </si>
  <si>
    <t>62828</t>
  </si>
  <si>
    <t>62829</t>
  </si>
  <si>
    <t>62830</t>
  </si>
  <si>
    <t>62831</t>
  </si>
  <si>
    <t>62831A</t>
  </si>
  <si>
    <t>62831B</t>
  </si>
  <si>
    <t>62832</t>
  </si>
  <si>
    <t>62832A</t>
  </si>
  <si>
    <t>62833</t>
  </si>
  <si>
    <t>62833/A</t>
  </si>
  <si>
    <t>62833/B</t>
  </si>
  <si>
    <t>62834</t>
  </si>
  <si>
    <t>62835</t>
  </si>
  <si>
    <t>62835A</t>
  </si>
  <si>
    <t>62836</t>
  </si>
  <si>
    <t>62836A</t>
  </si>
  <si>
    <t>62837</t>
  </si>
  <si>
    <t>62838</t>
  </si>
  <si>
    <t>62841</t>
  </si>
  <si>
    <t>62842</t>
  </si>
  <si>
    <t>62844</t>
  </si>
  <si>
    <t>62845</t>
  </si>
  <si>
    <t>62846</t>
  </si>
  <si>
    <t>62847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</si>
  <si>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</si>
  <si>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</si>
  <si>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</si>
  <si>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</si>
  <si>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</si>
  <si>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</si>
  <si>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</si>
  <si>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</si>
  <si>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</si>
  <si>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</si>
  <si>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</si>
  <si>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</si>
  <si>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</si>
  <si>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</si>
  <si>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</si>
  <si>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</si>
  <si>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</si>
  <si>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</si>
  <si>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</si>
  <si>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</si>
  <si>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</si>
  <si>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</si>
  <si>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</si>
  <si>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</si>
  <si>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</si>
  <si>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</si>
  <si>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</si>
  <si>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</si>
  <si>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</si>
  <si>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62879</t>
  </si>
  <si>
    <t>62879A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</si>
  <si>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</si>
  <si>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</si>
  <si>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</si>
  <si>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</si>
  <si>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</si>
  <si>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</si>
  <si>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</si>
  <si>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</si>
  <si>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</si>
  <si>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</si>
  <si>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</si>
  <si>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</si>
  <si>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</si>
  <si>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</si>
  <si>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</si>
  <si>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</si>
  <si>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</si>
  <si>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</si>
  <si>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</si>
  <si>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62900</t>
  </si>
  <si>
    <t>62900A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</si>
  <si>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</si>
  <si>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</si>
  <si>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</si>
  <si>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</si>
  <si>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</si>
  <si>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</si>
  <si>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</si>
  <si>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</si>
  <si>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</si>
  <si>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62910</t>
  </si>
  <si>
    <t>62911</t>
  </si>
  <si>
    <t>62912</t>
  </si>
  <si>
    <t>62913</t>
  </si>
  <si>
    <t>62914</t>
  </si>
  <si>
    <t>62915</t>
  </si>
  <si>
    <t>62916</t>
  </si>
  <si>
    <t>62917</t>
  </si>
  <si>
    <t>62918</t>
  </si>
  <si>
    <t>62919</t>
  </si>
  <si>
    <t>62920</t>
  </si>
  <si>
    <t>62921</t>
  </si>
  <si>
    <t>62922</t>
  </si>
  <si>
    <t>62925</t>
  </si>
  <si>
    <t>62926</t>
  </si>
  <si>
    <t>62927</t>
  </si>
  <si>
    <t>62928</t>
  </si>
  <si>
    <t>62929</t>
  </si>
  <si>
    <t>62930</t>
  </si>
  <si>
    <t>62931</t>
  </si>
  <si>
    <t>62932</t>
  </si>
  <si>
    <t>62933</t>
  </si>
  <si>
    <t>62934</t>
  </si>
  <si>
    <t>62935</t>
  </si>
  <si>
    <t>62936</t>
  </si>
  <si>
    <t>62937</t>
  </si>
  <si>
    <t>62938</t>
  </si>
  <si>
    <t>62939</t>
  </si>
  <si>
    <t>62940</t>
  </si>
  <si>
    <t>62941</t>
  </si>
  <si>
    <t>62942</t>
  </si>
  <si>
    <t>62943</t>
  </si>
  <si>
    <t>62944</t>
  </si>
  <si>
    <t>62945</t>
  </si>
  <si>
    <t>62947</t>
  </si>
  <si>
    <t>62948</t>
  </si>
  <si>
    <t>62949</t>
  </si>
  <si>
    <t>62950</t>
  </si>
  <si>
    <t>62952</t>
  </si>
  <si>
    <t>62953</t>
  </si>
  <si>
    <t>62954</t>
  </si>
  <si>
    <t>62955</t>
  </si>
  <si>
    <t>62956</t>
  </si>
  <si>
    <t>62957</t>
  </si>
  <si>
    <t>62958</t>
  </si>
  <si>
    <t>62959</t>
  </si>
  <si>
    <t>62960</t>
  </si>
  <si>
    <t>62961</t>
  </si>
  <si>
    <t>62962</t>
  </si>
  <si>
    <t>62963</t>
  </si>
  <si>
    <t>62965</t>
  </si>
  <si>
    <t>62966</t>
  </si>
  <si>
    <t>62966A</t>
  </si>
  <si>
    <t>62966B</t>
  </si>
  <si>
    <t>62966C</t>
  </si>
  <si>
    <t>62966D</t>
  </si>
  <si>
    <t>62966E</t>
  </si>
  <si>
    <t>62967</t>
  </si>
  <si>
    <t>62968</t>
  </si>
  <si>
    <t>62969</t>
  </si>
  <si>
    <t>62970</t>
  </si>
  <si>
    <t>62971</t>
  </si>
  <si>
    <t>62972</t>
  </si>
  <si>
    <t>62973</t>
  </si>
  <si>
    <t>62974</t>
  </si>
  <si>
    <t>62975</t>
  </si>
  <si>
    <t>62976</t>
  </si>
  <si>
    <t>62977</t>
  </si>
  <si>
    <t>62978</t>
  </si>
  <si>
    <t>62979</t>
  </si>
  <si>
    <t>62980</t>
  </si>
  <si>
    <t>62981</t>
  </si>
  <si>
    <t>62982</t>
  </si>
  <si>
    <t>62983</t>
  </si>
  <si>
    <t>62984</t>
  </si>
  <si>
    <t>62985</t>
  </si>
  <si>
    <t>62986</t>
  </si>
  <si>
    <t>62987</t>
  </si>
  <si>
    <t>62988</t>
  </si>
  <si>
    <t>62989</t>
  </si>
  <si>
    <t>62990</t>
  </si>
  <si>
    <t>62991</t>
  </si>
  <si>
    <t>62992</t>
  </si>
  <si>
    <t>62993</t>
  </si>
  <si>
    <t>62994</t>
  </si>
  <si>
    <t>62995</t>
  </si>
  <si>
    <t>62996</t>
  </si>
  <si>
    <t>62996A</t>
  </si>
  <si>
    <t>62997</t>
  </si>
  <si>
    <t>62998</t>
  </si>
  <si>
    <t>62999</t>
  </si>
  <si>
    <t>62999A</t>
  </si>
  <si>
    <t>62999B</t>
  </si>
  <si>
    <t>63000</t>
  </si>
  <si>
    <t>63001</t>
  </si>
  <si>
    <t>63006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</si>
  <si>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</si>
  <si>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</si>
  <si>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</si>
  <si>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</si>
  <si>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</si>
  <si>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</si>
  <si>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</si>
  <si>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</si>
  <si>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</si>
  <si>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</si>
  <si>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</si>
  <si>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</si>
  <si>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</si>
  <si>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</si>
  <si>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</si>
  <si>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</si>
  <si>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</si>
  <si>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</si>
  <si>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</si>
  <si>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</si>
  <si>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</si>
  <si>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</si>
  <si>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</si>
  <si>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</si>
  <si>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</si>
  <si>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</si>
  <si>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</si>
  <si>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</si>
  <si>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</si>
  <si>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</si>
  <si>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</si>
  <si>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</si>
  <si>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63041A</t>
  </si>
  <si>
    <t>63041B</t>
  </si>
  <si>
    <t>63042</t>
  </si>
  <si>
    <t>63042A</t>
  </si>
  <si>
    <t>63044</t>
  </si>
  <si>
    <t>63045</t>
  </si>
  <si>
    <t>63046</t>
  </si>
  <si>
    <t>63047</t>
  </si>
  <si>
    <t>63048</t>
  </si>
  <si>
    <t>63058</t>
  </si>
  <si>
    <t>63059</t>
  </si>
  <si>
    <t>63060</t>
  </si>
  <si>
    <t>63061</t>
  </si>
  <si>
    <t>63062</t>
  </si>
  <si>
    <t>63063</t>
  </si>
  <si>
    <t>63064</t>
  </si>
  <si>
    <t>63066</t>
  </si>
  <si>
    <t>63067</t>
  </si>
  <si>
    <t>63068</t>
  </si>
  <si>
    <t>63069</t>
  </si>
  <si>
    <t>63070</t>
  </si>
  <si>
    <t>63070A</t>
  </si>
  <si>
    <t>63071</t>
  </si>
  <si>
    <t>63072</t>
  </si>
  <si>
    <t>63073</t>
  </si>
  <si>
    <t>63074</t>
  </si>
  <si>
    <t>63075</t>
  </si>
  <si>
    <t>63076</t>
  </si>
  <si>
    <t>63076/CO</t>
  </si>
  <si>
    <t>63077</t>
  </si>
  <si>
    <t>63078</t>
  </si>
  <si>
    <t>63079</t>
  </si>
  <si>
    <t>63080</t>
  </si>
  <si>
    <t>63081</t>
  </si>
  <si>
    <t>63085</t>
  </si>
  <si>
    <t>63086</t>
  </si>
  <si>
    <t>63087</t>
  </si>
  <si>
    <t>63087A</t>
  </si>
  <si>
    <t>63087B</t>
  </si>
  <si>
    <t>63089</t>
  </si>
  <si>
    <t>63091</t>
  </si>
  <si>
    <t>63092</t>
  </si>
  <si>
    <t>63094</t>
  </si>
  <si>
    <t>63095</t>
  </si>
  <si>
    <t>63096</t>
  </si>
  <si>
    <t>63097</t>
  </si>
  <si>
    <t>63099</t>
  </si>
  <si>
    <t>63100</t>
  </si>
  <si>
    <t>63100A</t>
  </si>
  <si>
    <t>63100B</t>
  </si>
  <si>
    <t>63100C</t>
  </si>
  <si>
    <t>63101</t>
  </si>
  <si>
    <t>63102</t>
  </si>
  <si>
    <t>63103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</si>
  <si>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</si>
  <si>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</si>
  <si>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</si>
  <si>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</si>
  <si>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</si>
  <si>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</si>
  <si>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</si>
  <si>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</si>
  <si>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</si>
  <si>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</si>
  <si>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</si>
  <si>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</si>
  <si>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</si>
  <si>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</si>
  <si>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</si>
  <si>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</si>
  <si>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</si>
  <si>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</si>
  <si>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63123A</t>
  </si>
  <si>
    <t>63124</t>
  </si>
  <si>
    <t>63125</t>
  </si>
  <si>
    <t>63125A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</si>
  <si>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</si>
  <si>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</si>
  <si>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</si>
  <si>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</si>
  <si>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</si>
  <si>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</si>
  <si>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</si>
  <si>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</si>
  <si>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</si>
  <si>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</si>
  <si>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</si>
  <si>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</si>
  <si>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</si>
  <si>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</si>
  <si>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</si>
  <si>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</si>
  <si>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</si>
  <si>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</si>
  <si>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</si>
  <si>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</si>
  <si>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63148</t>
  </si>
  <si>
    <t>63149</t>
  </si>
  <si>
    <t>63150</t>
  </si>
  <si>
    <t>63151</t>
  </si>
  <si>
    <t>63152</t>
  </si>
  <si>
    <t>63153</t>
  </si>
  <si>
    <t>63154</t>
  </si>
  <si>
    <t>63154/A</t>
  </si>
  <si>
    <t>63154A</t>
  </si>
  <si>
    <t>63154A/A</t>
  </si>
  <si>
    <t>63154B</t>
  </si>
  <si>
    <t>63154C</t>
  </si>
  <si>
    <t>63154D</t>
  </si>
  <si>
    <t>63154D/A</t>
  </si>
  <si>
    <t>63154D/B</t>
  </si>
  <si>
    <t>63154E</t>
  </si>
  <si>
    <t>63154F</t>
  </si>
  <si>
    <t>63154F/A</t>
  </si>
  <si>
    <t>63155</t>
  </si>
  <si>
    <t>63155/A</t>
  </si>
  <si>
    <t>63155A</t>
  </si>
  <si>
    <t>63155B</t>
  </si>
  <si>
    <t>63156</t>
  </si>
  <si>
    <t>63156/A</t>
  </si>
  <si>
    <t>63156A</t>
  </si>
  <si>
    <t>63157</t>
  </si>
  <si>
    <t>63158</t>
  </si>
  <si>
    <t>63159</t>
  </si>
  <si>
    <t>63160</t>
  </si>
  <si>
    <t>63161</t>
  </si>
  <si>
    <t>63161A</t>
  </si>
  <si>
    <t>63161B</t>
  </si>
  <si>
    <t>63161C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</si>
  <si>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</si>
  <si>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</si>
  <si>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</si>
  <si>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</si>
  <si>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</si>
  <si>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</si>
  <si>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</si>
  <si>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</si>
  <si>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</si>
  <si>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63172</t>
  </si>
  <si>
    <t>63172/A</t>
  </si>
  <si>
    <t>63173</t>
  </si>
  <si>
    <t>63173/A</t>
  </si>
  <si>
    <t>63174</t>
  </si>
  <si>
    <t>63175</t>
  </si>
  <si>
    <t>63176</t>
  </si>
  <si>
    <t>63177</t>
  </si>
  <si>
    <t>63178</t>
  </si>
  <si>
    <t>63179</t>
  </si>
  <si>
    <t>63179A</t>
  </si>
  <si>
    <t>63179B</t>
  </si>
  <si>
    <t>63180</t>
  </si>
  <si>
    <t>63180A</t>
  </si>
  <si>
    <t>63181</t>
  </si>
  <si>
    <t>63182</t>
  </si>
  <si>
    <t>63185</t>
  </si>
  <si>
    <t>63186</t>
  </si>
  <si>
    <t>63190</t>
  </si>
  <si>
    <t>63191</t>
  </si>
  <si>
    <t>63192</t>
  </si>
  <si>
    <t>63193</t>
  </si>
  <si>
    <t>63194</t>
  </si>
  <si>
    <t>63195</t>
  </si>
  <si>
    <t>63196</t>
  </si>
  <si>
    <t>63198</t>
  </si>
  <si>
    <t>63199</t>
  </si>
  <si>
    <t>63200</t>
  </si>
  <si>
    <t>63201</t>
  </si>
  <si>
    <t>63202</t>
  </si>
  <si>
    <t>63203</t>
  </si>
  <si>
    <t>63204</t>
  </si>
  <si>
    <t>63205</t>
  </si>
  <si>
    <t>63206</t>
  </si>
  <si>
    <t>63206A</t>
  </si>
  <si>
    <t>63207</t>
  </si>
  <si>
    <t>63207A</t>
  </si>
  <si>
    <t>63208</t>
  </si>
  <si>
    <t>63209</t>
  </si>
  <si>
    <t>63210</t>
  </si>
  <si>
    <t>63211</t>
  </si>
  <si>
    <t>63212</t>
  </si>
  <si>
    <t>63213</t>
  </si>
  <si>
    <t>63214</t>
  </si>
  <si>
    <t>63215</t>
  </si>
  <si>
    <t>63216</t>
  </si>
  <si>
    <t>63217</t>
  </si>
  <si>
    <t>63218</t>
  </si>
  <si>
    <t>63219</t>
  </si>
  <si>
    <t>63220</t>
  </si>
  <si>
    <t>63221</t>
  </si>
  <si>
    <t>63222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</si>
  <si>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</si>
  <si>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</si>
  <si>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</si>
  <si>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</si>
  <si>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</si>
  <si>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</si>
  <si>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</si>
  <si>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</si>
  <si>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</si>
  <si>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</si>
  <si>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</si>
  <si>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</si>
  <si>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</si>
  <si>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</si>
  <si>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</si>
  <si>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</si>
  <si>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</si>
  <si>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</si>
  <si>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</si>
  <si>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</si>
  <si>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</si>
  <si>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</si>
  <si>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</si>
  <si>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</si>
  <si>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</si>
  <si>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</si>
  <si>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</si>
  <si>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</si>
  <si>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</si>
  <si>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</si>
  <si>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63255/A</t>
  </si>
  <si>
    <t>63256</t>
  </si>
  <si>
    <t>63256/A</t>
  </si>
  <si>
    <t>63257</t>
  </si>
  <si>
    <t>63257/A</t>
  </si>
  <si>
    <t>63260</t>
  </si>
  <si>
    <t>63263</t>
  </si>
  <si>
    <t>63264</t>
  </si>
  <si>
    <t>63265</t>
  </si>
  <si>
    <t>63268</t>
  </si>
  <si>
    <t>63269</t>
  </si>
  <si>
    <t>63270</t>
  </si>
  <si>
    <t>63271</t>
  </si>
  <si>
    <t>63272</t>
  </si>
  <si>
    <t>63275</t>
  </si>
  <si>
    <t>63276</t>
  </si>
  <si>
    <t>63277</t>
  </si>
  <si>
    <t>63278</t>
  </si>
  <si>
    <t>63279</t>
  </si>
  <si>
    <t>63280</t>
  </si>
  <si>
    <t>63281</t>
  </si>
  <si>
    <t>63282</t>
  </si>
  <si>
    <t>63283</t>
  </si>
  <si>
    <t>63284</t>
  </si>
  <si>
    <t>63285</t>
  </si>
  <si>
    <t>63286</t>
  </si>
  <si>
    <t>63287</t>
  </si>
  <si>
    <t>63289</t>
  </si>
  <si>
    <t>63290</t>
  </si>
  <si>
    <t>63291</t>
  </si>
  <si>
    <t>63293</t>
  </si>
  <si>
    <t>63294</t>
  </si>
  <si>
    <t>63295</t>
  </si>
  <si>
    <t>63296</t>
  </si>
  <si>
    <t>63297</t>
  </si>
  <si>
    <t>63298</t>
  </si>
  <si>
    <t>63299</t>
  </si>
  <si>
    <t>63300</t>
  </si>
  <si>
    <t>63301</t>
  </si>
  <si>
    <t>63302</t>
  </si>
  <si>
    <t>63304</t>
  </si>
  <si>
    <t>63305</t>
  </si>
  <si>
    <t>63306</t>
  </si>
  <si>
    <t>63307</t>
  </si>
  <si>
    <t>63308</t>
  </si>
  <si>
    <t>63309</t>
  </si>
  <si>
    <t>63309A</t>
  </si>
  <si>
    <t>63310</t>
  </si>
  <si>
    <t>63311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</si>
  <si>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</si>
  <si>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</si>
  <si>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</si>
  <si>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</si>
  <si>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</si>
  <si>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</si>
  <si>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</si>
  <si>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</si>
  <si>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</si>
  <si>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</si>
  <si>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</si>
  <si>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</si>
  <si>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63327</t>
  </si>
  <si>
    <t>63329</t>
  </si>
  <si>
    <t>63330</t>
  </si>
  <si>
    <t>63331</t>
  </si>
  <si>
    <t>63332</t>
  </si>
  <si>
    <t>63332A</t>
  </si>
  <si>
    <t>63332B</t>
  </si>
  <si>
    <t>63332C</t>
  </si>
  <si>
    <t>63333</t>
  </si>
  <si>
    <t>63334</t>
  </si>
  <si>
    <t>63335</t>
  </si>
  <si>
    <t>63336</t>
  </si>
  <si>
    <t>63337</t>
  </si>
  <si>
    <t>63337A</t>
  </si>
  <si>
    <t>63338</t>
  </si>
  <si>
    <t>63338A</t>
  </si>
  <si>
    <t>63339</t>
  </si>
  <si>
    <t>63339A</t>
  </si>
  <si>
    <t>63340</t>
  </si>
  <si>
    <t>63340A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</si>
  <si>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</si>
  <si>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</si>
  <si>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</si>
  <si>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</si>
  <si>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</si>
  <si>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</si>
  <si>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</si>
  <si>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</si>
  <si>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63348A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</si>
  <si>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</si>
  <si>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</si>
  <si>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</si>
  <si>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</si>
  <si>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</si>
  <si>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</si>
  <si>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</si>
  <si>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</si>
  <si>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</si>
  <si>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</si>
  <si>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</si>
  <si>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</si>
  <si>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</si>
  <si>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</si>
  <si>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</si>
  <si>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</si>
  <si>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</si>
  <si>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</si>
  <si>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</si>
  <si>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</si>
  <si>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</si>
  <si>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</si>
  <si>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</si>
  <si>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</si>
  <si>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</si>
  <si>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</si>
  <si>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</si>
  <si>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</si>
  <si>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</si>
  <si>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</si>
  <si>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</si>
  <si>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</si>
  <si>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</si>
  <si>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</si>
  <si>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</si>
  <si>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63390</t>
  </si>
  <si>
    <t>63391</t>
  </si>
  <si>
    <t>63392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</si>
  <si>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</si>
  <si>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</si>
  <si>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</si>
  <si>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</si>
  <si>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</si>
  <si>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</si>
  <si>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</si>
  <si>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</si>
  <si>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63404</t>
  </si>
  <si>
    <t>63405</t>
  </si>
  <si>
    <t>63406</t>
  </si>
  <si>
    <t>63407</t>
  </si>
  <si>
    <t>63407B</t>
  </si>
  <si>
    <t>63408</t>
  </si>
  <si>
    <t>63409</t>
  </si>
  <si>
    <t>63409A</t>
  </si>
  <si>
    <t>63410</t>
  </si>
  <si>
    <t>63411</t>
  </si>
  <si>
    <t>63411A</t>
  </si>
  <si>
    <t>63412</t>
  </si>
  <si>
    <t>63413</t>
  </si>
  <si>
    <t>63414</t>
  </si>
  <si>
    <t>63415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</si>
  <si>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</si>
  <si>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</si>
  <si>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</si>
  <si>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</si>
  <si>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</si>
  <si>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</si>
  <si>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</si>
  <si>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</si>
  <si>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</si>
  <si>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</si>
  <si>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</si>
  <si>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</si>
  <si>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</si>
  <si>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</si>
  <si>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</si>
  <si>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</si>
  <si>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</si>
  <si>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</si>
  <si>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</si>
  <si>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</si>
  <si>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</si>
  <si>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</si>
  <si>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</si>
  <si>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</si>
  <si>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</si>
  <si>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</si>
  <si>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</si>
  <si>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</si>
  <si>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</si>
  <si>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</si>
  <si>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</si>
  <si>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</si>
  <si>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</si>
  <si>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</si>
  <si>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</si>
  <si>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</si>
  <si>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</si>
  <si>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</si>
  <si>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</si>
  <si>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</si>
  <si>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</si>
  <si>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</si>
  <si>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</si>
  <si>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</si>
  <si>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</si>
  <si>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</si>
  <si>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63467</t>
  </si>
  <si>
    <t>63468</t>
  </si>
  <si>
    <t>63469</t>
  </si>
  <si>
    <t>63471</t>
  </si>
  <si>
    <t>63472</t>
  </si>
  <si>
    <t>63473</t>
  </si>
  <si>
    <t>63474</t>
  </si>
  <si>
    <t>63475</t>
  </si>
  <si>
    <t>63476</t>
  </si>
  <si>
    <t>63478</t>
  </si>
  <si>
    <t>63479</t>
  </si>
  <si>
    <t>63480</t>
  </si>
  <si>
    <t>63481</t>
  </si>
  <si>
    <t>63482</t>
  </si>
  <si>
    <t>63483</t>
  </si>
  <si>
    <t>63484</t>
  </si>
  <si>
    <t>63485</t>
  </si>
  <si>
    <t>63485/CO</t>
  </si>
  <si>
    <t>63486</t>
  </si>
  <si>
    <t>63487</t>
  </si>
  <si>
    <t>63488</t>
  </si>
  <si>
    <t>63489</t>
  </si>
  <si>
    <t>63490</t>
  </si>
  <si>
    <t>63491</t>
  </si>
  <si>
    <t>63492</t>
  </si>
  <si>
    <t>63493</t>
  </si>
  <si>
    <t>63494</t>
  </si>
  <si>
    <t>63495</t>
  </si>
  <si>
    <t>63496</t>
  </si>
  <si>
    <t>63497</t>
  </si>
  <si>
    <t>63498</t>
  </si>
  <si>
    <t>63499</t>
  </si>
  <si>
    <t>63500</t>
  </si>
  <si>
    <t>63501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</si>
  <si>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</si>
  <si>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</si>
  <si>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</si>
  <si>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</si>
  <si>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</si>
  <si>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</si>
  <si>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</si>
  <si>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</si>
  <si>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63510</t>
  </si>
  <si>
    <t>63511</t>
  </si>
  <si>
    <t>63513</t>
  </si>
  <si>
    <t>63514</t>
  </si>
  <si>
    <t>63515</t>
  </si>
  <si>
    <t>63516</t>
  </si>
  <si>
    <t>63518</t>
  </si>
  <si>
    <t>63519</t>
  </si>
  <si>
    <t>63520</t>
  </si>
  <si>
    <t>63522</t>
  </si>
  <si>
    <t>63524</t>
  </si>
  <si>
    <t>63525</t>
  </si>
  <si>
    <t>63526</t>
  </si>
  <si>
    <t>63527</t>
  </si>
  <si>
    <t>63528</t>
  </si>
  <si>
    <t>63529</t>
  </si>
  <si>
    <t>63530</t>
  </si>
  <si>
    <t>63531</t>
  </si>
  <si>
    <t>63532</t>
  </si>
  <si>
    <t>63533</t>
  </si>
  <si>
    <t>63533A</t>
  </si>
  <si>
    <t>63533B</t>
  </si>
  <si>
    <t>63534</t>
  </si>
  <si>
    <t>63534A</t>
  </si>
  <si>
    <t>63534B</t>
  </si>
  <si>
    <t>63535</t>
  </si>
  <si>
    <t>63536</t>
  </si>
  <si>
    <t>63537</t>
  </si>
  <si>
    <t>63538</t>
  </si>
  <si>
    <t>63539</t>
  </si>
  <si>
    <t>63540</t>
  </si>
  <si>
    <t>63541</t>
  </si>
  <si>
    <t>63542</t>
  </si>
  <si>
    <t>63543</t>
  </si>
  <si>
    <t>63544</t>
  </si>
  <si>
    <t>63545</t>
  </si>
  <si>
    <t>63546</t>
  </si>
  <si>
    <t>63547</t>
  </si>
  <si>
    <t>63548</t>
  </si>
  <si>
    <t>63549</t>
  </si>
  <si>
    <t>63550</t>
  </si>
  <si>
    <t>63551</t>
  </si>
  <si>
    <t>63552</t>
  </si>
  <si>
    <t>63553</t>
  </si>
  <si>
    <t>63554</t>
  </si>
  <si>
    <t>63555</t>
  </si>
  <si>
    <t>63556</t>
  </si>
  <si>
    <t>63557</t>
  </si>
  <si>
    <t>63558</t>
  </si>
  <si>
    <t>63559</t>
  </si>
  <si>
    <t>63560</t>
  </si>
  <si>
    <t>63561</t>
  </si>
  <si>
    <t>63562</t>
  </si>
  <si>
    <t>63563</t>
  </si>
  <si>
    <t>63564</t>
  </si>
  <si>
    <t>63565</t>
  </si>
  <si>
    <t>63566</t>
  </si>
  <si>
    <t>63567</t>
  </si>
  <si>
    <t>63568</t>
  </si>
  <si>
    <t>63569</t>
  </si>
  <si>
    <t>63570</t>
  </si>
  <si>
    <t>63571</t>
  </si>
  <si>
    <t>63572</t>
  </si>
  <si>
    <t>63572A</t>
  </si>
  <si>
    <t>63573</t>
  </si>
  <si>
    <t>63574</t>
  </si>
  <si>
    <t>63575</t>
  </si>
  <si>
    <t>63576</t>
  </si>
  <si>
    <t>63577</t>
  </si>
  <si>
    <t>63578</t>
  </si>
  <si>
    <t>63579</t>
  </si>
  <si>
    <t>63580</t>
  </si>
  <si>
    <t>63581</t>
  </si>
  <si>
    <t>63582</t>
  </si>
  <si>
    <t>63583</t>
  </si>
  <si>
    <t>63584</t>
  </si>
  <si>
    <t>63586</t>
  </si>
  <si>
    <t>63588</t>
  </si>
  <si>
    <t>63589</t>
  </si>
  <si>
    <t>63590</t>
  </si>
  <si>
    <t>63591</t>
  </si>
  <si>
    <t>63593</t>
  </si>
  <si>
    <t>63594</t>
  </si>
  <si>
    <t>63595</t>
  </si>
  <si>
    <t>63596</t>
  </si>
  <si>
    <t>63597</t>
  </si>
  <si>
    <t>63598</t>
  </si>
  <si>
    <t>63599</t>
  </si>
  <si>
    <t>63600</t>
  </si>
  <si>
    <t>63602</t>
  </si>
  <si>
    <t>63602/CO</t>
  </si>
  <si>
    <t>63603</t>
  </si>
  <si>
    <t>63604</t>
  </si>
  <si>
    <t>63605</t>
  </si>
  <si>
    <t>63606</t>
  </si>
  <si>
    <t>63607</t>
  </si>
  <si>
    <t>63608</t>
  </si>
  <si>
    <t>63609</t>
  </si>
  <si>
    <t>63611</t>
  </si>
  <si>
    <t>63612</t>
  </si>
  <si>
    <t>63613</t>
  </si>
  <si>
    <t>63615</t>
  </si>
  <si>
    <t>63616</t>
  </si>
  <si>
    <t>63618</t>
  </si>
  <si>
    <t>63618A</t>
  </si>
  <si>
    <t>63620</t>
  </si>
  <si>
    <t>63621</t>
  </si>
  <si>
    <t>63622</t>
  </si>
  <si>
    <t>63625</t>
  </si>
  <si>
    <t>63626</t>
  </si>
  <si>
    <t>63628</t>
  </si>
  <si>
    <t>63629</t>
  </si>
  <si>
    <t>63630</t>
  </si>
  <si>
    <t>63631</t>
  </si>
  <si>
    <t>63634</t>
  </si>
  <si>
    <t>63635</t>
  </si>
  <si>
    <t>63636</t>
  </si>
  <si>
    <t>63637</t>
  </si>
  <si>
    <t>63638</t>
  </si>
  <si>
    <t>63639</t>
  </si>
  <si>
    <t>63640</t>
  </si>
  <si>
    <t>63641</t>
  </si>
  <si>
    <t>63642</t>
  </si>
  <si>
    <t>63643</t>
  </si>
  <si>
    <t>63645</t>
  </si>
  <si>
    <t>63645A</t>
  </si>
  <si>
    <t>63646</t>
  </si>
  <si>
    <t>63647</t>
  </si>
  <si>
    <t>63648</t>
  </si>
  <si>
    <t>63649</t>
  </si>
  <si>
    <t>63650</t>
  </si>
  <si>
    <t>63651</t>
  </si>
  <si>
    <t>63652</t>
  </si>
  <si>
    <t>63652A</t>
  </si>
  <si>
    <t>63652B</t>
  </si>
  <si>
    <t>63653</t>
  </si>
  <si>
    <t>63654</t>
  </si>
  <si>
    <t>63657</t>
  </si>
  <si>
    <t>63658</t>
  </si>
  <si>
    <t>63659</t>
  </si>
  <si>
    <t>63660</t>
  </si>
  <si>
    <t>63661</t>
  </si>
  <si>
    <t>63662</t>
  </si>
  <si>
    <t>63663</t>
  </si>
  <si>
    <t>63664</t>
  </si>
  <si>
    <t>63665</t>
  </si>
  <si>
    <t>63666</t>
  </si>
  <si>
    <t>63667</t>
  </si>
  <si>
    <t>63668</t>
  </si>
  <si>
    <t>63669</t>
  </si>
  <si>
    <t>63670</t>
  </si>
  <si>
    <t>63671</t>
  </si>
  <si>
    <t>63672</t>
  </si>
  <si>
    <t>63673</t>
  </si>
  <si>
    <t>63674</t>
  </si>
  <si>
    <t>63675</t>
  </si>
  <si>
    <t>63676</t>
  </si>
  <si>
    <t>63677</t>
  </si>
  <si>
    <t>63679</t>
  </si>
  <si>
    <t>63680</t>
  </si>
  <si>
    <t>63681</t>
  </si>
  <si>
    <t>63682</t>
  </si>
  <si>
    <t>63684</t>
  </si>
  <si>
    <t>63685</t>
  </si>
  <si>
    <t>63686</t>
  </si>
  <si>
    <t>63688</t>
  </si>
  <si>
    <t>63689</t>
  </si>
  <si>
    <t>63690</t>
  </si>
  <si>
    <t>63691</t>
  </si>
  <si>
    <t>63692</t>
  </si>
  <si>
    <t>63694</t>
  </si>
  <si>
    <t>63695</t>
  </si>
  <si>
    <t>63696</t>
  </si>
  <si>
    <t>63697</t>
  </si>
  <si>
    <t>63698</t>
  </si>
  <si>
    <t>63699</t>
  </si>
  <si>
    <t>63700</t>
  </si>
  <si>
    <t>63701</t>
  </si>
  <si>
    <t>63702</t>
  </si>
  <si>
    <t>63703</t>
  </si>
  <si>
    <t>63704</t>
  </si>
  <si>
    <t>63705</t>
  </si>
  <si>
    <t>63706</t>
  </si>
  <si>
    <t>63707</t>
  </si>
  <si>
    <t>63708</t>
  </si>
  <si>
    <t>63710</t>
  </si>
  <si>
    <t>63711</t>
  </si>
  <si>
    <t>63712</t>
  </si>
  <si>
    <t>63713</t>
  </si>
  <si>
    <t>63713/CO</t>
  </si>
  <si>
    <t>63713A/CO</t>
  </si>
  <si>
    <t>63714</t>
  </si>
  <si>
    <t>63714/CO</t>
  </si>
  <si>
    <t>63715</t>
  </si>
  <si>
    <t>63716</t>
  </si>
  <si>
    <t>63717</t>
  </si>
  <si>
    <t>63718</t>
  </si>
  <si>
    <t>63719</t>
  </si>
  <si>
    <t>63720</t>
  </si>
  <si>
    <t>63721</t>
  </si>
  <si>
    <t>63722</t>
  </si>
  <si>
    <t>63723</t>
  </si>
  <si>
    <t>63724</t>
  </si>
  <si>
    <t>63725</t>
  </si>
  <si>
    <t>63726</t>
  </si>
  <si>
    <t>63727</t>
  </si>
  <si>
    <t>63728</t>
  </si>
  <si>
    <t>63729</t>
  </si>
  <si>
    <t>63730</t>
  </si>
  <si>
    <t>63731</t>
  </si>
  <si>
    <t>63733</t>
  </si>
  <si>
    <t>63734</t>
  </si>
  <si>
    <t>63735</t>
  </si>
  <si>
    <t>63736</t>
  </si>
  <si>
    <t>63737</t>
  </si>
  <si>
    <t>63738</t>
  </si>
  <si>
    <t>63739</t>
  </si>
  <si>
    <t>63740</t>
  </si>
  <si>
    <t>63742</t>
  </si>
  <si>
    <t>63743</t>
  </si>
  <si>
    <t>63744</t>
  </si>
  <si>
    <t>63745</t>
  </si>
  <si>
    <t>63746</t>
  </si>
  <si>
    <t>63747</t>
  </si>
  <si>
    <t>63748</t>
  </si>
  <si>
    <t>63749</t>
  </si>
  <si>
    <t>63750</t>
  </si>
  <si>
    <t>63751</t>
  </si>
  <si>
    <t>63752</t>
  </si>
  <si>
    <t>63753</t>
  </si>
  <si>
    <t>63754</t>
  </si>
  <si>
    <t>63755</t>
  </si>
  <si>
    <t>63756</t>
  </si>
  <si>
    <t>63757</t>
  </si>
  <si>
    <t>63757A</t>
  </si>
  <si>
    <t>63758</t>
  </si>
  <si>
    <t>63759</t>
  </si>
  <si>
    <t>63760</t>
  </si>
  <si>
    <t>63761</t>
  </si>
  <si>
    <t>63761A</t>
  </si>
  <si>
    <t>63761B</t>
  </si>
  <si>
    <t>63761C</t>
  </si>
  <si>
    <t>63761D</t>
  </si>
  <si>
    <t>63763</t>
  </si>
  <si>
    <t>63763A</t>
  </si>
  <si>
    <t>63763B</t>
  </si>
  <si>
    <t>63765</t>
  </si>
  <si>
    <t>63766</t>
  </si>
  <si>
    <t>63767</t>
  </si>
  <si>
    <t>63768</t>
  </si>
  <si>
    <t>63769</t>
  </si>
  <si>
    <t>63770</t>
  </si>
  <si>
    <t>63771</t>
  </si>
  <si>
    <t>63772</t>
  </si>
  <si>
    <t>63773</t>
  </si>
  <si>
    <t>63774</t>
  </si>
  <si>
    <t>63774A</t>
  </si>
  <si>
    <t>63774B</t>
  </si>
  <si>
    <t>63774C</t>
  </si>
  <si>
    <t>63774D</t>
  </si>
  <si>
    <t>63775</t>
  </si>
  <si>
    <t>63780</t>
  </si>
  <si>
    <t>63781</t>
  </si>
  <si>
    <t>63782</t>
  </si>
  <si>
    <t>63783</t>
  </si>
  <si>
    <t>63784</t>
  </si>
  <si>
    <t>63785</t>
  </si>
  <si>
    <t>63786</t>
  </si>
  <si>
    <t>63787</t>
  </si>
  <si>
    <t>63788</t>
  </si>
  <si>
    <t>63789</t>
  </si>
  <si>
    <t>63790</t>
  </si>
  <si>
    <t>63791</t>
  </si>
  <si>
    <t>63792</t>
  </si>
  <si>
    <t>63793</t>
  </si>
  <si>
    <t>63794</t>
  </si>
  <si>
    <t>63795</t>
  </si>
  <si>
    <t>63796</t>
  </si>
  <si>
    <t>63797</t>
  </si>
  <si>
    <t>63798</t>
  </si>
  <si>
    <t>63799</t>
  </si>
  <si>
    <t>63800</t>
  </si>
  <si>
    <t>63801</t>
  </si>
  <si>
    <t>63802</t>
  </si>
  <si>
    <t>63802/CO</t>
  </si>
  <si>
    <t>63803</t>
  </si>
  <si>
    <t>63805</t>
  </si>
  <si>
    <t>63806</t>
  </si>
  <si>
    <t>63807</t>
  </si>
  <si>
    <t>63808</t>
  </si>
  <si>
    <t>63809</t>
  </si>
  <si>
    <t>63810</t>
  </si>
  <si>
    <t>63811</t>
  </si>
  <si>
    <t>63812</t>
  </si>
  <si>
    <t>63813</t>
  </si>
  <si>
    <t>63814</t>
  </si>
  <si>
    <t>63815</t>
  </si>
  <si>
    <t>63816</t>
  </si>
  <si>
    <t>63817</t>
  </si>
  <si>
    <t>63818</t>
  </si>
  <si>
    <t>63819</t>
  </si>
  <si>
    <t>63820</t>
  </si>
  <si>
    <t>63821</t>
  </si>
  <si>
    <t>63822</t>
  </si>
  <si>
    <t>63823</t>
  </si>
  <si>
    <t>63824</t>
  </si>
  <si>
    <t>63825</t>
  </si>
  <si>
    <t>63826</t>
  </si>
  <si>
    <t>63828</t>
  </si>
  <si>
    <t>63829</t>
  </si>
  <si>
    <t>63830</t>
  </si>
  <si>
    <t>63831</t>
  </si>
  <si>
    <t>63832</t>
  </si>
  <si>
    <t>63833</t>
  </si>
  <si>
    <t>63834</t>
  </si>
  <si>
    <t>63835</t>
  </si>
  <si>
    <t>63836</t>
  </si>
  <si>
    <t>63837</t>
  </si>
  <si>
    <t>63837A</t>
  </si>
  <si>
    <t>63838</t>
  </si>
  <si>
    <t>63839</t>
  </si>
  <si>
    <t>63840</t>
  </si>
  <si>
    <t>63841</t>
  </si>
  <si>
    <t>63842</t>
  </si>
  <si>
    <t>63843</t>
  </si>
  <si>
    <t>63845</t>
  </si>
  <si>
    <t>63846</t>
  </si>
  <si>
    <t>63847</t>
  </si>
  <si>
    <t>63848</t>
  </si>
  <si>
    <t>63849</t>
  </si>
  <si>
    <t>63850</t>
  </si>
  <si>
    <t>63851</t>
  </si>
  <si>
    <t>63852</t>
  </si>
  <si>
    <t>63853</t>
  </si>
  <si>
    <t>63854</t>
  </si>
  <si>
    <t>63855</t>
  </si>
  <si>
    <t>63856</t>
  </si>
  <si>
    <t>63857</t>
  </si>
  <si>
    <t>63858</t>
  </si>
  <si>
    <t>63859</t>
  </si>
  <si>
    <t>63860</t>
  </si>
  <si>
    <t>63861</t>
  </si>
  <si>
    <t>63862</t>
  </si>
  <si>
    <t>63863</t>
  </si>
  <si>
    <t>63864</t>
  </si>
  <si>
    <t>63865</t>
  </si>
  <si>
    <t>63865A</t>
  </si>
  <si>
    <t>63866</t>
  </si>
  <si>
    <t>63867</t>
  </si>
  <si>
    <t>63868</t>
  </si>
  <si>
    <t>63869</t>
  </si>
  <si>
    <t>63870</t>
  </si>
  <si>
    <t>63871</t>
  </si>
  <si>
    <t>63872</t>
  </si>
  <si>
    <t>63873</t>
  </si>
  <si>
    <t>63874</t>
  </si>
  <si>
    <t>63875</t>
  </si>
  <si>
    <t>63876</t>
  </si>
  <si>
    <t>63877</t>
  </si>
  <si>
    <t>63878</t>
  </si>
  <si>
    <t>63880</t>
  </si>
  <si>
    <t>63880A</t>
  </si>
  <si>
    <t>63880B</t>
  </si>
  <si>
    <t>63881</t>
  </si>
  <si>
    <t>63882</t>
  </si>
  <si>
    <t>63883</t>
  </si>
  <si>
    <t>63884</t>
  </si>
  <si>
    <t>63885</t>
  </si>
  <si>
    <t>63886</t>
  </si>
  <si>
    <t>63889</t>
  </si>
  <si>
    <t>63890</t>
  </si>
  <si>
    <t>63893</t>
  </si>
  <si>
    <t>63895</t>
  </si>
  <si>
    <t>63896</t>
  </si>
  <si>
    <t>63897</t>
  </si>
  <si>
    <t>63898</t>
  </si>
  <si>
    <t>63899</t>
  </si>
  <si>
    <t>63900</t>
  </si>
  <si>
    <t>63900A</t>
  </si>
  <si>
    <t>63901</t>
  </si>
  <si>
    <t>63901A</t>
  </si>
  <si>
    <t>63901C</t>
  </si>
  <si>
    <t>63901D</t>
  </si>
  <si>
    <t>63902</t>
  </si>
  <si>
    <t>63902A</t>
  </si>
  <si>
    <t>63903</t>
  </si>
  <si>
    <t>63904</t>
  </si>
  <si>
    <t>63905</t>
  </si>
  <si>
    <t>63906</t>
  </si>
  <si>
    <t>63907</t>
  </si>
  <si>
    <t>63908</t>
  </si>
  <si>
    <t>63909</t>
  </si>
  <si>
    <t>63910</t>
  </si>
  <si>
    <t>63912</t>
  </si>
  <si>
    <t>63920</t>
  </si>
  <si>
    <t>63921</t>
  </si>
  <si>
    <t>63922</t>
  </si>
  <si>
    <t>63928</t>
  </si>
  <si>
    <t>63929</t>
  </si>
  <si>
    <t>63940</t>
  </si>
  <si>
    <t>63941</t>
  </si>
  <si>
    <t>63942</t>
  </si>
  <si>
    <t>63943</t>
  </si>
  <si>
    <t>63947</t>
  </si>
  <si>
    <t>63949</t>
  </si>
  <si>
    <t>63951</t>
  </si>
  <si>
    <t>63958</t>
  </si>
  <si>
    <t>63960</t>
  </si>
  <si>
    <t>63961</t>
  </si>
  <si>
    <t>63962</t>
  </si>
  <si>
    <t>63965</t>
  </si>
  <si>
    <t>63966</t>
  </si>
  <si>
    <t>63967</t>
  </si>
  <si>
    <t>63968</t>
  </si>
  <si>
    <t>63969</t>
  </si>
  <si>
    <t>63970</t>
  </si>
  <si>
    <t>63971</t>
  </si>
  <si>
    <t>63972</t>
  </si>
  <si>
    <t>63973</t>
  </si>
  <si>
    <t>63974</t>
  </si>
  <si>
    <t>63975</t>
  </si>
  <si>
    <t>63976</t>
  </si>
  <si>
    <t>63977</t>
  </si>
  <si>
    <t>63978</t>
  </si>
  <si>
    <t>63979</t>
  </si>
  <si>
    <t>63980</t>
  </si>
  <si>
    <t>63980A</t>
  </si>
  <si>
    <t>63981</t>
  </si>
  <si>
    <t>63981A</t>
  </si>
  <si>
    <t>63981B</t>
  </si>
  <si>
    <t>63982</t>
  </si>
  <si>
    <t>63982A</t>
  </si>
  <si>
    <t>63983</t>
  </si>
  <si>
    <t>63983A</t>
  </si>
  <si>
    <t>63983B</t>
  </si>
  <si>
    <t>63983C</t>
  </si>
  <si>
    <t>63984</t>
  </si>
  <si>
    <t>63984A</t>
  </si>
  <si>
    <t>63984B</t>
  </si>
  <si>
    <t>63984C</t>
  </si>
  <si>
    <t>63984D</t>
  </si>
  <si>
    <t>63985</t>
  </si>
  <si>
    <t>63986</t>
  </si>
  <si>
    <t>63987</t>
  </si>
  <si>
    <t>63988</t>
  </si>
  <si>
    <t>63988A</t>
  </si>
  <si>
    <t>63989</t>
  </si>
  <si>
    <t>63990</t>
  </si>
  <si>
    <t>63991</t>
  </si>
  <si>
    <t>63992</t>
  </si>
  <si>
    <t>63993</t>
  </si>
  <si>
    <t>63994</t>
  </si>
  <si>
    <t>63995</t>
  </si>
  <si>
    <t>63996</t>
  </si>
  <si>
    <t>63997</t>
  </si>
  <si>
    <t>63998</t>
  </si>
  <si>
    <t>63999</t>
  </si>
  <si>
    <t>64000</t>
  </si>
  <si>
    <t>64001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</si>
  <si>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</si>
  <si>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</si>
  <si>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</si>
  <si>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</si>
  <si>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</si>
  <si>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</si>
  <si>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</si>
  <si>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</si>
  <si>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</si>
  <si>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64012</t>
  </si>
  <si>
    <t>64013</t>
  </si>
  <si>
    <t>64013A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</si>
  <si>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</si>
  <si>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</si>
  <si>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</si>
  <si>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</si>
  <si>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</si>
  <si>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</si>
  <si>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</si>
  <si>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</si>
  <si>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</si>
  <si>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</si>
  <si>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</si>
  <si>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</si>
  <si>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</si>
  <si>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64028</t>
  </si>
  <si>
    <t>64029</t>
  </si>
  <si>
    <t>64030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</si>
  <si>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</si>
  <si>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</si>
  <si>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</si>
  <si>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</si>
  <si>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</si>
  <si>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</si>
  <si>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</si>
  <si>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</si>
  <si>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</si>
  <si>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</si>
  <si>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</si>
  <si>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</si>
  <si>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</si>
  <si>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</si>
  <si>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</si>
  <si>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</si>
  <si>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</si>
  <si>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</si>
  <si>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</si>
  <si>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</si>
  <si>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</si>
  <si>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</si>
  <si>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</si>
  <si>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64056</t>
  </si>
  <si>
    <t>64060</t>
  </si>
  <si>
    <t>64064</t>
  </si>
  <si>
    <t>64065</t>
  </si>
  <si>
    <t>64065A</t>
  </si>
  <si>
    <t>64065B</t>
  </si>
  <si>
    <t>64065C</t>
  </si>
  <si>
    <t>64065D</t>
  </si>
  <si>
    <t>64065E</t>
  </si>
  <si>
    <t>64065F</t>
  </si>
  <si>
    <t>64067</t>
  </si>
  <si>
    <t>64068</t>
  </si>
  <si>
    <t>64069</t>
  </si>
  <si>
    <t>64070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</si>
  <si>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</si>
  <si>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</si>
  <si>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</si>
  <si>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</si>
  <si>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</si>
  <si>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</si>
  <si>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</si>
  <si>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</si>
  <si>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</si>
  <si>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</si>
  <si>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64083</t>
  </si>
  <si>
    <t>64084</t>
  </si>
  <si>
    <t>64085</t>
  </si>
  <si>
    <t>64086</t>
  </si>
  <si>
    <t>64087</t>
  </si>
  <si>
    <t>64088</t>
  </si>
  <si>
    <t>64090</t>
  </si>
  <si>
    <t>64091</t>
  </si>
  <si>
    <t>64092</t>
  </si>
  <si>
    <t>64093</t>
  </si>
  <si>
    <t>64094</t>
  </si>
  <si>
    <t>64095</t>
  </si>
  <si>
    <t>64095A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</si>
  <si>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</si>
  <si>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</si>
  <si>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</si>
  <si>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</si>
  <si>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</si>
  <si>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</si>
  <si>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</si>
  <si>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</si>
  <si>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</si>
  <si>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</si>
  <si>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</si>
  <si>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</si>
  <si>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</si>
  <si>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</si>
  <si>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</si>
  <si>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</si>
  <si>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</si>
  <si>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</si>
  <si>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</si>
  <si>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</si>
  <si>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</si>
  <si>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64120</t>
  </si>
  <si>
    <t>64121</t>
  </si>
  <si>
    <t>64122</t>
  </si>
  <si>
    <t>64123</t>
  </si>
  <si>
    <t>64124</t>
  </si>
  <si>
    <t>64125</t>
  </si>
  <si>
    <t>64126</t>
  </si>
  <si>
    <t>64126/CO</t>
  </si>
  <si>
    <t>64127</t>
  </si>
  <si>
    <t>64127A</t>
  </si>
  <si>
    <t>64128</t>
  </si>
  <si>
    <t>64132</t>
  </si>
  <si>
    <t>64133</t>
  </si>
  <si>
    <t>64134</t>
  </si>
  <si>
    <t>64135</t>
  </si>
  <si>
    <t>64136</t>
  </si>
  <si>
    <t>64138</t>
  </si>
  <si>
    <t>64139</t>
  </si>
  <si>
    <t>64140</t>
  </si>
  <si>
    <t>64141</t>
  </si>
  <si>
    <t>64142</t>
  </si>
  <si>
    <t>64143</t>
  </si>
  <si>
    <t>64144</t>
  </si>
  <si>
    <t>64146</t>
  </si>
  <si>
    <t>64147</t>
  </si>
  <si>
    <t>64148</t>
  </si>
  <si>
    <t>64150</t>
  </si>
  <si>
    <t>64151</t>
  </si>
  <si>
    <t>64153</t>
  </si>
  <si>
    <t>64154</t>
  </si>
  <si>
    <t>64155</t>
  </si>
  <si>
    <t>64156</t>
  </si>
  <si>
    <t>64157</t>
  </si>
  <si>
    <t>64158</t>
  </si>
  <si>
    <t>64159</t>
  </si>
  <si>
    <t>64161</t>
  </si>
  <si>
    <t>64164</t>
  </si>
  <si>
    <t>64167</t>
  </si>
  <si>
    <t>64168</t>
  </si>
  <si>
    <t>64169</t>
  </si>
  <si>
    <t>64170</t>
  </si>
  <si>
    <t>64171</t>
  </si>
  <si>
    <t>64173</t>
  </si>
  <si>
    <t>64174</t>
  </si>
  <si>
    <t>64174A</t>
  </si>
  <si>
    <t>64177</t>
  </si>
  <si>
    <t>64178</t>
  </si>
  <si>
    <t>64179</t>
  </si>
  <si>
    <t>64180</t>
  </si>
  <si>
    <t>64182</t>
  </si>
  <si>
    <t>64183</t>
  </si>
  <si>
    <t>64184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</si>
  <si>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</si>
  <si>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</si>
  <si>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</si>
  <si>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</si>
  <si>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</si>
  <si>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</si>
  <si>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</si>
  <si>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</si>
  <si>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</si>
  <si>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</si>
  <si>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</si>
  <si>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64198</t>
  </si>
  <si>
    <t>64200</t>
  </si>
  <si>
    <t>64203</t>
  </si>
  <si>
    <t>64204</t>
  </si>
  <si>
    <t>64208</t>
  </si>
  <si>
    <t>64209</t>
  </si>
  <si>
    <t>64210</t>
  </si>
  <si>
    <t>64211</t>
  </si>
  <si>
    <t>64213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</si>
  <si>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</si>
  <si>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</si>
  <si>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</si>
  <si>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</si>
  <si>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</si>
  <si>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</si>
  <si>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</si>
  <si>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</si>
  <si>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</si>
  <si>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</si>
  <si>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</si>
  <si>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</si>
  <si>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</si>
  <si>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</si>
  <si>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64230</t>
  </si>
  <si>
    <t>64231</t>
  </si>
  <si>
    <t>64232</t>
  </si>
  <si>
    <t>64233</t>
  </si>
  <si>
    <t>64234</t>
  </si>
  <si>
    <t>64234A</t>
  </si>
  <si>
    <t>64235</t>
  </si>
  <si>
    <t>64236</t>
  </si>
  <si>
    <t>64237</t>
  </si>
  <si>
    <t>64241</t>
  </si>
  <si>
    <t>64242</t>
  </si>
  <si>
    <t>64243</t>
  </si>
  <si>
    <t>64244</t>
  </si>
  <si>
    <t>64250</t>
  </si>
  <si>
    <t>64251</t>
  </si>
  <si>
    <t>64257</t>
  </si>
  <si>
    <t>64286</t>
  </si>
  <si>
    <t>64287</t>
  </si>
  <si>
    <t>64298</t>
  </si>
  <si>
    <t>64313</t>
  </si>
  <si>
    <t>64313/CO</t>
  </si>
  <si>
    <t>64313A</t>
  </si>
  <si>
    <t>64330</t>
  </si>
  <si>
    <t>64332</t>
  </si>
  <si>
    <t>64334</t>
  </si>
  <si>
    <t>64335</t>
  </si>
  <si>
    <t>64337</t>
  </si>
  <si>
    <t>64338</t>
  </si>
  <si>
    <t>64340</t>
  </si>
  <si>
    <t>64341</t>
  </si>
  <si>
    <t>64342</t>
  </si>
  <si>
    <t>64343</t>
  </si>
  <si>
    <t>64344</t>
  </si>
  <si>
    <t>64345</t>
  </si>
  <si>
    <t>64346</t>
  </si>
  <si>
    <t>64346/CO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</si>
  <si>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</si>
  <si>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</si>
  <si>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</si>
  <si>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</si>
  <si>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</si>
  <si>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</si>
  <si>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</si>
  <si>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</si>
  <si>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</si>
  <si>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</si>
  <si>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</si>
  <si>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</si>
  <si>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</si>
  <si>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</si>
  <si>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</si>
  <si>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</si>
  <si>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</si>
  <si>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</si>
  <si>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</si>
  <si>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</si>
  <si>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</si>
  <si>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64367A</t>
  </si>
  <si>
    <t>64368</t>
  </si>
  <si>
    <t>64368A</t>
  </si>
  <si>
    <t>64369</t>
  </si>
  <si>
    <t>64370</t>
  </si>
  <si>
    <t>64371</t>
  </si>
  <si>
    <t>64372</t>
  </si>
  <si>
    <t>64372A</t>
  </si>
  <si>
    <t>64372B</t>
  </si>
  <si>
    <t>64373</t>
  </si>
  <si>
    <t>64373A</t>
  </si>
  <si>
    <t>64374</t>
  </si>
  <si>
    <t>64375</t>
  </si>
  <si>
    <t>64376</t>
  </si>
  <si>
    <t>64377</t>
  </si>
  <si>
    <t>64378</t>
  </si>
  <si>
    <t>64380</t>
  </si>
  <si>
    <t>64381</t>
  </si>
  <si>
    <t>64382</t>
  </si>
  <si>
    <t>64383</t>
  </si>
  <si>
    <t>64384</t>
  </si>
  <si>
    <t>64385</t>
  </si>
  <si>
    <t>64386</t>
  </si>
  <si>
    <t>64387</t>
  </si>
  <si>
    <t>64388</t>
  </si>
  <si>
    <t>64389</t>
  </si>
  <si>
    <t>64390</t>
  </si>
  <si>
    <t>64391</t>
  </si>
  <si>
    <t>64391/CO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</si>
  <si>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</si>
  <si>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</si>
  <si>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</si>
  <si>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</si>
  <si>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</si>
  <si>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</si>
  <si>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</si>
  <si>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</si>
  <si>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</si>
  <si>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</si>
  <si>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</si>
  <si>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</si>
  <si>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</si>
  <si>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</si>
  <si>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</si>
  <si>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</si>
  <si>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</si>
  <si>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</si>
  <si>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</si>
  <si>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</si>
  <si>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</si>
  <si>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</si>
  <si>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</si>
  <si>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</si>
  <si>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</si>
  <si>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</si>
  <si>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</si>
  <si>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</si>
  <si>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</si>
  <si>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</si>
  <si>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</si>
  <si>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</si>
  <si>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</si>
  <si>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</si>
  <si>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</si>
  <si>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</si>
  <si>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64428/A</t>
  </si>
  <si>
    <t>64428/B</t>
  </si>
  <si>
    <t>64429</t>
  </si>
  <si>
    <t>64430</t>
  </si>
  <si>
    <t>64431</t>
  </si>
  <si>
    <t>64432</t>
  </si>
  <si>
    <t>64433</t>
  </si>
  <si>
    <t>64434</t>
  </si>
  <si>
    <t>64435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</si>
  <si>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</si>
  <si>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</si>
  <si>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</si>
  <si>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</si>
  <si>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</si>
  <si>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</si>
  <si>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</si>
  <si>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</si>
  <si>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</si>
  <si>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</si>
  <si>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</si>
  <si>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</si>
  <si>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</si>
  <si>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</si>
  <si>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64452</t>
  </si>
  <si>
    <t>64453</t>
  </si>
  <si>
    <t>64455</t>
  </si>
  <si>
    <t>64456</t>
  </si>
  <si>
    <t>64457</t>
  </si>
  <si>
    <t>64458</t>
  </si>
  <si>
    <t>64459</t>
  </si>
  <si>
    <t>64460</t>
  </si>
  <si>
    <t>64461</t>
  </si>
  <si>
    <t>64461A</t>
  </si>
  <si>
    <t>64461B</t>
  </si>
  <si>
    <t>64461C</t>
  </si>
  <si>
    <t>64462</t>
  </si>
  <si>
    <t>64463</t>
  </si>
  <si>
    <t>64464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</si>
  <si>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</si>
  <si>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</si>
  <si>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</si>
  <si>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</si>
  <si>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</si>
  <si>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</si>
  <si>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</si>
  <si>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</si>
  <si>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64475</t>
  </si>
  <si>
    <t>64476</t>
  </si>
  <si>
    <t>64477</t>
  </si>
  <si>
    <t>64478</t>
  </si>
  <si>
    <t>64478A</t>
  </si>
  <si>
    <t>64479</t>
  </si>
  <si>
    <t>64480</t>
  </si>
  <si>
    <t>64481</t>
  </si>
  <si>
    <t>64482</t>
  </si>
  <si>
    <t>64483</t>
  </si>
  <si>
    <t>64483A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</si>
  <si>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</si>
  <si>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</si>
  <si>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</si>
  <si>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</si>
  <si>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</si>
  <si>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</si>
  <si>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</si>
  <si>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</si>
  <si>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</si>
  <si>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</si>
  <si>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64495A</t>
  </si>
  <si>
    <t>64496</t>
  </si>
  <si>
    <t>64496A</t>
  </si>
  <si>
    <t>64497</t>
  </si>
  <si>
    <t>64498</t>
  </si>
  <si>
    <t>64499</t>
  </si>
  <si>
    <t>64500</t>
  </si>
  <si>
    <t>64500A</t>
  </si>
  <si>
    <t>64501</t>
  </si>
  <si>
    <t>64501A</t>
  </si>
  <si>
    <t>64502</t>
  </si>
  <si>
    <t>64503</t>
  </si>
  <si>
    <t>64504</t>
  </si>
  <si>
    <t>64505</t>
  </si>
  <si>
    <t>64506</t>
  </si>
  <si>
    <t>64507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</si>
  <si>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</si>
  <si>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</si>
  <si>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</si>
  <si>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</si>
  <si>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</si>
  <si>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</si>
  <si>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</si>
  <si>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</si>
  <si>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</si>
  <si>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</si>
  <si>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</si>
  <si>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</si>
  <si>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</si>
  <si>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</si>
  <si>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</si>
  <si>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</si>
  <si>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</si>
  <si>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</si>
  <si>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</si>
  <si>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</si>
  <si>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</si>
  <si>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</si>
  <si>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</si>
  <si>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64536</t>
  </si>
  <si>
    <t>64537</t>
  </si>
  <si>
    <t>64537A</t>
  </si>
  <si>
    <t>64537B</t>
  </si>
  <si>
    <t>64537C</t>
  </si>
  <si>
    <t>64537D</t>
  </si>
  <si>
    <t>64537E</t>
  </si>
  <si>
    <t>64538</t>
  </si>
  <si>
    <t>64539</t>
  </si>
  <si>
    <t>64540</t>
  </si>
  <si>
    <t>64540A</t>
  </si>
  <si>
    <t>64541</t>
  </si>
  <si>
    <t>64541/CO</t>
  </si>
  <si>
    <t>64544</t>
  </si>
  <si>
    <t>64545</t>
  </si>
  <si>
    <t>64546</t>
  </si>
  <si>
    <t>64547</t>
  </si>
  <si>
    <t>64548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</si>
  <si>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</si>
  <si>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</si>
  <si>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</si>
  <si>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</si>
  <si>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</si>
  <si>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</si>
  <si>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</si>
  <si>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</si>
  <si>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</si>
  <si>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</si>
  <si>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</si>
  <si>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64561</t>
  </si>
  <si>
    <t>64562</t>
  </si>
  <si>
    <t>64563</t>
  </si>
  <si>
    <t>64564</t>
  </si>
  <si>
    <t>64565</t>
  </si>
  <si>
    <t>64566</t>
  </si>
  <si>
    <t>64567</t>
  </si>
  <si>
    <t>64568</t>
  </si>
  <si>
    <t>64571</t>
  </si>
  <si>
    <t>64572</t>
  </si>
  <si>
    <t>64573</t>
  </si>
  <si>
    <t>64574</t>
  </si>
  <si>
    <t>64575</t>
  </si>
  <si>
    <t>64580</t>
  </si>
  <si>
    <t>64581</t>
  </si>
  <si>
    <t>64582</t>
  </si>
  <si>
    <t>64583</t>
  </si>
  <si>
    <t>64583/A</t>
  </si>
  <si>
    <t>64584</t>
  </si>
  <si>
    <t>64584/A</t>
  </si>
  <si>
    <t>64585</t>
  </si>
  <si>
    <t>64586</t>
  </si>
  <si>
    <t>64587</t>
  </si>
  <si>
    <t>64588</t>
  </si>
  <si>
    <t>64589</t>
  </si>
  <si>
    <t>64590</t>
  </si>
  <si>
    <t>64590/A</t>
  </si>
  <si>
    <t>64591</t>
  </si>
  <si>
    <t>64591/A</t>
  </si>
  <si>
    <t>64592</t>
  </si>
  <si>
    <t>64593</t>
  </si>
  <si>
    <t>64596</t>
  </si>
  <si>
    <t>64597</t>
  </si>
  <si>
    <t>64598</t>
  </si>
  <si>
    <t>64599</t>
  </si>
  <si>
    <t>64600</t>
  </si>
  <si>
    <t>64601</t>
  </si>
  <si>
    <t>64602</t>
  </si>
  <si>
    <t>64603</t>
  </si>
  <si>
    <t>64604</t>
  </si>
  <si>
    <t>64605</t>
  </si>
  <si>
    <t>64606</t>
  </si>
  <si>
    <t>64607</t>
  </si>
  <si>
    <t>64608</t>
  </si>
  <si>
    <t>64609</t>
  </si>
  <si>
    <t>64611</t>
  </si>
  <si>
    <t>64612</t>
  </si>
  <si>
    <t>64613</t>
  </si>
  <si>
    <t>64615</t>
  </si>
  <si>
    <t>64616</t>
  </si>
  <si>
    <t>64617</t>
  </si>
  <si>
    <t>64618</t>
  </si>
  <si>
    <t>64618A</t>
  </si>
  <si>
    <t>64619</t>
  </si>
  <si>
    <t>64620</t>
  </si>
  <si>
    <t>64621</t>
  </si>
  <si>
    <t>64622</t>
  </si>
  <si>
    <t>64623</t>
  </si>
  <si>
    <t>64624</t>
  </si>
  <si>
    <t>64625</t>
  </si>
  <si>
    <t>64626</t>
  </si>
  <si>
    <t>64627</t>
  </si>
  <si>
    <t>64628</t>
  </si>
  <si>
    <t>64629</t>
  </si>
  <si>
    <t>64630</t>
  </si>
  <si>
    <t>64631</t>
  </si>
  <si>
    <t>64632</t>
  </si>
  <si>
    <t>64633</t>
  </si>
  <si>
    <t>64634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</si>
  <si>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</si>
  <si>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</si>
  <si>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</si>
  <si>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</si>
  <si>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</si>
  <si>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</si>
  <si>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</si>
  <si>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</si>
  <si>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</si>
  <si>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</si>
  <si>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</si>
  <si>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</si>
  <si>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</si>
  <si>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</si>
  <si>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</si>
  <si>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</si>
  <si>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</si>
  <si>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</si>
  <si>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</si>
  <si>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</si>
  <si>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</si>
  <si>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</si>
  <si>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</si>
  <si>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64658</t>
  </si>
  <si>
    <t>64659</t>
  </si>
  <si>
    <t>64659/A</t>
  </si>
  <si>
    <t>64660</t>
  </si>
  <si>
    <t>64661</t>
  </si>
  <si>
    <t>64662</t>
  </si>
  <si>
    <t>64663</t>
  </si>
  <si>
    <t>64664</t>
  </si>
  <si>
    <t>64665</t>
  </si>
  <si>
    <t>64666</t>
  </si>
  <si>
    <t>64667</t>
  </si>
  <si>
    <t>64668</t>
  </si>
  <si>
    <t>64669</t>
  </si>
  <si>
    <t>64670</t>
  </si>
  <si>
    <t>64671</t>
  </si>
  <si>
    <t>64672</t>
  </si>
  <si>
    <t>64673</t>
  </si>
  <si>
    <t>64674</t>
  </si>
  <si>
    <t>64674/A</t>
  </si>
  <si>
    <t>64676</t>
  </si>
  <si>
    <t>64676/A</t>
  </si>
  <si>
    <t>64676/B</t>
  </si>
  <si>
    <t>64676A</t>
  </si>
  <si>
    <t>64679</t>
  </si>
  <si>
    <t>64680</t>
  </si>
  <si>
    <t>64681</t>
  </si>
  <si>
    <t>64682</t>
  </si>
  <si>
    <t>64683</t>
  </si>
  <si>
    <t>64684</t>
  </si>
  <si>
    <t>64685</t>
  </si>
  <si>
    <t>64686</t>
  </si>
  <si>
    <t>64687</t>
  </si>
  <si>
    <t>64688</t>
  </si>
  <si>
    <t>64689</t>
  </si>
  <si>
    <t>64690</t>
  </si>
  <si>
    <t>64691</t>
  </si>
  <si>
    <t>64692</t>
  </si>
  <si>
    <t>64693</t>
  </si>
  <si>
    <t>64694</t>
  </si>
  <si>
    <t>64695</t>
  </si>
  <si>
    <t>64696</t>
  </si>
  <si>
    <t>64697</t>
  </si>
  <si>
    <t>64700</t>
  </si>
  <si>
    <t>64701</t>
  </si>
  <si>
    <t>64702</t>
  </si>
  <si>
    <t>64703</t>
  </si>
  <si>
    <t>64704</t>
  </si>
  <si>
    <t>64705</t>
  </si>
  <si>
    <t>64706</t>
  </si>
  <si>
    <t>64707</t>
  </si>
  <si>
    <t>64708</t>
  </si>
  <si>
    <t>64709</t>
  </si>
  <si>
    <t>64710</t>
  </si>
  <si>
    <t>64711</t>
  </si>
  <si>
    <t>64712</t>
  </si>
  <si>
    <t>64713</t>
  </si>
  <si>
    <t>64714</t>
  </si>
  <si>
    <t>64716</t>
  </si>
  <si>
    <t>64717</t>
  </si>
  <si>
    <t>64718</t>
  </si>
  <si>
    <t>64719</t>
  </si>
  <si>
    <t>64721</t>
  </si>
  <si>
    <t>64722</t>
  </si>
  <si>
    <t>64732</t>
  </si>
  <si>
    <t>64733</t>
  </si>
  <si>
    <t>64734</t>
  </si>
  <si>
    <t>64735</t>
  </si>
  <si>
    <t>64736</t>
  </si>
  <si>
    <t>64737</t>
  </si>
  <si>
    <t>64738</t>
  </si>
  <si>
    <t>64739</t>
  </si>
  <si>
    <t>64740</t>
  </si>
  <si>
    <t>64741</t>
  </si>
  <si>
    <t>64742</t>
  </si>
  <si>
    <t>64743</t>
  </si>
  <si>
    <t>64744</t>
  </si>
  <si>
    <t>64751</t>
  </si>
  <si>
    <t>64752</t>
  </si>
  <si>
    <t>64753</t>
  </si>
  <si>
    <t>64754</t>
  </si>
  <si>
    <t>64755</t>
  </si>
  <si>
    <t>64756</t>
  </si>
  <si>
    <t>64757</t>
  </si>
  <si>
    <t>64758</t>
  </si>
  <si>
    <t>64759</t>
  </si>
  <si>
    <t>64761</t>
  </si>
  <si>
    <t>64761A</t>
  </si>
  <si>
    <t>64762</t>
  </si>
  <si>
    <t>64763</t>
  </si>
  <si>
    <t>64764</t>
  </si>
  <si>
    <t>64765</t>
  </si>
  <si>
    <t>64766</t>
  </si>
  <si>
    <t>64767</t>
  </si>
  <si>
    <t>64768</t>
  </si>
  <si>
    <t>64769</t>
  </si>
  <si>
    <t>64770</t>
  </si>
  <si>
    <t>64771</t>
  </si>
  <si>
    <t>64772</t>
  </si>
  <si>
    <t>64773</t>
  </si>
  <si>
    <t>64774</t>
  </si>
  <si>
    <t>64774/CO</t>
  </si>
  <si>
    <t>64775</t>
  </si>
  <si>
    <t>64776</t>
  </si>
  <si>
    <t>64777</t>
  </si>
  <si>
    <t>64778</t>
  </si>
  <si>
    <t>64779</t>
  </si>
  <si>
    <t>64780</t>
  </si>
  <si>
    <t>64781</t>
  </si>
  <si>
    <t>64782</t>
  </si>
  <si>
    <t>64783</t>
  </si>
  <si>
    <t>64784</t>
  </si>
  <si>
    <t>64785</t>
  </si>
  <si>
    <t>64787</t>
  </si>
  <si>
    <t>64788</t>
  </si>
  <si>
    <t>64789</t>
  </si>
  <si>
    <t>64789A</t>
  </si>
  <si>
    <t>64790</t>
  </si>
  <si>
    <t>64790A</t>
  </si>
  <si>
    <t>64791</t>
  </si>
  <si>
    <t>64792</t>
  </si>
  <si>
    <t>64793</t>
  </si>
  <si>
    <t>64794</t>
  </si>
  <si>
    <t>64795</t>
  </si>
  <si>
    <t>64796</t>
  </si>
  <si>
    <t>64798</t>
  </si>
  <si>
    <t>64799</t>
  </si>
  <si>
    <t>64800</t>
  </si>
  <si>
    <t>64800A</t>
  </si>
  <si>
    <t>64800B</t>
  </si>
  <si>
    <t>64802</t>
  </si>
  <si>
    <t>64806</t>
  </si>
  <si>
    <t>64826</t>
  </si>
  <si>
    <t>64839</t>
  </si>
  <si>
    <t>64839A</t>
  </si>
  <si>
    <t>64839B</t>
  </si>
  <si>
    <t>64840</t>
  </si>
  <si>
    <t>64841</t>
  </si>
  <si>
    <t>64842</t>
  </si>
  <si>
    <t>64843</t>
  </si>
  <si>
    <t>64844</t>
  </si>
  <si>
    <t>64845</t>
  </si>
  <si>
    <t>64846</t>
  </si>
  <si>
    <t>64847</t>
  </si>
  <si>
    <t>64848</t>
  </si>
  <si>
    <t>64849</t>
  </si>
  <si>
    <t>64850</t>
  </si>
  <si>
    <t>64851</t>
  </si>
  <si>
    <t>64852</t>
  </si>
  <si>
    <t>64853</t>
  </si>
  <si>
    <t>64854</t>
  </si>
  <si>
    <t>64855</t>
  </si>
  <si>
    <t>64856</t>
  </si>
  <si>
    <t>64857</t>
  </si>
  <si>
    <t>64858</t>
  </si>
  <si>
    <t>64860</t>
  </si>
  <si>
    <t>64861</t>
  </si>
  <si>
    <t>64862</t>
  </si>
  <si>
    <t>64864</t>
  </si>
  <si>
    <t>64865</t>
  </si>
  <si>
    <t>64865A</t>
  </si>
  <si>
    <t>64865B</t>
  </si>
  <si>
    <t>64866</t>
  </si>
  <si>
    <t>64867</t>
  </si>
  <si>
    <t>64869</t>
  </si>
  <si>
    <t>64870</t>
  </si>
  <si>
    <t>64871</t>
  </si>
  <si>
    <t>64871A</t>
  </si>
  <si>
    <t>64871B</t>
  </si>
  <si>
    <t>64871C</t>
  </si>
  <si>
    <t>64872</t>
  </si>
  <si>
    <t>64873</t>
  </si>
  <si>
    <t>64874</t>
  </si>
  <si>
    <t>64875</t>
  </si>
  <si>
    <t>64876</t>
  </si>
  <si>
    <t>64877</t>
  </si>
  <si>
    <t>64878</t>
  </si>
  <si>
    <t>64879</t>
  </si>
  <si>
    <t>64880</t>
  </si>
  <si>
    <t>64881</t>
  </si>
  <si>
    <t>64882</t>
  </si>
  <si>
    <t>64883</t>
  </si>
  <si>
    <t>64884</t>
  </si>
  <si>
    <t>64885</t>
  </si>
  <si>
    <t>64887</t>
  </si>
  <si>
    <t>64888</t>
  </si>
  <si>
    <t>64889</t>
  </si>
  <si>
    <t>64890</t>
  </si>
  <si>
    <t>64892</t>
  </si>
  <si>
    <t>64893</t>
  </si>
  <si>
    <t>64894</t>
  </si>
  <si>
    <t>64895</t>
  </si>
  <si>
    <t>64896</t>
  </si>
  <si>
    <t>64897</t>
  </si>
  <si>
    <t>64898</t>
  </si>
  <si>
    <t>64899</t>
  </si>
  <si>
    <t>64899A</t>
  </si>
  <si>
    <t>64902</t>
  </si>
  <si>
    <t>64902A</t>
  </si>
  <si>
    <t>64903</t>
  </si>
  <si>
    <t>64903/A</t>
  </si>
  <si>
    <t>64904</t>
  </si>
  <si>
    <t>64904/A</t>
  </si>
  <si>
    <t>64905</t>
  </si>
  <si>
    <t>64906</t>
  </si>
  <si>
    <t>64907</t>
  </si>
  <si>
    <t>64908</t>
  </si>
  <si>
    <t>64910</t>
  </si>
  <si>
    <t>64911</t>
  </si>
  <si>
    <t>64911A</t>
  </si>
  <si>
    <t>64911B</t>
  </si>
  <si>
    <t>64912</t>
  </si>
  <si>
    <t>64913</t>
  </si>
  <si>
    <t>64914</t>
  </si>
  <si>
    <t>64915</t>
  </si>
  <si>
    <t>64916</t>
  </si>
  <si>
    <t>64917</t>
  </si>
  <si>
    <t>64918</t>
  </si>
  <si>
    <t>64919</t>
  </si>
  <si>
    <t>64920</t>
  </si>
  <si>
    <t>64921</t>
  </si>
  <si>
    <t>64922</t>
  </si>
  <si>
    <t>64923</t>
  </si>
  <si>
    <t>64924</t>
  </si>
  <si>
    <t>64926</t>
  </si>
  <si>
    <t>64927</t>
  </si>
  <si>
    <t>64928</t>
  </si>
  <si>
    <t>64929</t>
  </si>
  <si>
    <t>64930</t>
  </si>
  <si>
    <t>64931</t>
  </si>
  <si>
    <t>64932</t>
  </si>
  <si>
    <t>64933</t>
  </si>
  <si>
    <t>64934</t>
  </si>
  <si>
    <t>64935</t>
  </si>
  <si>
    <t>64936</t>
  </si>
  <si>
    <t>64937</t>
  </si>
  <si>
    <t>64937A</t>
  </si>
  <si>
    <t>64938</t>
  </si>
  <si>
    <t>64939</t>
  </si>
  <si>
    <t>64939A</t>
  </si>
  <si>
    <t>64939B</t>
  </si>
  <si>
    <t>64939C</t>
  </si>
  <si>
    <t>64940</t>
  </si>
  <si>
    <t>64941</t>
  </si>
  <si>
    <t>64942</t>
  </si>
  <si>
    <t>64943</t>
  </si>
  <si>
    <t>64943A</t>
  </si>
  <si>
    <t>64944</t>
  </si>
  <si>
    <t>64945</t>
  </si>
  <si>
    <t>64946</t>
  </si>
  <si>
    <t>64947</t>
  </si>
  <si>
    <t>64948</t>
  </si>
  <si>
    <t>64949</t>
  </si>
  <si>
    <t>64950</t>
  </si>
  <si>
    <t>64953</t>
  </si>
  <si>
    <t>64954</t>
  </si>
  <si>
    <t>64955</t>
  </si>
  <si>
    <t>64956</t>
  </si>
  <si>
    <t>64957</t>
  </si>
  <si>
    <t>64958</t>
  </si>
  <si>
    <t>64959</t>
  </si>
  <si>
    <t>64960</t>
  </si>
  <si>
    <t>64961</t>
  </si>
  <si>
    <t>64962</t>
  </si>
  <si>
    <t>64963</t>
  </si>
  <si>
    <t>64964</t>
  </si>
  <si>
    <t>64965</t>
  </si>
  <si>
    <t>64966</t>
  </si>
  <si>
    <t>64967</t>
  </si>
  <si>
    <t>64968</t>
  </si>
  <si>
    <t>64969</t>
  </si>
  <si>
    <t>64970</t>
  </si>
  <si>
    <t>64970A</t>
  </si>
  <si>
    <t>64970B</t>
  </si>
  <si>
    <t>64971</t>
  </si>
  <si>
    <t>64972</t>
  </si>
  <si>
    <t>64973</t>
  </si>
  <si>
    <t>64974</t>
  </si>
  <si>
    <t>64975</t>
  </si>
  <si>
    <t>64976</t>
  </si>
  <si>
    <t>64978</t>
  </si>
  <si>
    <t>64978A</t>
  </si>
  <si>
    <t>64978B</t>
  </si>
  <si>
    <t>64978C</t>
  </si>
  <si>
    <t>64979</t>
  </si>
  <si>
    <t>64980</t>
  </si>
  <si>
    <t>64981</t>
  </si>
  <si>
    <t>64982</t>
  </si>
  <si>
    <t>64983</t>
  </si>
  <si>
    <t>64984</t>
  </si>
  <si>
    <t>64985</t>
  </si>
  <si>
    <t>64986</t>
  </si>
  <si>
    <t>64987</t>
  </si>
  <si>
    <t>64988</t>
  </si>
  <si>
    <t>64990</t>
  </si>
  <si>
    <t>64991</t>
  </si>
  <si>
    <t>64992</t>
  </si>
  <si>
    <t>64993</t>
  </si>
  <si>
    <t>64994</t>
  </si>
  <si>
    <t>64995</t>
  </si>
  <si>
    <t>64996</t>
  </si>
  <si>
    <t>64997</t>
  </si>
  <si>
    <t>64998</t>
  </si>
  <si>
    <t>64999</t>
  </si>
  <si>
    <t>65000</t>
  </si>
  <si>
    <t>65001</t>
  </si>
  <si>
    <t>65002</t>
  </si>
  <si>
    <t>65003</t>
  </si>
  <si>
    <t>65004</t>
  </si>
  <si>
    <t>65005</t>
  </si>
  <si>
    <t>65006</t>
  </si>
  <si>
    <t>65007</t>
  </si>
  <si>
    <t>65010</t>
  </si>
  <si>
    <t>65011</t>
  </si>
  <si>
    <t>65012</t>
  </si>
  <si>
    <t>65013</t>
  </si>
  <si>
    <t>65014</t>
  </si>
  <si>
    <t>65015</t>
  </si>
  <si>
    <t>65016</t>
  </si>
  <si>
    <t>65016A</t>
  </si>
  <si>
    <t>65017</t>
  </si>
  <si>
    <t>65018</t>
  </si>
  <si>
    <t>65019</t>
  </si>
  <si>
    <t>65019A</t>
  </si>
  <si>
    <t>65020</t>
  </si>
  <si>
    <t>65021</t>
  </si>
  <si>
    <t>65021/U</t>
  </si>
  <si>
    <t>65022</t>
  </si>
  <si>
    <t>65025</t>
  </si>
  <si>
    <t>65026</t>
  </si>
  <si>
    <t>65027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</si>
  <si>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</si>
  <si>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</si>
  <si>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</si>
  <si>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</si>
  <si>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</si>
  <si>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</si>
  <si>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</si>
  <si>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</si>
  <si>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</si>
  <si>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</si>
  <si>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</si>
  <si>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</si>
  <si>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</si>
  <si>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</si>
  <si>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</si>
  <si>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65051A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</si>
  <si>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</si>
  <si>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</si>
  <si>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</si>
  <si>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</si>
  <si>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</si>
  <si>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</si>
  <si>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</si>
  <si>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</si>
  <si>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</si>
  <si>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</si>
  <si>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</si>
  <si>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</si>
  <si>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</si>
  <si>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</si>
  <si>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</si>
  <si>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</si>
  <si>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</si>
  <si>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65068A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</si>
  <si>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</si>
  <si>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</si>
  <si>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</si>
  <si>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</si>
  <si>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</si>
  <si>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</si>
  <si>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</si>
  <si>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</si>
  <si>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</si>
  <si>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65077A</t>
  </si>
  <si>
    <t>65077B</t>
  </si>
  <si>
    <t>65077C</t>
  </si>
  <si>
    <t>65078</t>
  </si>
  <si>
    <t>65079</t>
  </si>
  <si>
    <t>65080</t>
  </si>
  <si>
    <t>65081</t>
  </si>
  <si>
    <t>65082</t>
  </si>
  <si>
    <t>65083</t>
  </si>
  <si>
    <t>65084</t>
  </si>
  <si>
    <t>65084/CO</t>
  </si>
  <si>
    <t>65085</t>
  </si>
  <si>
    <t>65086</t>
  </si>
  <si>
    <t>65087</t>
  </si>
  <si>
    <t>65087/A</t>
  </si>
  <si>
    <t>65087A</t>
  </si>
  <si>
    <t>65087A/A</t>
  </si>
  <si>
    <t>65088</t>
  </si>
  <si>
    <t>65088A</t>
  </si>
  <si>
    <t>65088B</t>
  </si>
  <si>
    <t>65088C</t>
  </si>
  <si>
    <t>65089</t>
  </si>
  <si>
    <t>65090</t>
  </si>
  <si>
    <t>65091</t>
  </si>
  <si>
    <t>65092</t>
  </si>
  <si>
    <t>65092/CO</t>
  </si>
  <si>
    <t>65093</t>
  </si>
  <si>
    <t>65093/CO</t>
  </si>
  <si>
    <t>65094</t>
  </si>
  <si>
    <t>65094/CO</t>
  </si>
  <si>
    <t>65095</t>
  </si>
  <si>
    <t>65095/CO</t>
  </si>
  <si>
    <t>65096</t>
  </si>
  <si>
    <t>65096/CO</t>
  </si>
  <si>
    <t>65099</t>
  </si>
  <si>
    <t>65100</t>
  </si>
  <si>
    <t>65102</t>
  </si>
  <si>
    <t>65103</t>
  </si>
  <si>
    <t>65104</t>
  </si>
  <si>
    <t>65105</t>
  </si>
  <si>
    <t>65106</t>
  </si>
  <si>
    <t>65111</t>
  </si>
  <si>
    <t>65112</t>
  </si>
  <si>
    <t>65113</t>
  </si>
  <si>
    <t>65114</t>
  </si>
  <si>
    <t>65114/CO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</si>
  <si>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</si>
  <si>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</si>
  <si>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</si>
  <si>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</si>
  <si>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</si>
  <si>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</si>
  <si>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</si>
  <si>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</si>
  <si>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</si>
  <si>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</si>
  <si>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</si>
  <si>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</si>
  <si>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</si>
  <si>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</si>
  <si>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</si>
  <si>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</si>
  <si>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</si>
  <si>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</si>
  <si>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</si>
  <si>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</si>
  <si>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65139</t>
  </si>
  <si>
    <t>65139A</t>
  </si>
  <si>
    <t>65140</t>
  </si>
  <si>
    <t>65141</t>
  </si>
  <si>
    <t>65142</t>
  </si>
  <si>
    <t>65143</t>
  </si>
  <si>
    <t>65144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</si>
  <si>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</si>
  <si>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</si>
  <si>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</si>
  <si>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</si>
  <si>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</si>
  <si>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</si>
  <si>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</si>
  <si>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</si>
  <si>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</si>
  <si>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</si>
  <si>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</si>
  <si>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65157A</t>
  </si>
  <si>
    <t>65157B</t>
  </si>
  <si>
    <t>65157C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</si>
  <si>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</si>
  <si>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</si>
  <si>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</si>
  <si>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</si>
  <si>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</si>
  <si>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</si>
  <si>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</si>
  <si>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</si>
  <si>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</si>
  <si>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</si>
  <si>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</si>
  <si>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</si>
  <si>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</si>
  <si>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</si>
  <si>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</si>
  <si>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65172A</t>
  </si>
  <si>
    <t>65172B</t>
  </si>
  <si>
    <t>65172D</t>
  </si>
  <si>
    <t>65173</t>
  </si>
  <si>
    <t>65174</t>
  </si>
  <si>
    <t>65175</t>
  </si>
  <si>
    <t>65176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</si>
  <si>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</si>
  <si>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</si>
  <si>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</si>
  <si>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</si>
  <si>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</si>
  <si>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</si>
  <si>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</si>
  <si>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</si>
  <si>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</si>
  <si>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</si>
  <si>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</si>
  <si>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</si>
  <si>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</si>
  <si>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</si>
  <si>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</si>
  <si>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</si>
  <si>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</si>
  <si>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</si>
  <si>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</si>
  <si>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</si>
  <si>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</si>
  <si>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</si>
  <si>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</si>
  <si>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</si>
  <si>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</si>
  <si>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</si>
  <si>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</si>
  <si>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</si>
  <si>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</si>
  <si>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</si>
  <si>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</si>
  <si>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65211</t>
  </si>
  <si>
    <t>65212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</si>
  <si>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</si>
  <si>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</si>
  <si>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</si>
  <si>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</si>
  <si>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</si>
  <si>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</si>
  <si>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</si>
  <si>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</si>
  <si>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</si>
  <si>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</si>
  <si>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</si>
  <si>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</si>
  <si>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</si>
  <si>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</si>
  <si>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</si>
  <si>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</si>
  <si>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</si>
  <si>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</si>
  <si>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</si>
  <si>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</si>
  <si>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</si>
  <si>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</si>
  <si>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</si>
  <si>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</si>
  <si>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65238A</t>
  </si>
  <si>
    <t>65239</t>
  </si>
  <si>
    <t>65240</t>
  </si>
  <si>
    <t>65241</t>
  </si>
  <si>
    <t>65242</t>
  </si>
  <si>
    <t>65243</t>
  </si>
  <si>
    <t>65244</t>
  </si>
  <si>
    <t>65246</t>
  </si>
  <si>
    <t>65247</t>
  </si>
  <si>
    <t>65248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</si>
  <si>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</si>
  <si>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</si>
  <si>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</si>
  <si>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</si>
  <si>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</si>
  <si>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</si>
  <si>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</si>
  <si>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</si>
  <si>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</si>
  <si>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</si>
  <si>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</si>
  <si>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</si>
  <si>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</si>
  <si>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</si>
  <si>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</si>
  <si>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</si>
  <si>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</si>
  <si>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</si>
  <si>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</si>
  <si>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</si>
  <si>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65273</t>
  </si>
  <si>
    <t>65274</t>
  </si>
  <si>
    <t>65275</t>
  </si>
  <si>
    <t>65276</t>
  </si>
  <si>
    <t>65282</t>
  </si>
  <si>
    <t>65283</t>
  </si>
  <si>
    <t>65284</t>
  </si>
  <si>
    <t>65286</t>
  </si>
  <si>
    <t>65288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</si>
  <si>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</si>
  <si>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</si>
  <si>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</si>
  <si>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</si>
  <si>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</si>
  <si>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</si>
  <si>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</si>
  <si>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</si>
  <si>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65299</t>
  </si>
  <si>
    <t>65300</t>
  </si>
  <si>
    <t>65301</t>
  </si>
  <si>
    <t>65302</t>
  </si>
  <si>
    <t>65303</t>
  </si>
  <si>
    <t>65304</t>
  </si>
  <si>
    <t>65304A</t>
  </si>
  <si>
    <t>65304B</t>
  </si>
  <si>
    <t>65304C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</si>
  <si>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</si>
  <si>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</si>
  <si>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</si>
  <si>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</si>
  <si>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</si>
  <si>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</si>
  <si>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</si>
  <si>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</si>
  <si>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</si>
  <si>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</si>
  <si>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65317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</si>
  <si>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</si>
  <si>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</si>
  <si>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</si>
  <si>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</si>
  <si>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</si>
  <si>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</si>
  <si>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</si>
  <si>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</si>
  <si>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</si>
  <si>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</si>
  <si>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65333</t>
  </si>
  <si>
    <t>65335</t>
  </si>
  <si>
    <t>65336</t>
  </si>
  <si>
    <t>65337</t>
  </si>
  <si>
    <t>65338</t>
  </si>
  <si>
    <t>65339</t>
  </si>
  <si>
    <t>65340</t>
  </si>
  <si>
    <t>65341</t>
  </si>
  <si>
    <t>65343</t>
  </si>
  <si>
    <t>65344</t>
  </si>
  <si>
    <t>65344A</t>
  </si>
  <si>
    <t>65344B</t>
  </si>
  <si>
    <t>65344C</t>
  </si>
  <si>
    <t>65344D</t>
  </si>
  <si>
    <t>65344E</t>
  </si>
  <si>
    <t>65344F</t>
  </si>
  <si>
    <t>65344G</t>
  </si>
  <si>
    <t>65344H</t>
  </si>
  <si>
    <t>65344J</t>
  </si>
  <si>
    <t>65344L</t>
  </si>
  <si>
    <t>65344M</t>
  </si>
  <si>
    <t>65344N</t>
  </si>
  <si>
    <t>65344O</t>
  </si>
  <si>
    <t>65344Q</t>
  </si>
  <si>
    <t>65344V</t>
  </si>
  <si>
    <t>65345</t>
  </si>
  <si>
    <t>65346</t>
  </si>
  <si>
    <t>65347</t>
  </si>
  <si>
    <t>65349</t>
  </si>
  <si>
    <t>65350</t>
  </si>
  <si>
    <t>65351</t>
  </si>
  <si>
    <t>65352</t>
  </si>
  <si>
    <t>65353</t>
  </si>
  <si>
    <t>65353A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</si>
  <si>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</si>
  <si>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</si>
  <si>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</si>
  <si>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</si>
  <si>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</si>
  <si>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</si>
  <si>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</si>
  <si>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</si>
  <si>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</si>
  <si>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</si>
  <si>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</si>
  <si>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</si>
  <si>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</si>
  <si>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</si>
  <si>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</si>
  <si>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</si>
  <si>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</si>
  <si>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</si>
  <si>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65371A</t>
  </si>
  <si>
    <t>65371B</t>
  </si>
  <si>
    <t>65372</t>
  </si>
  <si>
    <t>65374</t>
  </si>
  <si>
    <t>65375</t>
  </si>
  <si>
    <t>65376</t>
  </si>
  <si>
    <t>65377</t>
  </si>
  <si>
    <t>65377A</t>
  </si>
  <si>
    <t>65377B</t>
  </si>
  <si>
    <t>65377D</t>
  </si>
  <si>
    <t>65377E</t>
  </si>
  <si>
    <t>65377F</t>
  </si>
  <si>
    <t>65378</t>
  </si>
  <si>
    <t>65379</t>
  </si>
  <si>
    <t>65380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</si>
  <si>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</si>
  <si>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</si>
  <si>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</si>
  <si>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</si>
  <si>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</si>
  <si>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</si>
  <si>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</si>
  <si>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</si>
  <si>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</si>
  <si>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</si>
  <si>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</si>
  <si>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</si>
  <si>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</si>
  <si>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</si>
  <si>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65395/A</t>
  </si>
  <si>
    <t>65396</t>
  </si>
  <si>
    <t>65397</t>
  </si>
  <si>
    <t>65401/CO</t>
  </si>
  <si>
    <t>65402/CO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</si>
  <si>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</si>
  <si>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</si>
  <si>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</si>
  <si>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</si>
  <si>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</si>
  <si>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</si>
  <si>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</si>
  <si>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</si>
  <si>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</si>
  <si>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</si>
  <si>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</si>
  <si>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65413A</t>
  </si>
  <si>
    <t>65414</t>
  </si>
  <si>
    <t>65415</t>
  </si>
  <si>
    <t>65416</t>
  </si>
  <si>
    <t>65418</t>
  </si>
  <si>
    <t>65420</t>
  </si>
  <si>
    <t>65421</t>
  </si>
  <si>
    <t>65422</t>
  </si>
  <si>
    <t>65423</t>
  </si>
  <si>
    <t>65423/CO</t>
  </si>
  <si>
    <t>65424</t>
  </si>
  <si>
    <t>65424A</t>
  </si>
  <si>
    <t>65425</t>
  </si>
  <si>
    <t>65425A</t>
  </si>
  <si>
    <t>65426</t>
  </si>
  <si>
    <t>65427</t>
  </si>
  <si>
    <t>65427A</t>
  </si>
  <si>
    <t>65428</t>
  </si>
  <si>
    <t>65429</t>
  </si>
  <si>
    <t>65431</t>
  </si>
  <si>
    <t>65432</t>
  </si>
  <si>
    <t>65433</t>
  </si>
  <si>
    <t>65434</t>
  </si>
  <si>
    <t>65435</t>
  </si>
  <si>
    <t>65436</t>
  </si>
  <si>
    <t>65437</t>
  </si>
  <si>
    <t>65437/CO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</si>
  <si>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</si>
  <si>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</si>
  <si>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</si>
  <si>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</si>
  <si>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</si>
  <si>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</si>
  <si>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</si>
  <si>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</si>
  <si>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</si>
  <si>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</si>
  <si>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</si>
  <si>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</si>
  <si>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</si>
  <si>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</si>
  <si>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</si>
  <si>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</si>
  <si>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</si>
  <si>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</si>
  <si>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</si>
  <si>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</si>
  <si>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</si>
  <si>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</si>
  <si>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</si>
  <si>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</si>
  <si>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</si>
  <si>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</si>
  <si>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</si>
  <si>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</si>
  <si>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</si>
  <si>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</si>
  <si>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</si>
  <si>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</si>
  <si>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</si>
  <si>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</si>
  <si>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</si>
  <si>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</si>
  <si>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65476</t>
  </si>
  <si>
    <t>65477</t>
  </si>
  <si>
    <t>65482</t>
  </si>
  <si>
    <t>65486</t>
  </si>
  <si>
    <t>65487</t>
  </si>
  <si>
    <t>65488</t>
  </si>
  <si>
    <t>65490</t>
  </si>
  <si>
    <t>65491</t>
  </si>
  <si>
    <t>65492</t>
  </si>
  <si>
    <t>65493</t>
  </si>
  <si>
    <t>65494</t>
  </si>
  <si>
    <t>65495</t>
  </si>
  <si>
    <t>65496</t>
  </si>
  <si>
    <t>65497</t>
  </si>
  <si>
    <t>65498</t>
  </si>
  <si>
    <t>65499</t>
  </si>
  <si>
    <t>65500</t>
  </si>
  <si>
    <t>65501</t>
  </si>
  <si>
    <t>65502</t>
  </si>
  <si>
    <t>65503</t>
  </si>
  <si>
    <t>65504</t>
  </si>
  <si>
    <t>65505</t>
  </si>
  <si>
    <t>65509</t>
  </si>
  <si>
    <t>65510</t>
  </si>
  <si>
    <t>65511</t>
  </si>
  <si>
    <t>65512</t>
  </si>
  <si>
    <t>65513</t>
  </si>
  <si>
    <t>65515</t>
  </si>
  <si>
    <t>65517</t>
  </si>
  <si>
    <t>65517A</t>
  </si>
  <si>
    <t>65517B</t>
  </si>
  <si>
    <t>65517C</t>
  </si>
  <si>
    <t>65517D</t>
  </si>
  <si>
    <t>65518</t>
  </si>
  <si>
    <t>65519</t>
  </si>
  <si>
    <t>65520</t>
  </si>
  <si>
    <t>65521</t>
  </si>
  <si>
    <t>65522</t>
  </si>
  <si>
    <t>65522A</t>
  </si>
  <si>
    <t>65523</t>
  </si>
  <si>
    <t>65524</t>
  </si>
  <si>
    <t>65525</t>
  </si>
  <si>
    <t>65526</t>
  </si>
  <si>
    <t>65527</t>
  </si>
  <si>
    <t>65527/CO</t>
  </si>
  <si>
    <t>65528</t>
  </si>
  <si>
    <t>65529</t>
  </si>
  <si>
    <t>65530</t>
  </si>
  <si>
    <t>65531</t>
  </si>
  <si>
    <t>65532</t>
  </si>
  <si>
    <t>65533</t>
  </si>
  <si>
    <t>65533/A</t>
  </si>
  <si>
    <t>65533/B</t>
  </si>
  <si>
    <t>65534</t>
  </si>
  <si>
    <t>65534/A</t>
  </si>
  <si>
    <t>65534/B</t>
  </si>
  <si>
    <t>65534/C</t>
  </si>
  <si>
    <t>65535</t>
  </si>
  <si>
    <t>65536</t>
  </si>
  <si>
    <t>65537</t>
  </si>
  <si>
    <t>65538</t>
  </si>
  <si>
    <t>65539</t>
  </si>
  <si>
    <t>65540</t>
  </si>
  <si>
    <t>65542</t>
  </si>
  <si>
    <t>65543</t>
  </si>
  <si>
    <t>65544</t>
  </si>
  <si>
    <t>65545</t>
  </si>
  <si>
    <t>65546</t>
  </si>
  <si>
    <t>65547</t>
  </si>
  <si>
    <t>65548</t>
  </si>
  <si>
    <t>65550</t>
  </si>
  <si>
    <t>65551</t>
  </si>
  <si>
    <t>65552</t>
  </si>
  <si>
    <t>65553</t>
  </si>
  <si>
    <t>65554</t>
  </si>
  <si>
    <t>65555</t>
  </si>
  <si>
    <t>65556A</t>
  </si>
  <si>
    <t>65558</t>
  </si>
  <si>
    <t>65559</t>
  </si>
  <si>
    <t>65560</t>
  </si>
  <si>
    <t>65561</t>
  </si>
  <si>
    <t>65562</t>
  </si>
  <si>
    <t>65563</t>
  </si>
  <si>
    <t>65564</t>
  </si>
  <si>
    <t>65565</t>
  </si>
  <si>
    <t>65566</t>
  </si>
  <si>
    <t>65566A</t>
  </si>
  <si>
    <t>65566B</t>
  </si>
  <si>
    <t>65567</t>
  </si>
  <si>
    <t>65568</t>
  </si>
  <si>
    <t>65569</t>
  </si>
  <si>
    <t>65570</t>
  </si>
  <si>
    <t>65571</t>
  </si>
  <si>
    <t>65572</t>
  </si>
  <si>
    <t>65573</t>
  </si>
  <si>
    <t>65574</t>
  </si>
  <si>
    <t>65575</t>
  </si>
  <si>
    <t>65576</t>
  </si>
  <si>
    <t>65577</t>
  </si>
  <si>
    <t>65579</t>
  </si>
  <si>
    <t>65580</t>
  </si>
  <si>
    <t>65581</t>
  </si>
  <si>
    <t>65582</t>
  </si>
  <si>
    <t>65583</t>
  </si>
  <si>
    <t>65584</t>
  </si>
  <si>
    <t>65585</t>
  </si>
  <si>
    <t>65586</t>
  </si>
  <si>
    <t>65587</t>
  </si>
  <si>
    <t>65588</t>
  </si>
  <si>
    <t>65589</t>
  </si>
  <si>
    <t>65590</t>
  </si>
  <si>
    <t>65590A</t>
  </si>
  <si>
    <t>65591</t>
  </si>
  <si>
    <t>65591A</t>
  </si>
  <si>
    <t>65591B</t>
  </si>
  <si>
    <t>65592</t>
  </si>
  <si>
    <t>65593</t>
  </si>
  <si>
    <t>65594</t>
  </si>
  <si>
    <t>65595</t>
  </si>
  <si>
    <t>65596</t>
  </si>
  <si>
    <t>65597</t>
  </si>
  <si>
    <t>65598</t>
  </si>
  <si>
    <t>65599</t>
  </si>
  <si>
    <t>65600</t>
  </si>
  <si>
    <t>65601</t>
  </si>
  <si>
    <t>65602</t>
  </si>
  <si>
    <t>65603</t>
  </si>
  <si>
    <t>65604</t>
  </si>
  <si>
    <t>65605</t>
  </si>
  <si>
    <t>65606</t>
  </si>
  <si>
    <t>65607</t>
  </si>
  <si>
    <t>65607A</t>
  </si>
  <si>
    <t>65608</t>
  </si>
  <si>
    <t>65609</t>
  </si>
  <si>
    <t>65610</t>
  </si>
  <si>
    <t>65611</t>
  </si>
  <si>
    <t>65612</t>
  </si>
  <si>
    <t>65614</t>
  </si>
  <si>
    <t>65615</t>
  </si>
  <si>
    <t>65617</t>
  </si>
  <si>
    <t>65618</t>
  </si>
  <si>
    <t>65619</t>
  </si>
  <si>
    <t>65620</t>
  </si>
  <si>
    <t>65621</t>
  </si>
  <si>
    <t>65622</t>
  </si>
  <si>
    <t>65623</t>
  </si>
  <si>
    <t>65624</t>
  </si>
  <si>
    <t>65625</t>
  </si>
  <si>
    <t>65626</t>
  </si>
  <si>
    <t>65627</t>
  </si>
  <si>
    <t>65628</t>
  </si>
  <si>
    <t>65629</t>
  </si>
  <si>
    <t>65630</t>
  </si>
  <si>
    <t>65631</t>
  </si>
  <si>
    <t>65632</t>
  </si>
  <si>
    <t>65633</t>
  </si>
  <si>
    <t>65634</t>
  </si>
  <si>
    <t>65635</t>
  </si>
  <si>
    <t>65636</t>
  </si>
  <si>
    <t>65637</t>
  </si>
  <si>
    <t>65638</t>
  </si>
  <si>
    <t>65639</t>
  </si>
  <si>
    <t>65640</t>
  </si>
  <si>
    <t>65640A</t>
  </si>
  <si>
    <t>65641</t>
  </si>
  <si>
    <t>65643</t>
  </si>
  <si>
    <t>65643B</t>
  </si>
  <si>
    <t>65643C</t>
  </si>
  <si>
    <t>65643D</t>
  </si>
  <si>
    <t>65643E</t>
  </si>
  <si>
    <t>65643F</t>
  </si>
  <si>
    <t>65643G</t>
  </si>
  <si>
    <t>65644</t>
  </si>
  <si>
    <t>65645</t>
  </si>
  <si>
    <t>65646</t>
  </si>
  <si>
    <t>65647</t>
  </si>
  <si>
    <t>65648</t>
  </si>
  <si>
    <t>65649</t>
  </si>
  <si>
    <t>65651</t>
  </si>
  <si>
    <t>65652</t>
  </si>
  <si>
    <t>65653</t>
  </si>
  <si>
    <t>65654</t>
  </si>
  <si>
    <t>65655</t>
  </si>
  <si>
    <t>65656</t>
  </si>
  <si>
    <t>65656A</t>
  </si>
  <si>
    <t>65656B</t>
  </si>
  <si>
    <t>65656C</t>
  </si>
  <si>
    <t>65656D</t>
  </si>
  <si>
    <t>65656E</t>
  </si>
  <si>
    <t>65656F</t>
  </si>
  <si>
    <t>65656G</t>
  </si>
  <si>
    <t>65656H</t>
  </si>
  <si>
    <t>65656I</t>
  </si>
  <si>
    <t>65656J</t>
  </si>
  <si>
    <t>65656K</t>
  </si>
  <si>
    <t>65656L</t>
  </si>
  <si>
    <t>65656M</t>
  </si>
  <si>
    <t>65656N</t>
  </si>
  <si>
    <t>65656O</t>
  </si>
  <si>
    <t>65656P</t>
  </si>
  <si>
    <t>65656Q</t>
  </si>
  <si>
    <t>65657</t>
  </si>
  <si>
    <t>65658</t>
  </si>
  <si>
    <t>65659</t>
  </si>
  <si>
    <t>65660</t>
  </si>
  <si>
    <t>65661</t>
  </si>
  <si>
    <t>65662</t>
  </si>
  <si>
    <t>65663</t>
  </si>
  <si>
    <t>65664</t>
  </si>
  <si>
    <t>65665</t>
  </si>
  <si>
    <t>65666</t>
  </si>
  <si>
    <t>65667</t>
  </si>
  <si>
    <t>65668</t>
  </si>
  <si>
    <t>65669</t>
  </si>
  <si>
    <t>65670</t>
  </si>
  <si>
    <t>65671</t>
  </si>
  <si>
    <t>65672</t>
  </si>
  <si>
    <t>65673</t>
  </si>
  <si>
    <t>65674</t>
  </si>
  <si>
    <t>65675</t>
  </si>
  <si>
    <t>65675A</t>
  </si>
  <si>
    <t>65675B</t>
  </si>
  <si>
    <t>65675C</t>
  </si>
  <si>
    <t>65676</t>
  </si>
  <si>
    <t>65677</t>
  </si>
  <si>
    <t>65678</t>
  </si>
  <si>
    <t>65679</t>
  </si>
  <si>
    <t>65680</t>
  </si>
  <si>
    <t>65681</t>
  </si>
  <si>
    <t>65682</t>
  </si>
  <si>
    <t>65683</t>
  </si>
  <si>
    <t>65684</t>
  </si>
  <si>
    <t>65685</t>
  </si>
  <si>
    <t>65686</t>
  </si>
  <si>
    <t>65688</t>
  </si>
  <si>
    <t>65689</t>
  </si>
  <si>
    <t>65690</t>
  </si>
  <si>
    <t>65691</t>
  </si>
  <si>
    <t>65692</t>
  </si>
  <si>
    <t>65693</t>
  </si>
  <si>
    <t>65694</t>
  </si>
  <si>
    <t>65695</t>
  </si>
  <si>
    <t>65696</t>
  </si>
  <si>
    <t>65697</t>
  </si>
  <si>
    <t>65698</t>
  </si>
  <si>
    <t>65699</t>
  </si>
  <si>
    <t>65700</t>
  </si>
  <si>
    <t>65701</t>
  </si>
  <si>
    <t>65702</t>
  </si>
  <si>
    <t>65703</t>
  </si>
  <si>
    <t>65704</t>
  </si>
  <si>
    <t>65705</t>
  </si>
  <si>
    <t>65706</t>
  </si>
  <si>
    <t>65707</t>
  </si>
  <si>
    <t>65708</t>
  </si>
  <si>
    <t>65709</t>
  </si>
  <si>
    <t>65710</t>
  </si>
  <si>
    <t>65711</t>
  </si>
  <si>
    <t>65712</t>
  </si>
  <si>
    <t>65713</t>
  </si>
  <si>
    <t>65714</t>
  </si>
  <si>
    <t>65715</t>
  </si>
  <si>
    <t>65715A</t>
  </si>
  <si>
    <t>65716</t>
  </si>
  <si>
    <t>65717</t>
  </si>
  <si>
    <t>65718</t>
  </si>
  <si>
    <t>65719</t>
  </si>
  <si>
    <t>65720</t>
  </si>
  <si>
    <t>65720A</t>
  </si>
  <si>
    <t>65720B</t>
  </si>
  <si>
    <t>65721</t>
  </si>
  <si>
    <t>65722</t>
  </si>
  <si>
    <t>65722/CO</t>
  </si>
  <si>
    <t>65723</t>
  </si>
  <si>
    <t>65724</t>
  </si>
  <si>
    <t>65725</t>
  </si>
  <si>
    <t>65726</t>
  </si>
  <si>
    <t>65727</t>
  </si>
  <si>
    <t>65728</t>
  </si>
  <si>
    <t>65729</t>
  </si>
  <si>
    <t>65731</t>
  </si>
  <si>
    <t>65732</t>
  </si>
  <si>
    <t>65733</t>
  </si>
  <si>
    <t>65734</t>
  </si>
  <si>
    <t>65735</t>
  </si>
  <si>
    <t>65736</t>
  </si>
  <si>
    <t>65737</t>
  </si>
  <si>
    <t>65738</t>
  </si>
  <si>
    <t>65740</t>
  </si>
  <si>
    <t>65741</t>
  </si>
  <si>
    <t>65744</t>
  </si>
  <si>
    <t>65747</t>
  </si>
  <si>
    <t>65752</t>
  </si>
  <si>
    <t>65756</t>
  </si>
  <si>
    <t>65760</t>
  </si>
  <si>
    <t>65761</t>
  </si>
  <si>
    <t>65762</t>
  </si>
  <si>
    <t>65763</t>
  </si>
  <si>
    <t>65764</t>
  </si>
  <si>
    <t>65764A</t>
  </si>
  <si>
    <t>65765</t>
  </si>
  <si>
    <t>65766</t>
  </si>
  <si>
    <t>65768</t>
  </si>
  <si>
    <t>65770</t>
  </si>
  <si>
    <t>65771</t>
  </si>
  <si>
    <t>65772</t>
  </si>
  <si>
    <t>65773</t>
  </si>
  <si>
    <t>65774</t>
  </si>
  <si>
    <t>65775</t>
  </si>
  <si>
    <t>65776</t>
  </si>
  <si>
    <t>65777</t>
  </si>
  <si>
    <t>65778</t>
  </si>
  <si>
    <t>65779</t>
  </si>
  <si>
    <t>65780</t>
  </si>
  <si>
    <t>65781</t>
  </si>
  <si>
    <t>65782</t>
  </si>
  <si>
    <t>65783</t>
  </si>
  <si>
    <t>65784</t>
  </si>
  <si>
    <t>65785</t>
  </si>
  <si>
    <t>65786</t>
  </si>
  <si>
    <t>65787</t>
  </si>
  <si>
    <t>65788</t>
  </si>
  <si>
    <t>65789</t>
  </si>
  <si>
    <t>65789A</t>
  </si>
  <si>
    <t>65790</t>
  </si>
  <si>
    <t>65791</t>
  </si>
  <si>
    <t>65792</t>
  </si>
  <si>
    <t>65793</t>
  </si>
  <si>
    <t>65794</t>
  </si>
  <si>
    <t>65795</t>
  </si>
  <si>
    <t>65796</t>
  </si>
  <si>
    <t>65797</t>
  </si>
  <si>
    <t>65798</t>
  </si>
  <si>
    <t>65798/CO</t>
  </si>
  <si>
    <t>65799</t>
  </si>
  <si>
    <t>65800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</si>
  <si>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</si>
  <si>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</si>
  <si>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</si>
  <si>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</si>
  <si>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</si>
  <si>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</si>
  <si>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</si>
  <si>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</si>
  <si>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65809</t>
  </si>
  <si>
    <t>65816</t>
  </si>
  <si>
    <t>65817</t>
  </si>
  <si>
    <t>65818</t>
  </si>
  <si>
    <t>65819</t>
  </si>
  <si>
    <t>65819A</t>
  </si>
  <si>
    <t>65820</t>
  </si>
  <si>
    <t>65821</t>
  </si>
  <si>
    <t>65822</t>
  </si>
  <si>
    <t>65823</t>
  </si>
  <si>
    <t>65824</t>
  </si>
  <si>
    <t>65825</t>
  </si>
  <si>
    <t>65826</t>
  </si>
  <si>
    <t>65827</t>
  </si>
  <si>
    <t>65828</t>
  </si>
  <si>
    <t>65829</t>
  </si>
  <si>
    <t>65830</t>
  </si>
  <si>
    <t>65831</t>
  </si>
  <si>
    <t>65832</t>
  </si>
  <si>
    <t>65833</t>
  </si>
  <si>
    <t>65834</t>
  </si>
  <si>
    <t>65835</t>
  </si>
  <si>
    <t>65836</t>
  </si>
  <si>
    <t>65836/CO</t>
  </si>
  <si>
    <t>65837</t>
  </si>
  <si>
    <t>65838</t>
  </si>
  <si>
    <t>65839</t>
  </si>
  <si>
    <t>65839A</t>
  </si>
  <si>
    <t>65840</t>
  </si>
  <si>
    <t>65840/CO</t>
  </si>
  <si>
    <t>65841</t>
  </si>
  <si>
    <t>65841/CO</t>
  </si>
  <si>
    <t>65842</t>
  </si>
  <si>
    <t>65842/CO</t>
  </si>
  <si>
    <t>65843</t>
  </si>
  <si>
    <t>65845</t>
  </si>
  <si>
    <t>65846</t>
  </si>
  <si>
    <t>65847</t>
  </si>
  <si>
    <t>65848</t>
  </si>
  <si>
    <t>65849</t>
  </si>
  <si>
    <t>65850</t>
  </si>
  <si>
    <t>65850/CO</t>
  </si>
  <si>
    <t>65853</t>
  </si>
  <si>
    <t>65854</t>
  </si>
  <si>
    <t>65855</t>
  </si>
  <si>
    <t>65856</t>
  </si>
  <si>
    <t>65857</t>
  </si>
  <si>
    <t>65858</t>
  </si>
  <si>
    <t>65859</t>
  </si>
  <si>
    <t>65860</t>
  </si>
  <si>
    <t>65861</t>
  </si>
  <si>
    <t>65862</t>
  </si>
  <si>
    <t>65863</t>
  </si>
  <si>
    <t>65864</t>
  </si>
  <si>
    <t>65865</t>
  </si>
  <si>
    <t>65866</t>
  </si>
  <si>
    <t>65867</t>
  </si>
  <si>
    <t>65869</t>
  </si>
  <si>
    <t>65869/CO</t>
  </si>
  <si>
    <t>65870</t>
  </si>
  <si>
    <t>65870/CO</t>
  </si>
  <si>
    <t>65871</t>
  </si>
  <si>
    <t>65871/CO</t>
  </si>
  <si>
    <t>65872</t>
  </si>
  <si>
    <t>65872/CO</t>
  </si>
  <si>
    <t>65873</t>
  </si>
  <si>
    <t>65873/CO</t>
  </si>
  <si>
    <t>65874</t>
  </si>
  <si>
    <t>65876</t>
  </si>
  <si>
    <t>65877</t>
  </si>
  <si>
    <t>65878</t>
  </si>
  <si>
    <t>65879</t>
  </si>
  <si>
    <t>65880</t>
  </si>
  <si>
    <t>65881</t>
  </si>
  <si>
    <t>65882</t>
  </si>
  <si>
    <t>65883</t>
  </si>
  <si>
    <t>65884</t>
  </si>
  <si>
    <t>65885</t>
  </si>
  <si>
    <t>65886</t>
  </si>
  <si>
    <t>65886/CO</t>
  </si>
  <si>
    <t>65887</t>
  </si>
  <si>
    <t>65888</t>
  </si>
  <si>
    <t>65889</t>
  </si>
  <si>
    <t>65890</t>
  </si>
  <si>
    <t>65892</t>
  </si>
  <si>
    <t>65893</t>
  </si>
  <si>
    <t>65894</t>
  </si>
  <si>
    <t>65901</t>
  </si>
  <si>
    <t>65902</t>
  </si>
  <si>
    <t>65903</t>
  </si>
  <si>
    <t>65904</t>
  </si>
  <si>
    <t>65905</t>
  </si>
  <si>
    <t>65906</t>
  </si>
  <si>
    <t>65907</t>
  </si>
  <si>
    <t>65908</t>
  </si>
  <si>
    <t>65909</t>
  </si>
  <si>
    <t>65910</t>
  </si>
  <si>
    <t>65911</t>
  </si>
  <si>
    <t>65912</t>
  </si>
  <si>
    <t>65913</t>
  </si>
  <si>
    <t>65914</t>
  </si>
  <si>
    <t>65915</t>
  </si>
  <si>
    <t>65916</t>
  </si>
  <si>
    <t>65917</t>
  </si>
  <si>
    <t>65918</t>
  </si>
  <si>
    <t>65919</t>
  </si>
  <si>
    <t>65920</t>
  </si>
  <si>
    <t>65921</t>
  </si>
  <si>
    <t>65922</t>
  </si>
  <si>
    <t>65923</t>
  </si>
  <si>
    <t>65924</t>
  </si>
  <si>
    <t>65925</t>
  </si>
  <si>
    <t>65926</t>
  </si>
  <si>
    <t>65927</t>
  </si>
  <si>
    <t>65928</t>
  </si>
  <si>
    <t>65929</t>
  </si>
  <si>
    <t>65930</t>
  </si>
  <si>
    <t>65931</t>
  </si>
  <si>
    <t>65932</t>
  </si>
  <si>
    <t>65933</t>
  </si>
  <si>
    <t>65934</t>
  </si>
  <si>
    <t>65935</t>
  </si>
  <si>
    <t>65935/A</t>
  </si>
  <si>
    <t>65936</t>
  </si>
  <si>
    <t>65937</t>
  </si>
  <si>
    <t>65938</t>
  </si>
  <si>
    <t>65939</t>
  </si>
  <si>
    <t>65940</t>
  </si>
  <si>
    <t>65941</t>
  </si>
  <si>
    <t>65942</t>
  </si>
  <si>
    <t>65943</t>
  </si>
  <si>
    <t>65944</t>
  </si>
  <si>
    <t>65945</t>
  </si>
  <si>
    <t>65946</t>
  </si>
  <si>
    <t>65947</t>
  </si>
  <si>
    <t>65948</t>
  </si>
  <si>
    <t>65948A</t>
  </si>
  <si>
    <t>65948B</t>
  </si>
  <si>
    <t>65948C</t>
  </si>
  <si>
    <t>65949</t>
  </si>
  <si>
    <t>65949A</t>
  </si>
  <si>
    <t>65949B</t>
  </si>
  <si>
    <t>65949C</t>
  </si>
  <si>
    <t>65950</t>
  </si>
  <si>
    <t>65950/A</t>
  </si>
  <si>
    <t>65951</t>
  </si>
  <si>
    <t>65952</t>
  </si>
  <si>
    <t>65953</t>
  </si>
  <si>
    <t>65954</t>
  </si>
  <si>
    <t>65955</t>
  </si>
  <si>
    <t>65956</t>
  </si>
  <si>
    <t>65957</t>
  </si>
  <si>
    <t>65957A</t>
  </si>
  <si>
    <t>65957B</t>
  </si>
  <si>
    <t>65958</t>
  </si>
  <si>
    <t>65959</t>
  </si>
  <si>
    <t>65960</t>
  </si>
  <si>
    <t>65961</t>
  </si>
  <si>
    <t>65962</t>
  </si>
  <si>
    <t>65964</t>
  </si>
  <si>
    <t>65965</t>
  </si>
  <si>
    <t>65971</t>
  </si>
  <si>
    <t>65972</t>
  </si>
  <si>
    <t>65973</t>
  </si>
  <si>
    <t>65974</t>
  </si>
  <si>
    <t>65975</t>
  </si>
  <si>
    <t>65976</t>
  </si>
  <si>
    <t>65976/CO</t>
  </si>
  <si>
    <t>65977</t>
  </si>
  <si>
    <t>65977/CO</t>
  </si>
  <si>
    <t>65978</t>
  </si>
  <si>
    <t>65978/CO</t>
  </si>
  <si>
    <t>65979</t>
  </si>
  <si>
    <t>65979/CO</t>
  </si>
  <si>
    <t>65980</t>
  </si>
  <si>
    <t>65980/CO</t>
  </si>
  <si>
    <t>65983</t>
  </si>
  <si>
    <t>65984</t>
  </si>
  <si>
    <t>65985</t>
  </si>
  <si>
    <t>65985/A</t>
  </si>
  <si>
    <t>65988</t>
  </si>
  <si>
    <t>65989</t>
  </si>
  <si>
    <t>65990</t>
  </si>
  <si>
    <t>65991</t>
  </si>
  <si>
    <t>65992</t>
  </si>
  <si>
    <t>65993</t>
  </si>
  <si>
    <t>65994</t>
  </si>
  <si>
    <t>65995</t>
  </si>
  <si>
    <t>65996</t>
  </si>
  <si>
    <t>65997</t>
  </si>
  <si>
    <t>65998</t>
  </si>
  <si>
    <t>65999</t>
  </si>
  <si>
    <t>66000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</si>
  <si>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</si>
  <si>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</si>
  <si>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</si>
  <si>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</si>
  <si>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</si>
  <si>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</si>
  <si>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</si>
  <si>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</si>
  <si>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</si>
  <si>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</si>
  <si>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</si>
  <si>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</si>
  <si>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</si>
  <si>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</si>
  <si>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</si>
  <si>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</si>
  <si>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</si>
  <si>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</si>
  <si>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</si>
  <si>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</si>
  <si>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</si>
  <si>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</si>
  <si>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</si>
  <si>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66025</t>
  </si>
  <si>
    <t>66026</t>
  </si>
  <si>
    <t>66027</t>
  </si>
  <si>
    <t>66028</t>
  </si>
  <si>
    <t>66028A</t>
  </si>
  <si>
    <t>66029</t>
  </si>
  <si>
    <t>66029A</t>
  </si>
  <si>
    <t>66030</t>
  </si>
  <si>
    <t>66031</t>
  </si>
  <si>
    <t>66031A</t>
  </si>
  <si>
    <t>66032</t>
  </si>
  <si>
    <t>66033</t>
  </si>
  <si>
    <t>66034</t>
  </si>
  <si>
    <t>66035</t>
  </si>
  <si>
    <t>66035A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</si>
  <si>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</si>
  <si>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</si>
  <si>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</si>
  <si>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</si>
  <si>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</si>
  <si>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</si>
  <si>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</si>
  <si>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</si>
  <si>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</si>
  <si>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</si>
  <si>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</si>
  <si>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</si>
  <si>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</si>
  <si>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</si>
  <si>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</si>
  <si>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</si>
  <si>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</si>
  <si>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</si>
  <si>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</si>
  <si>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</si>
  <si>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</si>
  <si>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</si>
  <si>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</si>
  <si>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</si>
  <si>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</si>
  <si>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66060A</t>
  </si>
  <si>
    <t>66060B</t>
  </si>
  <si>
    <t>66061</t>
  </si>
  <si>
    <t>66062</t>
  </si>
  <si>
    <t>66063</t>
  </si>
  <si>
    <t>66064</t>
  </si>
  <si>
    <t>66065</t>
  </si>
  <si>
    <t>66066</t>
  </si>
  <si>
    <t>66066A</t>
  </si>
  <si>
    <t>66066B</t>
  </si>
  <si>
    <t>66066C</t>
  </si>
  <si>
    <t>66066D</t>
  </si>
  <si>
    <t>66068</t>
  </si>
  <si>
    <t>66069</t>
  </si>
  <si>
    <t>66073</t>
  </si>
  <si>
    <t>66074</t>
  </si>
  <si>
    <t>66074/A</t>
  </si>
  <si>
    <t>66074A</t>
  </si>
  <si>
    <t>66074B</t>
  </si>
  <si>
    <t>66074C</t>
  </si>
  <si>
    <t>66075</t>
  </si>
  <si>
    <t>66076</t>
  </si>
  <si>
    <t>66077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</si>
  <si>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</si>
  <si>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</si>
  <si>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</si>
  <si>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</si>
  <si>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</si>
  <si>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</si>
  <si>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</si>
  <si>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</si>
  <si>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</si>
  <si>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</si>
  <si>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</si>
  <si>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</si>
  <si>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</si>
  <si>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</si>
  <si>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</si>
  <si>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</si>
  <si>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</si>
  <si>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</si>
  <si>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</si>
  <si>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</si>
  <si>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</si>
  <si>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</si>
  <si>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</si>
  <si>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</si>
  <si>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66104</t>
  </si>
  <si>
    <t>66105</t>
  </si>
  <si>
    <t>66105A</t>
  </si>
  <si>
    <t>66105B</t>
  </si>
  <si>
    <t>66106</t>
  </si>
  <si>
    <t>66106A</t>
  </si>
  <si>
    <t>66107</t>
  </si>
  <si>
    <t>66108</t>
  </si>
  <si>
    <t>66109</t>
  </si>
  <si>
    <t>66110</t>
  </si>
  <si>
    <t>66111</t>
  </si>
  <si>
    <t>66112</t>
  </si>
  <si>
    <t>66113</t>
  </si>
  <si>
    <t>66115</t>
  </si>
  <si>
    <t>66116</t>
  </si>
  <si>
    <t>66118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</si>
  <si>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</si>
  <si>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</si>
  <si>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</si>
  <si>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</si>
  <si>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</si>
  <si>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</si>
  <si>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</si>
  <si>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</si>
  <si>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</si>
  <si>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</si>
  <si>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</si>
  <si>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</si>
  <si>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</si>
  <si>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</si>
  <si>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</si>
  <si>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</si>
  <si>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</si>
  <si>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</si>
  <si>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</si>
  <si>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</si>
  <si>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</si>
  <si>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</si>
  <si>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</si>
  <si>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</si>
  <si>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</si>
  <si>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</si>
  <si>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</si>
  <si>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</si>
  <si>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</si>
  <si>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</si>
  <si>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</si>
  <si>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</si>
  <si>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</si>
  <si>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</si>
  <si>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66157A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</si>
  <si>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</si>
  <si>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</si>
  <si>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</si>
  <si>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</si>
  <si>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</si>
  <si>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</si>
  <si>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</si>
  <si>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</si>
  <si>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</si>
  <si>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66166/CO</t>
  </si>
  <si>
    <t>66167</t>
  </si>
  <si>
    <t>66168</t>
  </si>
  <si>
    <t>66169</t>
  </si>
  <si>
    <t>66170</t>
  </si>
  <si>
    <t>66173</t>
  </si>
  <si>
    <t>66176</t>
  </si>
  <si>
    <t>66176A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</si>
  <si>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</si>
  <si>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</si>
  <si>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</si>
  <si>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</si>
  <si>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</si>
  <si>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</si>
  <si>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</si>
  <si>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</si>
  <si>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</si>
  <si>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66185A</t>
  </si>
  <si>
    <t>66185B</t>
  </si>
  <si>
    <t>66186</t>
  </si>
  <si>
    <t>66186A</t>
  </si>
  <si>
    <t>66186B</t>
  </si>
  <si>
    <t>66187</t>
  </si>
  <si>
    <t>66188</t>
  </si>
  <si>
    <t>66189</t>
  </si>
  <si>
    <t>66189A</t>
  </si>
  <si>
    <t>66189B</t>
  </si>
  <si>
    <t>66189C</t>
  </si>
  <si>
    <t>66189D</t>
  </si>
  <si>
    <t>66189E</t>
  </si>
  <si>
    <t>66189F</t>
  </si>
  <si>
    <t>66189G</t>
  </si>
  <si>
    <t>66189H</t>
  </si>
  <si>
    <t>66189I</t>
  </si>
  <si>
    <t>66189K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</si>
  <si>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</si>
  <si>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</si>
  <si>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</si>
  <si>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</si>
  <si>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</si>
  <si>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</si>
  <si>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</si>
  <si>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</si>
  <si>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</si>
  <si>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</si>
  <si>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</si>
  <si>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</si>
  <si>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</si>
  <si>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</si>
  <si>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</si>
  <si>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</si>
  <si>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</si>
  <si>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</si>
  <si>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</si>
  <si>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</si>
  <si>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</si>
  <si>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</si>
  <si>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</si>
  <si>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</si>
  <si>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</si>
  <si>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</si>
  <si>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</si>
  <si>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</si>
  <si>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</si>
  <si>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</si>
  <si>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</si>
  <si>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</si>
  <si>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</si>
  <si>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</si>
  <si>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</si>
  <si>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</si>
  <si>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</si>
  <si>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</si>
  <si>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</si>
  <si>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</si>
  <si>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</si>
  <si>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</si>
  <si>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</si>
  <si>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</si>
  <si>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</si>
  <si>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</si>
  <si>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66236</t>
  </si>
  <si>
    <t>66237</t>
  </si>
  <si>
    <t>66239</t>
  </si>
  <si>
    <t>66240</t>
  </si>
  <si>
    <t>66241</t>
  </si>
  <si>
    <t>66242</t>
  </si>
  <si>
    <t>66244</t>
  </si>
  <si>
    <t>66245</t>
  </si>
  <si>
    <t>66246</t>
  </si>
  <si>
    <t>66247</t>
  </si>
  <si>
    <t>66248</t>
  </si>
  <si>
    <t>66249</t>
  </si>
  <si>
    <t>66250</t>
  </si>
  <si>
    <t>66251</t>
  </si>
  <si>
    <t>66252</t>
  </si>
  <si>
    <t>66253</t>
  </si>
  <si>
    <t>66254</t>
  </si>
  <si>
    <t>66255</t>
  </si>
  <si>
    <t>66256</t>
  </si>
  <si>
    <t>66257</t>
  </si>
  <si>
    <t>66259</t>
  </si>
  <si>
    <t>66260</t>
  </si>
  <si>
    <t>66261</t>
  </si>
  <si>
    <t>66262</t>
  </si>
  <si>
    <t>66263</t>
  </si>
  <si>
    <t>66264</t>
  </si>
  <si>
    <t>66265</t>
  </si>
  <si>
    <t>66266</t>
  </si>
  <si>
    <t>66267</t>
  </si>
  <si>
    <t>66268</t>
  </si>
  <si>
    <t>66269</t>
  </si>
  <si>
    <t>66271</t>
  </si>
  <si>
    <t>66272</t>
  </si>
  <si>
    <t>66273</t>
  </si>
  <si>
    <t>66274</t>
  </si>
  <si>
    <t>66275</t>
  </si>
  <si>
    <t>66276</t>
  </si>
  <si>
    <t>66277</t>
  </si>
  <si>
    <t>66278</t>
  </si>
  <si>
    <t>66279</t>
  </si>
  <si>
    <t>66281</t>
  </si>
  <si>
    <t>66282</t>
  </si>
  <si>
    <t>66283</t>
  </si>
  <si>
    <t>66284</t>
  </si>
  <si>
    <t>66285</t>
  </si>
  <si>
    <t>66286</t>
  </si>
  <si>
    <t>66287</t>
  </si>
  <si>
    <t>66288</t>
  </si>
  <si>
    <t>66289</t>
  </si>
  <si>
    <t>66290</t>
  </si>
  <si>
    <t>66291</t>
  </si>
  <si>
    <t>66292</t>
  </si>
  <si>
    <t>66293</t>
  </si>
  <si>
    <t>66294</t>
  </si>
  <si>
    <t>66295</t>
  </si>
  <si>
    <t>66296</t>
  </si>
  <si>
    <t>66297</t>
  </si>
  <si>
    <t>66298</t>
  </si>
  <si>
    <t>66299</t>
  </si>
  <si>
    <t>66300</t>
  </si>
  <si>
    <t>66301</t>
  </si>
  <si>
    <t>66302</t>
  </si>
  <si>
    <t>66303</t>
  </si>
  <si>
    <t>66304</t>
  </si>
  <si>
    <t>66305</t>
  </si>
  <si>
    <t>66306</t>
  </si>
  <si>
    <t>66312</t>
  </si>
  <si>
    <t>66313</t>
  </si>
  <si>
    <t>66314</t>
  </si>
  <si>
    <t>66314A</t>
  </si>
  <si>
    <t>66315</t>
  </si>
  <si>
    <t>66315A</t>
  </si>
  <si>
    <t>66316</t>
  </si>
  <si>
    <t>66317</t>
  </si>
  <si>
    <t>66318</t>
  </si>
  <si>
    <t>66319</t>
  </si>
  <si>
    <t>66320</t>
  </si>
  <si>
    <t>66321</t>
  </si>
  <si>
    <t>66321/CO</t>
  </si>
  <si>
    <t>66322</t>
  </si>
  <si>
    <t>66323</t>
  </si>
  <si>
    <t>66324</t>
  </si>
  <si>
    <t>66325</t>
  </si>
  <si>
    <t>66326</t>
  </si>
  <si>
    <t>66327</t>
  </si>
  <si>
    <t>66328</t>
  </si>
  <si>
    <t>66329</t>
  </si>
  <si>
    <t>66330</t>
  </si>
  <si>
    <t>66331</t>
  </si>
  <si>
    <t>66331A</t>
  </si>
  <si>
    <t>66332</t>
  </si>
  <si>
    <t>66333</t>
  </si>
  <si>
    <t>66334</t>
  </si>
  <si>
    <t>66335</t>
  </si>
  <si>
    <t>66336</t>
  </si>
  <si>
    <t>66337</t>
  </si>
  <si>
    <t>66338</t>
  </si>
  <si>
    <t>66339</t>
  </si>
  <si>
    <t>66340</t>
  </si>
  <si>
    <t>66341</t>
  </si>
  <si>
    <t>66342</t>
  </si>
  <si>
    <t>66343</t>
  </si>
  <si>
    <t>66344</t>
  </si>
  <si>
    <t>66345</t>
  </si>
  <si>
    <t>66346</t>
  </si>
  <si>
    <t>66347</t>
  </si>
  <si>
    <t>66348</t>
  </si>
  <si>
    <t>66349</t>
  </si>
  <si>
    <t>66350</t>
  </si>
  <si>
    <t>66351</t>
  </si>
  <si>
    <t>66352</t>
  </si>
  <si>
    <t>66361</t>
  </si>
  <si>
    <t>66362</t>
  </si>
  <si>
    <t>66363</t>
  </si>
  <si>
    <t>66364</t>
  </si>
  <si>
    <t>66365</t>
  </si>
  <si>
    <t>66366</t>
  </si>
  <si>
    <t>66367</t>
  </si>
  <si>
    <t>66368</t>
  </si>
  <si>
    <t>66369</t>
  </si>
  <si>
    <t>66370</t>
  </si>
  <si>
    <t>66371</t>
  </si>
  <si>
    <t>66372</t>
  </si>
  <si>
    <t>66373</t>
  </si>
  <si>
    <t>66374</t>
  </si>
  <si>
    <t>66375</t>
  </si>
  <si>
    <t>66376</t>
  </si>
  <si>
    <t>66377</t>
  </si>
  <si>
    <t>66378</t>
  </si>
  <si>
    <t>66379</t>
  </si>
  <si>
    <t>66380</t>
  </si>
  <si>
    <t>66381</t>
  </si>
  <si>
    <t>66382</t>
  </si>
  <si>
    <t>66383</t>
  </si>
  <si>
    <t>66384</t>
  </si>
  <si>
    <t>66385</t>
  </si>
  <si>
    <t>66386</t>
  </si>
  <si>
    <t>66387</t>
  </si>
  <si>
    <t>66388</t>
  </si>
  <si>
    <t>66389</t>
  </si>
  <si>
    <t>66390</t>
  </si>
  <si>
    <t>66391</t>
  </si>
  <si>
    <t>66392</t>
  </si>
  <si>
    <t>66393</t>
  </si>
  <si>
    <t>66394</t>
  </si>
  <si>
    <t>66395</t>
  </si>
  <si>
    <t>66396</t>
  </si>
  <si>
    <t>66397</t>
  </si>
  <si>
    <t>66398</t>
  </si>
  <si>
    <t>66399</t>
  </si>
  <si>
    <t>66400</t>
  </si>
  <si>
    <t>66401</t>
  </si>
  <si>
    <t>66402</t>
  </si>
  <si>
    <t>66403</t>
  </si>
  <si>
    <t>66404</t>
  </si>
  <si>
    <t>66405</t>
  </si>
  <si>
    <t>66406</t>
  </si>
  <si>
    <t>66407</t>
  </si>
  <si>
    <t>66408</t>
  </si>
  <si>
    <t>66409</t>
  </si>
  <si>
    <t>66410</t>
  </si>
  <si>
    <t>66411</t>
  </si>
  <si>
    <t>66412</t>
  </si>
  <si>
    <t>66413</t>
  </si>
  <si>
    <t>66414</t>
  </si>
  <si>
    <t>66415</t>
  </si>
  <si>
    <t>66415A</t>
  </si>
  <si>
    <t>66416</t>
  </si>
  <si>
    <t>66417</t>
  </si>
  <si>
    <t>66418</t>
  </si>
  <si>
    <t>66419</t>
  </si>
  <si>
    <t>66420</t>
  </si>
  <si>
    <t>66421</t>
  </si>
  <si>
    <t>66422</t>
  </si>
  <si>
    <t>66425</t>
  </si>
  <si>
    <t>66426</t>
  </si>
  <si>
    <t>66427</t>
  </si>
  <si>
    <t>66428</t>
  </si>
  <si>
    <t>66429</t>
  </si>
  <si>
    <t>66430</t>
  </si>
  <si>
    <t>66431</t>
  </si>
  <si>
    <t>66432</t>
  </si>
  <si>
    <t>66433</t>
  </si>
  <si>
    <t>66434</t>
  </si>
  <si>
    <t>66438</t>
  </si>
  <si>
    <t>66439</t>
  </si>
  <si>
    <t>66440</t>
  </si>
  <si>
    <t>66441</t>
  </si>
  <si>
    <t>66442</t>
  </si>
  <si>
    <t>66443</t>
  </si>
  <si>
    <t>66444</t>
  </si>
  <si>
    <t>66445</t>
  </si>
  <si>
    <t>66446</t>
  </si>
  <si>
    <t>66447</t>
  </si>
  <si>
    <t>66448</t>
  </si>
  <si>
    <t>66449</t>
  </si>
  <si>
    <t>66450</t>
  </si>
  <si>
    <t>66450/CO</t>
  </si>
  <si>
    <t>66451</t>
  </si>
  <si>
    <t>66454</t>
  </si>
  <si>
    <t>66455</t>
  </si>
  <si>
    <t>66456</t>
  </si>
  <si>
    <t>66457</t>
  </si>
  <si>
    <t>66458</t>
  </si>
  <si>
    <t>66459</t>
  </si>
  <si>
    <t>66460</t>
  </si>
  <si>
    <t>66461</t>
  </si>
  <si>
    <t>66462</t>
  </si>
  <si>
    <t>66463</t>
  </si>
  <si>
    <t>66464</t>
  </si>
  <si>
    <t>66465</t>
  </si>
  <si>
    <t>66466</t>
  </si>
  <si>
    <t>66466/A</t>
  </si>
  <si>
    <t>66467</t>
  </si>
  <si>
    <t>66467/A</t>
  </si>
  <si>
    <t>66468</t>
  </si>
  <si>
    <t>66469</t>
  </si>
  <si>
    <t>66470</t>
  </si>
  <si>
    <t>66471</t>
  </si>
  <si>
    <t>66472</t>
  </si>
  <si>
    <t>66473</t>
  </si>
  <si>
    <t>66473A</t>
  </si>
  <si>
    <t>66474</t>
  </si>
  <si>
    <t>66474A</t>
  </si>
  <si>
    <t>66475</t>
  </si>
  <si>
    <t>66476</t>
  </si>
  <si>
    <t>66477</t>
  </si>
  <si>
    <t>66478</t>
  </si>
  <si>
    <t>66479</t>
  </si>
  <si>
    <t>66480</t>
  </si>
  <si>
    <t>66481</t>
  </si>
  <si>
    <t>66482</t>
  </si>
  <si>
    <t>66483</t>
  </si>
  <si>
    <t>66484</t>
  </si>
  <si>
    <t>66489</t>
  </si>
  <si>
    <t>66490</t>
  </si>
  <si>
    <t>66491</t>
  </si>
  <si>
    <t>66492</t>
  </si>
  <si>
    <t>66493</t>
  </si>
  <si>
    <t>66494</t>
  </si>
  <si>
    <t>66495</t>
  </si>
  <si>
    <t>66497</t>
  </si>
  <si>
    <t>66498</t>
  </si>
  <si>
    <t>66499</t>
  </si>
  <si>
    <t>66500</t>
  </si>
  <si>
    <t>66501</t>
  </si>
  <si>
    <t>66502</t>
  </si>
  <si>
    <t>66503</t>
  </si>
  <si>
    <t>66504</t>
  </si>
  <si>
    <t>66505</t>
  </si>
  <si>
    <t>66506</t>
  </si>
  <si>
    <t>66507</t>
  </si>
  <si>
    <t>66508</t>
  </si>
  <si>
    <t>66509</t>
  </si>
  <si>
    <t>66510</t>
  </si>
  <si>
    <t>66511</t>
  </si>
  <si>
    <t>66512</t>
  </si>
  <si>
    <t>66513</t>
  </si>
  <si>
    <t>66514</t>
  </si>
  <si>
    <t>66515</t>
  </si>
  <si>
    <t>66516</t>
  </si>
  <si>
    <t>66517</t>
  </si>
  <si>
    <t>66518</t>
  </si>
  <si>
    <t>66519</t>
  </si>
  <si>
    <t>66520</t>
  </si>
  <si>
    <t>66521</t>
  </si>
  <si>
    <t>66522</t>
  </si>
  <si>
    <t>66523</t>
  </si>
  <si>
    <t>66524</t>
  </si>
  <si>
    <t>66525</t>
  </si>
  <si>
    <t>66526</t>
  </si>
  <si>
    <t>66527</t>
  </si>
  <si>
    <t>66528</t>
  </si>
  <si>
    <t>66529</t>
  </si>
  <si>
    <t>66530</t>
  </si>
  <si>
    <t>66531</t>
  </si>
  <si>
    <t>66532</t>
  </si>
  <si>
    <t>66533</t>
  </si>
  <si>
    <t>66533A</t>
  </si>
  <si>
    <t>66533B</t>
  </si>
  <si>
    <t>66533D</t>
  </si>
  <si>
    <t>66533E</t>
  </si>
  <si>
    <t>66533F</t>
  </si>
  <si>
    <t>66533G</t>
  </si>
  <si>
    <t>66533H</t>
  </si>
  <si>
    <t>66534</t>
  </si>
  <si>
    <t>66535</t>
  </si>
  <si>
    <t>66536</t>
  </si>
  <si>
    <t>66539</t>
  </si>
  <si>
    <t>66541</t>
  </si>
  <si>
    <t>66542</t>
  </si>
  <si>
    <t>66543</t>
  </si>
  <si>
    <t>66544</t>
  </si>
  <si>
    <t>66546</t>
  </si>
  <si>
    <t>66547</t>
  </si>
  <si>
    <t>66548</t>
  </si>
  <si>
    <t>66549</t>
  </si>
  <si>
    <t>66550</t>
  </si>
  <si>
    <t>66551</t>
  </si>
  <si>
    <t>66552</t>
  </si>
  <si>
    <t>66553</t>
  </si>
  <si>
    <t>66554</t>
  </si>
  <si>
    <t>66555</t>
  </si>
  <si>
    <t>66555A</t>
  </si>
  <si>
    <t>66556</t>
  </si>
  <si>
    <t>66557</t>
  </si>
  <si>
    <t>66558</t>
  </si>
  <si>
    <t>66559</t>
  </si>
  <si>
    <t>66560</t>
  </si>
  <si>
    <t>66561</t>
  </si>
  <si>
    <t>66562</t>
  </si>
  <si>
    <t>66563</t>
  </si>
  <si>
    <t>66564</t>
  </si>
  <si>
    <t>66565</t>
  </si>
  <si>
    <t>66566</t>
  </si>
  <si>
    <t>66567</t>
  </si>
  <si>
    <t>66568</t>
  </si>
  <si>
    <t>66569</t>
  </si>
  <si>
    <t>66570</t>
  </si>
  <si>
    <t>66571</t>
  </si>
  <si>
    <t>66572</t>
  </si>
  <si>
    <t>66573</t>
  </si>
  <si>
    <t>66577</t>
  </si>
  <si>
    <t>66578</t>
  </si>
  <si>
    <t>66580</t>
  </si>
  <si>
    <t>66581</t>
  </si>
  <si>
    <t>66582</t>
  </si>
  <si>
    <t>66583</t>
  </si>
  <si>
    <t>66584</t>
  </si>
  <si>
    <t>66585</t>
  </si>
  <si>
    <t>66586</t>
  </si>
  <si>
    <t>66587</t>
  </si>
  <si>
    <t>66588</t>
  </si>
  <si>
    <t>66590</t>
  </si>
  <si>
    <t>66591</t>
  </si>
  <si>
    <t>66592</t>
  </si>
  <si>
    <t>66593</t>
  </si>
  <si>
    <t>66594</t>
  </si>
  <si>
    <t>66595</t>
  </si>
  <si>
    <t>66596</t>
  </si>
  <si>
    <t>66596A</t>
  </si>
  <si>
    <t>66596B</t>
  </si>
  <si>
    <t>66596C</t>
  </si>
  <si>
    <t>66597</t>
  </si>
  <si>
    <t>66598</t>
  </si>
  <si>
    <t>66599</t>
  </si>
  <si>
    <t>66600</t>
  </si>
  <si>
    <t>66602</t>
  </si>
  <si>
    <t>66603</t>
  </si>
  <si>
    <t>66604</t>
  </si>
  <si>
    <t>66605</t>
  </si>
  <si>
    <t>66606</t>
  </si>
  <si>
    <t>66608</t>
  </si>
  <si>
    <t>66609</t>
  </si>
  <si>
    <t>66610</t>
  </si>
  <si>
    <t>66611</t>
  </si>
  <si>
    <t>66612</t>
  </si>
  <si>
    <t>66614</t>
  </si>
  <si>
    <t>66615</t>
  </si>
  <si>
    <t>66616</t>
  </si>
  <si>
    <t>66617</t>
  </si>
  <si>
    <t>66618</t>
  </si>
  <si>
    <t>66619</t>
  </si>
  <si>
    <t>66620</t>
  </si>
  <si>
    <t>66621</t>
  </si>
  <si>
    <t>66622</t>
  </si>
  <si>
    <t>66623</t>
  </si>
  <si>
    <t>66624</t>
  </si>
  <si>
    <t>66625</t>
  </si>
  <si>
    <t>66626</t>
  </si>
  <si>
    <t>66627</t>
  </si>
  <si>
    <t>66628</t>
  </si>
  <si>
    <t>66629</t>
  </si>
  <si>
    <t>66630</t>
  </si>
  <si>
    <t>66631</t>
  </si>
  <si>
    <t>66633</t>
  </si>
  <si>
    <t>66634</t>
  </si>
  <si>
    <t>66635</t>
  </si>
  <si>
    <t>66636</t>
  </si>
  <si>
    <t>66637</t>
  </si>
  <si>
    <t>66638</t>
  </si>
  <si>
    <t>66639</t>
  </si>
  <si>
    <t>66640</t>
  </si>
  <si>
    <t>66641</t>
  </si>
  <si>
    <t>66642</t>
  </si>
  <si>
    <t>66643</t>
  </si>
  <si>
    <t>66644</t>
  </si>
  <si>
    <t>66645</t>
  </si>
  <si>
    <t>66645/A</t>
  </si>
  <si>
    <t>66646</t>
  </si>
  <si>
    <t>66646/A</t>
  </si>
  <si>
    <t>66647</t>
  </si>
  <si>
    <t>66647/A</t>
  </si>
  <si>
    <t>66648</t>
  </si>
  <si>
    <t>66649</t>
  </si>
  <si>
    <t>66650</t>
  </si>
  <si>
    <t>66650/A</t>
  </si>
  <si>
    <t>66651</t>
  </si>
  <si>
    <t>66652</t>
  </si>
  <si>
    <t>66652A</t>
  </si>
  <si>
    <t>66653</t>
  </si>
  <si>
    <t>66654</t>
  </si>
  <si>
    <t>66655</t>
  </si>
  <si>
    <t>66656</t>
  </si>
  <si>
    <t>66657</t>
  </si>
  <si>
    <t>66658</t>
  </si>
  <si>
    <t>66659</t>
  </si>
  <si>
    <t>66660</t>
  </si>
  <si>
    <t>66661</t>
  </si>
  <si>
    <t>66661/CO</t>
  </si>
  <si>
    <t>66661A/CO</t>
  </si>
  <si>
    <t>66662</t>
  </si>
  <si>
    <t>66662/CO</t>
  </si>
  <si>
    <t>66663</t>
  </si>
  <si>
    <t>66664</t>
  </si>
  <si>
    <t>66665</t>
  </si>
  <si>
    <t>66666</t>
  </si>
  <si>
    <t>66667</t>
  </si>
  <si>
    <t>66668</t>
  </si>
  <si>
    <t>66669</t>
  </si>
  <si>
    <t>66670</t>
  </si>
  <si>
    <t>66671</t>
  </si>
  <si>
    <t>66672</t>
  </si>
  <si>
    <t>66678</t>
  </si>
  <si>
    <t>66680</t>
  </si>
  <si>
    <t>66681</t>
  </si>
  <si>
    <t>66682</t>
  </si>
  <si>
    <t>66690</t>
  </si>
  <si>
    <t>66691</t>
  </si>
  <si>
    <t>66693</t>
  </si>
  <si>
    <t>66694</t>
  </si>
  <si>
    <t>66696</t>
  </si>
  <si>
    <t>66697</t>
  </si>
  <si>
    <t>66698</t>
  </si>
  <si>
    <t>66700</t>
  </si>
  <si>
    <t>66701</t>
  </si>
  <si>
    <t>66702</t>
  </si>
  <si>
    <t>66703</t>
  </si>
  <si>
    <t>66704</t>
  </si>
  <si>
    <t>66705</t>
  </si>
  <si>
    <t>66706</t>
  </si>
  <si>
    <t>66707</t>
  </si>
  <si>
    <t>66708</t>
  </si>
  <si>
    <t>66708A</t>
  </si>
  <si>
    <t>66709</t>
  </si>
  <si>
    <t>66710</t>
  </si>
  <si>
    <t>66711</t>
  </si>
  <si>
    <t>66712</t>
  </si>
  <si>
    <t>66713</t>
  </si>
  <si>
    <t>66714</t>
  </si>
  <si>
    <t>66715</t>
  </si>
  <si>
    <t>66716</t>
  </si>
  <si>
    <t>66717</t>
  </si>
  <si>
    <t>66717A</t>
  </si>
  <si>
    <t>66717B</t>
  </si>
  <si>
    <t>66718</t>
  </si>
  <si>
    <t>66718B</t>
  </si>
  <si>
    <t>66719</t>
  </si>
  <si>
    <t>66719A</t>
  </si>
  <si>
    <t>66720</t>
  </si>
  <si>
    <t>66721</t>
  </si>
  <si>
    <t>66722</t>
  </si>
  <si>
    <t>66722A</t>
  </si>
  <si>
    <t>66723</t>
  </si>
  <si>
    <t>66723/CO</t>
  </si>
  <si>
    <t>66725</t>
  </si>
  <si>
    <t>66726</t>
  </si>
  <si>
    <t>66727</t>
  </si>
  <si>
    <t>66728</t>
  </si>
  <si>
    <t>66729</t>
  </si>
  <si>
    <t>66730</t>
  </si>
  <si>
    <t>66731</t>
  </si>
  <si>
    <t>66732</t>
  </si>
  <si>
    <t>66733</t>
  </si>
  <si>
    <t>66734</t>
  </si>
  <si>
    <t>66735</t>
  </si>
  <si>
    <t>66736</t>
  </si>
  <si>
    <t>66737</t>
  </si>
  <si>
    <t>66738</t>
  </si>
  <si>
    <t>66739</t>
  </si>
  <si>
    <t>66739A</t>
  </si>
  <si>
    <t>66739B</t>
  </si>
  <si>
    <t>66739C</t>
  </si>
  <si>
    <t>66739C/CO</t>
  </si>
  <si>
    <t>66739D</t>
  </si>
  <si>
    <t>66739E</t>
  </si>
  <si>
    <t>66740</t>
  </si>
  <si>
    <t>66741</t>
  </si>
  <si>
    <t>66742</t>
  </si>
  <si>
    <t>66743</t>
  </si>
  <si>
    <t>66745</t>
  </si>
  <si>
    <t>66745A</t>
  </si>
  <si>
    <t>66746</t>
  </si>
  <si>
    <t>66747</t>
  </si>
  <si>
    <t>66748</t>
  </si>
  <si>
    <t>66749</t>
  </si>
  <si>
    <t>66750</t>
  </si>
  <si>
    <t>66751</t>
  </si>
  <si>
    <t>66752</t>
  </si>
  <si>
    <t>66753</t>
  </si>
  <si>
    <t>66754</t>
  </si>
  <si>
    <t>66755</t>
  </si>
  <si>
    <t>66756</t>
  </si>
  <si>
    <t>66757</t>
  </si>
  <si>
    <t>66758</t>
  </si>
  <si>
    <t>66759</t>
  </si>
  <si>
    <t>66760</t>
  </si>
  <si>
    <t>66761</t>
  </si>
  <si>
    <t>66762</t>
  </si>
  <si>
    <t>66763</t>
  </si>
  <si>
    <t>66764</t>
  </si>
  <si>
    <t>66765</t>
  </si>
  <si>
    <t>66766</t>
  </si>
  <si>
    <t>66767</t>
  </si>
  <si>
    <t>66768</t>
  </si>
  <si>
    <t>66769</t>
  </si>
  <si>
    <t>66770</t>
  </si>
  <si>
    <t>66771</t>
  </si>
  <si>
    <t>66772</t>
  </si>
  <si>
    <t>66773</t>
  </si>
  <si>
    <t>66774</t>
  </si>
  <si>
    <t>66775</t>
  </si>
  <si>
    <t>66776</t>
  </si>
  <si>
    <t>66777</t>
  </si>
  <si>
    <t>66778</t>
  </si>
  <si>
    <t>66780</t>
  </si>
  <si>
    <t>66780/CO</t>
  </si>
  <si>
    <t>66781</t>
  </si>
  <si>
    <t>66782</t>
  </si>
  <si>
    <t>66783</t>
  </si>
  <si>
    <t>66784</t>
  </si>
  <si>
    <t>66785</t>
  </si>
  <si>
    <t>66786</t>
  </si>
  <si>
    <t>66787</t>
  </si>
  <si>
    <t>66788</t>
  </si>
  <si>
    <t>66789</t>
  </si>
  <si>
    <t>66790</t>
  </si>
  <si>
    <t>66791</t>
  </si>
  <si>
    <t>66792</t>
  </si>
  <si>
    <t>66793</t>
  </si>
  <si>
    <t>66795</t>
  </si>
  <si>
    <t>66796</t>
  </si>
  <si>
    <t>66797</t>
  </si>
  <si>
    <t>66798</t>
  </si>
  <si>
    <t>66799</t>
  </si>
  <si>
    <t>66800</t>
  </si>
  <si>
    <t>66801</t>
  </si>
  <si>
    <t>66802</t>
  </si>
  <si>
    <t>66803</t>
  </si>
  <si>
    <t>66804</t>
  </si>
  <si>
    <t>66805</t>
  </si>
  <si>
    <t>66806</t>
  </si>
  <si>
    <t>66807</t>
  </si>
  <si>
    <t>66808</t>
  </si>
  <si>
    <t>66809</t>
  </si>
  <si>
    <t>66810</t>
  </si>
  <si>
    <t>66811</t>
  </si>
  <si>
    <t>66812</t>
  </si>
  <si>
    <t>66813</t>
  </si>
  <si>
    <t>66814</t>
  </si>
  <si>
    <t>66815</t>
  </si>
  <si>
    <t>66816</t>
  </si>
  <si>
    <t>66816A</t>
  </si>
  <si>
    <t>66817</t>
  </si>
  <si>
    <t>66819</t>
  </si>
  <si>
    <t>66821</t>
  </si>
  <si>
    <t>66822</t>
  </si>
  <si>
    <t>66823</t>
  </si>
  <si>
    <t>66824</t>
  </si>
  <si>
    <t>66825</t>
  </si>
  <si>
    <t>66825/CO</t>
  </si>
  <si>
    <t>66826</t>
  </si>
  <si>
    <t>66827</t>
  </si>
  <si>
    <t>66828</t>
  </si>
  <si>
    <t>66829</t>
  </si>
  <si>
    <t>66830</t>
  </si>
  <si>
    <t>66832</t>
  </si>
  <si>
    <t>66833</t>
  </si>
  <si>
    <t>66834</t>
  </si>
  <si>
    <t>66835</t>
  </si>
  <si>
    <t>66838</t>
  </si>
  <si>
    <t>66840</t>
  </si>
  <si>
    <t>66841</t>
  </si>
  <si>
    <t>66841/CO</t>
  </si>
  <si>
    <t>66842</t>
  </si>
  <si>
    <t>66842A</t>
  </si>
  <si>
    <t>66843</t>
  </si>
  <si>
    <t>66843/CO</t>
  </si>
  <si>
    <t>66844</t>
  </si>
  <si>
    <t>66844A</t>
  </si>
  <si>
    <t>66845</t>
  </si>
  <si>
    <t>66846</t>
  </si>
  <si>
    <t>66847</t>
  </si>
  <si>
    <t>66848</t>
  </si>
  <si>
    <t>66849</t>
  </si>
  <si>
    <t>66850</t>
  </si>
  <si>
    <t>66852</t>
  </si>
  <si>
    <t>66854</t>
  </si>
  <si>
    <t>66855</t>
  </si>
  <si>
    <t>66856</t>
  </si>
  <si>
    <t>66857</t>
  </si>
  <si>
    <t>66858</t>
  </si>
  <si>
    <t>66859</t>
  </si>
  <si>
    <t>66860</t>
  </si>
  <si>
    <t>66861</t>
  </si>
  <si>
    <t>66862</t>
  </si>
  <si>
    <t>66863</t>
  </si>
  <si>
    <t>66864</t>
  </si>
  <si>
    <t>66865</t>
  </si>
  <si>
    <t>66869</t>
  </si>
  <si>
    <t>66870</t>
  </si>
  <si>
    <t>66871</t>
  </si>
  <si>
    <t>66872</t>
  </si>
  <si>
    <t>66873</t>
  </si>
  <si>
    <t>66873/CO</t>
  </si>
  <si>
    <t>66874</t>
  </si>
  <si>
    <t>66875</t>
  </si>
  <si>
    <t>66876</t>
  </si>
  <si>
    <t>66876/CO</t>
  </si>
  <si>
    <t>66877</t>
  </si>
  <si>
    <t>66877/CO</t>
  </si>
  <si>
    <t>66878</t>
  </si>
  <si>
    <t>66879</t>
  </si>
  <si>
    <t>66880</t>
  </si>
  <si>
    <t>66880A</t>
  </si>
  <si>
    <t>66880B</t>
  </si>
  <si>
    <t>66880C</t>
  </si>
  <si>
    <t>66880D</t>
  </si>
  <si>
    <t>66881</t>
  </si>
  <si>
    <t>66885</t>
  </si>
  <si>
    <t>66886</t>
  </si>
  <si>
    <t>66889</t>
  </si>
  <si>
    <t>66890</t>
  </si>
  <si>
    <t>66891</t>
  </si>
  <si>
    <t>66892</t>
  </si>
  <si>
    <t>66893</t>
  </si>
  <si>
    <t>66894</t>
  </si>
  <si>
    <t>66895</t>
  </si>
  <si>
    <t>66896</t>
  </si>
  <si>
    <t>66897</t>
  </si>
  <si>
    <t>66898</t>
  </si>
  <si>
    <t>66899</t>
  </si>
  <si>
    <t>66900</t>
  </si>
  <si>
    <t>66901</t>
  </si>
  <si>
    <t>66901/A</t>
  </si>
  <si>
    <t>66901/CO</t>
  </si>
  <si>
    <t>66901A</t>
  </si>
  <si>
    <t>66901B</t>
  </si>
  <si>
    <t>66901C</t>
  </si>
  <si>
    <t>66902</t>
  </si>
  <si>
    <t>66903</t>
  </si>
  <si>
    <t>66904</t>
  </si>
  <si>
    <t>66905</t>
  </si>
  <si>
    <t>66906</t>
  </si>
  <si>
    <t>66907</t>
  </si>
  <si>
    <t>66909</t>
  </si>
  <si>
    <t>66911</t>
  </si>
  <si>
    <t>66913</t>
  </si>
  <si>
    <t>66914</t>
  </si>
  <si>
    <t>66915</t>
  </si>
  <si>
    <t>66915/CO</t>
  </si>
  <si>
    <t>66916</t>
  </si>
  <si>
    <t>66917</t>
  </si>
  <si>
    <t>66918</t>
  </si>
  <si>
    <t>66918/A</t>
  </si>
  <si>
    <t>66919</t>
  </si>
  <si>
    <t>66919A</t>
  </si>
  <si>
    <t>66919B</t>
  </si>
  <si>
    <t>66920</t>
  </si>
  <si>
    <t>66920B</t>
  </si>
  <si>
    <t>66921</t>
  </si>
  <si>
    <t>66922</t>
  </si>
  <si>
    <t>66923</t>
  </si>
  <si>
    <t>66924</t>
  </si>
  <si>
    <t>66925</t>
  </si>
  <si>
    <t>66926</t>
  </si>
  <si>
    <t>66927</t>
  </si>
  <si>
    <t>66928</t>
  </si>
  <si>
    <t>66929</t>
  </si>
  <si>
    <t>66929/CO</t>
  </si>
  <si>
    <t>66930</t>
  </si>
  <si>
    <t>66931</t>
  </si>
  <si>
    <t>66932</t>
  </si>
  <si>
    <t>66933</t>
  </si>
  <si>
    <t>66934</t>
  </si>
  <si>
    <t>66935</t>
  </si>
  <si>
    <t>66936</t>
  </si>
  <si>
    <t>66937</t>
  </si>
  <si>
    <t>66938</t>
  </si>
  <si>
    <t>66939</t>
  </si>
  <si>
    <t>66940</t>
  </si>
  <si>
    <t>66941</t>
  </si>
  <si>
    <t>66942</t>
  </si>
  <si>
    <t>66946</t>
  </si>
  <si>
    <t>66947</t>
  </si>
  <si>
    <t>66948</t>
  </si>
  <si>
    <t>66949</t>
  </si>
  <si>
    <t>66950</t>
  </si>
  <si>
    <t>66951</t>
  </si>
  <si>
    <t>66953</t>
  </si>
  <si>
    <t>66955</t>
  </si>
  <si>
    <t>66956</t>
  </si>
  <si>
    <t>66957</t>
  </si>
  <si>
    <t>66958</t>
  </si>
  <si>
    <t>66959</t>
  </si>
  <si>
    <t>66960</t>
  </si>
  <si>
    <t>66961/CO</t>
  </si>
  <si>
    <t>66962/CO</t>
  </si>
  <si>
    <t>66963</t>
  </si>
  <si>
    <t>66964/CO</t>
  </si>
  <si>
    <t>66965</t>
  </si>
  <si>
    <t>66966</t>
  </si>
  <si>
    <t>66966A</t>
  </si>
  <si>
    <t>66966B</t>
  </si>
  <si>
    <t>66967</t>
  </si>
  <si>
    <t>66967A</t>
  </si>
  <si>
    <t>66967B</t>
  </si>
  <si>
    <t>66967C</t>
  </si>
  <si>
    <t>66967D</t>
  </si>
  <si>
    <t>66967E</t>
  </si>
  <si>
    <t>66967F</t>
  </si>
  <si>
    <t>66967G</t>
  </si>
  <si>
    <t>66967H</t>
  </si>
  <si>
    <t>66967I</t>
  </si>
  <si>
    <t>66967J</t>
  </si>
  <si>
    <t>66967K</t>
  </si>
  <si>
    <t>66968</t>
  </si>
  <si>
    <t>66969</t>
  </si>
  <si>
    <t>66970</t>
  </si>
  <si>
    <t>66971</t>
  </si>
  <si>
    <t>66972</t>
  </si>
  <si>
    <t>66973</t>
  </si>
  <si>
    <t>66973A</t>
  </si>
  <si>
    <t>66974</t>
  </si>
  <si>
    <t>66975</t>
  </si>
  <si>
    <t>66976</t>
  </si>
  <si>
    <t>66977</t>
  </si>
  <si>
    <t>66978</t>
  </si>
  <si>
    <t>66978A</t>
  </si>
  <si>
    <t>66980</t>
  </si>
  <si>
    <t>66981</t>
  </si>
  <si>
    <t>66981A</t>
  </si>
  <si>
    <t>66981B</t>
  </si>
  <si>
    <t>66982</t>
  </si>
  <si>
    <t>66984</t>
  </si>
  <si>
    <t>66984/CO</t>
  </si>
  <si>
    <t>66985</t>
  </si>
  <si>
    <t>66985/CO</t>
  </si>
  <si>
    <t>66986</t>
  </si>
  <si>
    <t>66986/CO</t>
  </si>
  <si>
    <t>66987</t>
  </si>
  <si>
    <t>66987/CO</t>
  </si>
  <si>
    <t>66988</t>
  </si>
  <si>
    <t>66989</t>
  </si>
  <si>
    <t>66990</t>
  </si>
  <si>
    <t>66992</t>
  </si>
  <si>
    <t>66993</t>
  </si>
  <si>
    <t>66994</t>
  </si>
  <si>
    <t>66995</t>
  </si>
  <si>
    <t>66996</t>
  </si>
  <si>
    <t>66997</t>
  </si>
  <si>
    <t>66998</t>
  </si>
  <si>
    <t>66999</t>
  </si>
  <si>
    <t>67000</t>
  </si>
  <si>
    <t>67000A</t>
  </si>
  <si>
    <t>67000B</t>
  </si>
  <si>
    <t>67000C</t>
  </si>
  <si>
    <t>67002</t>
  </si>
  <si>
    <t>67003</t>
  </si>
  <si>
    <t>67004</t>
  </si>
  <si>
    <t>67005</t>
  </si>
  <si>
    <t>67005/CO</t>
  </si>
  <si>
    <t>67006</t>
  </si>
  <si>
    <t>67006/CO</t>
  </si>
  <si>
    <t>67007</t>
  </si>
  <si>
    <t>67007/CO</t>
  </si>
  <si>
    <t>67008</t>
  </si>
  <si>
    <t>67008/CO</t>
  </si>
  <si>
    <t>67009</t>
  </si>
  <si>
    <t>67009/CO</t>
  </si>
  <si>
    <t>67010</t>
  </si>
  <si>
    <t>67010/CO</t>
  </si>
  <si>
    <t>67011</t>
  </si>
  <si>
    <t>67011/CO</t>
  </si>
  <si>
    <t>67012</t>
  </si>
  <si>
    <t>67012/CO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</si>
  <si>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</si>
  <si>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</si>
  <si>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</si>
  <si>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</si>
  <si>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</si>
  <si>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</si>
  <si>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</si>
  <si>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</si>
  <si>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</si>
  <si>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</si>
  <si>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67022/CO</t>
  </si>
  <si>
    <t>67023</t>
  </si>
  <si>
    <t>67024</t>
  </si>
  <si>
    <t>67025</t>
  </si>
  <si>
    <t>67025/A</t>
  </si>
  <si>
    <t>67026</t>
  </si>
  <si>
    <t>67027</t>
  </si>
  <si>
    <t>67027A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</si>
  <si>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</si>
  <si>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</si>
  <si>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</si>
  <si>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</si>
  <si>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</si>
  <si>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</si>
  <si>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</si>
  <si>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</si>
  <si>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</si>
  <si>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</si>
  <si>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67037A</t>
  </si>
  <si>
    <t>67038</t>
  </si>
  <si>
    <t>67038A</t>
  </si>
  <si>
    <t>67040</t>
  </si>
  <si>
    <t>67041</t>
  </si>
  <si>
    <t>67042</t>
  </si>
  <si>
    <t>67043</t>
  </si>
  <si>
    <t>67044</t>
  </si>
  <si>
    <t>67044/A</t>
  </si>
  <si>
    <t>67044/B</t>
  </si>
  <si>
    <t>67045</t>
  </si>
  <si>
    <t>67046</t>
  </si>
  <si>
    <t>67047</t>
  </si>
  <si>
    <t>67048</t>
  </si>
  <si>
    <t>67049</t>
  </si>
  <si>
    <t>67050</t>
  </si>
  <si>
    <t>67051</t>
  </si>
  <si>
    <t>67053</t>
  </si>
  <si>
    <t>67054</t>
  </si>
  <si>
    <t>67055</t>
  </si>
  <si>
    <t>67055A</t>
  </si>
  <si>
    <t>67055B</t>
  </si>
  <si>
    <t>67055C</t>
  </si>
  <si>
    <t>67055D</t>
  </si>
  <si>
    <t>67055E</t>
  </si>
  <si>
    <t>67055F</t>
  </si>
  <si>
    <t>67055G</t>
  </si>
  <si>
    <t>67055H</t>
  </si>
  <si>
    <t>67055I</t>
  </si>
  <si>
    <t>67055J</t>
  </si>
  <si>
    <t>67055K</t>
  </si>
  <si>
    <t>67055L</t>
  </si>
  <si>
    <t>67055M</t>
  </si>
  <si>
    <t>67055N</t>
  </si>
  <si>
    <t>67055P</t>
  </si>
  <si>
    <t>67055Q</t>
  </si>
  <si>
    <t>67055R</t>
  </si>
  <si>
    <t>67055S</t>
  </si>
  <si>
    <t>67055T</t>
  </si>
  <si>
    <t>67055U</t>
  </si>
  <si>
    <t>67055V</t>
  </si>
  <si>
    <t>67056</t>
  </si>
  <si>
    <t>67057</t>
  </si>
  <si>
    <t>67058</t>
  </si>
  <si>
    <t>67059</t>
  </si>
  <si>
    <t>67060</t>
  </si>
  <si>
    <t>67061</t>
  </si>
  <si>
    <t>67062</t>
  </si>
  <si>
    <t>67066</t>
  </si>
  <si>
    <t>67067</t>
  </si>
  <si>
    <t>67068</t>
  </si>
  <si>
    <t>67069</t>
  </si>
  <si>
    <t>67070</t>
  </si>
  <si>
    <t>67070A</t>
  </si>
  <si>
    <t>67070B</t>
  </si>
  <si>
    <t>67070C</t>
  </si>
  <si>
    <t>67070D</t>
  </si>
  <si>
    <t>67070E</t>
  </si>
  <si>
    <t>67071</t>
  </si>
  <si>
    <t>67072</t>
  </si>
  <si>
    <t>67073</t>
  </si>
  <si>
    <t>67074</t>
  </si>
  <si>
    <t>67075</t>
  </si>
  <si>
    <t>67076</t>
  </si>
  <si>
    <t>67076/CO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</si>
  <si>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</si>
  <si>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</si>
  <si>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</si>
  <si>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</si>
  <si>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</si>
  <si>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</si>
  <si>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</si>
  <si>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</si>
  <si>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67084A</t>
  </si>
  <si>
    <t>67085</t>
  </si>
  <si>
    <t>67085/CO</t>
  </si>
  <si>
    <t>67086</t>
  </si>
  <si>
    <t>67086/A</t>
  </si>
  <si>
    <t>67086/B</t>
  </si>
  <si>
    <t>67087</t>
  </si>
  <si>
    <t>67088</t>
  </si>
  <si>
    <t>67089</t>
  </si>
  <si>
    <t>67090</t>
  </si>
  <si>
    <t>67091</t>
  </si>
  <si>
    <t>67092</t>
  </si>
  <si>
    <t>67093</t>
  </si>
  <si>
    <t>67093A</t>
  </si>
  <si>
    <t>67093B</t>
  </si>
  <si>
    <t>67094</t>
  </si>
  <si>
    <t>67095</t>
  </si>
  <si>
    <t>67096</t>
  </si>
  <si>
    <t>67098</t>
  </si>
  <si>
    <t>67098/A</t>
  </si>
  <si>
    <t>67099</t>
  </si>
  <si>
    <t>67100</t>
  </si>
  <si>
    <t>67102</t>
  </si>
  <si>
    <t>67103</t>
  </si>
  <si>
    <t>67103A</t>
  </si>
  <si>
    <t>67103B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</si>
  <si>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</si>
  <si>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</si>
  <si>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</si>
  <si>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</si>
  <si>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</si>
  <si>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</si>
  <si>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</si>
  <si>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</si>
  <si>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</si>
  <si>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</si>
  <si>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67114</t>
  </si>
  <si>
    <t>67115</t>
  </si>
  <si>
    <t>67115/A</t>
  </si>
  <si>
    <t>67116</t>
  </si>
  <si>
    <t>67117</t>
  </si>
  <si>
    <t>67118</t>
  </si>
  <si>
    <t>67118A</t>
  </si>
  <si>
    <t>67119</t>
  </si>
  <si>
    <t>67119A</t>
  </si>
  <si>
    <t>67120</t>
  </si>
  <si>
    <t>67121</t>
  </si>
  <si>
    <t>67122</t>
  </si>
  <si>
    <t>67123</t>
  </si>
  <si>
    <t>67124</t>
  </si>
  <si>
    <t>67126</t>
  </si>
  <si>
    <t>67126/CO</t>
  </si>
  <si>
    <t>67127</t>
  </si>
  <si>
    <t>67128</t>
  </si>
  <si>
    <t>67129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</si>
  <si>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</si>
  <si>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</si>
  <si>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</si>
  <si>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</si>
  <si>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</si>
  <si>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</si>
  <si>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</si>
  <si>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</si>
  <si>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</si>
  <si>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</si>
  <si>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</si>
  <si>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67141A</t>
  </si>
  <si>
    <t>67141B</t>
  </si>
  <si>
    <t>67142</t>
  </si>
  <si>
    <t>67142A</t>
  </si>
  <si>
    <t>67143</t>
  </si>
  <si>
    <t>67144</t>
  </si>
  <si>
    <t>67145</t>
  </si>
  <si>
    <t>67146</t>
  </si>
  <si>
    <t>67147</t>
  </si>
  <si>
    <t>67148</t>
  </si>
  <si>
    <t>67150</t>
  </si>
  <si>
    <t>67151</t>
  </si>
  <si>
    <t>67152</t>
  </si>
  <si>
    <t>67152/CO</t>
  </si>
  <si>
    <t>67153</t>
  </si>
  <si>
    <t>67153/CO</t>
  </si>
  <si>
    <t>67154</t>
  </si>
  <si>
    <t>67154/CO</t>
  </si>
  <si>
    <t>67155</t>
  </si>
  <si>
    <t>67155/CO</t>
  </si>
  <si>
    <t>67156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</si>
  <si>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</si>
  <si>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</si>
  <si>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</si>
  <si>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</si>
  <si>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</si>
  <si>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</si>
  <si>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</si>
  <si>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</si>
  <si>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</si>
  <si>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</si>
  <si>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</si>
  <si>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</si>
  <si>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67171</t>
  </si>
  <si>
    <t>67172</t>
  </si>
  <si>
    <t>67173</t>
  </si>
  <si>
    <t>67173/CO</t>
  </si>
  <si>
    <t>67174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</si>
  <si>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</si>
  <si>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</si>
  <si>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</si>
  <si>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</si>
  <si>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</si>
  <si>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</si>
  <si>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</si>
  <si>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</si>
  <si>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</si>
  <si>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</si>
  <si>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</si>
  <si>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</si>
  <si>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</si>
  <si>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</si>
  <si>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</si>
  <si>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67189A</t>
  </si>
  <si>
    <t>67190</t>
  </si>
  <si>
    <t>67191</t>
  </si>
  <si>
    <t>67192</t>
  </si>
  <si>
    <t>67192/CO</t>
  </si>
  <si>
    <t>67193</t>
  </si>
  <si>
    <t>67193/CO</t>
  </si>
  <si>
    <t>67194</t>
  </si>
  <si>
    <t>67194A</t>
  </si>
  <si>
    <t>67195</t>
  </si>
  <si>
    <t>67196</t>
  </si>
  <si>
    <t>67197</t>
  </si>
  <si>
    <t>67198</t>
  </si>
  <si>
    <t>67198A</t>
  </si>
  <si>
    <t>67199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</si>
  <si>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</si>
  <si>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</si>
  <si>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</si>
  <si>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</si>
  <si>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</si>
  <si>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</si>
  <si>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</si>
  <si>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</si>
  <si>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</si>
  <si>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</si>
  <si>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</si>
  <si>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</si>
  <si>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</si>
  <si>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</si>
  <si>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</si>
  <si>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</si>
  <si>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</si>
  <si>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</si>
  <si>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</si>
  <si>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</si>
  <si>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</si>
  <si>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</si>
  <si>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</si>
  <si>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</si>
  <si>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</si>
  <si>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</si>
  <si>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</si>
  <si>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</si>
  <si>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</si>
  <si>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</si>
  <si>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</si>
  <si>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</si>
  <si>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</si>
  <si>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</si>
  <si>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</si>
  <si>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</si>
  <si>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</si>
  <si>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</si>
  <si>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</si>
  <si>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</si>
  <si>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67240/CO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</si>
  <si>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</si>
  <si>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</si>
  <si>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</si>
  <si>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</si>
  <si>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</si>
  <si>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</si>
  <si>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</si>
  <si>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</si>
  <si>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</si>
  <si>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</si>
  <si>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</si>
  <si>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</si>
  <si>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67252A</t>
  </si>
  <si>
    <t>67252B</t>
  </si>
  <si>
    <t>67253</t>
  </si>
  <si>
    <t>67254</t>
  </si>
  <si>
    <t>67255</t>
  </si>
  <si>
    <t>67256</t>
  </si>
  <si>
    <t>67256/CO</t>
  </si>
  <si>
    <t>67257</t>
  </si>
  <si>
    <t>67257/CO</t>
  </si>
  <si>
    <t>67258</t>
  </si>
  <si>
    <t>67258/CO</t>
  </si>
  <si>
    <t>67259</t>
  </si>
  <si>
    <t>67259/CO</t>
  </si>
  <si>
    <t>67260</t>
  </si>
  <si>
    <t>67262</t>
  </si>
  <si>
    <t>67263</t>
  </si>
  <si>
    <t>67264</t>
  </si>
  <si>
    <t>67265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</si>
  <si>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</si>
  <si>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</si>
  <si>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</si>
  <si>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</si>
  <si>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</si>
  <si>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</si>
  <si>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</si>
  <si>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</si>
  <si>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</si>
  <si>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67275/CO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</si>
  <si>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</si>
  <si>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</si>
  <si>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</si>
  <si>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</si>
  <si>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</si>
  <si>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</si>
  <si>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</si>
  <si>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</si>
  <si>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</si>
  <si>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</si>
  <si>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</si>
  <si>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</si>
  <si>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</si>
  <si>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</si>
  <si>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</si>
  <si>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</si>
  <si>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67293</t>
  </si>
  <si>
    <t>67295</t>
  </si>
  <si>
    <t>67296</t>
  </si>
  <si>
    <t>67297</t>
  </si>
  <si>
    <t>67298</t>
  </si>
  <si>
    <t>67299</t>
  </si>
  <si>
    <t>67300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</si>
  <si>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</si>
  <si>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</si>
  <si>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</si>
  <si>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</si>
  <si>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</si>
  <si>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</si>
  <si>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</si>
  <si>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</si>
  <si>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</si>
  <si>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</si>
  <si>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67312</t>
  </si>
  <si>
    <t>67313</t>
  </si>
  <si>
    <t>67314</t>
  </si>
  <si>
    <t>67314/CO</t>
  </si>
  <si>
    <t>67315</t>
  </si>
  <si>
    <t>67317</t>
  </si>
  <si>
    <t>67318</t>
  </si>
  <si>
    <t>67318/CO</t>
  </si>
  <si>
    <t>67321</t>
  </si>
  <si>
    <t>67322</t>
  </si>
  <si>
    <t>67323</t>
  </si>
  <si>
    <t>67324</t>
  </si>
  <si>
    <t>67325</t>
  </si>
  <si>
    <t>67326</t>
  </si>
  <si>
    <t>67326A</t>
  </si>
  <si>
    <t>67326B</t>
  </si>
  <si>
    <t>67326C</t>
  </si>
  <si>
    <t>67327</t>
  </si>
  <si>
    <t>67328</t>
  </si>
  <si>
    <t>67329</t>
  </si>
  <si>
    <t>67333</t>
  </si>
  <si>
    <t>67335</t>
  </si>
  <si>
    <t>67336</t>
  </si>
  <si>
    <t>67337</t>
  </si>
  <si>
    <t>67338</t>
  </si>
  <si>
    <t>67338A</t>
  </si>
  <si>
    <t>67339</t>
  </si>
  <si>
    <t>67340</t>
  </si>
  <si>
    <t>67341</t>
  </si>
  <si>
    <t>67343</t>
  </si>
  <si>
    <t>67344</t>
  </si>
  <si>
    <t>67345</t>
  </si>
  <si>
    <t>67345/CO</t>
  </si>
  <si>
    <t>67346</t>
  </si>
  <si>
    <t>67347</t>
  </si>
  <si>
    <t>67348</t>
  </si>
  <si>
    <t>67349</t>
  </si>
  <si>
    <t>67351</t>
  </si>
  <si>
    <t>67352</t>
  </si>
  <si>
    <t>67353</t>
  </si>
  <si>
    <t>67354</t>
  </si>
  <si>
    <t>67355</t>
  </si>
  <si>
    <t>67356</t>
  </si>
  <si>
    <t>67357</t>
  </si>
  <si>
    <t>67358</t>
  </si>
  <si>
    <t>67359</t>
  </si>
  <si>
    <t>67360</t>
  </si>
  <si>
    <t>67361</t>
  </si>
  <si>
    <t>67362</t>
  </si>
  <si>
    <t>67363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</si>
  <si>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</si>
  <si>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</si>
  <si>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</si>
  <si>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</si>
  <si>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</si>
  <si>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</si>
  <si>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</si>
  <si>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</si>
  <si>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</si>
  <si>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</si>
  <si>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</si>
  <si>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</si>
  <si>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</si>
  <si>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</si>
  <si>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</si>
  <si>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</si>
  <si>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67382</t>
  </si>
  <si>
    <t>67382/A</t>
  </si>
  <si>
    <t>67383</t>
  </si>
  <si>
    <t>67384</t>
  </si>
  <si>
    <t>67385</t>
  </si>
  <si>
    <t>67386</t>
  </si>
  <si>
    <t>67387</t>
  </si>
  <si>
    <t>67389</t>
  </si>
  <si>
    <t>67390</t>
  </si>
  <si>
    <t>67391</t>
  </si>
  <si>
    <t>67392</t>
  </si>
  <si>
    <t>67393</t>
  </si>
  <si>
    <t>67394</t>
  </si>
  <si>
    <t>67396</t>
  </si>
  <si>
    <t>67396/A</t>
  </si>
  <si>
    <t>67396/B</t>
  </si>
  <si>
    <t>67397</t>
  </si>
  <si>
    <t>67397A</t>
  </si>
  <si>
    <t>67397B</t>
  </si>
  <si>
    <t>67397C</t>
  </si>
  <si>
    <t>67398</t>
  </si>
  <si>
    <t>67399</t>
  </si>
  <si>
    <t>67400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</si>
  <si>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</si>
  <si>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</si>
  <si>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</si>
  <si>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</si>
  <si>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</si>
  <si>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</si>
  <si>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</si>
  <si>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</si>
  <si>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67408/CO</t>
  </si>
  <si>
    <t>67409</t>
  </si>
  <si>
    <t>67409A</t>
  </si>
  <si>
    <t>67409B</t>
  </si>
  <si>
    <t>67410</t>
  </si>
  <si>
    <t>67410A</t>
  </si>
  <si>
    <t>67410B</t>
  </si>
  <si>
    <t>67410C</t>
  </si>
  <si>
    <t>67410D</t>
  </si>
  <si>
    <t>67411</t>
  </si>
  <si>
    <t>67412</t>
  </si>
  <si>
    <t>67413</t>
  </si>
  <si>
    <t>67415</t>
  </si>
  <si>
    <t>67416</t>
  </si>
  <si>
    <t>67417</t>
  </si>
  <si>
    <t>67418</t>
  </si>
  <si>
    <t>67419</t>
  </si>
  <si>
    <t>67420</t>
  </si>
  <si>
    <t>67421</t>
  </si>
  <si>
    <t>67422</t>
  </si>
  <si>
    <t>67423</t>
  </si>
  <si>
    <t>67424</t>
  </si>
  <si>
    <t>67424/CO</t>
  </si>
  <si>
    <t>67425</t>
  </si>
  <si>
    <t>67435</t>
  </si>
  <si>
    <t>67435/CO</t>
  </si>
  <si>
    <t>67436</t>
  </si>
  <si>
    <t>67436A</t>
  </si>
  <si>
    <t>67437</t>
  </si>
  <si>
    <t>67437/CO</t>
  </si>
  <si>
    <t>67438</t>
  </si>
  <si>
    <t>67439</t>
  </si>
  <si>
    <t>67440</t>
  </si>
  <si>
    <t>67441</t>
  </si>
  <si>
    <t>67442</t>
  </si>
  <si>
    <t>67443</t>
  </si>
  <si>
    <t>67444</t>
  </si>
  <si>
    <t>67445</t>
  </si>
  <si>
    <t>67446</t>
  </si>
  <si>
    <t>67446A</t>
  </si>
  <si>
    <t>67446B</t>
  </si>
  <si>
    <t>67446C</t>
  </si>
  <si>
    <t>67446D</t>
  </si>
  <si>
    <t>67446E</t>
  </si>
  <si>
    <t>67447</t>
  </si>
  <si>
    <t>67447A</t>
  </si>
  <si>
    <t>67447B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</si>
  <si>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</si>
  <si>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</si>
  <si>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</si>
  <si>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</si>
  <si>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</si>
  <si>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</si>
  <si>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</si>
  <si>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</si>
  <si>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</si>
  <si>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67457</t>
  </si>
  <si>
    <t>67458</t>
  </si>
  <si>
    <t>67458A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</si>
  <si>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</si>
  <si>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</si>
  <si>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</si>
  <si>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</si>
  <si>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</si>
  <si>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</si>
  <si>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</si>
  <si>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</si>
  <si>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</si>
  <si>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67469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</si>
  <si>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</si>
  <si>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</si>
  <si>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</si>
  <si>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</si>
  <si>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</si>
  <si>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</si>
  <si>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</si>
  <si>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</si>
  <si>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</si>
  <si>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</si>
  <si>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</si>
  <si>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</si>
  <si>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</si>
  <si>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</si>
  <si>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</si>
  <si>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</si>
  <si>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</si>
  <si>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</si>
  <si>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67498</t>
  </si>
  <si>
    <t>67499</t>
  </si>
  <si>
    <t>67500</t>
  </si>
  <si>
    <t>67501</t>
  </si>
  <si>
    <t>67502</t>
  </si>
  <si>
    <t>67503</t>
  </si>
  <si>
    <t>67504</t>
  </si>
  <si>
    <t>67506</t>
  </si>
  <si>
    <t>67507</t>
  </si>
  <si>
    <t>67508</t>
  </si>
  <si>
    <t>67510</t>
  </si>
  <si>
    <t>67511</t>
  </si>
  <si>
    <t>67514</t>
  </si>
  <si>
    <t>67515</t>
  </si>
  <si>
    <t>67516</t>
  </si>
  <si>
    <t>67517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</si>
  <si>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</si>
  <si>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</si>
  <si>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</si>
  <si>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</si>
  <si>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</si>
  <si>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</si>
  <si>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</si>
  <si>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</si>
  <si>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</si>
  <si>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</si>
  <si>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</si>
  <si>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</si>
  <si>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</si>
  <si>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</si>
  <si>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</si>
  <si>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67533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</si>
  <si>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</si>
  <si>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</si>
  <si>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</si>
  <si>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</si>
  <si>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</si>
  <si>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</si>
  <si>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</si>
  <si>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</si>
  <si>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</si>
  <si>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</si>
  <si>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</si>
  <si>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</si>
  <si>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</si>
  <si>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</si>
  <si>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</si>
  <si>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67549</t>
  </si>
  <si>
    <t>67549/CO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</si>
  <si>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</si>
  <si>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</si>
  <si>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</si>
  <si>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</si>
  <si>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</si>
  <si>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</si>
  <si>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</si>
  <si>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</si>
  <si>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</si>
  <si>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67560</t>
  </si>
  <si>
    <t>67561</t>
  </si>
  <si>
    <t>67562</t>
  </si>
  <si>
    <t>67563</t>
  </si>
  <si>
    <t>67564</t>
  </si>
  <si>
    <t>67565</t>
  </si>
  <si>
    <t>67565/CO</t>
  </si>
  <si>
    <t>67566</t>
  </si>
  <si>
    <t>67566/CO</t>
  </si>
  <si>
    <t>67567</t>
  </si>
  <si>
    <t>67568</t>
  </si>
  <si>
    <t>67569</t>
  </si>
  <si>
    <t>67570</t>
  </si>
  <si>
    <t>67571</t>
  </si>
  <si>
    <t>67572</t>
  </si>
  <si>
    <t>67573</t>
  </si>
  <si>
    <t>67573A</t>
  </si>
  <si>
    <t>67573B</t>
  </si>
  <si>
    <t>67574</t>
  </si>
  <si>
    <t>67575</t>
  </si>
  <si>
    <t>67575A</t>
  </si>
  <si>
    <t>67576</t>
  </si>
  <si>
    <t>67576A</t>
  </si>
  <si>
    <t>67576B</t>
  </si>
  <si>
    <t>67576C</t>
  </si>
  <si>
    <t>67578</t>
  </si>
  <si>
    <t>67579</t>
  </si>
  <si>
    <t>67580</t>
  </si>
  <si>
    <t>67580A</t>
  </si>
  <si>
    <t>67581</t>
  </si>
  <si>
    <t>67582</t>
  </si>
  <si>
    <t>67582/CO</t>
  </si>
  <si>
    <t>67583</t>
  </si>
  <si>
    <t>67583A</t>
  </si>
  <si>
    <t>67584</t>
  </si>
  <si>
    <t>67585</t>
  </si>
  <si>
    <t>67586</t>
  </si>
  <si>
    <t>67586A</t>
  </si>
  <si>
    <t>67586B</t>
  </si>
  <si>
    <t>67586C</t>
  </si>
  <si>
    <t>67587</t>
  </si>
  <si>
    <t>67587A</t>
  </si>
  <si>
    <t>67588</t>
  </si>
  <si>
    <t>67588A</t>
  </si>
  <si>
    <t>67589</t>
  </si>
  <si>
    <t>67589A</t>
  </si>
  <si>
    <t>67589B</t>
  </si>
  <si>
    <t>67590</t>
  </si>
  <si>
    <t>67591</t>
  </si>
  <si>
    <t>67592</t>
  </si>
  <si>
    <t>67592A</t>
  </si>
  <si>
    <t>67593</t>
  </si>
  <si>
    <t>67595</t>
  </si>
  <si>
    <t>67595A</t>
  </si>
  <si>
    <t>67596</t>
  </si>
  <si>
    <t>67597</t>
  </si>
  <si>
    <t>67598</t>
  </si>
  <si>
    <t>67599</t>
  </si>
  <si>
    <t>67600</t>
  </si>
  <si>
    <t>67601</t>
  </si>
  <si>
    <t>67602</t>
  </si>
  <si>
    <t>67603</t>
  </si>
  <si>
    <t>67604</t>
  </si>
  <si>
    <t>67605</t>
  </si>
  <si>
    <t>67606</t>
  </si>
  <si>
    <t>67610</t>
  </si>
  <si>
    <t>67611</t>
  </si>
  <si>
    <t>67612</t>
  </si>
  <si>
    <t>67613</t>
  </si>
  <si>
    <t>67614</t>
  </si>
  <si>
    <t>67615</t>
  </si>
  <si>
    <t>67616</t>
  </si>
  <si>
    <t>67617</t>
  </si>
  <si>
    <t>67618</t>
  </si>
  <si>
    <t>67619</t>
  </si>
  <si>
    <t>67620</t>
  </si>
  <si>
    <t>67621</t>
  </si>
  <si>
    <t>67622</t>
  </si>
  <si>
    <t>67623</t>
  </si>
  <si>
    <t>67624</t>
  </si>
  <si>
    <t>67625</t>
  </si>
  <si>
    <t>67626</t>
  </si>
  <si>
    <t>67627</t>
  </si>
  <si>
    <t>67628</t>
  </si>
  <si>
    <t>67629</t>
  </si>
  <si>
    <t>67630</t>
  </si>
  <si>
    <t>67631</t>
  </si>
  <si>
    <t>67632</t>
  </si>
  <si>
    <t>67633</t>
  </si>
  <si>
    <t>67634</t>
  </si>
  <si>
    <t>67635</t>
  </si>
  <si>
    <t>67636</t>
  </si>
  <si>
    <t>67636A</t>
  </si>
  <si>
    <t>67637</t>
  </si>
  <si>
    <t>67638</t>
  </si>
  <si>
    <t>67638A</t>
  </si>
  <si>
    <t>67639</t>
  </si>
  <si>
    <t>67640</t>
  </si>
  <si>
    <t>67641</t>
  </si>
  <si>
    <t>67642</t>
  </si>
  <si>
    <t>67643</t>
  </si>
  <si>
    <t>67644</t>
  </si>
  <si>
    <t>67645</t>
  </si>
  <si>
    <t>67646</t>
  </si>
  <si>
    <t>67647</t>
  </si>
  <si>
    <t>67648</t>
  </si>
  <si>
    <t>67649</t>
  </si>
  <si>
    <t>67650</t>
  </si>
  <si>
    <t>67651</t>
  </si>
  <si>
    <t>67652</t>
  </si>
  <si>
    <t>67653</t>
  </si>
  <si>
    <t>67654</t>
  </si>
  <si>
    <t>67655</t>
  </si>
  <si>
    <t>67656</t>
  </si>
  <si>
    <t>67657</t>
  </si>
  <si>
    <t>67657A</t>
  </si>
  <si>
    <t>67658</t>
  </si>
  <si>
    <t>67659</t>
  </si>
  <si>
    <t>67660</t>
  </si>
  <si>
    <t>67661</t>
  </si>
  <si>
    <t>67662</t>
  </si>
  <si>
    <t>67664</t>
  </si>
  <si>
    <t>67665</t>
  </si>
  <si>
    <t>67666</t>
  </si>
  <si>
    <t>67666A</t>
  </si>
  <si>
    <t>67666B</t>
  </si>
  <si>
    <t>67666C</t>
  </si>
  <si>
    <t>67667</t>
  </si>
  <si>
    <t>67668</t>
  </si>
  <si>
    <t>67668/CO</t>
  </si>
  <si>
    <t>67669</t>
  </si>
  <si>
    <t>67670</t>
  </si>
  <si>
    <t>67671</t>
  </si>
  <si>
    <t>67672</t>
  </si>
  <si>
    <t>67673</t>
  </si>
  <si>
    <t>67674</t>
  </si>
  <si>
    <t>67675</t>
  </si>
  <si>
    <t>67676</t>
  </si>
  <si>
    <t>67677</t>
  </si>
  <si>
    <t>67678</t>
  </si>
  <si>
    <t>67679</t>
  </si>
  <si>
    <t>67681</t>
  </si>
  <si>
    <t>67682</t>
  </si>
  <si>
    <t>67683</t>
  </si>
  <si>
    <t>67684</t>
  </si>
  <si>
    <t>67685</t>
  </si>
  <si>
    <t>67686</t>
  </si>
  <si>
    <t>67687</t>
  </si>
  <si>
    <t>67688</t>
  </si>
  <si>
    <t>67689</t>
  </si>
  <si>
    <t>67690</t>
  </si>
  <si>
    <t>67691</t>
  </si>
  <si>
    <t>67692</t>
  </si>
  <si>
    <t>67693</t>
  </si>
  <si>
    <t>67694</t>
  </si>
  <si>
    <t>67695</t>
  </si>
  <si>
    <t>67696</t>
  </si>
  <si>
    <t>67697</t>
  </si>
  <si>
    <t>67698</t>
  </si>
  <si>
    <t>67699</t>
  </si>
  <si>
    <t>67700</t>
  </si>
  <si>
    <t>67701</t>
  </si>
  <si>
    <t>67702</t>
  </si>
  <si>
    <t>67703</t>
  </si>
  <si>
    <t>67703/CO</t>
  </si>
  <si>
    <t>67704</t>
  </si>
  <si>
    <t>67705</t>
  </si>
  <si>
    <t>67706</t>
  </si>
  <si>
    <t>67707</t>
  </si>
  <si>
    <t>67708</t>
  </si>
  <si>
    <t>67709</t>
  </si>
  <si>
    <t>67710</t>
  </si>
  <si>
    <t>67711</t>
  </si>
  <si>
    <t>67712</t>
  </si>
  <si>
    <t>67713</t>
  </si>
  <si>
    <t>67714</t>
  </si>
  <si>
    <t>67715</t>
  </si>
  <si>
    <t>67716</t>
  </si>
  <si>
    <t>67717</t>
  </si>
  <si>
    <t>67718</t>
  </si>
  <si>
    <t>67723</t>
  </si>
  <si>
    <t>67724</t>
  </si>
  <si>
    <t>67725</t>
  </si>
  <si>
    <t>67726</t>
  </si>
  <si>
    <t>67727</t>
  </si>
  <si>
    <t>67728</t>
  </si>
  <si>
    <t>67729</t>
  </si>
  <si>
    <t>67730</t>
  </si>
  <si>
    <t>67732</t>
  </si>
  <si>
    <t>67733</t>
  </si>
  <si>
    <t>67733/CO</t>
  </si>
  <si>
    <t>67735</t>
  </si>
  <si>
    <t>67736</t>
  </si>
  <si>
    <t>67736A</t>
  </si>
  <si>
    <t>67737</t>
  </si>
  <si>
    <t>67737A</t>
  </si>
  <si>
    <t>67738</t>
  </si>
  <si>
    <t>67740</t>
  </si>
  <si>
    <t>67741</t>
  </si>
  <si>
    <t>67742</t>
  </si>
  <si>
    <t>67743</t>
  </si>
  <si>
    <t>67744</t>
  </si>
  <si>
    <t>67745</t>
  </si>
  <si>
    <t>67745A</t>
  </si>
  <si>
    <t>67745B</t>
  </si>
  <si>
    <t>67746</t>
  </si>
  <si>
    <t>67747</t>
  </si>
  <si>
    <t>67747/CO</t>
  </si>
  <si>
    <t>67748</t>
  </si>
  <si>
    <t>67749</t>
  </si>
  <si>
    <t>67750</t>
  </si>
  <si>
    <t>67751</t>
  </si>
  <si>
    <t>67752</t>
  </si>
  <si>
    <t>67753</t>
  </si>
  <si>
    <t>67754</t>
  </si>
  <si>
    <t>67755</t>
  </si>
  <si>
    <t>67756</t>
  </si>
  <si>
    <t>67757</t>
  </si>
  <si>
    <t>67758</t>
  </si>
  <si>
    <t>67764</t>
  </si>
  <si>
    <t>67764/CO</t>
  </si>
  <si>
    <t>67766</t>
  </si>
  <si>
    <t>67767</t>
  </si>
  <si>
    <t>67768</t>
  </si>
  <si>
    <t>67769</t>
  </si>
  <si>
    <t>67770</t>
  </si>
  <si>
    <t>67771</t>
  </si>
  <si>
    <t>67772</t>
  </si>
  <si>
    <t>67773</t>
  </si>
  <si>
    <t>67775</t>
  </si>
  <si>
    <t>67776</t>
  </si>
  <si>
    <t>67777</t>
  </si>
  <si>
    <t>67778</t>
  </si>
  <si>
    <t>67779</t>
  </si>
  <si>
    <t>67780</t>
  </si>
  <si>
    <t>67781</t>
  </si>
  <si>
    <t>67782</t>
  </si>
  <si>
    <t>67783</t>
  </si>
  <si>
    <t>67784</t>
  </si>
  <si>
    <t>67785</t>
  </si>
  <si>
    <t>67786</t>
  </si>
  <si>
    <t>67787</t>
  </si>
  <si>
    <t>67788</t>
  </si>
  <si>
    <t>67789</t>
  </si>
  <si>
    <t>67790</t>
  </si>
  <si>
    <t>67791/A</t>
  </si>
  <si>
    <t>67793/A</t>
  </si>
  <si>
    <t>67795/A</t>
  </si>
  <si>
    <t>67799/A</t>
  </si>
  <si>
    <t>67800</t>
  </si>
  <si>
    <t>67803</t>
  </si>
  <si>
    <t>67804</t>
  </si>
  <si>
    <t>67805</t>
  </si>
  <si>
    <t>67806</t>
  </si>
  <si>
    <t>67807</t>
  </si>
  <si>
    <t>67808</t>
  </si>
  <si>
    <t>67809</t>
  </si>
  <si>
    <t>67810</t>
  </si>
  <si>
    <t>67811</t>
  </si>
  <si>
    <t>67811/A</t>
  </si>
  <si>
    <t>67812</t>
  </si>
  <si>
    <t>67812/A</t>
  </si>
  <si>
    <t>67813</t>
  </si>
  <si>
    <t>67817</t>
  </si>
  <si>
    <t>67818</t>
  </si>
  <si>
    <t>67819</t>
  </si>
  <si>
    <t>67820</t>
  </si>
  <si>
    <t>67821</t>
  </si>
  <si>
    <t>67822</t>
  </si>
  <si>
    <t>67824</t>
  </si>
  <si>
    <t>67825</t>
  </si>
  <si>
    <t>67826</t>
  </si>
  <si>
    <t>67827</t>
  </si>
  <si>
    <t>67828</t>
  </si>
  <si>
    <t>67829</t>
  </si>
  <si>
    <t>67830</t>
  </si>
  <si>
    <t>67831</t>
  </si>
  <si>
    <t>67832</t>
  </si>
  <si>
    <t>67832A</t>
  </si>
  <si>
    <t>67833</t>
  </si>
  <si>
    <t>67837</t>
  </si>
  <si>
    <t>67837/CO</t>
  </si>
  <si>
    <t>67838</t>
  </si>
  <si>
    <t>67839</t>
  </si>
  <si>
    <t>67840</t>
  </si>
  <si>
    <t>67840A</t>
  </si>
  <si>
    <t>67840B</t>
  </si>
  <si>
    <t>67840C</t>
  </si>
  <si>
    <t>67841</t>
  </si>
  <si>
    <t>67841A</t>
  </si>
  <si>
    <t>67841B</t>
  </si>
  <si>
    <t>67841C</t>
  </si>
  <si>
    <t>67841D</t>
  </si>
  <si>
    <t>67842</t>
  </si>
  <si>
    <t>67843</t>
  </si>
  <si>
    <t>67844</t>
  </si>
  <si>
    <t>67845</t>
  </si>
  <si>
    <t>67846</t>
  </si>
  <si>
    <t>67847</t>
  </si>
  <si>
    <t>67848</t>
  </si>
  <si>
    <t>67849</t>
  </si>
  <si>
    <t>67850</t>
  </si>
  <si>
    <t>67851</t>
  </si>
  <si>
    <t>67852</t>
  </si>
  <si>
    <t>67853</t>
  </si>
  <si>
    <t>67854</t>
  </si>
  <si>
    <t>67855</t>
  </si>
  <si>
    <t>67856</t>
  </si>
  <si>
    <t>67857</t>
  </si>
  <si>
    <t>67858</t>
  </si>
  <si>
    <t>67859</t>
  </si>
  <si>
    <t>67860</t>
  </si>
  <si>
    <t>67861</t>
  </si>
  <si>
    <t>67862</t>
  </si>
  <si>
    <t>67865</t>
  </si>
  <si>
    <t>67866</t>
  </si>
  <si>
    <t>67867</t>
  </si>
  <si>
    <t>67868</t>
  </si>
  <si>
    <t>67869</t>
  </si>
  <si>
    <t>67870</t>
  </si>
  <si>
    <t>67871</t>
  </si>
  <si>
    <t>67872</t>
  </si>
  <si>
    <t>67873</t>
  </si>
  <si>
    <t>67874</t>
  </si>
  <si>
    <t>67875</t>
  </si>
  <si>
    <t>67876</t>
  </si>
  <si>
    <t>67877</t>
  </si>
  <si>
    <t>67878</t>
  </si>
  <si>
    <t>67879</t>
  </si>
  <si>
    <t>67880</t>
  </si>
  <si>
    <t>67881</t>
  </si>
  <si>
    <t>67882</t>
  </si>
  <si>
    <t>67883</t>
  </si>
  <si>
    <t>67884</t>
  </si>
  <si>
    <t>67885</t>
  </si>
  <si>
    <t>67886</t>
  </si>
  <si>
    <t>67887</t>
  </si>
  <si>
    <t>67888</t>
  </si>
  <si>
    <t>67889</t>
  </si>
  <si>
    <t>67890</t>
  </si>
  <si>
    <t>67891</t>
  </si>
  <si>
    <t>67892</t>
  </si>
  <si>
    <t>67893</t>
  </si>
  <si>
    <t>67894</t>
  </si>
  <si>
    <t>67895</t>
  </si>
  <si>
    <t>67896</t>
  </si>
  <si>
    <t>67897</t>
  </si>
  <si>
    <t>67898</t>
  </si>
  <si>
    <t>67899</t>
  </si>
  <si>
    <t>67900</t>
  </si>
  <si>
    <t>67901</t>
  </si>
  <si>
    <t>67902</t>
  </si>
  <si>
    <t>67903</t>
  </si>
  <si>
    <t>67904</t>
  </si>
  <si>
    <t>67905</t>
  </si>
  <si>
    <t>67906</t>
  </si>
  <si>
    <t>67907</t>
  </si>
  <si>
    <t>67908</t>
  </si>
  <si>
    <t>67909</t>
  </si>
  <si>
    <t>67910</t>
  </si>
  <si>
    <t>67911</t>
  </si>
  <si>
    <t>67912</t>
  </si>
  <si>
    <t>67913</t>
  </si>
  <si>
    <t>67914</t>
  </si>
  <si>
    <t>67916</t>
  </si>
  <si>
    <t>67917</t>
  </si>
  <si>
    <t>67918</t>
  </si>
  <si>
    <t>67919</t>
  </si>
  <si>
    <t>67922</t>
  </si>
  <si>
    <t>67923</t>
  </si>
  <si>
    <t>67924</t>
  </si>
  <si>
    <t>67925</t>
  </si>
  <si>
    <t>67926</t>
  </si>
  <si>
    <t>67927</t>
  </si>
  <si>
    <t>67928</t>
  </si>
  <si>
    <t>67929</t>
  </si>
  <si>
    <t>67930</t>
  </si>
  <si>
    <t>67931</t>
  </si>
  <si>
    <t>67932</t>
  </si>
  <si>
    <t>67933</t>
  </si>
  <si>
    <t>67934</t>
  </si>
  <si>
    <t>67934A</t>
  </si>
  <si>
    <t>67936</t>
  </si>
  <si>
    <t>67936A</t>
  </si>
  <si>
    <t>67937</t>
  </si>
  <si>
    <t>67938</t>
  </si>
  <si>
    <t>67939</t>
  </si>
  <si>
    <t>67940</t>
  </si>
  <si>
    <t>67941</t>
  </si>
  <si>
    <t>67941A</t>
  </si>
  <si>
    <t>67942</t>
  </si>
  <si>
    <t>67943</t>
  </si>
  <si>
    <t>67944</t>
  </si>
  <si>
    <t>67945</t>
  </si>
  <si>
    <t>67946</t>
  </si>
  <si>
    <t>67947</t>
  </si>
  <si>
    <t>67948</t>
  </si>
  <si>
    <t>67949</t>
  </si>
  <si>
    <t>67950</t>
  </si>
  <si>
    <t>67951</t>
  </si>
  <si>
    <t>67952</t>
  </si>
  <si>
    <t>67953</t>
  </si>
  <si>
    <t>67954</t>
  </si>
  <si>
    <t>67955</t>
  </si>
  <si>
    <t>67956</t>
  </si>
  <si>
    <t>67957</t>
  </si>
  <si>
    <t>67957A</t>
  </si>
  <si>
    <t>67957B</t>
  </si>
  <si>
    <t>67958</t>
  </si>
  <si>
    <t>67958A</t>
  </si>
  <si>
    <t>67958B</t>
  </si>
  <si>
    <t>67959</t>
  </si>
  <si>
    <t>67959A</t>
  </si>
  <si>
    <t>67959B</t>
  </si>
  <si>
    <t>67960</t>
  </si>
  <si>
    <t>67960A</t>
  </si>
  <si>
    <t>67960B</t>
  </si>
  <si>
    <t>67961</t>
  </si>
  <si>
    <t>67961A</t>
  </si>
  <si>
    <t>67961B</t>
  </si>
  <si>
    <t>67962</t>
  </si>
  <si>
    <t>67962A</t>
  </si>
  <si>
    <t>67962B</t>
  </si>
  <si>
    <t>67963</t>
  </si>
  <si>
    <t>67964</t>
  </si>
  <si>
    <t>67965</t>
  </si>
  <si>
    <t>67967</t>
  </si>
  <si>
    <t>67967A</t>
  </si>
  <si>
    <t>67968</t>
  </si>
  <si>
    <t>67969</t>
  </si>
  <si>
    <t>67970</t>
  </si>
  <si>
    <t>67971</t>
  </si>
  <si>
    <t>67971A</t>
  </si>
  <si>
    <t>67971B</t>
  </si>
  <si>
    <t>67973</t>
  </si>
  <si>
    <t>67973A</t>
  </si>
  <si>
    <t>67974</t>
  </si>
  <si>
    <t>67976</t>
  </si>
  <si>
    <t>67977</t>
  </si>
  <si>
    <t>67978</t>
  </si>
  <si>
    <t>67979</t>
  </si>
  <si>
    <t>67980</t>
  </si>
  <si>
    <t>67981</t>
  </si>
  <si>
    <t>67981/A</t>
  </si>
  <si>
    <t>67982</t>
  </si>
  <si>
    <t>67983</t>
  </si>
  <si>
    <t>67984</t>
  </si>
  <si>
    <t>67985</t>
  </si>
  <si>
    <t>67985A</t>
  </si>
  <si>
    <t>67986</t>
  </si>
  <si>
    <t>67986A</t>
  </si>
  <si>
    <t>67987</t>
  </si>
  <si>
    <t>67987A</t>
  </si>
  <si>
    <t>67987B</t>
  </si>
  <si>
    <t>67987C</t>
  </si>
  <si>
    <t>67987D</t>
  </si>
  <si>
    <t>67988</t>
  </si>
  <si>
    <t>67989</t>
  </si>
  <si>
    <t>67990</t>
  </si>
  <si>
    <t>67992</t>
  </si>
  <si>
    <t>67992A</t>
  </si>
  <si>
    <t>67993</t>
  </si>
  <si>
    <t>67994</t>
  </si>
  <si>
    <t>67995</t>
  </si>
  <si>
    <t>67996</t>
  </si>
  <si>
    <t>67997</t>
  </si>
  <si>
    <t>67997/CO</t>
  </si>
  <si>
    <t>67998</t>
  </si>
  <si>
    <t>67999</t>
  </si>
  <si>
    <t>68000</t>
  </si>
  <si>
    <t>68001</t>
  </si>
  <si>
    <t>68002</t>
  </si>
  <si>
    <t>68003</t>
  </si>
  <si>
    <t>68004</t>
  </si>
  <si>
    <t>68004/CO</t>
  </si>
  <si>
    <t>68005</t>
  </si>
  <si>
    <t>68005A</t>
  </si>
  <si>
    <t>68005B</t>
  </si>
  <si>
    <t>68006</t>
  </si>
  <si>
    <t>68007</t>
  </si>
  <si>
    <t>68007A</t>
  </si>
  <si>
    <t>68007B</t>
  </si>
  <si>
    <t>68007C</t>
  </si>
  <si>
    <t>68008</t>
  </si>
  <si>
    <t>68009</t>
  </si>
  <si>
    <t>68009A</t>
  </si>
  <si>
    <t>68010</t>
  </si>
  <si>
    <t>68010A</t>
  </si>
  <si>
    <t>68010B</t>
  </si>
  <si>
    <t>68011</t>
  </si>
  <si>
    <t>68012</t>
  </si>
  <si>
    <t>68013</t>
  </si>
  <si>
    <t>68014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</si>
  <si>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</si>
  <si>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</si>
  <si>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</si>
  <si>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</si>
  <si>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</si>
  <si>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</si>
  <si>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</si>
  <si>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</si>
  <si>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</si>
  <si>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</si>
  <si>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</si>
  <si>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</si>
  <si>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</si>
  <si>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</si>
  <si>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</si>
  <si>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</si>
  <si>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</si>
  <si>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</si>
  <si>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</si>
  <si>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</si>
  <si>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</si>
  <si>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</si>
  <si>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</si>
  <si>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68040A</t>
  </si>
  <si>
    <t>68041</t>
  </si>
  <si>
    <t>68044</t>
  </si>
  <si>
    <t>68045</t>
  </si>
  <si>
    <t>68046</t>
  </si>
  <si>
    <t>68047</t>
  </si>
  <si>
    <t>68048</t>
  </si>
  <si>
    <t>68049</t>
  </si>
  <si>
    <t>68051</t>
  </si>
  <si>
    <t>68052</t>
  </si>
  <si>
    <t>68053</t>
  </si>
  <si>
    <t>68053A</t>
  </si>
  <si>
    <t>68053B</t>
  </si>
  <si>
    <t>68054</t>
  </si>
  <si>
    <t>68054A</t>
  </si>
  <si>
    <t>68054B</t>
  </si>
  <si>
    <t>68055</t>
  </si>
  <si>
    <t>68055A</t>
  </si>
  <si>
    <t>68055B</t>
  </si>
  <si>
    <t>68055C</t>
  </si>
  <si>
    <t>68055D</t>
  </si>
  <si>
    <t>68055E</t>
  </si>
  <si>
    <t>68056</t>
  </si>
  <si>
    <t>68057</t>
  </si>
  <si>
    <t>68057/CO</t>
  </si>
  <si>
    <t>68058</t>
  </si>
  <si>
    <t>68059</t>
  </si>
  <si>
    <t>68060</t>
  </si>
  <si>
    <t>68062</t>
  </si>
  <si>
    <t>68063</t>
  </si>
  <si>
    <t>68063/A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</si>
  <si>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</si>
  <si>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</si>
  <si>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</si>
  <si>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</si>
  <si>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</si>
  <si>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</si>
  <si>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</si>
  <si>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</si>
  <si>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</si>
  <si>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68072/A</t>
  </si>
  <si>
    <t>68073</t>
  </si>
  <si>
    <t>68074</t>
  </si>
  <si>
    <t>68074/A</t>
  </si>
  <si>
    <t>68075</t>
  </si>
  <si>
    <t>68076</t>
  </si>
  <si>
    <t>68077</t>
  </si>
  <si>
    <t>68078</t>
  </si>
  <si>
    <t>68079</t>
  </si>
  <si>
    <t>68079A</t>
  </si>
  <si>
    <t>68079B</t>
  </si>
  <si>
    <t>68079C</t>
  </si>
  <si>
    <t>68079D</t>
  </si>
  <si>
    <t>68079E</t>
  </si>
  <si>
    <t>68079F</t>
  </si>
  <si>
    <t>68080</t>
  </si>
  <si>
    <t>68081</t>
  </si>
  <si>
    <t>68082</t>
  </si>
  <si>
    <t>68083</t>
  </si>
  <si>
    <t>68084</t>
  </si>
  <si>
    <t>68085</t>
  </si>
  <si>
    <t>68086</t>
  </si>
  <si>
    <t>68089</t>
  </si>
  <si>
    <t>68089A</t>
  </si>
  <si>
    <t>68090</t>
  </si>
  <si>
    <t>68090/CO</t>
  </si>
  <si>
    <t>68091</t>
  </si>
  <si>
    <t>68091/CO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</si>
  <si>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</si>
  <si>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</si>
  <si>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</si>
  <si>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</si>
  <si>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</si>
  <si>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</si>
  <si>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</si>
  <si>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</si>
  <si>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</si>
  <si>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68101</t>
  </si>
  <si>
    <t>68103</t>
  </si>
  <si>
    <t>68104</t>
  </si>
  <si>
    <t>68105</t>
  </si>
  <si>
    <t>68105A</t>
  </si>
  <si>
    <t>68106</t>
  </si>
  <si>
    <t>68106A</t>
  </si>
  <si>
    <t>68107</t>
  </si>
  <si>
    <t>68108</t>
  </si>
  <si>
    <t>68109</t>
  </si>
  <si>
    <t>68110</t>
  </si>
  <si>
    <t>68111</t>
  </si>
  <si>
    <t>68112</t>
  </si>
  <si>
    <t>68113</t>
  </si>
  <si>
    <t>68113A</t>
  </si>
  <si>
    <t>68113B</t>
  </si>
  <si>
    <t>68113C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</si>
  <si>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</si>
  <si>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</si>
  <si>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</si>
  <si>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</si>
  <si>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</si>
  <si>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</si>
  <si>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</si>
  <si>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</si>
  <si>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68123</t>
  </si>
  <si>
    <t>68123A</t>
  </si>
  <si>
    <t>68124</t>
  </si>
  <si>
    <t>68125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</si>
  <si>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</si>
  <si>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</si>
  <si>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</si>
  <si>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</si>
  <si>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</si>
  <si>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</si>
  <si>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</si>
  <si>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</si>
  <si>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</si>
  <si>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68137</t>
  </si>
  <si>
    <t>68138</t>
  </si>
  <si>
    <t>68139</t>
  </si>
  <si>
    <t>68140</t>
  </si>
  <si>
    <t>68140/CO</t>
  </si>
  <si>
    <t>68141</t>
  </si>
  <si>
    <t>68141A</t>
  </si>
  <si>
    <t>68142</t>
  </si>
  <si>
    <t>68143</t>
  </si>
  <si>
    <t>68144</t>
  </si>
  <si>
    <t>68145</t>
  </si>
  <si>
    <t>68146</t>
  </si>
  <si>
    <t>68147</t>
  </si>
  <si>
    <t>68148</t>
  </si>
  <si>
    <t>68148/CO</t>
  </si>
  <si>
    <t>68149</t>
  </si>
  <si>
    <t>68150</t>
  </si>
  <si>
    <t>68150A</t>
  </si>
  <si>
    <t>68151</t>
  </si>
  <si>
    <t>68152</t>
  </si>
  <si>
    <t>68153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</si>
  <si>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</si>
  <si>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</si>
  <si>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</si>
  <si>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</si>
  <si>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</si>
  <si>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</si>
  <si>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</si>
  <si>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</si>
  <si>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</si>
  <si>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</si>
  <si>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</si>
  <si>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</si>
  <si>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</si>
  <si>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</si>
  <si>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</si>
  <si>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</si>
  <si>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</si>
  <si>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</si>
  <si>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</si>
  <si>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</si>
  <si>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</si>
  <si>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</si>
  <si>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</si>
  <si>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</si>
  <si>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</si>
  <si>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</si>
  <si>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</si>
  <si>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</si>
  <si>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</si>
  <si>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</si>
  <si>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</si>
  <si>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</si>
  <si>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68189</t>
  </si>
  <si>
    <t>68189/CO</t>
  </si>
  <si>
    <t>68190</t>
  </si>
  <si>
    <t>68191</t>
  </si>
  <si>
    <t>68192</t>
  </si>
  <si>
    <t>68193</t>
  </si>
  <si>
    <t>68193A</t>
  </si>
  <si>
    <t>68193B</t>
  </si>
  <si>
    <t>68193C</t>
  </si>
  <si>
    <t>68194</t>
  </si>
  <si>
    <t>68195</t>
  </si>
  <si>
    <t>68196</t>
  </si>
  <si>
    <t>68196/A</t>
  </si>
  <si>
    <t>68197</t>
  </si>
  <si>
    <t>68198</t>
  </si>
  <si>
    <t>68199</t>
  </si>
  <si>
    <t>68200</t>
  </si>
  <si>
    <t>68201</t>
  </si>
  <si>
    <t>68202</t>
  </si>
  <si>
    <t>68203</t>
  </si>
  <si>
    <t>68204</t>
  </si>
  <si>
    <t>68205</t>
  </si>
  <si>
    <t>68206</t>
  </si>
  <si>
    <t>68207</t>
  </si>
  <si>
    <t>68208</t>
  </si>
  <si>
    <t>68209</t>
  </si>
  <si>
    <t>68209A</t>
  </si>
  <si>
    <t>68210</t>
  </si>
  <si>
    <t>68211</t>
  </si>
  <si>
    <t>68212</t>
  </si>
  <si>
    <t>68213</t>
  </si>
  <si>
    <t>68214</t>
  </si>
  <si>
    <t>68215</t>
  </si>
  <si>
    <t>68216</t>
  </si>
  <si>
    <t>68217</t>
  </si>
  <si>
    <t>68218</t>
  </si>
  <si>
    <t>68219</t>
  </si>
  <si>
    <t>68220</t>
  </si>
  <si>
    <t>68221</t>
  </si>
  <si>
    <t>68222</t>
  </si>
  <si>
    <t>68223</t>
  </si>
  <si>
    <t>68224</t>
  </si>
  <si>
    <t>68224A</t>
  </si>
  <si>
    <t>68226</t>
  </si>
  <si>
    <t>68226/CO</t>
  </si>
  <si>
    <t>68227</t>
  </si>
  <si>
    <t>68228</t>
  </si>
  <si>
    <t>68229</t>
  </si>
  <si>
    <t>68230</t>
  </si>
  <si>
    <t>68231</t>
  </si>
  <si>
    <t>68232</t>
  </si>
  <si>
    <t>68233</t>
  </si>
  <si>
    <t>68234</t>
  </si>
  <si>
    <t>68235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</si>
  <si>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</si>
  <si>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</si>
  <si>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</si>
  <si>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</si>
  <si>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</si>
  <si>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</si>
  <si>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</si>
  <si>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</si>
  <si>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</si>
  <si>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</si>
  <si>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68247</t>
  </si>
  <si>
    <t>68247/CO</t>
  </si>
  <si>
    <t>68248</t>
  </si>
  <si>
    <t>68249</t>
  </si>
  <si>
    <t>68250</t>
  </si>
  <si>
    <t>68251/CO</t>
  </si>
  <si>
    <t>68252/CO</t>
  </si>
  <si>
    <t>68253/CO</t>
  </si>
  <si>
    <t>68254</t>
  </si>
  <si>
    <t>68254/CO</t>
  </si>
  <si>
    <t>68255</t>
  </si>
  <si>
    <t>68256</t>
  </si>
  <si>
    <t>68257</t>
  </si>
  <si>
    <t>68258</t>
  </si>
  <si>
    <t>68259</t>
  </si>
  <si>
    <t>68260</t>
  </si>
  <si>
    <t>68260/CO</t>
  </si>
  <si>
    <t>68261</t>
  </si>
  <si>
    <t>68261/CO</t>
  </si>
  <si>
    <t>68262</t>
  </si>
  <si>
    <t>68263</t>
  </si>
  <si>
    <t>68263A</t>
  </si>
  <si>
    <t>68264</t>
  </si>
  <si>
    <t>68265</t>
  </si>
  <si>
    <t>68266</t>
  </si>
  <si>
    <t>68267</t>
  </si>
  <si>
    <t>68269</t>
  </si>
  <si>
    <t>68270</t>
  </si>
  <si>
    <t>68271</t>
  </si>
  <si>
    <t>68274</t>
  </si>
  <si>
    <t>68276</t>
  </si>
  <si>
    <t>68278</t>
  </si>
  <si>
    <t>68279</t>
  </si>
  <si>
    <t>68279A</t>
  </si>
  <si>
    <t>68280</t>
  </si>
  <si>
    <t>68281</t>
  </si>
  <si>
    <t>68283</t>
  </si>
  <si>
    <t>68284</t>
  </si>
  <si>
    <t>68285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</si>
  <si>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</si>
  <si>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</si>
  <si>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</si>
  <si>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</si>
  <si>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</si>
  <si>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</si>
  <si>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</si>
  <si>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</si>
  <si>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68294</t>
  </si>
  <si>
    <t>68295</t>
  </si>
  <si>
    <t>68296</t>
  </si>
  <si>
    <t>68297</t>
  </si>
  <si>
    <t>68298</t>
  </si>
  <si>
    <t>68299</t>
  </si>
  <si>
    <t>68300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</si>
  <si>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</si>
  <si>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</si>
  <si>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</si>
  <si>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</si>
  <si>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</si>
  <si>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</si>
  <si>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</si>
  <si>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</si>
  <si>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</si>
  <si>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</si>
  <si>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</si>
  <si>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</si>
  <si>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</si>
  <si>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</si>
  <si>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</si>
  <si>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</si>
  <si>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</si>
  <si>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</si>
  <si>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</si>
  <si>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</si>
  <si>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</si>
  <si>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</si>
  <si>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</si>
  <si>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</si>
  <si>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</si>
  <si>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</si>
  <si>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68327A</t>
  </si>
  <si>
    <t>68327B</t>
  </si>
  <si>
    <t>68327C</t>
  </si>
  <si>
    <t>68327D</t>
  </si>
  <si>
    <t>68327E</t>
  </si>
  <si>
    <t>68327F</t>
  </si>
  <si>
    <t>68327G</t>
  </si>
  <si>
    <t>68327H</t>
  </si>
  <si>
    <t>68327I</t>
  </si>
  <si>
    <t>68328</t>
  </si>
  <si>
    <t>68329</t>
  </si>
  <si>
    <t>68330</t>
  </si>
  <si>
    <t>68331</t>
  </si>
  <si>
    <t>68332</t>
  </si>
  <si>
    <t>68334</t>
  </si>
  <si>
    <t>68339</t>
  </si>
  <si>
    <t>68340</t>
  </si>
  <si>
    <t>68342</t>
  </si>
  <si>
    <t>68343</t>
  </si>
  <si>
    <t>68344</t>
  </si>
  <si>
    <t>68345</t>
  </si>
  <si>
    <t>68346</t>
  </si>
  <si>
    <t>68347</t>
  </si>
  <si>
    <t>68348</t>
  </si>
  <si>
    <t>68348/CO</t>
  </si>
  <si>
    <t>68349</t>
  </si>
  <si>
    <t>68349/CO</t>
  </si>
  <si>
    <t>68350</t>
  </si>
  <si>
    <t>68350/CO</t>
  </si>
  <si>
    <t>68351</t>
  </si>
  <si>
    <t>68351/CO</t>
  </si>
  <si>
    <t>68352</t>
  </si>
  <si>
    <t>68352/CO</t>
  </si>
  <si>
    <t>68353</t>
  </si>
  <si>
    <t>68355</t>
  </si>
  <si>
    <t>68356</t>
  </si>
  <si>
    <t>68357</t>
  </si>
  <si>
    <t>68358</t>
  </si>
  <si>
    <t>68359</t>
  </si>
  <si>
    <t>68362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</si>
  <si>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</si>
  <si>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</si>
  <si>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</si>
  <si>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</si>
  <si>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</si>
  <si>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</si>
  <si>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</si>
  <si>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</si>
  <si>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</si>
  <si>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</si>
  <si>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68372A</t>
  </si>
  <si>
    <t>68379</t>
  </si>
  <si>
    <t>68380</t>
  </si>
  <si>
    <t>68381</t>
  </si>
  <si>
    <t>68384</t>
  </si>
  <si>
    <t>68385</t>
  </si>
  <si>
    <t>68386</t>
  </si>
  <si>
    <t>68387</t>
  </si>
  <si>
    <t>68388</t>
  </si>
  <si>
    <t>68389</t>
  </si>
  <si>
    <t>68390</t>
  </si>
  <si>
    <t>68391</t>
  </si>
  <si>
    <t>68392</t>
  </si>
  <si>
    <t>68393</t>
  </si>
  <si>
    <t>68394</t>
  </si>
  <si>
    <t>68395</t>
  </si>
  <si>
    <t>68396</t>
  </si>
  <si>
    <t>68397</t>
  </si>
  <si>
    <t>68398</t>
  </si>
  <si>
    <t>68399</t>
  </si>
  <si>
    <t>68400</t>
  </si>
  <si>
    <t>68401</t>
  </si>
  <si>
    <t>68402</t>
  </si>
  <si>
    <t>68403</t>
  </si>
  <si>
    <t>68404</t>
  </si>
  <si>
    <t>68405</t>
  </si>
  <si>
    <t>68406</t>
  </si>
  <si>
    <t>68407</t>
  </si>
  <si>
    <t>68408</t>
  </si>
  <si>
    <t>68409</t>
  </si>
  <si>
    <t>68410</t>
  </si>
  <si>
    <t>68411</t>
  </si>
  <si>
    <t>68412</t>
  </si>
  <si>
    <t>68413</t>
  </si>
  <si>
    <t>68414</t>
  </si>
  <si>
    <t>68415</t>
  </si>
  <si>
    <t>68415A</t>
  </si>
  <si>
    <t>68416</t>
  </si>
  <si>
    <t>68417</t>
  </si>
  <si>
    <t>68418</t>
  </si>
  <si>
    <t>68419</t>
  </si>
  <si>
    <t>68419A</t>
  </si>
  <si>
    <t>68421</t>
  </si>
  <si>
    <t>68422</t>
  </si>
  <si>
    <t>68423</t>
  </si>
  <si>
    <t>68424</t>
  </si>
  <si>
    <t>68424A</t>
  </si>
  <si>
    <t>68424B</t>
  </si>
  <si>
    <t>68425</t>
  </si>
  <si>
    <t>68426</t>
  </si>
  <si>
    <t>68426A</t>
  </si>
  <si>
    <t>68426B</t>
  </si>
  <si>
    <t>68426C</t>
  </si>
  <si>
    <t>68427</t>
  </si>
  <si>
    <t>68428</t>
  </si>
  <si>
    <t>68430</t>
  </si>
  <si>
    <t>68431</t>
  </si>
  <si>
    <t>68432</t>
  </si>
  <si>
    <t>68433</t>
  </si>
  <si>
    <t>68434</t>
  </si>
  <si>
    <t>68435</t>
  </si>
  <si>
    <t>68435A</t>
  </si>
  <si>
    <t>68436</t>
  </si>
  <si>
    <t>68440</t>
  </si>
  <si>
    <t>68441</t>
  </si>
  <si>
    <t>68442</t>
  </si>
  <si>
    <t>68443</t>
  </si>
  <si>
    <t>68444</t>
  </si>
  <si>
    <t>68445</t>
  </si>
  <si>
    <t>68446</t>
  </si>
  <si>
    <t>68447</t>
  </si>
  <si>
    <t>68448</t>
  </si>
  <si>
    <t>68449</t>
  </si>
  <si>
    <t>68450</t>
  </si>
  <si>
    <t>68451</t>
  </si>
  <si>
    <t>68452</t>
  </si>
  <si>
    <t>68453</t>
  </si>
  <si>
    <t>68456</t>
  </si>
  <si>
    <t>68457</t>
  </si>
  <si>
    <t>68458</t>
  </si>
  <si>
    <t>68459</t>
  </si>
  <si>
    <t>68460</t>
  </si>
  <si>
    <t>68461</t>
  </si>
  <si>
    <t>68462</t>
  </si>
  <si>
    <t>68463</t>
  </si>
  <si>
    <t>68464</t>
  </si>
  <si>
    <t>68465</t>
  </si>
  <si>
    <t>68466</t>
  </si>
  <si>
    <t>68467</t>
  </si>
  <si>
    <t>68468</t>
  </si>
  <si>
    <t>68469</t>
  </si>
  <si>
    <t>68470</t>
  </si>
  <si>
    <t>68471</t>
  </si>
  <si>
    <t>68472</t>
  </si>
  <si>
    <t>68473</t>
  </si>
  <si>
    <t>68474</t>
  </si>
  <si>
    <t>68475</t>
  </si>
  <si>
    <t>68476</t>
  </si>
  <si>
    <t>68477</t>
  </si>
  <si>
    <t>68479</t>
  </si>
  <si>
    <t>68480</t>
  </si>
  <si>
    <t>68481</t>
  </si>
  <si>
    <t>68485</t>
  </si>
  <si>
    <t>68486</t>
  </si>
  <si>
    <t>68487</t>
  </si>
  <si>
    <t>68488</t>
  </si>
  <si>
    <t>68491</t>
  </si>
  <si>
    <t>68492</t>
  </si>
  <si>
    <t>68492A</t>
  </si>
  <si>
    <t>68492B</t>
  </si>
  <si>
    <t>68492C</t>
  </si>
  <si>
    <t>68492D</t>
  </si>
  <si>
    <t>68493</t>
  </si>
  <si>
    <t>68494</t>
  </si>
  <si>
    <t>68495</t>
  </si>
  <si>
    <t>68496</t>
  </si>
  <si>
    <t>68496A</t>
  </si>
  <si>
    <t>68497</t>
  </si>
  <si>
    <t>68498</t>
  </si>
  <si>
    <t>68499</t>
  </si>
  <si>
    <t>68500</t>
  </si>
  <si>
    <t>68501</t>
  </si>
  <si>
    <t>68501/CO</t>
  </si>
  <si>
    <t>68502</t>
  </si>
  <si>
    <t>68503</t>
  </si>
  <si>
    <t>68504</t>
  </si>
  <si>
    <t>68504/A</t>
  </si>
  <si>
    <t>68505</t>
  </si>
  <si>
    <t>68506</t>
  </si>
  <si>
    <t>68507</t>
  </si>
  <si>
    <t>68508</t>
  </si>
  <si>
    <t>68509</t>
  </si>
  <si>
    <t>68510</t>
  </si>
  <si>
    <t>68510A</t>
  </si>
  <si>
    <t>68511</t>
  </si>
  <si>
    <t>68511A</t>
  </si>
  <si>
    <t>68513</t>
  </si>
  <si>
    <t>68515</t>
  </si>
  <si>
    <t>68515A</t>
  </si>
  <si>
    <t>68515B</t>
  </si>
  <si>
    <t>68516</t>
  </si>
  <si>
    <t>68516A</t>
  </si>
  <si>
    <t>68516B</t>
  </si>
  <si>
    <t>68517</t>
  </si>
  <si>
    <t>68518</t>
  </si>
  <si>
    <t>68519</t>
  </si>
  <si>
    <t>68519/CO</t>
  </si>
  <si>
    <t>68519A</t>
  </si>
  <si>
    <t>68519B</t>
  </si>
  <si>
    <t>68520</t>
  </si>
  <si>
    <t>68521</t>
  </si>
  <si>
    <t>68522</t>
  </si>
  <si>
    <t>68526</t>
  </si>
  <si>
    <t>68527</t>
  </si>
  <si>
    <t>68528</t>
  </si>
  <si>
    <t>68529</t>
  </si>
  <si>
    <t>68530</t>
  </si>
  <si>
    <t>68531</t>
  </si>
  <si>
    <t>68532</t>
  </si>
  <si>
    <t>68533</t>
  </si>
  <si>
    <t>68534</t>
  </si>
  <si>
    <t>68536</t>
  </si>
  <si>
    <t>68537</t>
  </si>
  <si>
    <t>68538</t>
  </si>
  <si>
    <t>68542</t>
  </si>
  <si>
    <t>68544A</t>
  </si>
  <si>
    <t>68544B</t>
  </si>
  <si>
    <t>68544C</t>
  </si>
  <si>
    <t>68544D</t>
  </si>
  <si>
    <t>68544E</t>
  </si>
  <si>
    <t>68544F</t>
  </si>
  <si>
    <t>68544G</t>
  </si>
  <si>
    <t>68544H</t>
  </si>
  <si>
    <t>68544I</t>
  </si>
  <si>
    <t>68544J</t>
  </si>
  <si>
    <t>68545</t>
  </si>
  <si>
    <t>68546</t>
  </si>
  <si>
    <t>68547</t>
  </si>
  <si>
    <t>68548</t>
  </si>
  <si>
    <t>68549</t>
  </si>
  <si>
    <t>68550</t>
  </si>
  <si>
    <t>68551</t>
  </si>
  <si>
    <t>68553</t>
  </si>
  <si>
    <t>68553/A</t>
  </si>
  <si>
    <t>68554</t>
  </si>
  <si>
    <t>68555</t>
  </si>
  <si>
    <t>68556</t>
  </si>
  <si>
    <t>68557</t>
  </si>
  <si>
    <t>68558</t>
  </si>
  <si>
    <t>68559</t>
  </si>
  <si>
    <t>68560</t>
  </si>
  <si>
    <t>68561</t>
  </si>
  <si>
    <t>68562</t>
  </si>
  <si>
    <t>68563</t>
  </si>
  <si>
    <t>68564</t>
  </si>
  <si>
    <t>68565</t>
  </si>
  <si>
    <t>68566</t>
  </si>
  <si>
    <t>68567</t>
  </si>
  <si>
    <t>68568</t>
  </si>
  <si>
    <t>68569</t>
  </si>
  <si>
    <t>68570</t>
  </si>
  <si>
    <t>68571</t>
  </si>
  <si>
    <t>68571/A</t>
  </si>
  <si>
    <t>68572</t>
  </si>
  <si>
    <t>68573</t>
  </si>
  <si>
    <t>68574</t>
  </si>
  <si>
    <t>68574A</t>
  </si>
  <si>
    <t>68574B</t>
  </si>
  <si>
    <t>68575</t>
  </si>
  <si>
    <t>68577</t>
  </si>
  <si>
    <t>68578</t>
  </si>
  <si>
    <t>68579</t>
  </si>
  <si>
    <t>68581</t>
  </si>
  <si>
    <t>68581A</t>
  </si>
  <si>
    <t>68582</t>
  </si>
  <si>
    <t>68583</t>
  </si>
  <si>
    <t>68584</t>
  </si>
  <si>
    <t>68585</t>
  </si>
  <si>
    <t>68586</t>
  </si>
  <si>
    <t>68587</t>
  </si>
  <si>
    <t>68588</t>
  </si>
  <si>
    <t>68589</t>
  </si>
  <si>
    <t>68590</t>
  </si>
  <si>
    <t>68591</t>
  </si>
  <si>
    <t>68592</t>
  </si>
  <si>
    <t>68593</t>
  </si>
  <si>
    <t>68593/CO</t>
  </si>
  <si>
    <t>68594</t>
  </si>
  <si>
    <t>68594/CO</t>
  </si>
  <si>
    <t>68594A</t>
  </si>
  <si>
    <t>68595</t>
  </si>
  <si>
    <t>68596</t>
  </si>
  <si>
    <t>68597</t>
  </si>
  <si>
    <t>68599</t>
  </si>
  <si>
    <t>68600</t>
  </si>
  <si>
    <t>68601</t>
  </si>
  <si>
    <t>68602</t>
  </si>
  <si>
    <t>68603</t>
  </si>
  <si>
    <t>68604</t>
  </si>
  <si>
    <t>68606</t>
  </si>
  <si>
    <t>68607</t>
  </si>
  <si>
    <t>68608</t>
  </si>
  <si>
    <t>68611</t>
  </si>
  <si>
    <t>68612</t>
  </si>
  <si>
    <t>68613</t>
  </si>
  <si>
    <t>68614</t>
  </si>
  <si>
    <t>68615</t>
  </si>
  <si>
    <t>68616</t>
  </si>
  <si>
    <t>68616/A</t>
  </si>
  <si>
    <t>68617</t>
  </si>
  <si>
    <t>68617/A</t>
  </si>
  <si>
    <t>68618</t>
  </si>
  <si>
    <t>68619</t>
  </si>
  <si>
    <t>68620</t>
  </si>
  <si>
    <t>68621</t>
  </si>
  <si>
    <t>68622</t>
  </si>
  <si>
    <t>68624</t>
  </si>
  <si>
    <t>68624A</t>
  </si>
  <si>
    <t>68625</t>
  </si>
  <si>
    <t>68625/A</t>
  </si>
  <si>
    <t>68626</t>
  </si>
  <si>
    <t>68626/A</t>
  </si>
  <si>
    <t>68627</t>
  </si>
  <si>
    <t>68628</t>
  </si>
  <si>
    <t>68629</t>
  </si>
  <si>
    <t>68630</t>
  </si>
  <si>
    <t>68631</t>
  </si>
  <si>
    <t>68632</t>
  </si>
  <si>
    <t>68633</t>
  </si>
  <si>
    <t>68634</t>
  </si>
  <si>
    <t>68635</t>
  </si>
  <si>
    <t>68636</t>
  </si>
  <si>
    <t>68637</t>
  </si>
  <si>
    <t>68638</t>
  </si>
  <si>
    <t>68639</t>
  </si>
  <si>
    <t>68639B</t>
  </si>
  <si>
    <t>68639C</t>
  </si>
  <si>
    <t>68639D</t>
  </si>
  <si>
    <t>68640</t>
  </si>
  <si>
    <t>68641</t>
  </si>
  <si>
    <t>68642</t>
  </si>
  <si>
    <t>68643</t>
  </si>
  <si>
    <t>68644</t>
  </si>
  <si>
    <t>68645</t>
  </si>
  <si>
    <t>68646</t>
  </si>
  <si>
    <t>68647</t>
  </si>
  <si>
    <t>68648</t>
  </si>
  <si>
    <t>68649</t>
  </si>
  <si>
    <t>68650</t>
  </si>
  <si>
    <t>68651</t>
  </si>
  <si>
    <t>68654</t>
  </si>
  <si>
    <t>68655</t>
  </si>
  <si>
    <t>68656</t>
  </si>
  <si>
    <t>68657</t>
  </si>
  <si>
    <t>68658</t>
  </si>
  <si>
    <t>68659</t>
  </si>
  <si>
    <t>68660</t>
  </si>
  <si>
    <t>68661</t>
  </si>
  <si>
    <t>68662</t>
  </si>
  <si>
    <t>68663</t>
  </si>
  <si>
    <t>68664</t>
  </si>
  <si>
    <t>68665</t>
  </si>
  <si>
    <t>68666</t>
  </si>
  <si>
    <t>68667</t>
  </si>
  <si>
    <t>68668</t>
  </si>
  <si>
    <t>68669</t>
  </si>
  <si>
    <t>68670</t>
  </si>
  <si>
    <t>68671</t>
  </si>
  <si>
    <t>68672</t>
  </si>
  <si>
    <t>68673</t>
  </si>
  <si>
    <t>68675</t>
  </si>
  <si>
    <t>68676</t>
  </si>
  <si>
    <t>68677</t>
  </si>
  <si>
    <t>68678</t>
  </si>
  <si>
    <t>68679</t>
  </si>
  <si>
    <t>68680</t>
  </si>
  <si>
    <t>68681</t>
  </si>
  <si>
    <t>68682</t>
  </si>
  <si>
    <t>68683</t>
  </si>
  <si>
    <t>68684</t>
  </si>
  <si>
    <t>68685</t>
  </si>
  <si>
    <t>68686</t>
  </si>
  <si>
    <t>68687</t>
  </si>
  <si>
    <t>68688</t>
  </si>
  <si>
    <t>68689</t>
  </si>
  <si>
    <t>68690</t>
  </si>
  <si>
    <t>68691</t>
  </si>
  <si>
    <t>68692</t>
  </si>
  <si>
    <t>68693</t>
  </si>
  <si>
    <t>68694</t>
  </si>
  <si>
    <t>68695</t>
  </si>
  <si>
    <t>68696</t>
  </si>
  <si>
    <t>68697</t>
  </si>
  <si>
    <t>68698</t>
  </si>
  <si>
    <t>68699</t>
  </si>
  <si>
    <t>68700</t>
  </si>
  <si>
    <t>68701</t>
  </si>
  <si>
    <t>68701A</t>
  </si>
  <si>
    <t>68701B</t>
  </si>
  <si>
    <t>68701C</t>
  </si>
  <si>
    <t>68702</t>
  </si>
  <si>
    <t>68703</t>
  </si>
  <si>
    <t>68704</t>
  </si>
  <si>
    <t>68706</t>
  </si>
  <si>
    <t>68706A</t>
  </si>
  <si>
    <t>68707</t>
  </si>
  <si>
    <t>68708</t>
  </si>
  <si>
    <t>68709</t>
  </si>
  <si>
    <t>68710</t>
  </si>
  <si>
    <t>68710/A</t>
  </si>
  <si>
    <t>68711</t>
  </si>
  <si>
    <t>68712</t>
  </si>
  <si>
    <t>68713</t>
  </si>
  <si>
    <t>68714</t>
  </si>
  <si>
    <t>68715</t>
  </si>
  <si>
    <t>68716</t>
  </si>
  <si>
    <t>68717</t>
  </si>
  <si>
    <t>68718</t>
  </si>
  <si>
    <t>68719</t>
  </si>
  <si>
    <t>68720</t>
  </si>
  <si>
    <t>68721</t>
  </si>
  <si>
    <t>68722</t>
  </si>
  <si>
    <t>68722A</t>
  </si>
  <si>
    <t>68723</t>
  </si>
  <si>
    <t>68724</t>
  </si>
  <si>
    <t>68725</t>
  </si>
  <si>
    <t>68726</t>
  </si>
  <si>
    <t>68727</t>
  </si>
  <si>
    <t>68728</t>
  </si>
  <si>
    <t>68729</t>
  </si>
  <si>
    <t>68730</t>
  </si>
  <si>
    <t>68731</t>
  </si>
  <si>
    <t>68732</t>
  </si>
  <si>
    <t>68733</t>
  </si>
  <si>
    <t>68735</t>
  </si>
  <si>
    <t>68736</t>
  </si>
  <si>
    <t>68737</t>
  </si>
  <si>
    <t>68738</t>
  </si>
  <si>
    <t>68739</t>
  </si>
  <si>
    <t>68740</t>
  </si>
  <si>
    <t>68741</t>
  </si>
  <si>
    <t>68742</t>
  </si>
  <si>
    <t>68743</t>
  </si>
  <si>
    <t>68744</t>
  </si>
  <si>
    <t>68745</t>
  </si>
  <si>
    <t>68746</t>
  </si>
  <si>
    <t>68747</t>
  </si>
  <si>
    <t>68748</t>
  </si>
  <si>
    <t>68749</t>
  </si>
  <si>
    <t>68749A</t>
  </si>
  <si>
    <t>68750</t>
  </si>
  <si>
    <t>68751</t>
  </si>
  <si>
    <t>68752</t>
  </si>
  <si>
    <t>68754</t>
  </si>
  <si>
    <t>68755</t>
  </si>
  <si>
    <t>68756</t>
  </si>
  <si>
    <t>68756A</t>
  </si>
  <si>
    <t>68757</t>
  </si>
  <si>
    <t>68762</t>
  </si>
  <si>
    <t>68763</t>
  </si>
  <si>
    <t>68765</t>
  </si>
  <si>
    <t>68766</t>
  </si>
  <si>
    <t>68767</t>
  </si>
  <si>
    <t>68768</t>
  </si>
  <si>
    <t>68769</t>
  </si>
  <si>
    <t>68770</t>
  </si>
  <si>
    <t>68771</t>
  </si>
  <si>
    <t>68771A</t>
  </si>
  <si>
    <t>68772</t>
  </si>
  <si>
    <t>68773</t>
  </si>
  <si>
    <t>68774</t>
  </si>
  <si>
    <t>68775</t>
  </si>
  <si>
    <t>68776</t>
  </si>
  <si>
    <t>68777</t>
  </si>
  <si>
    <t>68778</t>
  </si>
  <si>
    <t>68778/CO</t>
  </si>
  <si>
    <t>68779</t>
  </si>
  <si>
    <t>68780</t>
  </si>
  <si>
    <t>68781</t>
  </si>
  <si>
    <t>68782</t>
  </si>
  <si>
    <t>68783</t>
  </si>
  <si>
    <t>68784</t>
  </si>
  <si>
    <t>68785</t>
  </si>
  <si>
    <t>68788</t>
  </si>
  <si>
    <t>68789</t>
  </si>
  <si>
    <t>68790</t>
  </si>
  <si>
    <t>68791</t>
  </si>
  <si>
    <t>68792</t>
  </si>
  <si>
    <t>68793</t>
  </si>
  <si>
    <t>68794</t>
  </si>
  <si>
    <t>68795</t>
  </si>
  <si>
    <t>68796</t>
  </si>
  <si>
    <t>68797</t>
  </si>
  <si>
    <t>68798</t>
  </si>
  <si>
    <t>68799</t>
  </si>
  <si>
    <t>68800</t>
  </si>
  <si>
    <t>68801</t>
  </si>
  <si>
    <t>68802</t>
  </si>
  <si>
    <t>68803</t>
  </si>
  <si>
    <t>68804</t>
  </si>
  <si>
    <t>68805</t>
  </si>
  <si>
    <t>68806</t>
  </si>
  <si>
    <t>68807</t>
  </si>
  <si>
    <t>68808</t>
  </si>
  <si>
    <t>68809</t>
  </si>
  <si>
    <t>68810</t>
  </si>
  <si>
    <t>68811</t>
  </si>
  <si>
    <t>68812</t>
  </si>
  <si>
    <t>68813</t>
  </si>
  <si>
    <t>68814</t>
  </si>
  <si>
    <t>68815</t>
  </si>
  <si>
    <t>68816</t>
  </si>
  <si>
    <t>68817</t>
  </si>
  <si>
    <t>68818</t>
  </si>
  <si>
    <t>68819</t>
  </si>
  <si>
    <t>68819A</t>
  </si>
  <si>
    <t>68820</t>
  </si>
  <si>
    <t>68820A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</si>
  <si>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</si>
  <si>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</si>
  <si>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</si>
  <si>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</si>
  <si>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</si>
  <si>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</si>
  <si>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</si>
  <si>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</si>
  <si>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>68829</t>
  </si>
  <si>
    <t>68830</t>
  </si>
  <si>
    <t>68831</t>
  </si>
  <si>
    <t>68832</t>
  </si>
  <si>
    <t>68833</t>
  </si>
  <si>
    <t>68835</t>
  </si>
  <si>
    <t>68836</t>
  </si>
  <si>
    <t>68837</t>
  </si>
  <si>
    <t>68838</t>
  </si>
  <si>
    <t>68839</t>
  </si>
  <si>
    <t>68840</t>
  </si>
  <si>
    <t>68841</t>
  </si>
  <si>
    <t>68842</t>
  </si>
  <si>
    <t>68843</t>
  </si>
  <si>
    <t>68844</t>
  </si>
  <si>
    <t>68845</t>
  </si>
  <si>
    <t>68846</t>
  </si>
  <si>
    <t>68847</t>
  </si>
  <si>
    <t>68848</t>
  </si>
  <si>
    <t>68849</t>
  </si>
  <si>
    <t>68850</t>
  </si>
  <si>
    <t>68851</t>
  </si>
  <si>
    <t>68852</t>
  </si>
  <si>
    <t>68853</t>
  </si>
  <si>
    <t>68854</t>
  </si>
  <si>
    <t>68855</t>
  </si>
  <si>
    <t>68855A</t>
  </si>
  <si>
    <t>68855B</t>
  </si>
  <si>
    <t>68855C</t>
  </si>
  <si>
    <t>68855D</t>
  </si>
  <si>
    <t>68855E</t>
  </si>
  <si>
    <t>68855G</t>
  </si>
  <si>
    <t>68855H</t>
  </si>
  <si>
    <t>68856</t>
  </si>
  <si>
    <t>68857</t>
  </si>
  <si>
    <t>68857A</t>
  </si>
  <si>
    <t>68857B</t>
  </si>
  <si>
    <t>68858</t>
  </si>
  <si>
    <t>68859</t>
  </si>
  <si>
    <t>68860</t>
  </si>
  <si>
    <t>68861</t>
  </si>
  <si>
    <t>68862</t>
  </si>
  <si>
    <t>68863</t>
  </si>
  <si>
    <t>68864</t>
  </si>
  <si>
    <t>68865</t>
  </si>
  <si>
    <t>68866</t>
  </si>
  <si>
    <t>68867</t>
  </si>
  <si>
    <t>68868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</si>
  <si>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</si>
  <si>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</si>
  <si>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</si>
  <si>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</si>
  <si>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</si>
  <si>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</si>
  <si>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</si>
  <si>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</si>
  <si>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68877</t>
  </si>
  <si>
    <t>68878</t>
  </si>
  <si>
    <t>68880</t>
  </si>
  <si>
    <t>68881</t>
  </si>
  <si>
    <t>68882</t>
  </si>
  <si>
    <t>68883</t>
  </si>
  <si>
    <t>68884</t>
  </si>
  <si>
    <t>68885</t>
  </si>
  <si>
    <t>68886</t>
  </si>
  <si>
    <t>68887</t>
  </si>
  <si>
    <t>68888</t>
  </si>
  <si>
    <t>68889</t>
  </si>
  <si>
    <t>68890</t>
  </si>
  <si>
    <t>68891</t>
  </si>
  <si>
    <t>68891/CO</t>
  </si>
  <si>
    <t>68892</t>
  </si>
  <si>
    <t>68893</t>
  </si>
  <si>
    <t>68893/CO</t>
  </si>
  <si>
    <t>68894</t>
  </si>
  <si>
    <t>68894/CO</t>
  </si>
  <si>
    <t>68895</t>
  </si>
  <si>
    <t>68897</t>
  </si>
  <si>
    <t>68899</t>
  </si>
  <si>
    <t>68900</t>
  </si>
  <si>
    <t>68901</t>
  </si>
  <si>
    <t>68902</t>
  </si>
  <si>
    <t>68903</t>
  </si>
  <si>
    <t>68904</t>
  </si>
  <si>
    <t>68905</t>
  </si>
  <si>
    <t>68906</t>
  </si>
  <si>
    <t>68907</t>
  </si>
  <si>
    <t>68908</t>
  </si>
  <si>
    <t>68909</t>
  </si>
  <si>
    <t>68910</t>
  </si>
  <si>
    <t>68911</t>
  </si>
  <si>
    <t>68912</t>
  </si>
  <si>
    <t>68913</t>
  </si>
  <si>
    <t>68914</t>
  </si>
  <si>
    <t>68915</t>
  </si>
  <si>
    <t>68916</t>
  </si>
  <si>
    <t>68917</t>
  </si>
  <si>
    <t>68918</t>
  </si>
  <si>
    <t>68919</t>
  </si>
  <si>
    <t>68920</t>
  </si>
  <si>
    <t>68921</t>
  </si>
  <si>
    <t>68922</t>
  </si>
  <si>
    <t>68923</t>
  </si>
  <si>
    <t>68924</t>
  </si>
  <si>
    <t>68925</t>
  </si>
  <si>
    <t>68926</t>
  </si>
  <si>
    <t>68927</t>
  </si>
  <si>
    <t>68928</t>
  </si>
  <si>
    <t>68929</t>
  </si>
  <si>
    <t>68930</t>
  </si>
  <si>
    <t>68931</t>
  </si>
  <si>
    <t>68932</t>
  </si>
  <si>
    <t>68933</t>
  </si>
  <si>
    <t>68934</t>
  </si>
  <si>
    <t>68935</t>
  </si>
  <si>
    <t>68936</t>
  </si>
  <si>
    <t>68937</t>
  </si>
  <si>
    <t>68938</t>
  </si>
  <si>
    <t>68941</t>
  </si>
  <si>
    <t>68942</t>
  </si>
  <si>
    <t>68943</t>
  </si>
  <si>
    <t>68944</t>
  </si>
  <si>
    <t>68945</t>
  </si>
  <si>
    <t>68948</t>
  </si>
  <si>
    <t>68949</t>
  </si>
  <si>
    <t>68950</t>
  </si>
  <si>
    <t>68951</t>
  </si>
  <si>
    <t>68952</t>
  </si>
  <si>
    <t>68953</t>
  </si>
  <si>
    <t>68954</t>
  </si>
  <si>
    <t>68958</t>
  </si>
  <si>
    <t>68959</t>
  </si>
  <si>
    <t>68960</t>
  </si>
  <si>
    <t>68961</t>
  </si>
  <si>
    <t>68962</t>
  </si>
  <si>
    <t>68963</t>
  </si>
  <si>
    <t>68964</t>
  </si>
  <si>
    <t>68965</t>
  </si>
  <si>
    <t>68966</t>
  </si>
  <si>
    <t>68967</t>
  </si>
  <si>
    <t>68968</t>
  </si>
  <si>
    <t>68969</t>
  </si>
  <si>
    <t>68970</t>
  </si>
  <si>
    <t>68971</t>
  </si>
  <si>
    <t>68972</t>
  </si>
  <si>
    <t>68973</t>
  </si>
  <si>
    <t>68974</t>
  </si>
  <si>
    <t>68975</t>
  </si>
  <si>
    <t>68976</t>
  </si>
  <si>
    <t>68976A</t>
  </si>
  <si>
    <t>68977</t>
  </si>
  <si>
    <t>68977/CO</t>
  </si>
  <si>
    <t>68984</t>
  </si>
  <si>
    <t>68985</t>
  </si>
  <si>
    <t>68986</t>
  </si>
  <si>
    <t>68987</t>
  </si>
  <si>
    <t>68988</t>
  </si>
  <si>
    <t>68989</t>
  </si>
  <si>
    <t>68990</t>
  </si>
  <si>
    <t>68991</t>
  </si>
  <si>
    <t>68992</t>
  </si>
  <si>
    <t>68993</t>
  </si>
  <si>
    <t>68994</t>
  </si>
  <si>
    <t>68995</t>
  </si>
  <si>
    <t>68996</t>
  </si>
  <si>
    <t>68997</t>
  </si>
  <si>
    <t>68998</t>
  </si>
  <si>
    <t>68999</t>
  </si>
  <si>
    <t>69000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</si>
  <si>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</si>
  <si>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</si>
  <si>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</si>
  <si>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</si>
  <si>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</si>
  <si>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</si>
  <si>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</si>
  <si>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</si>
  <si>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69008/A</t>
  </si>
  <si>
    <t>69009</t>
  </si>
  <si>
    <t>69010</t>
  </si>
  <si>
    <t>69011</t>
  </si>
  <si>
    <t>69012</t>
  </si>
  <si>
    <t>69013</t>
  </si>
  <si>
    <t>69013A</t>
  </si>
  <si>
    <t>69013B</t>
  </si>
  <si>
    <t>69014</t>
  </si>
  <si>
    <t>69015</t>
  </si>
  <si>
    <t>69016</t>
  </si>
  <si>
    <t>69017</t>
  </si>
  <si>
    <t>69017B</t>
  </si>
  <si>
    <t>69017C</t>
  </si>
  <si>
    <t>69017D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</si>
  <si>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</si>
  <si>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</si>
  <si>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</si>
  <si>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</si>
  <si>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</si>
  <si>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</si>
  <si>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</si>
  <si>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</si>
  <si>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</si>
  <si>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69026A</t>
  </si>
  <si>
    <t>69027</t>
  </si>
  <si>
    <t>69028</t>
  </si>
  <si>
    <t>69029</t>
  </si>
  <si>
    <t>69030</t>
  </si>
  <si>
    <t>69031</t>
  </si>
  <si>
    <t>69031A</t>
  </si>
  <si>
    <t>69032</t>
  </si>
  <si>
    <t>69033</t>
  </si>
  <si>
    <t>69034</t>
  </si>
  <si>
    <t>69035</t>
  </si>
  <si>
    <t>69036</t>
  </si>
  <si>
    <t>69036A</t>
  </si>
  <si>
    <t>69037</t>
  </si>
  <si>
    <t>69038</t>
  </si>
  <si>
    <t>69039</t>
  </si>
  <si>
    <t>69040</t>
  </si>
  <si>
    <t>69041</t>
  </si>
  <si>
    <t>69041A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</si>
  <si>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</si>
  <si>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</si>
  <si>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</si>
  <si>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</si>
  <si>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</si>
  <si>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</si>
  <si>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</si>
  <si>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</si>
  <si>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</si>
  <si>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69050A</t>
  </si>
  <si>
    <t>69051</t>
  </si>
  <si>
    <t>69052</t>
  </si>
  <si>
    <t>69053</t>
  </si>
  <si>
    <t>69054</t>
  </si>
  <si>
    <t>69055</t>
  </si>
  <si>
    <t>69055A</t>
  </si>
  <si>
    <t>69056</t>
  </si>
  <si>
    <t>69057</t>
  </si>
  <si>
    <t>69058</t>
  </si>
  <si>
    <t>69059</t>
  </si>
  <si>
    <t>69060</t>
  </si>
  <si>
    <t>69060A</t>
  </si>
  <si>
    <t>69061</t>
  </si>
  <si>
    <t>69062</t>
  </si>
  <si>
    <t>69063</t>
  </si>
  <si>
    <t>69064</t>
  </si>
  <si>
    <t>69065</t>
  </si>
  <si>
    <t>69066</t>
  </si>
  <si>
    <t>69067</t>
  </si>
  <si>
    <t>69068</t>
  </si>
  <si>
    <t>69069</t>
  </si>
  <si>
    <t>69070</t>
  </si>
  <si>
    <t>69071</t>
  </si>
  <si>
    <t>69072</t>
  </si>
  <si>
    <t>69073</t>
  </si>
  <si>
    <t>69074</t>
  </si>
  <si>
    <t>69075</t>
  </si>
  <si>
    <t>69081</t>
  </si>
  <si>
    <t>69082</t>
  </si>
  <si>
    <t>69084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</si>
  <si>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</si>
  <si>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</si>
  <si>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</si>
  <si>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</si>
  <si>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</si>
  <si>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</si>
  <si>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</si>
  <si>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</si>
  <si>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</si>
  <si>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</si>
  <si>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</si>
  <si>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</si>
  <si>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</si>
  <si>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</si>
  <si>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</si>
  <si>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</si>
  <si>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</si>
  <si>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</si>
  <si>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</si>
  <si>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</si>
  <si>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</si>
  <si>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</si>
  <si>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</si>
  <si>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</si>
  <si>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</si>
  <si>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</si>
  <si>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69114</t>
  </si>
  <si>
    <t>69115</t>
  </si>
  <si>
    <t>69116</t>
  </si>
  <si>
    <t>69117</t>
  </si>
  <si>
    <t>69117A</t>
  </si>
  <si>
    <t>69118</t>
  </si>
  <si>
    <t>69119</t>
  </si>
  <si>
    <t>69120</t>
  </si>
  <si>
    <t>69123</t>
  </si>
  <si>
    <t>69123A</t>
  </si>
  <si>
    <t>69124</t>
  </si>
  <si>
    <t>69125</t>
  </si>
  <si>
    <t>69127</t>
  </si>
  <si>
    <t>69128</t>
  </si>
  <si>
    <t>69128A</t>
  </si>
  <si>
    <t>69129</t>
  </si>
  <si>
    <t>69129A</t>
  </si>
  <si>
    <t>69130</t>
  </si>
  <si>
    <t>69131</t>
  </si>
  <si>
    <t>69132</t>
  </si>
  <si>
    <t>69133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</si>
  <si>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</si>
  <si>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</si>
  <si>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</si>
  <si>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</si>
  <si>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</si>
  <si>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</si>
  <si>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</si>
  <si>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</si>
  <si>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</si>
  <si>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69144</t>
  </si>
  <si>
    <t>69145</t>
  </si>
  <si>
    <t>69146</t>
  </si>
  <si>
    <t>69148</t>
  </si>
  <si>
    <t>69149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</si>
  <si>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</si>
  <si>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</si>
  <si>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</si>
  <si>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</si>
  <si>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</si>
  <si>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</si>
  <si>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</si>
  <si>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</si>
  <si>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</si>
  <si>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69169</t>
  </si>
  <si>
    <t>69171</t>
  </si>
  <si>
    <t>69173</t>
  </si>
  <si>
    <t>69174</t>
  </si>
  <si>
    <t>69175</t>
  </si>
  <si>
    <t>69176</t>
  </si>
  <si>
    <t>69177</t>
  </si>
  <si>
    <t>69178</t>
  </si>
  <si>
    <t>69179</t>
  </si>
  <si>
    <t>69181</t>
  </si>
  <si>
    <t>69181A</t>
  </si>
  <si>
    <t>69181B</t>
  </si>
  <si>
    <t>69182</t>
  </si>
  <si>
    <t>69183</t>
  </si>
  <si>
    <t>69184</t>
  </si>
  <si>
    <t>69185</t>
  </si>
  <si>
    <t>69186</t>
  </si>
  <si>
    <t>69187</t>
  </si>
  <si>
    <t>69188</t>
  </si>
  <si>
    <t>69189</t>
  </si>
  <si>
    <t>69190</t>
  </si>
  <si>
    <t>69191</t>
  </si>
  <si>
    <t>69192</t>
  </si>
  <si>
    <t>69193</t>
  </si>
  <si>
    <t>69194</t>
  </si>
  <si>
    <t>69195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</si>
  <si>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</si>
  <si>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</si>
  <si>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</si>
  <si>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</si>
  <si>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</si>
  <si>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</si>
  <si>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</si>
  <si>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</si>
  <si>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</si>
  <si>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</si>
  <si>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</si>
  <si>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</si>
  <si>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</si>
  <si>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</si>
  <si>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69210</t>
  </si>
  <si>
    <t>69211</t>
  </si>
  <si>
    <t>69212</t>
  </si>
  <si>
    <t>69213</t>
  </si>
  <si>
    <t>69218</t>
  </si>
  <si>
    <t>69218/CO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</si>
  <si>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</si>
  <si>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</si>
  <si>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</si>
  <si>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</si>
  <si>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</si>
  <si>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</si>
  <si>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</si>
  <si>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</si>
  <si>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</si>
  <si>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69228</t>
  </si>
  <si>
    <t>69229</t>
  </si>
  <si>
    <t>69230</t>
  </si>
  <si>
    <t>69231</t>
  </si>
  <si>
    <t>69232</t>
  </si>
  <si>
    <t>69233</t>
  </si>
  <si>
    <t>69234</t>
  </si>
  <si>
    <t>69235</t>
  </si>
  <si>
    <t>69236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</si>
  <si>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</si>
  <si>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</si>
  <si>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</si>
  <si>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</si>
  <si>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</si>
  <si>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</si>
  <si>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</si>
  <si>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</si>
  <si>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</si>
  <si>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</si>
  <si>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</si>
  <si>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</si>
  <si>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</si>
  <si>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69251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</si>
  <si>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</si>
  <si>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</si>
  <si>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</si>
  <si>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</si>
  <si>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</si>
  <si>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</si>
  <si>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</si>
  <si>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</si>
  <si>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69261</t>
  </si>
  <si>
    <t>69262</t>
  </si>
  <si>
    <t>69263</t>
  </si>
  <si>
    <t>69264</t>
  </si>
  <si>
    <t>69266</t>
  </si>
  <si>
    <t>69267</t>
  </si>
  <si>
    <t>69268</t>
  </si>
  <si>
    <t>69269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</si>
  <si>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</si>
  <si>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</si>
  <si>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</si>
  <si>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</si>
  <si>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</si>
  <si>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</si>
  <si>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</si>
  <si>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</si>
  <si>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</si>
  <si>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</si>
  <si>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69279/CO</t>
  </si>
  <si>
    <t>69280</t>
  </si>
  <si>
    <t>69282</t>
  </si>
  <si>
    <t>69283</t>
  </si>
  <si>
    <t>69284</t>
  </si>
  <si>
    <t>69285</t>
  </si>
  <si>
    <t>69286</t>
  </si>
  <si>
    <t>69287</t>
  </si>
  <si>
    <t>69288</t>
  </si>
  <si>
    <t>69289</t>
  </si>
  <si>
    <t>69290</t>
  </si>
  <si>
    <t>69291</t>
  </si>
  <si>
    <t>69299</t>
  </si>
  <si>
    <t>69300</t>
  </si>
  <si>
    <t>69301</t>
  </si>
  <si>
    <t>69302</t>
  </si>
  <si>
    <t>69303</t>
  </si>
  <si>
    <t>69304</t>
  </si>
  <si>
    <t>69305</t>
  </si>
  <si>
    <t>69306</t>
  </si>
  <si>
    <t>69307</t>
  </si>
  <si>
    <t>69308</t>
  </si>
  <si>
    <t>69309</t>
  </si>
  <si>
    <t>69310</t>
  </si>
  <si>
    <t>69311</t>
  </si>
  <si>
    <t>69312</t>
  </si>
  <si>
    <t>69313</t>
  </si>
  <si>
    <t>69314</t>
  </si>
  <si>
    <t>69315</t>
  </si>
  <si>
    <t>69318</t>
  </si>
  <si>
    <t>69321</t>
  </si>
  <si>
    <t>69322</t>
  </si>
  <si>
    <t>69323</t>
  </si>
  <si>
    <t>69324</t>
  </si>
  <si>
    <t>69324A</t>
  </si>
  <si>
    <t>69324B</t>
  </si>
  <si>
    <t>69325</t>
  </si>
  <si>
    <t>69326</t>
  </si>
  <si>
    <t>69327</t>
  </si>
  <si>
    <t>69328</t>
  </si>
  <si>
    <t>69329</t>
  </si>
  <si>
    <t>69330</t>
  </si>
  <si>
    <t>69331</t>
  </si>
  <si>
    <t>69332</t>
  </si>
  <si>
    <t>69333</t>
  </si>
  <si>
    <t>69334</t>
  </si>
  <si>
    <t>69335</t>
  </si>
  <si>
    <t>69336</t>
  </si>
  <si>
    <t>69337</t>
  </si>
  <si>
    <t>69340</t>
  </si>
  <si>
    <t>69341</t>
  </si>
  <si>
    <t>69342</t>
  </si>
  <si>
    <t>69343</t>
  </si>
  <si>
    <t>69344</t>
  </si>
  <si>
    <t>69345</t>
  </si>
  <si>
    <t>69346</t>
  </si>
  <si>
    <t>69347</t>
  </si>
  <si>
    <t>69348</t>
  </si>
  <si>
    <t>69349</t>
  </si>
  <si>
    <t>69350</t>
  </si>
  <si>
    <t>69351</t>
  </si>
  <si>
    <t>69352</t>
  </si>
  <si>
    <t>69353</t>
  </si>
  <si>
    <t>69354</t>
  </si>
  <si>
    <t>69356</t>
  </si>
  <si>
    <t>69357</t>
  </si>
  <si>
    <t>69359</t>
  </si>
  <si>
    <t>69363</t>
  </si>
  <si>
    <t>69364</t>
  </si>
  <si>
    <t>69365</t>
  </si>
  <si>
    <t>69366</t>
  </si>
  <si>
    <t>69367</t>
  </si>
  <si>
    <t>69368</t>
  </si>
  <si>
    <t>69369</t>
  </si>
  <si>
    <t>69371</t>
  </si>
  <si>
    <t>69372</t>
  </si>
  <si>
    <t>69373</t>
  </si>
  <si>
    <t>69374</t>
  </si>
  <si>
    <t>69375</t>
  </si>
  <si>
    <t>69376</t>
  </si>
  <si>
    <t>69377</t>
  </si>
  <si>
    <t>69378</t>
  </si>
  <si>
    <t>69379</t>
  </si>
  <si>
    <t>69380</t>
  </si>
  <si>
    <t>69381</t>
  </si>
  <si>
    <t>69381A</t>
  </si>
  <si>
    <t>69381B</t>
  </si>
  <si>
    <t>69381C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</si>
  <si>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</si>
  <si>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</si>
  <si>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</si>
  <si>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</si>
  <si>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</si>
  <si>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</si>
  <si>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</si>
  <si>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</si>
  <si>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69390</t>
  </si>
  <si>
    <t>69391</t>
  </si>
  <si>
    <t>69392</t>
  </si>
  <si>
    <t>69393</t>
  </si>
  <si>
    <t>69394</t>
  </si>
  <si>
    <t>69394A</t>
  </si>
  <si>
    <t>69396</t>
  </si>
  <si>
    <t>69400</t>
  </si>
  <si>
    <t>69401</t>
  </si>
  <si>
    <t>69402</t>
  </si>
  <si>
    <t>69403</t>
  </si>
  <si>
    <t>69404</t>
  </si>
  <si>
    <t>69404A</t>
  </si>
  <si>
    <t>69405</t>
  </si>
  <si>
    <t>69406</t>
  </si>
  <si>
    <t>69407</t>
  </si>
  <si>
    <t>69408</t>
  </si>
  <si>
    <t>69409</t>
  </si>
  <si>
    <t>69410</t>
  </si>
  <si>
    <t>69411</t>
  </si>
  <si>
    <t>69412</t>
  </si>
  <si>
    <t>69414</t>
  </si>
  <si>
    <t>69415</t>
  </si>
  <si>
    <t>69416</t>
  </si>
  <si>
    <t>69417</t>
  </si>
  <si>
    <t>69418</t>
  </si>
  <si>
    <t>69420</t>
  </si>
  <si>
    <t>69422</t>
  </si>
  <si>
    <t>69423</t>
  </si>
  <si>
    <t>69424</t>
  </si>
  <si>
    <t>69425</t>
  </si>
  <si>
    <t>69426</t>
  </si>
  <si>
    <t>69427</t>
  </si>
  <si>
    <t>69428</t>
  </si>
  <si>
    <t>69429</t>
  </si>
  <si>
    <t>69430</t>
  </si>
  <si>
    <t>69431</t>
  </si>
  <si>
    <t>69432</t>
  </si>
  <si>
    <t>69433</t>
  </si>
  <si>
    <t>69434</t>
  </si>
  <si>
    <t>69435</t>
  </si>
  <si>
    <t>69439</t>
  </si>
  <si>
    <t>69440</t>
  </si>
  <si>
    <t>69441</t>
  </si>
  <si>
    <t>69442</t>
  </si>
  <si>
    <t>69443</t>
  </si>
  <si>
    <t>69444</t>
  </si>
  <si>
    <t>69445</t>
  </si>
  <si>
    <t>69446</t>
  </si>
  <si>
    <t>69447</t>
  </si>
  <si>
    <t>69450</t>
  </si>
  <si>
    <t>69451</t>
  </si>
  <si>
    <t>69452</t>
  </si>
  <si>
    <t>69453</t>
  </si>
  <si>
    <t>69455</t>
  </si>
  <si>
    <t>69456</t>
  </si>
  <si>
    <t>69456A</t>
  </si>
  <si>
    <t>69457/CO</t>
  </si>
  <si>
    <t>69458</t>
  </si>
  <si>
    <t>69459</t>
  </si>
  <si>
    <t>69460</t>
  </si>
  <si>
    <t>69461</t>
  </si>
  <si>
    <t>69462</t>
  </si>
  <si>
    <t>69463</t>
  </si>
  <si>
    <t>69464</t>
  </si>
  <si>
    <t>69464/A</t>
  </si>
  <si>
    <t>69465</t>
  </si>
  <si>
    <t>69466</t>
  </si>
  <si>
    <t>69467</t>
  </si>
  <si>
    <t>69468</t>
  </si>
  <si>
    <t>69469</t>
  </si>
  <si>
    <t>69470</t>
  </si>
  <si>
    <t>69471</t>
  </si>
  <si>
    <t>69472</t>
  </si>
  <si>
    <t>69473</t>
  </si>
  <si>
    <t>69474</t>
  </si>
  <si>
    <t>69475</t>
  </si>
  <si>
    <t>69476</t>
  </si>
  <si>
    <t>69477</t>
  </si>
  <si>
    <t>69478</t>
  </si>
  <si>
    <t>69479</t>
  </si>
  <si>
    <t>69480</t>
  </si>
  <si>
    <t>69481</t>
  </si>
  <si>
    <t>69482</t>
  </si>
  <si>
    <t>69482A</t>
  </si>
  <si>
    <t>69483</t>
  </si>
  <si>
    <t>69484</t>
  </si>
  <si>
    <t>69485</t>
  </si>
  <si>
    <t>69486</t>
  </si>
  <si>
    <t>69487</t>
  </si>
  <si>
    <t>69488</t>
  </si>
  <si>
    <t>69489</t>
  </si>
  <si>
    <t>69490</t>
  </si>
  <si>
    <t>69491</t>
  </si>
  <si>
    <t>69492</t>
  </si>
  <si>
    <t>69493</t>
  </si>
  <si>
    <t>69494</t>
  </si>
  <si>
    <t>69495</t>
  </si>
  <si>
    <t>69496</t>
  </si>
  <si>
    <t>69497</t>
  </si>
  <si>
    <t>69498</t>
  </si>
  <si>
    <t>69499</t>
  </si>
  <si>
    <t>69500</t>
  </si>
  <si>
    <t>69501</t>
  </si>
  <si>
    <t>69502</t>
  </si>
  <si>
    <t>69503</t>
  </si>
  <si>
    <t>69504</t>
  </si>
  <si>
    <t>69505</t>
  </si>
  <si>
    <t>69506</t>
  </si>
  <si>
    <t>69506/A</t>
  </si>
  <si>
    <t>69507</t>
  </si>
  <si>
    <t>69508/CO</t>
  </si>
  <si>
    <t>69509</t>
  </si>
  <si>
    <t>69510</t>
  </si>
  <si>
    <t>69511</t>
  </si>
  <si>
    <t>69512</t>
  </si>
  <si>
    <t>69513</t>
  </si>
  <si>
    <t>69514</t>
  </si>
  <si>
    <t>69515</t>
  </si>
  <si>
    <t>69516</t>
  </si>
  <si>
    <t>69517</t>
  </si>
  <si>
    <t>69518</t>
  </si>
  <si>
    <t>69519</t>
  </si>
  <si>
    <t>69520</t>
  </si>
  <si>
    <t>69521</t>
  </si>
  <si>
    <t>69522</t>
  </si>
  <si>
    <t>69523</t>
  </si>
  <si>
    <t>69524</t>
  </si>
  <si>
    <t>69525</t>
  </si>
  <si>
    <t>69526</t>
  </si>
  <si>
    <t>69527</t>
  </si>
  <si>
    <t>69528</t>
  </si>
  <si>
    <t>69529</t>
  </si>
  <si>
    <t>69530</t>
  </si>
  <si>
    <t>69531</t>
  </si>
  <si>
    <t>69532</t>
  </si>
  <si>
    <t>69533</t>
  </si>
  <si>
    <t>69537</t>
  </si>
  <si>
    <t>69537A</t>
  </si>
  <si>
    <t>69537B</t>
  </si>
  <si>
    <t>69538</t>
  </si>
  <si>
    <t>69543/CO</t>
  </si>
  <si>
    <t>69544/CO</t>
  </si>
  <si>
    <t>69545</t>
  </si>
  <si>
    <t>69545A</t>
  </si>
  <si>
    <t>69546</t>
  </si>
  <si>
    <t>69546A</t>
  </si>
  <si>
    <t>69547</t>
  </si>
  <si>
    <t>69548</t>
  </si>
  <si>
    <t>69549</t>
  </si>
  <si>
    <t>69550</t>
  </si>
  <si>
    <t>69551</t>
  </si>
  <si>
    <t>69552</t>
  </si>
  <si>
    <t>69553</t>
  </si>
  <si>
    <t>69554</t>
  </si>
  <si>
    <t>69555</t>
  </si>
  <si>
    <t>69556</t>
  </si>
  <si>
    <t>69557</t>
  </si>
  <si>
    <t>69558</t>
  </si>
  <si>
    <t>69559</t>
  </si>
  <si>
    <t>69560</t>
  </si>
  <si>
    <t>69561</t>
  </si>
  <si>
    <t>69562</t>
  </si>
  <si>
    <t>69563</t>
  </si>
  <si>
    <t>69564</t>
  </si>
  <si>
    <t>69564A</t>
  </si>
  <si>
    <t>69567</t>
  </si>
  <si>
    <t>69568</t>
  </si>
  <si>
    <t>69569</t>
  </si>
  <si>
    <t>69569A</t>
  </si>
  <si>
    <t>69570</t>
  </si>
  <si>
    <t>69571</t>
  </si>
  <si>
    <t>69572</t>
  </si>
  <si>
    <t>69573</t>
  </si>
  <si>
    <t>69574</t>
  </si>
  <si>
    <t>69575</t>
  </si>
  <si>
    <t>69576</t>
  </si>
  <si>
    <t>69578</t>
  </si>
  <si>
    <t>69580</t>
  </si>
  <si>
    <t>69581</t>
  </si>
  <si>
    <t>69581A</t>
  </si>
  <si>
    <t>69582</t>
  </si>
  <si>
    <t>69582A</t>
  </si>
  <si>
    <t>69583</t>
  </si>
  <si>
    <t>69584</t>
  </si>
  <si>
    <t>69585</t>
  </si>
  <si>
    <t>69586</t>
  </si>
  <si>
    <t>69586A</t>
  </si>
  <si>
    <t>69586B</t>
  </si>
  <si>
    <t>69587</t>
  </si>
  <si>
    <t>69588</t>
  </si>
  <si>
    <t>69589</t>
  </si>
  <si>
    <t>69590</t>
  </si>
  <si>
    <t>69591</t>
  </si>
  <si>
    <t>69592</t>
  </si>
  <si>
    <t>69593</t>
  </si>
  <si>
    <t>69594</t>
  </si>
  <si>
    <t>69595</t>
  </si>
  <si>
    <t>69596</t>
  </si>
  <si>
    <t>69597</t>
  </si>
  <si>
    <t>69598</t>
  </si>
  <si>
    <t>69599</t>
  </si>
  <si>
    <t>69600</t>
  </si>
  <si>
    <t>69601</t>
  </si>
  <si>
    <t>69602</t>
  </si>
  <si>
    <t>69603</t>
  </si>
  <si>
    <t>69604</t>
  </si>
  <si>
    <t>69605</t>
  </si>
  <si>
    <t>69606</t>
  </si>
  <si>
    <t>69606A</t>
  </si>
  <si>
    <t>69606B</t>
  </si>
  <si>
    <t>69610</t>
  </si>
  <si>
    <t>69612</t>
  </si>
  <si>
    <t>69613</t>
  </si>
  <si>
    <t>69614</t>
  </si>
  <si>
    <t>69615</t>
  </si>
  <si>
    <t>69615A</t>
  </si>
  <si>
    <t>69616</t>
  </si>
  <si>
    <t>69617</t>
  </si>
  <si>
    <t>69620</t>
  </si>
  <si>
    <t>69621</t>
  </si>
  <si>
    <t>69622</t>
  </si>
  <si>
    <t>69623</t>
  </si>
  <si>
    <t>69624</t>
  </si>
  <si>
    <t>69625</t>
  </si>
  <si>
    <t>69626</t>
  </si>
  <si>
    <t>69627</t>
  </si>
  <si>
    <t>69628</t>
  </si>
  <si>
    <t>69629</t>
  </si>
  <si>
    <t>69630</t>
  </si>
  <si>
    <t>69631</t>
  </si>
  <si>
    <t>69635</t>
  </si>
  <si>
    <t>69639</t>
  </si>
  <si>
    <t>69640</t>
  </si>
  <si>
    <t>69641</t>
  </si>
  <si>
    <t>69642</t>
  </si>
  <si>
    <t>69643</t>
  </si>
  <si>
    <t>69645</t>
  </si>
  <si>
    <t>69646</t>
  </si>
  <si>
    <t>69647</t>
  </si>
  <si>
    <t>69648</t>
  </si>
  <si>
    <t>69649</t>
  </si>
  <si>
    <t>69650</t>
  </si>
  <si>
    <t>69651</t>
  </si>
  <si>
    <t>69652</t>
  </si>
  <si>
    <t>69653</t>
  </si>
  <si>
    <t>69654</t>
  </si>
  <si>
    <t>69655/CO</t>
  </si>
  <si>
    <t>69656</t>
  </si>
  <si>
    <t>69657</t>
  </si>
  <si>
    <t>69658</t>
  </si>
  <si>
    <t>69659</t>
  </si>
  <si>
    <t>69660</t>
  </si>
  <si>
    <t>69662</t>
  </si>
  <si>
    <t>69663</t>
  </si>
  <si>
    <t>69664</t>
  </si>
  <si>
    <t>69665</t>
  </si>
  <si>
    <t>69666</t>
  </si>
  <si>
    <t>69668</t>
  </si>
  <si>
    <t>69669</t>
  </si>
  <si>
    <t>69670</t>
  </si>
  <si>
    <t>69671</t>
  </si>
  <si>
    <t>69672</t>
  </si>
  <si>
    <t>69673</t>
  </si>
  <si>
    <t>69674</t>
  </si>
  <si>
    <t>69675</t>
  </si>
  <si>
    <t>69676</t>
  </si>
  <si>
    <t>69677</t>
  </si>
  <si>
    <t>69678</t>
  </si>
  <si>
    <t>69679</t>
  </si>
  <si>
    <t>69680</t>
  </si>
  <si>
    <t>69681</t>
  </si>
  <si>
    <t>69682</t>
  </si>
  <si>
    <t>69682A</t>
  </si>
  <si>
    <t>69683</t>
  </si>
  <si>
    <t>69684</t>
  </si>
  <si>
    <t>69685</t>
  </si>
  <si>
    <t>69686</t>
  </si>
  <si>
    <t>69687</t>
  </si>
  <si>
    <t>69688</t>
  </si>
  <si>
    <t>69689</t>
  </si>
  <si>
    <t>69690</t>
  </si>
  <si>
    <t>69691</t>
  </si>
  <si>
    <t>69692</t>
  </si>
  <si>
    <t>69693</t>
  </si>
  <si>
    <t>69694</t>
  </si>
  <si>
    <t>69695</t>
  </si>
  <si>
    <t>69696</t>
  </si>
  <si>
    <t>69697</t>
  </si>
  <si>
    <t>69698</t>
  </si>
  <si>
    <t>69699</t>
  </si>
  <si>
    <t>69700</t>
  </si>
  <si>
    <t>69701</t>
  </si>
  <si>
    <t>69702</t>
  </si>
  <si>
    <t>69703</t>
  </si>
  <si>
    <t>69704</t>
  </si>
  <si>
    <t>69705</t>
  </si>
  <si>
    <t>69706</t>
  </si>
  <si>
    <t>69707</t>
  </si>
  <si>
    <t>69708</t>
  </si>
  <si>
    <t>69709</t>
  </si>
  <si>
    <t>69710</t>
  </si>
  <si>
    <t>69712</t>
  </si>
  <si>
    <t>69713/CO</t>
  </si>
  <si>
    <t>69714</t>
  </si>
  <si>
    <t>69718</t>
  </si>
  <si>
    <t>69719</t>
  </si>
  <si>
    <t>69720</t>
  </si>
  <si>
    <t>69721</t>
  </si>
  <si>
    <t>69722</t>
  </si>
  <si>
    <t>69723</t>
  </si>
  <si>
    <t>69725</t>
  </si>
  <si>
    <t>69726</t>
  </si>
  <si>
    <t>69727</t>
  </si>
  <si>
    <t>69728</t>
  </si>
  <si>
    <t>69728A</t>
  </si>
  <si>
    <t>69729</t>
  </si>
  <si>
    <t>69730</t>
  </si>
  <si>
    <t>69731</t>
  </si>
  <si>
    <t>69732</t>
  </si>
  <si>
    <t>69734</t>
  </si>
  <si>
    <t>69735</t>
  </si>
  <si>
    <t>69736</t>
  </si>
  <si>
    <t>69737</t>
  </si>
  <si>
    <t>69738</t>
  </si>
  <si>
    <t>69739</t>
  </si>
  <si>
    <t>69740</t>
  </si>
  <si>
    <t>69741</t>
  </si>
  <si>
    <t>69742</t>
  </si>
  <si>
    <t>69743</t>
  </si>
  <si>
    <t>69744</t>
  </si>
  <si>
    <t>69745</t>
  </si>
  <si>
    <t>69746</t>
  </si>
  <si>
    <t>69747</t>
  </si>
  <si>
    <t>69748</t>
  </si>
  <si>
    <t>69749</t>
  </si>
  <si>
    <t>69750</t>
  </si>
  <si>
    <t>69751</t>
  </si>
  <si>
    <t>69752</t>
  </si>
  <si>
    <t>69752A</t>
  </si>
  <si>
    <t>69752B</t>
  </si>
  <si>
    <t>69752C</t>
  </si>
  <si>
    <t>69752D</t>
  </si>
  <si>
    <t>69753</t>
  </si>
  <si>
    <t>69754</t>
  </si>
  <si>
    <t>69755</t>
  </si>
  <si>
    <t>69756</t>
  </si>
  <si>
    <t>69757</t>
  </si>
  <si>
    <t>69758</t>
  </si>
  <si>
    <t>69759</t>
  </si>
  <si>
    <t>69760</t>
  </si>
  <si>
    <t>69761</t>
  </si>
  <si>
    <t>69762</t>
  </si>
  <si>
    <t>69763</t>
  </si>
  <si>
    <t>69764</t>
  </si>
  <si>
    <t>69765</t>
  </si>
  <si>
    <t>69766</t>
  </si>
  <si>
    <t>69767</t>
  </si>
  <si>
    <t>69768</t>
  </si>
  <si>
    <t>69769</t>
  </si>
  <si>
    <t>69770</t>
  </si>
  <si>
    <t>69771</t>
  </si>
  <si>
    <t>69772</t>
  </si>
  <si>
    <t>69772A</t>
  </si>
  <si>
    <t>69773</t>
  </si>
  <si>
    <t>69773A</t>
  </si>
  <si>
    <t>69774</t>
  </si>
  <si>
    <t>69775</t>
  </si>
  <si>
    <t>69776</t>
  </si>
  <si>
    <t>69777</t>
  </si>
  <si>
    <t>69778</t>
  </si>
  <si>
    <t>69779</t>
  </si>
  <si>
    <t>69780</t>
  </si>
  <si>
    <t>69781</t>
  </si>
  <si>
    <t>69782</t>
  </si>
  <si>
    <t>69782A</t>
  </si>
  <si>
    <t>69783</t>
  </si>
  <si>
    <t>69784</t>
  </si>
  <si>
    <t>69785</t>
  </si>
  <si>
    <t>69786</t>
  </si>
  <si>
    <t>69787</t>
  </si>
  <si>
    <t>69788</t>
  </si>
  <si>
    <t>69789</t>
  </si>
  <si>
    <t>69790</t>
  </si>
  <si>
    <t>69790/A</t>
  </si>
  <si>
    <t>69791</t>
  </si>
  <si>
    <t>69792</t>
  </si>
  <si>
    <t>69794</t>
  </si>
  <si>
    <t>69795</t>
  </si>
  <si>
    <t>69796</t>
  </si>
  <si>
    <t>69796A</t>
  </si>
  <si>
    <t>69797</t>
  </si>
  <si>
    <t>69798</t>
  </si>
  <si>
    <t>69799</t>
  </si>
  <si>
    <t>69800</t>
  </si>
  <si>
    <t>69801</t>
  </si>
  <si>
    <t>69802</t>
  </si>
  <si>
    <t>69803</t>
  </si>
  <si>
    <t>69804</t>
  </si>
  <si>
    <t>69805</t>
  </si>
  <si>
    <t>69806</t>
  </si>
  <si>
    <t>69807</t>
  </si>
  <si>
    <t>69808</t>
  </si>
  <si>
    <t>69810</t>
  </si>
  <si>
    <t>69811</t>
  </si>
  <si>
    <t>69812</t>
  </si>
  <si>
    <t>69816</t>
  </si>
  <si>
    <t>69819</t>
  </si>
  <si>
    <t>69820</t>
  </si>
  <si>
    <t>69821</t>
  </si>
  <si>
    <t>69823</t>
  </si>
  <si>
    <t>69825</t>
  </si>
  <si>
    <t>69826</t>
  </si>
  <si>
    <t>69827</t>
  </si>
  <si>
    <t>69828</t>
  </si>
  <si>
    <t>69829</t>
  </si>
  <si>
    <t>69830</t>
  </si>
  <si>
    <t>69831</t>
  </si>
  <si>
    <t>69832</t>
  </si>
  <si>
    <t>69833/CO</t>
  </si>
  <si>
    <t>69834</t>
  </si>
  <si>
    <t>69835</t>
  </si>
  <si>
    <t>69836</t>
  </si>
  <si>
    <t>69837</t>
  </si>
  <si>
    <t>69838</t>
  </si>
  <si>
    <t>69838A</t>
  </si>
  <si>
    <t>69838B</t>
  </si>
  <si>
    <t>69839</t>
  </si>
  <si>
    <t>69840</t>
  </si>
  <si>
    <t>69841</t>
  </si>
  <si>
    <t>69842</t>
  </si>
  <si>
    <t>69843</t>
  </si>
  <si>
    <t>69844</t>
  </si>
  <si>
    <t>69846</t>
  </si>
  <si>
    <t>69847</t>
  </si>
  <si>
    <t>69848</t>
  </si>
  <si>
    <t>69849</t>
  </si>
  <si>
    <t>69850</t>
  </si>
  <si>
    <t>69851</t>
  </si>
  <si>
    <t>69852</t>
  </si>
  <si>
    <t>69853</t>
  </si>
  <si>
    <t>69854/CO</t>
  </si>
  <si>
    <t>69855</t>
  </si>
  <si>
    <t>69856</t>
  </si>
  <si>
    <t>69857</t>
  </si>
  <si>
    <t>69858</t>
  </si>
  <si>
    <t>69859/CO</t>
  </si>
  <si>
    <t>69861</t>
  </si>
  <si>
    <t>69862</t>
  </si>
  <si>
    <t>69868</t>
  </si>
  <si>
    <t>69869</t>
  </si>
  <si>
    <t>69870</t>
  </si>
  <si>
    <t>69870A</t>
  </si>
  <si>
    <t>69870B</t>
  </si>
  <si>
    <t>69871</t>
  </si>
  <si>
    <t>69872</t>
  </si>
  <si>
    <t>69873</t>
  </si>
  <si>
    <t>69873A</t>
  </si>
  <si>
    <t>69873B</t>
  </si>
  <si>
    <t>69874</t>
  </si>
  <si>
    <t>69875</t>
  </si>
  <si>
    <t>69876</t>
  </si>
  <si>
    <t>69877</t>
  </si>
  <si>
    <t>69878</t>
  </si>
  <si>
    <t>69878A</t>
  </si>
  <si>
    <t>69879</t>
  </si>
  <si>
    <t>69880</t>
  </si>
  <si>
    <t>69881</t>
  </si>
  <si>
    <t>69882</t>
  </si>
  <si>
    <t>69883</t>
  </si>
  <si>
    <t>69884</t>
  </si>
  <si>
    <t>69885</t>
  </si>
  <si>
    <t>69886</t>
  </si>
  <si>
    <t>69887</t>
  </si>
  <si>
    <t>69888</t>
  </si>
  <si>
    <t>69889</t>
  </si>
  <si>
    <t>69890</t>
  </si>
  <si>
    <t>69891</t>
  </si>
  <si>
    <t>69892</t>
  </si>
  <si>
    <t>69893</t>
  </si>
  <si>
    <t>69894</t>
  </si>
  <si>
    <t>69895</t>
  </si>
  <si>
    <t>69896</t>
  </si>
  <si>
    <t>69897</t>
  </si>
  <si>
    <t>69898</t>
  </si>
  <si>
    <t>69899</t>
  </si>
  <si>
    <t>69900</t>
  </si>
  <si>
    <t>69902</t>
  </si>
  <si>
    <t>69903</t>
  </si>
  <si>
    <t>69904</t>
  </si>
  <si>
    <t>69905</t>
  </si>
  <si>
    <t>69906</t>
  </si>
  <si>
    <t>69907</t>
  </si>
  <si>
    <t>69908</t>
  </si>
  <si>
    <t>69909</t>
  </si>
  <si>
    <t>69910</t>
  </si>
  <si>
    <t>69911</t>
  </si>
  <si>
    <t>69913</t>
  </si>
  <si>
    <t>69914</t>
  </si>
  <si>
    <t>69915</t>
  </si>
  <si>
    <t>69916</t>
  </si>
  <si>
    <t>69917</t>
  </si>
  <si>
    <t>69918</t>
  </si>
  <si>
    <t>69919</t>
  </si>
  <si>
    <t>69920</t>
  </si>
  <si>
    <t>69922</t>
  </si>
  <si>
    <t>69923</t>
  </si>
  <si>
    <t>69924</t>
  </si>
  <si>
    <t>69926/CO</t>
  </si>
  <si>
    <t>69927</t>
  </si>
  <si>
    <t>69928</t>
  </si>
  <si>
    <t>69929</t>
  </si>
  <si>
    <t>69935</t>
  </si>
  <si>
    <t>69936</t>
  </si>
  <si>
    <t>69937</t>
  </si>
  <si>
    <t>69939</t>
  </si>
  <si>
    <t>69939/A</t>
  </si>
  <si>
    <t>69940</t>
  </si>
  <si>
    <t>69940/A</t>
  </si>
  <si>
    <t>69941</t>
  </si>
  <si>
    <t>69941/A</t>
  </si>
  <si>
    <t>69942</t>
  </si>
  <si>
    <t>69943</t>
  </si>
  <si>
    <t>69944</t>
  </si>
  <si>
    <t>69945</t>
  </si>
  <si>
    <t>69946</t>
  </si>
  <si>
    <t>69947</t>
  </si>
  <si>
    <t>69948</t>
  </si>
  <si>
    <t>69949</t>
  </si>
  <si>
    <t>69949A</t>
  </si>
  <si>
    <t>69949B</t>
  </si>
  <si>
    <t>69950</t>
  </si>
  <si>
    <t>69951</t>
  </si>
  <si>
    <t>69952</t>
  </si>
  <si>
    <t>69953</t>
  </si>
  <si>
    <t>69954</t>
  </si>
  <si>
    <t>69956</t>
  </si>
  <si>
    <t>69956A</t>
  </si>
  <si>
    <t>69957</t>
  </si>
  <si>
    <t>69959</t>
  </si>
  <si>
    <t>69960</t>
  </si>
  <si>
    <t>69961</t>
  </si>
  <si>
    <t>69962</t>
  </si>
  <si>
    <t>69963</t>
  </si>
  <si>
    <t>69964</t>
  </si>
  <si>
    <t>69965</t>
  </si>
  <si>
    <t>69966</t>
  </si>
  <si>
    <t>69967</t>
  </si>
  <si>
    <t>69968</t>
  </si>
  <si>
    <t>69969</t>
  </si>
  <si>
    <t>69970</t>
  </si>
  <si>
    <t>69971</t>
  </si>
  <si>
    <t>69972</t>
  </si>
  <si>
    <t>69973</t>
  </si>
  <si>
    <t>69974</t>
  </si>
  <si>
    <t>69975</t>
  </si>
  <si>
    <t>69977</t>
  </si>
  <si>
    <t>69978/CO</t>
  </si>
  <si>
    <t>69979</t>
  </si>
  <si>
    <t>69979A</t>
  </si>
  <si>
    <t>69979B</t>
  </si>
  <si>
    <t>69979C</t>
  </si>
  <si>
    <t>69980</t>
  </si>
  <si>
    <t>69980A</t>
  </si>
  <si>
    <t>69981</t>
  </si>
  <si>
    <t>69982/CO</t>
  </si>
  <si>
    <t>69983</t>
  </si>
  <si>
    <t>69984</t>
  </si>
  <si>
    <t>69985</t>
  </si>
  <si>
    <t>69986</t>
  </si>
  <si>
    <t>69987</t>
  </si>
  <si>
    <t>69988</t>
  </si>
  <si>
    <t>69989</t>
  </si>
  <si>
    <t>69990</t>
  </si>
  <si>
    <t>69991</t>
  </si>
  <si>
    <t>69991A</t>
  </si>
  <si>
    <t>69992</t>
  </si>
  <si>
    <t>69993</t>
  </si>
  <si>
    <t>69994</t>
  </si>
  <si>
    <t>69995</t>
  </si>
  <si>
    <t>69995A</t>
  </si>
  <si>
    <t>69996</t>
  </si>
  <si>
    <t>69996A</t>
  </si>
  <si>
    <t>69997</t>
  </si>
  <si>
    <t>69998</t>
  </si>
  <si>
    <t>69999</t>
  </si>
  <si>
    <t>70000</t>
  </si>
  <si>
    <t>70001</t>
  </si>
  <si>
    <t>70002</t>
  </si>
  <si>
    <t>70003</t>
  </si>
  <si>
    <t>70004</t>
  </si>
  <si>
    <t>70005</t>
  </si>
  <si>
    <t>70006</t>
  </si>
  <si>
    <t>70006A</t>
  </si>
  <si>
    <t>70006B</t>
  </si>
  <si>
    <t>70006C</t>
  </si>
  <si>
    <t>70006D</t>
  </si>
  <si>
    <t>70006E</t>
  </si>
  <si>
    <t>70006F</t>
  </si>
  <si>
    <t>70007</t>
  </si>
  <si>
    <t>70008</t>
  </si>
  <si>
    <t>70010/CO</t>
  </si>
  <si>
    <t>70011</t>
  </si>
  <si>
    <t>70011/A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</si>
  <si>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</si>
  <si>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</si>
  <si>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</si>
  <si>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</si>
  <si>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</si>
  <si>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</si>
  <si>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</si>
  <si>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</si>
  <si>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</si>
  <si>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</si>
  <si>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</si>
  <si>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</si>
  <si>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70024A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</si>
  <si>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</si>
  <si>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</si>
  <si>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</si>
  <si>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</si>
  <si>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</si>
  <si>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</si>
  <si>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</si>
  <si>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</si>
  <si>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</si>
  <si>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</si>
  <si>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</si>
  <si>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</si>
  <si>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</si>
  <si>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</si>
  <si>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</si>
  <si>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70040A</t>
  </si>
  <si>
    <t>70041</t>
  </si>
  <si>
    <t>70042</t>
  </si>
  <si>
    <t>70042A</t>
  </si>
  <si>
    <t>70044</t>
  </si>
  <si>
    <t>70045</t>
  </si>
  <si>
    <t>70046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</si>
  <si>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</si>
  <si>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</si>
  <si>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</si>
  <si>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</si>
  <si>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</si>
  <si>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</si>
  <si>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</si>
  <si>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</si>
  <si>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</si>
  <si>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</si>
  <si>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</si>
  <si>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70058A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</si>
  <si>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</si>
  <si>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</si>
  <si>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</si>
  <si>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</si>
  <si>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</si>
  <si>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</si>
  <si>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</si>
  <si>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</si>
  <si>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</si>
  <si>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</si>
  <si>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</si>
  <si>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</si>
  <si>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</si>
  <si>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</si>
  <si>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</si>
  <si>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</si>
  <si>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70076</t>
  </si>
  <si>
    <t>70077</t>
  </si>
  <si>
    <t>70078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</si>
  <si>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</si>
  <si>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</si>
  <si>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</si>
  <si>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</si>
  <si>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</si>
  <si>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</si>
  <si>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</si>
  <si>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</si>
  <si>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</si>
  <si>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</si>
  <si>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</si>
  <si>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</si>
  <si>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</si>
  <si>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</si>
  <si>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</si>
  <si>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</si>
  <si>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</si>
  <si>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</si>
  <si>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</si>
  <si>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</si>
  <si>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</si>
  <si>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</si>
  <si>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</si>
  <si>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</si>
  <si>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</si>
  <si>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</si>
  <si>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70106A</t>
  </si>
  <si>
    <t>70107</t>
  </si>
  <si>
    <t>70108</t>
  </si>
  <si>
    <t>70109</t>
  </si>
  <si>
    <t>70110</t>
  </si>
  <si>
    <t>70115</t>
  </si>
  <si>
    <t>70116</t>
  </si>
  <si>
    <t>70117</t>
  </si>
  <si>
    <t>70118</t>
  </si>
  <si>
    <t>70119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</si>
  <si>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</si>
  <si>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</si>
  <si>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</si>
  <si>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</si>
  <si>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</si>
  <si>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</si>
  <si>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</si>
  <si>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</si>
  <si>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</si>
  <si>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</si>
  <si>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</si>
  <si>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</si>
  <si>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</si>
  <si>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70133A</t>
  </si>
  <si>
    <t>70136</t>
  </si>
  <si>
    <t>70137</t>
  </si>
  <si>
    <t>70138</t>
  </si>
  <si>
    <t>70139</t>
  </si>
  <si>
    <t>70140</t>
  </si>
  <si>
    <t>70141</t>
  </si>
  <si>
    <t>70141/A</t>
  </si>
  <si>
    <t>70141B</t>
  </si>
  <si>
    <t>70141C</t>
  </si>
  <si>
    <t>70141D</t>
  </si>
  <si>
    <t>70141E</t>
  </si>
  <si>
    <t>70142</t>
  </si>
  <si>
    <t>70143</t>
  </si>
  <si>
    <t>70144</t>
  </si>
  <si>
    <t>70146</t>
  </si>
  <si>
    <t>70147</t>
  </si>
  <si>
    <t>70148</t>
  </si>
  <si>
    <t>70149</t>
  </si>
  <si>
    <t>70150</t>
  </si>
  <si>
    <t>70151</t>
  </si>
  <si>
    <t>70152</t>
  </si>
  <si>
    <t>70152A</t>
  </si>
  <si>
    <t>70153</t>
  </si>
  <si>
    <t>70154</t>
  </si>
  <si>
    <t>70155</t>
  </si>
  <si>
    <t>70156</t>
  </si>
  <si>
    <t>70157</t>
  </si>
  <si>
    <t>70159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</si>
  <si>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</si>
  <si>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</si>
  <si>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</si>
  <si>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</si>
  <si>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</si>
  <si>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</si>
  <si>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</si>
  <si>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</si>
  <si>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</si>
  <si>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</si>
  <si>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</si>
  <si>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</si>
  <si>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</si>
  <si>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</si>
  <si>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</si>
  <si>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70178</t>
  </si>
  <si>
    <t>70179</t>
  </si>
  <si>
    <t>70181</t>
  </si>
  <si>
    <t>70185</t>
  </si>
  <si>
    <t>70185/A</t>
  </si>
  <si>
    <t>70186</t>
  </si>
  <si>
    <t>70187</t>
  </si>
  <si>
    <t>70188</t>
  </si>
  <si>
    <t>70189</t>
  </si>
  <si>
    <t>70190</t>
  </si>
  <si>
    <t>70191</t>
  </si>
  <si>
    <t>70192</t>
  </si>
  <si>
    <t>70194</t>
  </si>
  <si>
    <t>70195</t>
  </si>
  <si>
    <t>70196</t>
  </si>
  <si>
    <t>70197</t>
  </si>
  <si>
    <t>70198</t>
  </si>
  <si>
    <t>70199</t>
  </si>
  <si>
    <t>70199A</t>
  </si>
  <si>
    <t>70200</t>
  </si>
  <si>
    <t>70201</t>
  </si>
  <si>
    <t>70202</t>
  </si>
  <si>
    <t>70203</t>
  </si>
  <si>
    <t>70204</t>
  </si>
  <si>
    <t>70206</t>
  </si>
  <si>
    <t>70207</t>
  </si>
  <si>
    <t>70208</t>
  </si>
  <si>
    <t>70209</t>
  </si>
  <si>
    <t>70209A</t>
  </si>
  <si>
    <t>70210</t>
  </si>
  <si>
    <t>70211</t>
  </si>
  <si>
    <t>70212</t>
  </si>
  <si>
    <t>70213</t>
  </si>
  <si>
    <t>70215</t>
  </si>
  <si>
    <t>70216</t>
  </si>
  <si>
    <t>70218</t>
  </si>
  <si>
    <t>70220</t>
  </si>
  <si>
    <t>70221</t>
  </si>
  <si>
    <t>70222</t>
  </si>
  <si>
    <t>70223</t>
  </si>
  <si>
    <t>70224</t>
  </si>
  <si>
    <t>70225</t>
  </si>
  <si>
    <t>70226</t>
  </si>
  <si>
    <t>70226/A</t>
  </si>
  <si>
    <t>70226/CO</t>
  </si>
  <si>
    <t>70227</t>
  </si>
  <si>
    <t>70228</t>
  </si>
  <si>
    <t>70236</t>
  </si>
  <si>
    <t>70237</t>
  </si>
  <si>
    <t>70238</t>
  </si>
  <si>
    <t>70239</t>
  </si>
  <si>
    <t>70240</t>
  </si>
  <si>
    <t>70241</t>
  </si>
  <si>
    <t>70241A</t>
  </si>
  <si>
    <t>70242</t>
  </si>
  <si>
    <t>70243</t>
  </si>
  <si>
    <t>70244</t>
  </si>
  <si>
    <t>70245</t>
  </si>
  <si>
    <t>70246</t>
  </si>
  <si>
    <t>70247</t>
  </si>
  <si>
    <t>70248</t>
  </si>
  <si>
    <t>70249</t>
  </si>
  <si>
    <t>70250</t>
  </si>
  <si>
    <t>70251</t>
  </si>
  <si>
    <t>70252</t>
  </si>
  <si>
    <t>70253</t>
  </si>
  <si>
    <t>70254</t>
  </si>
  <si>
    <t>70255</t>
  </si>
  <si>
    <t>70256/CO</t>
  </si>
  <si>
    <t>70257</t>
  </si>
  <si>
    <t>70257A</t>
  </si>
  <si>
    <t>70257B</t>
  </si>
  <si>
    <t>70259</t>
  </si>
  <si>
    <t>70260</t>
  </si>
  <si>
    <t>70261</t>
  </si>
  <si>
    <t>70262</t>
  </si>
  <si>
    <t>70263</t>
  </si>
  <si>
    <t>70264</t>
  </si>
  <si>
    <t>70265</t>
  </si>
  <si>
    <t>70266</t>
  </si>
  <si>
    <t>70267</t>
  </si>
  <si>
    <t>70268</t>
  </si>
  <si>
    <t>70269</t>
  </si>
  <si>
    <t>70270</t>
  </si>
  <si>
    <t>70271</t>
  </si>
  <si>
    <t>70272</t>
  </si>
  <si>
    <t>70273</t>
  </si>
  <si>
    <t>70274</t>
  </si>
  <si>
    <t>70275</t>
  </si>
  <si>
    <t>70276</t>
  </si>
  <si>
    <t>70276A</t>
  </si>
  <si>
    <t>70276B</t>
  </si>
  <si>
    <t>70276C</t>
  </si>
  <si>
    <t>70276D</t>
  </si>
  <si>
    <t>70276E</t>
  </si>
  <si>
    <t>70276F</t>
  </si>
  <si>
    <t>70277A</t>
  </si>
  <si>
    <t>70277B</t>
  </si>
  <si>
    <t>70278</t>
  </si>
  <si>
    <t>70279</t>
  </si>
  <si>
    <t>70280</t>
  </si>
  <si>
    <t>70281</t>
  </si>
  <si>
    <t>70282</t>
  </si>
  <si>
    <t>70283</t>
  </si>
  <si>
    <t>70284</t>
  </si>
  <si>
    <t>70285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</si>
  <si>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</si>
  <si>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</si>
  <si>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</si>
  <si>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</si>
  <si>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</si>
  <si>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</si>
  <si>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</si>
  <si>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</si>
  <si>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70294</t>
  </si>
  <si>
    <t>70295</t>
  </si>
  <si>
    <t>70296</t>
  </si>
  <si>
    <t>70297</t>
  </si>
  <si>
    <t>70298</t>
  </si>
  <si>
    <t>70299</t>
  </si>
  <si>
    <t>70300</t>
  </si>
  <si>
    <t>70301</t>
  </si>
  <si>
    <t>70302</t>
  </si>
  <si>
    <t>70303</t>
  </si>
  <si>
    <t>70304</t>
  </si>
  <si>
    <t>70305</t>
  </si>
  <si>
    <t>70307</t>
  </si>
  <si>
    <t>70312</t>
  </si>
  <si>
    <t>70313</t>
  </si>
  <si>
    <t>70314</t>
  </si>
  <si>
    <t>70316</t>
  </si>
  <si>
    <t>70317</t>
  </si>
  <si>
    <t>70318</t>
  </si>
  <si>
    <t>70319</t>
  </si>
  <si>
    <t>70320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</si>
  <si>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</si>
  <si>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</si>
  <si>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</si>
  <si>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</si>
  <si>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</si>
  <si>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</si>
  <si>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</si>
  <si>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</si>
  <si>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</si>
  <si>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</si>
  <si>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</si>
  <si>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</si>
  <si>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70339</t>
  </si>
  <si>
    <t>70339/A</t>
  </si>
  <si>
    <t>70340</t>
  </si>
  <si>
    <t>70341</t>
  </si>
  <si>
    <t>70342</t>
  </si>
  <si>
    <t>70342A</t>
  </si>
  <si>
    <t>70342B</t>
  </si>
  <si>
    <t>70342C</t>
  </si>
  <si>
    <t>70342D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</si>
  <si>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</si>
  <si>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</si>
  <si>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</si>
  <si>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</si>
  <si>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</si>
  <si>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</si>
  <si>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</si>
  <si>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</si>
  <si>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</si>
  <si>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</si>
  <si>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</si>
  <si>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70355</t>
  </si>
  <si>
    <t>70356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</si>
  <si>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</si>
  <si>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</si>
  <si>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</si>
  <si>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</si>
  <si>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</si>
  <si>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</si>
  <si>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</si>
  <si>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</si>
  <si>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</si>
  <si>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</si>
  <si>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</si>
  <si>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</si>
  <si>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</si>
  <si>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70370A</t>
  </si>
  <si>
    <t>70370B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</si>
  <si>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</si>
  <si>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</si>
  <si>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</si>
  <si>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</si>
  <si>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</si>
  <si>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</si>
  <si>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</si>
  <si>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</si>
  <si>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</si>
  <si>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</si>
  <si>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</si>
  <si>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</si>
  <si>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</si>
  <si>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</si>
  <si>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</si>
  <si>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70387</t>
  </si>
  <si>
    <t>70387A</t>
  </si>
  <si>
    <t>70387B</t>
  </si>
  <si>
    <t>70387C</t>
  </si>
  <si>
    <t>70388</t>
  </si>
  <si>
    <t>70389</t>
  </si>
  <si>
    <t>70390</t>
  </si>
  <si>
    <t>70391</t>
  </si>
  <si>
    <t>70392</t>
  </si>
  <si>
    <t>70393</t>
  </si>
  <si>
    <t>70394</t>
  </si>
  <si>
    <t>70396</t>
  </si>
  <si>
    <t>70397</t>
  </si>
  <si>
    <t>70399</t>
  </si>
  <si>
    <t>70403</t>
  </si>
  <si>
    <t>70404</t>
  </si>
  <si>
    <t>70405</t>
  </si>
  <si>
    <t>70406</t>
  </si>
  <si>
    <t>70407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</si>
  <si>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</si>
  <si>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</si>
  <si>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</si>
  <si>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</si>
  <si>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</si>
  <si>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</si>
  <si>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</si>
  <si>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</si>
  <si>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</si>
  <si>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</si>
  <si>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</si>
  <si>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70427</t>
  </si>
  <si>
    <t>70428</t>
  </si>
  <si>
    <t>70429</t>
  </si>
  <si>
    <t>70430</t>
  </si>
  <si>
    <t>70431</t>
  </si>
  <si>
    <t>70432</t>
  </si>
  <si>
    <t>70433</t>
  </si>
  <si>
    <t>70435</t>
  </si>
  <si>
    <t>70436</t>
  </si>
  <si>
    <t>70437</t>
  </si>
  <si>
    <t>70438</t>
  </si>
  <si>
    <t>70439</t>
  </si>
  <si>
    <t>70441</t>
  </si>
  <si>
    <t>70441/A</t>
  </si>
  <si>
    <t>70442</t>
  </si>
  <si>
    <t>70443</t>
  </si>
  <si>
    <t>70444</t>
  </si>
  <si>
    <t>70445</t>
  </si>
  <si>
    <t>70447</t>
  </si>
  <si>
    <t>70448</t>
  </si>
  <si>
    <t>70448/A</t>
  </si>
  <si>
    <t>70449</t>
  </si>
  <si>
    <t>70449/A</t>
  </si>
  <si>
    <t>70450</t>
  </si>
  <si>
    <t>70450/A</t>
  </si>
  <si>
    <t>70451</t>
  </si>
  <si>
    <t>70451/A</t>
  </si>
  <si>
    <t>70452</t>
  </si>
  <si>
    <t>70452/A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</si>
  <si>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</si>
  <si>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</si>
  <si>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</si>
  <si>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</si>
  <si>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</si>
  <si>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</si>
  <si>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</si>
  <si>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</si>
  <si>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</si>
  <si>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</si>
  <si>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</si>
  <si>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</si>
  <si>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</si>
  <si>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</si>
  <si>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</si>
  <si>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</si>
  <si>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</si>
  <si>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70470</t>
  </si>
  <si>
    <t>70472</t>
  </si>
  <si>
    <t>70473</t>
  </si>
  <si>
    <t>70474</t>
  </si>
  <si>
    <t>70475/CO</t>
  </si>
  <si>
    <t>70476</t>
  </si>
  <si>
    <t>70476A</t>
  </si>
  <si>
    <t>70476B</t>
  </si>
  <si>
    <t>70477</t>
  </si>
  <si>
    <t>70478</t>
  </si>
  <si>
    <t>70479</t>
  </si>
  <si>
    <t>70480</t>
  </si>
  <si>
    <t>70481</t>
  </si>
  <si>
    <t>70482</t>
  </si>
  <si>
    <t>70483</t>
  </si>
  <si>
    <t>70485</t>
  </si>
  <si>
    <t>70486</t>
  </si>
  <si>
    <t>70487</t>
  </si>
  <si>
    <t>70488</t>
  </si>
  <si>
    <t>70489</t>
  </si>
  <si>
    <t>70495</t>
  </si>
  <si>
    <t>70496</t>
  </si>
  <si>
    <t>70497</t>
  </si>
  <si>
    <t>70498</t>
  </si>
  <si>
    <t>70499</t>
  </si>
  <si>
    <t>70500</t>
  </si>
  <si>
    <t>70501</t>
  </si>
  <si>
    <t>70503</t>
  </si>
  <si>
    <t>70504</t>
  </si>
  <si>
    <t>70505</t>
  </si>
  <si>
    <t>70507</t>
  </si>
  <si>
    <t>70508</t>
  </si>
  <si>
    <t>70509</t>
  </si>
  <si>
    <t>70510</t>
  </si>
  <si>
    <t>70511</t>
  </si>
  <si>
    <t>70512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</si>
  <si>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</si>
  <si>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</si>
  <si>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</si>
  <si>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</si>
  <si>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</si>
  <si>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</si>
  <si>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</si>
  <si>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</si>
  <si>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</si>
  <si>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</si>
  <si>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</si>
  <si>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</si>
  <si>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</si>
  <si>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</si>
  <si>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</si>
  <si>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</si>
  <si>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</si>
  <si>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</si>
  <si>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</si>
  <si>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</si>
  <si>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</si>
  <si>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</si>
  <si>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</si>
  <si>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</si>
  <si>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</si>
  <si>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</si>
  <si>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</si>
  <si>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70544</t>
  </si>
  <si>
    <t>70545</t>
  </si>
  <si>
    <t>70546</t>
  </si>
  <si>
    <t>70547</t>
  </si>
  <si>
    <t>70548</t>
  </si>
  <si>
    <t>70549</t>
  </si>
  <si>
    <t>70550</t>
  </si>
  <si>
    <t>70551</t>
  </si>
  <si>
    <t>70552/CO</t>
  </si>
  <si>
    <t>70553</t>
  </si>
  <si>
    <t>70554</t>
  </si>
  <si>
    <t>70555</t>
  </si>
  <si>
    <t>70556</t>
  </si>
  <si>
    <t>70557</t>
  </si>
  <si>
    <t>70558</t>
  </si>
  <si>
    <t>70558A</t>
  </si>
  <si>
    <t>70558B</t>
  </si>
  <si>
    <t>70559</t>
  </si>
  <si>
    <t>70559A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</si>
  <si>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</si>
  <si>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</si>
  <si>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</si>
  <si>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</si>
  <si>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</si>
  <si>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</si>
  <si>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</si>
  <si>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</si>
  <si>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70570</t>
  </si>
  <si>
    <t>70571</t>
  </si>
  <si>
    <t>70572</t>
  </si>
  <si>
    <t>70573</t>
  </si>
  <si>
    <t>70574</t>
  </si>
  <si>
    <t>70575</t>
  </si>
  <si>
    <t>70575A</t>
  </si>
  <si>
    <t>70575B</t>
  </si>
  <si>
    <t>70576</t>
  </si>
  <si>
    <t>70576A</t>
  </si>
  <si>
    <t>70576B</t>
  </si>
  <si>
    <t>70576C</t>
  </si>
  <si>
    <t>70577</t>
  </si>
  <si>
    <t>70578</t>
  </si>
  <si>
    <t>70579</t>
  </si>
  <si>
    <t>70580</t>
  </si>
  <si>
    <t>70580/A</t>
  </si>
  <si>
    <t>70581</t>
  </si>
  <si>
    <t>70582</t>
  </si>
  <si>
    <t>70583</t>
  </si>
  <si>
    <t>70584</t>
  </si>
  <si>
    <t>70585</t>
  </si>
  <si>
    <t>70585/2</t>
  </si>
  <si>
    <t>70586</t>
  </si>
  <si>
    <t>70586A</t>
  </si>
  <si>
    <t>70587</t>
  </si>
  <si>
    <t>70587A</t>
  </si>
  <si>
    <t>70588</t>
  </si>
  <si>
    <t>70589</t>
  </si>
  <si>
    <t>70590</t>
  </si>
  <si>
    <t>70591</t>
  </si>
  <si>
    <t>70592</t>
  </si>
  <si>
    <t>70593</t>
  </si>
  <si>
    <t>70594</t>
  </si>
  <si>
    <t>70595</t>
  </si>
  <si>
    <t>70595A</t>
  </si>
  <si>
    <t>70595B</t>
  </si>
  <si>
    <t>70596</t>
  </si>
  <si>
    <t>70597</t>
  </si>
  <si>
    <t>70598</t>
  </si>
  <si>
    <t>70599</t>
  </si>
  <si>
    <t>70600</t>
  </si>
  <si>
    <t>70601</t>
  </si>
  <si>
    <t>70602</t>
  </si>
  <si>
    <t>70603</t>
  </si>
  <si>
    <t>70604</t>
  </si>
  <si>
    <t>70605</t>
  </si>
  <si>
    <t>70606</t>
  </si>
  <si>
    <t>70607</t>
  </si>
  <si>
    <t>70608</t>
  </si>
  <si>
    <t>70609</t>
  </si>
  <si>
    <t>70610</t>
  </si>
  <si>
    <t>70611/CO</t>
  </si>
  <si>
    <t>70612</t>
  </si>
  <si>
    <t>70613</t>
  </si>
  <si>
    <t>70614</t>
  </si>
  <si>
    <t>70614A</t>
  </si>
  <si>
    <t>70617</t>
  </si>
  <si>
    <t>70618</t>
  </si>
  <si>
    <t>70619</t>
  </si>
  <si>
    <t>70619/A</t>
  </si>
  <si>
    <t>70620</t>
  </si>
  <si>
    <t>70620/A</t>
  </si>
  <si>
    <t>70621</t>
  </si>
  <si>
    <t>70621/A</t>
  </si>
  <si>
    <t>70622</t>
  </si>
  <si>
    <t>70623</t>
  </si>
  <si>
    <t>70623/A</t>
  </si>
  <si>
    <t>70624</t>
  </si>
  <si>
    <t>70625</t>
  </si>
  <si>
    <t>70627</t>
  </si>
  <si>
    <t>70628</t>
  </si>
  <si>
    <t>70629</t>
  </si>
  <si>
    <t>70630</t>
  </si>
  <si>
    <t>70631</t>
  </si>
  <si>
    <t>70632</t>
  </si>
  <si>
    <t>70633</t>
  </si>
  <si>
    <t>70634</t>
  </si>
  <si>
    <t>70635</t>
  </si>
  <si>
    <t>70636</t>
  </si>
  <si>
    <t>70636/A</t>
  </si>
  <si>
    <t>70637</t>
  </si>
  <si>
    <t>70637/A</t>
  </si>
  <si>
    <t>70638/CO</t>
  </si>
  <si>
    <t>70639/CO</t>
  </si>
  <si>
    <t>70640</t>
  </si>
  <si>
    <t>70641</t>
  </si>
  <si>
    <t>70642/CO</t>
  </si>
  <si>
    <t>70643</t>
  </si>
  <si>
    <t>70644</t>
  </si>
  <si>
    <t>70645</t>
  </si>
  <si>
    <t>70646</t>
  </si>
  <si>
    <t>70648</t>
  </si>
  <si>
    <t>70649</t>
  </si>
  <si>
    <t>70650</t>
  </si>
  <si>
    <t>70651</t>
  </si>
  <si>
    <t>70652</t>
  </si>
  <si>
    <t>70653</t>
  </si>
  <si>
    <t>70654</t>
  </si>
  <si>
    <t>70655</t>
  </si>
  <si>
    <t>70656</t>
  </si>
  <si>
    <t>70657</t>
  </si>
  <si>
    <t>70658</t>
  </si>
  <si>
    <t>70659</t>
  </si>
  <si>
    <t>70660</t>
  </si>
  <si>
    <t>70661</t>
  </si>
  <si>
    <t>70661A</t>
  </si>
  <si>
    <t>70662</t>
  </si>
  <si>
    <t>70663</t>
  </si>
  <si>
    <t>70664</t>
  </si>
  <si>
    <t>70665</t>
  </si>
  <si>
    <t>70666</t>
  </si>
  <si>
    <t>70667</t>
  </si>
  <si>
    <t>70668</t>
  </si>
  <si>
    <t>70669</t>
  </si>
  <si>
    <t>70670</t>
  </si>
  <si>
    <t>70671</t>
  </si>
  <si>
    <t>70672</t>
  </si>
  <si>
    <t>70673</t>
  </si>
  <si>
    <t>70674</t>
  </si>
  <si>
    <t>70675</t>
  </si>
  <si>
    <t>70676</t>
  </si>
  <si>
    <t>70677</t>
  </si>
  <si>
    <t>70682</t>
  </si>
  <si>
    <t>70683</t>
  </si>
  <si>
    <t>70684</t>
  </si>
  <si>
    <t>70684/A</t>
  </si>
  <si>
    <t>70684/B</t>
  </si>
  <si>
    <t>70685</t>
  </si>
  <si>
    <t>70686</t>
  </si>
  <si>
    <t>70687</t>
  </si>
  <si>
    <t>70688</t>
  </si>
  <si>
    <t>70689</t>
  </si>
  <si>
    <t>70690</t>
  </si>
  <si>
    <t>70691</t>
  </si>
  <si>
    <t>70692</t>
  </si>
  <si>
    <t>70693</t>
  </si>
  <si>
    <t>70694</t>
  </si>
  <si>
    <t>70695</t>
  </si>
  <si>
    <t>70696</t>
  </si>
  <si>
    <t>70697</t>
  </si>
  <si>
    <t>70699</t>
  </si>
  <si>
    <t>70700</t>
  </si>
  <si>
    <t>70701</t>
  </si>
  <si>
    <t>70702</t>
  </si>
  <si>
    <t>70703</t>
  </si>
  <si>
    <t>70704</t>
  </si>
  <si>
    <t>70705</t>
  </si>
  <si>
    <t>70706</t>
  </si>
  <si>
    <t>70706A</t>
  </si>
  <si>
    <t>70706B</t>
  </si>
  <si>
    <t>70707</t>
  </si>
  <si>
    <t>70708</t>
  </si>
  <si>
    <t>70709</t>
  </si>
  <si>
    <t>70710</t>
  </si>
  <si>
    <t>70710A</t>
  </si>
  <si>
    <t>70711</t>
  </si>
  <si>
    <t>70712</t>
  </si>
  <si>
    <t>70713</t>
  </si>
  <si>
    <t>70714</t>
  </si>
  <si>
    <t>70715</t>
  </si>
  <si>
    <t>70716</t>
  </si>
  <si>
    <t>70717</t>
  </si>
  <si>
    <t>70718</t>
  </si>
  <si>
    <t>70719</t>
  </si>
  <si>
    <t>70720</t>
  </si>
  <si>
    <t>70721</t>
  </si>
  <si>
    <t>70723</t>
  </si>
  <si>
    <t>70724</t>
  </si>
  <si>
    <t>70725</t>
  </si>
  <si>
    <t>70726</t>
  </si>
  <si>
    <t>70727</t>
  </si>
  <si>
    <t>70728</t>
  </si>
  <si>
    <t>70730</t>
  </si>
  <si>
    <t>70731</t>
  </si>
  <si>
    <t>70736</t>
  </si>
  <si>
    <t>70737</t>
  </si>
  <si>
    <t>70738</t>
  </si>
  <si>
    <t>70739</t>
  </si>
  <si>
    <t>70740</t>
  </si>
  <si>
    <t>70742</t>
  </si>
  <si>
    <t>70743</t>
  </si>
  <si>
    <t>70744</t>
  </si>
  <si>
    <t>70745</t>
  </si>
  <si>
    <t>70746</t>
  </si>
  <si>
    <t>70747</t>
  </si>
  <si>
    <t>70748</t>
  </si>
  <si>
    <t>70749</t>
  </si>
  <si>
    <t>70750</t>
  </si>
  <si>
    <t>70751</t>
  </si>
  <si>
    <t>70752</t>
  </si>
  <si>
    <t>70753</t>
  </si>
  <si>
    <t>70754</t>
  </si>
  <si>
    <t>70755</t>
  </si>
  <si>
    <t>70755/A</t>
  </si>
  <si>
    <t>70755/B</t>
  </si>
  <si>
    <t>70755A</t>
  </si>
  <si>
    <t>70755A/A</t>
  </si>
  <si>
    <t>70756</t>
  </si>
  <si>
    <t>70757</t>
  </si>
  <si>
    <t>70758</t>
  </si>
  <si>
    <t>70759</t>
  </si>
  <si>
    <t>70760</t>
  </si>
  <si>
    <t>70761</t>
  </si>
  <si>
    <t>70762</t>
  </si>
  <si>
    <t>70763</t>
  </si>
  <si>
    <t>70764</t>
  </si>
  <si>
    <t>70765</t>
  </si>
  <si>
    <t>70766</t>
  </si>
  <si>
    <t>70767</t>
  </si>
  <si>
    <t>70768</t>
  </si>
  <si>
    <t>70769</t>
  </si>
  <si>
    <t>70770</t>
  </si>
  <si>
    <t>70771</t>
  </si>
  <si>
    <t>70772</t>
  </si>
  <si>
    <t>70773</t>
  </si>
  <si>
    <t>70774</t>
  </si>
  <si>
    <t>70775</t>
  </si>
  <si>
    <t>70776</t>
  </si>
  <si>
    <t>70777</t>
  </si>
  <si>
    <t>70778</t>
  </si>
  <si>
    <t>70779</t>
  </si>
  <si>
    <t>70779A</t>
  </si>
  <si>
    <t>70780</t>
  </si>
  <si>
    <t>70780A</t>
  </si>
  <si>
    <t>70781</t>
  </si>
  <si>
    <t>70782</t>
  </si>
  <si>
    <t>70783</t>
  </si>
  <si>
    <t>70784</t>
  </si>
  <si>
    <t>70785</t>
  </si>
  <si>
    <t>70786</t>
  </si>
  <si>
    <t>70787</t>
  </si>
  <si>
    <t>70788</t>
  </si>
  <si>
    <t>70789</t>
  </si>
  <si>
    <t>70790</t>
  </si>
  <si>
    <t>70791</t>
  </si>
  <si>
    <t>70792</t>
  </si>
  <si>
    <t>70793</t>
  </si>
  <si>
    <t>70794</t>
  </si>
  <si>
    <t>70795</t>
  </si>
  <si>
    <t>70796</t>
  </si>
  <si>
    <t>70797</t>
  </si>
  <si>
    <t>70798</t>
  </si>
  <si>
    <t>70799</t>
  </si>
  <si>
    <t>70800</t>
  </si>
  <si>
    <t>70801</t>
  </si>
  <si>
    <t>70802</t>
  </si>
  <si>
    <t>70803</t>
  </si>
  <si>
    <t>70804</t>
  </si>
  <si>
    <t>70805</t>
  </si>
  <si>
    <t>70806</t>
  </si>
  <si>
    <t>70807</t>
  </si>
  <si>
    <t>70808</t>
  </si>
  <si>
    <t>70809</t>
  </si>
  <si>
    <t>70810</t>
  </si>
  <si>
    <t>70811</t>
  </si>
  <si>
    <t>70812</t>
  </si>
  <si>
    <t>70813</t>
  </si>
  <si>
    <t>70814</t>
  </si>
  <si>
    <t>70815</t>
  </si>
  <si>
    <t>70816</t>
  </si>
  <si>
    <t>70817</t>
  </si>
  <si>
    <t>70818</t>
  </si>
  <si>
    <t>70819</t>
  </si>
  <si>
    <t>70820</t>
  </si>
  <si>
    <t>70821</t>
  </si>
  <si>
    <t>70822</t>
  </si>
  <si>
    <t>70823</t>
  </si>
  <si>
    <t>70824</t>
  </si>
  <si>
    <t>70825</t>
  </si>
  <si>
    <t>70826</t>
  </si>
  <si>
    <t>70827</t>
  </si>
  <si>
    <t>70828</t>
  </si>
  <si>
    <t>70829</t>
  </si>
  <si>
    <t>70830</t>
  </si>
  <si>
    <t>70831</t>
  </si>
  <si>
    <t>70832</t>
  </si>
  <si>
    <t>70833</t>
  </si>
  <si>
    <t>70834</t>
  </si>
  <si>
    <t>70835</t>
  </si>
  <si>
    <t>70836</t>
  </si>
  <si>
    <t>70837</t>
  </si>
  <si>
    <t>70838</t>
  </si>
  <si>
    <t>70839</t>
  </si>
  <si>
    <t>70840</t>
  </si>
  <si>
    <t>70841</t>
  </si>
  <si>
    <t>70841/A</t>
  </si>
  <si>
    <t>70842</t>
  </si>
  <si>
    <t>70842/A</t>
  </si>
  <si>
    <t>70843</t>
  </si>
  <si>
    <t>70844</t>
  </si>
  <si>
    <t>70845</t>
  </si>
  <si>
    <t>70845A</t>
  </si>
  <si>
    <t>70845B</t>
  </si>
  <si>
    <t>70845C</t>
  </si>
  <si>
    <t>70846</t>
  </si>
  <si>
    <t>70846A</t>
  </si>
  <si>
    <t>70847</t>
  </si>
  <si>
    <t>70848</t>
  </si>
  <si>
    <t>70849</t>
  </si>
  <si>
    <t>70850</t>
  </si>
  <si>
    <t>70854</t>
  </si>
  <si>
    <t>70856</t>
  </si>
  <si>
    <t>70857</t>
  </si>
  <si>
    <t>70858</t>
  </si>
  <si>
    <t>70859</t>
  </si>
  <si>
    <t>70860</t>
  </si>
  <si>
    <t>70861</t>
  </si>
  <si>
    <t>70862</t>
  </si>
  <si>
    <t>70864</t>
  </si>
  <si>
    <t>70865</t>
  </si>
  <si>
    <t>70866</t>
  </si>
  <si>
    <t>70867</t>
  </si>
  <si>
    <t>70868</t>
  </si>
  <si>
    <t>70869</t>
  </si>
  <si>
    <t>70870</t>
  </si>
  <si>
    <t>70870A</t>
  </si>
  <si>
    <t>70871</t>
  </si>
  <si>
    <t>70872</t>
  </si>
  <si>
    <t>70873</t>
  </si>
  <si>
    <t>70873/A</t>
  </si>
  <si>
    <t>70873/B</t>
  </si>
  <si>
    <t>70873/C</t>
  </si>
  <si>
    <t>70874</t>
  </si>
  <si>
    <t>70875</t>
  </si>
  <si>
    <t>70875A</t>
  </si>
  <si>
    <t>70875B</t>
  </si>
  <si>
    <t>70875C</t>
  </si>
  <si>
    <t>70875D</t>
  </si>
  <si>
    <t>70875E</t>
  </si>
  <si>
    <t>70876</t>
  </si>
  <si>
    <t>70877</t>
  </si>
  <si>
    <t>70877A</t>
  </si>
  <si>
    <t>70877B</t>
  </si>
  <si>
    <t>70877C</t>
  </si>
  <si>
    <t>70877D</t>
  </si>
  <si>
    <t>70878</t>
  </si>
  <si>
    <t>70879</t>
  </si>
  <si>
    <t>70880</t>
  </si>
  <si>
    <t>70881</t>
  </si>
  <si>
    <t>70882</t>
  </si>
  <si>
    <t>70883</t>
  </si>
  <si>
    <t>70884</t>
  </si>
  <si>
    <t>70885</t>
  </si>
  <si>
    <t>70886</t>
  </si>
  <si>
    <t>70887</t>
  </si>
  <si>
    <t>70889</t>
  </si>
  <si>
    <t>70890</t>
  </si>
  <si>
    <t>70891</t>
  </si>
  <si>
    <t>70892</t>
  </si>
  <si>
    <t>70893</t>
  </si>
  <si>
    <t>70894</t>
  </si>
  <si>
    <t>70895</t>
  </si>
  <si>
    <t>70896</t>
  </si>
  <si>
    <t>70897</t>
  </si>
  <si>
    <t>70898</t>
  </si>
  <si>
    <t>70899</t>
  </si>
  <si>
    <t>70900</t>
  </si>
  <si>
    <t>70901</t>
  </si>
  <si>
    <t>70902/CO</t>
  </si>
  <si>
    <t>70903/CO</t>
  </si>
  <si>
    <t>70904/CO</t>
  </si>
  <si>
    <t>70905/CO</t>
  </si>
  <si>
    <t>70906</t>
  </si>
  <si>
    <t>70907</t>
  </si>
  <si>
    <t>70908</t>
  </si>
  <si>
    <t>70909</t>
  </si>
  <si>
    <t>70910</t>
  </si>
  <si>
    <t>70911</t>
  </si>
  <si>
    <t>70912</t>
  </si>
  <si>
    <t>70916</t>
  </si>
  <si>
    <t>70917</t>
  </si>
  <si>
    <t>70918</t>
  </si>
  <si>
    <t>70919</t>
  </si>
  <si>
    <t>70920</t>
  </si>
  <si>
    <t>70921</t>
  </si>
  <si>
    <t>70922</t>
  </si>
  <si>
    <t>70923</t>
  </si>
  <si>
    <t>70924</t>
  </si>
  <si>
    <t>70925</t>
  </si>
  <si>
    <t>70926</t>
  </si>
  <si>
    <t>70927</t>
  </si>
  <si>
    <t>70928</t>
  </si>
  <si>
    <t>70929</t>
  </si>
  <si>
    <t>70930</t>
  </si>
  <si>
    <t>70931</t>
  </si>
  <si>
    <t>70932</t>
  </si>
  <si>
    <t>70933</t>
  </si>
  <si>
    <t>70934</t>
  </si>
  <si>
    <t>70935</t>
  </si>
  <si>
    <t>70936</t>
  </si>
  <si>
    <t>70937</t>
  </si>
  <si>
    <t>70937/A</t>
  </si>
  <si>
    <t>70937A</t>
  </si>
  <si>
    <t>70938</t>
  </si>
  <si>
    <t>70938/A</t>
  </si>
  <si>
    <t>70939</t>
  </si>
  <si>
    <t>70940</t>
  </si>
  <si>
    <t>70940A</t>
  </si>
  <si>
    <t>70940B</t>
  </si>
  <si>
    <t>70941</t>
  </si>
  <si>
    <t>70942</t>
  </si>
  <si>
    <t>70943</t>
  </si>
  <si>
    <t>70944</t>
  </si>
  <si>
    <t>70945</t>
  </si>
  <si>
    <t>70946</t>
  </si>
  <si>
    <t>70947</t>
  </si>
  <si>
    <t>70948</t>
  </si>
  <si>
    <t>70949</t>
  </si>
  <si>
    <t>70950</t>
  </si>
  <si>
    <t>70950A</t>
  </si>
  <si>
    <t>70950B</t>
  </si>
  <si>
    <t>70950C</t>
  </si>
  <si>
    <t>70950D</t>
  </si>
  <si>
    <t>70950E</t>
  </si>
  <si>
    <t>70951</t>
  </si>
  <si>
    <t>70953</t>
  </si>
  <si>
    <t>70954</t>
  </si>
  <si>
    <t>70955</t>
  </si>
  <si>
    <t>70955/A</t>
  </si>
  <si>
    <t>70956</t>
  </si>
  <si>
    <t>70958</t>
  </si>
  <si>
    <t>70959</t>
  </si>
  <si>
    <t>70960</t>
  </si>
  <si>
    <t>70961</t>
  </si>
  <si>
    <t>70963</t>
  </si>
  <si>
    <t>70969</t>
  </si>
  <si>
    <t>70970</t>
  </si>
  <si>
    <t>70971</t>
  </si>
  <si>
    <t>70972</t>
  </si>
  <si>
    <t>70973</t>
  </si>
  <si>
    <t>70974</t>
  </si>
  <si>
    <t>70975</t>
  </si>
  <si>
    <t>70975/CO</t>
  </si>
  <si>
    <t>70976</t>
  </si>
  <si>
    <t>70977</t>
  </si>
  <si>
    <t>70978</t>
  </si>
  <si>
    <t>70978A</t>
  </si>
  <si>
    <t>70979</t>
  </si>
  <si>
    <t>70979A</t>
  </si>
  <si>
    <t>70980</t>
  </si>
  <si>
    <t>70981</t>
  </si>
  <si>
    <t>70982</t>
  </si>
  <si>
    <t>70984</t>
  </si>
  <si>
    <t>70986</t>
  </si>
  <si>
    <t>70987</t>
  </si>
  <si>
    <t>70989</t>
  </si>
  <si>
    <t>70990</t>
  </si>
  <si>
    <t>70991</t>
  </si>
  <si>
    <t>70992</t>
  </si>
  <si>
    <t>70993</t>
  </si>
  <si>
    <t>70993A</t>
  </si>
  <si>
    <t>70993B</t>
  </si>
  <si>
    <t>70993C</t>
  </si>
  <si>
    <t>70995</t>
  </si>
  <si>
    <t>70996</t>
  </si>
  <si>
    <t>70998</t>
  </si>
  <si>
    <t>70999</t>
  </si>
  <si>
    <t>71000</t>
  </si>
  <si>
    <t>71001</t>
  </si>
  <si>
    <t>71002</t>
  </si>
  <si>
    <t>71003</t>
  </si>
  <si>
    <t>71004</t>
  </si>
  <si>
    <t>71005</t>
  </si>
  <si>
    <t>71007</t>
  </si>
  <si>
    <t>71008</t>
  </si>
  <si>
    <t>71009</t>
  </si>
  <si>
    <t>71010</t>
  </si>
  <si>
    <t>71011</t>
  </si>
  <si>
    <t>71012</t>
  </si>
  <si>
    <t>71013</t>
  </si>
  <si>
    <t>71015</t>
  </si>
  <si>
    <t>71016</t>
  </si>
  <si>
    <t>71017</t>
  </si>
  <si>
    <t>71019</t>
  </si>
  <si>
    <t>71020</t>
  </si>
  <si>
    <t>71021</t>
  </si>
  <si>
    <t>71022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</si>
  <si>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</si>
  <si>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</si>
  <si>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</si>
  <si>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</si>
  <si>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</si>
  <si>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</si>
  <si>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</si>
  <si>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</si>
  <si>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</si>
  <si>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</si>
  <si>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</si>
  <si>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</si>
  <si>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</si>
  <si>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</si>
  <si>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71039</t>
  </si>
  <si>
    <t>71040</t>
  </si>
  <si>
    <t>71041</t>
  </si>
  <si>
    <t>71042</t>
  </si>
  <si>
    <t>71042/A</t>
  </si>
  <si>
    <t>71044</t>
  </si>
  <si>
    <t>71045</t>
  </si>
  <si>
    <t>71046</t>
  </si>
  <si>
    <t>71047</t>
  </si>
  <si>
    <t>71048</t>
  </si>
  <si>
    <t>71050</t>
  </si>
  <si>
    <t>71051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</si>
  <si>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</si>
  <si>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</si>
  <si>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</si>
  <si>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</si>
  <si>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</si>
  <si>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</si>
  <si>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</si>
  <si>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</si>
  <si>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</si>
  <si>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</si>
  <si>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</si>
  <si>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</si>
  <si>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71067</t>
  </si>
  <si>
    <t>71068</t>
  </si>
  <si>
    <t>71069</t>
  </si>
  <si>
    <t>71070</t>
  </si>
  <si>
    <t>71071</t>
  </si>
  <si>
    <t>71072</t>
  </si>
  <si>
    <t>71073</t>
  </si>
  <si>
    <t>71075</t>
  </si>
  <si>
    <t>71075A</t>
  </si>
  <si>
    <t>71075B</t>
  </si>
  <si>
    <t>71075C</t>
  </si>
  <si>
    <t>71076</t>
  </si>
  <si>
    <t>71079</t>
  </si>
  <si>
    <t>71080</t>
  </si>
  <si>
    <t>71081</t>
  </si>
  <si>
    <t>71082</t>
  </si>
  <si>
    <t>71083</t>
  </si>
  <si>
    <t>71084</t>
  </si>
  <si>
    <t>71086</t>
  </si>
  <si>
    <t>71087</t>
  </si>
  <si>
    <t>71088</t>
  </si>
  <si>
    <t>71089</t>
  </si>
  <si>
    <t>71090</t>
  </si>
  <si>
    <t>71091</t>
  </si>
  <si>
    <t>71092</t>
  </si>
  <si>
    <t>71093</t>
  </si>
  <si>
    <t>71094</t>
  </si>
  <si>
    <t>71095</t>
  </si>
  <si>
    <t>71096</t>
  </si>
  <si>
    <t>71097</t>
  </si>
  <si>
    <t>71097A</t>
  </si>
  <si>
    <t>71098</t>
  </si>
  <si>
    <t>71099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</si>
  <si>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</si>
  <si>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</si>
  <si>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</si>
  <si>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</si>
  <si>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</si>
  <si>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</si>
  <si>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</si>
  <si>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</si>
  <si>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</si>
  <si>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</si>
  <si>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</si>
  <si>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</si>
  <si>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71115</t>
  </si>
  <si>
    <t>71116</t>
  </si>
  <si>
    <t>71117</t>
  </si>
  <si>
    <t>71118</t>
  </si>
  <si>
    <t>71119</t>
  </si>
  <si>
    <t>71120</t>
  </si>
  <si>
    <t>71121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</si>
  <si>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</si>
  <si>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</si>
  <si>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</si>
  <si>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</si>
  <si>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</si>
  <si>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</si>
  <si>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</si>
  <si>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</si>
  <si>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</si>
  <si>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71133</t>
  </si>
  <si>
    <t>71134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</si>
  <si>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</si>
  <si>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</si>
  <si>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</si>
  <si>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</si>
  <si>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</si>
  <si>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</si>
  <si>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</si>
  <si>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</si>
  <si>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</si>
  <si>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</si>
  <si>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</si>
  <si>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</si>
  <si>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</si>
  <si>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</si>
  <si>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</si>
  <si>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</si>
  <si>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</si>
  <si>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</si>
  <si>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</si>
  <si>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</si>
  <si>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</si>
  <si>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</si>
  <si>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</si>
  <si>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</si>
  <si>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</si>
  <si>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</si>
  <si>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</si>
  <si>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</si>
  <si>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</si>
  <si>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</si>
  <si>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</si>
  <si>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</si>
  <si>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</si>
  <si>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</si>
  <si>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</si>
  <si>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</si>
  <si>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</si>
  <si>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</si>
  <si>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</si>
  <si>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</si>
  <si>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</si>
  <si>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</si>
  <si>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</si>
  <si>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</si>
  <si>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</si>
  <si>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</si>
  <si>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71186</t>
  </si>
  <si>
    <t>71187</t>
  </si>
  <si>
    <t>71188</t>
  </si>
  <si>
    <t>71189</t>
  </si>
  <si>
    <t>71189/A</t>
  </si>
  <si>
    <t>71190</t>
  </si>
  <si>
    <t>71191</t>
  </si>
  <si>
    <t>71192</t>
  </si>
  <si>
    <t>71193</t>
  </si>
  <si>
    <t>71194</t>
  </si>
  <si>
    <t>71197</t>
  </si>
  <si>
    <t>71198</t>
  </si>
  <si>
    <t>71199</t>
  </si>
  <si>
    <t>71200</t>
  </si>
  <si>
    <t>71203</t>
  </si>
  <si>
    <t>71204</t>
  </si>
  <si>
    <t>71205</t>
  </si>
  <si>
    <t>71209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</si>
  <si>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</si>
  <si>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</si>
  <si>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</si>
  <si>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</si>
  <si>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</si>
  <si>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</si>
  <si>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</si>
  <si>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</si>
  <si>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</si>
  <si>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</si>
  <si>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</si>
  <si>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</si>
  <si>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</si>
  <si>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</si>
  <si>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</si>
  <si>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</si>
  <si>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71227</t>
  </si>
  <si>
    <t>71228</t>
  </si>
  <si>
    <t>71229</t>
  </si>
  <si>
    <t>71230</t>
  </si>
  <si>
    <t>71231</t>
  </si>
  <si>
    <t>71232</t>
  </si>
  <si>
    <t>71232A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</si>
  <si>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</si>
  <si>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</si>
  <si>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</si>
  <si>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</si>
  <si>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</si>
  <si>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</si>
  <si>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</si>
  <si>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</si>
  <si>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71241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</si>
  <si>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</si>
  <si>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</si>
  <si>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</si>
  <si>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</si>
  <si>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</si>
  <si>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</si>
  <si>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</si>
  <si>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</si>
  <si>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</si>
  <si>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</si>
  <si>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</si>
  <si>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</si>
  <si>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</si>
  <si>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</si>
  <si>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</si>
  <si>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</si>
  <si>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71257/A</t>
  </si>
  <si>
    <t>71258</t>
  </si>
  <si>
    <t>71258/A</t>
  </si>
  <si>
    <t>71259</t>
  </si>
  <si>
    <t>71260</t>
  </si>
  <si>
    <t>71261</t>
  </si>
  <si>
    <t>71262</t>
  </si>
  <si>
    <t>71263</t>
  </si>
  <si>
    <t>71264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</si>
  <si>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</si>
  <si>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</si>
  <si>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</si>
  <si>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</si>
  <si>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</si>
  <si>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</si>
  <si>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</si>
  <si>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</si>
  <si>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71274</t>
  </si>
  <si>
    <t>71275</t>
  </si>
  <si>
    <t>71276</t>
  </si>
  <si>
    <t>71277</t>
  </si>
  <si>
    <t>71278</t>
  </si>
  <si>
    <t>71279</t>
  </si>
  <si>
    <t>71280</t>
  </si>
  <si>
    <t>71281</t>
  </si>
  <si>
    <t>71282</t>
  </si>
  <si>
    <t>71283</t>
  </si>
  <si>
    <t>71284</t>
  </si>
  <si>
    <t>71286</t>
  </si>
  <si>
    <t>71287</t>
  </si>
  <si>
    <t>71287A</t>
  </si>
  <si>
    <t>71287B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</si>
  <si>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</si>
  <si>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</si>
  <si>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</si>
  <si>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</si>
  <si>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</si>
  <si>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</si>
  <si>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</si>
  <si>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</si>
  <si>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71295A</t>
  </si>
  <si>
    <t>71296</t>
  </si>
  <si>
    <t>71297</t>
  </si>
  <si>
    <t>71298</t>
  </si>
  <si>
    <t>71299</t>
  </si>
  <si>
    <t>71300</t>
  </si>
  <si>
    <t>71301</t>
  </si>
  <si>
    <t>71302</t>
  </si>
  <si>
    <t>71304</t>
  </si>
  <si>
    <t>71305</t>
  </si>
  <si>
    <t>71306</t>
  </si>
  <si>
    <t>71306A</t>
  </si>
  <si>
    <t>71306B</t>
  </si>
  <si>
    <t>71306C</t>
  </si>
  <si>
    <t>71307</t>
  </si>
  <si>
    <t>71309</t>
  </si>
  <si>
    <t>71310</t>
  </si>
  <si>
    <t>71311</t>
  </si>
  <si>
    <t>71312</t>
  </si>
  <si>
    <t>71313</t>
  </si>
  <si>
    <t>71314</t>
  </si>
  <si>
    <t>71315</t>
  </si>
  <si>
    <t>71316</t>
  </si>
  <si>
    <t>71317</t>
  </si>
  <si>
    <t>71320</t>
  </si>
  <si>
    <t>71321</t>
  </si>
  <si>
    <t>71322</t>
  </si>
  <si>
    <t>71323</t>
  </si>
  <si>
    <t>71324</t>
  </si>
  <si>
    <t>71325</t>
  </si>
  <si>
    <t>71326</t>
  </si>
  <si>
    <t>71330</t>
  </si>
  <si>
    <t>71332</t>
  </si>
  <si>
    <t>71333</t>
  </si>
  <si>
    <t>71334</t>
  </si>
  <si>
    <t>71335</t>
  </si>
  <si>
    <t>71336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</si>
  <si>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</si>
  <si>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</si>
  <si>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</si>
  <si>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</si>
  <si>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</si>
  <si>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</si>
  <si>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</si>
  <si>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</si>
  <si>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</si>
  <si>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</si>
  <si>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71350A</t>
  </si>
  <si>
    <t>71350B</t>
  </si>
  <si>
    <t>71350C</t>
  </si>
  <si>
    <t>71350D</t>
  </si>
  <si>
    <t>71351</t>
  </si>
  <si>
    <t>71352</t>
  </si>
  <si>
    <t>71353</t>
  </si>
  <si>
    <t>71354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</si>
  <si>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</si>
  <si>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</si>
  <si>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</si>
  <si>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</si>
  <si>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</si>
  <si>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</si>
  <si>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</si>
  <si>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</si>
  <si>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71364</t>
  </si>
  <si>
    <t>71365</t>
  </si>
  <si>
    <t>71366</t>
  </si>
  <si>
    <t>71367</t>
  </si>
  <si>
    <t>71368</t>
  </si>
  <si>
    <t>71369</t>
  </si>
  <si>
    <t>71370</t>
  </si>
  <si>
    <t>71371</t>
  </si>
  <si>
    <t>71372</t>
  </si>
  <si>
    <t>71373</t>
  </si>
  <si>
    <t>71374</t>
  </si>
  <si>
    <t>71375</t>
  </si>
  <si>
    <t>71379</t>
  </si>
  <si>
    <t>71382</t>
  </si>
  <si>
    <t>71383</t>
  </si>
  <si>
    <t>71385</t>
  </si>
  <si>
    <t>71386</t>
  </si>
  <si>
    <t>71387</t>
  </si>
  <si>
    <t>71388</t>
  </si>
  <si>
    <t>71388A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</si>
  <si>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</si>
  <si>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</si>
  <si>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</si>
  <si>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</si>
  <si>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</si>
  <si>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</si>
  <si>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</si>
  <si>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</si>
  <si>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</si>
  <si>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</si>
  <si>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</si>
  <si>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</si>
  <si>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71400/A</t>
  </si>
  <si>
    <t>71401</t>
  </si>
  <si>
    <t>71401/A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</si>
  <si>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</si>
  <si>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</si>
  <si>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</si>
  <si>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</si>
  <si>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</si>
  <si>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</si>
  <si>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</si>
  <si>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</si>
  <si>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</si>
  <si>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</si>
  <si>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</si>
  <si>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71414</t>
  </si>
  <si>
    <t>71417</t>
  </si>
  <si>
    <t>71418</t>
  </si>
  <si>
    <t>71419</t>
  </si>
  <si>
    <t>71421</t>
  </si>
  <si>
    <t>71422</t>
  </si>
  <si>
    <t>71423</t>
  </si>
  <si>
    <t>71424</t>
  </si>
  <si>
    <t>71425</t>
  </si>
  <si>
    <t>71426</t>
  </si>
  <si>
    <t>71427</t>
  </si>
  <si>
    <t>71427A</t>
  </si>
  <si>
    <t>71428</t>
  </si>
  <si>
    <t>71429</t>
  </si>
  <si>
    <t>71430</t>
  </si>
  <si>
    <t>71431</t>
  </si>
  <si>
    <t>71433</t>
  </si>
  <si>
    <t>71435</t>
  </si>
  <si>
    <t>71436</t>
  </si>
  <si>
    <t>71437</t>
  </si>
  <si>
    <t>71438</t>
  </si>
  <si>
    <t>71440</t>
  </si>
  <si>
    <t>71441</t>
  </si>
  <si>
    <t>71443</t>
  </si>
  <si>
    <t>71444</t>
  </si>
  <si>
    <t>71445</t>
  </si>
  <si>
    <t>71446</t>
  </si>
  <si>
    <t>71454</t>
  </si>
  <si>
    <t>71455</t>
  </si>
  <si>
    <t>71455A</t>
  </si>
  <si>
    <t>71455B</t>
  </si>
  <si>
    <t>71455C</t>
  </si>
  <si>
    <t>71455D</t>
  </si>
  <si>
    <t>71455E</t>
  </si>
  <si>
    <t>71455F</t>
  </si>
  <si>
    <t>71455G</t>
  </si>
  <si>
    <t>71456</t>
  </si>
  <si>
    <t>71457</t>
  </si>
  <si>
    <t>71458</t>
  </si>
  <si>
    <t>71466</t>
  </si>
  <si>
    <t>71470</t>
  </si>
  <si>
    <t>71476</t>
  </si>
  <si>
    <t>71477</t>
  </si>
  <si>
    <t>71479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</si>
  <si>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</si>
  <si>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</si>
  <si>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</si>
  <si>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</si>
  <si>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</si>
  <si>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</si>
  <si>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</si>
  <si>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</si>
  <si>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</si>
  <si>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</si>
  <si>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71490A</t>
  </si>
  <si>
    <t>71491</t>
  </si>
  <si>
    <t>71492</t>
  </si>
  <si>
    <t>71493</t>
  </si>
  <si>
    <t>71493/B</t>
  </si>
  <si>
    <t>71493A</t>
  </si>
  <si>
    <t>71493B</t>
  </si>
  <si>
    <t>71494</t>
  </si>
  <si>
    <t>71495</t>
  </si>
  <si>
    <t>71496</t>
  </si>
  <si>
    <t>71497</t>
  </si>
  <si>
    <t>71498</t>
  </si>
  <si>
    <t>71499</t>
  </si>
  <si>
    <t>71499A</t>
  </si>
  <si>
    <t>71499C</t>
  </si>
  <si>
    <t>71499D</t>
  </si>
  <si>
    <t>71500</t>
  </si>
  <si>
    <t>71502</t>
  </si>
  <si>
    <t>71503</t>
  </si>
  <si>
    <t>71504</t>
  </si>
  <si>
    <t>71505</t>
  </si>
  <si>
    <t>71507</t>
  </si>
  <si>
    <t>71508</t>
  </si>
  <si>
    <t>71509</t>
  </si>
  <si>
    <t>71511</t>
  </si>
  <si>
    <t>71514</t>
  </si>
  <si>
    <t>71515</t>
  </si>
  <si>
    <t>71516</t>
  </si>
  <si>
    <t>71517</t>
  </si>
  <si>
    <t>71518</t>
  </si>
  <si>
    <t>71519</t>
  </si>
  <si>
    <t>71520</t>
  </si>
  <si>
    <t>71520A</t>
  </si>
  <si>
    <t>71521</t>
  </si>
  <si>
    <t>71526</t>
  </si>
  <si>
    <t>71527</t>
  </si>
  <si>
    <t>71528</t>
  </si>
  <si>
    <t>71529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</si>
  <si>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</si>
  <si>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</si>
  <si>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</si>
  <si>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</si>
  <si>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</si>
  <si>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</si>
  <si>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</si>
  <si>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</si>
  <si>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</si>
  <si>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71539</t>
  </si>
  <si>
    <t>71541</t>
  </si>
  <si>
    <t>71544</t>
  </si>
  <si>
    <t>71545</t>
  </si>
  <si>
    <t>71545/CO</t>
  </si>
  <si>
    <t>71546</t>
  </si>
  <si>
    <t>71547</t>
  </si>
  <si>
    <t>71548</t>
  </si>
  <si>
    <t>71549</t>
  </si>
  <si>
    <t>71551</t>
  </si>
  <si>
    <t>71552</t>
  </si>
  <si>
    <t>71553</t>
  </si>
  <si>
    <t>71553A</t>
  </si>
  <si>
    <t>71554</t>
  </si>
  <si>
    <t>71554A</t>
  </si>
  <si>
    <t>71557</t>
  </si>
  <si>
    <t>71558</t>
  </si>
  <si>
    <t>71558A</t>
  </si>
  <si>
    <t>71558B</t>
  </si>
  <si>
    <t>71559</t>
  </si>
  <si>
    <t>71560</t>
  </si>
  <si>
    <t>71561</t>
  </si>
  <si>
    <t>71562</t>
  </si>
  <si>
    <t>71563</t>
  </si>
  <si>
    <t>71564</t>
  </si>
  <si>
    <t>71565</t>
  </si>
  <si>
    <t>71566</t>
  </si>
  <si>
    <t>71567</t>
  </si>
  <si>
    <t>71568</t>
  </si>
  <si>
    <t>71569</t>
  </si>
  <si>
    <t>71570</t>
  </si>
  <si>
    <t>71571</t>
  </si>
  <si>
    <t>71572</t>
  </si>
  <si>
    <t>71573</t>
  </si>
  <si>
    <t>71574</t>
  </si>
  <si>
    <t>71575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</si>
  <si>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</si>
  <si>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</si>
  <si>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</si>
  <si>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</si>
  <si>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</si>
  <si>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</si>
  <si>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</si>
  <si>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</si>
  <si>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</si>
  <si>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</si>
  <si>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71587</t>
  </si>
  <si>
    <t>71589</t>
  </si>
  <si>
    <t>71589A</t>
  </si>
  <si>
    <t>71590</t>
  </si>
  <si>
    <t>71590A</t>
  </si>
  <si>
    <t>71591</t>
  </si>
  <si>
    <t>71591A</t>
  </si>
  <si>
    <t>71591B</t>
  </si>
  <si>
    <t>71591C</t>
  </si>
  <si>
    <t>71593</t>
  </si>
  <si>
    <t>71594</t>
  </si>
  <si>
    <t>71594A</t>
  </si>
  <si>
    <t>71594B</t>
  </si>
  <si>
    <t>71595</t>
  </si>
  <si>
    <t>71595A</t>
  </si>
  <si>
    <t>71596</t>
  </si>
  <si>
    <t>71597</t>
  </si>
  <si>
    <t>71597A</t>
  </si>
  <si>
    <t>71598</t>
  </si>
  <si>
    <t>71599</t>
  </si>
  <si>
    <t>71600</t>
  </si>
  <si>
    <t>71603</t>
  </si>
  <si>
    <t>71604</t>
  </si>
  <si>
    <t>71608</t>
  </si>
  <si>
    <t>71609</t>
  </si>
  <si>
    <t>71611</t>
  </si>
  <si>
    <t>71612</t>
  </si>
  <si>
    <t>71612/A</t>
  </si>
  <si>
    <t>71612A</t>
  </si>
  <si>
    <t>71612B</t>
  </si>
  <si>
    <t>71613</t>
  </si>
  <si>
    <t>71613/A</t>
  </si>
  <si>
    <t>71614</t>
  </si>
  <si>
    <t>71614/A</t>
  </si>
  <si>
    <t>71615</t>
  </si>
  <si>
    <t>71615/A</t>
  </si>
  <si>
    <t>71618</t>
  </si>
  <si>
    <t>71619</t>
  </si>
  <si>
    <t>71620</t>
  </si>
  <si>
    <t>71623</t>
  </si>
  <si>
    <t>71624</t>
  </si>
  <si>
    <t>71625</t>
  </si>
  <si>
    <t>71626</t>
  </si>
  <si>
    <t>71627</t>
  </si>
  <si>
    <t>71628</t>
  </si>
  <si>
    <t>71633</t>
  </si>
  <si>
    <t>71634</t>
  </si>
  <si>
    <t>71635</t>
  </si>
  <si>
    <t>71636</t>
  </si>
  <si>
    <t>71637</t>
  </si>
  <si>
    <t>71638</t>
  </si>
  <si>
    <t>71639</t>
  </si>
  <si>
    <t>71641</t>
  </si>
  <si>
    <t>71642</t>
  </si>
  <si>
    <t>71643</t>
  </si>
  <si>
    <t>71643A</t>
  </si>
  <si>
    <t>71644</t>
  </si>
  <si>
    <t>71645</t>
  </si>
  <si>
    <t>71646</t>
  </si>
  <si>
    <t>71647</t>
  </si>
  <si>
    <t>71648</t>
  </si>
  <si>
    <t>71649</t>
  </si>
  <si>
    <t>71650</t>
  </si>
  <si>
    <t>71651</t>
  </si>
  <si>
    <t>71652</t>
  </si>
  <si>
    <t>71653</t>
  </si>
  <si>
    <t>71655</t>
  </si>
  <si>
    <t>71656</t>
  </si>
  <si>
    <t>71659</t>
  </si>
  <si>
    <t>71660</t>
  </si>
  <si>
    <t>71661</t>
  </si>
  <si>
    <t>71662</t>
  </si>
  <si>
    <t>71663</t>
  </si>
  <si>
    <t>71664</t>
  </si>
  <si>
    <t>71665</t>
  </si>
  <si>
    <t>71666</t>
  </si>
  <si>
    <t>71667</t>
  </si>
  <si>
    <t>71668</t>
  </si>
  <si>
    <t>71669</t>
  </si>
  <si>
    <t>71670</t>
  </si>
  <si>
    <t>71671</t>
  </si>
  <si>
    <t>71672</t>
  </si>
  <si>
    <t>71673</t>
  </si>
  <si>
    <t>71674</t>
  </si>
  <si>
    <t>71674A</t>
  </si>
  <si>
    <t>71674B</t>
  </si>
  <si>
    <t>71674C</t>
  </si>
  <si>
    <t>71675</t>
  </si>
  <si>
    <t>71675A</t>
  </si>
  <si>
    <t>71675B</t>
  </si>
  <si>
    <t>71676</t>
  </si>
  <si>
    <t>71677</t>
  </si>
  <si>
    <t>71678</t>
  </si>
  <si>
    <t>71679</t>
  </si>
  <si>
    <t>71680</t>
  </si>
  <si>
    <t>71681</t>
  </si>
  <si>
    <t>71682</t>
  </si>
  <si>
    <t>71683</t>
  </si>
  <si>
    <t>71684</t>
  </si>
  <si>
    <t>71685</t>
  </si>
  <si>
    <t>71686</t>
  </si>
  <si>
    <t>71687</t>
  </si>
  <si>
    <t>71688</t>
  </si>
  <si>
    <t>71689</t>
  </si>
  <si>
    <t>71691</t>
  </si>
  <si>
    <t>71692</t>
  </si>
  <si>
    <t>71693</t>
  </si>
  <si>
    <t>71694</t>
  </si>
  <si>
    <t>71696</t>
  </si>
  <si>
    <t>71697</t>
  </si>
  <si>
    <t>71698</t>
  </si>
  <si>
    <t>71699</t>
  </si>
  <si>
    <t>71700</t>
  </si>
  <si>
    <t>71701</t>
  </si>
  <si>
    <t>71702</t>
  </si>
  <si>
    <t>71703</t>
  </si>
  <si>
    <t>71704</t>
  </si>
  <si>
    <t>71705</t>
  </si>
  <si>
    <t>71706</t>
  </si>
  <si>
    <t>71707</t>
  </si>
  <si>
    <t>71708</t>
  </si>
  <si>
    <t>71709</t>
  </si>
  <si>
    <t>71712</t>
  </si>
  <si>
    <t>71714</t>
  </si>
  <si>
    <t>71715</t>
  </si>
  <si>
    <t>71715A</t>
  </si>
  <si>
    <t>71717</t>
  </si>
  <si>
    <t>71718</t>
  </si>
  <si>
    <t>71718A</t>
  </si>
  <si>
    <t>71719</t>
  </si>
  <si>
    <t>71720</t>
  </si>
  <si>
    <t>71721</t>
  </si>
  <si>
    <t>71722</t>
  </si>
  <si>
    <t>71723</t>
  </si>
  <si>
    <t>71724</t>
  </si>
  <si>
    <t>71725</t>
  </si>
  <si>
    <t>71726</t>
  </si>
  <si>
    <t>71727</t>
  </si>
  <si>
    <t>71728</t>
  </si>
  <si>
    <t>71729</t>
  </si>
  <si>
    <t>71730</t>
  </si>
  <si>
    <t>71731</t>
  </si>
  <si>
    <t>71733</t>
  </si>
  <si>
    <t>71734</t>
  </si>
  <si>
    <t>71734A</t>
  </si>
  <si>
    <t>71734B</t>
  </si>
  <si>
    <t>71735</t>
  </si>
  <si>
    <t>71737</t>
  </si>
  <si>
    <t>71738</t>
  </si>
  <si>
    <t>71739</t>
  </si>
  <si>
    <t>71740</t>
  </si>
  <si>
    <t>71741</t>
  </si>
  <si>
    <t>71742</t>
  </si>
  <si>
    <t>71743</t>
  </si>
  <si>
    <t>71744</t>
  </si>
  <si>
    <t>71745</t>
  </si>
  <si>
    <t>71748</t>
  </si>
  <si>
    <t>71749</t>
  </si>
  <si>
    <t>71750</t>
  </si>
  <si>
    <t>71751</t>
  </si>
  <si>
    <t>71752</t>
  </si>
  <si>
    <t>71754</t>
  </si>
  <si>
    <t>71754A</t>
  </si>
  <si>
    <t>71754B</t>
  </si>
  <si>
    <t>71755</t>
  </si>
  <si>
    <t>71756</t>
  </si>
  <si>
    <t>71757</t>
  </si>
  <si>
    <t>71758</t>
  </si>
  <si>
    <t>71759</t>
  </si>
  <si>
    <t>71760</t>
  </si>
  <si>
    <t>71761</t>
  </si>
  <si>
    <t>71762</t>
  </si>
  <si>
    <t>71763</t>
  </si>
  <si>
    <t>71764</t>
  </si>
  <si>
    <t>71765</t>
  </si>
  <si>
    <t>71766</t>
  </si>
  <si>
    <t>71766A</t>
  </si>
  <si>
    <t>71767</t>
  </si>
  <si>
    <t>71768</t>
  </si>
  <si>
    <t>71769</t>
  </si>
  <si>
    <t>71770</t>
  </si>
  <si>
    <t>71771</t>
  </si>
  <si>
    <t>71772</t>
  </si>
  <si>
    <t>71773</t>
  </si>
  <si>
    <t>71774</t>
  </si>
  <si>
    <t>71775</t>
  </si>
  <si>
    <t>71776</t>
  </si>
  <si>
    <t>71777</t>
  </si>
  <si>
    <t>71778</t>
  </si>
  <si>
    <t>71780</t>
  </si>
  <si>
    <t>71781</t>
  </si>
  <si>
    <t>71782</t>
  </si>
  <si>
    <t>71782/A</t>
  </si>
  <si>
    <t>71783</t>
  </si>
  <si>
    <t>71788</t>
  </si>
  <si>
    <t>71789</t>
  </si>
  <si>
    <t>71790</t>
  </si>
  <si>
    <t>71790/SE</t>
  </si>
  <si>
    <t>71790A</t>
  </si>
  <si>
    <t>71790B</t>
  </si>
  <si>
    <t>71790C</t>
  </si>
  <si>
    <t>71790D</t>
  </si>
  <si>
    <t>71790E</t>
  </si>
  <si>
    <t>71790F</t>
  </si>
  <si>
    <t>71790G</t>
  </si>
  <si>
    <t>71791</t>
  </si>
  <si>
    <t>71792</t>
  </si>
  <si>
    <t>71793</t>
  </si>
  <si>
    <t>71794</t>
  </si>
  <si>
    <t>71795</t>
  </si>
  <si>
    <t>71796</t>
  </si>
  <si>
    <t>71797</t>
  </si>
  <si>
    <t>71798</t>
  </si>
  <si>
    <t>71799</t>
  </si>
  <si>
    <t>71799A</t>
  </si>
  <si>
    <t>71800</t>
  </si>
  <si>
    <t>71800A</t>
  </si>
  <si>
    <t>71800B</t>
  </si>
  <si>
    <t>71801</t>
  </si>
  <si>
    <t>71802</t>
  </si>
  <si>
    <t>71803</t>
  </si>
  <si>
    <t>71804</t>
  </si>
  <si>
    <t>71805</t>
  </si>
  <si>
    <t>71806</t>
  </si>
  <si>
    <t>71807</t>
  </si>
  <si>
    <t>71809</t>
  </si>
  <si>
    <t>71810</t>
  </si>
  <si>
    <t>71811</t>
  </si>
  <si>
    <t>71812</t>
  </si>
  <si>
    <t>71813</t>
  </si>
  <si>
    <t>71814</t>
  </si>
  <si>
    <t>71815</t>
  </si>
  <si>
    <t>71816</t>
  </si>
  <si>
    <t>71817</t>
  </si>
  <si>
    <t>71818</t>
  </si>
  <si>
    <t>71819</t>
  </si>
  <si>
    <t>71820</t>
  </si>
  <si>
    <t>71821</t>
  </si>
  <si>
    <t>71823</t>
  </si>
  <si>
    <t>71824</t>
  </si>
  <si>
    <t>71825</t>
  </si>
  <si>
    <t>71826</t>
  </si>
  <si>
    <t>71827</t>
  </si>
  <si>
    <t>71828</t>
  </si>
  <si>
    <t>71829</t>
  </si>
  <si>
    <t>71831</t>
  </si>
  <si>
    <t>71832</t>
  </si>
  <si>
    <t>71834</t>
  </si>
  <si>
    <t>71835</t>
  </si>
  <si>
    <t>71836</t>
  </si>
  <si>
    <t>71837</t>
  </si>
  <si>
    <t>71838</t>
  </si>
  <si>
    <t>71839</t>
  </si>
  <si>
    <t>71841</t>
  </si>
  <si>
    <t>71842</t>
  </si>
  <si>
    <t>71843</t>
  </si>
  <si>
    <t>71844</t>
  </si>
  <si>
    <t>71845</t>
  </si>
  <si>
    <t>71846</t>
  </si>
  <si>
    <t>71847</t>
  </si>
  <si>
    <t>71848</t>
  </si>
  <si>
    <t>71849</t>
  </si>
  <si>
    <t>71850</t>
  </si>
  <si>
    <t>71851</t>
  </si>
  <si>
    <t>71852</t>
  </si>
  <si>
    <t>71853</t>
  </si>
  <si>
    <t>71854</t>
  </si>
  <si>
    <t>71855</t>
  </si>
  <si>
    <t>71856</t>
  </si>
  <si>
    <t>71857</t>
  </si>
  <si>
    <t>71858</t>
  </si>
  <si>
    <t>71859</t>
  </si>
  <si>
    <t>71861</t>
  </si>
  <si>
    <t>71862</t>
  </si>
  <si>
    <t>71863</t>
  </si>
  <si>
    <t>71864</t>
  </si>
  <si>
    <t>71864A</t>
  </si>
  <si>
    <t>71865</t>
  </si>
  <si>
    <t>71865A</t>
  </si>
  <si>
    <t>71865B</t>
  </si>
  <si>
    <t>71865C</t>
  </si>
  <si>
    <t>71865D</t>
  </si>
  <si>
    <t>71865E</t>
  </si>
  <si>
    <t>71865F</t>
  </si>
  <si>
    <t>71866</t>
  </si>
  <si>
    <t>71866A</t>
  </si>
  <si>
    <t>71866B</t>
  </si>
  <si>
    <t>71866C</t>
  </si>
  <si>
    <t>71866D</t>
  </si>
  <si>
    <t>71866E</t>
  </si>
  <si>
    <t>71866F</t>
  </si>
  <si>
    <t>71867</t>
  </si>
  <si>
    <t>71868</t>
  </si>
  <si>
    <t>71868A</t>
  </si>
  <si>
    <t>71868B</t>
  </si>
  <si>
    <t>71868C</t>
  </si>
  <si>
    <t>71869</t>
  </si>
  <si>
    <t>71871</t>
  </si>
  <si>
    <t>71872</t>
  </si>
  <si>
    <t>71873</t>
  </si>
  <si>
    <t>71874</t>
  </si>
  <si>
    <t>71875</t>
  </si>
  <si>
    <t>71876</t>
  </si>
  <si>
    <t>71877</t>
  </si>
  <si>
    <t>71878</t>
  </si>
  <si>
    <t>71879</t>
  </si>
  <si>
    <t>71880</t>
  </si>
  <si>
    <t>71881</t>
  </si>
  <si>
    <t>71882</t>
  </si>
  <si>
    <t>71883</t>
  </si>
  <si>
    <t>71884</t>
  </si>
  <si>
    <t>71885</t>
  </si>
  <si>
    <t>71886</t>
  </si>
  <si>
    <t>71887</t>
  </si>
  <si>
    <t>71888</t>
  </si>
  <si>
    <t>71889</t>
  </si>
  <si>
    <t>71890</t>
  </si>
  <si>
    <t>71891</t>
  </si>
  <si>
    <t>71892</t>
  </si>
  <si>
    <t>71893</t>
  </si>
  <si>
    <t>71893A</t>
  </si>
  <si>
    <t>71893B</t>
  </si>
  <si>
    <t>71894</t>
  </si>
  <si>
    <t>71895</t>
  </si>
  <si>
    <t>71896</t>
  </si>
  <si>
    <t>71897</t>
  </si>
  <si>
    <t>71898</t>
  </si>
  <si>
    <t>71899</t>
  </si>
  <si>
    <t>71900</t>
  </si>
  <si>
    <t>71901</t>
  </si>
  <si>
    <t>71902</t>
  </si>
  <si>
    <t>71904</t>
  </si>
  <si>
    <t>71906</t>
  </si>
  <si>
    <t>71907</t>
  </si>
  <si>
    <t>71908</t>
  </si>
  <si>
    <t>71909</t>
  </si>
  <si>
    <t>71910</t>
  </si>
  <si>
    <t>71911</t>
  </si>
  <si>
    <t>71912</t>
  </si>
  <si>
    <t>71913</t>
  </si>
  <si>
    <t>71914</t>
  </si>
  <si>
    <t>71915</t>
  </si>
  <si>
    <t>71916</t>
  </si>
  <si>
    <t>71917</t>
  </si>
  <si>
    <t>71918</t>
  </si>
  <si>
    <t>71922</t>
  </si>
  <si>
    <t>71923</t>
  </si>
  <si>
    <t>71924</t>
  </si>
  <si>
    <t>71926</t>
  </si>
  <si>
    <t>71927</t>
  </si>
  <si>
    <t>71928</t>
  </si>
  <si>
    <t>71929</t>
  </si>
  <si>
    <t>71930</t>
  </si>
  <si>
    <t>71931</t>
  </si>
  <si>
    <t>71932</t>
  </si>
  <si>
    <t>71933</t>
  </si>
  <si>
    <t>71934</t>
  </si>
  <si>
    <t>71935</t>
  </si>
  <si>
    <t>71936</t>
  </si>
  <si>
    <t>71937</t>
  </si>
  <si>
    <t>71938</t>
  </si>
  <si>
    <t>71939</t>
  </si>
  <si>
    <t>71941</t>
  </si>
  <si>
    <t>71942</t>
  </si>
  <si>
    <t>71943</t>
  </si>
  <si>
    <t>71945</t>
  </si>
  <si>
    <t>71946</t>
  </si>
  <si>
    <t>71947</t>
  </si>
  <si>
    <t>71948</t>
  </si>
  <si>
    <t>71949</t>
  </si>
  <si>
    <t>71950</t>
  </si>
  <si>
    <t>71953</t>
  </si>
  <si>
    <t>71954</t>
  </si>
  <si>
    <t>71956</t>
  </si>
  <si>
    <t>71958</t>
  </si>
  <si>
    <t>71959</t>
  </si>
  <si>
    <t>71959/A</t>
  </si>
  <si>
    <t>71962</t>
  </si>
  <si>
    <t>71963</t>
  </si>
  <si>
    <t>71964</t>
  </si>
  <si>
    <t>71965</t>
  </si>
  <si>
    <t>71966</t>
  </si>
  <si>
    <t>71967</t>
  </si>
  <si>
    <t>71967A</t>
  </si>
  <si>
    <t>71968</t>
  </si>
  <si>
    <t>71969</t>
  </si>
  <si>
    <t>71970</t>
  </si>
  <si>
    <t>71971</t>
  </si>
  <si>
    <t>71971A</t>
  </si>
  <si>
    <t>71972</t>
  </si>
  <si>
    <t>71973</t>
  </si>
  <si>
    <t>71974</t>
  </si>
  <si>
    <t>71975</t>
  </si>
  <si>
    <t>71977</t>
  </si>
  <si>
    <t>71979</t>
  </si>
  <si>
    <t>71980</t>
  </si>
  <si>
    <t>71980A</t>
  </si>
  <si>
    <t>71980B</t>
  </si>
  <si>
    <t>71980C</t>
  </si>
  <si>
    <t>71980D</t>
  </si>
  <si>
    <t>71981</t>
  </si>
  <si>
    <t>71982</t>
  </si>
  <si>
    <t>71983</t>
  </si>
  <si>
    <t>71984</t>
  </si>
  <si>
    <t>71984A</t>
  </si>
  <si>
    <t>71985</t>
  </si>
  <si>
    <t>71986</t>
  </si>
  <si>
    <t>71987</t>
  </si>
  <si>
    <t>71992</t>
  </si>
  <si>
    <t>71993</t>
  </si>
  <si>
    <t>71994</t>
  </si>
  <si>
    <t>71995</t>
  </si>
  <si>
    <t>71997</t>
  </si>
  <si>
    <t>71997A</t>
  </si>
  <si>
    <t>71998</t>
  </si>
  <si>
    <t>72000</t>
  </si>
  <si>
    <t>72001</t>
  </si>
  <si>
    <t>72002</t>
  </si>
  <si>
    <t>72004</t>
  </si>
  <si>
    <t>72005</t>
  </si>
  <si>
    <t>72006</t>
  </si>
  <si>
    <t>72007</t>
  </si>
  <si>
    <t>72008</t>
  </si>
  <si>
    <t>72009</t>
  </si>
  <si>
    <t>72011</t>
  </si>
  <si>
    <t>72013</t>
  </si>
  <si>
    <t>72013A</t>
  </si>
  <si>
    <t>72014</t>
  </si>
  <si>
    <t>72015</t>
  </si>
  <si>
    <t>72016</t>
  </si>
  <si>
    <t>72019</t>
  </si>
  <si>
    <t>72020</t>
  </si>
  <si>
    <t>72021</t>
  </si>
  <si>
    <t>72022</t>
  </si>
  <si>
    <t>72024</t>
  </si>
  <si>
    <t>72025</t>
  </si>
  <si>
    <t>72026</t>
  </si>
  <si>
    <t>72027</t>
  </si>
  <si>
    <t>72028</t>
  </si>
  <si>
    <t>72030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</si>
  <si>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</si>
  <si>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</si>
  <si>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</si>
  <si>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</si>
  <si>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</si>
  <si>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</si>
  <si>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</si>
  <si>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</si>
  <si>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72045</t>
  </si>
  <si>
    <t>72046</t>
  </si>
  <si>
    <t>72047</t>
  </si>
  <si>
    <t>72048</t>
  </si>
  <si>
    <t>72049</t>
  </si>
  <si>
    <t>72058</t>
  </si>
  <si>
    <t>72059</t>
  </si>
  <si>
    <t>72059A</t>
  </si>
  <si>
    <t>72059B</t>
  </si>
  <si>
    <t>72060</t>
  </si>
  <si>
    <t>72060A</t>
  </si>
  <si>
    <t>72060B</t>
  </si>
  <si>
    <t>72061</t>
  </si>
  <si>
    <t>72061A</t>
  </si>
  <si>
    <t>72061B</t>
  </si>
  <si>
    <t>72061C</t>
  </si>
  <si>
    <t>72062</t>
  </si>
  <si>
    <t>72063</t>
  </si>
  <si>
    <t>72063A</t>
  </si>
  <si>
    <t>72063B</t>
  </si>
  <si>
    <t>72064</t>
  </si>
  <si>
    <t>72064A</t>
  </si>
  <si>
    <t>72064B</t>
  </si>
  <si>
    <t>72064C</t>
  </si>
  <si>
    <t>72067</t>
  </si>
  <si>
    <t>72068</t>
  </si>
  <si>
    <t>72069</t>
  </si>
  <si>
    <t>72069A</t>
  </si>
  <si>
    <t>72070</t>
  </si>
  <si>
    <t>72071</t>
  </si>
  <si>
    <t>72072</t>
  </si>
  <si>
    <t>72073</t>
  </si>
  <si>
    <t>72075</t>
  </si>
  <si>
    <t>72076</t>
  </si>
  <si>
    <t>72077</t>
  </si>
  <si>
    <t>72078</t>
  </si>
  <si>
    <t>72079</t>
  </si>
  <si>
    <t>72080</t>
  </si>
  <si>
    <t>72081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</si>
  <si>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</si>
  <si>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</si>
  <si>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</si>
  <si>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</si>
  <si>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</si>
  <si>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</si>
  <si>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</si>
  <si>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</si>
  <si>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</si>
  <si>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72095</t>
  </si>
  <si>
    <t>72096</t>
  </si>
  <si>
    <t>72097</t>
  </si>
  <si>
    <t>72098</t>
  </si>
  <si>
    <t>72099</t>
  </si>
  <si>
    <t>72100</t>
  </si>
  <si>
    <t>72101</t>
  </si>
  <si>
    <t>72102</t>
  </si>
  <si>
    <t>72103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</si>
  <si>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</si>
  <si>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</si>
  <si>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</si>
  <si>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</si>
  <si>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</si>
  <si>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</si>
  <si>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</si>
  <si>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</si>
  <si>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</si>
  <si>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</si>
  <si>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</si>
  <si>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72117</t>
  </si>
  <si>
    <t>72118</t>
  </si>
  <si>
    <t>72119</t>
  </si>
  <si>
    <t>72120</t>
  </si>
  <si>
    <t>72121</t>
  </si>
  <si>
    <t>72122</t>
  </si>
  <si>
    <t>72122A</t>
  </si>
  <si>
    <t>72123</t>
  </si>
  <si>
    <t>72124</t>
  </si>
  <si>
    <t>72125</t>
  </si>
  <si>
    <t>72126</t>
  </si>
  <si>
    <t>72127</t>
  </si>
  <si>
    <t>72128</t>
  </si>
  <si>
    <t>72129</t>
  </si>
  <si>
    <t>72131</t>
  </si>
  <si>
    <t>72132</t>
  </si>
  <si>
    <t>72135</t>
  </si>
  <si>
    <t>72136</t>
  </si>
  <si>
    <t>72137</t>
  </si>
  <si>
    <t>72138</t>
  </si>
  <si>
    <t>72140</t>
  </si>
  <si>
    <t>72141</t>
  </si>
  <si>
    <t>72142</t>
  </si>
  <si>
    <t>72143</t>
  </si>
  <si>
    <t>72144</t>
  </si>
  <si>
    <t>72145</t>
  </si>
  <si>
    <t>72146</t>
  </si>
  <si>
    <t>72148</t>
  </si>
  <si>
    <t>72149</t>
  </si>
  <si>
    <t>72150</t>
  </si>
  <si>
    <t>72151</t>
  </si>
  <si>
    <t>72155</t>
  </si>
  <si>
    <t>72156</t>
  </si>
  <si>
    <t>72157</t>
  </si>
  <si>
    <t>72158</t>
  </si>
  <si>
    <t>72160</t>
  </si>
  <si>
    <t>72160A</t>
  </si>
  <si>
    <t>72162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</si>
  <si>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</si>
  <si>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</si>
  <si>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</si>
  <si>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</si>
  <si>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</si>
  <si>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</si>
  <si>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</si>
  <si>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</si>
  <si>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</si>
  <si>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</si>
  <si>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</si>
  <si>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72175</t>
  </si>
  <si>
    <t>72177</t>
  </si>
  <si>
    <t>72178</t>
  </si>
  <si>
    <t>72179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</si>
  <si>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</si>
  <si>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</si>
  <si>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</si>
  <si>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</si>
  <si>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</si>
  <si>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</si>
  <si>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</si>
  <si>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</si>
  <si>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</si>
  <si>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</si>
  <si>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</si>
  <si>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</si>
  <si>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</si>
  <si>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72196/CO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</si>
  <si>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</si>
  <si>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</si>
  <si>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</si>
  <si>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</si>
  <si>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</si>
  <si>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</si>
  <si>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</si>
  <si>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</si>
  <si>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</si>
  <si>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72207</t>
  </si>
  <si>
    <t>72208</t>
  </si>
  <si>
    <t>72209</t>
  </si>
  <si>
    <t>72209A</t>
  </si>
  <si>
    <t>72209B</t>
  </si>
  <si>
    <t>72210</t>
  </si>
  <si>
    <t>72211</t>
  </si>
  <si>
    <t>72212</t>
  </si>
  <si>
    <t>72213</t>
  </si>
  <si>
    <t>72215</t>
  </si>
  <si>
    <t>72215A</t>
  </si>
  <si>
    <t>72216</t>
  </si>
  <si>
    <t>72216A</t>
  </si>
  <si>
    <t>72217</t>
  </si>
  <si>
    <t>72218</t>
  </si>
  <si>
    <t>72221</t>
  </si>
  <si>
    <t>72222</t>
  </si>
  <si>
    <t>72223/CO</t>
  </si>
  <si>
    <t>72224</t>
  </si>
  <si>
    <t>72225</t>
  </si>
  <si>
    <t>72226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</si>
  <si>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</si>
  <si>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</si>
  <si>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</si>
  <si>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</si>
  <si>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</si>
  <si>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</si>
  <si>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</si>
  <si>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</si>
  <si>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</si>
  <si>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</si>
  <si>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</si>
  <si>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</si>
  <si>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</si>
  <si>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72242</t>
  </si>
  <si>
    <t>72243</t>
  </si>
  <si>
    <t>72243A</t>
  </si>
  <si>
    <t>72245</t>
  </si>
  <si>
    <t>72246</t>
  </si>
  <si>
    <t>72247</t>
  </si>
  <si>
    <t>72248</t>
  </si>
  <si>
    <t>72249</t>
  </si>
  <si>
    <t>72250</t>
  </si>
  <si>
    <t>72250A</t>
  </si>
  <si>
    <t>72251</t>
  </si>
  <si>
    <t>72252</t>
  </si>
  <si>
    <t>72254</t>
  </si>
  <si>
    <t>72255</t>
  </si>
  <si>
    <t>72256</t>
  </si>
  <si>
    <t>72257</t>
  </si>
  <si>
    <t>72258</t>
  </si>
  <si>
    <t>72258A</t>
  </si>
  <si>
    <t>72259</t>
  </si>
  <si>
    <t>72260</t>
  </si>
  <si>
    <t>72261</t>
  </si>
  <si>
    <t>72261A</t>
  </si>
  <si>
    <t>72263</t>
  </si>
  <si>
    <t>72264</t>
  </si>
  <si>
    <t>72265</t>
  </si>
  <si>
    <t>72266</t>
  </si>
  <si>
    <t>72267</t>
  </si>
  <si>
    <t>72268</t>
  </si>
  <si>
    <t>72269</t>
  </si>
  <si>
    <t>72270</t>
  </si>
  <si>
    <t>72272</t>
  </si>
  <si>
    <t>72273</t>
  </si>
  <si>
    <t>72274</t>
  </si>
  <si>
    <t>72276</t>
  </si>
  <si>
    <t>72277</t>
  </si>
  <si>
    <t>72278</t>
  </si>
  <si>
    <t>72281</t>
  </si>
  <si>
    <t>72282</t>
  </si>
  <si>
    <t>72282A</t>
  </si>
  <si>
    <t>72282B</t>
  </si>
  <si>
    <t>72283</t>
  </si>
  <si>
    <t>72284</t>
  </si>
  <si>
    <t>72291</t>
  </si>
  <si>
    <t>72292</t>
  </si>
  <si>
    <t>72293</t>
  </si>
  <si>
    <t>72294</t>
  </si>
  <si>
    <t>72300</t>
  </si>
  <si>
    <t>72302</t>
  </si>
  <si>
    <t>72303</t>
  </si>
  <si>
    <t>72304</t>
  </si>
  <si>
    <t>72306</t>
  </si>
  <si>
    <t>72306A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</si>
  <si>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</si>
  <si>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</si>
  <si>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</si>
  <si>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</si>
  <si>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</si>
  <si>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</si>
  <si>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</si>
  <si>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</si>
  <si>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</si>
  <si>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</si>
  <si>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72318</t>
  </si>
  <si>
    <t>72319</t>
  </si>
  <si>
    <t>72320</t>
  </si>
  <si>
    <t>72322</t>
  </si>
  <si>
    <t>72323</t>
  </si>
  <si>
    <t>72324</t>
  </si>
  <si>
    <t>72325</t>
  </si>
  <si>
    <t>72326</t>
  </si>
  <si>
    <t>72327</t>
  </si>
  <si>
    <t>72329</t>
  </si>
  <si>
    <t>72331</t>
  </si>
  <si>
    <t>72332</t>
  </si>
  <si>
    <t>72335</t>
  </si>
  <si>
    <t>72336</t>
  </si>
  <si>
    <t>72338</t>
  </si>
  <si>
    <t>72340</t>
  </si>
  <si>
    <t>72342</t>
  </si>
  <si>
    <t>72343</t>
  </si>
  <si>
    <t>72344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</si>
  <si>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</si>
  <si>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</si>
  <si>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</si>
  <si>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</si>
  <si>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</si>
  <si>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</si>
  <si>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</si>
  <si>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</si>
  <si>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</si>
  <si>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</si>
  <si>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</si>
  <si>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</si>
  <si>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</si>
  <si>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</si>
  <si>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</si>
  <si>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</si>
  <si>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</si>
  <si>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</si>
  <si>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72366</t>
  </si>
  <si>
    <t>72367</t>
  </si>
  <si>
    <t>72368</t>
  </si>
  <si>
    <t>72369</t>
  </si>
  <si>
    <t>72370</t>
  </si>
  <si>
    <t>72371</t>
  </si>
  <si>
    <t>72372</t>
  </si>
  <si>
    <t>72372A</t>
  </si>
  <si>
    <t>72373</t>
  </si>
  <si>
    <t>72374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</si>
  <si>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</si>
  <si>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</si>
  <si>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</si>
  <si>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</si>
  <si>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</si>
  <si>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</si>
  <si>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</si>
  <si>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</si>
  <si>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72384</t>
  </si>
  <si>
    <t>72385</t>
  </si>
  <si>
    <t>72387</t>
  </si>
  <si>
    <t>72388</t>
  </si>
  <si>
    <t>72389</t>
  </si>
  <si>
    <t>72390</t>
  </si>
  <si>
    <t>72391</t>
  </si>
  <si>
    <t>72393</t>
  </si>
  <si>
    <t>72394</t>
  </si>
  <si>
    <t>72395</t>
  </si>
  <si>
    <t>72396</t>
  </si>
  <si>
    <t>72397</t>
  </si>
  <si>
    <t>72400</t>
  </si>
  <si>
    <t>72401</t>
  </si>
  <si>
    <t>72402</t>
  </si>
  <si>
    <t>72403</t>
  </si>
  <si>
    <t>72404</t>
  </si>
  <si>
    <t>72405</t>
  </si>
  <si>
    <t>72406</t>
  </si>
  <si>
    <t>72407</t>
  </si>
  <si>
    <t>72408</t>
  </si>
  <si>
    <t>72408A</t>
  </si>
  <si>
    <t>72408B</t>
  </si>
  <si>
    <t>72408C</t>
  </si>
  <si>
    <t>72408D</t>
  </si>
  <si>
    <t>72408E</t>
  </si>
  <si>
    <t>72408F</t>
  </si>
  <si>
    <t>72409</t>
  </si>
  <si>
    <t>72409A</t>
  </si>
  <si>
    <t>72409B</t>
  </si>
  <si>
    <t>72409C</t>
  </si>
  <si>
    <t>72409D</t>
  </si>
  <si>
    <t>72410</t>
  </si>
  <si>
    <t>72411</t>
  </si>
  <si>
    <t>72412</t>
  </si>
  <si>
    <t>72413</t>
  </si>
  <si>
    <t>72414</t>
  </si>
  <si>
    <t>72415</t>
  </si>
  <si>
    <t>72416</t>
  </si>
  <si>
    <t>72417</t>
  </si>
  <si>
    <t>72418</t>
  </si>
  <si>
    <t>72419</t>
  </si>
  <si>
    <t>72420/CO</t>
  </si>
  <si>
    <t>72421</t>
  </si>
  <si>
    <t>72422</t>
  </si>
  <si>
    <t>72423</t>
  </si>
  <si>
    <t>72424</t>
  </si>
  <si>
    <t>72425</t>
  </si>
  <si>
    <t>72426</t>
  </si>
  <si>
    <t>72427</t>
  </si>
  <si>
    <t>72428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</si>
  <si>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</si>
  <si>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</si>
  <si>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</si>
  <si>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</si>
  <si>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</si>
  <si>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</si>
  <si>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</si>
  <si>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</si>
  <si>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</si>
  <si>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</si>
  <si>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72439</t>
  </si>
  <si>
    <t>72441</t>
  </si>
  <si>
    <t>72442</t>
  </si>
  <si>
    <t>72443</t>
  </si>
  <si>
    <t>72444</t>
  </si>
  <si>
    <t>72445</t>
  </si>
  <si>
    <t>72447</t>
  </si>
  <si>
    <t>72448</t>
  </si>
  <si>
    <t>72449</t>
  </si>
  <si>
    <t>72450</t>
  </si>
  <si>
    <t>72451</t>
  </si>
  <si>
    <t>72452</t>
  </si>
  <si>
    <t>72453</t>
  </si>
  <si>
    <t>72455</t>
  </si>
  <si>
    <t>72456</t>
  </si>
  <si>
    <t>72457</t>
  </si>
  <si>
    <t>72458</t>
  </si>
  <si>
    <t>72459</t>
  </si>
  <si>
    <t>72460</t>
  </si>
  <si>
    <t>72461</t>
  </si>
  <si>
    <t>72462</t>
  </si>
  <si>
    <t>72463</t>
  </si>
  <si>
    <t>72464</t>
  </si>
  <si>
    <t>72466</t>
  </si>
  <si>
    <t>72467</t>
  </si>
  <si>
    <t>72470</t>
  </si>
  <si>
    <t>72471</t>
  </si>
  <si>
    <t>72472</t>
  </si>
  <si>
    <t>72473</t>
  </si>
  <si>
    <t>72474</t>
  </si>
  <si>
    <t>72475</t>
  </si>
  <si>
    <t>72476</t>
  </si>
  <si>
    <t>72477</t>
  </si>
  <si>
    <t>72478</t>
  </si>
  <si>
    <t>72479</t>
  </si>
  <si>
    <t>72480</t>
  </si>
  <si>
    <t>72481</t>
  </si>
  <si>
    <t>72482</t>
  </si>
  <si>
    <t>72483</t>
  </si>
  <si>
    <t>72484</t>
  </si>
  <si>
    <t>72485</t>
  </si>
  <si>
    <t>72486</t>
  </si>
  <si>
    <t>72487</t>
  </si>
  <si>
    <t>72488</t>
  </si>
  <si>
    <t>72489</t>
  </si>
  <si>
    <t>72489A</t>
  </si>
  <si>
    <t>72489B</t>
  </si>
  <si>
    <t>72490</t>
  </si>
  <si>
    <t>72491</t>
  </si>
  <si>
    <t>72492</t>
  </si>
  <si>
    <t>72493</t>
  </si>
  <si>
    <t>72494</t>
  </si>
  <si>
    <t>72496</t>
  </si>
  <si>
    <t>72497</t>
  </si>
  <si>
    <t>72497A</t>
  </si>
  <si>
    <t>72500</t>
  </si>
  <si>
    <t>72500A</t>
  </si>
  <si>
    <t>72500B</t>
  </si>
  <si>
    <t>72501</t>
  </si>
  <si>
    <t>72502</t>
  </si>
  <si>
    <t>72503</t>
  </si>
  <si>
    <t>72504</t>
  </si>
  <si>
    <t>72505</t>
  </si>
  <si>
    <t>72509</t>
  </si>
  <si>
    <t>72511</t>
  </si>
  <si>
    <t>72512</t>
  </si>
  <si>
    <t>72513</t>
  </si>
  <si>
    <t>72514</t>
  </si>
  <si>
    <t>72515</t>
  </si>
  <si>
    <t>72516</t>
  </si>
  <si>
    <t>72519</t>
  </si>
  <si>
    <t>72520</t>
  </si>
  <si>
    <t>72521</t>
  </si>
  <si>
    <t>72522</t>
  </si>
  <si>
    <t>72523</t>
  </si>
  <si>
    <t>72528</t>
  </si>
  <si>
    <t>72529</t>
  </si>
  <si>
    <t>72530</t>
  </si>
  <si>
    <t>72531</t>
  </si>
  <si>
    <t>72532</t>
  </si>
  <si>
    <t>72533</t>
  </si>
  <si>
    <t>72534</t>
  </si>
  <si>
    <t>72535</t>
  </si>
  <si>
    <t>72536</t>
  </si>
  <si>
    <t>72537</t>
  </si>
  <si>
    <t>72538</t>
  </si>
  <si>
    <t>72539</t>
  </si>
  <si>
    <t>72540</t>
  </si>
  <si>
    <t>72541</t>
  </si>
  <si>
    <t>72542</t>
  </si>
  <si>
    <t>72543</t>
  </si>
  <si>
    <t>72544</t>
  </si>
  <si>
    <t>72545</t>
  </si>
  <si>
    <t>72546</t>
  </si>
  <si>
    <t>72546A</t>
  </si>
  <si>
    <t>72547</t>
  </si>
  <si>
    <t>72547A</t>
  </si>
  <si>
    <t>72548</t>
  </si>
  <si>
    <t>72551</t>
  </si>
  <si>
    <t>72553</t>
  </si>
  <si>
    <t>72557</t>
  </si>
  <si>
    <t>72558</t>
  </si>
  <si>
    <t>72559</t>
  </si>
  <si>
    <t>72560</t>
  </si>
  <si>
    <t>72561</t>
  </si>
  <si>
    <t>72561A</t>
  </si>
  <si>
    <t>72562</t>
  </si>
  <si>
    <t>72563</t>
  </si>
  <si>
    <t>72564</t>
  </si>
  <si>
    <t>72565</t>
  </si>
  <si>
    <t>72565A</t>
  </si>
  <si>
    <t>72565B</t>
  </si>
  <si>
    <t>72566</t>
  </si>
  <si>
    <t>72568</t>
  </si>
  <si>
    <t>72569</t>
  </si>
  <si>
    <t>72572</t>
  </si>
  <si>
    <t>72573</t>
  </si>
  <si>
    <t>72574</t>
  </si>
  <si>
    <t>72575</t>
  </si>
  <si>
    <t>72576</t>
  </si>
  <si>
    <t>72577</t>
  </si>
  <si>
    <t>72578</t>
  </si>
  <si>
    <t>72579</t>
  </si>
  <si>
    <t>72580</t>
  </si>
  <si>
    <t>72581</t>
  </si>
  <si>
    <t>72581A</t>
  </si>
  <si>
    <t>72582</t>
  </si>
  <si>
    <t>72583</t>
  </si>
  <si>
    <t>72584</t>
  </si>
  <si>
    <t>72585</t>
  </si>
  <si>
    <t>72586</t>
  </si>
  <si>
    <t>72586A</t>
  </si>
  <si>
    <t>72586B</t>
  </si>
  <si>
    <t>72586C</t>
  </si>
  <si>
    <t>72586D</t>
  </si>
  <si>
    <t>72587</t>
  </si>
  <si>
    <t>72588</t>
  </si>
  <si>
    <t>72589</t>
  </si>
  <si>
    <t>72590</t>
  </si>
  <si>
    <t>72591</t>
  </si>
  <si>
    <t>72592</t>
  </si>
  <si>
    <t>72593</t>
  </si>
  <si>
    <t>72594</t>
  </si>
  <si>
    <t>72595</t>
  </si>
  <si>
    <t>72595A</t>
  </si>
  <si>
    <t>72596</t>
  </si>
  <si>
    <t>72597</t>
  </si>
  <si>
    <t>72599</t>
  </si>
  <si>
    <t>72600</t>
  </si>
  <si>
    <t>72601</t>
  </si>
  <si>
    <t>72602</t>
  </si>
  <si>
    <t>72604</t>
  </si>
  <si>
    <t>72605</t>
  </si>
  <si>
    <t>72606</t>
  </si>
  <si>
    <t>72607</t>
  </si>
  <si>
    <t>72608</t>
  </si>
  <si>
    <t>72609</t>
  </si>
  <si>
    <t>72609A</t>
  </si>
  <si>
    <t>72610</t>
  </si>
  <si>
    <t>72610A</t>
  </si>
  <si>
    <t>72611</t>
  </si>
  <si>
    <t>72612</t>
  </si>
  <si>
    <t>72613</t>
  </si>
  <si>
    <t>72614</t>
  </si>
  <si>
    <t>72615</t>
  </si>
  <si>
    <t>72616</t>
  </si>
  <si>
    <t>72617</t>
  </si>
  <si>
    <t>72618</t>
  </si>
  <si>
    <t>72619</t>
  </si>
  <si>
    <t>72620</t>
  </si>
  <si>
    <t>72622</t>
  </si>
  <si>
    <t>72623</t>
  </si>
  <si>
    <t>72624</t>
  </si>
  <si>
    <t>72625</t>
  </si>
  <si>
    <t>72626</t>
  </si>
  <si>
    <t>72627</t>
  </si>
  <si>
    <t>72628</t>
  </si>
  <si>
    <t>72631</t>
  </si>
  <si>
    <t>72632</t>
  </si>
  <si>
    <t>72633</t>
  </si>
  <si>
    <t>72634</t>
  </si>
  <si>
    <t>72635</t>
  </si>
  <si>
    <t>72636</t>
  </si>
  <si>
    <t>72637</t>
  </si>
  <si>
    <t>72638</t>
  </si>
  <si>
    <t>72639</t>
  </si>
  <si>
    <t>72640</t>
  </si>
  <si>
    <t>72641</t>
  </si>
  <si>
    <t>72641A</t>
  </si>
  <si>
    <t>72642</t>
  </si>
  <si>
    <t>72642A</t>
  </si>
  <si>
    <t>72643</t>
  </si>
  <si>
    <t>72644</t>
  </si>
  <si>
    <t>72645</t>
  </si>
  <si>
    <t>72646</t>
  </si>
  <si>
    <t>72647</t>
  </si>
  <si>
    <t>72648</t>
  </si>
  <si>
    <t>72648A</t>
  </si>
  <si>
    <t>72649</t>
  </si>
  <si>
    <t>72649A</t>
  </si>
  <si>
    <t>72650</t>
  </si>
  <si>
    <t>72651</t>
  </si>
  <si>
    <t>72652</t>
  </si>
  <si>
    <t>72653</t>
  </si>
  <si>
    <t>72658</t>
  </si>
  <si>
    <t>72659</t>
  </si>
  <si>
    <t>72660</t>
  </si>
  <si>
    <t>72661</t>
  </si>
  <si>
    <t>72662</t>
  </si>
  <si>
    <t>72663</t>
  </si>
  <si>
    <t>72664</t>
  </si>
  <si>
    <t>72665</t>
  </si>
  <si>
    <t>72666</t>
  </si>
  <si>
    <t>72666A</t>
  </si>
  <si>
    <t>72666B</t>
  </si>
  <si>
    <t>72666C</t>
  </si>
  <si>
    <t>72667</t>
  </si>
  <si>
    <t>72667A</t>
  </si>
  <si>
    <t>72667B</t>
  </si>
  <si>
    <t>72668</t>
  </si>
  <si>
    <t>72669</t>
  </si>
  <si>
    <t>72670</t>
  </si>
  <si>
    <t>72671</t>
  </si>
  <si>
    <t>72674</t>
  </si>
  <si>
    <t>72675</t>
  </si>
  <si>
    <t>72676</t>
  </si>
  <si>
    <t>72677</t>
  </si>
  <si>
    <t>72678</t>
  </si>
  <si>
    <t>72679</t>
  </si>
  <si>
    <t>72680</t>
  </si>
  <si>
    <t>72681</t>
  </si>
  <si>
    <t>72682</t>
  </si>
  <si>
    <t>72683</t>
  </si>
  <si>
    <t>72684</t>
  </si>
  <si>
    <t>72685</t>
  </si>
  <si>
    <t>72686</t>
  </si>
  <si>
    <t>72688</t>
  </si>
  <si>
    <t>72689</t>
  </si>
  <si>
    <t>72690</t>
  </si>
  <si>
    <t>72691</t>
  </si>
  <si>
    <t>72692</t>
  </si>
  <si>
    <t>72693</t>
  </si>
  <si>
    <t>72694</t>
  </si>
  <si>
    <t>72695</t>
  </si>
  <si>
    <t>72696</t>
  </si>
  <si>
    <t>72697</t>
  </si>
  <si>
    <t>72698</t>
  </si>
  <si>
    <t>72698A</t>
  </si>
  <si>
    <t>72698B</t>
  </si>
  <si>
    <t>72699</t>
  </si>
  <si>
    <t>72700</t>
  </si>
  <si>
    <t>72702</t>
  </si>
  <si>
    <t>72703</t>
  </si>
  <si>
    <t>72704</t>
  </si>
  <si>
    <t>72705</t>
  </si>
  <si>
    <t>72707</t>
  </si>
  <si>
    <t>72707A</t>
  </si>
  <si>
    <t>72711</t>
  </si>
  <si>
    <t>72712</t>
  </si>
  <si>
    <t>72713/CO</t>
  </si>
  <si>
    <t>72714</t>
  </si>
  <si>
    <t>72714A</t>
  </si>
  <si>
    <t>72714B</t>
  </si>
  <si>
    <t>72714C</t>
  </si>
  <si>
    <t>72714D</t>
  </si>
  <si>
    <t>72715</t>
  </si>
  <si>
    <t>72716</t>
  </si>
  <si>
    <t>72718</t>
  </si>
  <si>
    <t>72719</t>
  </si>
  <si>
    <t>72720</t>
  </si>
  <si>
    <t>72721</t>
  </si>
  <si>
    <t>72721/A</t>
  </si>
  <si>
    <t>72722</t>
  </si>
  <si>
    <t>72723</t>
  </si>
  <si>
    <t>72723A</t>
  </si>
  <si>
    <t>72724</t>
  </si>
  <si>
    <t>72725</t>
  </si>
  <si>
    <t>72726</t>
  </si>
  <si>
    <t>72728</t>
  </si>
  <si>
    <t>72729</t>
  </si>
  <si>
    <t>72730</t>
  </si>
  <si>
    <t>72731</t>
  </si>
  <si>
    <t>72732</t>
  </si>
  <si>
    <t>72733</t>
  </si>
  <si>
    <t>72734</t>
  </si>
  <si>
    <t>72735</t>
  </si>
  <si>
    <t>72738</t>
  </si>
  <si>
    <t>72739</t>
  </si>
  <si>
    <t>72739A</t>
  </si>
  <si>
    <t>72739B</t>
  </si>
  <si>
    <t>72740</t>
  </si>
  <si>
    <t>72747</t>
  </si>
  <si>
    <t>72748</t>
  </si>
  <si>
    <t>72749</t>
  </si>
  <si>
    <t>72750</t>
  </si>
  <si>
    <t>72751</t>
  </si>
  <si>
    <t>72752</t>
  </si>
  <si>
    <t>72752A</t>
  </si>
  <si>
    <t>72752B</t>
  </si>
  <si>
    <t>72752C</t>
  </si>
  <si>
    <t>72753</t>
  </si>
  <si>
    <t>72754</t>
  </si>
  <si>
    <t>72755</t>
  </si>
  <si>
    <t>72755A</t>
  </si>
  <si>
    <t>72755B</t>
  </si>
  <si>
    <t>72755C</t>
  </si>
  <si>
    <t>72755D</t>
  </si>
  <si>
    <t>72755E</t>
  </si>
  <si>
    <t>72755F</t>
  </si>
  <si>
    <t>72757</t>
  </si>
  <si>
    <t>72762</t>
  </si>
  <si>
    <t>72763</t>
  </si>
  <si>
    <t>72764</t>
  </si>
  <si>
    <t>72765</t>
  </si>
  <si>
    <t>72766</t>
  </si>
  <si>
    <t>72767</t>
  </si>
  <si>
    <t>72768</t>
  </si>
  <si>
    <t>72769</t>
  </si>
  <si>
    <t>72770</t>
  </si>
  <si>
    <t>72771</t>
  </si>
  <si>
    <t>72772</t>
  </si>
  <si>
    <t>72773</t>
  </si>
  <si>
    <t>72774</t>
  </si>
  <si>
    <t>72775</t>
  </si>
  <si>
    <t>72776</t>
  </si>
  <si>
    <t>72777</t>
  </si>
  <si>
    <t>72778</t>
  </si>
  <si>
    <t>72779</t>
  </si>
  <si>
    <t>72780</t>
  </si>
  <si>
    <t>72781</t>
  </si>
  <si>
    <t>72782</t>
  </si>
  <si>
    <t>72783</t>
  </si>
  <si>
    <t>72784</t>
  </si>
  <si>
    <t>72785</t>
  </si>
  <si>
    <t>72786</t>
  </si>
  <si>
    <t>72788</t>
  </si>
  <si>
    <t>72789</t>
  </si>
  <si>
    <t>72790</t>
  </si>
  <si>
    <t>72791</t>
  </si>
  <si>
    <t>72792</t>
  </si>
  <si>
    <t>72793</t>
  </si>
  <si>
    <t>72795</t>
  </si>
  <si>
    <t>72797</t>
  </si>
  <si>
    <t>72797A</t>
  </si>
  <si>
    <t>72798</t>
  </si>
  <si>
    <t>72798A</t>
  </si>
  <si>
    <t>72799</t>
  </si>
  <si>
    <t>72800</t>
  </si>
  <si>
    <t>72801</t>
  </si>
  <si>
    <t>72803</t>
  </si>
  <si>
    <t>72804</t>
  </si>
  <si>
    <t>72805</t>
  </si>
  <si>
    <t>72806</t>
  </si>
  <si>
    <t>72807</t>
  </si>
  <si>
    <t>72808</t>
  </si>
  <si>
    <t>72809</t>
  </si>
  <si>
    <t>72810</t>
  </si>
  <si>
    <t>72811</t>
  </si>
  <si>
    <t>72812</t>
  </si>
  <si>
    <t>72813</t>
  </si>
  <si>
    <t>72815</t>
  </si>
  <si>
    <t>72815A</t>
  </si>
  <si>
    <t>72816</t>
  </si>
  <si>
    <t>72817</t>
  </si>
  <si>
    <t>72818</t>
  </si>
  <si>
    <t>72819</t>
  </si>
  <si>
    <t>72820</t>
  </si>
  <si>
    <t>72821</t>
  </si>
  <si>
    <t>72823</t>
  </si>
  <si>
    <t>72824</t>
  </si>
  <si>
    <t>72825</t>
  </si>
  <si>
    <t>72828</t>
  </si>
  <si>
    <t>72828A</t>
  </si>
  <si>
    <t>72828B</t>
  </si>
  <si>
    <t>72828C</t>
  </si>
  <si>
    <t>72828D</t>
  </si>
  <si>
    <t>72829</t>
  </si>
  <si>
    <t>72831</t>
  </si>
  <si>
    <t>72832</t>
  </si>
  <si>
    <t>72833</t>
  </si>
  <si>
    <t>72837</t>
  </si>
  <si>
    <t>72838</t>
  </si>
  <si>
    <t>72839</t>
  </si>
  <si>
    <t>72841</t>
  </si>
  <si>
    <t>72842</t>
  </si>
  <si>
    <t>72842A</t>
  </si>
  <si>
    <t>72842B</t>
  </si>
  <si>
    <t>72842C</t>
  </si>
  <si>
    <t>72843</t>
  </si>
  <si>
    <t>72844</t>
  </si>
  <si>
    <t>72851</t>
  </si>
  <si>
    <t>72852</t>
  </si>
  <si>
    <t>72853</t>
  </si>
  <si>
    <t>72854</t>
  </si>
  <si>
    <t>72855</t>
  </si>
  <si>
    <t>72856</t>
  </si>
  <si>
    <t>72857</t>
  </si>
  <si>
    <t>72858</t>
  </si>
  <si>
    <t>72859</t>
  </si>
  <si>
    <t>72860</t>
  </si>
  <si>
    <t>72861</t>
  </si>
  <si>
    <t>72862</t>
  </si>
  <si>
    <t>72863</t>
  </si>
  <si>
    <t>72864</t>
  </si>
  <si>
    <t>72865</t>
  </si>
  <si>
    <t>72866</t>
  </si>
  <si>
    <t>72867</t>
  </si>
  <si>
    <t>72868</t>
  </si>
  <si>
    <t>72869</t>
  </si>
  <si>
    <t>72870</t>
  </si>
  <si>
    <t>72871</t>
  </si>
  <si>
    <t>72872</t>
  </si>
  <si>
    <t>72874</t>
  </si>
  <si>
    <t>72875</t>
  </si>
  <si>
    <t>72876</t>
  </si>
  <si>
    <t>72877</t>
  </si>
  <si>
    <t>72878</t>
  </si>
  <si>
    <t>72879</t>
  </si>
  <si>
    <t>72881</t>
  </si>
  <si>
    <t>72882</t>
  </si>
  <si>
    <t>72883</t>
  </si>
  <si>
    <t>72884</t>
  </si>
  <si>
    <t>72885</t>
  </si>
  <si>
    <t>72886</t>
  </si>
  <si>
    <t>72887</t>
  </si>
  <si>
    <t>72888</t>
  </si>
  <si>
    <t>72889</t>
  </si>
  <si>
    <t>72890</t>
  </si>
  <si>
    <t>72891</t>
  </si>
  <si>
    <t>72892</t>
  </si>
  <si>
    <t>72892/CO</t>
  </si>
  <si>
    <t>72892A</t>
  </si>
  <si>
    <t>72893</t>
  </si>
  <si>
    <t>72894</t>
  </si>
  <si>
    <t>72895</t>
  </si>
  <si>
    <t>72896</t>
  </si>
  <si>
    <t>72897</t>
  </si>
  <si>
    <t>72897/A</t>
  </si>
  <si>
    <t>72898</t>
  </si>
  <si>
    <t>72899</t>
  </si>
  <si>
    <t>72900</t>
  </si>
  <si>
    <t>72901</t>
  </si>
  <si>
    <t>72902</t>
  </si>
  <si>
    <t>72903</t>
  </si>
  <si>
    <t>72904</t>
  </si>
  <si>
    <t>72905</t>
  </si>
  <si>
    <t>72906</t>
  </si>
  <si>
    <t>72907</t>
  </si>
  <si>
    <t>72908</t>
  </si>
  <si>
    <t>72909</t>
  </si>
  <si>
    <t>72910</t>
  </si>
  <si>
    <t>72912</t>
  </si>
  <si>
    <t>72913</t>
  </si>
  <si>
    <t>72914</t>
  </si>
  <si>
    <t>72915</t>
  </si>
  <si>
    <t>72916</t>
  </si>
  <si>
    <t>72917</t>
  </si>
  <si>
    <t>72921</t>
  </si>
  <si>
    <t>72921A</t>
  </si>
  <si>
    <t>72921B</t>
  </si>
  <si>
    <t>72921C</t>
  </si>
  <si>
    <t>72921D</t>
  </si>
  <si>
    <t>72922</t>
  </si>
  <si>
    <t>72923</t>
  </si>
  <si>
    <t>72924</t>
  </si>
  <si>
    <t>72925</t>
  </si>
  <si>
    <t>72926</t>
  </si>
  <si>
    <t>72928</t>
  </si>
  <si>
    <t>72928A</t>
  </si>
  <si>
    <t>72928B</t>
  </si>
  <si>
    <t>72929</t>
  </si>
  <si>
    <t>72930</t>
  </si>
  <si>
    <t>72931</t>
  </si>
  <si>
    <t>72932</t>
  </si>
  <si>
    <t>72933</t>
  </si>
  <si>
    <t>72934</t>
  </si>
  <si>
    <t>72935</t>
  </si>
  <si>
    <t>72936</t>
  </si>
  <si>
    <t>72937</t>
  </si>
  <si>
    <t>72938</t>
  </si>
  <si>
    <t>72939</t>
  </si>
  <si>
    <t>72941</t>
  </si>
  <si>
    <t>72943</t>
  </si>
  <si>
    <t>72944</t>
  </si>
  <si>
    <t>72945</t>
  </si>
  <si>
    <t>72946</t>
  </si>
  <si>
    <t>72947</t>
  </si>
  <si>
    <t>72947A</t>
  </si>
  <si>
    <t>72948</t>
  </si>
  <si>
    <t>72949</t>
  </si>
  <si>
    <t>72950</t>
  </si>
  <si>
    <t>72951</t>
  </si>
  <si>
    <t>72952</t>
  </si>
  <si>
    <t>72953</t>
  </si>
  <si>
    <t>72955</t>
  </si>
  <si>
    <t>72957</t>
  </si>
  <si>
    <t>72958</t>
  </si>
  <si>
    <t>72959</t>
  </si>
  <si>
    <t>72960</t>
  </si>
  <si>
    <t>72961</t>
  </si>
  <si>
    <t>72962</t>
  </si>
  <si>
    <t>72962A</t>
  </si>
  <si>
    <t>72963</t>
  </si>
  <si>
    <t>72964</t>
  </si>
  <si>
    <t>72965</t>
  </si>
  <si>
    <t>72966</t>
  </si>
  <si>
    <t>72967</t>
  </si>
  <si>
    <t>72968</t>
  </si>
  <si>
    <t>72980</t>
  </si>
  <si>
    <t>72981</t>
  </si>
  <si>
    <t>72982</t>
  </si>
  <si>
    <t>72983</t>
  </si>
  <si>
    <t>72984</t>
  </si>
  <si>
    <t>72985</t>
  </si>
  <si>
    <t>72985A</t>
  </si>
  <si>
    <t>72986</t>
  </si>
  <si>
    <t>72987</t>
  </si>
  <si>
    <t>72988</t>
  </si>
  <si>
    <t>72989</t>
  </si>
  <si>
    <t>72990</t>
  </si>
  <si>
    <t>72991</t>
  </si>
  <si>
    <t>72992</t>
  </si>
  <si>
    <t>72993</t>
  </si>
  <si>
    <t>72994</t>
  </si>
  <si>
    <t>72995</t>
  </si>
  <si>
    <t>72996</t>
  </si>
  <si>
    <t>72997</t>
  </si>
  <si>
    <t>72998/CO</t>
  </si>
  <si>
    <t>72999</t>
  </si>
  <si>
    <t>73000</t>
  </si>
  <si>
    <t>73001</t>
  </si>
  <si>
    <t>73002</t>
  </si>
  <si>
    <t>73003</t>
  </si>
  <si>
    <t>73006</t>
  </si>
  <si>
    <t>73007</t>
  </si>
  <si>
    <t>73008</t>
  </si>
  <si>
    <t>73008A</t>
  </si>
  <si>
    <t>73009</t>
  </si>
  <si>
    <t>73010</t>
  </si>
  <si>
    <t>73011</t>
  </si>
  <si>
    <t>73013</t>
  </si>
  <si>
    <t>73014</t>
  </si>
  <si>
    <t>73014A</t>
  </si>
  <si>
    <t>73015</t>
  </si>
  <si>
    <t>73016</t>
  </si>
  <si>
    <t>73017</t>
  </si>
  <si>
    <t>73017A</t>
  </si>
  <si>
    <t>73017B</t>
  </si>
  <si>
    <t>73018</t>
  </si>
  <si>
    <t>73018A</t>
  </si>
  <si>
    <t>73018B</t>
  </si>
  <si>
    <t>73019</t>
  </si>
  <si>
    <t>73020</t>
  </si>
  <si>
    <t>73021</t>
  </si>
  <si>
    <t>73022</t>
  </si>
  <si>
    <t>73023</t>
  </si>
  <si>
    <t>73025</t>
  </si>
  <si>
    <t>73027</t>
  </si>
  <si>
    <t>73028</t>
  </si>
  <si>
    <t>73029</t>
  </si>
  <si>
    <t>73030</t>
  </si>
  <si>
    <t>73031</t>
  </si>
  <si>
    <t>73033</t>
  </si>
  <si>
    <t>73034</t>
  </si>
  <si>
    <t>73036</t>
  </si>
  <si>
    <t>73037</t>
  </si>
  <si>
    <t>73038</t>
  </si>
  <si>
    <t>73039</t>
  </si>
  <si>
    <t>73040</t>
  </si>
  <si>
    <t>73041</t>
  </si>
  <si>
    <t>73042</t>
  </si>
  <si>
    <t>73044</t>
  </si>
  <si>
    <t>73045</t>
  </si>
  <si>
    <t>73046</t>
  </si>
  <si>
    <t>73047</t>
  </si>
  <si>
    <t>73048</t>
  </si>
  <si>
    <t>73049</t>
  </si>
  <si>
    <t>73050</t>
  </si>
  <si>
    <t>73050A</t>
  </si>
  <si>
    <t>73052</t>
  </si>
  <si>
    <t>73053</t>
  </si>
  <si>
    <t>73054</t>
  </si>
  <si>
    <t>73055</t>
  </si>
  <si>
    <t>73056</t>
  </si>
  <si>
    <t>73056A</t>
  </si>
  <si>
    <t>73057</t>
  </si>
  <si>
    <t>73058</t>
  </si>
  <si>
    <t>73059</t>
  </si>
  <si>
    <t>73060</t>
  </si>
  <si>
    <t>73061</t>
  </si>
  <si>
    <t>73063</t>
  </si>
  <si>
    <t>73064</t>
  </si>
  <si>
    <t>73065</t>
  </si>
  <si>
    <t>73066</t>
  </si>
  <si>
    <t>73068</t>
  </si>
  <si>
    <t>73068A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</si>
  <si>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</si>
  <si>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</si>
  <si>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</si>
  <si>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</si>
  <si>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</si>
  <si>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</si>
  <si>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</si>
  <si>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</si>
  <si>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73079</t>
  </si>
  <si>
    <t>73080</t>
  </si>
  <si>
    <t>73081</t>
  </si>
  <si>
    <t>73082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</si>
  <si>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</si>
  <si>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</si>
  <si>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</si>
  <si>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</si>
  <si>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</si>
  <si>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</si>
  <si>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</si>
  <si>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</si>
  <si>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</si>
  <si>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</si>
  <si>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</si>
  <si>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</si>
  <si>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73096A</t>
  </si>
  <si>
    <t>73097</t>
  </si>
  <si>
    <t>73098</t>
  </si>
  <si>
    <t>73099</t>
  </si>
  <si>
    <t>73100</t>
  </si>
  <si>
    <t>73101</t>
  </si>
  <si>
    <t>73103</t>
  </si>
  <si>
    <t>73104</t>
  </si>
  <si>
    <t>73104A</t>
  </si>
  <si>
    <t>73104B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</si>
  <si>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</si>
  <si>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</si>
  <si>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</si>
  <si>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</si>
  <si>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</si>
  <si>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</si>
  <si>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</si>
  <si>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</si>
  <si>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</si>
  <si>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</si>
  <si>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</si>
  <si>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</si>
  <si>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</si>
  <si>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</si>
  <si>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</si>
  <si>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73119A</t>
  </si>
  <si>
    <t>73119B</t>
  </si>
  <si>
    <t>73119C</t>
  </si>
  <si>
    <t>73119D</t>
  </si>
  <si>
    <t>73120</t>
  </si>
  <si>
    <t>73121</t>
  </si>
  <si>
    <t>73121A</t>
  </si>
  <si>
    <t>73122</t>
  </si>
  <si>
    <t>73123</t>
  </si>
  <si>
    <t>73124</t>
  </si>
  <si>
    <t>73125</t>
  </si>
  <si>
    <t>73126</t>
  </si>
  <si>
    <t>73127</t>
  </si>
  <si>
    <t>73128</t>
  </si>
  <si>
    <t>73130</t>
  </si>
  <si>
    <t>73131</t>
  </si>
  <si>
    <t>73132</t>
  </si>
  <si>
    <t>73133</t>
  </si>
  <si>
    <t>73134</t>
  </si>
  <si>
    <t>73135</t>
  </si>
  <si>
    <t>73136</t>
  </si>
  <si>
    <t>73137</t>
  </si>
  <si>
    <t>73138</t>
  </si>
  <si>
    <t>73139</t>
  </si>
  <si>
    <t>73140</t>
  </si>
  <si>
    <t>73141</t>
  </si>
  <si>
    <t>73142</t>
  </si>
  <si>
    <t>73145/CO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</si>
  <si>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</si>
  <si>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</si>
  <si>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</si>
  <si>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</si>
  <si>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</si>
  <si>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</si>
  <si>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</si>
  <si>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</si>
  <si>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</si>
  <si>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</si>
  <si>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</si>
  <si>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</si>
  <si>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73158</t>
  </si>
  <si>
    <t>73158A</t>
  </si>
  <si>
    <t>73158B</t>
  </si>
  <si>
    <t>73158C</t>
  </si>
  <si>
    <t>73158D</t>
  </si>
  <si>
    <t>73158E</t>
  </si>
  <si>
    <t>73158F</t>
  </si>
  <si>
    <t>73158G</t>
  </si>
  <si>
    <t>73158H</t>
  </si>
  <si>
    <t>73158I</t>
  </si>
  <si>
    <t>73158J</t>
  </si>
  <si>
    <t>73158K</t>
  </si>
  <si>
    <t>73159</t>
  </si>
  <si>
    <t>73160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</si>
  <si>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</si>
  <si>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</si>
  <si>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</si>
  <si>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</si>
  <si>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</si>
  <si>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</si>
  <si>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</si>
  <si>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</si>
  <si>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</si>
  <si>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</si>
  <si>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</si>
  <si>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</si>
  <si>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</si>
  <si>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73175</t>
  </si>
  <si>
    <t>73176</t>
  </si>
  <si>
    <t>73177</t>
  </si>
  <si>
    <t>73178</t>
  </si>
  <si>
    <t>73179/CO</t>
  </si>
  <si>
    <t>73180/CO</t>
  </si>
  <si>
    <t>73181</t>
  </si>
  <si>
    <t>73182</t>
  </si>
  <si>
    <t>73183</t>
  </si>
  <si>
    <t>73185</t>
  </si>
  <si>
    <t>73186</t>
  </si>
  <si>
    <t>73187</t>
  </si>
  <si>
    <t>73188</t>
  </si>
  <si>
    <t>73189</t>
  </si>
  <si>
    <t>73190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</si>
  <si>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</si>
  <si>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</si>
  <si>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</si>
  <si>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</si>
  <si>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</si>
  <si>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</si>
  <si>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</si>
  <si>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</si>
  <si>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</si>
  <si>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</si>
  <si>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</si>
  <si>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</si>
  <si>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</si>
  <si>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</si>
  <si>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</si>
  <si>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</si>
  <si>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73208</t>
  </si>
  <si>
    <t>73209</t>
  </si>
  <si>
    <t>73209A</t>
  </si>
  <si>
    <t>73210</t>
  </si>
  <si>
    <t>73210A</t>
  </si>
  <si>
    <t>73210B</t>
  </si>
  <si>
    <t>73211</t>
  </si>
  <si>
    <t>73212</t>
  </si>
  <si>
    <t>73213</t>
  </si>
  <si>
    <t>73214</t>
  </si>
  <si>
    <t>73215</t>
  </si>
  <si>
    <t>73216</t>
  </si>
  <si>
    <t>73217</t>
  </si>
  <si>
    <t>73219</t>
  </si>
  <si>
    <t>73220</t>
  </si>
  <si>
    <t>73221</t>
  </si>
  <si>
    <t>73222</t>
  </si>
  <si>
    <t>73223</t>
  </si>
  <si>
    <t>73224</t>
  </si>
  <si>
    <t>73225</t>
  </si>
  <si>
    <t>73226</t>
  </si>
  <si>
    <t>73227</t>
  </si>
  <si>
    <t>73228</t>
  </si>
  <si>
    <t>73229</t>
  </si>
  <si>
    <t>73230</t>
  </si>
  <si>
    <t>73231</t>
  </si>
  <si>
    <t>73232</t>
  </si>
  <si>
    <t>73233</t>
  </si>
  <si>
    <t>73234</t>
  </si>
  <si>
    <t>73235</t>
  </si>
  <si>
    <t>73236</t>
  </si>
  <si>
    <t>73237</t>
  </si>
  <si>
    <t>73238</t>
  </si>
  <si>
    <t>73239</t>
  </si>
  <si>
    <t>73240</t>
  </si>
  <si>
    <t>73241</t>
  </si>
  <si>
    <t>73242</t>
  </si>
  <si>
    <t>73243</t>
  </si>
  <si>
    <t>73243A</t>
  </si>
  <si>
    <t>73244</t>
  </si>
  <si>
    <t>73245</t>
  </si>
  <si>
    <t>73246</t>
  </si>
  <si>
    <t>73247</t>
  </si>
  <si>
    <t>73250</t>
  </si>
  <si>
    <t>73251</t>
  </si>
  <si>
    <t>73252</t>
  </si>
  <si>
    <t>73252A</t>
  </si>
  <si>
    <t>73252B</t>
  </si>
  <si>
    <t>73252C</t>
  </si>
  <si>
    <t>73252D</t>
  </si>
  <si>
    <t>73252F</t>
  </si>
  <si>
    <t>73252G</t>
  </si>
  <si>
    <t>73252H</t>
  </si>
  <si>
    <t>73252I</t>
  </si>
  <si>
    <t>73252J</t>
  </si>
  <si>
    <t>73253</t>
  </si>
  <si>
    <t>73254</t>
  </si>
  <si>
    <t>73255</t>
  </si>
  <si>
    <t>73256</t>
  </si>
  <si>
    <t>73257</t>
  </si>
  <si>
    <t>73258</t>
  </si>
  <si>
    <t>73259</t>
  </si>
  <si>
    <t>73260</t>
  </si>
  <si>
    <t>73261</t>
  </si>
  <si>
    <t>73262</t>
  </si>
  <si>
    <t>73263</t>
  </si>
  <si>
    <t>73264</t>
  </si>
  <si>
    <t>73265</t>
  </si>
  <si>
    <t>73266</t>
  </si>
  <si>
    <t>73267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</si>
  <si>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</si>
  <si>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</si>
  <si>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</si>
  <si>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</si>
  <si>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</si>
  <si>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</si>
  <si>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</si>
  <si>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</si>
  <si>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73276</t>
  </si>
  <si>
    <t>73277</t>
  </si>
  <si>
    <t>73279</t>
  </si>
  <si>
    <t>73280</t>
  </si>
  <si>
    <t>73281</t>
  </si>
  <si>
    <t>73282</t>
  </si>
  <si>
    <t>73283</t>
  </si>
  <si>
    <t>73284</t>
  </si>
  <si>
    <t>73285</t>
  </si>
  <si>
    <t>73286</t>
  </si>
  <si>
    <t>73287</t>
  </si>
  <si>
    <t>73288</t>
  </si>
  <si>
    <t>73289</t>
  </si>
  <si>
    <t>73290</t>
  </si>
  <si>
    <t>73291</t>
  </si>
  <si>
    <t>73292</t>
  </si>
  <si>
    <t>73293</t>
  </si>
  <si>
    <t>73294</t>
  </si>
  <si>
    <t>73295</t>
  </si>
  <si>
    <t>73296</t>
  </si>
  <si>
    <t>73298</t>
  </si>
  <si>
    <t>73299</t>
  </si>
  <si>
    <t>73300</t>
  </si>
  <si>
    <t>73302</t>
  </si>
  <si>
    <t>73303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</si>
  <si>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</si>
  <si>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</si>
  <si>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</si>
  <si>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</si>
  <si>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</si>
  <si>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</si>
  <si>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</si>
  <si>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</si>
  <si>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</si>
  <si>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</si>
  <si>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</si>
  <si>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</si>
  <si>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</si>
  <si>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73321</t>
  </si>
  <si>
    <t>73322</t>
  </si>
  <si>
    <t>73323</t>
  </si>
  <si>
    <t>73324</t>
  </si>
  <si>
    <t>73325</t>
  </si>
  <si>
    <t>73326</t>
  </si>
  <si>
    <t>73327</t>
  </si>
  <si>
    <t>73328</t>
  </si>
  <si>
    <t>73329</t>
  </si>
  <si>
    <t>73330</t>
  </si>
  <si>
    <t>73331</t>
  </si>
  <si>
    <t>73332</t>
  </si>
  <si>
    <t>73333</t>
  </si>
  <si>
    <t>73334</t>
  </si>
  <si>
    <t>73335</t>
  </si>
  <si>
    <t>73336</t>
  </si>
  <si>
    <t>73338</t>
  </si>
  <si>
    <t>73339</t>
  </si>
  <si>
    <t>73340</t>
  </si>
  <si>
    <t>73341</t>
  </si>
  <si>
    <t>73343</t>
  </si>
  <si>
    <t>73344</t>
  </si>
  <si>
    <t>73344A</t>
  </si>
  <si>
    <t>73344B</t>
  </si>
  <si>
    <t>73346</t>
  </si>
  <si>
    <t>73347</t>
  </si>
  <si>
    <t>73348</t>
  </si>
  <si>
    <t>73349</t>
  </si>
  <si>
    <t>73350</t>
  </si>
  <si>
    <t>73351</t>
  </si>
  <si>
    <t>73352</t>
  </si>
  <si>
    <t>73353</t>
  </si>
  <si>
    <t>73353A</t>
  </si>
  <si>
    <t>73354</t>
  </si>
  <si>
    <t>73355</t>
  </si>
  <si>
    <t>73356</t>
  </si>
  <si>
    <t>73357</t>
  </si>
  <si>
    <t>73358</t>
  </si>
  <si>
    <t>73359</t>
  </si>
  <si>
    <t>73361</t>
  </si>
  <si>
    <t>73362</t>
  </si>
  <si>
    <t>73363</t>
  </si>
  <si>
    <t>73364</t>
  </si>
  <si>
    <t>73365</t>
  </si>
  <si>
    <t>73367</t>
  </si>
  <si>
    <t>73368</t>
  </si>
  <si>
    <t>73369</t>
  </si>
  <si>
    <t>73370</t>
  </si>
  <si>
    <t>73371</t>
  </si>
  <si>
    <t>73372</t>
  </si>
  <si>
    <t>73373</t>
  </si>
  <si>
    <t>73374</t>
  </si>
  <si>
    <t>73375</t>
  </si>
  <si>
    <t>73376</t>
  </si>
  <si>
    <t>73377</t>
  </si>
  <si>
    <t>73378</t>
  </si>
  <si>
    <t>73379</t>
  </si>
  <si>
    <t>73380</t>
  </si>
  <si>
    <t>73381</t>
  </si>
  <si>
    <t>73382</t>
  </si>
  <si>
    <t>73382A</t>
  </si>
  <si>
    <t>73382B</t>
  </si>
  <si>
    <t>73382C</t>
  </si>
  <si>
    <t>73382D</t>
  </si>
  <si>
    <t>73382E</t>
  </si>
  <si>
    <t>73386</t>
  </si>
  <si>
    <t>73387</t>
  </si>
  <si>
    <t>73388</t>
  </si>
  <si>
    <t>73389</t>
  </si>
  <si>
    <t>73391</t>
  </si>
  <si>
    <t>73392</t>
  </si>
  <si>
    <t>73393</t>
  </si>
  <si>
    <t>73393A</t>
  </si>
  <si>
    <t>73393B</t>
  </si>
  <si>
    <t>73394</t>
  </si>
  <si>
    <t>73399</t>
  </si>
  <si>
    <t>73400</t>
  </si>
  <si>
    <t>73401</t>
  </si>
  <si>
    <t>73402</t>
  </si>
  <si>
    <t>73403</t>
  </si>
  <si>
    <t>73404</t>
  </si>
  <si>
    <t>73405</t>
  </si>
  <si>
    <t>73406</t>
  </si>
  <si>
    <t>73409</t>
  </si>
  <si>
    <t>73410</t>
  </si>
  <si>
    <t>73410/A</t>
  </si>
  <si>
    <t>73411</t>
  </si>
  <si>
    <t>73411/A</t>
  </si>
  <si>
    <t>73411A</t>
  </si>
  <si>
    <t>73412</t>
  </si>
  <si>
    <t>73412/A</t>
  </si>
  <si>
    <t>73413</t>
  </si>
  <si>
    <t>73413/A</t>
  </si>
  <si>
    <t>73414</t>
  </si>
  <si>
    <t>73415</t>
  </si>
  <si>
    <t>73422</t>
  </si>
  <si>
    <t>73423</t>
  </si>
  <si>
    <t>73424</t>
  </si>
  <si>
    <t>73425</t>
  </si>
  <si>
    <t>73426</t>
  </si>
  <si>
    <t>73427</t>
  </si>
  <si>
    <t>73427A</t>
  </si>
  <si>
    <t>73428</t>
  </si>
  <si>
    <t>73429</t>
  </si>
  <si>
    <t>73431</t>
  </si>
  <si>
    <t>73433</t>
  </si>
  <si>
    <t>73434</t>
  </si>
  <si>
    <t>73435</t>
  </si>
  <si>
    <t>73436</t>
  </si>
  <si>
    <t>73438</t>
  </si>
  <si>
    <t>73439</t>
  </si>
  <si>
    <t>73439A</t>
  </si>
  <si>
    <t>73440</t>
  </si>
  <si>
    <t>73441</t>
  </si>
  <si>
    <t>73442</t>
  </si>
  <si>
    <t>73443</t>
  </si>
  <si>
    <t>73444</t>
  </si>
  <si>
    <t>73444A</t>
  </si>
  <si>
    <t>73444B</t>
  </si>
  <si>
    <t>73444C</t>
  </si>
  <si>
    <t>73444D</t>
  </si>
  <si>
    <t>73444E</t>
  </si>
  <si>
    <t>73445</t>
  </si>
  <si>
    <t>73445A</t>
  </si>
  <si>
    <t>73446</t>
  </si>
  <si>
    <t>73447</t>
  </si>
  <si>
    <t>73448</t>
  </si>
  <si>
    <t>73449</t>
  </si>
  <si>
    <t>73450</t>
  </si>
  <si>
    <t>73451</t>
  </si>
  <si>
    <t>73452</t>
  </si>
  <si>
    <t>73453</t>
  </si>
  <si>
    <t>73454</t>
  </si>
  <si>
    <t>73455</t>
  </si>
  <si>
    <t>73456</t>
  </si>
  <si>
    <t>73457</t>
  </si>
  <si>
    <t>73458</t>
  </si>
  <si>
    <t>73459</t>
  </si>
  <si>
    <t>73460</t>
  </si>
  <si>
    <t>73461</t>
  </si>
  <si>
    <t>73462</t>
  </si>
  <si>
    <t>73463</t>
  </si>
  <si>
    <t>73464</t>
  </si>
  <si>
    <t>73465</t>
  </si>
  <si>
    <t>73466</t>
  </si>
  <si>
    <t>73467</t>
  </si>
  <si>
    <t>73468</t>
  </si>
  <si>
    <t>73469</t>
  </si>
  <si>
    <t>73469A</t>
  </si>
  <si>
    <t>73472</t>
  </si>
  <si>
    <t>73473</t>
  </si>
  <si>
    <t>73474</t>
  </si>
  <si>
    <t>73475</t>
  </si>
  <si>
    <t>73476</t>
  </si>
  <si>
    <t>73478</t>
  </si>
  <si>
    <t>73479</t>
  </si>
  <si>
    <t>73480</t>
  </si>
  <si>
    <t>73481</t>
  </si>
  <si>
    <t>73482</t>
  </si>
  <si>
    <t>73483</t>
  </si>
  <si>
    <t>73484</t>
  </si>
  <si>
    <t>73485</t>
  </si>
  <si>
    <t>73486</t>
  </si>
  <si>
    <t>73487</t>
  </si>
  <si>
    <t>73488</t>
  </si>
  <si>
    <t>73489</t>
  </si>
  <si>
    <t>73490</t>
  </si>
  <si>
    <t>73499</t>
  </si>
  <si>
    <t>73499A</t>
  </si>
  <si>
    <t>73500</t>
  </si>
  <si>
    <t>73501</t>
  </si>
  <si>
    <t>73502</t>
  </si>
  <si>
    <t>73503</t>
  </si>
  <si>
    <t>73503A</t>
  </si>
  <si>
    <t>73503B</t>
  </si>
  <si>
    <t>73504</t>
  </si>
  <si>
    <t>73505</t>
  </si>
  <si>
    <t>73506</t>
  </si>
  <si>
    <t>73507</t>
  </si>
  <si>
    <t>73508</t>
  </si>
  <si>
    <t>73509</t>
  </si>
  <si>
    <t>73510</t>
  </si>
  <si>
    <t>73511</t>
  </si>
  <si>
    <t>73512</t>
  </si>
  <si>
    <t>73513</t>
  </si>
  <si>
    <t>73513A</t>
  </si>
  <si>
    <t>73513B</t>
  </si>
  <si>
    <t>73514</t>
  </si>
  <si>
    <t>73515</t>
  </si>
  <si>
    <t>73516</t>
  </si>
  <si>
    <t>73517</t>
  </si>
  <si>
    <t>73518A</t>
  </si>
  <si>
    <t>73518B</t>
  </si>
  <si>
    <t>73518C</t>
  </si>
  <si>
    <t>73520</t>
  </si>
  <si>
    <t>73521</t>
  </si>
  <si>
    <t>73522</t>
  </si>
  <si>
    <t>73523</t>
  </si>
  <si>
    <t>73525</t>
  </si>
  <si>
    <t>73526</t>
  </si>
  <si>
    <t>73526A</t>
  </si>
  <si>
    <t>73527</t>
  </si>
  <si>
    <t>73528</t>
  </si>
  <si>
    <t>73529</t>
  </si>
  <si>
    <t>73530</t>
  </si>
  <si>
    <t>73531</t>
  </si>
  <si>
    <t>73532</t>
  </si>
  <si>
    <t>73533</t>
  </si>
  <si>
    <t>73534</t>
  </si>
  <si>
    <t>73537</t>
  </si>
  <si>
    <t>73538</t>
  </si>
  <si>
    <t>73539</t>
  </si>
  <si>
    <t>73540</t>
  </si>
  <si>
    <t>73541</t>
  </si>
  <si>
    <t>73542</t>
  </si>
  <si>
    <t>73543</t>
  </si>
  <si>
    <t>73544</t>
  </si>
  <si>
    <t>73545</t>
  </si>
  <si>
    <t>73546</t>
  </si>
  <si>
    <t>73547</t>
  </si>
  <si>
    <t>73548</t>
  </si>
  <si>
    <t>73548A</t>
  </si>
  <si>
    <t>73548B</t>
  </si>
  <si>
    <t>73549</t>
  </si>
  <si>
    <t>73550</t>
  </si>
  <si>
    <t>73551</t>
  </si>
  <si>
    <t>73552</t>
  </si>
  <si>
    <t>73553</t>
  </si>
  <si>
    <t>73553A</t>
  </si>
  <si>
    <t>73554</t>
  </si>
  <si>
    <t>73555</t>
  </si>
  <si>
    <t>73556</t>
  </si>
  <si>
    <t>73557</t>
  </si>
  <si>
    <t>73558</t>
  </si>
  <si>
    <t>73559</t>
  </si>
  <si>
    <t>73560</t>
  </si>
  <si>
    <t>73561</t>
  </si>
  <si>
    <t>73562</t>
  </si>
  <si>
    <t>73563</t>
  </si>
  <si>
    <t>73564</t>
  </si>
  <si>
    <t>73565</t>
  </si>
  <si>
    <t>73566</t>
  </si>
  <si>
    <t>73567</t>
  </si>
  <si>
    <t>73568</t>
  </si>
  <si>
    <t>73569</t>
  </si>
  <si>
    <t>73569A</t>
  </si>
  <si>
    <t>73569B</t>
  </si>
  <si>
    <t>73569C</t>
  </si>
  <si>
    <t>73569D</t>
  </si>
  <si>
    <t>73569E</t>
  </si>
  <si>
    <t>73569F</t>
  </si>
  <si>
    <t>73569G</t>
  </si>
  <si>
    <t>73569H</t>
  </si>
  <si>
    <t>73569I</t>
  </si>
  <si>
    <t>73569J</t>
  </si>
  <si>
    <t>73570</t>
  </si>
  <si>
    <t>73571</t>
  </si>
  <si>
    <t>73573</t>
  </si>
  <si>
    <t>73573A</t>
  </si>
  <si>
    <t>73573B</t>
  </si>
  <si>
    <t>73573C</t>
  </si>
  <si>
    <t>73573D</t>
  </si>
  <si>
    <t>73575</t>
  </si>
  <si>
    <t>73576</t>
  </si>
  <si>
    <t>73577</t>
  </si>
  <si>
    <t>73578</t>
  </si>
  <si>
    <t>73578A</t>
  </si>
  <si>
    <t>73578B</t>
  </si>
  <si>
    <t>73578C</t>
  </si>
  <si>
    <t>73578D</t>
  </si>
  <si>
    <t>73578E</t>
  </si>
  <si>
    <t>73579</t>
  </si>
  <si>
    <t>73580</t>
  </si>
  <si>
    <t>73581</t>
  </si>
  <si>
    <t>73582</t>
  </si>
  <si>
    <t>73582/CO</t>
  </si>
  <si>
    <t>73582A</t>
  </si>
  <si>
    <t>73582B</t>
  </si>
  <si>
    <t>73582C</t>
  </si>
  <si>
    <t>73583</t>
  </si>
  <si>
    <t>73584</t>
  </si>
  <si>
    <t>73586</t>
  </si>
  <si>
    <t>73587</t>
  </si>
  <si>
    <t>73588</t>
  </si>
  <si>
    <t>73588A</t>
  </si>
  <si>
    <t>73588B</t>
  </si>
  <si>
    <t>73588C</t>
  </si>
  <si>
    <t>73588D</t>
  </si>
  <si>
    <t>73589</t>
  </si>
  <si>
    <t>73590</t>
  </si>
  <si>
    <t>73591</t>
  </si>
  <si>
    <t>73592</t>
  </si>
  <si>
    <t>73593</t>
  </si>
  <si>
    <t>73594</t>
  </si>
  <si>
    <t>73595</t>
  </si>
  <si>
    <t>73596</t>
  </si>
  <si>
    <t>73597</t>
  </si>
  <si>
    <t>73598</t>
  </si>
  <si>
    <t>73599</t>
  </si>
  <si>
    <t>73606</t>
  </si>
  <si>
    <t>73607</t>
  </si>
  <si>
    <t>73608</t>
  </si>
  <si>
    <t>73609</t>
  </si>
  <si>
    <t>73610</t>
  </si>
  <si>
    <t>73611</t>
  </si>
  <si>
    <t>73612</t>
  </si>
  <si>
    <t>73613</t>
  </si>
  <si>
    <t>73614</t>
  </si>
  <si>
    <t>73615</t>
  </si>
  <si>
    <t>73616</t>
  </si>
  <si>
    <t>73617</t>
  </si>
  <si>
    <t>73618</t>
  </si>
  <si>
    <t>73619</t>
  </si>
  <si>
    <t>73620</t>
  </si>
  <si>
    <t>73621/CO</t>
  </si>
  <si>
    <t>73622</t>
  </si>
  <si>
    <t>73623</t>
  </si>
  <si>
    <t>73625</t>
  </si>
  <si>
    <t>73626</t>
  </si>
  <si>
    <t>73626A</t>
  </si>
  <si>
    <t>73628</t>
  </si>
  <si>
    <t>73629</t>
  </si>
  <si>
    <t>73630</t>
  </si>
  <si>
    <t>73631</t>
  </si>
  <si>
    <t>73632</t>
  </si>
  <si>
    <t>73633</t>
  </si>
  <si>
    <t>73634</t>
  </si>
  <si>
    <t>73635</t>
  </si>
  <si>
    <t>73636</t>
  </si>
  <si>
    <t>73637</t>
  </si>
  <si>
    <t>73644</t>
  </si>
  <si>
    <t>73648</t>
  </si>
  <si>
    <t>73649</t>
  </si>
  <si>
    <t>73650</t>
  </si>
  <si>
    <t>73651</t>
  </si>
  <si>
    <t>73652</t>
  </si>
  <si>
    <t>73653</t>
  </si>
  <si>
    <t>73654</t>
  </si>
  <si>
    <t>73655</t>
  </si>
  <si>
    <t>73656</t>
  </si>
  <si>
    <t>73657</t>
  </si>
  <si>
    <t>73657A</t>
  </si>
  <si>
    <t>73657B</t>
  </si>
  <si>
    <t>73658</t>
  </si>
  <si>
    <t>73659</t>
  </si>
  <si>
    <t>73660</t>
  </si>
  <si>
    <t>73661</t>
  </si>
  <si>
    <t>73662</t>
  </si>
  <si>
    <t>73662A</t>
  </si>
  <si>
    <t>73663</t>
  </si>
  <si>
    <t>73663A</t>
  </si>
  <si>
    <t>73663B</t>
  </si>
  <si>
    <t>73663C</t>
  </si>
  <si>
    <t>73666</t>
  </si>
  <si>
    <t>73667</t>
  </si>
  <si>
    <t>73668</t>
  </si>
  <si>
    <t>73668A</t>
  </si>
  <si>
    <t>73668B</t>
  </si>
  <si>
    <t>73669</t>
  </si>
  <si>
    <t>73670</t>
  </si>
  <si>
    <t>73671</t>
  </si>
  <si>
    <t>73672</t>
  </si>
  <si>
    <t>73673</t>
  </si>
  <si>
    <t>73674</t>
  </si>
  <si>
    <t>73675</t>
  </si>
  <si>
    <t>73676</t>
  </si>
  <si>
    <t>73677</t>
  </si>
  <si>
    <t>73678</t>
  </si>
  <si>
    <t>73679</t>
  </si>
  <si>
    <t>73681</t>
  </si>
  <si>
    <t>73682</t>
  </si>
  <si>
    <t>73683</t>
  </si>
  <si>
    <t>73684</t>
  </si>
  <si>
    <t>73685</t>
  </si>
  <si>
    <t>73688</t>
  </si>
  <si>
    <t>73690</t>
  </si>
  <si>
    <t>73692</t>
  </si>
  <si>
    <t>73693</t>
  </si>
  <si>
    <t>73694</t>
  </si>
  <si>
    <t>73695</t>
  </si>
  <si>
    <t>73696</t>
  </si>
  <si>
    <t>73697</t>
  </si>
  <si>
    <t>73698</t>
  </si>
  <si>
    <t>73699</t>
  </si>
  <si>
    <t>73700</t>
  </si>
  <si>
    <t>73701</t>
  </si>
  <si>
    <t>73702</t>
  </si>
  <si>
    <t>73703</t>
  </si>
  <si>
    <t>73704</t>
  </si>
  <si>
    <t>73705</t>
  </si>
  <si>
    <t>73706</t>
  </si>
  <si>
    <t>73707</t>
  </si>
  <si>
    <t>73708</t>
  </si>
  <si>
    <t>73709</t>
  </si>
  <si>
    <t>73710</t>
  </si>
  <si>
    <t>73711</t>
  </si>
  <si>
    <t>73712</t>
  </si>
  <si>
    <t>73713</t>
  </si>
  <si>
    <t>73714</t>
  </si>
  <si>
    <t>73715</t>
  </si>
  <si>
    <t>73716</t>
  </si>
  <si>
    <t>73717</t>
  </si>
  <si>
    <t>73718</t>
  </si>
  <si>
    <t>73719</t>
  </si>
  <si>
    <t>73720</t>
  </si>
  <si>
    <t>73721</t>
  </si>
  <si>
    <t>73722</t>
  </si>
  <si>
    <t>73723</t>
  </si>
  <si>
    <t>73724</t>
  </si>
  <si>
    <t>73725</t>
  </si>
  <si>
    <t>73726</t>
  </si>
  <si>
    <t>73727</t>
  </si>
  <si>
    <t>73728</t>
  </si>
  <si>
    <t>73729</t>
  </si>
  <si>
    <t>73730</t>
  </si>
  <si>
    <t>73731</t>
  </si>
  <si>
    <t>73732</t>
  </si>
  <si>
    <t>73733</t>
  </si>
  <si>
    <t>73734</t>
  </si>
  <si>
    <t>73735</t>
  </si>
  <si>
    <t>73737</t>
  </si>
  <si>
    <t>73737A</t>
  </si>
  <si>
    <t>73738</t>
  </si>
  <si>
    <t>73739</t>
  </si>
  <si>
    <t>73740A</t>
  </si>
  <si>
    <t>73740B</t>
  </si>
  <si>
    <t>73740C</t>
  </si>
  <si>
    <t>73740D</t>
  </si>
  <si>
    <t>73740E</t>
  </si>
  <si>
    <t>73740F</t>
  </si>
  <si>
    <t>73740G</t>
  </si>
  <si>
    <t>73741</t>
  </si>
  <si>
    <t>73742</t>
  </si>
  <si>
    <t>73743</t>
  </si>
  <si>
    <t>73744</t>
  </si>
  <si>
    <t>73746</t>
  </si>
  <si>
    <t>73747</t>
  </si>
  <si>
    <t>73748</t>
  </si>
  <si>
    <t>73749</t>
  </si>
  <si>
    <t>73750</t>
  </si>
  <si>
    <t>73751</t>
  </si>
  <si>
    <t>73751A</t>
  </si>
  <si>
    <t>73751B</t>
  </si>
  <si>
    <t>73752</t>
  </si>
  <si>
    <t>73753</t>
  </si>
  <si>
    <t>73753/A</t>
  </si>
  <si>
    <t>73754</t>
  </si>
  <si>
    <t>73755</t>
  </si>
  <si>
    <t>73756</t>
  </si>
  <si>
    <t>73757</t>
  </si>
  <si>
    <t>73758</t>
  </si>
  <si>
    <t>73759</t>
  </si>
  <si>
    <t>73760</t>
  </si>
  <si>
    <t>73762</t>
  </si>
  <si>
    <t>73763</t>
  </si>
  <si>
    <t>73764</t>
  </si>
  <si>
    <t>73765</t>
  </si>
  <si>
    <t>73766</t>
  </si>
  <si>
    <t>73767</t>
  </si>
  <si>
    <t>73768</t>
  </si>
  <si>
    <t>73769</t>
  </si>
  <si>
    <t>73770</t>
  </si>
  <si>
    <t>73771</t>
  </si>
  <si>
    <t>73772</t>
  </si>
  <si>
    <t>73773</t>
  </si>
  <si>
    <t>73774</t>
  </si>
  <si>
    <t>73775</t>
  </si>
  <si>
    <t>73776</t>
  </si>
  <si>
    <t>73777</t>
  </si>
  <si>
    <t>73778</t>
  </si>
  <si>
    <t>73779</t>
  </si>
  <si>
    <t>73780</t>
  </si>
  <si>
    <t>73781</t>
  </si>
  <si>
    <t>73782</t>
  </si>
  <si>
    <t>73782A</t>
  </si>
  <si>
    <t>73782B</t>
  </si>
  <si>
    <t>73783</t>
  </si>
  <si>
    <t>73784</t>
  </si>
  <si>
    <t>73785</t>
  </si>
  <si>
    <t>73786</t>
  </si>
  <si>
    <t>73787</t>
  </si>
  <si>
    <t>73788</t>
  </si>
  <si>
    <t>73789</t>
  </si>
  <si>
    <t>73790</t>
  </si>
  <si>
    <t>73791</t>
  </si>
  <si>
    <t>73792</t>
  </si>
  <si>
    <t>73793</t>
  </si>
  <si>
    <t>73794</t>
  </si>
  <si>
    <t>73795</t>
  </si>
  <si>
    <t>73796</t>
  </si>
  <si>
    <t>73797</t>
  </si>
  <si>
    <t>73798</t>
  </si>
  <si>
    <t>73799</t>
  </si>
  <si>
    <t>73800</t>
  </si>
  <si>
    <t>73802</t>
  </si>
  <si>
    <t>73804</t>
  </si>
  <si>
    <t>73805</t>
  </si>
  <si>
    <t>73806</t>
  </si>
  <si>
    <t>73807</t>
  </si>
  <si>
    <t>73808</t>
  </si>
  <si>
    <t>73809</t>
  </si>
  <si>
    <t>73810</t>
  </si>
  <si>
    <t>73811</t>
  </si>
  <si>
    <t>73812</t>
  </si>
  <si>
    <t>73813</t>
  </si>
  <si>
    <t>73814</t>
  </si>
  <si>
    <t>73815</t>
  </si>
  <si>
    <t>73816</t>
  </si>
  <si>
    <t>73817</t>
  </si>
  <si>
    <t>73818</t>
  </si>
  <si>
    <t>73819</t>
  </si>
  <si>
    <t>73820</t>
  </si>
  <si>
    <t>73821</t>
  </si>
  <si>
    <t>73822</t>
  </si>
  <si>
    <t>73823</t>
  </si>
  <si>
    <t>73824</t>
  </si>
  <si>
    <t>73825</t>
  </si>
  <si>
    <t>73826</t>
  </si>
  <si>
    <t>73827</t>
  </si>
  <si>
    <t>73828</t>
  </si>
  <si>
    <t>73829</t>
  </si>
  <si>
    <t>73830</t>
  </si>
  <si>
    <t>73831</t>
  </si>
  <si>
    <t>73832</t>
  </si>
  <si>
    <t>73833</t>
  </si>
  <si>
    <t>73834</t>
  </si>
  <si>
    <t>73835</t>
  </si>
  <si>
    <t>73838</t>
  </si>
  <si>
    <t>73840</t>
  </si>
  <si>
    <t>73841</t>
  </si>
  <si>
    <t>73845</t>
  </si>
  <si>
    <t>73846</t>
  </si>
  <si>
    <t>73847</t>
  </si>
  <si>
    <t>73848</t>
  </si>
  <si>
    <t>73849</t>
  </si>
  <si>
    <t>73851</t>
  </si>
  <si>
    <t>73851A</t>
  </si>
  <si>
    <t>73851B</t>
  </si>
  <si>
    <t>73852</t>
  </si>
  <si>
    <t>73853</t>
  </si>
  <si>
    <t>73854</t>
  </si>
  <si>
    <t>73855</t>
  </si>
  <si>
    <t>73856</t>
  </si>
  <si>
    <t>73857</t>
  </si>
  <si>
    <t>73858</t>
  </si>
  <si>
    <t>73859</t>
  </si>
  <si>
    <t>73859A</t>
  </si>
  <si>
    <t>73860</t>
  </si>
  <si>
    <t>73861</t>
  </si>
  <si>
    <t>73862</t>
  </si>
  <si>
    <t>73866</t>
  </si>
  <si>
    <t>73868</t>
  </si>
  <si>
    <t>73870</t>
  </si>
  <si>
    <t>73871</t>
  </si>
  <si>
    <t>73872</t>
  </si>
  <si>
    <t>73873</t>
  </si>
  <si>
    <t>73875</t>
  </si>
  <si>
    <t>73876</t>
  </si>
  <si>
    <t>73877</t>
  </si>
  <si>
    <t>73878</t>
  </si>
  <si>
    <t>73879</t>
  </si>
  <si>
    <t>73880</t>
  </si>
  <si>
    <t>73881</t>
  </si>
  <si>
    <t>73882</t>
  </si>
  <si>
    <t>73883</t>
  </si>
  <si>
    <t>73884</t>
  </si>
  <si>
    <t>73885</t>
  </si>
  <si>
    <t>73886</t>
  </si>
  <si>
    <t>73887</t>
  </si>
  <si>
    <t>73888</t>
  </si>
  <si>
    <t>73889</t>
  </si>
  <si>
    <t>73890</t>
  </si>
  <si>
    <t>73891</t>
  </si>
  <si>
    <t>73892</t>
  </si>
  <si>
    <t>73894</t>
  </si>
  <si>
    <t>73895</t>
  </si>
  <si>
    <t>73897</t>
  </si>
  <si>
    <t>73898</t>
  </si>
  <si>
    <t>73899</t>
  </si>
  <si>
    <t>73900</t>
  </si>
  <si>
    <t>73901</t>
  </si>
  <si>
    <t>73902</t>
  </si>
  <si>
    <t>73904</t>
  </si>
  <si>
    <t>73904A</t>
  </si>
  <si>
    <t>73904B</t>
  </si>
  <si>
    <t>73904C</t>
  </si>
  <si>
    <t>73905</t>
  </si>
  <si>
    <t>73906</t>
  </si>
  <si>
    <t>73907</t>
  </si>
  <si>
    <t>73908</t>
  </si>
  <si>
    <t>73910</t>
  </si>
  <si>
    <t>73911</t>
  </si>
  <si>
    <t>73912</t>
  </si>
  <si>
    <t>73912A</t>
  </si>
  <si>
    <t>73914</t>
  </si>
  <si>
    <t>73915</t>
  </si>
  <si>
    <t>73916</t>
  </si>
  <si>
    <t>73917</t>
  </si>
  <si>
    <t>73918</t>
  </si>
  <si>
    <t>73919</t>
  </si>
  <si>
    <t>73920</t>
  </si>
  <si>
    <t>73921</t>
  </si>
  <si>
    <t>73922</t>
  </si>
  <si>
    <t>73923</t>
  </si>
  <si>
    <t>73924</t>
  </si>
  <si>
    <t>73925</t>
  </si>
  <si>
    <t>73926</t>
  </si>
  <si>
    <t>73927</t>
  </si>
  <si>
    <t>73928</t>
  </si>
  <si>
    <t>73931</t>
  </si>
  <si>
    <t>73932</t>
  </si>
  <si>
    <t>73933</t>
  </si>
  <si>
    <t>73934</t>
  </si>
  <si>
    <t>73935</t>
  </si>
  <si>
    <t>73936</t>
  </si>
  <si>
    <t>73936A</t>
  </si>
  <si>
    <t>73937</t>
  </si>
  <si>
    <t>73937/A</t>
  </si>
  <si>
    <t>73937/B</t>
  </si>
  <si>
    <t>73937A</t>
  </si>
  <si>
    <t>73938</t>
  </si>
  <si>
    <t>73940</t>
  </si>
  <si>
    <t>73940A</t>
  </si>
  <si>
    <t>73941</t>
  </si>
  <si>
    <t>73942</t>
  </si>
  <si>
    <t>73946</t>
  </si>
  <si>
    <t>73946A</t>
  </si>
  <si>
    <t>73947</t>
  </si>
  <si>
    <t>73947A</t>
  </si>
  <si>
    <t>73948</t>
  </si>
  <si>
    <t>73948A</t>
  </si>
  <si>
    <t>73949</t>
  </si>
  <si>
    <t>73949A</t>
  </si>
  <si>
    <t>73950</t>
  </si>
  <si>
    <t>73951</t>
  </si>
  <si>
    <t>73952</t>
  </si>
  <si>
    <t>73953</t>
  </si>
  <si>
    <t>73954</t>
  </si>
  <si>
    <t>73955</t>
  </si>
  <si>
    <t>73956</t>
  </si>
  <si>
    <t>73957</t>
  </si>
  <si>
    <t>73958</t>
  </si>
  <si>
    <t>73958A</t>
  </si>
  <si>
    <t>73959</t>
  </si>
  <si>
    <t>73960</t>
  </si>
  <si>
    <t>73961</t>
  </si>
  <si>
    <t>73961A</t>
  </si>
  <si>
    <t>73961B</t>
  </si>
  <si>
    <t>73962</t>
  </si>
  <si>
    <t>73963</t>
  </si>
  <si>
    <t>73964</t>
  </si>
  <si>
    <t>73964A</t>
  </si>
  <si>
    <t>73965</t>
  </si>
  <si>
    <t>73967</t>
  </si>
  <si>
    <t>73968</t>
  </si>
  <si>
    <t>73969</t>
  </si>
  <si>
    <t>73970</t>
  </si>
  <si>
    <t>73971</t>
  </si>
  <si>
    <t>73972</t>
  </si>
  <si>
    <t>73973</t>
  </si>
  <si>
    <t>73975</t>
  </si>
  <si>
    <t>73976</t>
  </si>
  <si>
    <t>73977</t>
  </si>
  <si>
    <t>73977A</t>
  </si>
  <si>
    <t>73977B</t>
  </si>
  <si>
    <t>73978</t>
  </si>
  <si>
    <t>73979</t>
  </si>
  <si>
    <t>73980</t>
  </si>
  <si>
    <t>73982</t>
  </si>
  <si>
    <t>73983</t>
  </si>
  <si>
    <t>73985</t>
  </si>
  <si>
    <t>73988</t>
  </si>
  <si>
    <t>73990</t>
  </si>
  <si>
    <t>73991</t>
  </si>
  <si>
    <t>73992</t>
  </si>
  <si>
    <t>73993</t>
  </si>
  <si>
    <t>73994</t>
  </si>
  <si>
    <t>73995</t>
  </si>
  <si>
    <t>73996</t>
  </si>
  <si>
    <t>73997</t>
  </si>
  <si>
    <t>73998</t>
  </si>
  <si>
    <t>73999</t>
  </si>
  <si>
    <t>74000</t>
  </si>
  <si>
    <t>74001</t>
  </si>
  <si>
    <t>74002</t>
  </si>
  <si>
    <t>74003</t>
  </si>
  <si>
    <t>74004</t>
  </si>
  <si>
    <t>74005</t>
  </si>
  <si>
    <t>74005A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</si>
  <si>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</si>
  <si>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</si>
  <si>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</si>
  <si>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</si>
  <si>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</si>
  <si>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</si>
  <si>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</si>
  <si>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</si>
  <si>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</si>
  <si>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</si>
  <si>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</si>
  <si>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</si>
  <si>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</si>
  <si>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</si>
  <si>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</si>
  <si>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</si>
  <si>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</si>
  <si>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</si>
  <si>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</si>
  <si>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</si>
  <si>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</si>
  <si>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</si>
  <si>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</si>
  <si>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</si>
  <si>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</si>
  <si>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</si>
  <si>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</si>
  <si>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</si>
  <si>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</si>
  <si>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</si>
  <si>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</si>
  <si>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</si>
  <si>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</si>
  <si>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</si>
  <si>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</si>
  <si>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</si>
  <si>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</si>
  <si>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</si>
  <si>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</si>
  <si>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</si>
  <si>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</si>
  <si>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</si>
  <si>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</si>
  <si>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74052</t>
  </si>
  <si>
    <t>74053</t>
  </si>
  <si>
    <t>74054</t>
  </si>
  <si>
    <t>74055</t>
  </si>
  <si>
    <t>74055A</t>
  </si>
  <si>
    <t>74055B</t>
  </si>
  <si>
    <t>74056</t>
  </si>
  <si>
    <t>74057</t>
  </si>
  <si>
    <t>74058</t>
  </si>
  <si>
    <t>74058A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</si>
  <si>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</si>
  <si>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</si>
  <si>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</si>
  <si>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</si>
  <si>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</si>
  <si>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</si>
  <si>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</si>
  <si>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</si>
  <si>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</si>
  <si>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</si>
  <si>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</si>
  <si>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</si>
  <si>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</si>
  <si>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</si>
  <si>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</si>
  <si>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</si>
  <si>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</si>
  <si>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</si>
  <si>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</si>
  <si>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</si>
  <si>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</si>
  <si>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</si>
  <si>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</si>
  <si>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</si>
  <si>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</si>
  <si>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</si>
  <si>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</si>
  <si>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</si>
  <si>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</si>
  <si>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</si>
  <si>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</si>
  <si>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74089/A</t>
  </si>
  <si>
    <t>74090</t>
  </si>
  <si>
    <t>74091</t>
  </si>
  <si>
    <t>74092</t>
  </si>
  <si>
    <t>74092/A</t>
  </si>
  <si>
    <t>74094</t>
  </si>
  <si>
    <t>74095</t>
  </si>
  <si>
    <t>74096</t>
  </si>
  <si>
    <t>74097</t>
  </si>
  <si>
    <t>74098</t>
  </si>
  <si>
    <t>74099</t>
  </si>
  <si>
    <t>74099A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</si>
  <si>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</si>
  <si>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</si>
  <si>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</si>
  <si>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</si>
  <si>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</si>
  <si>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</si>
  <si>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</si>
  <si>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</si>
  <si>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</si>
  <si>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74110A</t>
  </si>
  <si>
    <t>74110B</t>
  </si>
  <si>
    <t>74110C</t>
  </si>
  <si>
    <t>74112</t>
  </si>
  <si>
    <t>74113</t>
  </si>
  <si>
    <t>74114</t>
  </si>
  <si>
    <t>74115</t>
  </si>
  <si>
    <t>74116</t>
  </si>
  <si>
    <t>74117</t>
  </si>
  <si>
    <t>74118</t>
  </si>
  <si>
    <t>74119</t>
  </si>
  <si>
    <t>74120</t>
  </si>
  <si>
    <t>74121</t>
  </si>
  <si>
    <t>74122</t>
  </si>
  <si>
    <t>74123</t>
  </si>
  <si>
    <t>74124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</si>
  <si>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</si>
  <si>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</si>
  <si>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</si>
  <si>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</si>
  <si>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</si>
  <si>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</si>
  <si>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</si>
  <si>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</si>
  <si>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</si>
  <si>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</si>
  <si>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</si>
  <si>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</si>
  <si>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</si>
  <si>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</si>
  <si>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</si>
  <si>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</si>
  <si>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</si>
  <si>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</si>
  <si>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</si>
  <si>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</si>
  <si>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</si>
  <si>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</si>
  <si>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74149</t>
  </si>
  <si>
    <t>74149A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</si>
  <si>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</si>
  <si>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</si>
  <si>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</si>
  <si>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</si>
  <si>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</si>
  <si>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</si>
  <si>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</si>
  <si>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</si>
  <si>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</si>
  <si>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</si>
  <si>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</si>
  <si>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</si>
  <si>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</si>
  <si>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</si>
  <si>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</si>
  <si>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</si>
  <si>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</si>
  <si>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</si>
  <si>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</si>
  <si>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74168A</t>
  </si>
  <si>
    <t>74168B</t>
  </si>
  <si>
    <t>74169</t>
  </si>
  <si>
    <t>74170</t>
  </si>
  <si>
    <t>74171</t>
  </si>
  <si>
    <t>74172</t>
  </si>
  <si>
    <t>74172A</t>
  </si>
  <si>
    <t>74172B</t>
  </si>
  <si>
    <t>74172C</t>
  </si>
  <si>
    <t>74172D</t>
  </si>
  <si>
    <t>74173</t>
  </si>
  <si>
    <t>74174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</si>
  <si>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</si>
  <si>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</si>
  <si>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</si>
  <si>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</si>
  <si>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</si>
  <si>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</si>
  <si>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</si>
  <si>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</si>
  <si>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74184</t>
  </si>
  <si>
    <t>74185</t>
  </si>
  <si>
    <t>74187</t>
  </si>
  <si>
    <t>74188</t>
  </si>
  <si>
    <t>74189</t>
  </si>
  <si>
    <t>74190</t>
  </si>
  <si>
    <t>74191</t>
  </si>
  <si>
    <t>74192</t>
  </si>
  <si>
    <t>74193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</si>
  <si>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</si>
  <si>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</si>
  <si>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</si>
  <si>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</si>
  <si>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</si>
  <si>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</si>
  <si>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</si>
  <si>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</si>
  <si>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74205</t>
  </si>
  <si>
    <t>74207</t>
  </si>
  <si>
    <t>74208</t>
  </si>
  <si>
    <t>74209</t>
  </si>
  <si>
    <t>74210</t>
  </si>
  <si>
    <t>74212</t>
  </si>
  <si>
    <t>74214</t>
  </si>
  <si>
    <t>74215</t>
  </si>
  <si>
    <t>74216</t>
  </si>
  <si>
    <t>74216A</t>
  </si>
  <si>
    <t>74216B</t>
  </si>
  <si>
    <t>74217</t>
  </si>
  <si>
    <t>74218</t>
  </si>
  <si>
    <t>74219</t>
  </si>
  <si>
    <t>74220</t>
  </si>
  <si>
    <t>74221</t>
  </si>
  <si>
    <t>74221A</t>
  </si>
  <si>
    <t>74222</t>
  </si>
  <si>
    <t>74223</t>
  </si>
  <si>
    <t>74224</t>
  </si>
  <si>
    <t>74225</t>
  </si>
  <si>
    <t>74226</t>
  </si>
  <si>
    <t>74227</t>
  </si>
  <si>
    <t>74228</t>
  </si>
  <si>
    <t>74229</t>
  </si>
  <si>
    <t>74230</t>
  </si>
  <si>
    <t>74231</t>
  </si>
  <si>
    <t>74232</t>
  </si>
  <si>
    <t>74233</t>
  </si>
  <si>
    <t>74234</t>
  </si>
  <si>
    <t>74237</t>
  </si>
  <si>
    <t>74238</t>
  </si>
  <si>
    <t>74239</t>
  </si>
  <si>
    <t>74240</t>
  </si>
  <si>
    <t>74241</t>
  </si>
  <si>
    <t>74242</t>
  </si>
  <si>
    <t>74243</t>
  </si>
  <si>
    <t>74248</t>
  </si>
  <si>
    <t>74253</t>
  </si>
  <si>
    <t>74254</t>
  </si>
  <si>
    <t>74255</t>
  </si>
  <si>
    <t>74256</t>
  </si>
  <si>
    <t>74257</t>
  </si>
  <si>
    <t>74258</t>
  </si>
  <si>
    <t>74261</t>
  </si>
  <si>
    <t>74262</t>
  </si>
  <si>
    <t>74263</t>
  </si>
  <si>
    <t>74264</t>
  </si>
  <si>
    <t>74265</t>
  </si>
  <si>
    <t>74266</t>
  </si>
  <si>
    <t>74266A</t>
  </si>
  <si>
    <t>74267</t>
  </si>
  <si>
    <t>74268</t>
  </si>
  <si>
    <t>74269</t>
  </si>
  <si>
    <t>74270</t>
  </si>
  <si>
    <t>74273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</si>
  <si>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</si>
  <si>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</si>
  <si>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</si>
  <si>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</si>
  <si>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</si>
  <si>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</si>
  <si>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</si>
  <si>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</si>
  <si>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</si>
  <si>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</si>
  <si>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</si>
  <si>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</si>
  <si>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</si>
  <si>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</si>
  <si>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</si>
  <si>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</si>
  <si>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74291</t>
  </si>
  <si>
    <t>74292</t>
  </si>
  <si>
    <t>74293</t>
  </si>
  <si>
    <t>74294</t>
  </si>
  <si>
    <t>74295</t>
  </si>
  <si>
    <t>74296</t>
  </si>
  <si>
    <t>74297</t>
  </si>
  <si>
    <t>74298</t>
  </si>
  <si>
    <t>74299</t>
  </si>
  <si>
    <t>74300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</si>
  <si>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</si>
  <si>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</si>
  <si>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</si>
  <si>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</si>
  <si>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</si>
  <si>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</si>
  <si>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</si>
  <si>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</si>
  <si>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</si>
  <si>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</si>
  <si>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</si>
  <si>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</si>
  <si>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</si>
  <si>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</si>
  <si>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</si>
  <si>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74316</t>
  </si>
  <si>
    <t>74317</t>
  </si>
  <si>
    <t>74318</t>
  </si>
  <si>
    <t>74319</t>
  </si>
  <si>
    <t>74320</t>
  </si>
  <si>
    <t>74321</t>
  </si>
  <si>
    <t>74322</t>
  </si>
  <si>
    <t>74323</t>
  </si>
  <si>
    <t>74324</t>
  </si>
  <si>
    <t>74325</t>
  </si>
  <si>
    <t>74326</t>
  </si>
  <si>
    <t>74327</t>
  </si>
  <si>
    <t>74328</t>
  </si>
  <si>
    <t>74329</t>
  </si>
  <si>
    <t>74330</t>
  </si>
  <si>
    <t>74331</t>
  </si>
  <si>
    <t>74332</t>
  </si>
  <si>
    <t>74333</t>
  </si>
  <si>
    <t>74337</t>
  </si>
  <si>
    <t>74339</t>
  </si>
  <si>
    <t>74344</t>
  </si>
  <si>
    <t>74345</t>
  </si>
  <si>
    <t>74346</t>
  </si>
  <si>
    <t>74347</t>
  </si>
  <si>
    <t>74348</t>
  </si>
  <si>
    <t>74349</t>
  </si>
  <si>
    <t>74349A</t>
  </si>
  <si>
    <t>74350</t>
  </si>
  <si>
    <t>74350A</t>
  </si>
  <si>
    <t>74351</t>
  </si>
  <si>
    <t>74352</t>
  </si>
  <si>
    <t>74353</t>
  </si>
  <si>
    <t>74355</t>
  </si>
  <si>
    <t>74356</t>
  </si>
  <si>
    <t>74357</t>
  </si>
  <si>
    <t>74358</t>
  </si>
  <si>
    <t>74359</t>
  </si>
  <si>
    <t>74360</t>
  </si>
  <si>
    <t>74361</t>
  </si>
  <si>
    <t>74362</t>
  </si>
  <si>
    <t>74363</t>
  </si>
  <si>
    <t>74364</t>
  </si>
  <si>
    <t>74365</t>
  </si>
  <si>
    <t>74366</t>
  </si>
  <si>
    <t>74367</t>
  </si>
  <si>
    <t>74368</t>
  </si>
  <si>
    <t>74369</t>
  </si>
  <si>
    <t>74370</t>
  </si>
  <si>
    <t>74371</t>
  </si>
  <si>
    <t>74372</t>
  </si>
  <si>
    <t>74373</t>
  </si>
  <si>
    <t>74374</t>
  </si>
  <si>
    <t>74375</t>
  </si>
  <si>
    <t>74376</t>
  </si>
  <si>
    <t>74377</t>
  </si>
  <si>
    <t>74378</t>
  </si>
  <si>
    <t>74379</t>
  </si>
  <si>
    <t>74380</t>
  </si>
  <si>
    <t>74381</t>
  </si>
  <si>
    <t>74382</t>
  </si>
  <si>
    <t>74383</t>
  </si>
  <si>
    <t>74384</t>
  </si>
  <si>
    <t>74385</t>
  </si>
  <si>
    <t>74387</t>
  </si>
  <si>
    <t>74388</t>
  </si>
  <si>
    <t>74389</t>
  </si>
  <si>
    <t>74390</t>
  </si>
  <si>
    <t>74391</t>
  </si>
  <si>
    <t>74392</t>
  </si>
  <si>
    <t>74393</t>
  </si>
  <si>
    <t>74394</t>
  </si>
  <si>
    <t>74395</t>
  </si>
  <si>
    <t>74396</t>
  </si>
  <si>
    <t>74397</t>
  </si>
  <si>
    <t>74398</t>
  </si>
  <si>
    <t>74399</t>
  </si>
  <si>
    <t>74400</t>
  </si>
  <si>
    <t>74401</t>
  </si>
  <si>
    <t>74402</t>
  </si>
  <si>
    <t>74403</t>
  </si>
  <si>
    <t>74404</t>
  </si>
  <si>
    <t>74405</t>
  </si>
  <si>
    <t>74406</t>
  </si>
  <si>
    <t>74407</t>
  </si>
  <si>
    <t>74408</t>
  </si>
  <si>
    <t>74409</t>
  </si>
  <si>
    <t>74409/CO</t>
  </si>
  <si>
    <t>74411</t>
  </si>
  <si>
    <t>74412</t>
  </si>
  <si>
    <t>74413</t>
  </si>
  <si>
    <t>74415</t>
  </si>
  <si>
    <t>74416</t>
  </si>
  <si>
    <t>74417</t>
  </si>
  <si>
    <t>74418</t>
  </si>
  <si>
    <t>74419</t>
  </si>
  <si>
    <t>74421</t>
  </si>
  <si>
    <t>74422</t>
  </si>
  <si>
    <t>74423</t>
  </si>
  <si>
    <t>74424</t>
  </si>
  <si>
    <t>74425</t>
  </si>
  <si>
    <t>74426</t>
  </si>
  <si>
    <t>74427</t>
  </si>
  <si>
    <t>74428</t>
  </si>
  <si>
    <t>74429</t>
  </si>
  <si>
    <t>74430</t>
  </si>
  <si>
    <t>74431</t>
  </si>
  <si>
    <t>74432</t>
  </si>
  <si>
    <t>74434</t>
  </si>
  <si>
    <t>74435</t>
  </si>
  <si>
    <t>74436</t>
  </si>
  <si>
    <t>74437</t>
  </si>
  <si>
    <t>74438</t>
  </si>
  <si>
    <t>74439</t>
  </si>
  <si>
    <t>74440</t>
  </si>
  <si>
    <t>74441</t>
  </si>
  <si>
    <t>74442</t>
  </si>
  <si>
    <t>74443</t>
  </si>
  <si>
    <t>74444</t>
  </si>
  <si>
    <t>74446</t>
  </si>
  <si>
    <t>74448</t>
  </si>
  <si>
    <t>74449</t>
  </si>
  <si>
    <t>74449A</t>
  </si>
  <si>
    <t>74450</t>
  </si>
  <si>
    <t>74451</t>
  </si>
  <si>
    <t>74452</t>
  </si>
  <si>
    <t>74453</t>
  </si>
  <si>
    <t>74454</t>
  </si>
  <si>
    <t>74455</t>
  </si>
  <si>
    <t>74460</t>
  </si>
  <si>
    <t>74461</t>
  </si>
  <si>
    <t>74462</t>
  </si>
  <si>
    <t>74463</t>
  </si>
  <si>
    <t>74464</t>
  </si>
  <si>
    <t>74465</t>
  </si>
  <si>
    <t>74468</t>
  </si>
  <si>
    <t>74472</t>
  </si>
  <si>
    <t>74473</t>
  </si>
  <si>
    <t>74474</t>
  </si>
  <si>
    <t>74475</t>
  </si>
  <si>
    <t>74476</t>
  </si>
  <si>
    <t>74477</t>
  </si>
  <si>
    <t>74478</t>
  </si>
  <si>
    <t>74480</t>
  </si>
  <si>
    <t>74481</t>
  </si>
  <si>
    <t>74482</t>
  </si>
  <si>
    <t>74483</t>
  </si>
  <si>
    <t>74485</t>
  </si>
  <si>
    <t>74486</t>
  </si>
  <si>
    <t>74487</t>
  </si>
  <si>
    <t>74488</t>
  </si>
  <si>
    <t>74489</t>
  </si>
  <si>
    <t>74491</t>
  </si>
  <si>
    <t>74492</t>
  </si>
  <si>
    <t>74493</t>
  </si>
  <si>
    <t>74494</t>
  </si>
  <si>
    <t>74495</t>
  </si>
  <si>
    <t>74496</t>
  </si>
  <si>
    <t>74497</t>
  </si>
  <si>
    <t>74498</t>
  </si>
  <si>
    <t>74499</t>
  </si>
  <si>
    <t>74500</t>
  </si>
  <si>
    <t>74501</t>
  </si>
  <si>
    <t>74505</t>
  </si>
  <si>
    <t>74506</t>
  </si>
  <si>
    <t>74507</t>
  </si>
  <si>
    <t>74508</t>
  </si>
  <si>
    <t>74509</t>
  </si>
  <si>
    <t>74510</t>
  </si>
  <si>
    <t>74511</t>
  </si>
  <si>
    <t>74512</t>
  </si>
  <si>
    <t>74513</t>
  </si>
  <si>
    <t>74514</t>
  </si>
  <si>
    <t>74515</t>
  </si>
  <si>
    <t>74516</t>
  </si>
  <si>
    <t>74517</t>
  </si>
  <si>
    <t>74518</t>
  </si>
  <si>
    <t>74519</t>
  </si>
  <si>
    <t>74520</t>
  </si>
  <si>
    <t>74521</t>
  </si>
  <si>
    <t>74522</t>
  </si>
  <si>
    <t>74523</t>
  </si>
  <si>
    <t>74524</t>
  </si>
  <si>
    <t>74525</t>
  </si>
  <si>
    <t>74526</t>
  </si>
  <si>
    <t>74527</t>
  </si>
  <si>
    <t>74532</t>
  </si>
  <si>
    <t>74533</t>
  </si>
  <si>
    <t>74534</t>
  </si>
  <si>
    <t>74535</t>
  </si>
  <si>
    <t>74537</t>
  </si>
  <si>
    <t>74540</t>
  </si>
  <si>
    <t>74541</t>
  </si>
  <si>
    <t>74542</t>
  </si>
  <si>
    <t>74543</t>
  </si>
  <si>
    <t>74544</t>
  </si>
  <si>
    <t>74544A</t>
  </si>
  <si>
    <t>74544B</t>
  </si>
  <si>
    <t>74544C</t>
  </si>
  <si>
    <t>74544D</t>
  </si>
  <si>
    <t>74544E</t>
  </si>
  <si>
    <t>74545</t>
  </si>
  <si>
    <t>74546</t>
  </si>
  <si>
    <t>74547</t>
  </si>
  <si>
    <t>74548</t>
  </si>
  <si>
    <t>74549</t>
  </si>
  <si>
    <t>74549A</t>
  </si>
  <si>
    <t>74552</t>
  </si>
  <si>
    <t>74553</t>
  </si>
  <si>
    <t>74554</t>
  </si>
  <si>
    <t>74555</t>
  </si>
  <si>
    <t>74556</t>
  </si>
  <si>
    <t>74557</t>
  </si>
  <si>
    <t>74558</t>
  </si>
  <si>
    <t>74559</t>
  </si>
  <si>
    <t>74560</t>
  </si>
  <si>
    <t>74563</t>
  </si>
  <si>
    <t>74563/A</t>
  </si>
  <si>
    <t>74563A</t>
  </si>
  <si>
    <t>74563B</t>
  </si>
  <si>
    <t>74564</t>
  </si>
  <si>
    <t>74565</t>
  </si>
  <si>
    <t>74566</t>
  </si>
  <si>
    <t>74567</t>
  </si>
  <si>
    <t>74568</t>
  </si>
  <si>
    <t>74569</t>
  </si>
  <si>
    <t>74570</t>
  </si>
  <si>
    <t>74571</t>
  </si>
  <si>
    <t>74572</t>
  </si>
  <si>
    <t>74575</t>
  </si>
  <si>
    <t>74576</t>
  </si>
  <si>
    <t>74577</t>
  </si>
  <si>
    <t>74578</t>
  </si>
  <si>
    <t>74580</t>
  </si>
  <si>
    <t>74581</t>
  </si>
  <si>
    <t>74582</t>
  </si>
  <si>
    <t>74583</t>
  </si>
  <si>
    <t>74584</t>
  </si>
  <si>
    <t>74585</t>
  </si>
  <si>
    <t>74586</t>
  </si>
  <si>
    <t>74588</t>
  </si>
  <si>
    <t>74589</t>
  </si>
  <si>
    <t>74590</t>
  </si>
  <si>
    <t>74591</t>
  </si>
  <si>
    <t>74592</t>
  </si>
  <si>
    <t>74593</t>
  </si>
  <si>
    <t>74594</t>
  </si>
  <si>
    <t>74595</t>
  </si>
  <si>
    <t>74596</t>
  </si>
  <si>
    <t>74596A</t>
  </si>
  <si>
    <t>74597</t>
  </si>
  <si>
    <t>74597B</t>
  </si>
  <si>
    <t>74597C</t>
  </si>
  <si>
    <t>74597D</t>
  </si>
  <si>
    <t>74598</t>
  </si>
  <si>
    <t>74599</t>
  </si>
  <si>
    <t>74600</t>
  </si>
  <si>
    <t>74601</t>
  </si>
  <si>
    <t>74602</t>
  </si>
  <si>
    <t>74603</t>
  </si>
  <si>
    <t>74604</t>
  </si>
  <si>
    <t>74605</t>
  </si>
  <si>
    <t>74606</t>
  </si>
  <si>
    <t>74607</t>
  </si>
  <si>
    <t>74608</t>
  </si>
  <si>
    <t>74609</t>
  </si>
  <si>
    <t>74611</t>
  </si>
  <si>
    <t>74612</t>
  </si>
  <si>
    <t>74613</t>
  </si>
  <si>
    <t>74614</t>
  </si>
  <si>
    <t>74615</t>
  </si>
  <si>
    <t>74616</t>
  </si>
  <si>
    <t>74617</t>
  </si>
  <si>
    <t>74618</t>
  </si>
  <si>
    <t>74619</t>
  </si>
  <si>
    <t>74620</t>
  </si>
  <si>
    <t>74621</t>
  </si>
  <si>
    <t>74622</t>
  </si>
  <si>
    <t>74623</t>
  </si>
  <si>
    <t>74625</t>
  </si>
  <si>
    <t>74626</t>
  </si>
  <si>
    <t>74627</t>
  </si>
  <si>
    <t>74628</t>
  </si>
  <si>
    <t>74629</t>
  </si>
  <si>
    <t>74630</t>
  </si>
  <si>
    <t>74631</t>
  </si>
  <si>
    <t>74632</t>
  </si>
  <si>
    <t>74633</t>
  </si>
  <si>
    <t>74634</t>
  </si>
  <si>
    <t>74635</t>
  </si>
  <si>
    <t>74636</t>
  </si>
  <si>
    <t>74637</t>
  </si>
  <si>
    <t>74638</t>
  </si>
  <si>
    <t>74639</t>
  </si>
  <si>
    <t>74640</t>
  </si>
  <si>
    <t>74641</t>
  </si>
  <si>
    <t>74642</t>
  </si>
  <si>
    <t>74643</t>
  </si>
  <si>
    <t>74646</t>
  </si>
  <si>
    <t>74647</t>
  </si>
  <si>
    <t>74648</t>
  </si>
  <si>
    <t>74649</t>
  </si>
  <si>
    <t>74650</t>
  </si>
  <si>
    <t>74651</t>
  </si>
  <si>
    <t>74652</t>
  </si>
  <si>
    <t>74653</t>
  </si>
  <si>
    <t>74654</t>
  </si>
  <si>
    <t>74657</t>
  </si>
  <si>
    <t>74658</t>
  </si>
  <si>
    <t>74659</t>
  </si>
  <si>
    <t>74660</t>
  </si>
  <si>
    <t>74661</t>
  </si>
  <si>
    <t>74662</t>
  </si>
  <si>
    <t>74663</t>
  </si>
  <si>
    <t>74664</t>
  </si>
  <si>
    <t>74665</t>
  </si>
  <si>
    <t>74666</t>
  </si>
  <si>
    <t>74667</t>
  </si>
  <si>
    <t>74670</t>
  </si>
  <si>
    <t>74670A</t>
  </si>
  <si>
    <t>74671</t>
  </si>
  <si>
    <t>74672</t>
  </si>
  <si>
    <t>74673</t>
  </si>
  <si>
    <t>74674</t>
  </si>
  <si>
    <t>74675</t>
  </si>
  <si>
    <t>74676</t>
  </si>
  <si>
    <t>74677</t>
  </si>
  <si>
    <t>74679</t>
  </si>
  <si>
    <t>74680</t>
  </si>
  <si>
    <t>74681</t>
  </si>
  <si>
    <t>74682</t>
  </si>
  <si>
    <t>74683</t>
  </si>
  <si>
    <t>74685</t>
  </si>
  <si>
    <t>74686</t>
  </si>
  <si>
    <t>74687</t>
  </si>
  <si>
    <t>74688</t>
  </si>
  <si>
    <t>74689</t>
  </si>
  <si>
    <t>74690</t>
  </si>
  <si>
    <t>74692</t>
  </si>
  <si>
    <t>74693</t>
  </si>
  <si>
    <t>74694</t>
  </si>
  <si>
    <t>74695</t>
  </si>
  <si>
    <t>74696</t>
  </si>
  <si>
    <t>74697</t>
  </si>
  <si>
    <t>74698</t>
  </si>
  <si>
    <t>74700</t>
  </si>
  <si>
    <t>74700A</t>
  </si>
  <si>
    <t>74701</t>
  </si>
  <si>
    <t>74702</t>
  </si>
  <si>
    <t>74703</t>
  </si>
  <si>
    <t>74704</t>
  </si>
  <si>
    <t>74705</t>
  </si>
  <si>
    <t>74706</t>
  </si>
  <si>
    <t>74707</t>
  </si>
  <si>
    <t>74708</t>
  </si>
  <si>
    <t>74709</t>
  </si>
  <si>
    <t>74710</t>
  </si>
  <si>
    <t>74711</t>
  </si>
  <si>
    <t>74712</t>
  </si>
  <si>
    <t>74713</t>
  </si>
  <si>
    <t>74714</t>
  </si>
  <si>
    <t>74715</t>
  </si>
  <si>
    <t>74716</t>
  </si>
  <si>
    <t>74717</t>
  </si>
  <si>
    <t>74719</t>
  </si>
  <si>
    <t>74720</t>
  </si>
  <si>
    <t>74721</t>
  </si>
  <si>
    <t>74722</t>
  </si>
  <si>
    <t>74723</t>
  </si>
  <si>
    <t>74724</t>
  </si>
  <si>
    <t>74725</t>
  </si>
  <si>
    <t>74726</t>
  </si>
  <si>
    <t>74727</t>
  </si>
  <si>
    <t>74728</t>
  </si>
  <si>
    <t>74729</t>
  </si>
  <si>
    <t>74730</t>
  </si>
  <si>
    <t>74731</t>
  </si>
  <si>
    <t>74732</t>
  </si>
  <si>
    <t>74733</t>
  </si>
  <si>
    <t>74734</t>
  </si>
  <si>
    <t>74736</t>
  </si>
  <si>
    <t>74737</t>
  </si>
  <si>
    <t>74738</t>
  </si>
  <si>
    <t>74739</t>
  </si>
  <si>
    <t>74740</t>
  </si>
  <si>
    <t>74741</t>
  </si>
  <si>
    <t>74743</t>
  </si>
  <si>
    <t>74744</t>
  </si>
  <si>
    <t>74746</t>
  </si>
  <si>
    <t>74747</t>
  </si>
  <si>
    <t>74748</t>
  </si>
  <si>
    <t>74749</t>
  </si>
  <si>
    <t>74750</t>
  </si>
  <si>
    <t>74751</t>
  </si>
  <si>
    <t>74752</t>
  </si>
  <si>
    <t>74753</t>
  </si>
  <si>
    <t>74754</t>
  </si>
  <si>
    <t>74756</t>
  </si>
  <si>
    <t>74759</t>
  </si>
  <si>
    <t>74760</t>
  </si>
  <si>
    <t>74761</t>
  </si>
  <si>
    <t>74762</t>
  </si>
  <si>
    <t>74763</t>
  </si>
  <si>
    <t>74764</t>
  </si>
  <si>
    <t>74765</t>
  </si>
  <si>
    <t>74766</t>
  </si>
  <si>
    <t>74766A</t>
  </si>
  <si>
    <t>74766B</t>
  </si>
  <si>
    <t>74766C</t>
  </si>
  <si>
    <t>74772</t>
  </si>
  <si>
    <t>74773</t>
  </si>
  <si>
    <t>74774</t>
  </si>
  <si>
    <t>74775</t>
  </si>
  <si>
    <t>74776</t>
  </si>
  <si>
    <t>74776A</t>
  </si>
  <si>
    <t>74777</t>
  </si>
  <si>
    <t>74777A</t>
  </si>
  <si>
    <t>74778</t>
  </si>
  <si>
    <t>74780</t>
  </si>
  <si>
    <t>74781</t>
  </si>
  <si>
    <t>74782</t>
  </si>
  <si>
    <t>74783</t>
  </si>
  <si>
    <t>74784</t>
  </si>
  <si>
    <t>74785</t>
  </si>
  <si>
    <t>74786</t>
  </si>
  <si>
    <t>74787</t>
  </si>
  <si>
    <t>74788</t>
  </si>
  <si>
    <t>74790</t>
  </si>
  <si>
    <t>74791</t>
  </si>
  <si>
    <t>74792</t>
  </si>
  <si>
    <t>74793</t>
  </si>
  <si>
    <t>74794</t>
  </si>
  <si>
    <t>74795</t>
  </si>
  <si>
    <t>74796</t>
  </si>
  <si>
    <t>74797</t>
  </si>
  <si>
    <t>74802</t>
  </si>
  <si>
    <t>74807</t>
  </si>
  <si>
    <t>74808</t>
  </si>
  <si>
    <t>74809</t>
  </si>
  <si>
    <t>74810</t>
  </si>
  <si>
    <t>74811</t>
  </si>
  <si>
    <t>74811A</t>
  </si>
  <si>
    <t>74811B</t>
  </si>
  <si>
    <t>74811C</t>
  </si>
  <si>
    <t>74812</t>
  </si>
  <si>
    <t>74812A</t>
  </si>
  <si>
    <t>74812B</t>
  </si>
  <si>
    <t>74812C</t>
  </si>
  <si>
    <t>74813</t>
  </si>
  <si>
    <t>74816</t>
  </si>
  <si>
    <t>74817</t>
  </si>
  <si>
    <t>74818</t>
  </si>
  <si>
    <t>74819</t>
  </si>
  <si>
    <t>74821</t>
  </si>
  <si>
    <t>74822</t>
  </si>
  <si>
    <t>74823</t>
  </si>
  <si>
    <t>74824</t>
  </si>
  <si>
    <t>74826</t>
  </si>
  <si>
    <t>74827</t>
  </si>
  <si>
    <t>74828</t>
  </si>
  <si>
    <t>74829</t>
  </si>
  <si>
    <t>74830</t>
  </si>
  <si>
    <t>74831</t>
  </si>
  <si>
    <t>74832</t>
  </si>
  <si>
    <t>74833</t>
  </si>
  <si>
    <t>74834</t>
  </si>
  <si>
    <t>74835</t>
  </si>
  <si>
    <t>74836</t>
  </si>
  <si>
    <t>74837</t>
  </si>
  <si>
    <t>74841</t>
  </si>
  <si>
    <t>74842</t>
  </si>
  <si>
    <t>74843</t>
  </si>
  <si>
    <t>74844</t>
  </si>
  <si>
    <t>74845</t>
  </si>
  <si>
    <t>74846</t>
  </si>
  <si>
    <t>74847</t>
  </si>
  <si>
    <t>74848</t>
  </si>
  <si>
    <t>74850</t>
  </si>
  <si>
    <t>74851</t>
  </si>
  <si>
    <t>74852</t>
  </si>
  <si>
    <t>74854</t>
  </si>
  <si>
    <t>74855</t>
  </si>
  <si>
    <t>74856</t>
  </si>
  <si>
    <t>74866</t>
  </si>
  <si>
    <t>74867</t>
  </si>
  <si>
    <t>74868</t>
  </si>
  <si>
    <t>74872</t>
  </si>
  <si>
    <t>74873</t>
  </si>
  <si>
    <t>74874</t>
  </si>
  <si>
    <t>74875</t>
  </si>
  <si>
    <t>74876</t>
  </si>
  <si>
    <t>74877</t>
  </si>
  <si>
    <t>74878</t>
  </si>
  <si>
    <t>74879</t>
  </si>
  <si>
    <t>74881</t>
  </si>
  <si>
    <t>74882</t>
  </si>
  <si>
    <t>74883</t>
  </si>
  <si>
    <t>74884</t>
  </si>
  <si>
    <t>74884A</t>
  </si>
  <si>
    <t>74885</t>
  </si>
  <si>
    <t>74886</t>
  </si>
  <si>
    <t>74887</t>
  </si>
  <si>
    <t>74888</t>
  </si>
  <si>
    <t>74889</t>
  </si>
  <si>
    <t>74890</t>
  </si>
  <si>
    <t>74893</t>
  </si>
  <si>
    <t>74894</t>
  </si>
  <si>
    <t>74896</t>
  </si>
  <si>
    <t>74897</t>
  </si>
  <si>
    <t>74897A</t>
  </si>
  <si>
    <t>74898</t>
  </si>
  <si>
    <t>74899</t>
  </si>
  <si>
    <t>74900</t>
  </si>
  <si>
    <t>74901</t>
  </si>
  <si>
    <t>74902</t>
  </si>
  <si>
    <t>74903</t>
  </si>
  <si>
    <t>74904</t>
  </si>
  <si>
    <t>74905</t>
  </si>
  <si>
    <t>74906</t>
  </si>
  <si>
    <t>74907</t>
  </si>
  <si>
    <t>74908</t>
  </si>
  <si>
    <t>74909</t>
  </si>
  <si>
    <t>74911</t>
  </si>
  <si>
    <t>74912</t>
  </si>
  <si>
    <t>74912A</t>
  </si>
  <si>
    <t>74913</t>
  </si>
  <si>
    <t>74914</t>
  </si>
  <si>
    <t>74915</t>
  </si>
  <si>
    <t>74916</t>
  </si>
  <si>
    <t>74919</t>
  </si>
  <si>
    <t>74920</t>
  </si>
  <si>
    <t>74921</t>
  </si>
  <si>
    <t>74922</t>
  </si>
  <si>
    <t>74923</t>
  </si>
  <si>
    <t>74924</t>
  </si>
  <si>
    <t>74925</t>
  </si>
  <si>
    <t>74925A</t>
  </si>
  <si>
    <t>74925B</t>
  </si>
  <si>
    <t>74925C</t>
  </si>
  <si>
    <t>74925D</t>
  </si>
  <si>
    <t>74926</t>
  </si>
  <si>
    <t>74928</t>
  </si>
  <si>
    <t>74929</t>
  </si>
  <si>
    <t>74930</t>
  </si>
  <si>
    <t>74931</t>
  </si>
  <si>
    <t>74932</t>
  </si>
  <si>
    <t>74933</t>
  </si>
  <si>
    <t>74934</t>
  </si>
  <si>
    <t>74935</t>
  </si>
  <si>
    <t>74936</t>
  </si>
  <si>
    <t>74937</t>
  </si>
  <si>
    <t>74938</t>
  </si>
  <si>
    <t>74939</t>
  </si>
  <si>
    <t>74940</t>
  </si>
  <si>
    <t>74941</t>
  </si>
  <si>
    <t>74942</t>
  </si>
  <si>
    <t>74943</t>
  </si>
  <si>
    <t>74944</t>
  </si>
  <si>
    <t>74945</t>
  </si>
  <si>
    <t>74946</t>
  </si>
  <si>
    <t>74947</t>
  </si>
  <si>
    <t>74948</t>
  </si>
  <si>
    <t>74951</t>
  </si>
  <si>
    <t>74952</t>
  </si>
  <si>
    <t>74953</t>
  </si>
  <si>
    <t>74954/CO</t>
  </si>
  <si>
    <t>74955/CO</t>
  </si>
  <si>
    <t>74956</t>
  </si>
  <si>
    <t>74957</t>
  </si>
  <si>
    <t>74958</t>
  </si>
  <si>
    <t>74959</t>
  </si>
  <si>
    <t>74960</t>
  </si>
  <si>
    <t>74961</t>
  </si>
  <si>
    <t>74962</t>
  </si>
  <si>
    <t>74963</t>
  </si>
  <si>
    <t>74964</t>
  </si>
  <si>
    <t>74966</t>
  </si>
  <si>
    <t>74967</t>
  </si>
  <si>
    <t>74968</t>
  </si>
  <si>
    <t>74969</t>
  </si>
  <si>
    <t>74970</t>
  </si>
  <si>
    <t>74971</t>
  </si>
  <si>
    <t>74972</t>
  </si>
  <si>
    <t>74973</t>
  </si>
  <si>
    <t>74974</t>
  </si>
  <si>
    <t>74975</t>
  </si>
  <si>
    <t>74976</t>
  </si>
  <si>
    <t>74976A</t>
  </si>
  <si>
    <t>74977</t>
  </si>
  <si>
    <t>74978</t>
  </si>
  <si>
    <t>74979</t>
  </si>
  <si>
    <t>74980</t>
  </si>
  <si>
    <t>74982</t>
  </si>
  <si>
    <t>74983</t>
  </si>
  <si>
    <t>74986</t>
  </si>
  <si>
    <t>74988</t>
  </si>
  <si>
    <t>74989</t>
  </si>
  <si>
    <t>74990</t>
  </si>
  <si>
    <t>74991</t>
  </si>
  <si>
    <t>74992</t>
  </si>
  <si>
    <t>74994</t>
  </si>
  <si>
    <t>74995</t>
  </si>
  <si>
    <t>74996</t>
  </si>
  <si>
    <t>74997</t>
  </si>
  <si>
    <t>74998</t>
  </si>
  <si>
    <t>74999</t>
  </si>
  <si>
    <t>75000</t>
  </si>
  <si>
    <t>75001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</si>
  <si>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</si>
  <si>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</si>
  <si>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</si>
  <si>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</si>
  <si>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</si>
  <si>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</si>
  <si>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</si>
  <si>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</si>
  <si>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75009A</t>
  </si>
  <si>
    <t>75010</t>
  </si>
  <si>
    <t>75011</t>
  </si>
  <si>
    <t>75012</t>
  </si>
  <si>
    <t>75013</t>
  </si>
  <si>
    <t>75014</t>
  </si>
  <si>
    <t>75015</t>
  </si>
  <si>
    <t>75015B</t>
  </si>
  <si>
    <t>75016</t>
  </si>
  <si>
    <t>75018</t>
  </si>
  <si>
    <t>75018A</t>
  </si>
  <si>
    <t>75019</t>
  </si>
  <si>
    <t>75020</t>
  </si>
  <si>
    <t>75021</t>
  </si>
  <si>
    <t>75022</t>
  </si>
  <si>
    <t>75023</t>
  </si>
  <si>
    <t>75024/CO</t>
  </si>
  <si>
    <t>75025</t>
  </si>
  <si>
    <t>75026</t>
  </si>
  <si>
    <t>75027</t>
  </si>
  <si>
    <t>75028</t>
  </si>
  <si>
    <t>75029</t>
  </si>
  <si>
    <t>75030</t>
  </si>
  <si>
    <t>75042</t>
  </si>
  <si>
    <t>75043</t>
  </si>
  <si>
    <t>75044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</si>
  <si>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</si>
  <si>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</si>
  <si>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</si>
  <si>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</si>
  <si>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</si>
  <si>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</si>
  <si>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</si>
  <si>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</si>
  <si>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75055</t>
  </si>
  <si>
    <t>75056</t>
  </si>
  <si>
    <t>75057</t>
  </si>
  <si>
    <t>75059</t>
  </si>
  <si>
    <t>75060</t>
  </si>
  <si>
    <t>75061</t>
  </si>
  <si>
    <t>75061A</t>
  </si>
  <si>
    <t>75061C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</si>
  <si>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</si>
  <si>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</si>
  <si>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</si>
  <si>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</si>
  <si>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</si>
  <si>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</si>
  <si>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</si>
  <si>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</si>
  <si>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</si>
  <si>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75072</t>
  </si>
  <si>
    <t>75073</t>
  </si>
  <si>
    <t>75073A</t>
  </si>
  <si>
    <t>75088</t>
  </si>
  <si>
    <t>75088A</t>
  </si>
  <si>
    <t>75090</t>
  </si>
  <si>
    <t>75091</t>
  </si>
  <si>
    <t>75092</t>
  </si>
  <si>
    <t>75093</t>
  </si>
  <si>
    <t>75095</t>
  </si>
  <si>
    <t>75096</t>
  </si>
  <si>
    <t>75097</t>
  </si>
  <si>
    <t>75098</t>
  </si>
  <si>
    <t>75099</t>
  </si>
  <si>
    <t>75100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</si>
  <si>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</si>
  <si>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</si>
  <si>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</si>
  <si>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</si>
  <si>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</si>
  <si>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</si>
  <si>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</si>
  <si>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</si>
  <si>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</si>
  <si>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</si>
  <si>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75114</t>
  </si>
  <si>
    <t>75115</t>
  </si>
  <si>
    <t>75116</t>
  </si>
  <si>
    <t>75117</t>
  </si>
  <si>
    <t>75118</t>
  </si>
  <si>
    <t>75119</t>
  </si>
  <si>
    <t>75120</t>
  </si>
  <si>
    <t>75121</t>
  </si>
  <si>
    <t>75122</t>
  </si>
  <si>
    <t>75123</t>
  </si>
  <si>
    <t>75124</t>
  </si>
  <si>
    <t>75125</t>
  </si>
  <si>
    <t>75126</t>
  </si>
  <si>
    <t>75131</t>
  </si>
  <si>
    <t>75132</t>
  </si>
  <si>
    <t>75133</t>
  </si>
  <si>
    <t>75134</t>
  </si>
  <si>
    <t>75135</t>
  </si>
  <si>
    <t>75137</t>
  </si>
  <si>
    <t>75138</t>
  </si>
  <si>
    <t>75139</t>
  </si>
  <si>
    <t>75140</t>
  </si>
  <si>
    <t>75141</t>
  </si>
  <si>
    <t>75142</t>
  </si>
  <si>
    <t>75143</t>
  </si>
  <si>
    <t>75144</t>
  </si>
  <si>
    <t>75145</t>
  </si>
  <si>
    <t>75146</t>
  </si>
  <si>
    <t>75147</t>
  </si>
  <si>
    <t>75149</t>
  </si>
  <si>
    <t>75150</t>
  </si>
  <si>
    <t>75151</t>
  </si>
  <si>
    <t>75153</t>
  </si>
  <si>
    <t>75154</t>
  </si>
  <si>
    <t>75155</t>
  </si>
  <si>
    <t>75156</t>
  </si>
  <si>
    <t>75167</t>
  </si>
  <si>
    <t>75167A</t>
  </si>
  <si>
    <t>75168</t>
  </si>
  <si>
    <t>75169</t>
  </si>
  <si>
    <t>75170</t>
  </si>
  <si>
    <t>75175</t>
  </si>
  <si>
    <t>75176</t>
  </si>
  <si>
    <t>75177</t>
  </si>
  <si>
    <t>75178</t>
  </si>
  <si>
    <t>75179</t>
  </si>
  <si>
    <t>75180</t>
  </si>
  <si>
    <t>75182</t>
  </si>
  <si>
    <t>75183</t>
  </si>
  <si>
    <t>75184</t>
  </si>
  <si>
    <t>75185</t>
  </si>
  <si>
    <t>75186</t>
  </si>
  <si>
    <t>75187</t>
  </si>
  <si>
    <t>75187A</t>
  </si>
  <si>
    <t>75188</t>
  </si>
  <si>
    <t>75189</t>
  </si>
  <si>
    <t>75190</t>
  </si>
  <si>
    <t>75192</t>
  </si>
  <si>
    <t>75193</t>
  </si>
  <si>
    <t>75194</t>
  </si>
  <si>
    <t>75195</t>
  </si>
  <si>
    <t>75196</t>
  </si>
  <si>
    <t>75197</t>
  </si>
  <si>
    <t>75198</t>
  </si>
  <si>
    <t>75199</t>
  </si>
  <si>
    <t>75200</t>
  </si>
  <si>
    <t>75201</t>
  </si>
  <si>
    <t>75202</t>
  </si>
  <si>
    <t>75203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</si>
  <si>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</si>
  <si>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</si>
  <si>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</si>
  <si>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</si>
  <si>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</si>
  <si>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</si>
  <si>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</si>
  <si>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</si>
  <si>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75213</t>
  </si>
  <si>
    <t>75214</t>
  </si>
  <si>
    <t>75215</t>
  </si>
  <si>
    <t>75216</t>
  </si>
  <si>
    <t>75217</t>
  </si>
  <si>
    <t>75218</t>
  </si>
  <si>
    <t>75219</t>
  </si>
  <si>
    <t>75220</t>
  </si>
  <si>
    <t>75220A</t>
  </si>
  <si>
    <t>75220B</t>
  </si>
  <si>
    <t>75220C</t>
  </si>
  <si>
    <t>75220D</t>
  </si>
  <si>
    <t>75221</t>
  </si>
  <si>
    <t>75222</t>
  </si>
  <si>
    <t>75223</t>
  </si>
  <si>
    <t>75225</t>
  </si>
  <si>
    <t>75226</t>
  </si>
  <si>
    <t>75227</t>
  </si>
  <si>
    <t>75228</t>
  </si>
  <si>
    <t>75229</t>
  </si>
  <si>
    <t>75230</t>
  </si>
  <si>
    <t>75231</t>
  </si>
  <si>
    <t>75233</t>
  </si>
  <si>
    <t>75234</t>
  </si>
  <si>
    <t>75235</t>
  </si>
  <si>
    <t>75236</t>
  </si>
  <si>
    <t>75237</t>
  </si>
  <si>
    <t>75238</t>
  </si>
  <si>
    <t>75240</t>
  </si>
  <si>
    <t>75241</t>
  </si>
  <si>
    <t>75242</t>
  </si>
  <si>
    <t>75243</t>
  </si>
  <si>
    <t>75244</t>
  </si>
  <si>
    <t>75245</t>
  </si>
  <si>
    <t>75245A</t>
  </si>
  <si>
    <t>75245B</t>
  </si>
  <si>
    <t>75245C</t>
  </si>
  <si>
    <t>75246</t>
  </si>
  <si>
    <t>75247</t>
  </si>
  <si>
    <t>75248</t>
  </si>
  <si>
    <t>75249</t>
  </si>
  <si>
    <t>75250</t>
  </si>
  <si>
    <t>75250A</t>
  </si>
  <si>
    <t>75251</t>
  </si>
  <si>
    <t>75251/A</t>
  </si>
  <si>
    <t>75252</t>
  </si>
  <si>
    <t>75253</t>
  </si>
  <si>
    <t>75254</t>
  </si>
  <si>
    <t>75255</t>
  </si>
  <si>
    <t>75256</t>
  </si>
  <si>
    <t>75257</t>
  </si>
  <si>
    <t>75258</t>
  </si>
  <si>
    <t>75259</t>
  </si>
  <si>
    <t>75260</t>
  </si>
  <si>
    <t>75261</t>
  </si>
  <si>
    <t>75262</t>
  </si>
  <si>
    <t>75264</t>
  </si>
  <si>
    <t>75267</t>
  </si>
  <si>
    <t>75268</t>
  </si>
  <si>
    <t>75269</t>
  </si>
  <si>
    <t>75270</t>
  </si>
  <si>
    <t>75272</t>
  </si>
  <si>
    <t>75273</t>
  </si>
  <si>
    <t>75274</t>
  </si>
  <si>
    <t>75275</t>
  </si>
  <si>
    <t>75277</t>
  </si>
  <si>
    <t>75278</t>
  </si>
  <si>
    <t>75279</t>
  </si>
  <si>
    <t>75280</t>
  </si>
  <si>
    <t>75281</t>
  </si>
  <si>
    <t>75282</t>
  </si>
  <si>
    <t>75283</t>
  </si>
  <si>
    <t>75284</t>
  </si>
  <si>
    <t>75285</t>
  </si>
  <si>
    <t>75286</t>
  </si>
  <si>
    <t>75287</t>
  </si>
  <si>
    <t>75289</t>
  </si>
  <si>
    <t>75290</t>
  </si>
  <si>
    <t>75291</t>
  </si>
  <si>
    <t>75293</t>
  </si>
  <si>
    <t>75294</t>
  </si>
  <si>
    <t>75295</t>
  </si>
  <si>
    <t>75297</t>
  </si>
  <si>
    <t>75299</t>
  </si>
  <si>
    <t>75301</t>
  </si>
  <si>
    <t>75302</t>
  </si>
  <si>
    <t>75303</t>
  </si>
  <si>
    <t>75304</t>
  </si>
  <si>
    <t>75304A</t>
  </si>
  <si>
    <t>75304B</t>
  </si>
  <si>
    <t>75304C</t>
  </si>
  <si>
    <t>75304D</t>
  </si>
  <si>
    <t>75304E</t>
  </si>
  <si>
    <t>75304F</t>
  </si>
  <si>
    <t>75305</t>
  </si>
  <si>
    <t>75306</t>
  </si>
  <si>
    <t>75307</t>
  </si>
  <si>
    <t>75308</t>
  </si>
  <si>
    <t>75308A</t>
  </si>
  <si>
    <t>75308B</t>
  </si>
  <si>
    <t>75309</t>
  </si>
  <si>
    <t>75310</t>
  </si>
  <si>
    <t>75311</t>
  </si>
  <si>
    <t>75312</t>
  </si>
  <si>
    <t>75313</t>
  </si>
  <si>
    <t>75314</t>
  </si>
  <si>
    <t>75315</t>
  </si>
  <si>
    <t>75316</t>
  </si>
  <si>
    <t>75317</t>
  </si>
  <si>
    <t>75319</t>
  </si>
  <si>
    <t>75319A</t>
  </si>
  <si>
    <t>75320</t>
  </si>
  <si>
    <t>75322</t>
  </si>
  <si>
    <t>75323</t>
  </si>
  <si>
    <t>75324</t>
  </si>
  <si>
    <t>75324A</t>
  </si>
  <si>
    <t>75324B</t>
  </si>
  <si>
    <t>75325</t>
  </si>
  <si>
    <t>75325A</t>
  </si>
  <si>
    <t>75326</t>
  </si>
  <si>
    <t>75327</t>
  </si>
  <si>
    <t>75329</t>
  </si>
  <si>
    <t>75330</t>
  </si>
  <si>
    <t>75331</t>
  </si>
  <si>
    <t>75332</t>
  </si>
  <si>
    <t>75333</t>
  </si>
  <si>
    <t>75334</t>
  </si>
  <si>
    <t>75335</t>
  </si>
  <si>
    <t>75336</t>
  </si>
  <si>
    <t>75337</t>
  </si>
  <si>
    <t>75338</t>
  </si>
  <si>
    <t>75339</t>
  </si>
  <si>
    <t>75340</t>
  </si>
  <si>
    <t>75341</t>
  </si>
  <si>
    <t>75342</t>
  </si>
  <si>
    <t>75343</t>
  </si>
  <si>
    <t>75344</t>
  </si>
  <si>
    <t>75345</t>
  </si>
  <si>
    <t>75345A</t>
  </si>
  <si>
    <t>75345B</t>
  </si>
  <si>
    <t>75345C</t>
  </si>
  <si>
    <t>75346</t>
  </si>
  <si>
    <t>75347</t>
  </si>
  <si>
    <t>75348</t>
  </si>
  <si>
    <t>75351</t>
  </si>
  <si>
    <t>75353</t>
  </si>
  <si>
    <t>75354</t>
  </si>
  <si>
    <t>75355</t>
  </si>
  <si>
    <t>75356</t>
  </si>
  <si>
    <t>75357</t>
  </si>
  <si>
    <t>75358</t>
  </si>
  <si>
    <t>75359</t>
  </si>
  <si>
    <t>75360</t>
  </si>
  <si>
    <t>75361</t>
  </si>
  <si>
    <t>75362</t>
  </si>
  <si>
    <t>75363</t>
  </si>
  <si>
    <t>75364</t>
  </si>
  <si>
    <t>75365</t>
  </si>
  <si>
    <t>75366</t>
  </si>
  <si>
    <t>75367</t>
  </si>
  <si>
    <t>75368</t>
  </si>
  <si>
    <t>75369</t>
  </si>
  <si>
    <t>75371</t>
  </si>
  <si>
    <t>75372</t>
  </si>
  <si>
    <t>75373</t>
  </si>
  <si>
    <t>75374</t>
  </si>
  <si>
    <t>75375</t>
  </si>
  <si>
    <t>75376</t>
  </si>
  <si>
    <t>75377</t>
  </si>
  <si>
    <t>75378</t>
  </si>
  <si>
    <t>75379</t>
  </si>
  <si>
    <t>75380</t>
  </si>
  <si>
    <t>75381</t>
  </si>
  <si>
    <t>75382</t>
  </si>
  <si>
    <t>75383</t>
  </si>
  <si>
    <t>75384</t>
  </si>
  <si>
    <t>75385</t>
  </si>
  <si>
    <t>75386</t>
  </si>
  <si>
    <t>75386A</t>
  </si>
  <si>
    <t>75386B</t>
  </si>
  <si>
    <t>75387</t>
  </si>
  <si>
    <t>75388</t>
  </si>
  <si>
    <t>75389</t>
  </si>
  <si>
    <t>75390</t>
  </si>
  <si>
    <t>75391</t>
  </si>
  <si>
    <t>75392</t>
  </si>
  <si>
    <t>75393</t>
  </si>
  <si>
    <t>75394</t>
  </si>
  <si>
    <t>75395</t>
  </si>
  <si>
    <t>75396</t>
  </si>
  <si>
    <t>75397</t>
  </si>
  <si>
    <t>75398</t>
  </si>
  <si>
    <t>75399</t>
  </si>
  <si>
    <t>75400</t>
  </si>
  <si>
    <t>75401</t>
  </si>
  <si>
    <t>75402</t>
  </si>
  <si>
    <t>75403</t>
  </si>
  <si>
    <t>75405</t>
  </si>
  <si>
    <t>75406</t>
  </si>
  <si>
    <t>75407</t>
  </si>
  <si>
    <t>75408</t>
  </si>
  <si>
    <t>75409</t>
  </si>
  <si>
    <t>75410</t>
  </si>
  <si>
    <t>75411</t>
  </si>
  <si>
    <t>75412</t>
  </si>
  <si>
    <t>75413</t>
  </si>
  <si>
    <t>75414</t>
  </si>
  <si>
    <t>75415</t>
  </si>
  <si>
    <t>75416</t>
  </si>
  <si>
    <t>75417</t>
  </si>
  <si>
    <t>75418</t>
  </si>
  <si>
    <t>75419</t>
  </si>
  <si>
    <t>75420</t>
  </si>
  <si>
    <t>75421</t>
  </si>
  <si>
    <t>75422</t>
  </si>
  <si>
    <t>75423</t>
  </si>
  <si>
    <t>75424</t>
  </si>
  <si>
    <t>75425</t>
  </si>
  <si>
    <t>75426</t>
  </si>
  <si>
    <t>75427</t>
  </si>
  <si>
    <t>75428</t>
  </si>
  <si>
    <t>75428A</t>
  </si>
  <si>
    <t>75431</t>
  </si>
  <si>
    <t>75433</t>
  </si>
  <si>
    <t>75434</t>
  </si>
  <si>
    <t>75435</t>
  </si>
  <si>
    <t>75436</t>
  </si>
  <si>
    <t>75437</t>
  </si>
  <si>
    <t>75438</t>
  </si>
  <si>
    <t>75439</t>
  </si>
  <si>
    <t>75440</t>
  </si>
  <si>
    <t>75441</t>
  </si>
  <si>
    <t>75442</t>
  </si>
  <si>
    <t>75443</t>
  </si>
  <si>
    <t>75444</t>
  </si>
  <si>
    <t>75445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</si>
  <si>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</si>
  <si>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</si>
  <si>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</si>
  <si>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</si>
  <si>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</si>
  <si>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</si>
  <si>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</si>
  <si>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</si>
  <si>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75454</t>
  </si>
  <si>
    <t>75455</t>
  </si>
  <si>
    <t>75456</t>
  </si>
  <si>
    <t>75457</t>
  </si>
  <si>
    <t>75458</t>
  </si>
  <si>
    <t>75459</t>
  </si>
  <si>
    <t>75460</t>
  </si>
  <si>
    <t>75462</t>
  </si>
  <si>
    <t>75462A</t>
  </si>
  <si>
    <t>75463</t>
  </si>
  <si>
    <t>75464</t>
  </si>
  <si>
    <t>75465</t>
  </si>
  <si>
    <t>75466</t>
  </si>
  <si>
    <t>75467</t>
  </si>
  <si>
    <t>75468</t>
  </si>
  <si>
    <t>75469</t>
  </si>
  <si>
    <t>75470</t>
  </si>
  <si>
    <t>75471</t>
  </si>
  <si>
    <t>75472</t>
  </si>
  <si>
    <t>75473</t>
  </si>
  <si>
    <t>75474</t>
  </si>
  <si>
    <t>75475</t>
  </si>
  <si>
    <t>75476</t>
  </si>
  <si>
    <t>75477</t>
  </si>
  <si>
    <t>75478</t>
  </si>
  <si>
    <t>75479</t>
  </si>
  <si>
    <t>75480</t>
  </si>
  <si>
    <t>75481</t>
  </si>
  <si>
    <t>75481A</t>
  </si>
  <si>
    <t>75482</t>
  </si>
  <si>
    <t>75483</t>
  </si>
  <si>
    <t>75484</t>
  </si>
  <si>
    <t>75485</t>
  </si>
  <si>
    <t>75487</t>
  </si>
  <si>
    <t>75488</t>
  </si>
  <si>
    <t>75489</t>
  </si>
  <si>
    <t>75490</t>
  </si>
  <si>
    <t>75491</t>
  </si>
  <si>
    <t>75492</t>
  </si>
  <si>
    <t>75492A</t>
  </si>
  <si>
    <t>75493</t>
  </si>
  <si>
    <t>75493A</t>
  </si>
  <si>
    <t>75494</t>
  </si>
  <si>
    <t>75495</t>
  </si>
  <si>
    <t>75495/A</t>
  </si>
  <si>
    <t>75496</t>
  </si>
  <si>
    <t>75497</t>
  </si>
  <si>
    <t>75498</t>
  </si>
  <si>
    <t>75499</t>
  </si>
  <si>
    <t>75500</t>
  </si>
  <si>
    <t>75501</t>
  </si>
  <si>
    <t>75504</t>
  </si>
  <si>
    <t>75505</t>
  </si>
  <si>
    <t>75506</t>
  </si>
  <si>
    <t>75507</t>
  </si>
  <si>
    <t>75508</t>
  </si>
  <si>
    <t>75509</t>
  </si>
  <si>
    <t>75512</t>
  </si>
  <si>
    <t>75513</t>
  </si>
  <si>
    <t>75514</t>
  </si>
  <si>
    <t>75515</t>
  </si>
  <si>
    <t>75516</t>
  </si>
  <si>
    <t>75517</t>
  </si>
  <si>
    <t>75518</t>
  </si>
  <si>
    <t>75519</t>
  </si>
  <si>
    <t>75520</t>
  </si>
  <si>
    <t>75522</t>
  </si>
  <si>
    <t>75523</t>
  </si>
  <si>
    <t>75524</t>
  </si>
  <si>
    <t>75525</t>
  </si>
  <si>
    <t>75526</t>
  </si>
  <si>
    <t>75527</t>
  </si>
  <si>
    <t>75527A</t>
  </si>
  <si>
    <t>75527B</t>
  </si>
  <si>
    <t>75530</t>
  </si>
  <si>
    <t>75532</t>
  </si>
  <si>
    <t>75532A</t>
  </si>
  <si>
    <t>75532B</t>
  </si>
  <si>
    <t>75533</t>
  </si>
  <si>
    <t>75534</t>
  </si>
  <si>
    <t>75535</t>
  </si>
  <si>
    <t>75537</t>
  </si>
  <si>
    <t>75539</t>
  </si>
  <si>
    <t>75540</t>
  </si>
  <si>
    <t>75541</t>
  </si>
  <si>
    <t>75542</t>
  </si>
  <si>
    <t>75543</t>
  </si>
  <si>
    <t>75544</t>
  </si>
  <si>
    <t>75545</t>
  </si>
  <si>
    <t>75550</t>
  </si>
  <si>
    <t>75551</t>
  </si>
  <si>
    <t>75552</t>
  </si>
  <si>
    <t>75553</t>
  </si>
  <si>
    <t>75554</t>
  </si>
  <si>
    <t>75555</t>
  </si>
  <si>
    <t>75556</t>
  </si>
  <si>
    <t>75557</t>
  </si>
  <si>
    <t>75558</t>
  </si>
  <si>
    <t>75559</t>
  </si>
  <si>
    <t>75559A</t>
  </si>
  <si>
    <t>75559A/A</t>
  </si>
  <si>
    <t>75559B</t>
  </si>
  <si>
    <t>75559B/A</t>
  </si>
  <si>
    <t>75560</t>
  </si>
  <si>
    <t>75561</t>
  </si>
  <si>
    <t>75562</t>
  </si>
  <si>
    <t>75563</t>
  </si>
  <si>
    <t>75564</t>
  </si>
  <si>
    <t>75565</t>
  </si>
  <si>
    <t>75566</t>
  </si>
  <si>
    <t>75567</t>
  </si>
  <si>
    <t>75567A</t>
  </si>
  <si>
    <t>75568</t>
  </si>
  <si>
    <t>75568A</t>
  </si>
  <si>
    <t>75569</t>
  </si>
  <si>
    <t>75571</t>
  </si>
  <si>
    <t>75572</t>
  </si>
  <si>
    <t>75573</t>
  </si>
  <si>
    <t>75574</t>
  </si>
  <si>
    <t>75575</t>
  </si>
  <si>
    <t>75580</t>
  </si>
  <si>
    <t>75582</t>
  </si>
  <si>
    <t>75583</t>
  </si>
  <si>
    <t>75586</t>
  </si>
  <si>
    <t>75587</t>
  </si>
  <si>
    <t>75587A</t>
  </si>
  <si>
    <t>75587B</t>
  </si>
  <si>
    <t>75587C</t>
  </si>
  <si>
    <t>75588</t>
  </si>
  <si>
    <t>75589</t>
  </si>
  <si>
    <t>75590</t>
  </si>
  <si>
    <t>75592</t>
  </si>
  <si>
    <t>75593</t>
  </si>
  <si>
    <t>75594</t>
  </si>
  <si>
    <t>75595</t>
  </si>
  <si>
    <t>75596</t>
  </si>
  <si>
    <t>75597</t>
  </si>
  <si>
    <t>75599</t>
  </si>
  <si>
    <t>75600</t>
  </si>
  <si>
    <t>75601</t>
  </si>
  <si>
    <t>75602</t>
  </si>
  <si>
    <t>75603</t>
  </si>
  <si>
    <t>75606</t>
  </si>
  <si>
    <t>75607</t>
  </si>
  <si>
    <t>75608</t>
  </si>
  <si>
    <t>75609</t>
  </si>
  <si>
    <t>75610</t>
  </si>
  <si>
    <t>75611</t>
  </si>
  <si>
    <t>75612</t>
  </si>
  <si>
    <t>75612A</t>
  </si>
  <si>
    <t>75613</t>
  </si>
  <si>
    <t>75614</t>
  </si>
  <si>
    <t>75615</t>
  </si>
  <si>
    <t>75616</t>
  </si>
  <si>
    <t>75617</t>
  </si>
  <si>
    <t>75620</t>
  </si>
  <si>
    <t>75621</t>
  </si>
  <si>
    <t>75623</t>
  </si>
  <si>
    <t>75624</t>
  </si>
  <si>
    <t>75625</t>
  </si>
  <si>
    <t>75626</t>
  </si>
  <si>
    <t>75627</t>
  </si>
  <si>
    <t>75628</t>
  </si>
  <si>
    <t>75629</t>
  </si>
  <si>
    <t>75630</t>
  </si>
  <si>
    <t>75631</t>
  </si>
  <si>
    <t>75632</t>
  </si>
  <si>
    <t>75633</t>
  </si>
  <si>
    <t>75634</t>
  </si>
  <si>
    <t>75635</t>
  </si>
  <si>
    <t>75636</t>
  </si>
  <si>
    <t>75637</t>
  </si>
  <si>
    <t>75638</t>
  </si>
  <si>
    <t>75639</t>
  </si>
  <si>
    <t>75640</t>
  </si>
  <si>
    <t>75642</t>
  </si>
  <si>
    <t>75643</t>
  </si>
  <si>
    <t>75644</t>
  </si>
  <si>
    <t>75645</t>
  </si>
  <si>
    <t>75646</t>
  </si>
  <si>
    <t>75647</t>
  </si>
  <si>
    <t>75648</t>
  </si>
  <si>
    <t>75649</t>
  </si>
  <si>
    <t>75650</t>
  </si>
  <si>
    <t>75650A</t>
  </si>
  <si>
    <t>75651</t>
  </si>
  <si>
    <t>75651A</t>
  </si>
  <si>
    <t>75652</t>
  </si>
  <si>
    <t>75653</t>
  </si>
  <si>
    <t>75654</t>
  </si>
  <si>
    <t>75656</t>
  </si>
  <si>
    <t>75657</t>
  </si>
  <si>
    <t>75658</t>
  </si>
  <si>
    <t>75659</t>
  </si>
  <si>
    <t>75660</t>
  </si>
  <si>
    <t>75661</t>
  </si>
  <si>
    <t>75662</t>
  </si>
  <si>
    <t>75663</t>
  </si>
  <si>
    <t>75664</t>
  </si>
  <si>
    <t>75665/CO</t>
  </si>
  <si>
    <t>75666</t>
  </si>
  <si>
    <t>75667</t>
  </si>
  <si>
    <t>75667A</t>
  </si>
  <si>
    <t>75668</t>
  </si>
  <si>
    <t>75669</t>
  </si>
  <si>
    <t>75670</t>
  </si>
  <si>
    <t>75670A</t>
  </si>
  <si>
    <t>75671</t>
  </si>
  <si>
    <t>75672</t>
  </si>
  <si>
    <t>75673</t>
  </si>
  <si>
    <t>75674</t>
  </si>
  <si>
    <t>75675</t>
  </si>
  <si>
    <t>75677</t>
  </si>
  <si>
    <t>75678</t>
  </si>
  <si>
    <t>75679</t>
  </si>
  <si>
    <t>75680</t>
  </si>
  <si>
    <t>75681</t>
  </si>
  <si>
    <t>75683</t>
  </si>
  <si>
    <t>75684</t>
  </si>
  <si>
    <t>75686</t>
  </si>
  <si>
    <t>75687</t>
  </si>
  <si>
    <t>75687A</t>
  </si>
  <si>
    <t>75687B</t>
  </si>
  <si>
    <t>75687C</t>
  </si>
  <si>
    <t>75687D</t>
  </si>
  <si>
    <t>75688</t>
  </si>
  <si>
    <t>75688A</t>
  </si>
  <si>
    <t>75688B</t>
  </si>
  <si>
    <t>75688C</t>
  </si>
  <si>
    <t>75688D</t>
  </si>
  <si>
    <t>75689</t>
  </si>
  <si>
    <t>75689A</t>
  </si>
  <si>
    <t>75690</t>
  </si>
  <si>
    <t>75695</t>
  </si>
  <si>
    <t>75697</t>
  </si>
  <si>
    <t>75698</t>
  </si>
  <si>
    <t>75699</t>
  </si>
  <si>
    <t>75700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</si>
  <si>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</si>
  <si>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</si>
  <si>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</si>
  <si>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</si>
  <si>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</si>
  <si>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</si>
  <si>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</si>
  <si>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</si>
  <si>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</si>
  <si>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75709A</t>
  </si>
  <si>
    <t>75712</t>
  </si>
  <si>
    <t>75712A</t>
  </si>
  <si>
    <t>75713</t>
  </si>
  <si>
    <t>75713A</t>
  </si>
  <si>
    <t>75713B</t>
  </si>
  <si>
    <t>75714</t>
  </si>
  <si>
    <t>75715</t>
  </si>
  <si>
    <t>75716</t>
  </si>
  <si>
    <t>75717</t>
  </si>
  <si>
    <t>75718</t>
  </si>
  <si>
    <t>75719</t>
  </si>
  <si>
    <t>75720</t>
  </si>
  <si>
    <t>75721</t>
  </si>
  <si>
    <t>75722</t>
  </si>
  <si>
    <t>75723</t>
  </si>
  <si>
    <t>75723A</t>
  </si>
  <si>
    <t>75723B</t>
  </si>
  <si>
    <t>75723C</t>
  </si>
  <si>
    <t>75724</t>
  </si>
  <si>
    <t>75725</t>
  </si>
  <si>
    <t>75726</t>
  </si>
  <si>
    <t>75727</t>
  </si>
  <si>
    <t>75728</t>
  </si>
  <si>
    <t>75729</t>
  </si>
  <si>
    <t>75730</t>
  </si>
  <si>
    <t>75730A</t>
  </si>
  <si>
    <t>75730B</t>
  </si>
  <si>
    <t>75730C</t>
  </si>
  <si>
    <t>75730E</t>
  </si>
  <si>
    <t>75731</t>
  </si>
  <si>
    <t>75732</t>
  </si>
  <si>
    <t>75733</t>
  </si>
  <si>
    <t>75734</t>
  </si>
  <si>
    <t>75735</t>
  </si>
  <si>
    <t>75736</t>
  </si>
  <si>
    <t>75737</t>
  </si>
  <si>
    <t>75738</t>
  </si>
  <si>
    <t>75739</t>
  </si>
  <si>
    <t>75740</t>
  </si>
  <si>
    <t>75741</t>
  </si>
  <si>
    <t>75742</t>
  </si>
  <si>
    <t>75743</t>
  </si>
  <si>
    <t>75744</t>
  </si>
  <si>
    <t>75745</t>
  </si>
  <si>
    <t>75746</t>
  </si>
  <si>
    <t>75747</t>
  </si>
  <si>
    <t>75748</t>
  </si>
  <si>
    <t>75748A</t>
  </si>
  <si>
    <t>75748B</t>
  </si>
  <si>
    <t>75749</t>
  </si>
  <si>
    <t>75750</t>
  </si>
  <si>
    <t>75752</t>
  </si>
  <si>
    <t>75753</t>
  </si>
  <si>
    <t>75754</t>
  </si>
  <si>
    <t>75755</t>
  </si>
  <si>
    <t>75756</t>
  </si>
  <si>
    <t>75757</t>
  </si>
  <si>
    <t>75758</t>
  </si>
  <si>
    <t>75759</t>
  </si>
  <si>
    <t>75760</t>
  </si>
  <si>
    <t>75763</t>
  </si>
  <si>
    <t>75764</t>
  </si>
  <si>
    <t>75765</t>
  </si>
  <si>
    <t>75766</t>
  </si>
  <si>
    <t>75769</t>
  </si>
  <si>
    <t>75771</t>
  </si>
  <si>
    <t>75771A</t>
  </si>
  <si>
    <t>75773</t>
  </si>
  <si>
    <t>75774</t>
  </si>
  <si>
    <t>75775</t>
  </si>
  <si>
    <t>75776</t>
  </si>
  <si>
    <t>75777</t>
  </si>
  <si>
    <t>75778</t>
  </si>
  <si>
    <t>75780</t>
  </si>
  <si>
    <t>75781</t>
  </si>
  <si>
    <t>75782</t>
  </si>
  <si>
    <t>75783</t>
  </si>
  <si>
    <t>75784</t>
  </si>
  <si>
    <t>75785</t>
  </si>
  <si>
    <t>75786</t>
  </si>
  <si>
    <t>75787</t>
  </si>
  <si>
    <t>75788</t>
  </si>
  <si>
    <t>75789</t>
  </si>
  <si>
    <t>75790</t>
  </si>
  <si>
    <t>75791</t>
  </si>
  <si>
    <t>75792</t>
  </si>
  <si>
    <t>75793</t>
  </si>
  <si>
    <t>75794</t>
  </si>
  <si>
    <t>75795</t>
  </si>
  <si>
    <t>75796</t>
  </si>
  <si>
    <t>75798</t>
  </si>
  <si>
    <t>75799</t>
  </si>
  <si>
    <t>75800</t>
  </si>
  <si>
    <t>75801</t>
  </si>
  <si>
    <t>75802</t>
  </si>
  <si>
    <t>75803</t>
  </si>
  <si>
    <t>75804</t>
  </si>
  <si>
    <t>75805</t>
  </si>
  <si>
    <t>75806</t>
  </si>
  <si>
    <t>75806A</t>
  </si>
  <si>
    <t>75806B</t>
  </si>
  <si>
    <t>75807</t>
  </si>
  <si>
    <t>75808</t>
  </si>
  <si>
    <t>75809</t>
  </si>
  <si>
    <t>75810</t>
  </si>
  <si>
    <t>75810A</t>
  </si>
  <si>
    <t>75810B</t>
  </si>
  <si>
    <t>75811</t>
  </si>
  <si>
    <t>75811A</t>
  </si>
  <si>
    <t>75811B</t>
  </si>
  <si>
    <t>75811C</t>
  </si>
  <si>
    <t>75812</t>
  </si>
  <si>
    <t>75813</t>
  </si>
  <si>
    <t>75814</t>
  </si>
  <si>
    <t>75815</t>
  </si>
  <si>
    <t>75816</t>
  </si>
  <si>
    <t>75817</t>
  </si>
  <si>
    <t>75818</t>
  </si>
  <si>
    <t>75819</t>
  </si>
  <si>
    <t>75820</t>
  </si>
  <si>
    <t>75821</t>
  </si>
  <si>
    <t>75822</t>
  </si>
  <si>
    <t>75823</t>
  </si>
  <si>
    <t>75824</t>
  </si>
  <si>
    <t>75825</t>
  </si>
  <si>
    <t>75826</t>
  </si>
  <si>
    <t>75827</t>
  </si>
  <si>
    <t>75828</t>
  </si>
  <si>
    <t>75829</t>
  </si>
  <si>
    <t>75830</t>
  </si>
  <si>
    <t>75831</t>
  </si>
  <si>
    <t>75832</t>
  </si>
  <si>
    <t>75832A</t>
  </si>
  <si>
    <t>75832B</t>
  </si>
  <si>
    <t>75835</t>
  </si>
  <si>
    <t>75839</t>
  </si>
  <si>
    <t>75840</t>
  </si>
  <si>
    <t>75841</t>
  </si>
  <si>
    <t>75842</t>
  </si>
  <si>
    <t>75843</t>
  </si>
  <si>
    <t>75843A</t>
  </si>
  <si>
    <t>75844</t>
  </si>
  <si>
    <t>75845</t>
  </si>
  <si>
    <t>75845/A</t>
  </si>
  <si>
    <t>75846</t>
  </si>
  <si>
    <t>75846/A</t>
  </si>
  <si>
    <t>75847</t>
  </si>
  <si>
    <t>75848</t>
  </si>
  <si>
    <t>75848A</t>
  </si>
  <si>
    <t>75849</t>
  </si>
  <si>
    <t>75849A</t>
  </si>
  <si>
    <t>75850</t>
  </si>
  <si>
    <t>75851</t>
  </si>
  <si>
    <t>75852</t>
  </si>
  <si>
    <t>75853</t>
  </si>
  <si>
    <t>75854</t>
  </si>
  <si>
    <t>75854A</t>
  </si>
  <si>
    <t>75855</t>
  </si>
  <si>
    <t>75856</t>
  </si>
  <si>
    <t>75857</t>
  </si>
  <si>
    <t>75858</t>
  </si>
  <si>
    <t>75859</t>
  </si>
  <si>
    <t>75861</t>
  </si>
  <si>
    <t>75862</t>
  </si>
  <si>
    <t>75863</t>
  </si>
  <si>
    <t>75864</t>
  </si>
  <si>
    <t>75865</t>
  </si>
  <si>
    <t>75866</t>
  </si>
  <si>
    <t>75870</t>
  </si>
  <si>
    <t>75871</t>
  </si>
  <si>
    <t>75872</t>
  </si>
  <si>
    <t>75873</t>
  </si>
  <si>
    <t>75876</t>
  </si>
  <si>
    <t>75877</t>
  </si>
  <si>
    <t>75878</t>
  </si>
  <si>
    <t>75879</t>
  </si>
  <si>
    <t>75880</t>
  </si>
  <si>
    <t>75881</t>
  </si>
  <si>
    <t>75881A</t>
  </si>
  <si>
    <t>75882</t>
  </si>
  <si>
    <t>75883</t>
  </si>
  <si>
    <t>75884</t>
  </si>
  <si>
    <t>75885</t>
  </si>
  <si>
    <t>75886</t>
  </si>
  <si>
    <t>75887</t>
  </si>
  <si>
    <t>75888</t>
  </si>
  <si>
    <t>75889</t>
  </si>
  <si>
    <t>75891</t>
  </si>
  <si>
    <t>75892</t>
  </si>
  <si>
    <t>75893</t>
  </si>
  <si>
    <t>75894</t>
  </si>
  <si>
    <t>75895</t>
  </si>
  <si>
    <t>75896</t>
  </si>
  <si>
    <t>75897</t>
  </si>
  <si>
    <t>75898</t>
  </si>
  <si>
    <t>75898A</t>
  </si>
  <si>
    <t>75899</t>
  </si>
  <si>
    <t>75900</t>
  </si>
  <si>
    <t>75910</t>
  </si>
  <si>
    <t>75913</t>
  </si>
  <si>
    <t>75914</t>
  </si>
  <si>
    <t>75915</t>
  </si>
  <si>
    <t>75916</t>
  </si>
  <si>
    <t>75917</t>
  </si>
  <si>
    <t>75918</t>
  </si>
  <si>
    <t>75919</t>
  </si>
  <si>
    <t>75920</t>
  </si>
  <si>
    <t>75921</t>
  </si>
  <si>
    <t>75922</t>
  </si>
  <si>
    <t>75923</t>
  </si>
  <si>
    <t>75924</t>
  </si>
  <si>
    <t>75925</t>
  </si>
  <si>
    <t>75926</t>
  </si>
  <si>
    <t>75927</t>
  </si>
  <si>
    <t>75928</t>
  </si>
  <si>
    <t>75929</t>
  </si>
  <si>
    <t>75930</t>
  </si>
  <si>
    <t>75931</t>
  </si>
  <si>
    <t>75932</t>
  </si>
  <si>
    <t>75933</t>
  </si>
  <si>
    <t>75934</t>
  </si>
  <si>
    <t>75935</t>
  </si>
  <si>
    <t>75937</t>
  </si>
  <si>
    <t>75938</t>
  </si>
  <si>
    <t>75939</t>
  </si>
  <si>
    <t>75940</t>
  </si>
  <si>
    <t>75941</t>
  </si>
  <si>
    <t>75942</t>
  </si>
  <si>
    <t>75943</t>
  </si>
  <si>
    <t>75944</t>
  </si>
  <si>
    <t>75945</t>
  </si>
  <si>
    <t>75947</t>
  </si>
  <si>
    <t>75947A</t>
  </si>
  <si>
    <t>75950</t>
  </si>
  <si>
    <t>75951</t>
  </si>
  <si>
    <t>75957</t>
  </si>
  <si>
    <t>75958</t>
  </si>
  <si>
    <t>75959</t>
  </si>
  <si>
    <t>75959A</t>
  </si>
  <si>
    <t>75960</t>
  </si>
  <si>
    <t>75961</t>
  </si>
  <si>
    <t>75962</t>
  </si>
  <si>
    <t>75963</t>
  </si>
  <si>
    <t>75964</t>
  </si>
  <si>
    <t>75965</t>
  </si>
  <si>
    <t>75966</t>
  </si>
  <si>
    <t>75967</t>
  </si>
  <si>
    <t>75968</t>
  </si>
  <si>
    <t>75969</t>
  </si>
  <si>
    <t>75970</t>
  </si>
  <si>
    <t>75971</t>
  </si>
  <si>
    <t>75972</t>
  </si>
  <si>
    <t>75973</t>
  </si>
  <si>
    <t>75974</t>
  </si>
  <si>
    <t>75975</t>
  </si>
  <si>
    <t>75976</t>
  </si>
  <si>
    <t>75977</t>
  </si>
  <si>
    <t>75978</t>
  </si>
  <si>
    <t>75979</t>
  </si>
  <si>
    <t>75980</t>
  </si>
  <si>
    <t>75981</t>
  </si>
  <si>
    <t>75981A</t>
  </si>
  <si>
    <t>75982</t>
  </si>
  <si>
    <t>75983</t>
  </si>
  <si>
    <t>75984</t>
  </si>
  <si>
    <t>75989</t>
  </si>
  <si>
    <t>75992</t>
  </si>
  <si>
    <t>75994</t>
  </si>
  <si>
    <t>75995</t>
  </si>
  <si>
    <t>75996</t>
  </si>
  <si>
    <t>75999</t>
  </si>
  <si>
    <t>76000</t>
  </si>
  <si>
    <t>76001</t>
  </si>
  <si>
    <t>76002</t>
  </si>
  <si>
    <t>76003</t>
  </si>
  <si>
    <t>76004</t>
  </si>
  <si>
    <t>76006</t>
  </si>
  <si>
    <t>76006/1</t>
  </si>
  <si>
    <t>76007</t>
  </si>
  <si>
    <t>76008</t>
  </si>
  <si>
    <t>76009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</si>
  <si>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</si>
  <si>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</si>
  <si>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</si>
  <si>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</si>
  <si>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</si>
  <si>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</si>
  <si>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</si>
  <si>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</si>
  <si>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</si>
  <si>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</si>
  <si>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</si>
  <si>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</si>
  <si>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</si>
  <si>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</si>
  <si>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</si>
  <si>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</si>
  <si>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76026A</t>
  </si>
  <si>
    <t>76026B</t>
  </si>
  <si>
    <t>76026C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</si>
  <si>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</si>
  <si>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</si>
  <si>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</si>
  <si>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</si>
  <si>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</si>
  <si>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</si>
  <si>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</si>
  <si>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</si>
  <si>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</si>
  <si>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</si>
  <si>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</si>
  <si>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</si>
  <si>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</si>
  <si>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76039A</t>
  </si>
  <si>
    <t>76040</t>
  </si>
  <si>
    <t>76041</t>
  </si>
  <si>
    <t>76042</t>
  </si>
  <si>
    <t>76043</t>
  </si>
  <si>
    <t>76044</t>
  </si>
  <si>
    <t>76045</t>
  </si>
  <si>
    <t>76046</t>
  </si>
  <si>
    <t>76046A</t>
  </si>
  <si>
    <t>76047</t>
  </si>
  <si>
    <t>76048</t>
  </si>
  <si>
    <t>76049</t>
  </si>
  <si>
    <t>76050</t>
  </si>
  <si>
    <t>76050A</t>
  </si>
  <si>
    <t>76050B</t>
  </si>
  <si>
    <t>76050C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</si>
  <si>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</si>
  <si>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</si>
  <si>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</si>
  <si>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</si>
  <si>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</si>
  <si>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</si>
  <si>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</si>
  <si>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</si>
  <si>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</si>
  <si>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</si>
  <si>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</si>
  <si>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</si>
  <si>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</si>
  <si>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</si>
  <si>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76066</t>
  </si>
  <si>
    <t>76067</t>
  </si>
  <si>
    <t>76072</t>
  </si>
  <si>
    <t>76072A</t>
  </si>
  <si>
    <t>76072B</t>
  </si>
  <si>
    <t>76072C</t>
  </si>
  <si>
    <t>76072D</t>
  </si>
  <si>
    <t>76072E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</si>
  <si>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</si>
  <si>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</si>
  <si>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</si>
  <si>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</si>
  <si>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</si>
  <si>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</si>
  <si>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</si>
  <si>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</si>
  <si>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</si>
  <si>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</si>
  <si>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</si>
  <si>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</si>
  <si>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</si>
  <si>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</si>
  <si>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</si>
  <si>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</si>
  <si>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</si>
  <si>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</si>
  <si>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</si>
  <si>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</si>
  <si>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</si>
  <si>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</si>
  <si>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</si>
  <si>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</si>
  <si>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</si>
  <si>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</si>
  <si>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</si>
  <si>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</si>
  <si>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</si>
  <si>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</si>
  <si>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</si>
  <si>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</si>
  <si>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</si>
  <si>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76114</t>
  </si>
  <si>
    <t>76115</t>
  </si>
  <si>
    <t>76117</t>
  </si>
  <si>
    <t>76120</t>
  </si>
  <si>
    <t>76120A</t>
  </si>
  <si>
    <t>76120B</t>
  </si>
  <si>
    <t>76120C</t>
  </si>
  <si>
    <t>76121</t>
  </si>
  <si>
    <t>76122</t>
  </si>
  <si>
    <t>76124</t>
  </si>
  <si>
    <t>76125</t>
  </si>
  <si>
    <t>76126</t>
  </si>
  <si>
    <t>76126A</t>
  </si>
  <si>
    <t>76127</t>
  </si>
  <si>
    <t>76128</t>
  </si>
  <si>
    <t>76131</t>
  </si>
  <si>
    <t>76132</t>
  </si>
  <si>
    <t>76133</t>
  </si>
  <si>
    <t>76133A</t>
  </si>
  <si>
    <t>76134</t>
  </si>
  <si>
    <t>76135</t>
  </si>
  <si>
    <t>76136</t>
  </si>
  <si>
    <t>76138</t>
  </si>
  <si>
    <t>76139</t>
  </si>
  <si>
    <t>76140</t>
  </si>
  <si>
    <t>76142</t>
  </si>
  <si>
    <t>76143</t>
  </si>
  <si>
    <t>76144</t>
  </si>
  <si>
    <t>76145</t>
  </si>
  <si>
    <t>76146</t>
  </si>
  <si>
    <t>76147</t>
  </si>
  <si>
    <t>76148</t>
  </si>
  <si>
    <t>76149</t>
  </si>
  <si>
    <t>76149A</t>
  </si>
  <si>
    <t>76151</t>
  </si>
  <si>
    <t>76152</t>
  </si>
  <si>
    <t>76152A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</si>
  <si>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</si>
  <si>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</si>
  <si>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</si>
  <si>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</si>
  <si>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</si>
  <si>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</si>
  <si>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</si>
  <si>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</si>
  <si>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</si>
  <si>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</si>
  <si>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</si>
  <si>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76168</t>
  </si>
  <si>
    <t>76170</t>
  </si>
  <si>
    <t>76171</t>
  </si>
  <si>
    <t>76172</t>
  </si>
  <si>
    <t>76173</t>
  </si>
  <si>
    <t>76174</t>
  </si>
  <si>
    <t>76175</t>
  </si>
  <si>
    <t>76176</t>
  </si>
  <si>
    <t>76177</t>
  </si>
  <si>
    <t>76177A</t>
  </si>
  <si>
    <t>76178</t>
  </si>
  <si>
    <t>76179</t>
  </si>
  <si>
    <t>76180</t>
  </si>
  <si>
    <t>76181</t>
  </si>
  <si>
    <t>76182</t>
  </si>
  <si>
    <t>76183</t>
  </si>
  <si>
    <t>76184</t>
  </si>
  <si>
    <t>76186</t>
  </si>
  <si>
    <t>76187</t>
  </si>
  <si>
    <t>76188</t>
  </si>
  <si>
    <t>76190</t>
  </si>
  <si>
    <t>76191</t>
  </si>
  <si>
    <t>76192</t>
  </si>
  <si>
    <t>76193</t>
  </si>
  <si>
    <t>76194</t>
  </si>
  <si>
    <t>76195</t>
  </si>
  <si>
    <t>76196</t>
  </si>
  <si>
    <t>76197</t>
  </si>
  <si>
    <t>76199</t>
  </si>
  <si>
    <t>76200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</si>
  <si>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</si>
  <si>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</si>
  <si>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</si>
  <si>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</si>
  <si>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</si>
  <si>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</si>
  <si>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</si>
  <si>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</si>
  <si>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</si>
  <si>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76209A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</si>
  <si>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</si>
  <si>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</si>
  <si>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</si>
  <si>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</si>
  <si>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</si>
  <si>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</si>
  <si>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</si>
  <si>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</si>
  <si>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</si>
  <si>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</si>
  <si>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</si>
  <si>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</si>
  <si>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</si>
  <si>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</si>
  <si>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</si>
  <si>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</si>
  <si>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76226</t>
  </si>
  <si>
    <t>76227</t>
  </si>
  <si>
    <t>76227A</t>
  </si>
  <si>
    <t>76228</t>
  </si>
  <si>
    <t>76229</t>
  </si>
  <si>
    <t>76233</t>
  </si>
  <si>
    <t>76235</t>
  </si>
  <si>
    <t>76237</t>
  </si>
  <si>
    <t>76238</t>
  </si>
  <si>
    <t>76239</t>
  </si>
  <si>
    <t>76240</t>
  </si>
  <si>
    <t>76241</t>
  </si>
  <si>
    <t>76243</t>
  </si>
  <si>
    <t>76244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</si>
  <si>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</si>
  <si>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</si>
  <si>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</si>
  <si>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</si>
  <si>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</si>
  <si>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</si>
  <si>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</si>
  <si>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</si>
  <si>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</si>
  <si>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76256</t>
  </si>
  <si>
    <t>76257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</si>
  <si>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</si>
  <si>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</si>
  <si>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</si>
  <si>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</si>
  <si>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</si>
  <si>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</si>
  <si>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</si>
  <si>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</si>
  <si>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</si>
  <si>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</si>
  <si>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</si>
  <si>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</si>
  <si>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</si>
  <si>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</si>
  <si>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</si>
  <si>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</si>
  <si>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</si>
  <si>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</si>
  <si>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</si>
  <si>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</si>
  <si>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</si>
  <si>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</si>
  <si>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</si>
  <si>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76281A</t>
  </si>
  <si>
    <t>76281B</t>
  </si>
  <si>
    <t>76281C</t>
  </si>
  <si>
    <t>76281D</t>
  </si>
  <si>
    <t>76282</t>
  </si>
  <si>
    <t>76282A</t>
  </si>
  <si>
    <t>76282B</t>
  </si>
  <si>
    <t>76282C</t>
  </si>
  <si>
    <t>76282D</t>
  </si>
  <si>
    <t>76284</t>
  </si>
  <si>
    <t>76285</t>
  </si>
  <si>
    <t>76286</t>
  </si>
  <si>
    <t>76287</t>
  </si>
  <si>
    <t>76289</t>
  </si>
  <si>
    <t>76292</t>
  </si>
  <si>
    <t>76293</t>
  </si>
  <si>
    <t>76294</t>
  </si>
  <si>
    <t>76294A</t>
  </si>
  <si>
    <t>76295</t>
  </si>
  <si>
    <t>76295A</t>
  </si>
  <si>
    <t>76297</t>
  </si>
  <si>
    <t>76297A</t>
  </si>
  <si>
    <t>76297B</t>
  </si>
  <si>
    <t>76298</t>
  </si>
  <si>
    <t>76299</t>
  </si>
  <si>
    <t>76302</t>
  </si>
  <si>
    <t>76303</t>
  </si>
  <si>
    <t>76304</t>
  </si>
  <si>
    <t>76306</t>
  </si>
  <si>
    <t>76307</t>
  </si>
  <si>
    <t>76308</t>
  </si>
  <si>
    <t>76309</t>
  </si>
  <si>
    <t>76310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</si>
  <si>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</si>
  <si>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</si>
  <si>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</si>
  <si>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</si>
  <si>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</si>
  <si>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</si>
  <si>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</si>
  <si>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</si>
  <si>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76321</t>
  </si>
  <si>
    <t>76322</t>
  </si>
  <si>
    <t>76323</t>
  </si>
  <si>
    <t>76324</t>
  </si>
  <si>
    <t>76325</t>
  </si>
  <si>
    <t>76326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</si>
  <si>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</si>
  <si>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</si>
  <si>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</si>
  <si>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</si>
  <si>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</si>
  <si>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</si>
  <si>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</si>
  <si>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</si>
  <si>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</si>
  <si>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76335A</t>
  </si>
  <si>
    <t>76336</t>
  </si>
  <si>
    <t>76337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</si>
  <si>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</si>
  <si>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</si>
  <si>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</si>
  <si>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</si>
  <si>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</si>
  <si>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</si>
  <si>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</si>
  <si>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</si>
  <si>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76354</t>
  </si>
  <si>
    <t>76364</t>
  </si>
  <si>
    <t>76365</t>
  </si>
  <si>
    <t>76366</t>
  </si>
  <si>
    <t>76367</t>
  </si>
  <si>
    <t>76368</t>
  </si>
  <si>
    <t>76375</t>
  </si>
  <si>
    <t>76376</t>
  </si>
  <si>
    <t>76377</t>
  </si>
  <si>
    <t>76378</t>
  </si>
  <si>
    <t>76379</t>
  </si>
  <si>
    <t>76380</t>
  </si>
  <si>
    <t>76380A</t>
  </si>
  <si>
    <t>76381</t>
  </si>
  <si>
    <t>76382</t>
  </si>
  <si>
    <t>76383</t>
  </si>
  <si>
    <t>76384</t>
  </si>
  <si>
    <t>76385</t>
  </si>
  <si>
    <t>76386</t>
  </si>
  <si>
    <t>76387</t>
  </si>
  <si>
    <t>76389</t>
  </si>
  <si>
    <t>76390</t>
  </si>
  <si>
    <t>76391</t>
  </si>
  <si>
    <t>76392</t>
  </si>
  <si>
    <t>76393</t>
  </si>
  <si>
    <t>76394</t>
  </si>
  <si>
    <t>76399</t>
  </si>
  <si>
    <t>76401</t>
  </si>
  <si>
    <t>76402</t>
  </si>
  <si>
    <t>76403</t>
  </si>
  <si>
    <t>76403/CO</t>
  </si>
  <si>
    <t>76403A</t>
  </si>
  <si>
    <t>76403A/CO</t>
  </si>
  <si>
    <t>76403B</t>
  </si>
  <si>
    <t>76404</t>
  </si>
  <si>
    <t>76404/CO</t>
  </si>
  <si>
    <t>76404A</t>
  </si>
  <si>
    <t>76404A/CO</t>
  </si>
  <si>
    <t>76404B</t>
  </si>
  <si>
    <t>76405</t>
  </si>
  <si>
    <t>76405/CO</t>
  </si>
  <si>
    <t>76405A</t>
  </si>
  <si>
    <t>76405A/CO</t>
  </si>
  <si>
    <t>76405B</t>
  </si>
  <si>
    <t>76406</t>
  </si>
  <si>
    <t>76406/CO</t>
  </si>
  <si>
    <t>76406A</t>
  </si>
  <si>
    <t>76406A/CO</t>
  </si>
  <si>
    <t>76406B</t>
  </si>
  <si>
    <t>76407</t>
  </si>
  <si>
    <t>76407A</t>
  </si>
  <si>
    <t>76407B</t>
  </si>
  <si>
    <t>76408</t>
  </si>
  <si>
    <t>76408/CO</t>
  </si>
  <si>
    <t>76408A</t>
  </si>
  <si>
    <t>76408A/CO</t>
  </si>
  <si>
    <t>76408B</t>
  </si>
  <si>
    <t>76409</t>
  </si>
  <si>
    <t>76409A</t>
  </si>
  <si>
    <t>76409B</t>
  </si>
  <si>
    <t>76409C</t>
  </si>
  <si>
    <t>76409D</t>
  </si>
  <si>
    <t>76410</t>
  </si>
  <si>
    <t>76410A</t>
  </si>
  <si>
    <t>76410B</t>
  </si>
  <si>
    <t>76411</t>
  </si>
  <si>
    <t>76411A</t>
  </si>
  <si>
    <t>76411B</t>
  </si>
  <si>
    <t>76412</t>
  </si>
  <si>
    <t>76413</t>
  </si>
  <si>
    <t>76414</t>
  </si>
  <si>
    <t>76415</t>
  </si>
  <si>
    <t>76416</t>
  </si>
  <si>
    <t>76418</t>
  </si>
  <si>
    <t>76419</t>
  </si>
  <si>
    <t>76420</t>
  </si>
  <si>
    <t>76421</t>
  </si>
  <si>
    <t>76421A</t>
  </si>
  <si>
    <t>76421B</t>
  </si>
  <si>
    <t>76421C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</si>
  <si>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</si>
  <si>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</si>
  <si>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</si>
  <si>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</si>
  <si>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</si>
  <si>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</si>
  <si>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</si>
  <si>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</si>
  <si>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</si>
  <si>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</si>
  <si>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</si>
  <si>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</si>
  <si>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</si>
  <si>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</si>
  <si>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</si>
  <si>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</si>
  <si>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</si>
  <si>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</si>
  <si>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</si>
  <si>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</si>
  <si>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</si>
  <si>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</si>
  <si>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</si>
  <si>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</si>
  <si>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</si>
  <si>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76464A</t>
  </si>
  <si>
    <t>76465</t>
  </si>
  <si>
    <t>76465A</t>
  </si>
  <si>
    <t>76466</t>
  </si>
  <si>
    <t>76467</t>
  </si>
  <si>
    <t>76468</t>
  </si>
  <si>
    <t>76469</t>
  </si>
  <si>
    <t>76470</t>
  </si>
  <si>
    <t>76471</t>
  </si>
  <si>
    <t>76471A</t>
  </si>
  <si>
    <t>76471B</t>
  </si>
  <si>
    <t>76471C</t>
  </si>
  <si>
    <t>76471D</t>
  </si>
  <si>
    <t>76472</t>
  </si>
  <si>
    <t>76472A</t>
  </si>
  <si>
    <t>76472C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</si>
  <si>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</si>
  <si>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</si>
  <si>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</si>
  <si>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</si>
  <si>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</si>
  <si>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</si>
  <si>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</si>
  <si>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</si>
  <si>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</si>
  <si>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</si>
  <si>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76484</t>
  </si>
  <si>
    <t>76485</t>
  </si>
  <si>
    <t>76486</t>
  </si>
  <si>
    <t>76489</t>
  </si>
  <si>
    <t>76490</t>
  </si>
  <si>
    <t>76492</t>
  </si>
  <si>
    <t>76494</t>
  </si>
  <si>
    <t>76495</t>
  </si>
  <si>
    <t>76496</t>
  </si>
  <si>
    <t>76497</t>
  </si>
  <si>
    <t>76498</t>
  </si>
  <si>
    <t>76499</t>
  </si>
  <si>
    <t>76501</t>
  </si>
  <si>
    <t>76502</t>
  </si>
  <si>
    <t>76507</t>
  </si>
  <si>
    <t>76508</t>
  </si>
  <si>
    <t>76510</t>
  </si>
  <si>
    <t>76511</t>
  </si>
  <si>
    <t>76512</t>
  </si>
  <si>
    <t>76513</t>
  </si>
  <si>
    <t>76513A</t>
  </si>
  <si>
    <t>76514</t>
  </si>
  <si>
    <t>76515</t>
  </si>
  <si>
    <t>76515A</t>
  </si>
  <si>
    <t>76516</t>
  </si>
  <si>
    <t>76517</t>
  </si>
  <si>
    <t>76518</t>
  </si>
  <si>
    <t>76519</t>
  </si>
  <si>
    <t>76521</t>
  </si>
  <si>
    <t>76521A</t>
  </si>
  <si>
    <t>76521B</t>
  </si>
  <si>
    <t>76521C</t>
  </si>
  <si>
    <t>76521D</t>
  </si>
  <si>
    <t>76521E</t>
  </si>
  <si>
    <t>76522</t>
  </si>
  <si>
    <t>76523</t>
  </si>
  <si>
    <t>76524</t>
  </si>
  <si>
    <t>76525</t>
  </si>
  <si>
    <t>76525A</t>
  </si>
  <si>
    <t>76526</t>
  </si>
  <si>
    <t>76526A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</si>
  <si>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</si>
  <si>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</si>
  <si>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</si>
  <si>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</si>
  <si>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</si>
  <si>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</si>
  <si>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</si>
  <si>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</si>
  <si>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</si>
  <si>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</si>
  <si>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</si>
  <si>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</si>
  <si>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</si>
  <si>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</si>
  <si>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</si>
  <si>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</si>
  <si>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</si>
  <si>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</si>
  <si>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</si>
  <si>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</si>
  <si>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</si>
  <si>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</si>
  <si>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</si>
  <si>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</si>
  <si>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</si>
  <si>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</si>
  <si>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76554</t>
  </si>
  <si>
    <t>76555</t>
  </si>
  <si>
    <t>76555/CO</t>
  </si>
  <si>
    <t>76556</t>
  </si>
  <si>
    <t>76558</t>
  </si>
  <si>
    <t>76559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</si>
  <si>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</si>
  <si>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</si>
  <si>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</si>
  <si>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</si>
  <si>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</si>
  <si>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</si>
  <si>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</si>
  <si>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</si>
  <si>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</si>
  <si>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</si>
  <si>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</si>
  <si>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</si>
  <si>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</si>
  <si>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</si>
  <si>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</si>
  <si>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76576</t>
  </si>
  <si>
    <t>76578</t>
  </si>
  <si>
    <t>76579</t>
  </si>
  <si>
    <t>76580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</si>
  <si>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</si>
  <si>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</si>
  <si>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</si>
  <si>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</si>
  <si>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</si>
  <si>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</si>
  <si>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</si>
  <si>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</si>
  <si>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76591</t>
  </si>
  <si>
    <t>76592</t>
  </si>
  <si>
    <t>76592A</t>
  </si>
  <si>
    <t>76593</t>
  </si>
  <si>
    <t>76595</t>
  </si>
  <si>
    <t>76596</t>
  </si>
  <si>
    <t>76597</t>
  </si>
  <si>
    <t>76598</t>
  </si>
  <si>
    <t>76599</t>
  </si>
  <si>
    <t>76600</t>
  </si>
  <si>
    <t>76601</t>
  </si>
  <si>
    <t>76604</t>
  </si>
  <si>
    <t>76608</t>
  </si>
  <si>
    <t>76611</t>
  </si>
  <si>
    <t>76611/CO</t>
  </si>
  <si>
    <t>76612</t>
  </si>
  <si>
    <t>76612/CO</t>
  </si>
  <si>
    <t>76613</t>
  </si>
  <si>
    <t>76614</t>
  </si>
  <si>
    <t>76614/A</t>
  </si>
  <si>
    <t>76615</t>
  </si>
  <si>
    <t>76615/CO</t>
  </si>
  <si>
    <t>76616</t>
  </si>
  <si>
    <t>76616/CO</t>
  </si>
  <si>
    <t>76617</t>
  </si>
  <si>
    <t>76618</t>
  </si>
  <si>
    <t>76619</t>
  </si>
  <si>
    <t>76619A</t>
  </si>
  <si>
    <t>76619B</t>
  </si>
  <si>
    <t>76619C</t>
  </si>
  <si>
    <t>76619D</t>
  </si>
  <si>
    <t>76620</t>
  </si>
  <si>
    <t>76621</t>
  </si>
  <si>
    <t>76621/A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</si>
  <si>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</si>
  <si>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</si>
  <si>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</si>
  <si>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</si>
  <si>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</si>
  <si>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</si>
  <si>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</si>
  <si>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</si>
  <si>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</si>
  <si>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</si>
  <si>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</si>
  <si>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</si>
  <si>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</si>
  <si>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</si>
  <si>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</si>
  <si>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</si>
  <si>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</si>
  <si>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76638A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</si>
  <si>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</si>
  <si>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</si>
  <si>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</si>
  <si>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</si>
  <si>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</si>
  <si>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</si>
  <si>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</si>
  <si>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</si>
  <si>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</si>
  <si>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76647A</t>
  </si>
  <si>
    <t>76647B</t>
  </si>
  <si>
    <t>76648</t>
  </si>
  <si>
    <t>76649</t>
  </si>
  <si>
    <t>76650</t>
  </si>
  <si>
    <t>76651</t>
  </si>
  <si>
    <t>76652</t>
  </si>
  <si>
    <t>76653</t>
  </si>
  <si>
    <t>76654</t>
  </si>
  <si>
    <t>76654/A</t>
  </si>
  <si>
    <t>76654/B</t>
  </si>
  <si>
    <t>76655</t>
  </si>
  <si>
    <t>76655/A</t>
  </si>
  <si>
    <t>76655/B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</si>
  <si>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</si>
  <si>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</si>
  <si>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</si>
  <si>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</si>
  <si>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</si>
  <si>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</si>
  <si>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</si>
  <si>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</si>
  <si>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</si>
  <si>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</si>
  <si>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</si>
  <si>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</si>
  <si>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</si>
  <si>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</si>
  <si>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</si>
  <si>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</si>
  <si>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</si>
  <si>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</si>
  <si>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</si>
  <si>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</si>
  <si>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</si>
  <si>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</si>
  <si>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</si>
  <si>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</si>
  <si>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</si>
  <si>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</si>
  <si>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</si>
  <si>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</si>
  <si>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</si>
  <si>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</si>
  <si>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</si>
  <si>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</si>
  <si>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</si>
  <si>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</si>
  <si>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</si>
  <si>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</si>
  <si>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</si>
  <si>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</si>
  <si>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</si>
  <si>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</si>
  <si>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76696</t>
  </si>
  <si>
    <t>76697</t>
  </si>
  <si>
    <t>76698</t>
  </si>
  <si>
    <t>76699</t>
  </si>
  <si>
    <t>76700</t>
  </si>
  <si>
    <t>76701</t>
  </si>
  <si>
    <t>76702</t>
  </si>
  <si>
    <t>76703</t>
  </si>
  <si>
    <t>76704</t>
  </si>
  <si>
    <t>76705</t>
  </si>
  <si>
    <t>76706</t>
  </si>
  <si>
    <t>76708</t>
  </si>
  <si>
    <t>76709</t>
  </si>
  <si>
    <t>76710</t>
  </si>
  <si>
    <t>76711</t>
  </si>
  <si>
    <t>76713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</si>
  <si>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</si>
  <si>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</si>
  <si>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</si>
  <si>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</si>
  <si>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</si>
  <si>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</si>
  <si>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</si>
  <si>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</si>
  <si>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76723</t>
  </si>
  <si>
    <t>76724</t>
  </si>
  <si>
    <t>76725</t>
  </si>
  <si>
    <t>76726</t>
  </si>
  <si>
    <t>76727</t>
  </si>
  <si>
    <t>76728</t>
  </si>
  <si>
    <t>76729</t>
  </si>
  <si>
    <t>76730</t>
  </si>
  <si>
    <t>76731</t>
  </si>
  <si>
    <t>76731A</t>
  </si>
  <si>
    <t>76732</t>
  </si>
  <si>
    <t>76733/CO</t>
  </si>
  <si>
    <t>76734/CO</t>
  </si>
  <si>
    <t>76735/CO</t>
  </si>
  <si>
    <t>76736/CO</t>
  </si>
  <si>
    <t>76737/CO</t>
  </si>
  <si>
    <t>76740</t>
  </si>
  <si>
    <t>76740/CO</t>
  </si>
  <si>
    <t>76741</t>
  </si>
  <si>
    <t>76741/CO</t>
  </si>
  <si>
    <t>76743</t>
  </si>
  <si>
    <t>76744</t>
  </si>
  <si>
    <t>76745</t>
  </si>
  <si>
    <t>76748</t>
  </si>
  <si>
    <t>76751</t>
  </si>
  <si>
    <t>76752</t>
  </si>
  <si>
    <t>76753</t>
  </si>
  <si>
    <t>76758</t>
  </si>
  <si>
    <t>76759</t>
  </si>
  <si>
    <t>76760</t>
  </si>
  <si>
    <t>76761</t>
  </si>
  <si>
    <t>76762</t>
  </si>
  <si>
    <t>76763</t>
  </si>
  <si>
    <t>76764</t>
  </si>
  <si>
    <t>76765</t>
  </si>
  <si>
    <t>76766</t>
  </si>
  <si>
    <t>76767</t>
  </si>
  <si>
    <t>76768</t>
  </si>
  <si>
    <t>76769</t>
  </si>
  <si>
    <t>76770</t>
  </si>
  <si>
    <t>76772</t>
  </si>
  <si>
    <t>76773</t>
  </si>
  <si>
    <t>76774</t>
  </si>
  <si>
    <t>76775</t>
  </si>
  <si>
    <t>76776</t>
  </si>
  <si>
    <t>76777</t>
  </si>
  <si>
    <t>76778</t>
  </si>
  <si>
    <t>76779</t>
  </si>
  <si>
    <t>76780</t>
  </si>
  <si>
    <t>76781</t>
  </si>
  <si>
    <t>76782</t>
  </si>
  <si>
    <t>76782A</t>
  </si>
  <si>
    <t>76782B</t>
  </si>
  <si>
    <t>76782C</t>
  </si>
  <si>
    <t>76783</t>
  </si>
  <si>
    <t>76784</t>
  </si>
  <si>
    <t>76785</t>
  </si>
  <si>
    <t>76785A</t>
  </si>
  <si>
    <t>76786</t>
  </si>
  <si>
    <t>76786A</t>
  </si>
  <si>
    <t>76788</t>
  </si>
  <si>
    <t>76790</t>
  </si>
  <si>
    <t>76791</t>
  </si>
  <si>
    <t>76792</t>
  </si>
  <si>
    <t>76793</t>
  </si>
  <si>
    <t>76794</t>
  </si>
  <si>
    <t>76795</t>
  </si>
  <si>
    <t>76796</t>
  </si>
  <si>
    <t>76797</t>
  </si>
  <si>
    <t>76799/A</t>
  </si>
  <si>
    <t>76800</t>
  </si>
  <si>
    <t>76801</t>
  </si>
  <si>
    <t>76802</t>
  </si>
  <si>
    <t>76804</t>
  </si>
  <si>
    <t>76805</t>
  </si>
  <si>
    <t>76806</t>
  </si>
  <si>
    <t>76807</t>
  </si>
  <si>
    <t>76808</t>
  </si>
  <si>
    <t>76809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</si>
  <si>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</si>
  <si>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</si>
  <si>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</si>
  <si>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</si>
  <si>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</si>
  <si>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</si>
  <si>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</si>
  <si>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</si>
  <si>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</si>
  <si>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</si>
  <si>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</si>
  <si>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76821</t>
  </si>
  <si>
    <t>76822</t>
  </si>
  <si>
    <t>76823</t>
  </si>
  <si>
    <t>76825</t>
  </si>
  <si>
    <t>76826</t>
  </si>
  <si>
    <t>76827</t>
  </si>
  <si>
    <t>76828</t>
  </si>
  <si>
    <t>76829</t>
  </si>
  <si>
    <t>76830</t>
  </si>
  <si>
    <t>76831</t>
  </si>
  <si>
    <t>76832</t>
  </si>
  <si>
    <t>76833</t>
  </si>
  <si>
    <t>76834</t>
  </si>
  <si>
    <t>76835</t>
  </si>
  <si>
    <t>76836</t>
  </si>
  <si>
    <t>76837</t>
  </si>
  <si>
    <t>76838</t>
  </si>
  <si>
    <t>76839</t>
  </si>
  <si>
    <t>76840</t>
  </si>
  <si>
    <t>76841</t>
  </si>
  <si>
    <t>76842</t>
  </si>
  <si>
    <t>76843</t>
  </si>
  <si>
    <t>76844</t>
  </si>
  <si>
    <t>76845</t>
  </si>
  <si>
    <t>76846</t>
  </si>
  <si>
    <t>76847</t>
  </si>
  <si>
    <t>76847A</t>
  </si>
  <si>
    <t>76848</t>
  </si>
  <si>
    <t>76849</t>
  </si>
  <si>
    <t>76849A</t>
  </si>
  <si>
    <t>76849B</t>
  </si>
  <si>
    <t>76849C</t>
  </si>
  <si>
    <t>76849D</t>
  </si>
  <si>
    <t>76851</t>
  </si>
  <si>
    <t>76852</t>
  </si>
  <si>
    <t>76853</t>
  </si>
  <si>
    <t>76854</t>
  </si>
  <si>
    <t>76855</t>
  </si>
  <si>
    <t>76856</t>
  </si>
  <si>
    <t>76857</t>
  </si>
  <si>
    <t>76858</t>
  </si>
  <si>
    <t>76861</t>
  </si>
  <si>
    <t>76861A</t>
  </si>
  <si>
    <t>76862</t>
  </si>
  <si>
    <t>76862A</t>
  </si>
  <si>
    <t>76863</t>
  </si>
  <si>
    <t>76864</t>
  </si>
  <si>
    <t>76864A</t>
  </si>
  <si>
    <t>76865</t>
  </si>
  <si>
    <t>76866</t>
  </si>
  <si>
    <t>76867</t>
  </si>
  <si>
    <t>76868</t>
  </si>
  <si>
    <t>76870</t>
  </si>
  <si>
    <t>76870/A</t>
  </si>
  <si>
    <t>76870/B</t>
  </si>
  <si>
    <t>76871</t>
  </si>
  <si>
    <t>76874</t>
  </si>
  <si>
    <t>76875</t>
  </si>
  <si>
    <t>76876</t>
  </si>
  <si>
    <t>76877</t>
  </si>
  <si>
    <t>76878</t>
  </si>
  <si>
    <t>76879</t>
  </si>
  <si>
    <t>76880</t>
  </si>
  <si>
    <t>76881</t>
  </si>
  <si>
    <t>76882</t>
  </si>
  <si>
    <t>76883</t>
  </si>
  <si>
    <t>76884</t>
  </si>
  <si>
    <t>76885</t>
  </si>
  <si>
    <t>76886</t>
  </si>
  <si>
    <t>76887</t>
  </si>
  <si>
    <t>76888</t>
  </si>
  <si>
    <t>76891</t>
  </si>
  <si>
    <t>76892</t>
  </si>
  <si>
    <t>76893</t>
  </si>
  <si>
    <t>76894</t>
  </si>
  <si>
    <t>76895</t>
  </si>
  <si>
    <t>76896</t>
  </si>
  <si>
    <t>76898</t>
  </si>
  <si>
    <t>76899</t>
  </si>
  <si>
    <t>76900</t>
  </si>
  <si>
    <t>76901</t>
  </si>
  <si>
    <t>76901/A</t>
  </si>
  <si>
    <t>76902</t>
  </si>
  <si>
    <t>76903</t>
  </si>
  <si>
    <t>76904</t>
  </si>
  <si>
    <t>76905</t>
  </si>
  <si>
    <t>76909</t>
  </si>
  <si>
    <t>76911</t>
  </si>
  <si>
    <t>76912</t>
  </si>
  <si>
    <t>76913</t>
  </si>
  <si>
    <t>76914</t>
  </si>
  <si>
    <t>76915</t>
  </si>
  <si>
    <t>76916</t>
  </si>
  <si>
    <t>76917</t>
  </si>
  <si>
    <t>76918</t>
  </si>
  <si>
    <t>76919</t>
  </si>
  <si>
    <t>76920</t>
  </si>
  <si>
    <t>76921</t>
  </si>
  <si>
    <t>76922</t>
  </si>
  <si>
    <t>76923</t>
  </si>
  <si>
    <t>76924</t>
  </si>
  <si>
    <t>76925</t>
  </si>
  <si>
    <t>76926</t>
  </si>
  <si>
    <t>76927</t>
  </si>
  <si>
    <t>76928</t>
  </si>
  <si>
    <t>76929</t>
  </si>
  <si>
    <t>76931</t>
  </si>
  <si>
    <t>76932</t>
  </si>
  <si>
    <t>76933</t>
  </si>
  <si>
    <t>76934</t>
  </si>
  <si>
    <t>76935</t>
  </si>
  <si>
    <t>76936</t>
  </si>
  <si>
    <t>76937</t>
  </si>
  <si>
    <t>76939</t>
  </si>
  <si>
    <t>76940</t>
  </si>
  <si>
    <t>76941</t>
  </si>
  <si>
    <t>76941A</t>
  </si>
  <si>
    <t>76942</t>
  </si>
  <si>
    <t>76943</t>
  </si>
  <si>
    <t>76944</t>
  </si>
  <si>
    <t>76945</t>
  </si>
  <si>
    <t>76946</t>
  </si>
  <si>
    <t>76946A</t>
  </si>
  <si>
    <t>76946B</t>
  </si>
  <si>
    <t>76946C</t>
  </si>
  <si>
    <t>76946D</t>
  </si>
  <si>
    <t>76947</t>
  </si>
  <si>
    <t>76948</t>
  </si>
  <si>
    <t>76949</t>
  </si>
  <si>
    <t>76950</t>
  </si>
  <si>
    <t>76951</t>
  </si>
  <si>
    <t>76952</t>
  </si>
  <si>
    <t>76953</t>
  </si>
  <si>
    <t>76953/A</t>
  </si>
  <si>
    <t>76953/B</t>
  </si>
  <si>
    <t>76954</t>
  </si>
  <si>
    <t>76955</t>
  </si>
  <si>
    <t>76956</t>
  </si>
  <si>
    <t>76957</t>
  </si>
  <si>
    <t>76958</t>
  </si>
  <si>
    <t>76959</t>
  </si>
  <si>
    <t>76960</t>
  </si>
  <si>
    <t>76961</t>
  </si>
  <si>
    <t>76962</t>
  </si>
  <si>
    <t>76963</t>
  </si>
  <si>
    <t>76964</t>
  </si>
  <si>
    <t>76965</t>
  </si>
  <si>
    <t>76965/A</t>
  </si>
  <si>
    <t>76966</t>
  </si>
  <si>
    <t>76967</t>
  </si>
  <si>
    <t>76968</t>
  </si>
  <si>
    <t>76969</t>
  </si>
  <si>
    <t>76970</t>
  </si>
  <si>
    <t>76971</t>
  </si>
  <si>
    <t>76971A</t>
  </si>
  <si>
    <t>76972</t>
  </si>
  <si>
    <t>76973</t>
  </si>
  <si>
    <t>76974</t>
  </si>
  <si>
    <t>76974/A</t>
  </si>
  <si>
    <t>76974/B</t>
  </si>
  <si>
    <t>76975</t>
  </si>
  <si>
    <t>76976</t>
  </si>
  <si>
    <t>76977</t>
  </si>
  <si>
    <t>76978</t>
  </si>
  <si>
    <t>76979</t>
  </si>
  <si>
    <t>76980</t>
  </si>
  <si>
    <t>76981</t>
  </si>
  <si>
    <t>76982</t>
  </si>
  <si>
    <t>76983</t>
  </si>
  <si>
    <t>76984</t>
  </si>
  <si>
    <t>76985</t>
  </si>
  <si>
    <t>76986</t>
  </si>
  <si>
    <t>76987</t>
  </si>
  <si>
    <t>76988</t>
  </si>
  <si>
    <t>76989</t>
  </si>
  <si>
    <t>76990</t>
  </si>
  <si>
    <t>76991</t>
  </si>
  <si>
    <t>76992</t>
  </si>
  <si>
    <t>76993</t>
  </si>
  <si>
    <t>76994</t>
  </si>
  <si>
    <t>76994/A</t>
  </si>
  <si>
    <t>76995</t>
  </si>
  <si>
    <t>76995/A</t>
  </si>
  <si>
    <t>76996</t>
  </si>
  <si>
    <t>76997</t>
  </si>
  <si>
    <t>76998</t>
  </si>
  <si>
    <t>76999</t>
  </si>
  <si>
    <t>77000</t>
  </si>
  <si>
    <t>77001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</si>
  <si>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</si>
  <si>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</si>
  <si>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</si>
  <si>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</si>
  <si>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</si>
  <si>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</si>
  <si>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</si>
  <si>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</si>
  <si>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</si>
  <si>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</si>
  <si>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77013A</t>
  </si>
  <si>
    <t>77013B</t>
  </si>
  <si>
    <t>77014</t>
  </si>
  <si>
    <t>77015</t>
  </si>
  <si>
    <t>77016</t>
  </si>
  <si>
    <t>77018</t>
  </si>
  <si>
    <t>77018A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</si>
  <si>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</si>
  <si>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</si>
  <si>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</si>
  <si>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</si>
  <si>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</si>
  <si>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</si>
  <si>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</si>
  <si>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</si>
  <si>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</si>
  <si>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</si>
  <si>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</si>
  <si>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77029A</t>
  </si>
  <si>
    <t>77029B</t>
  </si>
  <si>
    <t>77029C</t>
  </si>
  <si>
    <t>77029D</t>
  </si>
  <si>
    <t>77030</t>
  </si>
  <si>
    <t>77030A</t>
  </si>
  <si>
    <t>77030B</t>
  </si>
  <si>
    <t>77030C</t>
  </si>
  <si>
    <t>77031</t>
  </si>
  <si>
    <t>77032</t>
  </si>
  <si>
    <t>77032A</t>
  </si>
  <si>
    <t>77033</t>
  </si>
  <si>
    <t>77034</t>
  </si>
  <si>
    <t>77036</t>
  </si>
  <si>
    <t>77037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</si>
  <si>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</si>
  <si>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</si>
  <si>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</si>
  <si>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</si>
  <si>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</si>
  <si>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</si>
  <si>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</si>
  <si>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</si>
  <si>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</si>
  <si>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</si>
  <si>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77049A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</si>
  <si>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</si>
  <si>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</si>
  <si>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</si>
  <si>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</si>
  <si>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</si>
  <si>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</si>
  <si>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</si>
  <si>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</si>
  <si>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</si>
  <si>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</si>
  <si>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</si>
  <si>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</si>
  <si>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</si>
  <si>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</si>
  <si>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77065</t>
  </si>
  <si>
    <t>77066</t>
  </si>
  <si>
    <t>77067</t>
  </si>
  <si>
    <t>77068</t>
  </si>
  <si>
    <t>77069</t>
  </si>
  <si>
    <t>77072</t>
  </si>
  <si>
    <t>77073</t>
  </si>
  <si>
    <t>77073A</t>
  </si>
  <si>
    <t>77074</t>
  </si>
  <si>
    <t>77075</t>
  </si>
  <si>
    <t>77076</t>
  </si>
  <si>
    <t>77078</t>
  </si>
  <si>
    <t>77079</t>
  </si>
  <si>
    <t>77080</t>
  </si>
  <si>
    <t>77081</t>
  </si>
  <si>
    <t>77082</t>
  </si>
  <si>
    <t>77083</t>
  </si>
  <si>
    <t>77084</t>
  </si>
  <si>
    <t>77086</t>
  </si>
  <si>
    <t>77087</t>
  </si>
  <si>
    <t>77088</t>
  </si>
  <si>
    <t>77089</t>
  </si>
  <si>
    <t>77089A</t>
  </si>
  <si>
    <t>77090</t>
  </si>
  <si>
    <t>77091</t>
  </si>
  <si>
    <t>77092</t>
  </si>
  <si>
    <t>77094</t>
  </si>
  <si>
    <t>77095</t>
  </si>
  <si>
    <t>77096</t>
  </si>
  <si>
    <t>77097</t>
  </si>
  <si>
    <t>77097A</t>
  </si>
  <si>
    <t>77098</t>
  </si>
  <si>
    <t>77099</t>
  </si>
  <si>
    <t>77100</t>
  </si>
  <si>
    <t>77101</t>
  </si>
  <si>
    <t>77102</t>
  </si>
  <si>
    <t>77103</t>
  </si>
  <si>
    <t>77104</t>
  </si>
  <si>
    <t>77105</t>
  </si>
  <si>
    <t>77106</t>
  </si>
  <si>
    <t>77107</t>
  </si>
  <si>
    <t>77107A</t>
  </si>
  <si>
    <t>77109</t>
  </si>
  <si>
    <t>77109A</t>
  </si>
  <si>
    <t>77110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</si>
  <si>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</si>
  <si>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</si>
  <si>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</si>
  <si>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</si>
  <si>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</si>
  <si>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</si>
  <si>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</si>
  <si>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</si>
  <si>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</si>
  <si>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77120A</t>
  </si>
  <si>
    <t>77122</t>
  </si>
  <si>
    <t>77123</t>
  </si>
  <si>
    <t>77125</t>
  </si>
  <si>
    <t>77126</t>
  </si>
  <si>
    <t>77137</t>
  </si>
  <si>
    <t>77138</t>
  </si>
  <si>
    <t>77139</t>
  </si>
  <si>
    <t>77140</t>
  </si>
  <si>
    <t>77141</t>
  </si>
  <si>
    <t>77141A</t>
  </si>
  <si>
    <t>77141B</t>
  </si>
  <si>
    <t>77142</t>
  </si>
  <si>
    <t>77142A</t>
  </si>
  <si>
    <t>77142B</t>
  </si>
  <si>
    <t>77143</t>
  </si>
  <si>
    <t>77144</t>
  </si>
  <si>
    <t>77145</t>
  </si>
  <si>
    <t>77147</t>
  </si>
  <si>
    <t>77148</t>
  </si>
  <si>
    <t>77149</t>
  </si>
  <si>
    <t>77150</t>
  </si>
  <si>
    <t>77151</t>
  </si>
  <si>
    <t>77152</t>
  </si>
  <si>
    <t>77153</t>
  </si>
  <si>
    <t>77155</t>
  </si>
  <si>
    <t>77156</t>
  </si>
  <si>
    <t>77157</t>
  </si>
  <si>
    <t>77158</t>
  </si>
  <si>
    <t>77159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</si>
  <si>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</si>
  <si>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</si>
  <si>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</si>
  <si>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</si>
  <si>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</si>
  <si>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</si>
  <si>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</si>
  <si>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</si>
  <si>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</si>
  <si>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77169</t>
  </si>
  <si>
    <t>77169B</t>
  </si>
  <si>
    <t>77169C</t>
  </si>
  <si>
    <t>77169D</t>
  </si>
  <si>
    <t>77169E</t>
  </si>
  <si>
    <t>77170</t>
  </si>
  <si>
    <t>77171</t>
  </si>
  <si>
    <t>77184</t>
  </si>
  <si>
    <t>77184A</t>
  </si>
  <si>
    <t>77184B</t>
  </si>
  <si>
    <t>77186</t>
  </si>
  <si>
    <t>77187</t>
  </si>
  <si>
    <t>77188</t>
  </si>
  <si>
    <t>77189</t>
  </si>
  <si>
    <t>77190</t>
  </si>
  <si>
    <t>77191</t>
  </si>
  <si>
    <t>77192</t>
  </si>
  <si>
    <t>77193</t>
  </si>
  <si>
    <t>77194</t>
  </si>
  <si>
    <t>77195</t>
  </si>
  <si>
    <t>77196</t>
  </si>
  <si>
    <t>77196A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</si>
  <si>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</si>
  <si>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</si>
  <si>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</si>
  <si>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</si>
  <si>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</si>
  <si>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</si>
  <si>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</si>
  <si>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</si>
  <si>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</si>
  <si>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</si>
  <si>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</si>
  <si>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</si>
  <si>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77210</t>
  </si>
  <si>
    <t>77211</t>
  </si>
  <si>
    <t>77212</t>
  </si>
  <si>
    <t>77213</t>
  </si>
  <si>
    <t>77217</t>
  </si>
  <si>
    <t>77217A</t>
  </si>
  <si>
    <t>77217B</t>
  </si>
  <si>
    <t>77217C</t>
  </si>
  <si>
    <t>77218</t>
  </si>
  <si>
    <t>77218A</t>
  </si>
  <si>
    <t>77219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</si>
  <si>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</si>
  <si>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</si>
  <si>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</si>
  <si>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</si>
  <si>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</si>
  <si>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</si>
  <si>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</si>
  <si>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</si>
  <si>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</si>
  <si>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</si>
  <si>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</si>
  <si>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</si>
  <si>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</si>
  <si>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</si>
  <si>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</si>
  <si>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</si>
  <si>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</si>
  <si>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</si>
  <si>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</si>
  <si>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</si>
  <si>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77242</t>
  </si>
  <si>
    <t>77244</t>
  </si>
  <si>
    <t>77245</t>
  </si>
  <si>
    <t>77246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</si>
  <si>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</si>
  <si>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</si>
  <si>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</si>
  <si>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</si>
  <si>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</si>
  <si>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</si>
  <si>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</si>
  <si>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</si>
  <si>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</si>
  <si>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</si>
  <si>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</si>
  <si>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77262</t>
  </si>
  <si>
    <t>77263</t>
  </si>
  <si>
    <t>77263/A</t>
  </si>
  <si>
    <t>77263/B</t>
  </si>
  <si>
    <t>77265</t>
  </si>
  <si>
    <t>77266</t>
  </si>
  <si>
    <t>77267</t>
  </si>
  <si>
    <t>77267A</t>
  </si>
  <si>
    <t>77267B</t>
  </si>
  <si>
    <t>77268</t>
  </si>
  <si>
    <t>77269</t>
  </si>
  <si>
    <t>77270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</si>
  <si>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</si>
  <si>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</si>
  <si>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</si>
  <si>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</si>
  <si>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</si>
  <si>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</si>
  <si>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</si>
  <si>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</si>
  <si>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</si>
  <si>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</si>
  <si>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</si>
  <si>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</si>
  <si>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</si>
  <si>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</si>
  <si>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</si>
  <si>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</si>
  <si>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</si>
  <si>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</si>
  <si>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</si>
  <si>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</si>
  <si>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</si>
  <si>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77294</t>
  </si>
  <si>
    <t>77297</t>
  </si>
  <si>
    <t>77298</t>
  </si>
  <si>
    <t>77299</t>
  </si>
  <si>
    <t>77300</t>
  </si>
  <si>
    <t>77301</t>
  </si>
  <si>
    <t>77303</t>
  </si>
  <si>
    <t>77304</t>
  </si>
  <si>
    <t>77304A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</si>
  <si>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</si>
  <si>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</si>
  <si>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</si>
  <si>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</si>
  <si>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</si>
  <si>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</si>
  <si>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</si>
  <si>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</si>
  <si>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</si>
  <si>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77313/A</t>
  </si>
  <si>
    <t>77313/B</t>
  </si>
  <si>
    <t>77314</t>
  </si>
  <si>
    <t>77318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</si>
  <si>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</si>
  <si>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</si>
  <si>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</si>
  <si>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</si>
  <si>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</si>
  <si>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</si>
  <si>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</si>
  <si>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</si>
  <si>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77327</t>
  </si>
  <si>
    <t>77328</t>
  </si>
  <si>
    <t>77330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</si>
  <si>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</si>
  <si>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</si>
  <si>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</si>
  <si>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</si>
  <si>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</si>
  <si>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</si>
  <si>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</si>
  <si>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</si>
  <si>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</si>
  <si>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</si>
  <si>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</si>
  <si>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</si>
  <si>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</si>
  <si>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</si>
  <si>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</si>
  <si>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77347</t>
  </si>
  <si>
    <t>77347A</t>
  </si>
  <si>
    <t>77347B</t>
  </si>
  <si>
    <t>77348</t>
  </si>
  <si>
    <t>77349</t>
  </si>
  <si>
    <t>77350</t>
  </si>
  <si>
    <t>77351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</si>
  <si>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</si>
  <si>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</si>
  <si>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</si>
  <si>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</si>
  <si>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</si>
  <si>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</si>
  <si>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</si>
  <si>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</si>
  <si>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</si>
  <si>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</si>
  <si>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77362</t>
  </si>
  <si>
    <t>77365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</si>
  <si>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</si>
  <si>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</si>
  <si>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</si>
  <si>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</si>
  <si>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</si>
  <si>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</si>
  <si>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</si>
  <si>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</si>
  <si>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</si>
  <si>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</si>
  <si>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</si>
  <si>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</si>
  <si>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</si>
  <si>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</si>
  <si>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77380A</t>
  </si>
  <si>
    <t>77381</t>
  </si>
  <si>
    <t>77382</t>
  </si>
  <si>
    <t>77383</t>
  </si>
  <si>
    <t>77384</t>
  </si>
  <si>
    <t>77385</t>
  </si>
  <si>
    <t>77386</t>
  </si>
  <si>
    <t>77388</t>
  </si>
  <si>
    <t>77389</t>
  </si>
  <si>
    <t>77390</t>
  </si>
  <si>
    <t>77390A</t>
  </si>
  <si>
    <t>77391</t>
  </si>
  <si>
    <t>77391A</t>
  </si>
  <si>
    <t>77392</t>
  </si>
  <si>
    <t>77392A</t>
  </si>
  <si>
    <t>77394</t>
  </si>
  <si>
    <t>77395</t>
  </si>
  <si>
    <t>77396</t>
  </si>
  <si>
    <t>77397</t>
  </si>
  <si>
    <t>77398</t>
  </si>
  <si>
    <t>77399</t>
  </si>
  <si>
    <t>77400</t>
  </si>
  <si>
    <t>77401</t>
  </si>
  <si>
    <t>77402</t>
  </si>
  <si>
    <t>77402A</t>
  </si>
  <si>
    <t>77403</t>
  </si>
  <si>
    <t>77405</t>
  </si>
  <si>
    <t>77406</t>
  </si>
  <si>
    <t>77406A</t>
  </si>
  <si>
    <t>77407</t>
  </si>
  <si>
    <t>77407A</t>
  </si>
  <si>
    <t>77409</t>
  </si>
  <si>
    <t>77411</t>
  </si>
  <si>
    <t>77412</t>
  </si>
  <si>
    <t>77413</t>
  </si>
  <si>
    <t>77414</t>
  </si>
  <si>
    <t>77415</t>
  </si>
  <si>
    <t>77415A</t>
  </si>
  <si>
    <t>77415B</t>
  </si>
  <si>
    <t>77420</t>
  </si>
  <si>
    <t>77421</t>
  </si>
  <si>
    <t>77422</t>
  </si>
  <si>
    <t>77422A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</si>
  <si>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</si>
  <si>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</si>
  <si>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</si>
  <si>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</si>
  <si>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</si>
  <si>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</si>
  <si>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</si>
  <si>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</si>
  <si>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</si>
  <si>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77431A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</si>
  <si>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</si>
  <si>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</si>
  <si>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</si>
  <si>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</si>
  <si>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</si>
  <si>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</si>
  <si>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</si>
  <si>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</si>
  <si>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</si>
  <si>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</si>
  <si>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</si>
  <si>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</si>
  <si>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</si>
  <si>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</si>
  <si>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</si>
  <si>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</si>
  <si>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</si>
  <si>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</si>
  <si>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</si>
  <si>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</si>
  <si>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</si>
  <si>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77453A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</si>
  <si>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</si>
  <si>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</si>
  <si>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</si>
  <si>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</si>
  <si>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</si>
  <si>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</si>
  <si>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</si>
  <si>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</si>
  <si>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77465</t>
  </si>
  <si>
    <t>77466</t>
  </si>
  <si>
    <t>77466A</t>
  </si>
  <si>
    <t>77467</t>
  </si>
  <si>
    <t>77468</t>
  </si>
  <si>
    <t>77468A</t>
  </si>
  <si>
    <t>77470</t>
  </si>
  <si>
    <t>77470A</t>
  </si>
  <si>
    <t>77470B</t>
  </si>
  <si>
    <t>77470C</t>
  </si>
  <si>
    <t>77471</t>
  </si>
  <si>
    <t>77472</t>
  </si>
  <si>
    <t>77474</t>
  </si>
  <si>
    <t>77475</t>
  </si>
  <si>
    <t>77476</t>
  </si>
  <si>
    <t>77477</t>
  </si>
  <si>
    <t>77478</t>
  </si>
  <si>
    <t>77480</t>
  </si>
  <si>
    <t>77480/A</t>
  </si>
  <si>
    <t>77480/B</t>
  </si>
  <si>
    <t>77482</t>
  </si>
  <si>
    <t>77482/A</t>
  </si>
  <si>
    <t>77482/B</t>
  </si>
  <si>
    <t>77483</t>
  </si>
  <si>
    <t>77484</t>
  </si>
  <si>
    <t>77485</t>
  </si>
  <si>
    <t>77487</t>
  </si>
  <si>
    <t>77488</t>
  </si>
  <si>
    <t>77490</t>
  </si>
  <si>
    <t>77491</t>
  </si>
  <si>
    <t>77492</t>
  </si>
  <si>
    <t>77493</t>
  </si>
  <si>
    <t>77494</t>
  </si>
  <si>
    <t>77496</t>
  </si>
  <si>
    <t>77497</t>
  </si>
  <si>
    <t>77498</t>
  </si>
  <si>
    <t>77499</t>
  </si>
  <si>
    <t>77500</t>
  </si>
  <si>
    <t>77501</t>
  </si>
  <si>
    <t>77502</t>
  </si>
  <si>
    <t>77503</t>
  </si>
  <si>
    <t>77504</t>
  </si>
  <si>
    <t>77505</t>
  </si>
  <si>
    <t>77506</t>
  </si>
  <si>
    <t>77506/A</t>
  </si>
  <si>
    <t>77506/B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</si>
  <si>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</si>
  <si>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</si>
  <si>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</si>
  <si>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</si>
  <si>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</si>
  <si>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</si>
  <si>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</si>
  <si>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</si>
  <si>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</si>
  <si>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</si>
  <si>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</si>
  <si>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</si>
  <si>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</si>
  <si>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</si>
  <si>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</si>
  <si>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</si>
  <si>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</si>
  <si>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</si>
  <si>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</si>
  <si>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77529</t>
  </si>
  <si>
    <t>77532</t>
  </si>
  <si>
    <t>77533</t>
  </si>
  <si>
    <t>77536</t>
  </si>
  <si>
    <t>77537</t>
  </si>
  <si>
    <t>77538</t>
  </si>
  <si>
    <t>77539</t>
  </si>
  <si>
    <t>77540</t>
  </si>
  <si>
    <t>77540A</t>
  </si>
  <si>
    <t>77541</t>
  </si>
  <si>
    <t>77542</t>
  </si>
  <si>
    <t>77543</t>
  </si>
  <si>
    <t>77544</t>
  </si>
  <si>
    <t>77545</t>
  </si>
  <si>
    <t>77546</t>
  </si>
  <si>
    <t>77547</t>
  </si>
  <si>
    <t>77548</t>
  </si>
  <si>
    <t>77549</t>
  </si>
  <si>
    <t>77550</t>
  </si>
  <si>
    <t>77551</t>
  </si>
  <si>
    <t>77552</t>
  </si>
  <si>
    <t>77553</t>
  </si>
  <si>
    <t>77554</t>
  </si>
  <si>
    <t>77555</t>
  </si>
  <si>
    <t>77556</t>
  </si>
  <si>
    <t>77557</t>
  </si>
  <si>
    <t>77558</t>
  </si>
  <si>
    <t>77559</t>
  </si>
  <si>
    <t>77560</t>
  </si>
  <si>
    <t>77561</t>
  </si>
  <si>
    <t>77564</t>
  </si>
  <si>
    <t>77565</t>
  </si>
  <si>
    <t>77565A</t>
  </si>
  <si>
    <t>77566</t>
  </si>
  <si>
    <t>77567</t>
  </si>
  <si>
    <t>77568</t>
  </si>
  <si>
    <t>77569</t>
  </si>
  <si>
    <t>77570</t>
  </si>
  <si>
    <t>77571</t>
  </si>
  <si>
    <t>77572</t>
  </si>
  <si>
    <t>77575</t>
  </si>
  <si>
    <t>77577</t>
  </si>
  <si>
    <t>77578</t>
  </si>
  <si>
    <t>77579</t>
  </si>
  <si>
    <t>77580</t>
  </si>
  <si>
    <t>77581</t>
  </si>
  <si>
    <t>77582</t>
  </si>
  <si>
    <t>77583</t>
  </si>
  <si>
    <t>77584</t>
  </si>
  <si>
    <t>77585</t>
  </si>
  <si>
    <t>77586</t>
  </si>
  <si>
    <t>77587</t>
  </si>
  <si>
    <t>77588</t>
  </si>
  <si>
    <t>77589</t>
  </si>
  <si>
    <t>77590</t>
  </si>
  <si>
    <t>77591</t>
  </si>
  <si>
    <t>77591A</t>
  </si>
  <si>
    <t>77592</t>
  </si>
  <si>
    <t>77593</t>
  </si>
  <si>
    <t>77594</t>
  </si>
  <si>
    <t>77595</t>
  </si>
  <si>
    <t>77596</t>
  </si>
  <si>
    <t>77597</t>
  </si>
  <si>
    <t>77598</t>
  </si>
  <si>
    <t>77599</t>
  </si>
  <si>
    <t>77600</t>
  </si>
  <si>
    <t>77601</t>
  </si>
  <si>
    <t>77602</t>
  </si>
  <si>
    <t>77603</t>
  </si>
  <si>
    <t>77604</t>
  </si>
  <si>
    <t>77605</t>
  </si>
  <si>
    <t>77606</t>
  </si>
  <si>
    <t>77607</t>
  </si>
  <si>
    <t>77608</t>
  </si>
  <si>
    <t>77610</t>
  </si>
  <si>
    <t>77611</t>
  </si>
  <si>
    <t>77612</t>
  </si>
  <si>
    <t>77613</t>
  </si>
  <si>
    <t>77614</t>
  </si>
  <si>
    <t>77615</t>
  </si>
  <si>
    <t>77616</t>
  </si>
  <si>
    <t>77617</t>
  </si>
  <si>
    <t>77618</t>
  </si>
  <si>
    <t>77619</t>
  </si>
  <si>
    <t>77620</t>
  </si>
  <si>
    <t>77621</t>
  </si>
  <si>
    <t>77623</t>
  </si>
  <si>
    <t>77624</t>
  </si>
  <si>
    <t>77625</t>
  </si>
  <si>
    <t>77626</t>
  </si>
  <si>
    <t>77627</t>
  </si>
  <si>
    <t>77628</t>
  </si>
  <si>
    <t>77629</t>
  </si>
  <si>
    <t>77631</t>
  </si>
  <si>
    <t>77632</t>
  </si>
  <si>
    <t>77633</t>
  </si>
  <si>
    <t>77634</t>
  </si>
  <si>
    <t>77636</t>
  </si>
  <si>
    <t>77637</t>
  </si>
  <si>
    <t>77638</t>
  </si>
  <si>
    <t>77639</t>
  </si>
  <si>
    <t>77640</t>
  </si>
  <si>
    <t>77641</t>
  </si>
  <si>
    <t>77642</t>
  </si>
  <si>
    <t>77643</t>
  </si>
  <si>
    <t>77644</t>
  </si>
  <si>
    <t>77645</t>
  </si>
  <si>
    <t>77646</t>
  </si>
  <si>
    <t>77647</t>
  </si>
  <si>
    <t>77648</t>
  </si>
  <si>
    <t>77649</t>
  </si>
  <si>
    <t>77650</t>
  </si>
  <si>
    <t>77651</t>
  </si>
  <si>
    <t>77652</t>
  </si>
  <si>
    <t>77653</t>
  </si>
  <si>
    <t>77654</t>
  </si>
  <si>
    <t>77654A</t>
  </si>
  <si>
    <t>77655</t>
  </si>
  <si>
    <t>77655A</t>
  </si>
  <si>
    <t>77656</t>
  </si>
  <si>
    <t>77657</t>
  </si>
  <si>
    <t>77658</t>
  </si>
  <si>
    <t>77659</t>
  </si>
  <si>
    <t>77660</t>
  </si>
  <si>
    <t>77662</t>
  </si>
  <si>
    <t>77664</t>
  </si>
  <si>
    <t>77665</t>
  </si>
  <si>
    <t>77666</t>
  </si>
  <si>
    <t>77668</t>
  </si>
  <si>
    <t>77669</t>
  </si>
  <si>
    <t>77670</t>
  </si>
  <si>
    <t>77671</t>
  </si>
  <si>
    <t>77672</t>
  </si>
  <si>
    <t>77673</t>
  </si>
  <si>
    <t>77675</t>
  </si>
  <si>
    <t>77676</t>
  </si>
  <si>
    <t>77677</t>
  </si>
  <si>
    <t>77678</t>
  </si>
  <si>
    <t>77679</t>
  </si>
  <si>
    <t>77680</t>
  </si>
  <si>
    <t>77682</t>
  </si>
  <si>
    <t>77683</t>
  </si>
  <si>
    <t>77684</t>
  </si>
  <si>
    <t>77685</t>
  </si>
  <si>
    <t>77685A</t>
  </si>
  <si>
    <t>77686</t>
  </si>
  <si>
    <t>77687</t>
  </si>
  <si>
    <t>77688</t>
  </si>
  <si>
    <t>77689</t>
  </si>
  <si>
    <t>77690</t>
  </si>
  <si>
    <t>77691</t>
  </si>
  <si>
    <t>77692</t>
  </si>
  <si>
    <t>77693</t>
  </si>
  <si>
    <t>77694</t>
  </si>
  <si>
    <t>77695</t>
  </si>
  <si>
    <t>77696</t>
  </si>
  <si>
    <t>77697</t>
  </si>
  <si>
    <t>77698</t>
  </si>
  <si>
    <t>77699</t>
  </si>
  <si>
    <t>77700</t>
  </si>
  <si>
    <t>77701</t>
  </si>
  <si>
    <t>77707</t>
  </si>
  <si>
    <t>77708</t>
  </si>
  <si>
    <t>77708/A</t>
  </si>
  <si>
    <t>77708/B</t>
  </si>
  <si>
    <t>77709</t>
  </si>
  <si>
    <t>77711</t>
  </si>
  <si>
    <t>77712</t>
  </si>
  <si>
    <t>77714</t>
  </si>
  <si>
    <t>77714A</t>
  </si>
  <si>
    <t>77714B</t>
  </si>
  <si>
    <t>77715</t>
  </si>
  <si>
    <t>77716</t>
  </si>
  <si>
    <t>77717</t>
  </si>
  <si>
    <t>77718</t>
  </si>
  <si>
    <t>77719</t>
  </si>
  <si>
    <t>77720</t>
  </si>
  <si>
    <t>77722</t>
  </si>
  <si>
    <t>77723</t>
  </si>
  <si>
    <t>77724</t>
  </si>
  <si>
    <t>77725</t>
  </si>
  <si>
    <t>77726</t>
  </si>
  <si>
    <t>77728</t>
  </si>
  <si>
    <t>77729</t>
  </si>
  <si>
    <t>77729A</t>
  </si>
  <si>
    <t>77729B</t>
  </si>
  <si>
    <t>77730</t>
  </si>
  <si>
    <t>77731</t>
  </si>
  <si>
    <t>77735</t>
  </si>
  <si>
    <t>77736</t>
  </si>
  <si>
    <t>77737</t>
  </si>
  <si>
    <t>77737/A</t>
  </si>
  <si>
    <t>77738</t>
  </si>
  <si>
    <t>77739</t>
  </si>
  <si>
    <t>77740</t>
  </si>
  <si>
    <t>77741</t>
  </si>
  <si>
    <t>77742</t>
  </si>
  <si>
    <t>77743</t>
  </si>
  <si>
    <t>77744</t>
  </si>
  <si>
    <t>77745</t>
  </si>
  <si>
    <t>77746</t>
  </si>
  <si>
    <t>77747</t>
  </si>
  <si>
    <t>77748</t>
  </si>
  <si>
    <t>77749</t>
  </si>
  <si>
    <t>77750</t>
  </si>
  <si>
    <t>77751</t>
  </si>
  <si>
    <t>77752</t>
  </si>
  <si>
    <t>77752A</t>
  </si>
  <si>
    <t>77753</t>
  </si>
  <si>
    <t>77753A</t>
  </si>
  <si>
    <t>77754</t>
  </si>
  <si>
    <t>77754/A</t>
  </si>
  <si>
    <t>77754A</t>
  </si>
  <si>
    <t>77755</t>
  </si>
  <si>
    <t>77755A</t>
  </si>
  <si>
    <t>77756</t>
  </si>
  <si>
    <t>77757</t>
  </si>
  <si>
    <t>77758</t>
  </si>
  <si>
    <t>77759</t>
  </si>
  <si>
    <t>77760</t>
  </si>
  <si>
    <t>77761</t>
  </si>
  <si>
    <t>77762</t>
  </si>
  <si>
    <t>77763</t>
  </si>
  <si>
    <t>77764</t>
  </si>
  <si>
    <t>77764A</t>
  </si>
  <si>
    <t>77764B</t>
  </si>
  <si>
    <t>77765</t>
  </si>
  <si>
    <t>77766</t>
  </si>
  <si>
    <t>77767</t>
  </si>
  <si>
    <t>77768</t>
  </si>
  <si>
    <t>77769</t>
  </si>
  <si>
    <t>77771</t>
  </si>
  <si>
    <t>77774</t>
  </si>
  <si>
    <t>77774A</t>
  </si>
  <si>
    <t>77775</t>
  </si>
  <si>
    <t>77775A</t>
  </si>
  <si>
    <t>77775B</t>
  </si>
  <si>
    <t>77776</t>
  </si>
  <si>
    <t>77776A</t>
  </si>
  <si>
    <t>77776B</t>
  </si>
  <si>
    <t>77777</t>
  </si>
  <si>
    <t>77777A</t>
  </si>
  <si>
    <t>77779</t>
  </si>
  <si>
    <t>77779A</t>
  </si>
  <si>
    <t>77779B</t>
  </si>
  <si>
    <t>77779C</t>
  </si>
  <si>
    <t>77780</t>
  </si>
  <si>
    <t>77781</t>
  </si>
  <si>
    <t>77782</t>
  </si>
  <si>
    <t>77783</t>
  </si>
  <si>
    <t>77784</t>
  </si>
  <si>
    <t>77785</t>
  </si>
  <si>
    <t>77786</t>
  </si>
  <si>
    <t>77787</t>
  </si>
  <si>
    <t>77788</t>
  </si>
  <si>
    <t>77789</t>
  </si>
  <si>
    <t>77790</t>
  </si>
  <si>
    <t>77791</t>
  </si>
  <si>
    <t>77792</t>
  </si>
  <si>
    <t>77792A</t>
  </si>
  <si>
    <t>77792B</t>
  </si>
  <si>
    <t>77793</t>
  </si>
  <si>
    <t>77794</t>
  </si>
  <si>
    <t>77795</t>
  </si>
  <si>
    <t>77796</t>
  </si>
  <si>
    <t>77797</t>
  </si>
  <si>
    <t>77798</t>
  </si>
  <si>
    <t>77799</t>
  </si>
  <si>
    <t>77800</t>
  </si>
  <si>
    <t>77801</t>
  </si>
  <si>
    <t>77802</t>
  </si>
  <si>
    <t>77803</t>
  </si>
  <si>
    <t>77804</t>
  </si>
  <si>
    <t>77805</t>
  </si>
  <si>
    <t>77806</t>
  </si>
  <si>
    <t>77806A</t>
  </si>
  <si>
    <t>77806B</t>
  </si>
  <si>
    <t>77806C</t>
  </si>
  <si>
    <t>77807</t>
  </si>
  <si>
    <t>77808</t>
  </si>
  <si>
    <t>77809</t>
  </si>
  <si>
    <t>77810</t>
  </si>
  <si>
    <t>77811</t>
  </si>
  <si>
    <t>77812</t>
  </si>
  <si>
    <t>77813</t>
  </si>
  <si>
    <t>77814</t>
  </si>
  <si>
    <t>77815</t>
  </si>
  <si>
    <t>77815A</t>
  </si>
  <si>
    <t>77815B</t>
  </si>
  <si>
    <t>77816</t>
  </si>
  <si>
    <t>77817</t>
  </si>
  <si>
    <t>77818</t>
  </si>
  <si>
    <t>77819</t>
  </si>
  <si>
    <t>77820</t>
  </si>
  <si>
    <t>77821</t>
  </si>
  <si>
    <t>77822</t>
  </si>
  <si>
    <t>77823</t>
  </si>
  <si>
    <t>77824</t>
  </si>
  <si>
    <t>77825</t>
  </si>
  <si>
    <t>77826</t>
  </si>
  <si>
    <t>77827</t>
  </si>
  <si>
    <t>77828</t>
  </si>
  <si>
    <t>77829</t>
  </si>
  <si>
    <t>77830</t>
  </si>
  <si>
    <t>77831/CO</t>
  </si>
  <si>
    <t>77832</t>
  </si>
  <si>
    <t>77833</t>
  </si>
  <si>
    <t>77834</t>
  </si>
  <si>
    <t>77835</t>
  </si>
  <si>
    <t>77837</t>
  </si>
  <si>
    <t>77838</t>
  </si>
  <si>
    <t>77839</t>
  </si>
  <si>
    <t>77840</t>
  </si>
  <si>
    <t>77841</t>
  </si>
  <si>
    <t>77842</t>
  </si>
  <si>
    <t>77843</t>
  </si>
  <si>
    <t>77844</t>
  </si>
  <si>
    <t>77845</t>
  </si>
  <si>
    <t>77846</t>
  </si>
  <si>
    <t>77847</t>
  </si>
  <si>
    <t>77848</t>
  </si>
  <si>
    <t>77849</t>
  </si>
  <si>
    <t>77851</t>
  </si>
  <si>
    <t>77851A</t>
  </si>
  <si>
    <t>77852</t>
  </si>
  <si>
    <t>77853</t>
  </si>
  <si>
    <t>77854</t>
  </si>
  <si>
    <t>77855</t>
  </si>
  <si>
    <t>77856</t>
  </si>
  <si>
    <t>77857</t>
  </si>
  <si>
    <t>77858</t>
  </si>
  <si>
    <t>77859</t>
  </si>
  <si>
    <t>77860</t>
  </si>
  <si>
    <t>77861</t>
  </si>
  <si>
    <t>77862</t>
  </si>
  <si>
    <t>77863</t>
  </si>
  <si>
    <t>77864</t>
  </si>
  <si>
    <t>77865</t>
  </si>
  <si>
    <t>77866</t>
  </si>
  <si>
    <t>77867</t>
  </si>
  <si>
    <t>77868</t>
  </si>
  <si>
    <t>77869</t>
  </si>
  <si>
    <t>77869/1</t>
  </si>
  <si>
    <t>77869/A</t>
  </si>
  <si>
    <t>77869/B</t>
  </si>
  <si>
    <t>77869/C</t>
  </si>
  <si>
    <t>77869A</t>
  </si>
  <si>
    <t>77869B</t>
  </si>
  <si>
    <t>77869C</t>
  </si>
  <si>
    <t>77870</t>
  </si>
  <si>
    <t>77870/1</t>
  </si>
  <si>
    <t>77870A</t>
  </si>
  <si>
    <t>77870B</t>
  </si>
  <si>
    <t>77870C</t>
  </si>
  <si>
    <t>77871</t>
  </si>
  <si>
    <t>77872</t>
  </si>
  <si>
    <t>77873</t>
  </si>
  <si>
    <t>77874</t>
  </si>
  <si>
    <t>77875</t>
  </si>
  <si>
    <t>77876</t>
  </si>
  <si>
    <t>77877</t>
  </si>
  <si>
    <t>77878</t>
  </si>
  <si>
    <t>77879</t>
  </si>
  <si>
    <t>77880</t>
  </si>
  <si>
    <t>77881</t>
  </si>
  <si>
    <t>77882</t>
  </si>
  <si>
    <t>77883</t>
  </si>
  <si>
    <t>77884</t>
  </si>
  <si>
    <t>77885</t>
  </si>
  <si>
    <t>77886</t>
  </si>
  <si>
    <t>77887</t>
  </si>
  <si>
    <t>77888</t>
  </si>
  <si>
    <t>77889</t>
  </si>
  <si>
    <t>77892</t>
  </si>
  <si>
    <t>77894</t>
  </si>
  <si>
    <t>77895</t>
  </si>
  <si>
    <t>77897</t>
  </si>
  <si>
    <t>77898</t>
  </si>
  <si>
    <t>77899</t>
  </si>
  <si>
    <t>77900</t>
  </si>
  <si>
    <t>77901</t>
  </si>
  <si>
    <t>77902</t>
  </si>
  <si>
    <t>77903</t>
  </si>
  <si>
    <t>77903A</t>
  </si>
  <si>
    <t>77904</t>
  </si>
  <si>
    <t>77905</t>
  </si>
  <si>
    <t>77906</t>
  </si>
  <si>
    <t>77907</t>
  </si>
  <si>
    <t>77907A</t>
  </si>
  <si>
    <t>77908</t>
  </si>
  <si>
    <t>77909</t>
  </si>
  <si>
    <t>77910</t>
  </si>
  <si>
    <t>77910A</t>
  </si>
  <si>
    <t>77910B</t>
  </si>
  <si>
    <t>77912</t>
  </si>
  <si>
    <t>77912A</t>
  </si>
  <si>
    <t>77912B</t>
  </si>
  <si>
    <t>77913</t>
  </si>
  <si>
    <t>77914</t>
  </si>
  <si>
    <t>77915</t>
  </si>
  <si>
    <t>77916</t>
  </si>
  <si>
    <t>77917</t>
  </si>
  <si>
    <t>77918</t>
  </si>
  <si>
    <t>77919</t>
  </si>
  <si>
    <t>77920</t>
  </si>
  <si>
    <t>77921</t>
  </si>
  <si>
    <t>77922</t>
  </si>
  <si>
    <t>77925</t>
  </si>
  <si>
    <t>77926</t>
  </si>
  <si>
    <t>77928</t>
  </si>
  <si>
    <t>77928/A</t>
  </si>
  <si>
    <t>77928/B</t>
  </si>
  <si>
    <t>77929</t>
  </si>
  <si>
    <t>77930</t>
  </si>
  <si>
    <t>77931</t>
  </si>
  <si>
    <t>77932</t>
  </si>
  <si>
    <t>77933</t>
  </si>
  <si>
    <t>77934</t>
  </si>
  <si>
    <t>77935</t>
  </si>
  <si>
    <t>77936</t>
  </si>
  <si>
    <t>77937</t>
  </si>
  <si>
    <t>77938</t>
  </si>
  <si>
    <t>77939</t>
  </si>
  <si>
    <t>77940</t>
  </si>
  <si>
    <t>77940A</t>
  </si>
  <si>
    <t>77941</t>
  </si>
  <si>
    <t>77942</t>
  </si>
  <si>
    <t>77942A</t>
  </si>
  <si>
    <t>77943</t>
  </si>
  <si>
    <t>77943A</t>
  </si>
  <si>
    <t>77944</t>
  </si>
  <si>
    <t>77945</t>
  </si>
  <si>
    <t>77946</t>
  </si>
  <si>
    <t>77946A</t>
  </si>
  <si>
    <t>77947</t>
  </si>
  <si>
    <t>77948</t>
  </si>
  <si>
    <t>77949</t>
  </si>
  <si>
    <t>77950</t>
  </si>
  <si>
    <t>77951</t>
  </si>
  <si>
    <t>77952</t>
  </si>
  <si>
    <t>77954</t>
  </si>
  <si>
    <t>77955</t>
  </si>
  <si>
    <t>77956</t>
  </si>
  <si>
    <t>77957</t>
  </si>
  <si>
    <t>77959</t>
  </si>
  <si>
    <t>77960</t>
  </si>
  <si>
    <t>77961</t>
  </si>
  <si>
    <t>77962</t>
  </si>
  <si>
    <t>77963</t>
  </si>
  <si>
    <t>77964</t>
  </si>
  <si>
    <t>77964A</t>
  </si>
  <si>
    <t>77965</t>
  </si>
  <si>
    <t>77966</t>
  </si>
  <si>
    <t>77967</t>
  </si>
  <si>
    <t>77968</t>
  </si>
  <si>
    <t>77969</t>
  </si>
  <si>
    <t>77970</t>
  </si>
  <si>
    <t>77973</t>
  </si>
  <si>
    <t>77974</t>
  </si>
  <si>
    <t>77974/A</t>
  </si>
  <si>
    <t>77974/B</t>
  </si>
  <si>
    <t>77975</t>
  </si>
  <si>
    <t>77975/A</t>
  </si>
  <si>
    <t>77975/B</t>
  </si>
  <si>
    <t>77976</t>
  </si>
  <si>
    <t>77976/A</t>
  </si>
  <si>
    <t>77976/B</t>
  </si>
  <si>
    <t>77977</t>
  </si>
  <si>
    <t>77978</t>
  </si>
  <si>
    <t>77980</t>
  </si>
  <si>
    <t>77980A</t>
  </si>
  <si>
    <t>77980B</t>
  </si>
  <si>
    <t>77981</t>
  </si>
  <si>
    <t>77982</t>
  </si>
  <si>
    <t>77983</t>
  </si>
  <si>
    <t>77984</t>
  </si>
  <si>
    <t>77985</t>
  </si>
  <si>
    <t>77986</t>
  </si>
  <si>
    <t>77987</t>
  </si>
  <si>
    <t>77989</t>
  </si>
  <si>
    <t>77990</t>
  </si>
  <si>
    <t>77991</t>
  </si>
  <si>
    <t>77992</t>
  </si>
  <si>
    <t>77993</t>
  </si>
  <si>
    <t>77993A</t>
  </si>
  <si>
    <t>77993B</t>
  </si>
  <si>
    <t>77993C</t>
  </si>
  <si>
    <t>77993D</t>
  </si>
  <si>
    <t>77993E</t>
  </si>
  <si>
    <t>77993F</t>
  </si>
  <si>
    <t>77993G</t>
  </si>
  <si>
    <t>77993H</t>
  </si>
  <si>
    <t>77993I</t>
  </si>
  <si>
    <t>77993J</t>
  </si>
  <si>
    <t>77993K</t>
  </si>
  <si>
    <t>77993L</t>
  </si>
  <si>
    <t>77996</t>
  </si>
  <si>
    <t>77997</t>
  </si>
  <si>
    <t>77998</t>
  </si>
  <si>
    <t>77999</t>
  </si>
  <si>
    <t>78000</t>
  </si>
  <si>
    <t>78001</t>
  </si>
  <si>
    <t>78002</t>
  </si>
  <si>
    <t>78002A</t>
  </si>
  <si>
    <t>78003</t>
  </si>
  <si>
    <t>78003A</t>
  </si>
  <si>
    <t>78004</t>
  </si>
  <si>
    <t>78004/A</t>
  </si>
  <si>
    <t>78004/B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</si>
  <si>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</si>
  <si>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</si>
  <si>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</si>
  <si>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</si>
  <si>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</si>
  <si>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</si>
  <si>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</si>
  <si>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</si>
  <si>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</si>
  <si>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</si>
  <si>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</si>
  <si>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</si>
  <si>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78016A</t>
  </si>
  <si>
    <t>78016B</t>
  </si>
  <si>
    <t>78016C</t>
  </si>
  <si>
    <t>78016D</t>
  </si>
  <si>
    <t>78016E</t>
  </si>
  <si>
    <t>78016F</t>
  </si>
  <si>
    <t>78016G</t>
  </si>
  <si>
    <t>78016H</t>
  </si>
  <si>
    <t>78016I</t>
  </si>
  <si>
    <t>78018</t>
  </si>
  <si>
    <t>78018A</t>
  </si>
  <si>
    <t>78019</t>
  </si>
  <si>
    <t>78020</t>
  </si>
  <si>
    <t>78020/CO</t>
  </si>
  <si>
    <t>78021</t>
  </si>
  <si>
    <t>78022</t>
  </si>
  <si>
    <t>78023</t>
  </si>
  <si>
    <t>78024</t>
  </si>
  <si>
    <t>78025</t>
  </si>
  <si>
    <t>78026</t>
  </si>
  <si>
    <t>78027</t>
  </si>
  <si>
    <t>78027A</t>
  </si>
  <si>
    <t>78028</t>
  </si>
  <si>
    <t>78028A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</si>
  <si>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</si>
  <si>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</si>
  <si>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</si>
  <si>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</si>
  <si>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</si>
  <si>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</si>
  <si>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</si>
  <si>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</si>
  <si>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</si>
  <si>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78039</t>
  </si>
  <si>
    <t>78040</t>
  </si>
  <si>
    <t>78041</t>
  </si>
  <si>
    <t>78042</t>
  </si>
  <si>
    <t>78043</t>
  </si>
  <si>
    <t>78044</t>
  </si>
  <si>
    <t>78046</t>
  </si>
  <si>
    <t>78047</t>
  </si>
  <si>
    <t>78048</t>
  </si>
  <si>
    <t>78051</t>
  </si>
  <si>
    <t>78052</t>
  </si>
  <si>
    <t>78053</t>
  </si>
  <si>
    <t>78053A</t>
  </si>
  <si>
    <t>78053B</t>
  </si>
  <si>
    <t>78053C</t>
  </si>
  <si>
    <t>78053D</t>
  </si>
  <si>
    <t>78053E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</si>
  <si>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</si>
  <si>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</si>
  <si>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</si>
  <si>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</si>
  <si>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</si>
  <si>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</si>
  <si>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</si>
  <si>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</si>
  <si>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</si>
  <si>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</si>
  <si>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</si>
  <si>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</si>
  <si>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</si>
  <si>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</si>
  <si>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78068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</si>
  <si>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</si>
  <si>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</si>
  <si>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</si>
  <si>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</si>
  <si>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</si>
  <si>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</si>
  <si>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</si>
  <si>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</si>
  <si>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78077</t>
  </si>
  <si>
    <t>78078</t>
  </si>
  <si>
    <t>78079</t>
  </si>
  <si>
    <t>78080</t>
  </si>
  <si>
    <t>78080A</t>
  </si>
  <si>
    <t>78081</t>
  </si>
  <si>
    <t>78082</t>
  </si>
  <si>
    <t>78085</t>
  </si>
  <si>
    <t>78086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</si>
  <si>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</si>
  <si>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</si>
  <si>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</si>
  <si>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</si>
  <si>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</si>
  <si>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</si>
  <si>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</si>
  <si>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</si>
  <si>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78097</t>
  </si>
  <si>
    <t>78098</t>
  </si>
  <si>
    <t>78099</t>
  </si>
  <si>
    <t>78100</t>
  </si>
  <si>
    <t>78100A</t>
  </si>
  <si>
    <t>78101</t>
  </si>
  <si>
    <t>78102</t>
  </si>
  <si>
    <t>78103</t>
  </si>
  <si>
    <t>78104</t>
  </si>
  <si>
    <t>78106</t>
  </si>
  <si>
    <t>78106A</t>
  </si>
  <si>
    <t>78107</t>
  </si>
  <si>
    <t>78108</t>
  </si>
  <si>
    <t>78110</t>
  </si>
  <si>
    <t>78111</t>
  </si>
  <si>
    <t>78112</t>
  </si>
  <si>
    <t>78113</t>
  </si>
  <si>
    <t>78115</t>
  </si>
  <si>
    <t>78116</t>
  </si>
  <si>
    <t>78117</t>
  </si>
  <si>
    <t>78118</t>
  </si>
  <si>
    <t>78118A</t>
  </si>
  <si>
    <t>78118B</t>
  </si>
  <si>
    <t>78119</t>
  </si>
  <si>
    <t>78120</t>
  </si>
  <si>
    <t>78121</t>
  </si>
  <si>
    <t>78122</t>
  </si>
  <si>
    <t>78123</t>
  </si>
  <si>
    <t>78124</t>
  </si>
  <si>
    <t>78125</t>
  </si>
  <si>
    <t>78126</t>
  </si>
  <si>
    <t>78127</t>
  </si>
  <si>
    <t>78128</t>
  </si>
  <si>
    <t>78129</t>
  </si>
  <si>
    <t>78130</t>
  </si>
  <si>
    <t>78131</t>
  </si>
  <si>
    <t>78132</t>
  </si>
  <si>
    <t>78133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</si>
  <si>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</si>
  <si>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</si>
  <si>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</si>
  <si>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</si>
  <si>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</si>
  <si>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</si>
  <si>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</si>
  <si>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</si>
  <si>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</si>
  <si>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</si>
  <si>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</si>
  <si>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</si>
  <si>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</si>
  <si>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</si>
  <si>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</si>
  <si>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78149</t>
  </si>
  <si>
    <t>78150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</si>
  <si>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</si>
  <si>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</si>
  <si>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</si>
  <si>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</si>
  <si>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</si>
  <si>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</si>
  <si>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</si>
  <si>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</si>
  <si>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78158A</t>
  </si>
  <si>
    <t>78159</t>
  </si>
  <si>
    <t>78159A</t>
  </si>
  <si>
    <t>78160</t>
  </si>
  <si>
    <t>78161</t>
  </si>
  <si>
    <t>78162</t>
  </si>
  <si>
    <t>78163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</si>
  <si>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</si>
  <si>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</si>
  <si>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</si>
  <si>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</si>
  <si>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</si>
  <si>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</si>
  <si>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</si>
  <si>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</si>
  <si>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</si>
  <si>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</si>
  <si>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78173A</t>
  </si>
  <si>
    <t>78173B</t>
  </si>
  <si>
    <t>78174</t>
  </si>
  <si>
    <t>78174A</t>
  </si>
  <si>
    <t>78174B</t>
  </si>
  <si>
    <t>78175</t>
  </si>
  <si>
    <t>78176</t>
  </si>
  <si>
    <t>78177</t>
  </si>
  <si>
    <t>78178</t>
  </si>
  <si>
    <t>78179</t>
  </si>
  <si>
    <t>78180</t>
  </si>
  <si>
    <t>78181</t>
  </si>
  <si>
    <t>78182</t>
  </si>
  <si>
    <t>78183</t>
  </si>
  <si>
    <t>78184</t>
  </si>
  <si>
    <t>78185</t>
  </si>
  <si>
    <t>78186</t>
  </si>
  <si>
    <t>78186/CO</t>
  </si>
  <si>
    <t>78187</t>
  </si>
  <si>
    <t>78188</t>
  </si>
  <si>
    <t>78191</t>
  </si>
  <si>
    <t>78192</t>
  </si>
  <si>
    <t>78193</t>
  </si>
  <si>
    <t>78194</t>
  </si>
  <si>
    <t>78195</t>
  </si>
  <si>
    <t>78196</t>
  </si>
  <si>
    <t>78196A</t>
  </si>
  <si>
    <t>78197</t>
  </si>
  <si>
    <t>78199</t>
  </si>
  <si>
    <t>78200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</si>
  <si>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</si>
  <si>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</si>
  <si>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</si>
  <si>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</si>
  <si>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</si>
  <si>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</si>
  <si>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</si>
  <si>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</si>
  <si>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</si>
  <si>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</si>
  <si>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</si>
  <si>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</si>
  <si>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</si>
  <si>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</si>
  <si>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</si>
  <si>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</si>
  <si>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</si>
  <si>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</si>
  <si>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</si>
  <si>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</si>
  <si>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</si>
  <si>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</si>
  <si>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</si>
  <si>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</si>
  <si>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</si>
  <si>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</si>
  <si>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</si>
  <si>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</si>
  <si>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</si>
  <si>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</si>
  <si>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</si>
  <si>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</si>
  <si>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</si>
  <si>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</si>
  <si>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78234A</t>
  </si>
  <si>
    <t>78235</t>
  </si>
  <si>
    <t>78236</t>
  </si>
  <si>
    <t>78236A</t>
  </si>
  <si>
    <t>78237</t>
  </si>
  <si>
    <t>78238</t>
  </si>
  <si>
    <t>78239/CO</t>
  </si>
  <si>
    <t>78240</t>
  </si>
  <si>
    <t>78240A</t>
  </si>
  <si>
    <t>78240B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</si>
  <si>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</si>
  <si>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</si>
  <si>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</si>
  <si>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</si>
  <si>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</si>
  <si>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</si>
  <si>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</si>
  <si>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</si>
  <si>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</si>
  <si>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</si>
  <si>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</si>
  <si>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</si>
  <si>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</si>
  <si>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</si>
  <si>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</si>
  <si>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</si>
  <si>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</si>
  <si>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78257A</t>
  </si>
  <si>
    <t>78259</t>
  </si>
  <si>
    <t>78259A</t>
  </si>
  <si>
    <t>78260</t>
  </si>
  <si>
    <t>78260A</t>
  </si>
  <si>
    <t>78261</t>
  </si>
  <si>
    <t>78262</t>
  </si>
  <si>
    <t>78263</t>
  </si>
  <si>
    <t>78264</t>
  </si>
  <si>
    <t>78265</t>
  </si>
  <si>
    <t>78266</t>
  </si>
  <si>
    <t>78267</t>
  </si>
  <si>
    <t>78268</t>
  </si>
  <si>
    <t>78269</t>
  </si>
  <si>
    <t>78270</t>
  </si>
  <si>
    <t>78271</t>
  </si>
  <si>
    <t>78272</t>
  </si>
  <si>
    <t>78273</t>
  </si>
  <si>
    <t>78274</t>
  </si>
  <si>
    <t>78275</t>
  </si>
  <si>
    <t>78276</t>
  </si>
  <si>
    <t>78277</t>
  </si>
  <si>
    <t>78278</t>
  </si>
  <si>
    <t>78279</t>
  </si>
  <si>
    <t>78280</t>
  </si>
  <si>
    <t>78280A</t>
  </si>
  <si>
    <t>78281</t>
  </si>
  <si>
    <t>78281A</t>
  </si>
  <si>
    <t>78282</t>
  </si>
  <si>
    <t>78282A</t>
  </si>
  <si>
    <t>78283</t>
  </si>
  <si>
    <t>78283A</t>
  </si>
  <si>
    <t>78284</t>
  </si>
  <si>
    <t>78284A</t>
  </si>
  <si>
    <t>78286</t>
  </si>
  <si>
    <t>78287</t>
  </si>
  <si>
    <t>78288</t>
  </si>
  <si>
    <t>78289</t>
  </si>
  <si>
    <t>78289A</t>
  </si>
  <si>
    <t>78290</t>
  </si>
  <si>
    <t>78290A</t>
  </si>
  <si>
    <t>78291</t>
  </si>
  <si>
    <t>78292</t>
  </si>
  <si>
    <t>78293</t>
  </si>
  <si>
    <t>78293A</t>
  </si>
  <si>
    <t>78294</t>
  </si>
  <si>
    <t>78295</t>
  </si>
  <si>
    <t>78296</t>
  </si>
  <si>
    <t>78297</t>
  </si>
  <si>
    <t>78298</t>
  </si>
  <si>
    <t>78299</t>
  </si>
  <si>
    <t>78300</t>
  </si>
  <si>
    <t>78301</t>
  </si>
  <si>
    <t>78302</t>
  </si>
  <si>
    <t>78302/A</t>
  </si>
  <si>
    <t>78302/B</t>
  </si>
  <si>
    <t>78303</t>
  </si>
  <si>
    <t>78303/A</t>
  </si>
  <si>
    <t>78303/B</t>
  </si>
  <si>
    <t>78304</t>
  </si>
  <si>
    <t>78305</t>
  </si>
  <si>
    <t>78306</t>
  </si>
  <si>
    <t>78307</t>
  </si>
  <si>
    <t>78308</t>
  </si>
  <si>
    <t>78309</t>
  </si>
  <si>
    <t>78310</t>
  </si>
  <si>
    <t>78311</t>
  </si>
  <si>
    <t>78312</t>
  </si>
  <si>
    <t>78313</t>
  </si>
  <si>
    <t>78314</t>
  </si>
  <si>
    <t>78315</t>
  </si>
  <si>
    <t>78316</t>
  </si>
  <si>
    <t>78317</t>
  </si>
  <si>
    <t>78318</t>
  </si>
  <si>
    <t>78319</t>
  </si>
  <si>
    <t>78320</t>
  </si>
  <si>
    <t>78320A</t>
  </si>
  <si>
    <t>78321</t>
  </si>
  <si>
    <t>78322</t>
  </si>
  <si>
    <t>78323</t>
  </si>
  <si>
    <t>78324</t>
  </si>
  <si>
    <t>78325</t>
  </si>
  <si>
    <t>78325/A</t>
  </si>
  <si>
    <t>78325/B</t>
  </si>
  <si>
    <t>78326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</si>
  <si>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</si>
  <si>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</si>
  <si>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</si>
  <si>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</si>
  <si>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</si>
  <si>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</si>
  <si>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</si>
  <si>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</si>
  <si>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78336</t>
  </si>
  <si>
    <t>78337</t>
  </si>
  <si>
    <t>78338</t>
  </si>
  <si>
    <t>78340</t>
  </si>
  <si>
    <t>78340A</t>
  </si>
  <si>
    <t>78341</t>
  </si>
  <si>
    <t>78342</t>
  </si>
  <si>
    <t>78342A</t>
  </si>
  <si>
    <t>78342B</t>
  </si>
  <si>
    <t>78342C</t>
  </si>
  <si>
    <t>78343</t>
  </si>
  <si>
    <t>78344</t>
  </si>
  <si>
    <t>78345</t>
  </si>
  <si>
    <t>78347</t>
  </si>
  <si>
    <t>78348</t>
  </si>
  <si>
    <t>78348A</t>
  </si>
  <si>
    <t>78350</t>
  </si>
  <si>
    <t>78352</t>
  </si>
  <si>
    <t>78353</t>
  </si>
  <si>
    <t>78355</t>
  </si>
  <si>
    <t>78356</t>
  </si>
  <si>
    <t>78357</t>
  </si>
  <si>
    <t>78358</t>
  </si>
  <si>
    <t>78359</t>
  </si>
  <si>
    <t>78360</t>
  </si>
  <si>
    <t>78361</t>
  </si>
  <si>
    <t>78362</t>
  </si>
  <si>
    <t>78363</t>
  </si>
  <si>
    <t>78365</t>
  </si>
  <si>
    <t>78366</t>
  </si>
  <si>
    <t>78367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</si>
  <si>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</si>
  <si>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</si>
  <si>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</si>
  <si>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</si>
  <si>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</si>
  <si>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</si>
  <si>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</si>
  <si>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</si>
  <si>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</si>
  <si>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78378</t>
  </si>
  <si>
    <t>78379</t>
  </si>
  <si>
    <t>78380</t>
  </si>
  <si>
    <t>78383</t>
  </si>
  <si>
    <t>78384</t>
  </si>
  <si>
    <t>78385</t>
  </si>
  <si>
    <t>78386</t>
  </si>
  <si>
    <t>78386A</t>
  </si>
  <si>
    <t>78386B</t>
  </si>
  <si>
    <t>78388</t>
  </si>
  <si>
    <t>78389</t>
  </si>
  <si>
    <t>78390</t>
  </si>
  <si>
    <t>78391</t>
  </si>
  <si>
    <t>78392</t>
  </si>
  <si>
    <t>78393</t>
  </si>
  <si>
    <t>78394</t>
  </si>
  <si>
    <t>78394A</t>
  </si>
  <si>
    <t>78394B</t>
  </si>
  <si>
    <t>78396</t>
  </si>
  <si>
    <t>78397</t>
  </si>
  <si>
    <t>78398</t>
  </si>
  <si>
    <t>78399</t>
  </si>
  <si>
    <t>78400</t>
  </si>
  <si>
    <t>78401</t>
  </si>
  <si>
    <t>78402</t>
  </si>
  <si>
    <t>78405</t>
  </si>
  <si>
    <t>78407</t>
  </si>
  <si>
    <t>78418</t>
  </si>
  <si>
    <t>78419</t>
  </si>
  <si>
    <t>78419/CO</t>
  </si>
  <si>
    <t>78420</t>
  </si>
  <si>
    <t>78420A</t>
  </si>
  <si>
    <t>78420B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</si>
  <si>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</si>
  <si>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</si>
  <si>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</si>
  <si>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</si>
  <si>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</si>
  <si>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</si>
  <si>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</si>
  <si>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</si>
  <si>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</si>
  <si>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</si>
  <si>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</si>
  <si>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</si>
  <si>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</si>
  <si>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</si>
  <si>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</si>
  <si>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</si>
  <si>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</si>
  <si>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</si>
  <si>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</si>
  <si>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</si>
  <si>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</si>
  <si>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</si>
  <si>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</si>
  <si>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</si>
  <si>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</si>
  <si>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</si>
  <si>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</si>
  <si>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</si>
  <si>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</si>
  <si>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</si>
  <si>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</si>
  <si>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</si>
  <si>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</si>
  <si>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</si>
  <si>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</si>
  <si>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</si>
  <si>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</si>
  <si>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</si>
  <si>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</si>
  <si>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</si>
  <si>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</si>
  <si>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</si>
  <si>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</si>
  <si>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</si>
  <si>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</si>
  <si>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</si>
  <si>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</si>
  <si>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</si>
  <si>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</si>
  <si>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</si>
  <si>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</si>
  <si>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</si>
  <si>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</si>
  <si>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</si>
  <si>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</si>
  <si>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</si>
  <si>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</si>
  <si>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</si>
  <si>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78479</t>
  </si>
  <si>
    <t>78483</t>
  </si>
  <si>
    <t>78484</t>
  </si>
  <si>
    <t>78485</t>
  </si>
  <si>
    <t>78486</t>
  </si>
  <si>
    <t>78487</t>
  </si>
  <si>
    <t>78488</t>
  </si>
  <si>
    <t>78489</t>
  </si>
  <si>
    <t>78490</t>
  </si>
  <si>
    <t>78490/A</t>
  </si>
  <si>
    <t>78490/B</t>
  </si>
  <si>
    <t>78490A</t>
  </si>
  <si>
    <t>78490A/A</t>
  </si>
  <si>
    <t>78493</t>
  </si>
  <si>
    <t>78494</t>
  </si>
  <si>
    <t>78495</t>
  </si>
  <si>
    <t>78496</t>
  </si>
  <si>
    <t>78497</t>
  </si>
  <si>
    <t>78498</t>
  </si>
  <si>
    <t>78498A</t>
  </si>
  <si>
    <t>78498B</t>
  </si>
  <si>
    <t>78498C</t>
  </si>
  <si>
    <t>78498D</t>
  </si>
  <si>
    <t>78498E</t>
  </si>
  <si>
    <t>78498G</t>
  </si>
  <si>
    <t>78498H</t>
  </si>
  <si>
    <t>78498I</t>
  </si>
  <si>
    <t>78498J</t>
  </si>
  <si>
    <t>78498K</t>
  </si>
  <si>
    <t>78498L</t>
  </si>
  <si>
    <t>78498M</t>
  </si>
  <si>
    <t>78499</t>
  </si>
  <si>
    <t>78499A</t>
  </si>
  <si>
    <t>78499B</t>
  </si>
  <si>
    <t>78499C</t>
  </si>
  <si>
    <t>78499D</t>
  </si>
  <si>
    <t>78499E</t>
  </si>
  <si>
    <t>78499F</t>
  </si>
  <si>
    <t>78499G</t>
  </si>
  <si>
    <t>78499H</t>
  </si>
  <si>
    <t>78499I</t>
  </si>
  <si>
    <t>78499J</t>
  </si>
  <si>
    <t>78499K</t>
  </si>
  <si>
    <t>78499L</t>
  </si>
  <si>
    <t>78500</t>
  </si>
  <si>
    <t>78501</t>
  </si>
  <si>
    <t>78501A</t>
  </si>
  <si>
    <t>78502</t>
  </si>
  <si>
    <t>78502A</t>
  </si>
  <si>
    <t>78503</t>
  </si>
  <si>
    <t>78504</t>
  </si>
  <si>
    <t>78505</t>
  </si>
  <si>
    <t>78506</t>
  </si>
  <si>
    <t>78507</t>
  </si>
  <si>
    <t>78509</t>
  </si>
  <si>
    <t>78509A</t>
  </si>
  <si>
    <t>78509B</t>
  </si>
  <si>
    <t>78510</t>
  </si>
  <si>
    <t>78511</t>
  </si>
  <si>
    <t>78511A</t>
  </si>
  <si>
    <t>78511B</t>
  </si>
  <si>
    <t>78511C</t>
  </si>
  <si>
    <t>78511D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</si>
  <si>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</si>
  <si>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</si>
  <si>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</si>
  <si>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</si>
  <si>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</si>
  <si>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</si>
  <si>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</si>
  <si>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</si>
  <si>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</si>
  <si>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</si>
  <si>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</si>
  <si>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</si>
  <si>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</si>
  <si>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</si>
  <si>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</si>
  <si>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</si>
  <si>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</si>
  <si>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78529</t>
  </si>
  <si>
    <t>78530</t>
  </si>
  <si>
    <t>78531</t>
  </si>
  <si>
    <t>78532</t>
  </si>
  <si>
    <t>78533</t>
  </si>
  <si>
    <t>78534</t>
  </si>
  <si>
    <t>78535</t>
  </si>
  <si>
    <t>78536</t>
  </si>
  <si>
    <t>78537</t>
  </si>
  <si>
    <t>78537A</t>
  </si>
  <si>
    <t>78538</t>
  </si>
  <si>
    <t>78540</t>
  </si>
  <si>
    <t>78541</t>
  </si>
  <si>
    <t>78541A</t>
  </si>
  <si>
    <t>78542</t>
  </si>
  <si>
    <t>78543</t>
  </si>
  <si>
    <t>78544</t>
  </si>
  <si>
    <t>78545</t>
  </si>
  <si>
    <t>78546</t>
  </si>
  <si>
    <t>78553</t>
  </si>
  <si>
    <t>78554</t>
  </si>
  <si>
    <t>78555</t>
  </si>
  <si>
    <t>78557</t>
  </si>
  <si>
    <t>78558</t>
  </si>
  <si>
    <t>78559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</si>
  <si>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</si>
  <si>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</si>
  <si>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</si>
  <si>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</si>
  <si>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</si>
  <si>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</si>
  <si>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</si>
  <si>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</si>
  <si>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</si>
  <si>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</si>
  <si>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</si>
  <si>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</si>
  <si>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</si>
  <si>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</si>
  <si>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</si>
  <si>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</si>
  <si>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</si>
  <si>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</si>
  <si>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78578A</t>
  </si>
  <si>
    <t>78579</t>
  </si>
  <si>
    <t>78579A</t>
  </si>
  <si>
    <t>78580</t>
  </si>
  <si>
    <t>78581</t>
  </si>
  <si>
    <t>78582</t>
  </si>
  <si>
    <t>78585</t>
  </si>
  <si>
    <t>78587</t>
  </si>
  <si>
    <t>78588</t>
  </si>
  <si>
    <t>78590</t>
  </si>
  <si>
    <t>78591</t>
  </si>
  <si>
    <t>78591A</t>
  </si>
  <si>
    <t>78592</t>
  </si>
  <si>
    <t>78593</t>
  </si>
  <si>
    <t>78594</t>
  </si>
  <si>
    <t>78594A</t>
  </si>
  <si>
    <t>78596</t>
  </si>
  <si>
    <t>78597</t>
  </si>
  <si>
    <t>78598</t>
  </si>
  <si>
    <t>78599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</si>
  <si>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</si>
  <si>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</si>
  <si>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</si>
  <si>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</si>
  <si>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</si>
  <si>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</si>
  <si>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</si>
  <si>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</si>
  <si>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</si>
  <si>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</si>
  <si>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</si>
  <si>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</si>
  <si>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78611A</t>
  </si>
  <si>
    <t>78612</t>
  </si>
  <si>
    <t>78613</t>
  </si>
  <si>
    <t>78614</t>
  </si>
  <si>
    <t>78615</t>
  </si>
  <si>
    <t>78616</t>
  </si>
  <si>
    <t>78618</t>
  </si>
  <si>
    <t>78619</t>
  </si>
  <si>
    <t>78620</t>
  </si>
  <si>
    <t>78621</t>
  </si>
  <si>
    <t>78622</t>
  </si>
  <si>
    <t>78623</t>
  </si>
  <si>
    <t>78625</t>
  </si>
  <si>
    <t>78626</t>
  </si>
  <si>
    <t>78626A</t>
  </si>
  <si>
    <t>78626B</t>
  </si>
  <si>
    <t>78627</t>
  </si>
  <si>
    <t>78628</t>
  </si>
  <si>
    <t>78630</t>
  </si>
  <si>
    <t>78630A</t>
  </si>
  <si>
    <t>78631</t>
  </si>
  <si>
    <t>78631A</t>
  </si>
  <si>
    <t>78632</t>
  </si>
  <si>
    <t>78633</t>
  </si>
  <si>
    <t>78634</t>
  </si>
  <si>
    <t>78635</t>
  </si>
  <si>
    <t>78636</t>
  </si>
  <si>
    <t>78636A</t>
  </si>
  <si>
    <t>78637</t>
  </si>
  <si>
    <t>78639</t>
  </si>
  <si>
    <t>78640</t>
  </si>
  <si>
    <t>78641</t>
  </si>
  <si>
    <t>78642</t>
  </si>
  <si>
    <t>78643</t>
  </si>
  <si>
    <t>78644</t>
  </si>
  <si>
    <t>78646</t>
  </si>
  <si>
    <t>78647</t>
  </si>
  <si>
    <t>78654</t>
  </si>
  <si>
    <t>78657</t>
  </si>
  <si>
    <t>78657A</t>
  </si>
  <si>
    <t>78658</t>
  </si>
  <si>
    <t>78658A</t>
  </si>
  <si>
    <t>78659</t>
  </si>
  <si>
    <t>78660</t>
  </si>
  <si>
    <t>78661</t>
  </si>
  <si>
    <t>78662</t>
  </si>
  <si>
    <t>78663</t>
  </si>
  <si>
    <t>78664</t>
  </si>
  <si>
    <t>78666</t>
  </si>
  <si>
    <t>78667</t>
  </si>
  <si>
    <t>78668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</si>
  <si>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</si>
  <si>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</si>
  <si>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</si>
  <si>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</si>
  <si>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</si>
  <si>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</si>
  <si>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</si>
  <si>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</si>
  <si>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</si>
  <si>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78678</t>
  </si>
  <si>
    <t>78679</t>
  </si>
  <si>
    <t>78680</t>
  </si>
  <si>
    <t>78680A</t>
  </si>
  <si>
    <t>78680B</t>
  </si>
  <si>
    <t>78681</t>
  </si>
  <si>
    <t>78682</t>
  </si>
  <si>
    <t>78683</t>
  </si>
  <si>
    <t>78684</t>
  </si>
  <si>
    <t>78686</t>
  </si>
  <si>
    <t>78688</t>
  </si>
  <si>
    <t>78689</t>
  </si>
  <si>
    <t>78690</t>
  </si>
  <si>
    <t>78691</t>
  </si>
  <si>
    <t>78692</t>
  </si>
  <si>
    <t>78693</t>
  </si>
  <si>
    <t>78694</t>
  </si>
  <si>
    <t>78695</t>
  </si>
  <si>
    <t>78696</t>
  </si>
  <si>
    <t>78697</t>
  </si>
  <si>
    <t>78699</t>
  </si>
  <si>
    <t>78700</t>
  </si>
  <si>
    <t>78701</t>
  </si>
  <si>
    <t>78702</t>
  </si>
  <si>
    <t>78703</t>
  </si>
  <si>
    <t>78704</t>
  </si>
  <si>
    <t>78705</t>
  </si>
  <si>
    <t>78706</t>
  </si>
  <si>
    <t>78707</t>
  </si>
  <si>
    <t>78708</t>
  </si>
  <si>
    <t>78708A</t>
  </si>
  <si>
    <t>78708B</t>
  </si>
  <si>
    <t>78709</t>
  </si>
  <si>
    <t>78710</t>
  </si>
  <si>
    <t>78711</t>
  </si>
  <si>
    <t>78712</t>
  </si>
  <si>
    <t>78713</t>
  </si>
  <si>
    <t>78714</t>
  </si>
  <si>
    <t>78715</t>
  </si>
  <si>
    <t>78716</t>
  </si>
  <si>
    <t>78717</t>
  </si>
  <si>
    <t>78717A</t>
  </si>
  <si>
    <t>78718</t>
  </si>
  <si>
    <t>78718A</t>
  </si>
  <si>
    <t>78718B</t>
  </si>
  <si>
    <t>78719</t>
  </si>
  <si>
    <t>78721</t>
  </si>
  <si>
    <t>78722</t>
  </si>
  <si>
    <t>78724</t>
  </si>
  <si>
    <t>78725</t>
  </si>
  <si>
    <t>78725A</t>
  </si>
  <si>
    <t>78726</t>
  </si>
  <si>
    <t>78727</t>
  </si>
  <si>
    <t>78728</t>
  </si>
  <si>
    <t>78729</t>
  </si>
  <si>
    <t>78730</t>
  </si>
  <si>
    <t>78731</t>
  </si>
  <si>
    <t>78732</t>
  </si>
  <si>
    <t>78734</t>
  </si>
  <si>
    <t>78735</t>
  </si>
  <si>
    <t>78736</t>
  </si>
  <si>
    <t>78736A</t>
  </si>
  <si>
    <t>78737</t>
  </si>
  <si>
    <t>78738</t>
  </si>
  <si>
    <t>78738A</t>
  </si>
  <si>
    <t>78739</t>
  </si>
  <si>
    <t>78740</t>
  </si>
  <si>
    <t>78741</t>
  </si>
  <si>
    <t>78742</t>
  </si>
  <si>
    <t>78742A</t>
  </si>
  <si>
    <t>78743</t>
  </si>
  <si>
    <t>78743A</t>
  </si>
  <si>
    <t>78743B</t>
  </si>
  <si>
    <t>78744</t>
  </si>
  <si>
    <t>78745</t>
  </si>
  <si>
    <t>78745/1</t>
  </si>
  <si>
    <t>78745/A</t>
  </si>
  <si>
    <t>78745/B</t>
  </si>
  <si>
    <t>78745/C</t>
  </si>
  <si>
    <t>78746</t>
  </si>
  <si>
    <t>78746/1</t>
  </si>
  <si>
    <t>78746/A</t>
  </si>
  <si>
    <t>78746/B</t>
  </si>
  <si>
    <t>78746/C</t>
  </si>
  <si>
    <t>78747</t>
  </si>
  <si>
    <t>78748</t>
  </si>
  <si>
    <t>78749</t>
  </si>
  <si>
    <t>78750</t>
  </si>
  <si>
    <t>78751</t>
  </si>
  <si>
    <t>78753</t>
  </si>
  <si>
    <t>78754</t>
  </si>
  <si>
    <t>78755</t>
  </si>
  <si>
    <t>78756</t>
  </si>
  <si>
    <t>78758</t>
  </si>
  <si>
    <t>78759</t>
  </si>
  <si>
    <t>78760</t>
  </si>
  <si>
    <t>78761</t>
  </si>
  <si>
    <t>78761A</t>
  </si>
  <si>
    <t>78761B</t>
  </si>
  <si>
    <t>78762</t>
  </si>
  <si>
    <t>78763</t>
  </si>
  <si>
    <t>78764</t>
  </si>
  <si>
    <t>78765</t>
  </si>
  <si>
    <t>78766</t>
  </si>
  <si>
    <t>78767</t>
  </si>
  <si>
    <t>78768</t>
  </si>
  <si>
    <t>78769</t>
  </si>
  <si>
    <t>78770</t>
  </si>
  <si>
    <t>78771</t>
  </si>
  <si>
    <t>78772</t>
  </si>
  <si>
    <t>78773</t>
  </si>
  <si>
    <t>78774</t>
  </si>
  <si>
    <t>78776</t>
  </si>
  <si>
    <t>78777</t>
  </si>
  <si>
    <t>78778</t>
  </si>
  <si>
    <t>78779</t>
  </si>
  <si>
    <t>78781</t>
  </si>
  <si>
    <t>78782</t>
  </si>
  <si>
    <t>78783</t>
  </si>
  <si>
    <t>78784</t>
  </si>
  <si>
    <t>78785</t>
  </si>
  <si>
    <t>78785A</t>
  </si>
  <si>
    <t>78785B</t>
  </si>
  <si>
    <t>78786</t>
  </si>
  <si>
    <t>78787</t>
  </si>
  <si>
    <t>78787A</t>
  </si>
  <si>
    <t>78788</t>
  </si>
  <si>
    <t>78789</t>
  </si>
  <si>
    <t>78790</t>
  </si>
  <si>
    <t>78791</t>
  </si>
  <si>
    <t>78792</t>
  </si>
  <si>
    <t>78793</t>
  </si>
  <si>
    <t>78794</t>
  </si>
  <si>
    <t>78795</t>
  </si>
  <si>
    <t>78796</t>
  </si>
  <si>
    <t>78797</t>
  </si>
  <si>
    <t>78798</t>
  </si>
  <si>
    <t>78799</t>
  </si>
  <si>
    <t>78800</t>
  </si>
  <si>
    <t>78801</t>
  </si>
  <si>
    <t>78802</t>
  </si>
  <si>
    <t>78803</t>
  </si>
  <si>
    <t>78804</t>
  </si>
  <si>
    <t>78805</t>
  </si>
  <si>
    <t>78806</t>
  </si>
  <si>
    <t>78807</t>
  </si>
  <si>
    <t>78807A</t>
  </si>
  <si>
    <t>78808</t>
  </si>
  <si>
    <t>78809</t>
  </si>
  <si>
    <t>78810</t>
  </si>
  <si>
    <t>78811</t>
  </si>
  <si>
    <t>78812</t>
  </si>
  <si>
    <t>78813</t>
  </si>
  <si>
    <t>78814</t>
  </si>
  <si>
    <t>78815</t>
  </si>
  <si>
    <t>78816</t>
  </si>
  <si>
    <t>78817</t>
  </si>
  <si>
    <t>78818</t>
  </si>
  <si>
    <t>78819</t>
  </si>
  <si>
    <t>78820</t>
  </si>
  <si>
    <t>78821</t>
  </si>
  <si>
    <t>78822</t>
  </si>
  <si>
    <t>78823</t>
  </si>
  <si>
    <t>78824</t>
  </si>
  <si>
    <t>78825</t>
  </si>
  <si>
    <t>78826</t>
  </si>
  <si>
    <t>78827</t>
  </si>
  <si>
    <t>78828</t>
  </si>
  <si>
    <t>78829</t>
  </si>
  <si>
    <t>78830</t>
  </si>
  <si>
    <t>78831</t>
  </si>
  <si>
    <t>78834</t>
  </si>
  <si>
    <t>78835</t>
  </si>
  <si>
    <t>78836</t>
  </si>
  <si>
    <t>78837</t>
  </si>
  <si>
    <t>78837A</t>
  </si>
  <si>
    <t>78838</t>
  </si>
  <si>
    <t>78838A</t>
  </si>
  <si>
    <t>78839</t>
  </si>
  <si>
    <t>78840</t>
  </si>
  <si>
    <t>78841</t>
  </si>
  <si>
    <t>78842</t>
  </si>
  <si>
    <t>78844</t>
  </si>
  <si>
    <t>78845</t>
  </si>
  <si>
    <t>78846</t>
  </si>
  <si>
    <t>78847</t>
  </si>
  <si>
    <t>78848</t>
  </si>
  <si>
    <t>78849</t>
  </si>
  <si>
    <t>78850</t>
  </si>
  <si>
    <t>78851</t>
  </si>
  <si>
    <t>78852</t>
  </si>
  <si>
    <t>78853</t>
  </si>
  <si>
    <t>78854</t>
  </si>
  <si>
    <t>78855</t>
  </si>
  <si>
    <t>78857</t>
  </si>
  <si>
    <t>78860</t>
  </si>
  <si>
    <t>78861</t>
  </si>
  <si>
    <t>78862</t>
  </si>
  <si>
    <t>78863</t>
  </si>
  <si>
    <t>78864</t>
  </si>
  <si>
    <t>78865</t>
  </si>
  <si>
    <t>78866</t>
  </si>
  <si>
    <t>78867</t>
  </si>
  <si>
    <t>78868</t>
  </si>
  <si>
    <t>78869</t>
  </si>
  <si>
    <t>78871</t>
  </si>
  <si>
    <t>78873</t>
  </si>
  <si>
    <t>78874</t>
  </si>
  <si>
    <t>78875</t>
  </si>
  <si>
    <t>78878</t>
  </si>
  <si>
    <t>78879</t>
  </si>
  <si>
    <t>78880</t>
  </si>
  <si>
    <t>78881</t>
  </si>
  <si>
    <t>78882</t>
  </si>
  <si>
    <t>78883</t>
  </si>
  <si>
    <t>78884</t>
  </si>
  <si>
    <t>78885</t>
  </si>
  <si>
    <t>78886</t>
  </si>
  <si>
    <t>78887</t>
  </si>
  <si>
    <t>78888</t>
  </si>
  <si>
    <t>78889</t>
  </si>
  <si>
    <t>78890</t>
  </si>
  <si>
    <t>78891</t>
  </si>
  <si>
    <t>78892</t>
  </si>
  <si>
    <t>78893</t>
  </si>
  <si>
    <t>78893A</t>
  </si>
  <si>
    <t>78893B</t>
  </si>
  <si>
    <t>78894</t>
  </si>
  <si>
    <t>78895</t>
  </si>
  <si>
    <t>78896</t>
  </si>
  <si>
    <t>78897</t>
  </si>
  <si>
    <t>78897A</t>
  </si>
  <si>
    <t>78898</t>
  </si>
  <si>
    <t>78899</t>
  </si>
  <si>
    <t>78900</t>
  </si>
  <si>
    <t>78901</t>
  </si>
  <si>
    <t>78902</t>
  </si>
  <si>
    <t>78903</t>
  </si>
  <si>
    <t>78904</t>
  </si>
  <si>
    <t>78905</t>
  </si>
  <si>
    <t>78905A</t>
  </si>
  <si>
    <t>78905B</t>
  </si>
  <si>
    <t>78906</t>
  </si>
  <si>
    <t>78907</t>
  </si>
  <si>
    <t>78907A</t>
  </si>
  <si>
    <t>78907B</t>
  </si>
  <si>
    <t>78908</t>
  </si>
  <si>
    <t>78909</t>
  </si>
  <si>
    <t>78910</t>
  </si>
  <si>
    <t>78911</t>
  </si>
  <si>
    <t>78912</t>
  </si>
  <si>
    <t>78913</t>
  </si>
  <si>
    <t>78914</t>
  </si>
  <si>
    <t>78915</t>
  </si>
  <si>
    <t>78916</t>
  </si>
  <si>
    <t>78917</t>
  </si>
  <si>
    <t>78918</t>
  </si>
  <si>
    <t>78919</t>
  </si>
  <si>
    <t>78920</t>
  </si>
  <si>
    <t>78921</t>
  </si>
  <si>
    <t>78922</t>
  </si>
  <si>
    <t>78923</t>
  </si>
  <si>
    <t>78924</t>
  </si>
  <si>
    <t>78925</t>
  </si>
  <si>
    <t>78926</t>
  </si>
  <si>
    <t>78927</t>
  </si>
  <si>
    <t>78928</t>
  </si>
  <si>
    <t>78929</t>
  </si>
  <si>
    <t>78930</t>
  </si>
  <si>
    <t>78931</t>
  </si>
  <si>
    <t>78932</t>
  </si>
  <si>
    <t>78933</t>
  </si>
  <si>
    <t>78934</t>
  </si>
  <si>
    <t>78935</t>
  </si>
  <si>
    <t>78935A</t>
  </si>
  <si>
    <t>78935C</t>
  </si>
  <si>
    <t>78935D</t>
  </si>
  <si>
    <t>78935E</t>
  </si>
  <si>
    <t>78936</t>
  </si>
  <si>
    <t>78937</t>
  </si>
  <si>
    <t>78937A</t>
  </si>
  <si>
    <t>78937C</t>
  </si>
  <si>
    <t>78938</t>
  </si>
  <si>
    <t>78938A</t>
  </si>
  <si>
    <t>78938C</t>
  </si>
  <si>
    <t>78938D</t>
  </si>
  <si>
    <t>78938E</t>
  </si>
  <si>
    <t>78939</t>
  </si>
  <si>
    <t>78939A</t>
  </si>
  <si>
    <t>78939B</t>
  </si>
  <si>
    <t>78939C</t>
  </si>
  <si>
    <t>78939D</t>
  </si>
  <si>
    <t>78939E</t>
  </si>
  <si>
    <t>78940</t>
  </si>
  <si>
    <t>78940A</t>
  </si>
  <si>
    <t>78941</t>
  </si>
  <si>
    <t>78942</t>
  </si>
  <si>
    <t>78943</t>
  </si>
  <si>
    <t>78944</t>
  </si>
  <si>
    <t>78945</t>
  </si>
  <si>
    <t>78946</t>
  </si>
  <si>
    <t>78947</t>
  </si>
  <si>
    <t>78948</t>
  </si>
  <si>
    <t>78948A</t>
  </si>
  <si>
    <t>78948C</t>
  </si>
  <si>
    <t>78949</t>
  </si>
  <si>
    <t>78950</t>
  </si>
  <si>
    <t>78951</t>
  </si>
  <si>
    <t>78952</t>
  </si>
  <si>
    <t>78953</t>
  </si>
  <si>
    <t>78954</t>
  </si>
  <si>
    <t>78955</t>
  </si>
  <si>
    <t>78956</t>
  </si>
  <si>
    <t>78957</t>
  </si>
  <si>
    <t>78958</t>
  </si>
  <si>
    <t>78959</t>
  </si>
  <si>
    <t>78960</t>
  </si>
  <si>
    <t>78961</t>
  </si>
  <si>
    <t>78962</t>
  </si>
  <si>
    <t>78963</t>
  </si>
  <si>
    <t>78963/A</t>
  </si>
  <si>
    <t>78963/B</t>
  </si>
  <si>
    <t>78964</t>
  </si>
  <si>
    <t>78965</t>
  </si>
  <si>
    <t>78966</t>
  </si>
  <si>
    <t>78967</t>
  </si>
  <si>
    <t>78968</t>
  </si>
  <si>
    <t>78969</t>
  </si>
  <si>
    <t>78970</t>
  </si>
  <si>
    <t>78971</t>
  </si>
  <si>
    <t>78972</t>
  </si>
  <si>
    <t>78973</t>
  </si>
  <si>
    <t>78974</t>
  </si>
  <si>
    <t>78975</t>
  </si>
  <si>
    <t>78976</t>
  </si>
  <si>
    <t>78977</t>
  </si>
  <si>
    <t>78978</t>
  </si>
  <si>
    <t>78979</t>
  </si>
  <si>
    <t>78980</t>
  </si>
  <si>
    <t>78981</t>
  </si>
  <si>
    <t>78982</t>
  </si>
  <si>
    <t>78983</t>
  </si>
  <si>
    <t>78984</t>
  </si>
  <si>
    <t>78985</t>
  </si>
  <si>
    <t>78985A</t>
  </si>
  <si>
    <t>78985B</t>
  </si>
  <si>
    <t>78986</t>
  </si>
  <si>
    <t>78987</t>
  </si>
  <si>
    <t>78988</t>
  </si>
  <si>
    <t>78989</t>
  </si>
  <si>
    <t>78990A</t>
  </si>
  <si>
    <t>78991</t>
  </si>
  <si>
    <t>78992</t>
  </si>
  <si>
    <t>78993</t>
  </si>
  <si>
    <t>78994</t>
  </si>
  <si>
    <t>78995</t>
  </si>
  <si>
    <t>78996</t>
  </si>
  <si>
    <t>78997</t>
  </si>
  <si>
    <t>78998</t>
  </si>
  <si>
    <t>78999</t>
  </si>
  <si>
    <t>78999A</t>
  </si>
  <si>
    <t>79000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</si>
  <si>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</si>
  <si>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</si>
  <si>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</si>
  <si>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</si>
  <si>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</si>
  <si>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</si>
  <si>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</si>
  <si>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</si>
  <si>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</si>
  <si>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</si>
  <si>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</si>
  <si>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</si>
  <si>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</si>
  <si>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79015</t>
  </si>
  <si>
    <t>79016/CO</t>
  </si>
  <si>
    <t>79017</t>
  </si>
  <si>
    <t>79017A</t>
  </si>
  <si>
    <t>79018</t>
  </si>
  <si>
    <t>79018A</t>
  </si>
  <si>
    <t>79018B</t>
  </si>
  <si>
    <t>79019</t>
  </si>
  <si>
    <t>79019A</t>
  </si>
  <si>
    <t>79020</t>
  </si>
  <si>
    <t>79020A</t>
  </si>
  <si>
    <t>79021</t>
  </si>
  <si>
    <t>79021A</t>
  </si>
  <si>
    <t>79022</t>
  </si>
  <si>
    <t>79022A</t>
  </si>
  <si>
    <t>79022B</t>
  </si>
  <si>
    <t>79023</t>
  </si>
  <si>
    <t>79023A</t>
  </si>
  <si>
    <t>79024</t>
  </si>
  <si>
    <t>79025</t>
  </si>
  <si>
    <t>79026</t>
  </si>
  <si>
    <t>79027</t>
  </si>
  <si>
    <t>79028</t>
  </si>
  <si>
    <t>79029</t>
  </si>
  <si>
    <t>79029A</t>
  </si>
  <si>
    <t>79030</t>
  </si>
  <si>
    <t>79031</t>
  </si>
  <si>
    <t>79032</t>
  </si>
  <si>
    <t>79033</t>
  </si>
  <si>
    <t>79034</t>
  </si>
  <si>
    <t>79035</t>
  </si>
  <si>
    <t>79035A</t>
  </si>
  <si>
    <t>79036</t>
  </si>
  <si>
    <t>79036A</t>
  </si>
  <si>
    <t>79037</t>
  </si>
  <si>
    <t>79037A</t>
  </si>
  <si>
    <t>79038</t>
  </si>
  <si>
    <t>79038A</t>
  </si>
  <si>
    <t>79039</t>
  </si>
  <si>
    <t>79040</t>
  </si>
  <si>
    <t>79041</t>
  </si>
  <si>
    <t>79042</t>
  </si>
  <si>
    <t>79043</t>
  </si>
  <si>
    <t>79043A</t>
  </si>
  <si>
    <t>79043B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</si>
  <si>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</si>
  <si>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</si>
  <si>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</si>
  <si>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</si>
  <si>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</si>
  <si>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</si>
  <si>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</si>
  <si>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</si>
  <si>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79051A</t>
  </si>
  <si>
    <t>79051B</t>
  </si>
  <si>
    <t>79052</t>
  </si>
  <si>
    <t>79053</t>
  </si>
  <si>
    <t>79054</t>
  </si>
  <si>
    <t>79054A</t>
  </si>
  <si>
    <t>79054B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</si>
  <si>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</si>
  <si>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</si>
  <si>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</si>
  <si>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</si>
  <si>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</si>
  <si>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</si>
  <si>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</si>
  <si>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</si>
  <si>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79064</t>
  </si>
  <si>
    <t>79072</t>
  </si>
  <si>
    <t>79073</t>
  </si>
  <si>
    <t>79073A</t>
  </si>
  <si>
    <t>79074</t>
  </si>
  <si>
    <t>79075</t>
  </si>
  <si>
    <t>79076</t>
  </si>
  <si>
    <t>79077</t>
  </si>
  <si>
    <t>79078</t>
  </si>
  <si>
    <t>79079</t>
  </si>
  <si>
    <t>79080</t>
  </si>
  <si>
    <t>79080A</t>
  </si>
  <si>
    <t>79081</t>
  </si>
  <si>
    <t>79082</t>
  </si>
  <si>
    <t>79084</t>
  </si>
  <si>
    <t>79085</t>
  </si>
  <si>
    <t>79086</t>
  </si>
  <si>
    <t>79087</t>
  </si>
  <si>
    <t>79088</t>
  </si>
  <si>
    <t>79088A</t>
  </si>
  <si>
    <t>79088B</t>
  </si>
  <si>
    <t>79089</t>
  </si>
  <si>
    <t>79090</t>
  </si>
  <si>
    <t>79090A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</si>
  <si>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</si>
  <si>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</si>
  <si>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</si>
  <si>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</si>
  <si>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</si>
  <si>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</si>
  <si>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</si>
  <si>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</si>
  <si>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</si>
  <si>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</si>
  <si>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</si>
  <si>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</si>
  <si>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</si>
  <si>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</si>
  <si>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79104A</t>
  </si>
  <si>
    <t>79104B</t>
  </si>
  <si>
    <t>79104C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</si>
  <si>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</si>
  <si>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</si>
  <si>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</si>
  <si>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</si>
  <si>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</si>
  <si>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</si>
  <si>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</si>
  <si>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</si>
  <si>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</si>
  <si>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</si>
  <si>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</si>
  <si>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</si>
  <si>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</si>
  <si>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</si>
  <si>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</si>
  <si>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</si>
  <si>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</si>
  <si>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</si>
  <si>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</si>
  <si>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</si>
  <si>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</si>
  <si>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</si>
  <si>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</si>
  <si>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</si>
  <si>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</si>
  <si>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</si>
  <si>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79130A</t>
  </si>
  <si>
    <t>79131</t>
  </si>
  <si>
    <t>79132</t>
  </si>
  <si>
    <t>79132A</t>
  </si>
  <si>
    <t>79133</t>
  </si>
  <si>
    <t>79133A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</si>
  <si>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</si>
  <si>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</si>
  <si>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</si>
  <si>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</si>
  <si>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</si>
  <si>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</si>
  <si>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</si>
  <si>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</si>
  <si>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</si>
  <si>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</si>
  <si>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</si>
  <si>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79144A</t>
  </si>
  <si>
    <t>79145</t>
  </si>
  <si>
    <t>79146</t>
  </si>
  <si>
    <t>79147</t>
  </si>
  <si>
    <t>79148</t>
  </si>
  <si>
    <t>79149</t>
  </si>
  <si>
    <t>79150</t>
  </si>
  <si>
    <t>79150A</t>
  </si>
  <si>
    <t>79154</t>
  </si>
  <si>
    <t>79155</t>
  </si>
  <si>
    <t>79156</t>
  </si>
  <si>
    <t>79157</t>
  </si>
  <si>
    <t>79157A</t>
  </si>
  <si>
    <t>79158</t>
  </si>
  <si>
    <t>79159</t>
  </si>
  <si>
    <t>79160</t>
  </si>
  <si>
    <t>79160A</t>
  </si>
  <si>
    <t>79160B</t>
  </si>
  <si>
    <t>79161</t>
  </si>
  <si>
    <t>79162</t>
  </si>
  <si>
    <t>79163</t>
  </si>
  <si>
    <t>79164</t>
  </si>
  <si>
    <t>79165</t>
  </si>
  <si>
    <t>79166</t>
  </si>
  <si>
    <t>79166/A</t>
  </si>
  <si>
    <t>79166A</t>
  </si>
  <si>
    <t>79167</t>
  </si>
  <si>
    <t>79167/A</t>
  </si>
  <si>
    <t>79167A</t>
  </si>
  <si>
    <t>79168</t>
  </si>
  <si>
    <t>79168/A</t>
  </si>
  <si>
    <t>79168A</t>
  </si>
  <si>
    <t>79169</t>
  </si>
  <si>
    <t>79169/A</t>
  </si>
  <si>
    <t>79169A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</si>
  <si>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</si>
  <si>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</si>
  <si>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</si>
  <si>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</si>
  <si>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</si>
  <si>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</si>
  <si>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</si>
  <si>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</si>
  <si>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</si>
  <si>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</si>
  <si>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79179A</t>
  </si>
  <si>
    <t>79182</t>
  </si>
  <si>
    <t>79184</t>
  </si>
  <si>
    <t>79185</t>
  </si>
  <si>
    <t>79186</t>
  </si>
  <si>
    <t>79187</t>
  </si>
  <si>
    <t>79188</t>
  </si>
  <si>
    <t>79188A</t>
  </si>
  <si>
    <t>79188B</t>
  </si>
  <si>
    <t>79189</t>
  </si>
  <si>
    <t>79190</t>
  </si>
  <si>
    <t>79191</t>
  </si>
  <si>
    <t>79192</t>
  </si>
  <si>
    <t>79193</t>
  </si>
  <si>
    <t>79194</t>
  </si>
  <si>
    <t>79195</t>
  </si>
  <si>
    <t>79195A</t>
  </si>
  <si>
    <t>79197</t>
  </si>
  <si>
    <t>79198</t>
  </si>
  <si>
    <t>79198A</t>
  </si>
  <si>
    <t>79199</t>
  </si>
  <si>
    <t>79201</t>
  </si>
  <si>
    <t>79202</t>
  </si>
  <si>
    <t>79206</t>
  </si>
  <si>
    <t>79207</t>
  </si>
  <si>
    <t>79208</t>
  </si>
  <si>
    <t>79210</t>
  </si>
  <si>
    <t>79211</t>
  </si>
  <si>
    <t>79212</t>
  </si>
  <si>
    <t>79213</t>
  </si>
  <si>
    <t>79214</t>
  </si>
  <si>
    <t>79215</t>
  </si>
  <si>
    <t>79217</t>
  </si>
  <si>
    <t>79217A</t>
  </si>
  <si>
    <t>79217B</t>
  </si>
  <si>
    <t>79217C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</si>
  <si>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</si>
  <si>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</si>
  <si>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</si>
  <si>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</si>
  <si>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</si>
  <si>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</si>
  <si>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</si>
  <si>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</si>
  <si>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</si>
  <si>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</si>
  <si>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</si>
  <si>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</si>
  <si>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</si>
  <si>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</si>
  <si>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79231A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</si>
  <si>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</si>
  <si>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</si>
  <si>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</si>
  <si>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</si>
  <si>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</si>
  <si>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</si>
  <si>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</si>
  <si>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</si>
  <si>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</si>
  <si>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</si>
  <si>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79241A</t>
  </si>
  <si>
    <t>79241B</t>
  </si>
  <si>
    <t>79241C</t>
  </si>
  <si>
    <t>79242</t>
  </si>
  <si>
    <t>79242A</t>
  </si>
  <si>
    <t>79242B</t>
  </si>
  <si>
    <t>79242C</t>
  </si>
  <si>
    <t>79243</t>
  </si>
  <si>
    <t>79244</t>
  </si>
  <si>
    <t>79245</t>
  </si>
  <si>
    <t>79246</t>
  </si>
  <si>
    <t>79247</t>
  </si>
  <si>
    <t>79248</t>
  </si>
  <si>
    <t>79250</t>
  </si>
  <si>
    <t>79250A</t>
  </si>
  <si>
    <t>79250B</t>
  </si>
  <si>
    <t>79250C</t>
  </si>
  <si>
    <t>79251A</t>
  </si>
  <si>
    <t>79252</t>
  </si>
  <si>
    <t>79258</t>
  </si>
  <si>
    <t>79259</t>
  </si>
  <si>
    <t>79260</t>
  </si>
  <si>
    <t>79261</t>
  </si>
  <si>
    <t>79261A</t>
  </si>
  <si>
    <t>79261B</t>
  </si>
  <si>
    <t>79262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</si>
  <si>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</si>
  <si>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</si>
  <si>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</si>
  <si>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</si>
  <si>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</si>
  <si>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</si>
  <si>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</si>
  <si>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</si>
  <si>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</si>
  <si>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</si>
  <si>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</si>
  <si>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</si>
  <si>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</si>
  <si>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</si>
  <si>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</si>
  <si>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</si>
  <si>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</si>
  <si>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</si>
  <si>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</si>
  <si>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</si>
  <si>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</si>
  <si>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</si>
  <si>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</si>
  <si>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</si>
  <si>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</si>
  <si>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79290</t>
  </si>
  <si>
    <t>79291</t>
  </si>
  <si>
    <t>79292</t>
  </si>
  <si>
    <t>79293</t>
  </si>
  <si>
    <t>79294</t>
  </si>
  <si>
    <t>79296</t>
  </si>
  <si>
    <t>79297</t>
  </si>
  <si>
    <t>79298</t>
  </si>
  <si>
    <t>79298A</t>
  </si>
  <si>
    <t>79299</t>
  </si>
  <si>
    <t>79300</t>
  </si>
  <si>
    <t>79301</t>
  </si>
  <si>
    <t>79302</t>
  </si>
  <si>
    <t>79303</t>
  </si>
  <si>
    <t>79305</t>
  </si>
  <si>
    <t>79306</t>
  </si>
  <si>
    <t>79307</t>
  </si>
  <si>
    <t>79308</t>
  </si>
  <si>
    <t>79309</t>
  </si>
  <si>
    <t>79311</t>
  </si>
  <si>
    <t>79311A</t>
  </si>
  <si>
    <t>79312</t>
  </si>
  <si>
    <t>79312A</t>
  </si>
  <si>
    <t>79313</t>
  </si>
  <si>
    <t>79314</t>
  </si>
  <si>
    <t>79315</t>
  </si>
  <si>
    <t>79316</t>
  </si>
  <si>
    <t>79318</t>
  </si>
  <si>
    <t>79319</t>
  </si>
  <si>
    <t>79319A</t>
  </si>
  <si>
    <t>79320</t>
  </si>
  <si>
    <t>79320A</t>
  </si>
  <si>
    <t>79321</t>
  </si>
  <si>
    <t>79322</t>
  </si>
  <si>
    <t>79323</t>
  </si>
  <si>
    <t>79323A</t>
  </si>
  <si>
    <t>79323B</t>
  </si>
  <si>
    <t>79324</t>
  </si>
  <si>
    <t>79325</t>
  </si>
  <si>
    <t>79326</t>
  </si>
  <si>
    <t>79327</t>
  </si>
  <si>
    <t>79328</t>
  </si>
  <si>
    <t>79329</t>
  </si>
  <si>
    <t>79329A</t>
  </si>
  <si>
    <t>79330</t>
  </si>
  <si>
    <t>79330A</t>
  </si>
  <si>
    <t>79331</t>
  </si>
  <si>
    <t>79332</t>
  </si>
  <si>
    <t>79333</t>
  </si>
  <si>
    <t>79335</t>
  </si>
  <si>
    <t>79336</t>
  </si>
  <si>
    <t>79337</t>
  </si>
  <si>
    <t>79338</t>
  </si>
  <si>
    <t>79339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</si>
  <si>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</si>
  <si>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</si>
  <si>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</si>
  <si>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</si>
  <si>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</si>
  <si>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</si>
  <si>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</si>
  <si>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</si>
  <si>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</si>
  <si>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</si>
  <si>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</si>
  <si>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</si>
  <si>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</si>
  <si>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79356</t>
  </si>
  <si>
    <t>79358</t>
  </si>
  <si>
    <t>79359</t>
  </si>
  <si>
    <t>79360</t>
  </si>
  <si>
    <t>79361</t>
  </si>
  <si>
    <t>79361A</t>
  </si>
  <si>
    <t>79361B</t>
  </si>
  <si>
    <t>79361C</t>
  </si>
  <si>
    <t>79362</t>
  </si>
  <si>
    <t>79363</t>
  </si>
  <si>
    <t>79364</t>
  </si>
  <si>
    <t>79365</t>
  </si>
  <si>
    <t>79366</t>
  </si>
  <si>
    <t>79366A</t>
  </si>
  <si>
    <t>79366B</t>
  </si>
  <si>
    <t>79366C</t>
  </si>
  <si>
    <t>79367</t>
  </si>
  <si>
    <t>79367A</t>
  </si>
  <si>
    <t>79367B</t>
  </si>
  <si>
    <t>79367C</t>
  </si>
  <si>
    <t>79368</t>
  </si>
  <si>
    <t>79368A</t>
  </si>
  <si>
    <t>79369</t>
  </si>
  <si>
    <t>79370</t>
  </si>
  <si>
    <t>79371</t>
  </si>
  <si>
    <t>79372</t>
  </si>
  <si>
    <t>79373</t>
  </si>
  <si>
    <t>79373A</t>
  </si>
  <si>
    <t>79373B</t>
  </si>
  <si>
    <t>79374</t>
  </si>
  <si>
    <t>79374A</t>
  </si>
  <si>
    <t>79375</t>
  </si>
  <si>
    <t>79375A</t>
  </si>
  <si>
    <t>79376</t>
  </si>
  <si>
    <t>79377</t>
  </si>
  <si>
    <t>79378</t>
  </si>
  <si>
    <t>79379</t>
  </si>
  <si>
    <t>79380</t>
  </si>
  <si>
    <t>79381</t>
  </si>
  <si>
    <t>79381A</t>
  </si>
  <si>
    <t>79382/CO</t>
  </si>
  <si>
    <t>79383</t>
  </si>
  <si>
    <t>79385</t>
  </si>
  <si>
    <t>79385A</t>
  </si>
  <si>
    <t>79386</t>
  </si>
  <si>
    <t>79388</t>
  </si>
  <si>
    <t>79388A</t>
  </si>
  <si>
    <t>79389</t>
  </si>
  <si>
    <t>79389A</t>
  </si>
  <si>
    <t>79390</t>
  </si>
  <si>
    <t>79390A</t>
  </si>
  <si>
    <t>79391</t>
  </si>
  <si>
    <t>79392</t>
  </si>
  <si>
    <t>79393</t>
  </si>
  <si>
    <t>79393A</t>
  </si>
  <si>
    <t>79394</t>
  </si>
  <si>
    <t>79395</t>
  </si>
  <si>
    <t>79396</t>
  </si>
  <si>
    <t>79397</t>
  </si>
  <si>
    <t>79399</t>
  </si>
  <si>
    <t>79400</t>
  </si>
  <si>
    <t>79401</t>
  </si>
  <si>
    <t>79402</t>
  </si>
  <si>
    <t>79403</t>
  </si>
  <si>
    <t>79404</t>
  </si>
  <si>
    <t>79405</t>
  </si>
  <si>
    <t>79406</t>
  </si>
  <si>
    <t>79407</t>
  </si>
  <si>
    <t>79408</t>
  </si>
  <si>
    <t>79409</t>
  </si>
  <si>
    <t>79410</t>
  </si>
  <si>
    <t>79411</t>
  </si>
  <si>
    <t>79412</t>
  </si>
  <si>
    <t>79413</t>
  </si>
  <si>
    <t>79414</t>
  </si>
  <si>
    <t>79414A</t>
  </si>
  <si>
    <t>79414B</t>
  </si>
  <si>
    <t>79415</t>
  </si>
  <si>
    <t>79416</t>
  </si>
  <si>
    <t>79417</t>
  </si>
  <si>
    <t>79418</t>
  </si>
  <si>
    <t>79419</t>
  </si>
  <si>
    <t>79420</t>
  </si>
  <si>
    <t>79422</t>
  </si>
  <si>
    <t>79423</t>
  </si>
  <si>
    <t>79423/A</t>
  </si>
  <si>
    <t>79423/B</t>
  </si>
  <si>
    <t>79423A</t>
  </si>
  <si>
    <t>79423A/A</t>
  </si>
  <si>
    <t>79423A/B</t>
  </si>
  <si>
    <t>79424</t>
  </si>
  <si>
    <t>79425</t>
  </si>
  <si>
    <t>79426</t>
  </si>
  <si>
    <t>79427</t>
  </si>
  <si>
    <t>79428</t>
  </si>
  <si>
    <t>79429</t>
  </si>
  <si>
    <t>79430</t>
  </si>
  <si>
    <t>79431</t>
  </si>
  <si>
    <t>79432</t>
  </si>
  <si>
    <t>79434</t>
  </si>
  <si>
    <t>79435</t>
  </si>
  <si>
    <t>79437</t>
  </si>
  <si>
    <t>79438</t>
  </si>
  <si>
    <t>79439</t>
  </si>
  <si>
    <t>79440</t>
  </si>
  <si>
    <t>79441</t>
  </si>
  <si>
    <t>79442</t>
  </si>
  <si>
    <t>79443</t>
  </si>
  <si>
    <t>79443A</t>
  </si>
  <si>
    <t>79443B</t>
  </si>
  <si>
    <t>79444</t>
  </si>
  <si>
    <t>79445</t>
  </si>
  <si>
    <t>79446</t>
  </si>
  <si>
    <t>79447</t>
  </si>
  <si>
    <t>79448</t>
  </si>
  <si>
    <t>79449</t>
  </si>
  <si>
    <t>79450</t>
  </si>
  <si>
    <t>79451</t>
  </si>
  <si>
    <t>79452</t>
  </si>
  <si>
    <t>79453</t>
  </si>
  <si>
    <t>79454</t>
  </si>
  <si>
    <t>79455</t>
  </si>
  <si>
    <t>79455A</t>
  </si>
  <si>
    <t>79456</t>
  </si>
  <si>
    <t>79457</t>
  </si>
  <si>
    <t>79459</t>
  </si>
  <si>
    <t>79460</t>
  </si>
  <si>
    <t>79461</t>
  </si>
  <si>
    <t>79462</t>
  </si>
  <si>
    <t>79463</t>
  </si>
  <si>
    <t>79464</t>
  </si>
  <si>
    <t>79465</t>
  </si>
  <si>
    <t>79466</t>
  </si>
  <si>
    <t>79467</t>
  </si>
  <si>
    <t>79468</t>
  </si>
  <si>
    <t>79469</t>
  </si>
  <si>
    <t>79470</t>
  </si>
  <si>
    <t>79471</t>
  </si>
  <si>
    <t>79472</t>
  </si>
  <si>
    <t>79473</t>
  </si>
  <si>
    <t>79474</t>
  </si>
  <si>
    <t>79475</t>
  </si>
  <si>
    <t>79476</t>
  </si>
  <si>
    <t>79478</t>
  </si>
  <si>
    <t>79479</t>
  </si>
  <si>
    <t>79480</t>
  </si>
  <si>
    <t>79481</t>
  </si>
  <si>
    <t>79482</t>
  </si>
  <si>
    <t>79483</t>
  </si>
  <si>
    <t>79483A</t>
  </si>
  <si>
    <t>79484</t>
  </si>
  <si>
    <t>79485</t>
  </si>
  <si>
    <t>79486</t>
  </si>
  <si>
    <t>79487</t>
  </si>
  <si>
    <t>79488</t>
  </si>
  <si>
    <t>79489</t>
  </si>
  <si>
    <t>79490</t>
  </si>
  <si>
    <t>79493</t>
  </si>
  <si>
    <t>79494</t>
  </si>
  <si>
    <t>79495</t>
  </si>
  <si>
    <t>79496</t>
  </si>
  <si>
    <t>79497</t>
  </si>
  <si>
    <t>79498</t>
  </si>
  <si>
    <t>79499</t>
  </si>
  <si>
    <t>79500</t>
  </si>
  <si>
    <t>79501</t>
  </si>
  <si>
    <t>79502</t>
  </si>
  <si>
    <t>79503</t>
  </si>
  <si>
    <t>79504</t>
  </si>
  <si>
    <t>79505</t>
  </si>
  <si>
    <t>79506</t>
  </si>
  <si>
    <t>79507</t>
  </si>
  <si>
    <t>79508</t>
  </si>
  <si>
    <t>79508A</t>
  </si>
  <si>
    <t>79508B</t>
  </si>
  <si>
    <t>79509</t>
  </si>
  <si>
    <t>79509A</t>
  </si>
  <si>
    <t>79509B</t>
  </si>
  <si>
    <t>79510</t>
  </si>
  <si>
    <t>79511</t>
  </si>
  <si>
    <t>79514</t>
  </si>
  <si>
    <t>79515</t>
  </si>
  <si>
    <t>79516</t>
  </si>
  <si>
    <t>79517</t>
  </si>
  <si>
    <t>79518</t>
  </si>
  <si>
    <t>79520</t>
  </si>
  <si>
    <t>79521</t>
  </si>
  <si>
    <t>79522</t>
  </si>
  <si>
    <t>79523</t>
  </si>
  <si>
    <t>79524</t>
  </si>
  <si>
    <t>79525</t>
  </si>
  <si>
    <t>79526</t>
  </si>
  <si>
    <t>79527</t>
  </si>
  <si>
    <t>79528</t>
  </si>
  <si>
    <t>79528/A</t>
  </si>
  <si>
    <t>79529</t>
  </si>
  <si>
    <t>79530</t>
  </si>
  <si>
    <t>79531</t>
  </si>
  <si>
    <t>79532</t>
  </si>
  <si>
    <t>79534</t>
  </si>
  <si>
    <t>79535</t>
  </si>
  <si>
    <t>79536</t>
  </si>
  <si>
    <t>79537</t>
  </si>
  <si>
    <t>79538</t>
  </si>
  <si>
    <t>79539</t>
  </si>
  <si>
    <t>79541</t>
  </si>
  <si>
    <t>79542</t>
  </si>
  <si>
    <t>79542A</t>
  </si>
  <si>
    <t>79542B</t>
  </si>
  <si>
    <t>79543</t>
  </si>
  <si>
    <t>79543A</t>
  </si>
  <si>
    <t>79543B</t>
  </si>
  <si>
    <t>79544</t>
  </si>
  <si>
    <t>79545</t>
  </si>
  <si>
    <t>79546</t>
  </si>
  <si>
    <t>79547</t>
  </si>
  <si>
    <t>79548</t>
  </si>
  <si>
    <t>79549</t>
  </si>
  <si>
    <t>79550</t>
  </si>
  <si>
    <t>79550/1</t>
  </si>
  <si>
    <t>79550/2</t>
  </si>
  <si>
    <t>79551</t>
  </si>
  <si>
    <t>79552</t>
  </si>
  <si>
    <t>79553</t>
  </si>
  <si>
    <t>79554</t>
  </si>
  <si>
    <t>79554/1</t>
  </si>
  <si>
    <t>79554/2</t>
  </si>
  <si>
    <t>79555</t>
  </si>
  <si>
    <t>79556</t>
  </si>
  <si>
    <t>79557</t>
  </si>
  <si>
    <t>79558</t>
  </si>
  <si>
    <t>79559</t>
  </si>
  <si>
    <t>79560</t>
  </si>
  <si>
    <t>79561</t>
  </si>
  <si>
    <t>79562</t>
  </si>
  <si>
    <t>79563</t>
  </si>
  <si>
    <t>79564</t>
  </si>
  <si>
    <t>79565</t>
  </si>
  <si>
    <t>79565A</t>
  </si>
  <si>
    <t>79567</t>
  </si>
  <si>
    <t>79568</t>
  </si>
  <si>
    <t>79569</t>
  </si>
  <si>
    <t>79570</t>
  </si>
  <si>
    <t>79571</t>
  </si>
  <si>
    <t>79572</t>
  </si>
  <si>
    <t>79573</t>
  </si>
  <si>
    <t>79574</t>
  </si>
  <si>
    <t>79575</t>
  </si>
  <si>
    <t>79577</t>
  </si>
  <si>
    <t>79578</t>
  </si>
  <si>
    <t>79580</t>
  </si>
  <si>
    <t>79581</t>
  </si>
  <si>
    <t>79583</t>
  </si>
  <si>
    <t>79585</t>
  </si>
  <si>
    <t>79585A</t>
  </si>
  <si>
    <t>79586</t>
  </si>
  <si>
    <t>79587</t>
  </si>
  <si>
    <t>79588</t>
  </si>
  <si>
    <t>79588A</t>
  </si>
  <si>
    <t>79588B</t>
  </si>
  <si>
    <t>79589</t>
  </si>
  <si>
    <t>79590</t>
  </si>
  <si>
    <t>79590A</t>
  </si>
  <si>
    <t>79591</t>
  </si>
  <si>
    <t>79592</t>
  </si>
  <si>
    <t>79593</t>
  </si>
  <si>
    <t>79594</t>
  </si>
  <si>
    <t>79595</t>
  </si>
  <si>
    <t>79596</t>
  </si>
  <si>
    <t>79597</t>
  </si>
  <si>
    <t>79598</t>
  </si>
  <si>
    <t>79599</t>
  </si>
  <si>
    <t>79600</t>
  </si>
  <si>
    <t>79601</t>
  </si>
  <si>
    <t>79602</t>
  </si>
  <si>
    <t>79602A</t>
  </si>
  <si>
    <t>79602B</t>
  </si>
  <si>
    <t>79602C</t>
  </si>
  <si>
    <t>79602D</t>
  </si>
  <si>
    <t>79602E</t>
  </si>
  <si>
    <t>79603</t>
  </si>
  <si>
    <t>79604</t>
  </si>
  <si>
    <t>79605</t>
  </si>
  <si>
    <t>79607</t>
  </si>
  <si>
    <t>79608</t>
  </si>
  <si>
    <t>79609</t>
  </si>
  <si>
    <t>79610</t>
  </si>
  <si>
    <t>79611</t>
  </si>
  <si>
    <t>79612</t>
  </si>
  <si>
    <t>79613</t>
  </si>
  <si>
    <t>79614</t>
  </si>
  <si>
    <t>79615</t>
  </si>
  <si>
    <t>79616</t>
  </si>
  <si>
    <t>79617</t>
  </si>
  <si>
    <t>79618</t>
  </si>
  <si>
    <t>79619</t>
  </si>
  <si>
    <t>79620</t>
  </si>
  <si>
    <t>79621</t>
  </si>
  <si>
    <t>79622</t>
  </si>
  <si>
    <t>79625</t>
  </si>
  <si>
    <t>79626</t>
  </si>
  <si>
    <t>79627</t>
  </si>
  <si>
    <t>79628</t>
  </si>
  <si>
    <t>79629</t>
  </si>
  <si>
    <t>79631</t>
  </si>
  <si>
    <t>79632</t>
  </si>
  <si>
    <t>79633</t>
  </si>
  <si>
    <t>79635</t>
  </si>
  <si>
    <t>79635/A</t>
  </si>
  <si>
    <t>79635/B</t>
  </si>
  <si>
    <t>79636</t>
  </si>
  <si>
    <t>79636/A</t>
  </si>
  <si>
    <t>79637</t>
  </si>
  <si>
    <t>79639</t>
  </si>
  <si>
    <t>79640</t>
  </si>
  <si>
    <t>79641</t>
  </si>
  <si>
    <t>79642</t>
  </si>
  <si>
    <t>79643</t>
  </si>
  <si>
    <t>79644</t>
  </si>
  <si>
    <t>79645</t>
  </si>
  <si>
    <t>79646</t>
  </si>
  <si>
    <t>79647</t>
  </si>
  <si>
    <t>79652</t>
  </si>
  <si>
    <t>79657</t>
  </si>
  <si>
    <t>79658</t>
  </si>
  <si>
    <t>79659</t>
  </si>
  <si>
    <t>79660</t>
  </si>
  <si>
    <t>79661</t>
  </si>
  <si>
    <t>79662</t>
  </si>
  <si>
    <t>79663</t>
  </si>
  <si>
    <t>79665</t>
  </si>
  <si>
    <t>79666</t>
  </si>
  <si>
    <t>79667</t>
  </si>
  <si>
    <t>79669</t>
  </si>
  <si>
    <t>79670</t>
  </si>
  <si>
    <t>79671</t>
  </si>
  <si>
    <t>79672</t>
  </si>
  <si>
    <t>79672A</t>
  </si>
  <si>
    <t>79673</t>
  </si>
  <si>
    <t>79675</t>
  </si>
  <si>
    <t>79676</t>
  </si>
  <si>
    <t>79677</t>
  </si>
  <si>
    <t>79678</t>
  </si>
  <si>
    <t>79680</t>
  </si>
  <si>
    <t>79681</t>
  </si>
  <si>
    <t>79682</t>
  </si>
  <si>
    <t>79683</t>
  </si>
  <si>
    <t>79684</t>
  </si>
  <si>
    <t>79685</t>
  </si>
  <si>
    <t>79686</t>
  </si>
  <si>
    <t>79686/A</t>
  </si>
  <si>
    <t>79686/B</t>
  </si>
  <si>
    <t>79686/C</t>
  </si>
  <si>
    <t>79687</t>
  </si>
  <si>
    <t>79687/A</t>
  </si>
  <si>
    <t>79687/B</t>
  </si>
  <si>
    <t>79687/C</t>
  </si>
  <si>
    <t>79688</t>
  </si>
  <si>
    <t>79689</t>
  </si>
  <si>
    <t>79690</t>
  </si>
  <si>
    <t>79691</t>
  </si>
  <si>
    <t>79692</t>
  </si>
  <si>
    <t>79693</t>
  </si>
  <si>
    <t>79694</t>
  </si>
  <si>
    <t>79695</t>
  </si>
  <si>
    <t>79696</t>
  </si>
  <si>
    <t>79698</t>
  </si>
  <si>
    <t>79700</t>
  </si>
  <si>
    <t>79701</t>
  </si>
  <si>
    <t>79703</t>
  </si>
  <si>
    <t>79704</t>
  </si>
  <si>
    <t>79709</t>
  </si>
  <si>
    <t>79710</t>
  </si>
  <si>
    <t>79711</t>
  </si>
  <si>
    <t>79712</t>
  </si>
  <si>
    <t>79714</t>
  </si>
  <si>
    <t>79714A</t>
  </si>
  <si>
    <t>79716</t>
  </si>
  <si>
    <t>79716A</t>
  </si>
  <si>
    <t>79717</t>
  </si>
  <si>
    <t>79717A</t>
  </si>
  <si>
    <t>79718</t>
  </si>
  <si>
    <t>79718A</t>
  </si>
  <si>
    <t>79719</t>
  </si>
  <si>
    <t>79720</t>
  </si>
  <si>
    <t>79721</t>
  </si>
  <si>
    <t>79721A</t>
  </si>
  <si>
    <t>79721B</t>
  </si>
  <si>
    <t>79721C</t>
  </si>
  <si>
    <t>79721D</t>
  </si>
  <si>
    <t>79722</t>
  </si>
  <si>
    <t>79723</t>
  </si>
  <si>
    <t>79724</t>
  </si>
  <si>
    <t>79725</t>
  </si>
  <si>
    <t>79726</t>
  </si>
  <si>
    <t>79727</t>
  </si>
  <si>
    <t>79728</t>
  </si>
  <si>
    <t>79729</t>
  </si>
  <si>
    <t>79730</t>
  </si>
  <si>
    <t>79731</t>
  </si>
  <si>
    <t>79731C</t>
  </si>
  <si>
    <t>79732</t>
  </si>
  <si>
    <t>79733</t>
  </si>
  <si>
    <t>79734</t>
  </si>
  <si>
    <t>79735</t>
  </si>
  <si>
    <t>79736</t>
  </si>
  <si>
    <t>79737</t>
  </si>
  <si>
    <t>79738</t>
  </si>
  <si>
    <t>79739</t>
  </si>
  <si>
    <t>79740</t>
  </si>
  <si>
    <t>79741</t>
  </si>
  <si>
    <t>79742</t>
  </si>
  <si>
    <t>79744</t>
  </si>
  <si>
    <t>79745</t>
  </si>
  <si>
    <t>79746</t>
  </si>
  <si>
    <t>79747</t>
  </si>
  <si>
    <t>79749</t>
  </si>
  <si>
    <t>79750</t>
  </si>
  <si>
    <t>79750/A</t>
  </si>
  <si>
    <t>79750/B</t>
  </si>
  <si>
    <t>79752</t>
  </si>
  <si>
    <t>79753</t>
  </si>
  <si>
    <t>79755</t>
  </si>
  <si>
    <t>79756</t>
  </si>
  <si>
    <t>79757</t>
  </si>
  <si>
    <t>79758</t>
  </si>
  <si>
    <t>79759</t>
  </si>
  <si>
    <t>79761</t>
  </si>
  <si>
    <t>79762</t>
  </si>
  <si>
    <t>79763</t>
  </si>
  <si>
    <t>79764</t>
  </si>
  <si>
    <t>79765</t>
  </si>
  <si>
    <t>79766</t>
  </si>
  <si>
    <t>79767</t>
  </si>
  <si>
    <t>79768</t>
  </si>
  <si>
    <t>79769</t>
  </si>
  <si>
    <t>79770</t>
  </si>
  <si>
    <t>79771</t>
  </si>
  <si>
    <t>79772</t>
  </si>
  <si>
    <t>79773</t>
  </si>
  <si>
    <t>79774</t>
  </si>
  <si>
    <t>79775</t>
  </si>
  <si>
    <t>79776</t>
  </si>
  <si>
    <t>79777</t>
  </si>
  <si>
    <t>79778</t>
  </si>
  <si>
    <t>79778A</t>
  </si>
  <si>
    <t>79779</t>
  </si>
  <si>
    <t>79779A</t>
  </si>
  <si>
    <t>79781</t>
  </si>
  <si>
    <t>79782</t>
  </si>
  <si>
    <t>79783</t>
  </si>
  <si>
    <t>79784</t>
  </si>
  <si>
    <t>79785</t>
  </si>
  <si>
    <t>79785A</t>
  </si>
  <si>
    <t>79786</t>
  </si>
  <si>
    <t>79787</t>
  </si>
  <si>
    <t>79788</t>
  </si>
  <si>
    <t>79789</t>
  </si>
  <si>
    <t>79790</t>
  </si>
  <si>
    <t>79791</t>
  </si>
  <si>
    <t>79792</t>
  </si>
  <si>
    <t>79793</t>
  </si>
  <si>
    <t>79794</t>
  </si>
  <si>
    <t>79795</t>
  </si>
  <si>
    <t>79796</t>
  </si>
  <si>
    <t>79796A</t>
  </si>
  <si>
    <t>79796B</t>
  </si>
  <si>
    <t>79796C</t>
  </si>
  <si>
    <t>79797</t>
  </si>
  <si>
    <t>79798</t>
  </si>
  <si>
    <t>79799</t>
  </si>
  <si>
    <t>79799A</t>
  </si>
  <si>
    <t>79800</t>
  </si>
  <si>
    <t>79801</t>
  </si>
  <si>
    <t>79802</t>
  </si>
  <si>
    <t>79803</t>
  </si>
  <si>
    <t>79804</t>
  </si>
  <si>
    <t>79805</t>
  </si>
  <si>
    <t>79806</t>
  </si>
  <si>
    <t>79807</t>
  </si>
  <si>
    <t>79808</t>
  </si>
  <si>
    <t>79809</t>
  </si>
  <si>
    <t>79810</t>
  </si>
  <si>
    <t>79810A</t>
  </si>
  <si>
    <t>79811</t>
  </si>
  <si>
    <t>79812</t>
  </si>
  <si>
    <t>79813</t>
  </si>
  <si>
    <t>79814</t>
  </si>
  <si>
    <t>79815</t>
  </si>
  <si>
    <t>79815A</t>
  </si>
  <si>
    <t>79816</t>
  </si>
  <si>
    <t>79816A</t>
  </si>
  <si>
    <t>79817</t>
  </si>
  <si>
    <t>79818</t>
  </si>
  <si>
    <t>79819</t>
  </si>
  <si>
    <t>79820</t>
  </si>
  <si>
    <t>79821</t>
  </si>
  <si>
    <t>79824</t>
  </si>
  <si>
    <t>79828</t>
  </si>
  <si>
    <t>79829</t>
  </si>
  <si>
    <t>79829A</t>
  </si>
  <si>
    <t>79830</t>
  </si>
  <si>
    <t>79831</t>
  </si>
  <si>
    <t>79832</t>
  </si>
  <si>
    <t>79833</t>
  </si>
  <si>
    <t>79835</t>
  </si>
  <si>
    <t>79836</t>
  </si>
  <si>
    <t>79837</t>
  </si>
  <si>
    <t>79861</t>
  </si>
  <si>
    <t>79862</t>
  </si>
  <si>
    <t>79863</t>
  </si>
  <si>
    <t>79864</t>
  </si>
  <si>
    <t>79866</t>
  </si>
  <si>
    <t>79867</t>
  </si>
  <si>
    <t>79868</t>
  </si>
  <si>
    <t>79869</t>
  </si>
  <si>
    <t>79870</t>
  </si>
  <si>
    <t>79873</t>
  </si>
  <si>
    <t>79874</t>
  </si>
  <si>
    <t>79877</t>
  </si>
  <si>
    <t>79878</t>
  </si>
  <si>
    <t>79879</t>
  </si>
  <si>
    <t>79880</t>
  </si>
  <si>
    <t>79882</t>
  </si>
  <si>
    <t>79882A</t>
  </si>
  <si>
    <t>79884</t>
  </si>
  <si>
    <t>79885</t>
  </si>
  <si>
    <t>79886</t>
  </si>
  <si>
    <t>79887</t>
  </si>
  <si>
    <t>79888</t>
  </si>
  <si>
    <t>79889</t>
  </si>
  <si>
    <t>79891</t>
  </si>
  <si>
    <t>79892</t>
  </si>
  <si>
    <t>79893</t>
  </si>
  <si>
    <t>79894</t>
  </si>
  <si>
    <t>79895</t>
  </si>
  <si>
    <t>79896</t>
  </si>
  <si>
    <t>79897</t>
  </si>
  <si>
    <t>79898</t>
  </si>
  <si>
    <t>79899</t>
  </si>
  <si>
    <t>79900</t>
  </si>
  <si>
    <t>79901</t>
  </si>
  <si>
    <t>79905</t>
  </si>
  <si>
    <t>79905A</t>
  </si>
  <si>
    <t>79906</t>
  </si>
  <si>
    <t>79906A</t>
  </si>
  <si>
    <t>79907</t>
  </si>
  <si>
    <t>79907A</t>
  </si>
  <si>
    <t>79908</t>
  </si>
  <si>
    <t>79909</t>
  </si>
  <si>
    <t>79910</t>
  </si>
  <si>
    <t>79911</t>
  </si>
  <si>
    <t>79912</t>
  </si>
  <si>
    <t>79913</t>
  </si>
  <si>
    <t>79914</t>
  </si>
  <si>
    <t>79915</t>
  </si>
  <si>
    <t>79916</t>
  </si>
  <si>
    <t>79917</t>
  </si>
  <si>
    <t>79918</t>
  </si>
  <si>
    <t>79919</t>
  </si>
  <si>
    <t>79920</t>
  </si>
  <si>
    <t>79922</t>
  </si>
  <si>
    <t>79923</t>
  </si>
  <si>
    <t>79925</t>
  </si>
  <si>
    <t>79925A</t>
  </si>
  <si>
    <t>79925B</t>
  </si>
  <si>
    <t>79925C</t>
  </si>
  <si>
    <t>79926</t>
  </si>
  <si>
    <t>79927</t>
  </si>
  <si>
    <t>79930</t>
  </si>
  <si>
    <t>79930A</t>
  </si>
  <si>
    <t>79930B</t>
  </si>
  <si>
    <t>79931</t>
  </si>
  <si>
    <t>79932</t>
  </si>
  <si>
    <t>79933</t>
  </si>
  <si>
    <t>79934</t>
  </si>
  <si>
    <t>79935</t>
  </si>
  <si>
    <t>79937</t>
  </si>
  <si>
    <t>79938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</si>
  <si>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</si>
  <si>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</si>
  <si>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</si>
  <si>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</si>
  <si>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</si>
  <si>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</si>
  <si>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</si>
  <si>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</si>
  <si>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</si>
  <si>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</si>
  <si>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79949A</t>
  </si>
  <si>
    <t>79949B</t>
  </si>
  <si>
    <t>79949C</t>
  </si>
  <si>
    <t>79949D</t>
  </si>
  <si>
    <t>79949E</t>
  </si>
  <si>
    <t>79949F</t>
  </si>
  <si>
    <t>79950</t>
  </si>
  <si>
    <t>79951</t>
  </si>
  <si>
    <t>79952</t>
  </si>
  <si>
    <t>79953</t>
  </si>
  <si>
    <t>79954</t>
  </si>
  <si>
    <t>79955</t>
  </si>
  <si>
    <t>79956</t>
  </si>
  <si>
    <t>79957</t>
  </si>
  <si>
    <t>79958</t>
  </si>
  <si>
    <t>79960</t>
  </si>
  <si>
    <t>79961</t>
  </si>
  <si>
    <t>79962</t>
  </si>
  <si>
    <t>79963</t>
  </si>
  <si>
    <t>79964</t>
  </si>
  <si>
    <t>79965</t>
  </si>
  <si>
    <t>79966</t>
  </si>
  <si>
    <t>79967</t>
  </si>
  <si>
    <t>79967A</t>
  </si>
  <si>
    <t>79968</t>
  </si>
  <si>
    <t>79969</t>
  </si>
  <si>
    <t>79970</t>
  </si>
  <si>
    <t>79971</t>
  </si>
  <si>
    <t>79972</t>
  </si>
  <si>
    <t>79972A</t>
  </si>
  <si>
    <t>79973</t>
  </si>
  <si>
    <t>79974</t>
  </si>
  <si>
    <t>79975</t>
  </si>
  <si>
    <t>79976</t>
  </si>
  <si>
    <t>79977</t>
  </si>
  <si>
    <t>79985</t>
  </si>
  <si>
    <t>79986</t>
  </si>
  <si>
    <t>79987</t>
  </si>
  <si>
    <t>79988</t>
  </si>
  <si>
    <t>79989</t>
  </si>
  <si>
    <t>79990</t>
  </si>
  <si>
    <t>79992</t>
  </si>
  <si>
    <t>79993</t>
  </si>
  <si>
    <t>79994</t>
  </si>
  <si>
    <t>79995</t>
  </si>
  <si>
    <t>79996</t>
  </si>
  <si>
    <t>79997</t>
  </si>
  <si>
    <t>79997A</t>
  </si>
  <si>
    <t>79997B</t>
  </si>
  <si>
    <t>79998</t>
  </si>
  <si>
    <t>79999</t>
  </si>
  <si>
    <t>80000</t>
  </si>
  <si>
    <t>80001</t>
  </si>
  <si>
    <t>80001A</t>
  </si>
  <si>
    <t>80002</t>
  </si>
  <si>
    <t>80004</t>
  </si>
  <si>
    <t>80005</t>
  </si>
  <si>
    <t>80006</t>
  </si>
  <si>
    <t>80008</t>
  </si>
  <si>
    <t>80009</t>
  </si>
  <si>
    <t>80010</t>
  </si>
  <si>
    <t>80011</t>
  </si>
  <si>
    <t>80013</t>
  </si>
  <si>
    <t>80013A</t>
  </si>
  <si>
    <t>80014</t>
  </si>
  <si>
    <t>80015</t>
  </si>
  <si>
    <t>80017</t>
  </si>
  <si>
    <t>80019</t>
  </si>
  <si>
    <t>80020</t>
  </si>
  <si>
    <t>80021</t>
  </si>
  <si>
    <t>80021A</t>
  </si>
  <si>
    <t>80021B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</si>
  <si>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</si>
  <si>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</si>
  <si>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</si>
  <si>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</si>
  <si>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</si>
  <si>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</si>
  <si>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</si>
  <si>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</si>
  <si>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</si>
  <si>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</si>
  <si>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</si>
  <si>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</si>
  <si>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</si>
  <si>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</si>
  <si>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</si>
  <si>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</si>
  <si>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</si>
  <si>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</si>
  <si>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</si>
  <si>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</si>
  <si>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</si>
  <si>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</si>
  <si>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</si>
  <si>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80044A</t>
  </si>
  <si>
    <t>80045</t>
  </si>
  <si>
    <t>80046</t>
  </si>
  <si>
    <t>80046A</t>
  </si>
  <si>
    <t>80049</t>
  </si>
  <si>
    <t>80050</t>
  </si>
  <si>
    <t>80051</t>
  </si>
  <si>
    <t>80051A</t>
  </si>
  <si>
    <t>80051B</t>
  </si>
  <si>
    <t>80052</t>
  </si>
  <si>
    <t>80053</t>
  </si>
  <si>
    <t>80054</t>
  </si>
  <si>
    <t>80055</t>
  </si>
  <si>
    <t>80056</t>
  </si>
  <si>
    <t>80057</t>
  </si>
  <si>
    <t>80058</t>
  </si>
  <si>
    <t>80059/CO</t>
  </si>
  <si>
    <t>80060</t>
  </si>
  <si>
    <t>80061</t>
  </si>
  <si>
    <t>80061A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</si>
  <si>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</si>
  <si>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</si>
  <si>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</si>
  <si>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</si>
  <si>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</si>
  <si>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</si>
  <si>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</si>
  <si>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</si>
  <si>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</si>
  <si>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</si>
  <si>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</si>
  <si>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</si>
  <si>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</si>
  <si>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</si>
  <si>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</si>
  <si>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</si>
  <si>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80077A</t>
  </si>
  <si>
    <t>80078</t>
  </si>
  <si>
    <t>80078A</t>
  </si>
  <si>
    <t>80079</t>
  </si>
  <si>
    <t>80079A</t>
  </si>
  <si>
    <t>80080</t>
  </si>
  <si>
    <t>80080A</t>
  </si>
  <si>
    <t>80080B</t>
  </si>
  <si>
    <t>80080C</t>
  </si>
  <si>
    <t>80080D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</si>
  <si>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</si>
  <si>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</si>
  <si>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</si>
  <si>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</si>
  <si>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</si>
  <si>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</si>
  <si>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</si>
  <si>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</si>
  <si>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</si>
  <si>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</si>
  <si>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</si>
  <si>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</si>
  <si>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</si>
  <si>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</si>
  <si>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</si>
  <si>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</si>
  <si>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</si>
  <si>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</si>
  <si>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</si>
  <si>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</si>
  <si>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</si>
  <si>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</si>
  <si>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</si>
  <si>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80105</t>
  </si>
  <si>
    <t>80106</t>
  </si>
  <si>
    <t>80108</t>
  </si>
  <si>
    <t>80109</t>
  </si>
  <si>
    <t>80110</t>
  </si>
  <si>
    <t>80111</t>
  </si>
  <si>
    <t>80112</t>
  </si>
  <si>
    <t>80113</t>
  </si>
  <si>
    <t>80114</t>
  </si>
  <si>
    <t>80119</t>
  </si>
  <si>
    <t>80120</t>
  </si>
  <si>
    <t>80121</t>
  </si>
  <si>
    <t>80122</t>
  </si>
  <si>
    <t>80122A</t>
  </si>
  <si>
    <t>80122B</t>
  </si>
  <si>
    <t>80122C</t>
  </si>
  <si>
    <t>80123</t>
  </si>
  <si>
    <t>80124</t>
  </si>
  <si>
    <t>80125</t>
  </si>
  <si>
    <t>80126</t>
  </si>
  <si>
    <t>80127</t>
  </si>
  <si>
    <t>80129</t>
  </si>
  <si>
    <t>80130</t>
  </si>
  <si>
    <t>80131</t>
  </si>
  <si>
    <t>80133</t>
  </si>
  <si>
    <t>80134</t>
  </si>
  <si>
    <t>80135</t>
  </si>
  <si>
    <t>80136</t>
  </si>
  <si>
    <t>80137</t>
  </si>
  <si>
    <t>80138</t>
  </si>
  <si>
    <t>80140</t>
  </si>
  <si>
    <t>80141</t>
  </si>
  <si>
    <t>80142</t>
  </si>
  <si>
    <t>80143</t>
  </si>
  <si>
    <t>80144</t>
  </si>
  <si>
    <t>80145</t>
  </si>
  <si>
    <t>80148</t>
  </si>
  <si>
    <t>80150</t>
  </si>
  <si>
    <t>80150A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</si>
  <si>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</si>
  <si>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</si>
  <si>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</si>
  <si>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</si>
  <si>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</si>
  <si>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</si>
  <si>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</si>
  <si>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</si>
  <si>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80162</t>
  </si>
  <si>
    <t>80164</t>
  </si>
  <si>
    <t>80165</t>
  </si>
  <si>
    <t>80166</t>
  </si>
  <si>
    <t>80167</t>
  </si>
  <si>
    <t>80168/CO</t>
  </si>
  <si>
    <t>80170</t>
  </si>
  <si>
    <t>80171</t>
  </si>
  <si>
    <t>80172</t>
  </si>
  <si>
    <t>80174</t>
  </si>
  <si>
    <t>80174A</t>
  </si>
  <si>
    <t>80174B</t>
  </si>
  <si>
    <t>80175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</si>
  <si>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</si>
  <si>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</si>
  <si>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</si>
  <si>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</si>
  <si>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</si>
  <si>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</si>
  <si>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</si>
  <si>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</si>
  <si>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80191</t>
  </si>
  <si>
    <t>80191A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</si>
  <si>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</si>
  <si>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</si>
  <si>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</si>
  <si>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</si>
  <si>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</si>
  <si>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</si>
  <si>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</si>
  <si>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</si>
  <si>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</si>
  <si>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</si>
  <si>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</si>
  <si>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</si>
  <si>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</si>
  <si>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</si>
  <si>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</si>
  <si>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</si>
  <si>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</si>
  <si>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</si>
  <si>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</si>
  <si>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</si>
  <si>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</si>
  <si>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</si>
  <si>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80217A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</si>
  <si>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</si>
  <si>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</si>
  <si>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</si>
  <si>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</si>
  <si>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</si>
  <si>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</si>
  <si>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</si>
  <si>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</si>
  <si>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</si>
  <si>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</si>
  <si>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</si>
  <si>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</si>
  <si>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</si>
  <si>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80234</t>
  </si>
  <si>
    <t>80237</t>
  </si>
  <si>
    <t>80238</t>
  </si>
  <si>
    <t>80239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</si>
  <si>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</si>
  <si>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</si>
  <si>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</si>
  <si>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</si>
  <si>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</si>
  <si>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</si>
  <si>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</si>
  <si>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</si>
  <si>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</si>
  <si>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</si>
  <si>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</si>
  <si>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80254</t>
  </si>
  <si>
    <t>80256</t>
  </si>
  <si>
    <t>80257</t>
  </si>
  <si>
    <t>80258</t>
  </si>
  <si>
    <t>80259</t>
  </si>
  <si>
    <t>80260</t>
  </si>
  <si>
    <t>80261</t>
  </si>
  <si>
    <t>80263</t>
  </si>
  <si>
    <t>80264</t>
  </si>
  <si>
    <t>80265</t>
  </si>
  <si>
    <t>80267</t>
  </si>
  <si>
    <t>80268</t>
  </si>
  <si>
    <t>80270</t>
  </si>
  <si>
    <t>80271</t>
  </si>
  <si>
    <t>80272</t>
  </si>
  <si>
    <t>80277</t>
  </si>
  <si>
    <t>80281</t>
  </si>
  <si>
    <t>80282</t>
  </si>
  <si>
    <t>80282A</t>
  </si>
  <si>
    <t>80282B</t>
  </si>
  <si>
    <t>80283</t>
  </si>
  <si>
    <t>80284</t>
  </si>
  <si>
    <t>80285</t>
  </si>
  <si>
    <t>80286</t>
  </si>
  <si>
    <t>80287</t>
  </si>
  <si>
    <t>80290</t>
  </si>
  <si>
    <t>80291</t>
  </si>
  <si>
    <t>80292</t>
  </si>
  <si>
    <t>80293</t>
  </si>
  <si>
    <t>80294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</si>
  <si>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</si>
  <si>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</si>
  <si>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</si>
  <si>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</si>
  <si>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</si>
  <si>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</si>
  <si>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</si>
  <si>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</si>
  <si>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</si>
  <si>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</si>
  <si>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</si>
  <si>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</si>
  <si>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</si>
  <si>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</si>
  <si>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</si>
  <si>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</si>
  <si>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</si>
  <si>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</si>
  <si>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</si>
  <si>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</si>
  <si>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80315A</t>
  </si>
  <si>
    <t>80315B</t>
  </si>
  <si>
    <t>80315D</t>
  </si>
  <si>
    <t>80315E</t>
  </si>
  <si>
    <t>80316</t>
  </si>
  <si>
    <t>80317</t>
  </si>
  <si>
    <t>80317A</t>
  </si>
  <si>
    <t>80317B</t>
  </si>
  <si>
    <t>80317C</t>
  </si>
  <si>
    <t>80317D</t>
  </si>
  <si>
    <t>80317E</t>
  </si>
  <si>
    <t>80317F</t>
  </si>
  <si>
    <t>80318</t>
  </si>
  <si>
    <t>80318A</t>
  </si>
  <si>
    <t>80318B</t>
  </si>
  <si>
    <t>80322</t>
  </si>
  <si>
    <t>80323</t>
  </si>
  <si>
    <t>80323A</t>
  </si>
  <si>
    <t>80324</t>
  </si>
  <si>
    <t>80324A</t>
  </si>
  <si>
    <t>80324B</t>
  </si>
  <si>
    <t>80326</t>
  </si>
  <si>
    <t>80326A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</si>
  <si>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</si>
  <si>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</si>
  <si>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</si>
  <si>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</si>
  <si>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</si>
  <si>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</si>
  <si>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</si>
  <si>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</si>
  <si>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</si>
  <si>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</si>
  <si>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</si>
  <si>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</si>
  <si>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</si>
  <si>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</si>
  <si>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</si>
  <si>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</si>
  <si>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</si>
  <si>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</si>
  <si>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</si>
  <si>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</si>
  <si>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80348</t>
  </si>
  <si>
    <t>80349</t>
  </si>
  <si>
    <t>80350</t>
  </si>
  <si>
    <t>80351</t>
  </si>
  <si>
    <t>80352</t>
  </si>
  <si>
    <t>80353</t>
  </si>
  <si>
    <t>80354</t>
  </si>
  <si>
    <t>80354A</t>
  </si>
  <si>
    <t>80355</t>
  </si>
  <si>
    <t>80355A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</si>
  <si>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</si>
  <si>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</si>
  <si>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</si>
  <si>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</si>
  <si>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</si>
  <si>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</si>
  <si>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</si>
  <si>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</si>
  <si>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80363A</t>
  </si>
  <si>
    <t>80364</t>
  </si>
  <si>
    <t>80364A</t>
  </si>
  <si>
    <t>80365</t>
  </si>
  <si>
    <t>80367</t>
  </si>
  <si>
    <t>80368</t>
  </si>
  <si>
    <t>80369</t>
  </si>
  <si>
    <t>80370</t>
  </si>
  <si>
    <t>80371</t>
  </si>
  <si>
    <t>80372</t>
  </si>
  <si>
    <t>80372A</t>
  </si>
  <si>
    <t>80372B</t>
  </si>
  <si>
    <t>80374</t>
  </si>
  <si>
    <t>80375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</si>
  <si>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</si>
  <si>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</si>
  <si>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</si>
  <si>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</si>
  <si>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</si>
  <si>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</si>
  <si>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</si>
  <si>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</si>
  <si>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</si>
  <si>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</si>
  <si>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</si>
  <si>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</si>
  <si>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</si>
  <si>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</si>
  <si>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</si>
  <si>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</si>
  <si>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80398</t>
  </si>
  <si>
    <t>80399</t>
  </si>
  <si>
    <t>80400</t>
  </si>
  <si>
    <t>80401</t>
  </si>
  <si>
    <t>80402</t>
  </si>
  <si>
    <t>80403</t>
  </si>
  <si>
    <t>80403A</t>
  </si>
  <si>
    <t>80407</t>
  </si>
  <si>
    <t>80410</t>
  </si>
  <si>
    <t>80411</t>
  </si>
  <si>
    <t>80412</t>
  </si>
  <si>
    <t>80414</t>
  </si>
  <si>
    <t>80415</t>
  </si>
  <si>
    <t>80416</t>
  </si>
  <si>
    <t>80417</t>
  </si>
  <si>
    <t>80418</t>
  </si>
  <si>
    <t>80420</t>
  </si>
  <si>
    <t>80422</t>
  </si>
  <si>
    <t>80423</t>
  </si>
  <si>
    <t>80424</t>
  </si>
  <si>
    <t>80425</t>
  </si>
  <si>
    <t>80426</t>
  </si>
  <si>
    <t>80429</t>
  </si>
  <si>
    <t>80430</t>
  </si>
  <si>
    <t>80431</t>
  </si>
  <si>
    <t>80432</t>
  </si>
  <si>
    <t>80437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</si>
  <si>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</si>
  <si>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</si>
  <si>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</si>
  <si>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</si>
  <si>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</si>
  <si>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</si>
  <si>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</si>
  <si>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</si>
  <si>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80454A</t>
  </si>
  <si>
    <t>80455</t>
  </si>
  <si>
    <t>80456</t>
  </si>
  <si>
    <t>80457</t>
  </si>
  <si>
    <t>80457/A</t>
  </si>
  <si>
    <t>80457/B</t>
  </si>
  <si>
    <t>80458</t>
  </si>
  <si>
    <t>80458/A</t>
  </si>
  <si>
    <t>80458/B</t>
  </si>
  <si>
    <t>80459</t>
  </si>
  <si>
    <t>80460</t>
  </si>
  <si>
    <t>80461</t>
  </si>
  <si>
    <t>80461A</t>
  </si>
  <si>
    <t>80461B</t>
  </si>
  <si>
    <t>80462</t>
  </si>
  <si>
    <t>80464</t>
  </si>
  <si>
    <t>80465</t>
  </si>
  <si>
    <t>80465A</t>
  </si>
  <si>
    <t>80466</t>
  </si>
  <si>
    <t>80467</t>
  </si>
  <si>
    <t>80468</t>
  </si>
  <si>
    <t>80469</t>
  </si>
  <si>
    <t>80470</t>
  </si>
  <si>
    <t>80471</t>
  </si>
  <si>
    <t>80471A</t>
  </si>
  <si>
    <t>80472</t>
  </si>
  <si>
    <t>80474</t>
  </si>
  <si>
    <t>80474A</t>
  </si>
  <si>
    <t>80474B</t>
  </si>
  <si>
    <t>80475</t>
  </si>
  <si>
    <t>80479</t>
  </si>
  <si>
    <t>80480</t>
  </si>
  <si>
    <t>80481</t>
  </si>
  <si>
    <t>80482</t>
  </si>
  <si>
    <t>80483</t>
  </si>
  <si>
    <t>80483A</t>
  </si>
  <si>
    <t>80484</t>
  </si>
  <si>
    <t>80484A</t>
  </si>
  <si>
    <t>80485</t>
  </si>
  <si>
    <t>80486</t>
  </si>
  <si>
    <t>80487</t>
  </si>
  <si>
    <t>80489</t>
  </si>
  <si>
    <t>80489A</t>
  </si>
  <si>
    <t>80490</t>
  </si>
  <si>
    <t>80491</t>
  </si>
  <si>
    <t>80498</t>
  </si>
  <si>
    <t>80502</t>
  </si>
  <si>
    <t>80503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</si>
  <si>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</si>
  <si>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</si>
  <si>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</si>
  <si>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</si>
  <si>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</si>
  <si>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</si>
  <si>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</si>
  <si>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</si>
  <si>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</si>
  <si>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</si>
  <si>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</si>
  <si>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</si>
  <si>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</si>
  <si>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</si>
  <si>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</si>
  <si>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</si>
  <si>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</si>
  <si>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</si>
  <si>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</si>
  <si>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</si>
  <si>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</si>
  <si>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</si>
  <si>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</si>
  <si>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</si>
  <si>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</si>
  <si>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</si>
  <si>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80542</t>
  </si>
  <si>
    <t>80543</t>
  </si>
  <si>
    <t>80544</t>
  </si>
  <si>
    <t>80546</t>
  </si>
  <si>
    <t>80547</t>
  </si>
  <si>
    <t>80548</t>
  </si>
  <si>
    <t>80549</t>
  </si>
  <si>
    <t>80550</t>
  </si>
  <si>
    <t>80551</t>
  </si>
  <si>
    <t>80551A</t>
  </si>
  <si>
    <t>80551B</t>
  </si>
  <si>
    <t>80552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</si>
  <si>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</si>
  <si>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</si>
  <si>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</si>
  <si>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</si>
  <si>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</si>
  <si>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</si>
  <si>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</si>
  <si>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</si>
  <si>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</si>
  <si>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</si>
  <si>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</si>
  <si>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</si>
  <si>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</si>
  <si>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</si>
  <si>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</si>
  <si>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</si>
  <si>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</si>
  <si>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</si>
  <si>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</si>
  <si>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</si>
  <si>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</si>
  <si>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</si>
  <si>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80579</t>
  </si>
  <si>
    <t>80582</t>
  </si>
  <si>
    <t>80582A</t>
  </si>
  <si>
    <t>80582B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</si>
  <si>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</si>
  <si>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</si>
  <si>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</si>
  <si>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</si>
  <si>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</si>
  <si>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</si>
  <si>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</si>
  <si>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</si>
  <si>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</si>
  <si>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80594</t>
  </si>
  <si>
    <t>80595</t>
  </si>
  <si>
    <t>80596</t>
  </si>
  <si>
    <t>80597</t>
  </si>
  <si>
    <t>80601</t>
  </si>
  <si>
    <t>80603</t>
  </si>
  <si>
    <t>80604</t>
  </si>
  <si>
    <t>80605</t>
  </si>
  <si>
    <t>80606</t>
  </si>
  <si>
    <t>80607</t>
  </si>
  <si>
    <t>80608</t>
  </si>
  <si>
    <t>80610</t>
  </si>
  <si>
    <t>80610A</t>
  </si>
  <si>
    <t>80610B</t>
  </si>
  <si>
    <t>80611</t>
  </si>
  <si>
    <t>80612</t>
  </si>
  <si>
    <t>80613</t>
  </si>
  <si>
    <t>80621</t>
  </si>
  <si>
    <t>80626</t>
  </si>
  <si>
    <t>80627</t>
  </si>
  <si>
    <t>80628</t>
  </si>
  <si>
    <t>80630</t>
  </si>
  <si>
    <t>80631</t>
  </si>
  <si>
    <t>80632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</si>
  <si>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</si>
  <si>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</si>
  <si>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</si>
  <si>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</si>
  <si>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</si>
  <si>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</si>
  <si>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</si>
  <si>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</si>
  <si>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</si>
  <si>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</si>
  <si>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</si>
  <si>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</si>
  <si>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</si>
  <si>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</si>
  <si>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</si>
  <si>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80650</t>
  </si>
  <si>
    <t>80651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</si>
  <si>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</si>
  <si>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</si>
  <si>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</si>
  <si>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</si>
  <si>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</si>
  <si>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</si>
  <si>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</si>
  <si>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</si>
  <si>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</si>
  <si>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</si>
  <si>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</si>
  <si>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</si>
  <si>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</si>
  <si>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</si>
  <si>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</si>
  <si>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</si>
  <si>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</si>
  <si>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</si>
  <si>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80674</t>
  </si>
  <si>
    <t>80676</t>
  </si>
  <si>
    <t>80679</t>
  </si>
  <si>
    <t>80682</t>
  </si>
  <si>
    <t>80683</t>
  </si>
  <si>
    <t>80684</t>
  </si>
  <si>
    <t>80685</t>
  </si>
  <si>
    <t>80686</t>
  </si>
  <si>
    <t>80687</t>
  </si>
  <si>
    <t>80689</t>
  </si>
  <si>
    <t>80690</t>
  </si>
  <si>
    <t>80691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</si>
  <si>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</si>
  <si>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</si>
  <si>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</si>
  <si>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</si>
  <si>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</si>
  <si>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</si>
  <si>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</si>
  <si>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</si>
  <si>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</si>
  <si>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</si>
  <si>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</si>
  <si>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</si>
  <si>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80709</t>
  </si>
  <si>
    <t>99999</t>
  </si>
  <si>
    <t>BALL-JOINT</t>
  </si>
  <si>
    <t>CLIP_BONOS</t>
  </si>
  <si>
    <t>GASTOSEXTERNOS</t>
  </si>
  <si>
    <t>R0048X0025/4600</t>
  </si>
  <si>
    <t>R0090X0035/4610</t>
  </si>
  <si>
    <t>R009X00275/4610</t>
  </si>
  <si>
    <t>R0100X0010/4610</t>
  </si>
  <si>
    <t>R0100X0030/4610</t>
  </si>
  <si>
    <t>R0100X0040/4600</t>
  </si>
  <si>
    <t>R0100X0050/4610</t>
  </si>
  <si>
    <t>R0100X0070/4600</t>
  </si>
  <si>
    <t>R0100X0070/4610</t>
  </si>
  <si>
    <t>R0100X0085/4610</t>
  </si>
  <si>
    <t>R0120X0030/4650</t>
  </si>
  <si>
    <t>R0125X0030/4600</t>
  </si>
  <si>
    <t>R0125X0035/4610</t>
  </si>
  <si>
    <t>R0130X0025/4600</t>
  </si>
  <si>
    <t>R0130X0050/4600</t>
  </si>
  <si>
    <t>R0130X0095/4620</t>
  </si>
  <si>
    <t>R0135X0054/4720</t>
  </si>
  <si>
    <t>R0140X0025/4650</t>
  </si>
  <si>
    <t>R0140X0030/4600</t>
  </si>
  <si>
    <t>R0145X0026/4600</t>
  </si>
  <si>
    <t>R0145X0070/4430</t>
  </si>
  <si>
    <t>R0145X0070/4600</t>
  </si>
  <si>
    <t>R0150X0020/4600</t>
  </si>
  <si>
    <t>R0150X0024/4650</t>
  </si>
  <si>
    <t>R0150X0028/4610</t>
  </si>
  <si>
    <t>R0150X0030/4610</t>
  </si>
  <si>
    <t>R0150X0035/4610</t>
  </si>
  <si>
    <t>R0150X0110/4760</t>
  </si>
  <si>
    <t>R0150X0120/4600</t>
  </si>
  <si>
    <t>R0158X0021/4600</t>
  </si>
  <si>
    <t>R0160X0160/3330</t>
  </si>
  <si>
    <t>R0160X0160/3600</t>
  </si>
  <si>
    <t>R0165X0165/4100</t>
  </si>
  <si>
    <t>R0176X0023/4600</t>
  </si>
  <si>
    <t>R0180X0042/4600</t>
  </si>
  <si>
    <t>R0180X0045/4900</t>
  </si>
  <si>
    <t>R0183X0030/4610</t>
  </si>
  <si>
    <t>R0185X0130/477T</t>
  </si>
  <si>
    <t>R0188X0140/47TD</t>
  </si>
  <si>
    <t>R0190X0042/4600</t>
  </si>
  <si>
    <t>R0190X0125/477T</t>
  </si>
  <si>
    <t>R0190X0140/47TD</t>
  </si>
  <si>
    <t>R0195X0120/477T</t>
  </si>
  <si>
    <t>R0200X0020/4600</t>
  </si>
  <si>
    <t>R0200X0025/4600</t>
  </si>
  <si>
    <t>R0200X0029/4100</t>
  </si>
  <si>
    <t>R0200X0030/4600</t>
  </si>
  <si>
    <t>R0200X0035/4600</t>
  </si>
  <si>
    <t>R0200X0050/4600</t>
  </si>
  <si>
    <t>R0200X0060/4600</t>
  </si>
  <si>
    <t>R0200X0060/4610</t>
  </si>
  <si>
    <t>R0200X0130/4100</t>
  </si>
  <si>
    <t>R0205X0060/4600</t>
  </si>
  <si>
    <t>R0205X0120/4760</t>
  </si>
  <si>
    <t>R0205X0120/477T</t>
  </si>
  <si>
    <t>R0218X0023/4610</t>
  </si>
  <si>
    <t>R0220X0025/4600</t>
  </si>
  <si>
    <t>R0220X0030/4600</t>
  </si>
  <si>
    <t>R0220X0100/4600</t>
  </si>
  <si>
    <t>R0223X0027/4600</t>
  </si>
  <si>
    <t>R0223X0028/4600</t>
  </si>
  <si>
    <t>R0225X0088/4720</t>
  </si>
  <si>
    <t>R0230X0100/4600</t>
  </si>
  <si>
    <t>R0237X0160/4100</t>
  </si>
  <si>
    <t>R0237X0160/4130</t>
  </si>
  <si>
    <t>R0239X0046/4610</t>
  </si>
  <si>
    <t>R0240X0100/4600</t>
  </si>
  <si>
    <t>R0250X0020/4630</t>
  </si>
  <si>
    <t>R0250X0047/4600</t>
  </si>
  <si>
    <t>R0250X0085/4600</t>
  </si>
  <si>
    <t>R0250X0250/3600</t>
  </si>
  <si>
    <t>R0255X0047/4600</t>
  </si>
  <si>
    <t>R0258X0082/4600</t>
  </si>
  <si>
    <t>R0260X0033/4600</t>
  </si>
  <si>
    <t>R0270X0030/4600</t>
  </si>
  <si>
    <t>R0270X0061/4720</t>
  </si>
  <si>
    <t>R0280X0070/4600</t>
  </si>
  <si>
    <t>R0280X0080/4600</t>
  </si>
  <si>
    <t>R0280X0094/3330</t>
  </si>
  <si>
    <t>R0280X0210/4810</t>
  </si>
  <si>
    <t>R0290X0050/4600</t>
  </si>
  <si>
    <t>R0290X0290/4810</t>
  </si>
  <si>
    <t>R0300X0036/4610</t>
  </si>
  <si>
    <t>R0300X0063/4610</t>
  </si>
  <si>
    <t>R0300X0100/4600</t>
  </si>
  <si>
    <t>R0300X0300/3600</t>
  </si>
  <si>
    <t>R0320X0090/4100</t>
  </si>
  <si>
    <t>R0320X0107/4600</t>
  </si>
  <si>
    <t>R0330X0107/4600</t>
  </si>
  <si>
    <t>R0365X0320/4810</t>
  </si>
  <si>
    <t>R0380X0080/4600</t>
  </si>
  <si>
    <t>R0380X0080/46MX</t>
  </si>
  <si>
    <t>R0380X0130/4400</t>
  </si>
  <si>
    <t>R0400X0350/4810</t>
  </si>
  <si>
    <t>R0420X0090/4100</t>
  </si>
  <si>
    <t>R0420X0090/4300</t>
  </si>
  <si>
    <t>R0452X0063/4100</t>
  </si>
  <si>
    <t>R0480X0050/4600</t>
  </si>
  <si>
    <t>VAR2,5X192/1</t>
  </si>
  <si>
    <t>VAR5X285/1</t>
  </si>
  <si>
    <t>77096A</t>
  </si>
  <si>
    <t>09038</t>
  </si>
  <si>
    <t>33745</t>
  </si>
  <si>
    <t>33746</t>
  </si>
  <si>
    <t>68426D</t>
  </si>
  <si>
    <t>74544F</t>
  </si>
  <si>
    <t>78725B</t>
  </si>
  <si>
    <t>79431A</t>
  </si>
  <si>
    <t>79796I</t>
  </si>
  <si>
    <t>79810B</t>
  </si>
  <si>
    <t>80254A</t>
  </si>
  <si>
    <t>80315F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</si>
</sst>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"/>
    <numFmt numFmtId="165" formatCode="0.000"/>
    <numFmt numFmtId="166" formatCode="0.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20"/>
      <color theme="1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theme="5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rgb="FF000000"/>
      <name val="Calibri"/>
      <family val="2"/>
    </font>
    <font>
      <sz val="11"/>
      <color rgb="FF242424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CD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87D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/>
      <top/>
      <bottom style="thick">
        <color theme="5"/>
      </bottom>
      <diagonal/>
    </border>
    <border>
      <left/>
      <right style="thick">
        <color theme="5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4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6" fillId="10" borderId="0" xfId="0" applyFont="1" applyFill="1" applyAlignment="1">
      <alignment horizontal="center" wrapText="1"/>
    </xf>
    <xf numFmtId="9" fontId="4" fillId="11" borderId="1" xfId="0" applyNumberFormat="1" applyFont="1" applyFill="1" applyBorder="1"/>
    <xf numFmtId="0" fontId="7" fillId="12" borderId="0" xfId="0" applyFont="1" applyFill="1" applyAlignment="1">
      <alignment horizontal="center" vertical="center" wrapText="1"/>
    </xf>
    <xf numFmtId="0" fontId="8" fillId="0" borderId="0" xfId="0" applyFont="1"/>
    <xf numFmtId="0" fontId="9" fillId="13" borderId="2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9" fontId="10" fillId="14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15" borderId="2" xfId="0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12" fillId="16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16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9" fillId="13" borderId="7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/>
    </xf>
    <xf numFmtId="0" fontId="9" fillId="15" borderId="6" xfId="0" applyFont="1" applyFill="1" applyBorder="1" applyAlignment="1">
      <alignment horizontal="center" vertical="center"/>
    </xf>
    <xf numFmtId="0" fontId="9" fillId="15" borderId="7" xfId="0" applyFont="1" applyFill="1" applyBorder="1" applyAlignment="1">
      <alignment horizontal="center" vertical="center"/>
    </xf>
    <xf numFmtId="0" fontId="9" fillId="15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4" fillId="15" borderId="10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0" fontId="4" fillId="15" borderId="10" xfId="0" applyFont="1" applyFill="1" applyBorder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0" fontId="4" fillId="15" borderId="11" xfId="0" applyFont="1" applyFill="1" applyBorder="1" applyAlignment="1">
      <alignment horizontal="center" vertical="center" wrapText="1"/>
    </xf>
    <xf numFmtId="0" fontId="4" fillId="15" borderId="7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17" borderId="12" xfId="0" applyFill="1" applyBorder="1"/>
    <xf numFmtId="0" fontId="0" fillId="0" borderId="12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13" xfId="0" applyFont="1" applyBorder="1"/>
    <xf numFmtId="0" fontId="2" fillId="18" borderId="14" xfId="0" applyFont="1" applyFill="1" applyBorder="1"/>
    <xf numFmtId="0" fontId="4" fillId="0" borderId="0" xfId="0" applyFont="1"/>
    <xf numFmtId="0" fontId="4" fillId="14" borderId="2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1" fontId="4" fillId="19" borderId="17" xfId="0" applyNumberFormat="1" applyFont="1" applyFill="1" applyBorder="1" applyAlignment="1">
      <alignment horizontal="center" vertical="center"/>
    </xf>
    <xf numFmtId="1" fontId="4" fillId="19" borderId="18" xfId="0" applyNumberFormat="1" applyFont="1" applyFill="1" applyBorder="1" applyAlignment="1">
      <alignment horizontal="center" vertical="center"/>
    </xf>
    <xf numFmtId="1" fontId="4" fillId="19" borderId="19" xfId="0" applyNumberFormat="1" applyFont="1" applyFill="1" applyBorder="1" applyAlignment="1">
      <alignment horizontal="center" vertical="center" wrapText="1"/>
    </xf>
    <xf numFmtId="0" fontId="4" fillId="20" borderId="15" xfId="0" applyFont="1" applyFill="1" applyBorder="1" applyAlignment="1">
      <alignment horizontal="center" vertical="center"/>
    </xf>
    <xf numFmtId="0" fontId="4" fillId="20" borderId="1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19" borderId="20" xfId="0" applyFont="1" applyFill="1" applyBorder="1" applyAlignment="1">
      <alignment horizontal="center" vertical="center"/>
    </xf>
    <xf numFmtId="0" fontId="4" fillId="19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21" borderId="23" xfId="0" applyFont="1" applyFill="1" applyBorder="1" applyAlignment="1">
      <alignment horizontal="center" vertical="center"/>
    </xf>
    <xf numFmtId="0" fontId="4" fillId="21" borderId="23" xfId="0" applyFont="1" applyFill="1" applyBorder="1" applyAlignment="1">
      <alignment horizontal="center" vertical="center" wrapText="1"/>
    </xf>
    <xf numFmtId="0" fontId="4" fillId="21" borderId="21" xfId="0" applyFont="1" applyFill="1" applyBorder="1" applyAlignment="1">
      <alignment horizontal="center" vertical="center"/>
    </xf>
    <xf numFmtId="0" fontId="4" fillId="19" borderId="15" xfId="0" applyFont="1" applyFill="1" applyBorder="1" applyAlignment="1">
      <alignment horizontal="center" vertical="center"/>
    </xf>
    <xf numFmtId="0" fontId="4" fillId="19" borderId="16" xfId="0" applyFont="1" applyFill="1" applyBorder="1" applyAlignment="1">
      <alignment horizontal="center" vertical="center"/>
    </xf>
    <xf numFmtId="0" fontId="4" fillId="19" borderId="15" xfId="0" applyFont="1" applyFill="1" applyBorder="1" applyAlignment="1">
      <alignment horizontal="center" vertical="center" wrapText="1"/>
    </xf>
    <xf numFmtId="0" fontId="4" fillId="19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10" xfId="0" applyFill="1" applyBorder="1"/>
    <xf numFmtId="0" fontId="13" fillId="6" borderId="11" xfId="0" applyFont="1" applyFill="1" applyBorder="1"/>
    <xf numFmtId="0" fontId="4" fillId="14" borderId="6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 vertical="center"/>
    </xf>
    <xf numFmtId="0" fontId="0" fillId="6" borderId="2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14" fillId="0" borderId="16" xfId="0" applyFont="1" applyBorder="1" applyAlignment="1">
      <alignment horizontal="center" vertical="center"/>
    </xf>
    <xf numFmtId="2" fontId="0" fillId="0" borderId="0" xfId="0" applyNumberFormat="1"/>
    <xf numFmtId="0" fontId="0" fillId="20" borderId="24" xfId="0" applyFill="1" applyBorder="1" applyAlignment="1">
      <alignment horizontal="center"/>
    </xf>
    <xf numFmtId="165" fontId="0" fillId="20" borderId="25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6" borderId="27" xfId="0" applyFill="1" applyBorder="1" applyAlignment="1">
      <alignment horizontal="center"/>
    </xf>
    <xf numFmtId="0" fontId="0" fillId="21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0" xfId="2" applyFont="1"/>
    <xf numFmtId="0" fontId="0" fillId="0" borderId="24" xfId="0" applyBorder="1" applyAlignment="1">
      <alignment horizontal="center"/>
    </xf>
    <xf numFmtId="9" fontId="0" fillId="6" borderId="25" xfId="2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0" fillId="0" borderId="24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4" fillId="0" borderId="25" xfId="0" applyFont="1" applyBorder="1" applyAlignment="1">
      <alignment horizontal="center" vertical="center"/>
    </xf>
    <xf numFmtId="165" fontId="0" fillId="6" borderId="25" xfId="0" applyNumberFormat="1" applyFill="1" applyBorder="1" applyAlignment="1">
      <alignment horizontal="center"/>
    </xf>
    <xf numFmtId="0" fontId="0" fillId="0" borderId="25" xfId="0" applyBorder="1" applyAlignment="1">
      <alignment horizontal="left"/>
    </xf>
    <xf numFmtId="0" fontId="0" fillId="6" borderId="28" xfId="0" applyFill="1" applyBorder="1" applyAlignment="1">
      <alignment horizontal="center"/>
    </xf>
    <xf numFmtId="0" fontId="0" fillId="21" borderId="24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22" borderId="10" xfId="0" applyFill="1" applyBorder="1"/>
    <xf numFmtId="0" fontId="13" fillId="22" borderId="11" xfId="0" applyFont="1" applyFill="1" applyBorder="1"/>
    <xf numFmtId="0" fontId="9" fillId="13" borderId="2" xfId="0" applyFont="1" applyFill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center" vertical="center" wrapText="1"/>
    </xf>
    <xf numFmtId="9" fontId="10" fillId="14" borderId="5" xfId="2" applyFont="1" applyFill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 wrapText="1"/>
    </xf>
    <xf numFmtId="0" fontId="9" fillId="13" borderId="7" xfId="0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 wrapText="1"/>
    </xf>
    <xf numFmtId="9" fontId="10" fillId="14" borderId="9" xfId="2" applyFont="1" applyFill="1" applyBorder="1" applyAlignment="1">
      <alignment horizontal="center" vertical="center"/>
    </xf>
    <xf numFmtId="49" fontId="0" fillId="0" borderId="24" xfId="0" applyNumberFormat="1" applyBorder="1" applyAlignment="1">
      <alignment horizontal="center"/>
    </xf>
    <xf numFmtId="0" fontId="9" fillId="23" borderId="2" xfId="0" applyFont="1" applyFill="1" applyBorder="1" applyAlignment="1">
      <alignment horizontal="center" vertical="center"/>
    </xf>
    <xf numFmtId="0" fontId="9" fillId="23" borderId="3" xfId="0" applyFont="1" applyFill="1" applyBorder="1" applyAlignment="1">
      <alignment horizontal="center" vertical="center"/>
    </xf>
    <xf numFmtId="0" fontId="9" fillId="23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9" fillId="23" borderId="6" xfId="0" applyFont="1" applyFill="1" applyBorder="1" applyAlignment="1">
      <alignment horizontal="center" vertical="center"/>
    </xf>
    <xf numFmtId="0" fontId="9" fillId="23" borderId="7" xfId="0" applyFont="1" applyFill="1" applyBorder="1" applyAlignment="1">
      <alignment horizontal="center" vertical="center"/>
    </xf>
    <xf numFmtId="0" fontId="9" fillId="23" borderId="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/>
    </xf>
    <xf numFmtId="0" fontId="0" fillId="24" borderId="10" xfId="0" applyFill="1" applyBorder="1"/>
    <xf numFmtId="0" fontId="13" fillId="24" borderId="11" xfId="0" applyFont="1" applyFill="1" applyBorder="1"/>
    <xf numFmtId="10" fontId="0" fillId="6" borderId="25" xfId="2" applyNumberFormat="1" applyFont="1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20" borderId="29" xfId="0" applyFill="1" applyBorder="1" applyAlignment="1">
      <alignment horizontal="center"/>
    </xf>
    <xf numFmtId="165" fontId="0" fillId="20" borderId="30" xfId="0" applyNumberFormat="1" applyFill="1" applyBorder="1" applyAlignment="1">
      <alignment horizontal="center"/>
    </xf>
    <xf numFmtId="0" fontId="11" fillId="16" borderId="0" xfId="0" applyFont="1" applyFill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12" borderId="10" xfId="0" applyFill="1" applyBorder="1"/>
    <xf numFmtId="0" fontId="13" fillId="12" borderId="11" xfId="0" applyFont="1" applyFill="1" applyBorder="1"/>
    <xf numFmtId="0" fontId="15" fillId="23" borderId="2" xfId="0" applyFont="1" applyFill="1" applyBorder="1" applyAlignment="1">
      <alignment horizontal="center" vertical="center"/>
    </xf>
    <xf numFmtId="0" fontId="15" fillId="23" borderId="3" xfId="0" applyFont="1" applyFill="1" applyBorder="1" applyAlignment="1">
      <alignment horizontal="center" vertical="center"/>
    </xf>
    <xf numFmtId="0" fontId="15" fillId="23" borderId="4" xfId="0" applyFont="1" applyFill="1" applyBorder="1" applyAlignment="1">
      <alignment horizontal="center" vertical="center"/>
    </xf>
    <xf numFmtId="0" fontId="0" fillId="25" borderId="10" xfId="0" applyFill="1" applyBorder="1"/>
    <xf numFmtId="0" fontId="13" fillId="25" borderId="11" xfId="0" applyFont="1" applyFill="1" applyBorder="1"/>
    <xf numFmtId="0" fontId="15" fillId="23" borderId="6" xfId="0" applyFont="1" applyFill="1" applyBorder="1" applyAlignment="1">
      <alignment horizontal="center" vertical="center"/>
    </xf>
    <xf numFmtId="0" fontId="15" fillId="23" borderId="7" xfId="0" applyFont="1" applyFill="1" applyBorder="1" applyAlignment="1">
      <alignment horizontal="center" vertical="center"/>
    </xf>
    <xf numFmtId="0" fontId="15" fillId="23" borderId="8" xfId="0" applyFont="1" applyFill="1" applyBorder="1" applyAlignment="1">
      <alignment horizontal="center" vertical="center"/>
    </xf>
    <xf numFmtId="0" fontId="0" fillId="6" borderId="31" xfId="0" applyFill="1" applyBorder="1" applyAlignment="1">
      <alignment horizontal="center"/>
    </xf>
    <xf numFmtId="0" fontId="0" fillId="0" borderId="0" xfId="0" applyAlignment="1">
      <alignment horizontal="right"/>
    </xf>
    <xf numFmtId="0" fontId="16" fillId="0" borderId="1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0" fillId="14" borderId="16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9" fontId="0" fillId="0" borderId="0" xfId="0" applyNumberFormat="1"/>
    <xf numFmtId="0" fontId="0" fillId="6" borderId="32" xfId="0" applyFill="1" applyBorder="1" applyAlignment="1">
      <alignment horizontal="center"/>
    </xf>
    <xf numFmtId="9" fontId="0" fillId="0" borderId="0" xfId="0" applyNumberFormat="1" applyAlignment="1">
      <alignment horizontal="right"/>
    </xf>
    <xf numFmtId="0" fontId="0" fillId="26" borderId="10" xfId="0" applyFill="1" applyBorder="1"/>
    <xf numFmtId="0" fontId="13" fillId="26" borderId="11" xfId="0" applyFont="1" applyFill="1" applyBorder="1"/>
    <xf numFmtId="0" fontId="16" fillId="0" borderId="24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0" fillId="14" borderId="25" xfId="0" applyFont="1" applyFill="1" applyBorder="1" applyAlignment="1">
      <alignment horizontal="center" vertical="center"/>
    </xf>
    <xf numFmtId="0" fontId="0" fillId="27" borderId="10" xfId="0" applyFill="1" applyBorder="1"/>
    <xf numFmtId="0" fontId="13" fillId="27" borderId="11" xfId="0" applyFont="1" applyFill="1" applyBorder="1"/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0" fillId="16" borderId="10" xfId="0" applyFill="1" applyBorder="1"/>
    <xf numFmtId="0" fontId="13" fillId="16" borderId="11" xfId="0" applyFont="1" applyFill="1" applyBorder="1"/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3" fillId="0" borderId="11" xfId="0" applyFont="1" applyBorder="1"/>
    <xf numFmtId="0" fontId="0" fillId="6" borderId="37" xfId="0" applyFill="1" applyBorder="1" applyAlignment="1">
      <alignment horizontal="center"/>
    </xf>
    <xf numFmtId="0" fontId="10" fillId="6" borderId="5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1" fontId="0" fillId="6" borderId="12" xfId="0" applyNumberFormat="1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9" fillId="28" borderId="2" xfId="0" applyFont="1" applyFill="1" applyBorder="1" applyAlignment="1">
      <alignment horizontal="center" vertical="center"/>
    </xf>
    <xf numFmtId="0" fontId="9" fillId="28" borderId="3" xfId="0" applyFont="1" applyFill="1" applyBorder="1" applyAlignment="1">
      <alignment horizontal="center" vertical="center"/>
    </xf>
    <xf numFmtId="0" fontId="9" fillId="28" borderId="4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0" fillId="14" borderId="30" xfId="0" applyFont="1" applyFill="1" applyBorder="1" applyAlignment="1">
      <alignment horizontal="center" vertical="center"/>
    </xf>
    <xf numFmtId="0" fontId="9" fillId="28" borderId="6" xfId="0" applyFont="1" applyFill="1" applyBorder="1" applyAlignment="1">
      <alignment horizontal="center" vertical="center"/>
    </xf>
    <xf numFmtId="0" fontId="9" fillId="28" borderId="7" xfId="0" applyFont="1" applyFill="1" applyBorder="1" applyAlignment="1">
      <alignment horizontal="center" vertical="center"/>
    </xf>
    <xf numFmtId="0" fontId="9" fillId="28" borderId="8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/>
    </xf>
    <xf numFmtId="0" fontId="17" fillId="0" borderId="0" xfId="0" applyFont="1" applyAlignment="1">
      <alignment vertical="center"/>
    </xf>
    <xf numFmtId="0" fontId="0" fillId="0" borderId="24" xfId="0" applyBorder="1" applyAlignment="1">
      <alignment horizontal="center" vertical="center"/>
    </xf>
    <xf numFmtId="0" fontId="18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 vertical="center"/>
    </xf>
    <xf numFmtId="0" fontId="9" fillId="29" borderId="2" xfId="0" applyFont="1" applyFill="1" applyBorder="1" applyAlignment="1">
      <alignment horizontal="center" vertical="center"/>
    </xf>
    <xf numFmtId="0" fontId="9" fillId="29" borderId="3" xfId="0" applyFont="1" applyFill="1" applyBorder="1" applyAlignment="1">
      <alignment horizontal="center" vertical="center"/>
    </xf>
    <xf numFmtId="0" fontId="9" fillId="29" borderId="4" xfId="0" applyFont="1" applyFill="1" applyBorder="1" applyAlignment="1">
      <alignment horizontal="center" vertical="center"/>
    </xf>
    <xf numFmtId="0" fontId="7" fillId="29" borderId="39" xfId="0" applyFont="1" applyFill="1" applyBorder="1" applyAlignment="1">
      <alignment horizontal="center" vertical="center"/>
    </xf>
    <xf numFmtId="0" fontId="7" fillId="29" borderId="40" xfId="0" applyFont="1" applyFill="1" applyBorder="1" applyAlignment="1">
      <alignment horizontal="center" vertical="center"/>
    </xf>
    <xf numFmtId="0" fontId="7" fillId="29" borderId="27" xfId="0" applyFont="1" applyFill="1" applyBorder="1" applyAlignment="1">
      <alignment horizontal="center" vertical="center"/>
    </xf>
    <xf numFmtId="0" fontId="9" fillId="29" borderId="6" xfId="0" applyFont="1" applyFill="1" applyBorder="1" applyAlignment="1">
      <alignment horizontal="center" vertical="center"/>
    </xf>
    <xf numFmtId="0" fontId="9" fillId="29" borderId="7" xfId="0" applyFont="1" applyFill="1" applyBorder="1" applyAlignment="1">
      <alignment horizontal="center" vertical="center"/>
    </xf>
    <xf numFmtId="0" fontId="9" fillId="29" borderId="8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9" fontId="10" fillId="0" borderId="5" xfId="0" applyNumberFormat="1" applyFont="1" applyBorder="1" applyAlignment="1">
      <alignment horizontal="center" vertical="center"/>
    </xf>
    <xf numFmtId="166" fontId="10" fillId="6" borderId="5" xfId="0" applyNumberFormat="1" applyFont="1" applyFill="1" applyBorder="1" applyAlignment="1">
      <alignment horizontal="center" vertical="center"/>
    </xf>
    <xf numFmtId="166" fontId="10" fillId="6" borderId="9" xfId="0" applyNumberFormat="1" applyFont="1" applyFill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9" fillId="30" borderId="2" xfId="0" applyFont="1" applyFill="1" applyBorder="1" applyAlignment="1">
      <alignment horizontal="center" vertical="center"/>
    </xf>
    <xf numFmtId="0" fontId="9" fillId="30" borderId="3" xfId="0" applyFont="1" applyFill="1" applyBorder="1" applyAlignment="1">
      <alignment horizontal="center" vertical="center"/>
    </xf>
    <xf numFmtId="0" fontId="9" fillId="30" borderId="4" xfId="0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0" fontId="9" fillId="30" borderId="6" xfId="0" applyFont="1" applyFill="1" applyBorder="1" applyAlignment="1">
      <alignment horizontal="center" vertical="center"/>
    </xf>
    <xf numFmtId="0" fontId="9" fillId="30" borderId="7" xfId="0" applyFont="1" applyFill="1" applyBorder="1" applyAlignment="1">
      <alignment horizontal="center" vertical="center"/>
    </xf>
    <xf numFmtId="0" fontId="9" fillId="30" borderId="8" xfId="0" applyFont="1" applyFill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0" fillId="0" borderId="49" xfId="0" applyBorder="1"/>
    <xf numFmtId="0" fontId="19" fillId="0" borderId="50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19" fillId="0" borderId="53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0" fillId="0" borderId="5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14" borderId="0" xfId="0" applyFill="1" applyAlignment="1">
      <alignment horizontal="center"/>
    </xf>
    <xf numFmtId="0" fontId="0" fillId="0" borderId="56" xfId="0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20" borderId="12" xfId="0" applyFill="1" applyBorder="1" applyAlignment="1">
      <alignment horizontal="center"/>
    </xf>
    <xf numFmtId="0" fontId="0" fillId="20" borderId="12" xfId="0" applyFill="1" applyBorder="1"/>
    <xf numFmtId="0" fontId="7" fillId="31" borderId="2" xfId="0" applyFont="1" applyFill="1" applyBorder="1" applyAlignment="1">
      <alignment horizontal="center" vertical="center"/>
    </xf>
    <xf numFmtId="0" fontId="7" fillId="31" borderId="3" xfId="0" applyFont="1" applyFill="1" applyBorder="1" applyAlignment="1">
      <alignment horizontal="center" vertical="center"/>
    </xf>
    <xf numFmtId="0" fontId="7" fillId="31" borderId="4" xfId="0" applyFont="1" applyFill="1" applyBorder="1" applyAlignment="1">
      <alignment horizontal="center" vertical="center"/>
    </xf>
    <xf numFmtId="0" fontId="11" fillId="31" borderId="2" xfId="0" applyFont="1" applyFill="1" applyBorder="1" applyAlignment="1">
      <alignment horizontal="center" vertical="center" wrapText="1"/>
    </xf>
    <xf numFmtId="0" fontId="11" fillId="31" borderId="4" xfId="0" applyFont="1" applyFill="1" applyBorder="1" applyAlignment="1">
      <alignment horizontal="center" vertical="center" wrapText="1"/>
    </xf>
    <xf numFmtId="0" fontId="6" fillId="31" borderId="2" xfId="0" applyFont="1" applyFill="1" applyBorder="1" applyAlignment="1">
      <alignment horizontal="center" vertical="center"/>
    </xf>
    <xf numFmtId="0" fontId="6" fillId="31" borderId="3" xfId="0" applyFont="1" applyFill="1" applyBorder="1" applyAlignment="1">
      <alignment horizontal="center" vertical="center"/>
    </xf>
    <xf numFmtId="0" fontId="6" fillId="31" borderId="4" xfId="0" applyFont="1" applyFill="1" applyBorder="1" applyAlignment="1">
      <alignment horizontal="center" vertical="center"/>
    </xf>
    <xf numFmtId="0" fontId="7" fillId="31" borderId="10" xfId="0" applyFont="1" applyFill="1" applyBorder="1" applyAlignment="1">
      <alignment horizontal="center" vertical="center"/>
    </xf>
    <xf numFmtId="0" fontId="7" fillId="31" borderId="0" xfId="0" applyFont="1" applyFill="1" applyAlignment="1">
      <alignment horizontal="center" vertical="center"/>
    </xf>
    <xf numFmtId="0" fontId="7" fillId="31" borderId="11" xfId="0" applyFont="1" applyFill="1" applyBorder="1" applyAlignment="1">
      <alignment horizontal="center" vertical="center"/>
    </xf>
    <xf numFmtId="0" fontId="11" fillId="31" borderId="10" xfId="0" applyFont="1" applyFill="1" applyBorder="1" applyAlignment="1">
      <alignment horizontal="center" vertical="center" wrapText="1"/>
    </xf>
    <xf numFmtId="0" fontId="11" fillId="31" borderId="11" xfId="0" applyFont="1" applyFill="1" applyBorder="1" applyAlignment="1">
      <alignment horizontal="center" vertical="center" wrapText="1"/>
    </xf>
    <xf numFmtId="0" fontId="6" fillId="31" borderId="10" xfId="0" applyFont="1" applyFill="1" applyBorder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6" fillId="31" borderId="1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43" fontId="0" fillId="0" borderId="10" xfId="1" applyFon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3" fontId="0" fillId="0" borderId="0" xfId="0" applyNumberFormat="1"/>
    <xf numFmtId="0" fontId="4" fillId="0" borderId="10" xfId="0" applyFont="1" applyBorder="1"/>
    <xf numFmtId="0" fontId="0" fillId="30" borderId="10" xfId="0" applyFill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30" borderId="6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28" xfId="0" applyBorder="1" applyAlignment="1">
      <alignment horizontal="center"/>
    </xf>
    <xf numFmtId="10" fontId="0" fillId="0" borderId="25" xfId="2" applyNumberFormat="1" applyFont="1" applyBorder="1" applyAlignment="1">
      <alignment horizontal="center"/>
    </xf>
    <xf numFmtId="0" fontId="0" fillId="32" borderId="24" xfId="0" applyFill="1" applyBorder="1" applyAlignment="1">
      <alignment horizontal="center"/>
    </xf>
    <xf numFmtId="0" fontId="0" fillId="32" borderId="25" xfId="0" applyFill="1" applyBorder="1" applyAlignment="1">
      <alignment horizontal="center"/>
    </xf>
    <xf numFmtId="0" fontId="21" fillId="20" borderId="12" xfId="0" applyFont="1" applyFill="1" applyBorder="1" applyAlignment="1">
      <alignment horizontal="center"/>
    </xf>
    <xf numFmtId="0" fontId="0" fillId="0" borderId="59" xfId="0" applyBorder="1" applyAlignment="1">
      <alignment horizontal="left"/>
    </xf>
    <xf numFmtId="0" fontId="0" fillId="0" borderId="60" xfId="0" applyBorder="1" applyAlignment="1">
      <alignment horizontal="center"/>
    </xf>
    <xf numFmtId="0" fontId="0" fillId="21" borderId="57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32" borderId="29" xfId="0" applyFill="1" applyBorder="1" applyAlignment="1">
      <alignment horizontal="center"/>
    </xf>
    <xf numFmtId="0" fontId="0" fillId="32" borderId="30" xfId="0" applyFill="1" applyBorder="1" applyAlignment="1">
      <alignment horizontal="center"/>
    </xf>
    <xf numFmtId="0" fontId="0" fillId="0" borderId="30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21" fillId="23" borderId="12" xfId="0" applyFon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33" borderId="12" xfId="0" applyFont="1" applyFill="1" applyBorder="1" applyAlignment="1">
      <alignment horizontal="center"/>
    </xf>
    <xf numFmtId="49" fontId="0" fillId="19" borderId="24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horizontal="center"/>
    </xf>
    <xf numFmtId="0" fontId="0" fillId="19" borderId="25" xfId="0" applyFill="1" applyBorder="1" applyAlignment="1">
      <alignment horizontal="center"/>
    </xf>
    <xf numFmtId="0" fontId="0" fillId="34" borderId="61" xfId="0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22" fillId="35" borderId="0" xfId="0" applyFont="1" applyFill="1" applyAlignment="1">
      <alignment horizontal="center" vertical="center" wrapText="1"/>
    </xf>
    <xf numFmtId="0" fontId="23" fillId="35" borderId="0" xfId="0" applyFont="1" applyFill="1" applyAlignment="1">
      <alignment horizontal="center" wrapText="1"/>
    </xf>
    <xf numFmtId="49" fontId="22" fillId="35" borderId="0" xfId="0" applyNumberFormat="1" applyFont="1" applyFill="1" applyAlignment="1">
      <alignment horizontal="center" vertical="center" wrapText="1"/>
    </xf>
    <xf numFmtId="0" fontId="0" fillId="35" borderId="0" xfId="0" applyFill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Supply%20Chain\SEBASTI&#193;N\BACKUP\Planificaci&#243;n%20-%20producci&#243;n\TSP\2025\Q3\EJECUCI&#211;N\Versiones%20Q3\P7%20V3%20%20CON%20DATOS%20DEL%2027082025.xlsm" TargetMode="External"/><Relationship Id="rId1" Type="http://schemas.openxmlformats.org/officeDocument/2006/relationships/externalLinkPath" Target="file:///Y:\Supply%20Chain\SEBASTI&#193;N\BACKUP\Planificaci&#243;n%20-%20producci&#243;n\TSP\2025\Q3\EJECUCI&#211;N\Versiones%20Q3\P7%20V3%20%20CON%20DATOS%20DEL%202708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Resumen_Agrupado"/>
      <sheetName val="comparativa artículos entre des"/>
      <sheetName val="ALBARANES"/>
      <sheetName val="DV-S"/>
      <sheetName val="RM UA02"/>
      <sheetName val="OEE MEJORADA"/>
      <sheetName val="CÁLCULO ESTACIONALIDAD"/>
      <sheetName val="Hoja1"/>
      <sheetName val="PEGAR LISTADO PEDIDOS DE VE (2)"/>
      <sheetName val="DATOS PBI Artículos"/>
      <sheetName val="ARTÍCULOS"/>
      <sheetName val="CRITERIOS"/>
      <sheetName val="CAPACIDAD INSTALADA"/>
      <sheetName val="MÁQUINAS"/>
      <sheetName val="SATURACIÓN MÁQUINAS"/>
      <sheetName val="NIVELACIÓN PERSONA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MÁQUINA</v>
          </cell>
          <cell r="B1" t="str">
            <v>OEE MEJORADA</v>
          </cell>
        </row>
        <row r="2">
          <cell r="A2">
            <v>102</v>
          </cell>
          <cell r="B2" t="str">
            <v/>
          </cell>
        </row>
        <row r="3">
          <cell r="A3">
            <v>103</v>
          </cell>
          <cell r="B3" t="str">
            <v/>
          </cell>
        </row>
        <row r="4">
          <cell r="A4">
            <v>104</v>
          </cell>
          <cell r="B4" t="str">
            <v/>
          </cell>
        </row>
        <row r="5">
          <cell r="A5">
            <v>105</v>
          </cell>
          <cell r="B5" t="str">
            <v/>
          </cell>
        </row>
        <row r="6">
          <cell r="A6">
            <v>106</v>
          </cell>
          <cell r="B6" t="str">
            <v/>
          </cell>
        </row>
        <row r="7">
          <cell r="A7">
            <v>107</v>
          </cell>
          <cell r="B7" t="str">
            <v/>
          </cell>
        </row>
        <row r="8">
          <cell r="A8">
            <v>108</v>
          </cell>
          <cell r="B8" t="str">
            <v/>
          </cell>
        </row>
        <row r="9">
          <cell r="A9">
            <v>109</v>
          </cell>
          <cell r="B9">
            <v>0.85532937840254042</v>
          </cell>
        </row>
        <row r="10">
          <cell r="A10">
            <v>122</v>
          </cell>
          <cell r="B10">
            <v>0.92617360112689973</v>
          </cell>
        </row>
        <row r="11">
          <cell r="A11">
            <v>123</v>
          </cell>
          <cell r="B11" t="str">
            <v/>
          </cell>
        </row>
        <row r="12">
          <cell r="A12">
            <v>124</v>
          </cell>
          <cell r="B12">
            <v>0.74707857409333023</v>
          </cell>
        </row>
        <row r="13">
          <cell r="A13">
            <v>125</v>
          </cell>
          <cell r="B13">
            <v>0.48980281690140853</v>
          </cell>
        </row>
        <row r="14">
          <cell r="A14">
            <v>126</v>
          </cell>
          <cell r="B14" t="str">
            <v/>
          </cell>
        </row>
        <row r="15">
          <cell r="A15">
            <v>127</v>
          </cell>
          <cell r="B15">
            <v>0.94544367466227375</v>
          </cell>
        </row>
        <row r="16">
          <cell r="A16">
            <v>134</v>
          </cell>
          <cell r="B16" t="str">
            <v/>
          </cell>
        </row>
        <row r="17">
          <cell r="A17">
            <v>135</v>
          </cell>
          <cell r="B17" t="str">
            <v/>
          </cell>
        </row>
        <row r="18">
          <cell r="A18">
            <v>136</v>
          </cell>
          <cell r="B18">
            <v>0.86367089845967493</v>
          </cell>
        </row>
        <row r="19">
          <cell r="A19">
            <v>137</v>
          </cell>
          <cell r="B19" t="str">
            <v/>
          </cell>
        </row>
        <row r="20">
          <cell r="A20">
            <v>139</v>
          </cell>
          <cell r="B20">
            <v>0.95373848881575396</v>
          </cell>
        </row>
        <row r="21">
          <cell r="A21">
            <v>140</v>
          </cell>
          <cell r="B21" t="str">
            <v/>
          </cell>
        </row>
        <row r="22">
          <cell r="A22">
            <v>141</v>
          </cell>
          <cell r="B22">
            <v>0.72431936035306332</v>
          </cell>
        </row>
        <row r="23">
          <cell r="A23">
            <v>142</v>
          </cell>
          <cell r="B23">
            <v>0.78828007640846465</v>
          </cell>
        </row>
        <row r="24">
          <cell r="A24">
            <v>205</v>
          </cell>
          <cell r="B24" t="str">
            <v/>
          </cell>
        </row>
        <row r="25">
          <cell r="A25">
            <v>206</v>
          </cell>
          <cell r="B25" t="str">
            <v/>
          </cell>
        </row>
        <row r="26">
          <cell r="A26">
            <v>207</v>
          </cell>
          <cell r="B26">
            <v>0.90220634100579333</v>
          </cell>
        </row>
        <row r="27">
          <cell r="A27">
            <v>210</v>
          </cell>
          <cell r="B27">
            <v>0.8397629549631801</v>
          </cell>
        </row>
        <row r="28">
          <cell r="A28">
            <v>211</v>
          </cell>
          <cell r="B28">
            <v>0.65199157996924428</v>
          </cell>
        </row>
        <row r="29">
          <cell r="A29">
            <v>212</v>
          </cell>
          <cell r="B29">
            <v>0.9336728042950293</v>
          </cell>
        </row>
        <row r="30">
          <cell r="A30">
            <v>213</v>
          </cell>
          <cell r="B30">
            <v>0.91629014095308969</v>
          </cell>
        </row>
        <row r="31">
          <cell r="A31">
            <v>214</v>
          </cell>
          <cell r="B31">
            <v>0.92863522501712203</v>
          </cell>
        </row>
        <row r="32">
          <cell r="A32">
            <v>215</v>
          </cell>
          <cell r="B32">
            <v>0.70985512494297509</v>
          </cell>
        </row>
        <row r="33">
          <cell r="A33">
            <v>216</v>
          </cell>
          <cell r="B33">
            <v>0.86353196661803122</v>
          </cell>
        </row>
        <row r="34">
          <cell r="A34">
            <v>217</v>
          </cell>
          <cell r="B34">
            <v>0.90095092892513484</v>
          </cell>
        </row>
        <row r="35">
          <cell r="A35">
            <v>220</v>
          </cell>
          <cell r="B35" t="str">
            <v/>
          </cell>
        </row>
        <row r="36">
          <cell r="A36">
            <v>221</v>
          </cell>
          <cell r="B36">
            <v>0.8755344217718728</v>
          </cell>
        </row>
        <row r="37">
          <cell r="A37">
            <v>255</v>
          </cell>
          <cell r="B37" t="str">
            <v/>
          </cell>
        </row>
        <row r="38">
          <cell r="A38">
            <v>256</v>
          </cell>
          <cell r="B38">
            <v>0.62374725869957182</v>
          </cell>
        </row>
        <row r="39">
          <cell r="A39">
            <v>257</v>
          </cell>
          <cell r="B39">
            <v>0.782196810096772</v>
          </cell>
        </row>
        <row r="40">
          <cell r="A40">
            <v>258</v>
          </cell>
          <cell r="B40">
            <v>0.81154080496815895</v>
          </cell>
        </row>
        <row r="41">
          <cell r="A41">
            <v>260</v>
          </cell>
          <cell r="B41">
            <v>0.8335308973257366</v>
          </cell>
        </row>
        <row r="42">
          <cell r="A42">
            <v>261</v>
          </cell>
          <cell r="B42">
            <v>0.85875640823456945</v>
          </cell>
        </row>
        <row r="43">
          <cell r="A43">
            <v>262</v>
          </cell>
          <cell r="B43">
            <v>0.79371791919235368</v>
          </cell>
        </row>
        <row r="44">
          <cell r="A44">
            <v>265</v>
          </cell>
          <cell r="B44">
            <v>0.77003334206009832</v>
          </cell>
        </row>
        <row r="45">
          <cell r="A45">
            <v>266</v>
          </cell>
          <cell r="B45">
            <v>0.83866119924183369</v>
          </cell>
        </row>
        <row r="46">
          <cell r="A46">
            <v>270</v>
          </cell>
          <cell r="B46">
            <v>0.28915344996692227</v>
          </cell>
        </row>
        <row r="47">
          <cell r="A47">
            <v>280</v>
          </cell>
          <cell r="B47">
            <v>0.79587567098617618</v>
          </cell>
        </row>
        <row r="48">
          <cell r="A48">
            <v>281</v>
          </cell>
          <cell r="B48">
            <v>0.31065345378099612</v>
          </cell>
        </row>
        <row r="49">
          <cell r="A49">
            <v>282</v>
          </cell>
          <cell r="B49">
            <v>0.80907281043654666</v>
          </cell>
        </row>
        <row r="50">
          <cell r="A50">
            <v>301</v>
          </cell>
          <cell r="B50" t="str">
            <v/>
          </cell>
        </row>
        <row r="51">
          <cell r="A51">
            <v>303</v>
          </cell>
          <cell r="B51" t="str">
            <v/>
          </cell>
        </row>
        <row r="52">
          <cell r="A52">
            <v>304</v>
          </cell>
          <cell r="B52" t="str">
            <v/>
          </cell>
        </row>
        <row r="53">
          <cell r="A53">
            <v>305</v>
          </cell>
          <cell r="B53" t="str">
            <v/>
          </cell>
        </row>
        <row r="54">
          <cell r="A54">
            <v>306</v>
          </cell>
          <cell r="B54" t="str">
            <v/>
          </cell>
        </row>
        <row r="55">
          <cell r="A55">
            <v>307</v>
          </cell>
          <cell r="B55" t="str">
            <v/>
          </cell>
        </row>
        <row r="56">
          <cell r="A56">
            <v>310</v>
          </cell>
          <cell r="B56" t="str">
            <v/>
          </cell>
        </row>
        <row r="57">
          <cell r="A57">
            <v>330</v>
          </cell>
          <cell r="B57" t="str">
            <v/>
          </cell>
        </row>
        <row r="58">
          <cell r="A58">
            <v>335</v>
          </cell>
          <cell r="B58" t="str">
            <v/>
          </cell>
        </row>
        <row r="59">
          <cell r="A59">
            <v>400</v>
          </cell>
          <cell r="B59" t="str">
            <v/>
          </cell>
        </row>
        <row r="60">
          <cell r="A60">
            <v>401</v>
          </cell>
          <cell r="B60">
            <v>0.46326080100914535</v>
          </cell>
        </row>
        <row r="61">
          <cell r="A61">
            <v>405</v>
          </cell>
          <cell r="B61">
            <v>0.82529332544781175</v>
          </cell>
        </row>
        <row r="62">
          <cell r="A62">
            <v>406</v>
          </cell>
          <cell r="B62">
            <v>0.65112077239231347</v>
          </cell>
        </row>
        <row r="63">
          <cell r="A63">
            <v>407</v>
          </cell>
          <cell r="B63">
            <v>0.55776362017727421</v>
          </cell>
        </row>
        <row r="64">
          <cell r="A64">
            <v>408</v>
          </cell>
          <cell r="B64" t="str">
            <v/>
          </cell>
        </row>
        <row r="65">
          <cell r="A65">
            <v>409</v>
          </cell>
          <cell r="B65">
            <v>0.49206105991388027</v>
          </cell>
        </row>
        <row r="66">
          <cell r="A66">
            <v>410</v>
          </cell>
          <cell r="B66" t="str">
            <v/>
          </cell>
        </row>
        <row r="67">
          <cell r="A67">
            <v>411</v>
          </cell>
          <cell r="B67" t="str">
            <v/>
          </cell>
        </row>
        <row r="68">
          <cell r="A68">
            <v>412</v>
          </cell>
          <cell r="B68">
            <v>0.84635645302897278</v>
          </cell>
        </row>
        <row r="69">
          <cell r="A69">
            <v>415</v>
          </cell>
          <cell r="B69" t="str">
            <v/>
          </cell>
        </row>
        <row r="70">
          <cell r="A70">
            <v>416</v>
          </cell>
          <cell r="B70" t="str">
            <v/>
          </cell>
        </row>
        <row r="71">
          <cell r="A71">
            <v>417</v>
          </cell>
          <cell r="B71">
            <v>0.70210698814868411</v>
          </cell>
        </row>
        <row r="72">
          <cell r="A72">
            <v>420</v>
          </cell>
          <cell r="B72" t="str">
            <v/>
          </cell>
        </row>
        <row r="73">
          <cell r="A73">
            <v>421</v>
          </cell>
          <cell r="B73" t="str">
            <v/>
          </cell>
        </row>
        <row r="74">
          <cell r="A74">
            <v>425</v>
          </cell>
          <cell r="B74" t="str">
            <v/>
          </cell>
        </row>
        <row r="75">
          <cell r="A75">
            <v>452</v>
          </cell>
          <cell r="B75">
            <v>0.75016858778815576</v>
          </cell>
        </row>
        <row r="76">
          <cell r="A76">
            <v>453</v>
          </cell>
          <cell r="B76" t="str">
            <v/>
          </cell>
        </row>
        <row r="77">
          <cell r="A77">
            <v>454</v>
          </cell>
          <cell r="B77" t="str">
            <v/>
          </cell>
        </row>
        <row r="78">
          <cell r="A78">
            <v>455</v>
          </cell>
          <cell r="B78">
            <v>0.76416916556094838</v>
          </cell>
        </row>
        <row r="79">
          <cell r="A79">
            <v>456</v>
          </cell>
          <cell r="B79" t="str">
            <v/>
          </cell>
        </row>
        <row r="80">
          <cell r="A80">
            <v>457</v>
          </cell>
          <cell r="B80">
            <v>0.75645072928996659</v>
          </cell>
        </row>
        <row r="81">
          <cell r="A81">
            <v>458</v>
          </cell>
          <cell r="B81">
            <v>0.48261205972598054</v>
          </cell>
        </row>
        <row r="82">
          <cell r="A82">
            <v>482</v>
          </cell>
          <cell r="B82" t="str">
            <v/>
          </cell>
        </row>
        <row r="83">
          <cell r="A83">
            <v>500</v>
          </cell>
          <cell r="B83">
            <v>0.33627169121216777</v>
          </cell>
        </row>
        <row r="84">
          <cell r="A84">
            <v>501</v>
          </cell>
          <cell r="B84">
            <v>0.44649185334186192</v>
          </cell>
        </row>
        <row r="85">
          <cell r="A85">
            <v>502</v>
          </cell>
          <cell r="B85">
            <v>0.4342300232811821</v>
          </cell>
        </row>
        <row r="86">
          <cell r="A86">
            <v>503</v>
          </cell>
          <cell r="B86" t="str">
            <v/>
          </cell>
        </row>
        <row r="87">
          <cell r="A87">
            <v>504</v>
          </cell>
          <cell r="B87">
            <v>0.67887145822364026</v>
          </cell>
        </row>
        <row r="88">
          <cell r="A88">
            <v>505</v>
          </cell>
          <cell r="B88">
            <v>0.50228580275675083</v>
          </cell>
        </row>
        <row r="89">
          <cell r="A89">
            <v>506</v>
          </cell>
          <cell r="B89">
            <v>1.4910631305100298E-2</v>
          </cell>
        </row>
        <row r="90">
          <cell r="A90">
            <v>507</v>
          </cell>
          <cell r="B90">
            <v>0.51966120479433175</v>
          </cell>
        </row>
        <row r="91">
          <cell r="A91">
            <v>508</v>
          </cell>
          <cell r="B91" t="str">
            <v/>
          </cell>
        </row>
        <row r="92">
          <cell r="A92">
            <v>509</v>
          </cell>
          <cell r="B92">
            <v>0.81398907773659623</v>
          </cell>
        </row>
        <row r="93">
          <cell r="A93">
            <v>510</v>
          </cell>
          <cell r="B93" t="str">
            <v/>
          </cell>
        </row>
        <row r="94">
          <cell r="A94">
            <v>520</v>
          </cell>
          <cell r="B94">
            <v>0.55096707894448294</v>
          </cell>
        </row>
        <row r="95">
          <cell r="A95">
            <v>521</v>
          </cell>
          <cell r="B95">
            <v>0.53365037611505128</v>
          </cell>
        </row>
        <row r="96">
          <cell r="A96">
            <v>522</v>
          </cell>
          <cell r="B96">
            <v>0.45715134153879378</v>
          </cell>
        </row>
        <row r="97">
          <cell r="A97">
            <v>523</v>
          </cell>
          <cell r="B97">
            <v>0.44671568587921689</v>
          </cell>
        </row>
        <row r="98">
          <cell r="A98">
            <v>550</v>
          </cell>
          <cell r="B98">
            <v>0.41973999949329199</v>
          </cell>
        </row>
        <row r="99">
          <cell r="A99">
            <v>599</v>
          </cell>
          <cell r="B99" t="str">
            <v/>
          </cell>
        </row>
        <row r="100">
          <cell r="A100">
            <v>610</v>
          </cell>
          <cell r="B100">
            <v>0.24512736048811695</v>
          </cell>
        </row>
        <row r="101">
          <cell r="A101">
            <v>620</v>
          </cell>
          <cell r="B101">
            <v>0.81135000182237815</v>
          </cell>
        </row>
        <row r="102">
          <cell r="A102">
            <v>622</v>
          </cell>
          <cell r="B102">
            <v>0.75528758406285934</v>
          </cell>
        </row>
        <row r="103">
          <cell r="A103">
            <v>623</v>
          </cell>
          <cell r="B103">
            <v>0.92666666666666664</v>
          </cell>
        </row>
        <row r="104">
          <cell r="A104">
            <v>630</v>
          </cell>
          <cell r="B104">
            <v>0.69549017289309167</v>
          </cell>
        </row>
        <row r="105">
          <cell r="A105">
            <v>632</v>
          </cell>
          <cell r="B105">
            <v>0.371402832232335</v>
          </cell>
        </row>
        <row r="106">
          <cell r="A106">
            <v>633</v>
          </cell>
          <cell r="B106" t="str">
            <v/>
          </cell>
        </row>
        <row r="107">
          <cell r="A107">
            <v>655</v>
          </cell>
          <cell r="B107">
            <v>0.88648584060222246</v>
          </cell>
        </row>
        <row r="108">
          <cell r="A108">
            <v>700</v>
          </cell>
          <cell r="B108">
            <v>0.94134209291412485</v>
          </cell>
        </row>
        <row r="109">
          <cell r="A109">
            <v>701</v>
          </cell>
          <cell r="B109">
            <v>0.19931370804033061</v>
          </cell>
        </row>
        <row r="110">
          <cell r="A110">
            <v>705</v>
          </cell>
          <cell r="B110" t="str">
            <v/>
          </cell>
        </row>
        <row r="111">
          <cell r="A111">
            <v>710</v>
          </cell>
          <cell r="B111" t="str">
            <v/>
          </cell>
        </row>
        <row r="112">
          <cell r="A112">
            <v>720</v>
          </cell>
          <cell r="B112" t="str">
            <v/>
          </cell>
        </row>
        <row r="113">
          <cell r="A113">
            <v>723</v>
          </cell>
          <cell r="B113" t="str">
            <v/>
          </cell>
        </row>
        <row r="114">
          <cell r="A114">
            <v>724</v>
          </cell>
          <cell r="B114">
            <v>0.97571883956143091</v>
          </cell>
        </row>
        <row r="115">
          <cell r="A115">
            <v>726</v>
          </cell>
          <cell r="B115">
            <v>0.97444633730834751</v>
          </cell>
        </row>
        <row r="116">
          <cell r="A116">
            <v>728</v>
          </cell>
          <cell r="B116">
            <v>0.99392762766859943</v>
          </cell>
        </row>
        <row r="117">
          <cell r="A117">
            <v>729</v>
          </cell>
          <cell r="B117" t="str">
            <v/>
          </cell>
        </row>
        <row r="118">
          <cell r="A118">
            <v>730</v>
          </cell>
          <cell r="B118" t="str">
            <v/>
          </cell>
        </row>
        <row r="119">
          <cell r="A119">
            <v>731</v>
          </cell>
          <cell r="B119" t="str">
            <v/>
          </cell>
        </row>
        <row r="120">
          <cell r="A120">
            <v>732</v>
          </cell>
          <cell r="B120" t="str">
            <v/>
          </cell>
        </row>
        <row r="121">
          <cell r="A121">
            <v>750</v>
          </cell>
          <cell r="B121">
            <v>0.93439188845889376</v>
          </cell>
        </row>
        <row r="122">
          <cell r="A122">
            <v>774</v>
          </cell>
          <cell r="B122" t="str">
            <v/>
          </cell>
        </row>
        <row r="123">
          <cell r="A123">
            <v>775</v>
          </cell>
          <cell r="B123" t="str">
            <v/>
          </cell>
        </row>
        <row r="124">
          <cell r="A124">
            <v>776</v>
          </cell>
          <cell r="B124" t="str">
            <v/>
          </cell>
        </row>
        <row r="125">
          <cell r="A125">
            <v>777</v>
          </cell>
          <cell r="B125" t="str">
            <v/>
          </cell>
        </row>
        <row r="126">
          <cell r="A126">
            <v>779</v>
          </cell>
          <cell r="B126" t="str">
            <v/>
          </cell>
        </row>
        <row r="127">
          <cell r="A127">
            <v>780</v>
          </cell>
          <cell r="B127">
            <v>0.96822366503051593</v>
          </cell>
        </row>
        <row r="128">
          <cell r="A128">
            <v>781</v>
          </cell>
          <cell r="B128">
            <v>0.72145828915205024</v>
          </cell>
        </row>
        <row r="129">
          <cell r="A129">
            <v>782</v>
          </cell>
          <cell r="B129">
            <v>0.96844095989926882</v>
          </cell>
        </row>
        <row r="130">
          <cell r="A130">
            <v>783</v>
          </cell>
          <cell r="B130">
            <v>0.92600861803534773</v>
          </cell>
        </row>
        <row r="131">
          <cell r="A131">
            <v>785</v>
          </cell>
          <cell r="B131" t="str">
            <v/>
          </cell>
        </row>
        <row r="132">
          <cell r="A132">
            <v>790</v>
          </cell>
          <cell r="B132" t="str">
            <v/>
          </cell>
        </row>
        <row r="133">
          <cell r="A133">
            <v>793</v>
          </cell>
          <cell r="B133">
            <v>0.85696069232139382</v>
          </cell>
        </row>
        <row r="134">
          <cell r="A134">
            <v>794</v>
          </cell>
          <cell r="B134">
            <v>1.2674271229404308E-3</v>
          </cell>
        </row>
        <row r="135">
          <cell r="A135">
            <v>795</v>
          </cell>
          <cell r="B135">
            <v>0.81946331344083867</v>
          </cell>
        </row>
        <row r="136">
          <cell r="A136">
            <v>796</v>
          </cell>
          <cell r="B136" t="str">
            <v/>
          </cell>
        </row>
        <row r="137">
          <cell r="A137">
            <v>797</v>
          </cell>
          <cell r="B137">
            <v>0.6745219721736111</v>
          </cell>
        </row>
        <row r="138">
          <cell r="A138">
            <v>798</v>
          </cell>
          <cell r="B138">
            <v>0.99936733956941703</v>
          </cell>
        </row>
        <row r="139">
          <cell r="A139">
            <v>799</v>
          </cell>
          <cell r="B139">
            <v>0.96255920345066404</v>
          </cell>
        </row>
        <row r="140">
          <cell r="A140">
            <v>800</v>
          </cell>
          <cell r="B140" t="str">
            <v/>
          </cell>
        </row>
        <row r="141">
          <cell r="A141">
            <v>896</v>
          </cell>
          <cell r="B141">
            <v>0.9848647921015139</v>
          </cell>
        </row>
        <row r="142">
          <cell r="A142">
            <v>897</v>
          </cell>
          <cell r="B142">
            <v>0.98384840523438655</v>
          </cell>
        </row>
        <row r="143">
          <cell r="A143">
            <v>898</v>
          </cell>
          <cell r="B143">
            <v>0.98258739434157161</v>
          </cell>
        </row>
        <row r="144">
          <cell r="A144">
            <v>899</v>
          </cell>
          <cell r="B144">
            <v>0.98317927057620524</v>
          </cell>
        </row>
        <row r="145">
          <cell r="A145">
            <v>900</v>
          </cell>
          <cell r="B145" t="str">
            <v/>
          </cell>
        </row>
        <row r="146">
          <cell r="A146">
            <v>901</v>
          </cell>
          <cell r="B146">
            <v>0.9100109744795466</v>
          </cell>
        </row>
        <row r="147">
          <cell r="A147">
            <v>902</v>
          </cell>
          <cell r="B147">
            <v>0.9868224545374682</v>
          </cell>
        </row>
        <row r="148">
          <cell r="A148">
            <v>903</v>
          </cell>
          <cell r="B148">
            <v>0.89671586662891778</v>
          </cell>
        </row>
        <row r="149">
          <cell r="A149">
            <v>904</v>
          </cell>
          <cell r="B149">
            <v>0.91347897907581832</v>
          </cell>
        </row>
        <row r="150">
          <cell r="A150">
            <v>905</v>
          </cell>
          <cell r="B150" t="str">
            <v/>
          </cell>
        </row>
        <row r="151">
          <cell r="A151">
            <v>906</v>
          </cell>
          <cell r="B151">
            <v>0.96840015507784827</v>
          </cell>
        </row>
        <row r="152">
          <cell r="A152">
            <v>907</v>
          </cell>
          <cell r="B152">
            <v>0.94910931559034262</v>
          </cell>
        </row>
        <row r="153">
          <cell r="A153">
            <v>908</v>
          </cell>
          <cell r="B153">
            <v>0.98417404497245353</v>
          </cell>
        </row>
        <row r="154">
          <cell r="A154">
            <v>909</v>
          </cell>
          <cell r="B154">
            <v>0.99462163179691276</v>
          </cell>
        </row>
        <row r="155">
          <cell r="A155">
            <v>910</v>
          </cell>
          <cell r="B155">
            <v>0.9934231127324199</v>
          </cell>
        </row>
        <row r="156">
          <cell r="A156">
            <v>911</v>
          </cell>
          <cell r="B156">
            <v>0.98855406642803634</v>
          </cell>
        </row>
        <row r="157">
          <cell r="A157">
            <v>912</v>
          </cell>
          <cell r="B157">
            <v>0.96943971064211409</v>
          </cell>
        </row>
        <row r="158">
          <cell r="A158">
            <v>913</v>
          </cell>
          <cell r="B158">
            <v>0.99100881136486241</v>
          </cell>
        </row>
        <row r="159">
          <cell r="A159">
            <v>914</v>
          </cell>
          <cell r="B159">
            <v>0.9895319071787978</v>
          </cell>
        </row>
        <row r="160">
          <cell r="A160">
            <v>915</v>
          </cell>
          <cell r="B160">
            <v>0.89717093558109018</v>
          </cell>
        </row>
        <row r="161">
          <cell r="A161">
            <v>916</v>
          </cell>
          <cell r="B161">
            <v>0.92476108035548144</v>
          </cell>
        </row>
        <row r="162">
          <cell r="A162">
            <v>917</v>
          </cell>
          <cell r="B162">
            <v>0.94085509208693596</v>
          </cell>
        </row>
        <row r="163">
          <cell r="A163">
            <v>920</v>
          </cell>
          <cell r="B163">
            <v>0.99220941103147386</v>
          </cell>
        </row>
        <row r="164">
          <cell r="A164">
            <v>960</v>
          </cell>
          <cell r="B164">
            <v>0.91405550581915807</v>
          </cell>
        </row>
        <row r="165">
          <cell r="A165">
            <v>2700</v>
          </cell>
          <cell r="B165">
            <v>0.98557291830713656</v>
          </cell>
        </row>
        <row r="166">
          <cell r="A166">
            <v>3600</v>
          </cell>
          <cell r="B166">
            <v>0.89599247855212127</v>
          </cell>
        </row>
        <row r="167">
          <cell r="A167">
            <v>3601</v>
          </cell>
          <cell r="B167" t="str">
            <v/>
          </cell>
        </row>
        <row r="168">
          <cell r="A168">
            <v>8001</v>
          </cell>
          <cell r="B168">
            <v>0.82493825659252018</v>
          </cell>
        </row>
        <row r="169">
          <cell r="A169">
            <v>9999</v>
          </cell>
          <cell r="B169" t="str">
            <v/>
          </cell>
        </row>
        <row r="170">
          <cell r="A170">
            <v>671361</v>
          </cell>
          <cell r="B170" t="str">
            <v/>
          </cell>
        </row>
        <row r="171">
          <cell r="A171">
            <v>671523</v>
          </cell>
          <cell r="B171" t="str">
            <v/>
          </cell>
        </row>
        <row r="172">
          <cell r="A172">
            <v>671970</v>
          </cell>
          <cell r="B172" t="str">
            <v/>
          </cell>
        </row>
      </sheetData>
      <sheetData sheetId="7"/>
      <sheetData sheetId="8"/>
      <sheetData sheetId="9"/>
      <sheetData sheetId="10">
        <row r="3">
          <cell r="AJ3" t="str">
            <v xml:space="preserve">DEMANDA </v>
          </cell>
        </row>
        <row r="4">
          <cell r="AJ4">
            <v>9116000</v>
          </cell>
        </row>
        <row r="5">
          <cell r="AJ5">
            <v>5176000</v>
          </cell>
        </row>
        <row r="6">
          <cell r="AJ6">
            <v>2832000</v>
          </cell>
        </row>
        <row r="7">
          <cell r="AJ7">
            <v>2681280</v>
          </cell>
        </row>
        <row r="8">
          <cell r="AJ8">
            <v>1900000</v>
          </cell>
        </row>
        <row r="9">
          <cell r="AJ9">
            <v>1300000</v>
          </cell>
        </row>
        <row r="10">
          <cell r="AJ10">
            <v>1200000</v>
          </cell>
        </row>
        <row r="11">
          <cell r="AJ11">
            <v>1200000</v>
          </cell>
        </row>
        <row r="12">
          <cell r="AJ12">
            <v>990000</v>
          </cell>
        </row>
        <row r="13">
          <cell r="AJ13">
            <v>800000</v>
          </cell>
        </row>
        <row r="14">
          <cell r="AJ14">
            <v>800000</v>
          </cell>
        </row>
        <row r="15">
          <cell r="AJ15">
            <v>800000</v>
          </cell>
        </row>
        <row r="16">
          <cell r="AJ16">
            <v>730000</v>
          </cell>
        </row>
        <row r="17">
          <cell r="AJ17">
            <v>700000</v>
          </cell>
        </row>
        <row r="18">
          <cell r="AJ18">
            <v>690000</v>
          </cell>
        </row>
        <row r="19">
          <cell r="AJ19">
            <v>604800</v>
          </cell>
        </row>
        <row r="20">
          <cell r="AJ20">
            <v>550000</v>
          </cell>
        </row>
        <row r="21">
          <cell r="AJ21">
            <v>540000</v>
          </cell>
        </row>
        <row r="22">
          <cell r="AJ22">
            <v>514000</v>
          </cell>
        </row>
        <row r="23">
          <cell r="AJ23">
            <v>500000</v>
          </cell>
        </row>
        <row r="24">
          <cell r="AJ24">
            <v>474045</v>
          </cell>
        </row>
        <row r="25">
          <cell r="AJ25">
            <v>462000</v>
          </cell>
        </row>
        <row r="26">
          <cell r="AJ26">
            <v>448560</v>
          </cell>
        </row>
        <row r="27">
          <cell r="AJ27">
            <v>438600</v>
          </cell>
        </row>
        <row r="28">
          <cell r="AJ28">
            <v>420000</v>
          </cell>
        </row>
        <row r="29">
          <cell r="AJ29">
            <v>400000</v>
          </cell>
        </row>
        <row r="30">
          <cell r="AJ30">
            <v>400000</v>
          </cell>
        </row>
        <row r="31">
          <cell r="AJ31">
            <v>400000</v>
          </cell>
        </row>
        <row r="32">
          <cell r="AJ32">
            <v>384000</v>
          </cell>
        </row>
        <row r="33">
          <cell r="AJ33">
            <v>366000</v>
          </cell>
        </row>
        <row r="34">
          <cell r="AJ34">
            <v>357000</v>
          </cell>
        </row>
        <row r="35">
          <cell r="AJ35">
            <v>350000</v>
          </cell>
        </row>
        <row r="36">
          <cell r="AJ36">
            <v>340000</v>
          </cell>
        </row>
        <row r="37">
          <cell r="AJ37">
            <v>340000</v>
          </cell>
        </row>
        <row r="38">
          <cell r="AJ38">
            <v>332000</v>
          </cell>
        </row>
        <row r="39">
          <cell r="AJ39">
            <v>320000</v>
          </cell>
        </row>
        <row r="40">
          <cell r="AJ40">
            <v>320000</v>
          </cell>
        </row>
        <row r="41">
          <cell r="AJ41">
            <v>320000</v>
          </cell>
        </row>
        <row r="42">
          <cell r="AJ42">
            <v>320000</v>
          </cell>
        </row>
        <row r="43">
          <cell r="AJ43">
            <v>318600</v>
          </cell>
        </row>
        <row r="44">
          <cell r="AJ44">
            <v>316800</v>
          </cell>
        </row>
        <row r="45">
          <cell r="AJ45">
            <v>316000</v>
          </cell>
        </row>
        <row r="46">
          <cell r="AJ46">
            <v>312000</v>
          </cell>
        </row>
        <row r="47">
          <cell r="AJ47">
            <v>312000</v>
          </cell>
        </row>
        <row r="48">
          <cell r="AJ48">
            <v>300000</v>
          </cell>
        </row>
        <row r="49">
          <cell r="AJ49">
            <v>300000</v>
          </cell>
        </row>
        <row r="50">
          <cell r="AJ50">
            <v>296000</v>
          </cell>
        </row>
        <row r="51">
          <cell r="AJ51">
            <v>296000</v>
          </cell>
        </row>
        <row r="52">
          <cell r="AJ52">
            <v>288000</v>
          </cell>
        </row>
        <row r="53">
          <cell r="AJ53">
            <v>280000</v>
          </cell>
        </row>
        <row r="54">
          <cell r="AJ54">
            <v>260000</v>
          </cell>
        </row>
        <row r="55">
          <cell r="AJ55">
            <v>252000</v>
          </cell>
        </row>
        <row r="56">
          <cell r="AJ56">
            <v>252000</v>
          </cell>
        </row>
        <row r="57">
          <cell r="AJ57">
            <v>250000</v>
          </cell>
        </row>
        <row r="58">
          <cell r="AJ58">
            <v>250000</v>
          </cell>
        </row>
        <row r="59">
          <cell r="AJ59">
            <v>240000</v>
          </cell>
        </row>
        <row r="60">
          <cell r="AJ60">
            <v>237600</v>
          </cell>
        </row>
        <row r="61">
          <cell r="AJ61">
            <v>232500</v>
          </cell>
        </row>
        <row r="62">
          <cell r="AJ62">
            <v>225000</v>
          </cell>
        </row>
        <row r="63">
          <cell r="AJ63">
            <v>220500</v>
          </cell>
        </row>
        <row r="64">
          <cell r="AJ64">
            <v>220000</v>
          </cell>
        </row>
        <row r="65">
          <cell r="AJ65">
            <v>210000</v>
          </cell>
        </row>
        <row r="66">
          <cell r="AJ66">
            <v>201000</v>
          </cell>
        </row>
        <row r="67">
          <cell r="AJ67">
            <v>200000</v>
          </cell>
        </row>
        <row r="68">
          <cell r="AJ68">
            <v>200000</v>
          </cell>
        </row>
        <row r="69">
          <cell r="AJ69">
            <v>200000</v>
          </cell>
        </row>
        <row r="70">
          <cell r="AJ70">
            <v>200000</v>
          </cell>
        </row>
        <row r="71">
          <cell r="AJ71">
            <v>200000</v>
          </cell>
        </row>
        <row r="72">
          <cell r="AJ72">
            <v>200000</v>
          </cell>
        </row>
        <row r="73">
          <cell r="AJ73">
            <v>192000</v>
          </cell>
        </row>
        <row r="74">
          <cell r="AJ74">
            <v>183770</v>
          </cell>
        </row>
        <row r="75">
          <cell r="AJ75">
            <v>181250</v>
          </cell>
        </row>
        <row r="76">
          <cell r="AJ76">
            <v>180000</v>
          </cell>
        </row>
        <row r="77">
          <cell r="AJ77">
            <v>180000</v>
          </cell>
        </row>
        <row r="78">
          <cell r="AJ78">
            <v>172800</v>
          </cell>
        </row>
        <row r="79">
          <cell r="AJ79">
            <v>151200</v>
          </cell>
        </row>
        <row r="80">
          <cell r="AJ80">
            <v>150150</v>
          </cell>
        </row>
        <row r="81">
          <cell r="AJ81">
            <v>150000</v>
          </cell>
        </row>
        <row r="82">
          <cell r="AJ82">
            <v>150000</v>
          </cell>
        </row>
        <row r="83">
          <cell r="AJ83">
            <v>150000</v>
          </cell>
        </row>
        <row r="84">
          <cell r="AJ84">
            <v>144000</v>
          </cell>
        </row>
        <row r="85">
          <cell r="AJ85">
            <v>144000</v>
          </cell>
        </row>
        <row r="86">
          <cell r="AJ86">
            <v>140000</v>
          </cell>
        </row>
        <row r="87">
          <cell r="AJ87">
            <v>140000</v>
          </cell>
        </row>
        <row r="88">
          <cell r="AJ88">
            <v>136000</v>
          </cell>
        </row>
        <row r="89">
          <cell r="AJ89">
            <v>121680</v>
          </cell>
        </row>
        <row r="90">
          <cell r="AJ90">
            <v>120000</v>
          </cell>
        </row>
        <row r="91">
          <cell r="AJ91">
            <v>120000</v>
          </cell>
        </row>
        <row r="92">
          <cell r="AJ92">
            <v>120000</v>
          </cell>
        </row>
        <row r="93">
          <cell r="AJ93">
            <v>120000</v>
          </cell>
        </row>
        <row r="94">
          <cell r="AJ94">
            <v>120000</v>
          </cell>
        </row>
        <row r="95">
          <cell r="AJ95">
            <v>120000</v>
          </cell>
        </row>
        <row r="96">
          <cell r="AJ96">
            <v>118400</v>
          </cell>
        </row>
        <row r="97">
          <cell r="AJ97">
            <v>115400</v>
          </cell>
        </row>
        <row r="98">
          <cell r="AJ98">
            <v>115200</v>
          </cell>
        </row>
        <row r="99">
          <cell r="AJ99">
            <v>114000</v>
          </cell>
        </row>
        <row r="100">
          <cell r="AJ100">
            <v>112000</v>
          </cell>
        </row>
        <row r="101">
          <cell r="AJ101">
            <v>108000</v>
          </cell>
        </row>
        <row r="102">
          <cell r="AJ102">
            <v>102000</v>
          </cell>
        </row>
        <row r="103">
          <cell r="AJ103">
            <v>100000</v>
          </cell>
        </row>
        <row r="104">
          <cell r="AJ104">
            <v>100000</v>
          </cell>
        </row>
        <row r="105">
          <cell r="AJ105">
            <v>100000</v>
          </cell>
        </row>
        <row r="106">
          <cell r="AJ106">
            <v>96000</v>
          </cell>
        </row>
        <row r="107">
          <cell r="AJ107">
            <v>93800</v>
          </cell>
        </row>
        <row r="108">
          <cell r="AJ108">
            <v>90720</v>
          </cell>
        </row>
        <row r="109">
          <cell r="AJ109">
            <v>90000</v>
          </cell>
        </row>
        <row r="110">
          <cell r="AJ110">
            <v>90000</v>
          </cell>
        </row>
        <row r="111">
          <cell r="AJ111">
            <v>86000</v>
          </cell>
        </row>
        <row r="112">
          <cell r="AJ112">
            <v>83200</v>
          </cell>
        </row>
        <row r="113">
          <cell r="AJ113">
            <v>81600</v>
          </cell>
        </row>
        <row r="114">
          <cell r="AJ114">
            <v>81000</v>
          </cell>
        </row>
        <row r="115">
          <cell r="AJ115">
            <v>80000</v>
          </cell>
        </row>
        <row r="116">
          <cell r="AJ116">
            <v>80000</v>
          </cell>
        </row>
        <row r="117">
          <cell r="AJ117">
            <v>80000</v>
          </cell>
        </row>
        <row r="118">
          <cell r="AJ118">
            <v>72000</v>
          </cell>
        </row>
        <row r="119">
          <cell r="AJ119">
            <v>72000</v>
          </cell>
        </row>
        <row r="120">
          <cell r="AJ120">
            <v>72000</v>
          </cell>
        </row>
        <row r="121">
          <cell r="AJ121">
            <v>70400</v>
          </cell>
        </row>
        <row r="122">
          <cell r="AJ122">
            <v>70000</v>
          </cell>
        </row>
        <row r="123">
          <cell r="AJ123">
            <v>69300</v>
          </cell>
        </row>
        <row r="124">
          <cell r="AJ124">
            <v>68400</v>
          </cell>
        </row>
        <row r="125">
          <cell r="AJ125">
            <v>64000</v>
          </cell>
        </row>
        <row r="126">
          <cell r="AJ126">
            <v>64000</v>
          </cell>
        </row>
        <row r="127">
          <cell r="AJ127">
            <v>60000</v>
          </cell>
        </row>
        <row r="128">
          <cell r="AJ128">
            <v>60000</v>
          </cell>
        </row>
        <row r="129">
          <cell r="AJ129">
            <v>60000</v>
          </cell>
        </row>
        <row r="130">
          <cell r="AJ130">
            <v>60000</v>
          </cell>
        </row>
        <row r="131">
          <cell r="AJ131">
            <v>60000</v>
          </cell>
        </row>
        <row r="132">
          <cell r="AJ132">
            <v>60000</v>
          </cell>
        </row>
        <row r="133">
          <cell r="AJ133">
            <v>55000</v>
          </cell>
        </row>
        <row r="134">
          <cell r="AJ134">
            <v>50000</v>
          </cell>
        </row>
        <row r="135">
          <cell r="AJ135">
            <v>50000</v>
          </cell>
        </row>
        <row r="136">
          <cell r="AJ136">
            <v>48000</v>
          </cell>
        </row>
        <row r="137">
          <cell r="AJ137">
            <v>45500</v>
          </cell>
        </row>
        <row r="138">
          <cell r="AJ138">
            <v>43000</v>
          </cell>
        </row>
        <row r="139">
          <cell r="AJ139">
            <v>42000</v>
          </cell>
        </row>
        <row r="140">
          <cell r="AJ140">
            <v>42000</v>
          </cell>
        </row>
        <row r="141">
          <cell r="AJ141">
            <v>42000</v>
          </cell>
        </row>
        <row r="142">
          <cell r="AJ142">
            <v>40000</v>
          </cell>
        </row>
        <row r="143">
          <cell r="AJ143">
            <v>40000</v>
          </cell>
        </row>
        <row r="144">
          <cell r="AJ144">
            <v>40000</v>
          </cell>
        </row>
        <row r="145">
          <cell r="AJ145">
            <v>40000</v>
          </cell>
        </row>
        <row r="146">
          <cell r="AJ146">
            <v>40000</v>
          </cell>
        </row>
        <row r="147">
          <cell r="AJ147">
            <v>40000</v>
          </cell>
        </row>
        <row r="148">
          <cell r="AJ148">
            <v>40000</v>
          </cell>
        </row>
        <row r="149">
          <cell r="AJ149">
            <v>40000</v>
          </cell>
        </row>
        <row r="150">
          <cell r="AJ150">
            <v>39000</v>
          </cell>
        </row>
        <row r="151">
          <cell r="AJ151">
            <v>36000</v>
          </cell>
        </row>
        <row r="152">
          <cell r="AJ152">
            <v>35200</v>
          </cell>
        </row>
        <row r="153">
          <cell r="AJ153">
            <v>33440</v>
          </cell>
        </row>
        <row r="154">
          <cell r="AJ154">
            <v>32400</v>
          </cell>
        </row>
        <row r="155">
          <cell r="AJ155">
            <v>32000</v>
          </cell>
        </row>
        <row r="156">
          <cell r="AJ156">
            <v>31200</v>
          </cell>
        </row>
        <row r="157">
          <cell r="AJ157">
            <v>30240</v>
          </cell>
        </row>
        <row r="158">
          <cell r="AJ158">
            <v>30000</v>
          </cell>
        </row>
        <row r="159">
          <cell r="AJ159">
            <v>30000</v>
          </cell>
        </row>
        <row r="160">
          <cell r="AJ160">
            <v>30000</v>
          </cell>
        </row>
        <row r="161">
          <cell r="AJ161">
            <v>30000</v>
          </cell>
        </row>
        <row r="162">
          <cell r="AJ162">
            <v>30000</v>
          </cell>
        </row>
        <row r="163">
          <cell r="AJ163">
            <v>30000</v>
          </cell>
        </row>
        <row r="164">
          <cell r="AJ164">
            <v>30000</v>
          </cell>
        </row>
        <row r="165">
          <cell r="AJ165">
            <v>30000</v>
          </cell>
        </row>
        <row r="166">
          <cell r="AJ166">
            <v>30000</v>
          </cell>
        </row>
        <row r="167">
          <cell r="AJ167">
            <v>30000</v>
          </cell>
        </row>
        <row r="168">
          <cell r="AJ168">
            <v>30000</v>
          </cell>
        </row>
        <row r="169">
          <cell r="AJ169">
            <v>30000</v>
          </cell>
        </row>
        <row r="170">
          <cell r="AJ170">
            <v>30000</v>
          </cell>
        </row>
        <row r="171">
          <cell r="AJ171">
            <v>30000</v>
          </cell>
        </row>
        <row r="172">
          <cell r="AJ172">
            <v>29490</v>
          </cell>
        </row>
        <row r="173">
          <cell r="AJ173">
            <v>28800</v>
          </cell>
        </row>
        <row r="174">
          <cell r="AJ174">
            <v>27500</v>
          </cell>
        </row>
        <row r="175">
          <cell r="AJ175">
            <v>25500</v>
          </cell>
        </row>
        <row r="176">
          <cell r="AJ176">
            <v>25000</v>
          </cell>
        </row>
        <row r="177">
          <cell r="AJ177">
            <v>24000</v>
          </cell>
        </row>
        <row r="178">
          <cell r="AJ178">
            <v>24000</v>
          </cell>
        </row>
        <row r="179">
          <cell r="AJ179">
            <v>24000</v>
          </cell>
        </row>
        <row r="180">
          <cell r="AJ180">
            <v>24000</v>
          </cell>
        </row>
        <row r="181">
          <cell r="AJ181">
            <v>24000</v>
          </cell>
        </row>
        <row r="182">
          <cell r="AJ182">
            <v>24000</v>
          </cell>
        </row>
        <row r="183">
          <cell r="AJ183">
            <v>22000</v>
          </cell>
        </row>
        <row r="184">
          <cell r="AJ184">
            <v>20000</v>
          </cell>
        </row>
        <row r="185">
          <cell r="AJ185">
            <v>20000</v>
          </cell>
        </row>
        <row r="186">
          <cell r="AJ186">
            <v>20000</v>
          </cell>
        </row>
        <row r="187">
          <cell r="AJ187">
            <v>20000</v>
          </cell>
        </row>
        <row r="188">
          <cell r="AJ188">
            <v>20000</v>
          </cell>
        </row>
        <row r="189">
          <cell r="AJ189">
            <v>20000</v>
          </cell>
        </row>
        <row r="190">
          <cell r="AJ190">
            <v>20000</v>
          </cell>
        </row>
        <row r="191">
          <cell r="AJ191">
            <v>19200</v>
          </cell>
        </row>
        <row r="192">
          <cell r="AJ192">
            <v>18000</v>
          </cell>
        </row>
        <row r="193">
          <cell r="AJ193">
            <v>17400</v>
          </cell>
        </row>
        <row r="194">
          <cell r="AJ194">
            <v>16200</v>
          </cell>
        </row>
        <row r="195">
          <cell r="AJ195">
            <v>16000</v>
          </cell>
        </row>
        <row r="196">
          <cell r="AJ196">
            <v>16000</v>
          </cell>
        </row>
        <row r="197">
          <cell r="AJ197">
            <v>15120</v>
          </cell>
        </row>
        <row r="198">
          <cell r="AJ198">
            <v>15000</v>
          </cell>
        </row>
        <row r="199">
          <cell r="AJ199">
            <v>15000</v>
          </cell>
        </row>
        <row r="200">
          <cell r="AJ200">
            <v>15000</v>
          </cell>
        </row>
        <row r="201">
          <cell r="AJ201">
            <v>13865</v>
          </cell>
        </row>
        <row r="202">
          <cell r="AJ202">
            <v>12000</v>
          </cell>
        </row>
        <row r="203">
          <cell r="AJ203">
            <v>12000</v>
          </cell>
        </row>
        <row r="204">
          <cell r="AJ204">
            <v>12000</v>
          </cell>
        </row>
        <row r="205">
          <cell r="AJ205">
            <v>10800</v>
          </cell>
        </row>
        <row r="206">
          <cell r="AJ206">
            <v>10500</v>
          </cell>
        </row>
        <row r="207">
          <cell r="AJ207">
            <v>10080</v>
          </cell>
        </row>
        <row r="208">
          <cell r="AJ208">
            <v>10000</v>
          </cell>
        </row>
        <row r="209">
          <cell r="AJ209">
            <v>10000</v>
          </cell>
        </row>
        <row r="210">
          <cell r="AJ210">
            <v>10000</v>
          </cell>
        </row>
        <row r="211">
          <cell r="AJ211">
            <v>10000</v>
          </cell>
        </row>
        <row r="212">
          <cell r="AJ212">
            <v>10000</v>
          </cell>
        </row>
        <row r="213">
          <cell r="AJ213">
            <v>10000</v>
          </cell>
        </row>
        <row r="214">
          <cell r="AJ214">
            <v>9000</v>
          </cell>
        </row>
        <row r="215">
          <cell r="AJ215">
            <v>8440</v>
          </cell>
        </row>
        <row r="216">
          <cell r="AJ216">
            <v>8000</v>
          </cell>
        </row>
        <row r="217">
          <cell r="AJ217">
            <v>7040</v>
          </cell>
        </row>
        <row r="218">
          <cell r="AJ218">
            <v>7000</v>
          </cell>
        </row>
        <row r="219">
          <cell r="AJ219">
            <v>6000</v>
          </cell>
        </row>
        <row r="220">
          <cell r="AJ220">
            <v>6000</v>
          </cell>
        </row>
        <row r="221">
          <cell r="AJ221">
            <v>6000</v>
          </cell>
        </row>
        <row r="222">
          <cell r="AJ222">
            <v>6000</v>
          </cell>
        </row>
        <row r="223">
          <cell r="AJ223">
            <v>5990</v>
          </cell>
        </row>
        <row r="224">
          <cell r="AJ224">
            <v>5000</v>
          </cell>
        </row>
        <row r="225">
          <cell r="AJ225">
            <v>5000</v>
          </cell>
        </row>
        <row r="226">
          <cell r="AJ226">
            <v>5000</v>
          </cell>
        </row>
        <row r="227">
          <cell r="AJ227">
            <v>5000</v>
          </cell>
        </row>
        <row r="228">
          <cell r="AJ228">
            <v>5000</v>
          </cell>
        </row>
        <row r="229">
          <cell r="AJ229">
            <v>5000</v>
          </cell>
        </row>
        <row r="230">
          <cell r="AJ230">
            <v>4000</v>
          </cell>
        </row>
        <row r="231">
          <cell r="AJ231">
            <v>4000</v>
          </cell>
        </row>
        <row r="232">
          <cell r="AJ232">
            <v>3000</v>
          </cell>
        </row>
        <row r="233">
          <cell r="AJ233">
            <v>2500</v>
          </cell>
        </row>
        <row r="234">
          <cell r="AJ234">
            <v>2400</v>
          </cell>
        </row>
        <row r="235">
          <cell r="AJ235">
            <v>2000</v>
          </cell>
        </row>
        <row r="236">
          <cell r="AJ236">
            <v>800</v>
          </cell>
        </row>
        <row r="237">
          <cell r="AJ237">
            <v>5</v>
          </cell>
        </row>
        <row r="238">
          <cell r="AJ238">
            <v>0</v>
          </cell>
        </row>
        <row r="239">
          <cell r="AJ239">
            <v>0</v>
          </cell>
        </row>
        <row r="240">
          <cell r="AJ240">
            <v>0</v>
          </cell>
        </row>
        <row r="241">
          <cell r="AJ241">
            <v>0</v>
          </cell>
        </row>
        <row r="242">
          <cell r="AJ242">
            <v>0</v>
          </cell>
        </row>
        <row r="243">
          <cell r="AJ243">
            <v>0</v>
          </cell>
        </row>
        <row r="244">
          <cell r="AJ244">
            <v>0</v>
          </cell>
        </row>
        <row r="245">
          <cell r="AJ245">
            <v>0</v>
          </cell>
        </row>
        <row r="246">
          <cell r="AJ246">
            <v>0</v>
          </cell>
        </row>
        <row r="247">
          <cell r="AJ247">
            <v>0</v>
          </cell>
        </row>
        <row r="248">
          <cell r="AJ248">
            <v>0</v>
          </cell>
        </row>
        <row r="249">
          <cell r="AJ249">
            <v>0</v>
          </cell>
        </row>
        <row r="250">
          <cell r="AJ250">
            <v>0</v>
          </cell>
        </row>
        <row r="251">
          <cell r="AJ251">
            <v>0</v>
          </cell>
        </row>
        <row r="252">
          <cell r="AJ252">
            <v>0</v>
          </cell>
        </row>
        <row r="253">
          <cell r="AJ253">
            <v>0</v>
          </cell>
        </row>
        <row r="254">
          <cell r="AJ254">
            <v>0</v>
          </cell>
        </row>
        <row r="255">
          <cell r="AJ255">
            <v>0</v>
          </cell>
        </row>
        <row r="256">
          <cell r="AJ256">
            <v>0</v>
          </cell>
        </row>
        <row r="257">
          <cell r="AJ257">
            <v>0</v>
          </cell>
        </row>
        <row r="258">
          <cell r="AJ258">
            <v>0</v>
          </cell>
        </row>
        <row r="259">
          <cell r="AJ259">
            <v>0</v>
          </cell>
        </row>
        <row r="260">
          <cell r="AJ260">
            <v>0</v>
          </cell>
        </row>
        <row r="261">
          <cell r="AJ261">
            <v>0</v>
          </cell>
        </row>
        <row r="262">
          <cell r="AJ262">
            <v>0</v>
          </cell>
        </row>
        <row r="263">
          <cell r="AJ263">
            <v>0</v>
          </cell>
        </row>
        <row r="264">
          <cell r="AJ264">
            <v>0</v>
          </cell>
        </row>
        <row r="265">
          <cell r="AJ265">
            <v>0</v>
          </cell>
        </row>
        <row r="266">
          <cell r="AJ266">
            <v>0</v>
          </cell>
        </row>
        <row r="267">
          <cell r="AJ267">
            <v>0</v>
          </cell>
        </row>
        <row r="268">
          <cell r="AJ268">
            <v>0</v>
          </cell>
        </row>
        <row r="269">
          <cell r="AJ269">
            <v>0</v>
          </cell>
        </row>
        <row r="270">
          <cell r="AJ270">
            <v>0</v>
          </cell>
        </row>
        <row r="271">
          <cell r="AJ271">
            <v>0</v>
          </cell>
        </row>
        <row r="272">
          <cell r="AJ272">
            <v>0</v>
          </cell>
        </row>
        <row r="273">
          <cell r="AJ273">
            <v>0</v>
          </cell>
        </row>
        <row r="274">
          <cell r="AJ274">
            <v>0</v>
          </cell>
        </row>
        <row r="275">
          <cell r="AJ275">
            <v>0</v>
          </cell>
        </row>
        <row r="276">
          <cell r="AJ276">
            <v>0</v>
          </cell>
        </row>
        <row r="277">
          <cell r="AJ277">
            <v>0</v>
          </cell>
        </row>
        <row r="278">
          <cell r="AJ278">
            <v>0</v>
          </cell>
        </row>
        <row r="279">
          <cell r="AJ279">
            <v>0</v>
          </cell>
        </row>
        <row r="280">
          <cell r="AJ280">
            <v>0</v>
          </cell>
        </row>
        <row r="281">
          <cell r="AJ281">
            <v>0</v>
          </cell>
        </row>
        <row r="282">
          <cell r="AJ282">
            <v>0</v>
          </cell>
        </row>
        <row r="283">
          <cell r="AJ283">
            <v>0</v>
          </cell>
        </row>
        <row r="284">
          <cell r="AJ284">
            <v>0</v>
          </cell>
        </row>
        <row r="285">
          <cell r="AJ285">
            <v>0</v>
          </cell>
        </row>
        <row r="286">
          <cell r="AJ286">
            <v>0</v>
          </cell>
        </row>
        <row r="287">
          <cell r="AJ287">
            <v>0</v>
          </cell>
        </row>
        <row r="288">
          <cell r="AJ288">
            <v>0</v>
          </cell>
        </row>
        <row r="289">
          <cell r="AJ289">
            <v>0</v>
          </cell>
        </row>
        <row r="290">
          <cell r="AJ290">
            <v>0</v>
          </cell>
        </row>
        <row r="291">
          <cell r="AJ291">
            <v>0</v>
          </cell>
        </row>
        <row r="292">
          <cell r="AJ292">
            <v>0</v>
          </cell>
        </row>
        <row r="293">
          <cell r="AJ293">
            <v>0</v>
          </cell>
        </row>
        <row r="294">
          <cell r="AJ294">
            <v>0</v>
          </cell>
        </row>
        <row r="295">
          <cell r="AJ295">
            <v>0</v>
          </cell>
        </row>
        <row r="296">
          <cell r="AJ296">
            <v>0</v>
          </cell>
        </row>
        <row r="297">
          <cell r="AJ297">
            <v>0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E6771-C6AC-4403-BFFE-8591D33E35A9}">
  <sheetPr codeName="Hoja26"/>
  <dimension ref="B2:DI35707"/>
  <sheetViews>
    <sheetView tabSelected="1" topLeftCell="F73" zoomScaleNormal="100" workbookViewId="0">
      <selection activeCell="AK11" sqref="AK11"/>
    </sheetView>
  </sheetViews>
  <sheetFormatPr baseColWidth="10" defaultRowHeight="14.4" x14ac:dyDescent="0.3"/>
  <cols>
    <col min="13" max="13" width="19.5546875" customWidth="1"/>
    <col min="30" max="30" width="13.33203125" bestFit="1" customWidth="1"/>
    <col min="40" max="40" width="14.6640625" bestFit="1" customWidth="1"/>
    <col min="42" max="42" width="22.109375" bestFit="1" customWidth="1"/>
    <col min="43" max="43" width="21.5546875" bestFit="1" customWidth="1"/>
    <col min="52" max="52" width="34.5546875" bestFit="1" customWidth="1"/>
  </cols>
  <sheetData>
    <row r="2" spans="2:113" ht="18" customHeight="1" x14ac:dyDescent="0.9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AA2" s="2" t="s">
        <v>1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V2" s="3" t="s">
        <v>2</v>
      </c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M2" s="4" t="s">
        <v>3</v>
      </c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N2" s="5" t="s">
        <v>4</v>
      </c>
      <c r="CO2" s="5"/>
      <c r="CP2" s="5"/>
      <c r="CQ2" s="5"/>
      <c r="CR2" s="5"/>
      <c r="CT2" s="6" t="s">
        <v>5</v>
      </c>
      <c r="CV2" s="7" t="s">
        <v>6</v>
      </c>
      <c r="CW2" s="7"/>
      <c r="CY2" s="8" t="s">
        <v>7</v>
      </c>
      <c r="CZ2" s="8"/>
      <c r="DB2" s="9" t="s">
        <v>8</v>
      </c>
      <c r="DC2" s="9"/>
      <c r="DD2" s="9"/>
    </row>
    <row r="3" spans="2:113" ht="18" customHeight="1" x14ac:dyDescent="0.9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N3" s="5"/>
      <c r="CO3" s="5"/>
      <c r="CP3" s="5"/>
      <c r="CQ3" s="5"/>
      <c r="CR3" s="5"/>
      <c r="CT3" s="6"/>
      <c r="CV3" s="7"/>
      <c r="CW3" s="7"/>
      <c r="CY3" s="8"/>
      <c r="CZ3" s="8"/>
      <c r="DB3" s="9"/>
      <c r="DC3" s="9"/>
      <c r="DD3" s="9"/>
    </row>
    <row r="4" spans="2:113" ht="18" customHeight="1" x14ac:dyDescent="0.9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N4" s="5"/>
      <c r="CO4" s="5"/>
      <c r="CP4" s="5"/>
      <c r="CQ4" s="5"/>
      <c r="CR4" s="5"/>
      <c r="CT4" s="6"/>
      <c r="CV4" s="7"/>
      <c r="CW4" s="7"/>
      <c r="CY4" s="8"/>
      <c r="CZ4" s="8"/>
      <c r="DB4" s="9"/>
      <c r="DC4" s="9"/>
      <c r="DD4" s="9"/>
    </row>
    <row r="5" spans="2:113" ht="15" thickBot="1" x14ac:dyDescent="0.35"/>
    <row r="6" spans="2:113" ht="15" thickBot="1" x14ac:dyDescent="0.35">
      <c r="CN6" t="s">
        <v>9</v>
      </c>
      <c r="CO6" s="10">
        <v>0.3</v>
      </c>
    </row>
    <row r="7" spans="2:113" ht="72" x14ac:dyDescent="0.35">
      <c r="B7" s="11" t="s">
        <v>10</v>
      </c>
      <c r="C7" s="11"/>
      <c r="E7" s="12" t="s">
        <v>11</v>
      </c>
      <c r="H7" s="13" t="s">
        <v>12</v>
      </c>
      <c r="I7" s="14"/>
      <c r="J7" s="14"/>
      <c r="K7" s="14"/>
      <c r="L7" s="15"/>
      <c r="M7" s="16">
        <v>0.8</v>
      </c>
      <c r="O7" s="17" t="s">
        <v>13</v>
      </c>
      <c r="P7" s="17"/>
      <c r="Q7" s="17"/>
      <c r="R7" s="17"/>
      <c r="S7" s="18" t="s">
        <v>14</v>
      </c>
      <c r="T7" s="19"/>
      <c r="U7" s="19"/>
      <c r="V7" s="19"/>
      <c r="W7" s="20"/>
      <c r="X7" s="21">
        <v>2</v>
      </c>
      <c r="AB7" s="22" t="s">
        <v>15</v>
      </c>
      <c r="AC7" s="22"/>
      <c r="AD7" s="22"/>
      <c r="AE7" s="22"/>
      <c r="AG7" s="22" t="s">
        <v>16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V7" s="23" t="s">
        <v>17</v>
      </c>
      <c r="AW7" s="23"/>
      <c r="AX7" s="24"/>
      <c r="AY7" s="25" t="s">
        <v>18</v>
      </c>
      <c r="AZ7" s="25"/>
      <c r="BA7" s="25"/>
      <c r="BB7" s="25"/>
      <c r="BC7" s="25"/>
      <c r="BD7" s="25"/>
      <c r="BE7" s="25"/>
      <c r="BG7" s="23" t="s">
        <v>19</v>
      </c>
      <c r="BH7" s="23"/>
      <c r="BJ7" s="26" t="s">
        <v>18</v>
      </c>
      <c r="BK7" s="26"/>
      <c r="BN7" s="18" t="s">
        <v>20</v>
      </c>
      <c r="BO7" s="19"/>
      <c r="BP7" s="19"/>
      <c r="BQ7" s="19"/>
      <c r="BR7" s="20"/>
      <c r="BS7" s="27">
        <v>8</v>
      </c>
      <c r="BU7" s="28" t="s">
        <v>21</v>
      </c>
      <c r="BV7" s="29"/>
      <c r="BW7" s="30"/>
      <c r="BY7" s="31" t="s">
        <v>22</v>
      </c>
      <c r="BZ7" s="32"/>
      <c r="CA7" s="33"/>
      <c r="CC7" s="31" t="s">
        <v>23</v>
      </c>
      <c r="CD7" s="32"/>
      <c r="CE7" s="32"/>
      <c r="CF7" s="32"/>
      <c r="CG7" s="32"/>
      <c r="CH7" s="32"/>
      <c r="CI7" s="32"/>
      <c r="CJ7" s="32"/>
      <c r="CK7" s="32"/>
      <c r="CL7" s="33"/>
      <c r="CN7" t="s">
        <v>24</v>
      </c>
      <c r="CO7" t="s">
        <v>25</v>
      </c>
      <c r="CP7" t="s">
        <v>26</v>
      </c>
      <c r="CQ7" t="s">
        <v>27</v>
      </c>
      <c r="CR7" t="s">
        <v>28</v>
      </c>
      <c r="CT7" t="s">
        <v>29</v>
      </c>
      <c r="CV7" t="s">
        <v>30</v>
      </c>
      <c r="CW7" t="s">
        <v>31</v>
      </c>
      <c r="CY7" s="34" t="s">
        <v>32</v>
      </c>
      <c r="CZ7" s="35" t="s">
        <v>33</v>
      </c>
      <c r="DB7" t="s">
        <v>34</v>
      </c>
      <c r="DC7" t="s">
        <v>35</v>
      </c>
    </row>
    <row r="8" spans="2:113" ht="21.6" thickBot="1" x14ac:dyDescent="0.4">
      <c r="B8" s="11"/>
      <c r="C8" s="11"/>
      <c r="H8" s="36"/>
      <c r="I8" s="37"/>
      <c r="J8" s="37"/>
      <c r="K8" s="37"/>
      <c r="L8" s="38"/>
      <c r="M8" s="39"/>
      <c r="S8" s="40"/>
      <c r="T8" s="41"/>
      <c r="U8" s="41"/>
      <c r="V8" s="41"/>
      <c r="W8" s="42"/>
      <c r="X8" s="39"/>
      <c r="AB8" s="22"/>
      <c r="AC8" s="22"/>
      <c r="AD8" s="22"/>
      <c r="AE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V8" s="23"/>
      <c r="AW8" s="23"/>
      <c r="AX8" s="24"/>
      <c r="AY8" s="25"/>
      <c r="AZ8" s="25"/>
      <c r="BA8" s="25"/>
      <c r="BB8" s="25"/>
      <c r="BC8" s="25"/>
      <c r="BD8" s="25"/>
      <c r="BE8" s="25"/>
      <c r="BG8" s="23"/>
      <c r="BH8" s="23"/>
      <c r="BJ8" s="26"/>
      <c r="BK8" s="26"/>
      <c r="BN8" s="40"/>
      <c r="BO8" s="41"/>
      <c r="BP8" s="41"/>
      <c r="BQ8" s="41"/>
      <c r="BR8" s="42"/>
      <c r="BS8" s="43"/>
      <c r="BU8" s="44"/>
      <c r="BV8" s="45"/>
      <c r="BW8" s="46"/>
      <c r="BY8" s="47"/>
      <c r="BZ8" s="48"/>
      <c r="CA8" s="49"/>
      <c r="CC8" s="47"/>
      <c r="CD8" s="48"/>
      <c r="CE8" s="50"/>
      <c r="CF8" s="50"/>
      <c r="CG8" s="50"/>
      <c r="CH8" s="50"/>
      <c r="CI8" s="50"/>
      <c r="CJ8" s="50"/>
      <c r="CK8" s="50"/>
      <c r="CL8" s="51"/>
      <c r="CN8">
        <v>102</v>
      </c>
      <c r="CO8">
        <v>59.49</v>
      </c>
      <c r="CP8">
        <v>49.54</v>
      </c>
      <c r="CQ8">
        <v>30.51</v>
      </c>
      <c r="CR8">
        <v>20.57</v>
      </c>
      <c r="CT8" t="s">
        <v>36</v>
      </c>
      <c r="CV8">
        <v>1504</v>
      </c>
      <c r="CW8" t="s">
        <v>37</v>
      </c>
      <c r="CY8" s="34" t="s">
        <v>38</v>
      </c>
      <c r="CZ8" s="35">
        <v>0.122889</v>
      </c>
      <c r="DB8" s="52"/>
      <c r="DC8" s="52">
        <v>0</v>
      </c>
      <c r="DD8" s="53">
        <v>4</v>
      </c>
      <c r="DE8" s="54" t="s">
        <v>39</v>
      </c>
      <c r="DF8" s="54" t="s">
        <v>40</v>
      </c>
      <c r="DG8" s="55" t="s">
        <v>41</v>
      </c>
      <c r="DH8" s="55" t="s">
        <v>42</v>
      </c>
      <c r="DI8" s="55" t="s">
        <v>42</v>
      </c>
    </row>
    <row r="9" spans="2:113" ht="18.600000000000001" thickBot="1" x14ac:dyDescent="0.4">
      <c r="AC9" s="52"/>
      <c r="AD9" s="52"/>
      <c r="AX9" s="52"/>
      <c r="BU9" s="56"/>
      <c r="BW9" s="57"/>
      <c r="BY9" s="58"/>
      <c r="BZ9" s="59"/>
      <c r="CA9" s="60"/>
      <c r="CC9" s="61" t="s">
        <v>43</v>
      </c>
      <c r="CD9" s="62" t="s">
        <v>44</v>
      </c>
      <c r="CE9" s="63" t="s">
        <v>45</v>
      </c>
      <c r="CF9" s="63" t="s">
        <v>46</v>
      </c>
      <c r="CG9" s="63" t="s">
        <v>47</v>
      </c>
      <c r="CH9" s="63" t="s">
        <v>48</v>
      </c>
      <c r="CI9" s="63" t="s">
        <v>49</v>
      </c>
      <c r="CJ9" s="63" t="s">
        <v>50</v>
      </c>
      <c r="CK9" s="63" t="s">
        <v>51</v>
      </c>
      <c r="CN9">
        <v>116</v>
      </c>
      <c r="CO9">
        <v>59.49</v>
      </c>
      <c r="CP9">
        <v>49.54</v>
      </c>
      <c r="CQ9">
        <v>30.51</v>
      </c>
      <c r="CR9">
        <v>20.57</v>
      </c>
      <c r="CT9" t="s">
        <v>52</v>
      </c>
      <c r="CV9">
        <v>2158</v>
      </c>
      <c r="CW9" t="s">
        <v>53</v>
      </c>
      <c r="CY9" s="34" t="s">
        <v>54</v>
      </c>
      <c r="CZ9" s="35">
        <v>7.8342496000000008E-3</v>
      </c>
      <c r="DB9" s="52">
        <v>0</v>
      </c>
      <c r="DC9" s="52">
        <v>0.75</v>
      </c>
      <c r="DD9" s="53">
        <v>3</v>
      </c>
      <c r="DE9" s="54" t="s">
        <v>39</v>
      </c>
      <c r="DF9" s="54" t="s">
        <v>40</v>
      </c>
      <c r="DG9" s="55" t="s">
        <v>41</v>
      </c>
      <c r="DH9" s="55" t="s">
        <v>55</v>
      </c>
      <c r="DI9" s="55" t="s">
        <v>55</v>
      </c>
    </row>
    <row r="10" spans="2:113" ht="43.8" thickBot="1" x14ac:dyDescent="0.4">
      <c r="B10" s="64" t="s">
        <v>56</v>
      </c>
      <c r="C10" s="65"/>
      <c r="H10" s="13" t="s">
        <v>57</v>
      </c>
      <c r="I10" s="14"/>
      <c r="J10" s="14"/>
      <c r="K10" s="14"/>
      <c r="L10" s="15"/>
      <c r="M10" s="66">
        <f>SUM('[1]DATOS PBI Artículos'!AJ:AJ)</f>
        <v>57180165</v>
      </c>
      <c r="S10" s="18" t="s">
        <v>58</v>
      </c>
      <c r="T10" s="19"/>
      <c r="U10" s="19"/>
      <c r="V10" s="19"/>
      <c r="W10" s="20"/>
      <c r="X10" s="21">
        <v>40</v>
      </c>
      <c r="AC10" s="67" t="s">
        <v>59</v>
      </c>
      <c r="AD10" s="68" t="s">
        <v>60</v>
      </c>
      <c r="AH10" s="69" t="s">
        <v>59</v>
      </c>
      <c r="AI10" s="70" t="s">
        <v>61</v>
      </c>
      <c r="AJ10" s="71" t="s">
        <v>60</v>
      </c>
      <c r="AN10" s="69" t="s">
        <v>62</v>
      </c>
      <c r="AO10" s="70" t="s">
        <v>59</v>
      </c>
      <c r="AP10" s="70" t="s">
        <v>63</v>
      </c>
      <c r="AQ10" s="71" t="s">
        <v>64</v>
      </c>
      <c r="AV10" s="72" t="s">
        <v>59</v>
      </c>
      <c r="AW10" s="73" t="s">
        <v>65</v>
      </c>
      <c r="AX10" s="74"/>
      <c r="AY10" s="75" t="s">
        <v>43</v>
      </c>
      <c r="AZ10" s="76" t="s">
        <v>66</v>
      </c>
      <c r="BA10" s="77" t="s">
        <v>67</v>
      </c>
      <c r="BB10" s="78" t="s">
        <v>68</v>
      </c>
      <c r="BC10" s="79" t="s">
        <v>69</v>
      </c>
      <c r="BD10" s="78" t="s">
        <v>70</v>
      </c>
      <c r="BE10" s="80" t="s">
        <v>71</v>
      </c>
      <c r="BF10" s="74"/>
      <c r="BG10" s="81" t="s">
        <v>61</v>
      </c>
      <c r="BH10" s="82" t="s">
        <v>65</v>
      </c>
      <c r="BI10" s="74"/>
      <c r="BJ10" s="83" t="s">
        <v>72</v>
      </c>
      <c r="BK10" s="84" t="s">
        <v>73</v>
      </c>
      <c r="BN10" s="18" t="s">
        <v>74</v>
      </c>
      <c r="BO10" s="19"/>
      <c r="BP10" s="19"/>
      <c r="BQ10" s="19"/>
      <c r="BR10" s="20"/>
      <c r="BS10" s="27">
        <v>16</v>
      </c>
      <c r="BU10" s="56"/>
      <c r="BV10" s="85" t="s">
        <v>75</v>
      </c>
      <c r="BW10" s="57"/>
      <c r="BY10" s="56"/>
      <c r="CA10" s="57"/>
      <c r="CC10" s="86">
        <v>765</v>
      </c>
      <c r="CD10" s="87" t="s">
        <v>3</v>
      </c>
      <c r="CE10" t="s">
        <v>76</v>
      </c>
      <c r="CF10" t="s">
        <v>3</v>
      </c>
      <c r="CG10" t="s">
        <v>77</v>
      </c>
      <c r="CN10">
        <v>1100</v>
      </c>
      <c r="CO10">
        <v>0</v>
      </c>
      <c r="CP10">
        <v>0</v>
      </c>
      <c r="CQ10">
        <v>12.5</v>
      </c>
      <c r="CR10">
        <v>12.5</v>
      </c>
      <c r="CT10" t="s">
        <v>78</v>
      </c>
      <c r="CV10">
        <v>5360</v>
      </c>
      <c r="CW10" t="s">
        <v>79</v>
      </c>
      <c r="CY10" s="34" t="s">
        <v>80</v>
      </c>
      <c r="CZ10" s="35">
        <v>0.17242628849999997</v>
      </c>
      <c r="DB10" s="52">
        <v>0.75</v>
      </c>
      <c r="DC10" s="52">
        <v>1.25</v>
      </c>
      <c r="DD10" s="53">
        <v>1</v>
      </c>
      <c r="DE10" s="54" t="s">
        <v>81</v>
      </c>
      <c r="DF10" s="54" t="s">
        <v>40</v>
      </c>
      <c r="DG10" s="55" t="s">
        <v>41</v>
      </c>
      <c r="DH10" s="55" t="s">
        <v>55</v>
      </c>
      <c r="DI10" s="55" t="s">
        <v>82</v>
      </c>
    </row>
    <row r="11" spans="2:113" ht="21.6" thickBot="1" x14ac:dyDescent="0.4">
      <c r="B11" s="88"/>
      <c r="C11" s="89"/>
      <c r="H11" s="36"/>
      <c r="I11" s="37"/>
      <c r="J11" s="37"/>
      <c r="K11" s="37"/>
      <c r="L11" s="38"/>
      <c r="M11" s="90"/>
      <c r="S11" s="40"/>
      <c r="T11" s="41"/>
      <c r="U11" s="41"/>
      <c r="V11" s="41"/>
      <c r="W11" s="42"/>
      <c r="X11" s="39"/>
      <c r="AC11" s="91" t="s">
        <v>83</v>
      </c>
      <c r="AD11" s="92">
        <v>1</v>
      </c>
      <c r="AH11" s="93" t="s">
        <v>84</v>
      </c>
      <c r="AI11" s="94">
        <v>207</v>
      </c>
      <c r="AJ11" s="95">
        <v>0.2</v>
      </c>
      <c r="AN11" s="96">
        <v>404003</v>
      </c>
      <c r="AO11" s="97" t="s">
        <v>84</v>
      </c>
      <c r="AP11" s="98" t="s">
        <v>85</v>
      </c>
      <c r="AQ11" s="99">
        <v>0.2</v>
      </c>
      <c r="AS11" s="100"/>
      <c r="AV11" s="101" t="s">
        <v>83</v>
      </c>
      <c r="AW11" s="102">
        <v>1</v>
      </c>
      <c r="AY11" s="103">
        <v>109</v>
      </c>
      <c r="AZ11" s="104" t="s">
        <v>86</v>
      </c>
      <c r="BA11" s="105"/>
      <c r="BB11" s="106"/>
      <c r="BC11" s="98"/>
      <c r="BD11" s="98"/>
      <c r="BE11" s="107"/>
      <c r="BF11" s="108"/>
      <c r="BG11" s="109">
        <v>109</v>
      </c>
      <c r="BH11" s="110">
        <f>_xlfn.XLOOKUP(BG11,'[1]OEE MEJORADA'!A:A,'[1]OEE MEJORADA'!B:B)</f>
        <v>0.85532937840254042</v>
      </c>
      <c r="BJ11" s="91"/>
      <c r="BK11" s="92">
        <v>10</v>
      </c>
      <c r="BN11" s="40"/>
      <c r="BO11" s="41"/>
      <c r="BP11" s="41"/>
      <c r="BQ11" s="41"/>
      <c r="BR11" s="42"/>
      <c r="BS11" s="43"/>
      <c r="BU11" s="56"/>
      <c r="BV11" s="85" t="s">
        <v>83</v>
      </c>
      <c r="BW11" s="57"/>
      <c r="BY11" s="56"/>
      <c r="CA11" s="57"/>
      <c r="CC11" s="86">
        <v>737</v>
      </c>
      <c r="CD11" s="87" t="s">
        <v>3</v>
      </c>
      <c r="CE11" t="s">
        <v>76</v>
      </c>
      <c r="CF11" t="s">
        <v>3</v>
      </c>
      <c r="CG11" t="s">
        <v>3</v>
      </c>
      <c r="CH11" t="s">
        <v>77</v>
      </c>
      <c r="CN11">
        <v>3100</v>
      </c>
      <c r="CO11">
        <v>83.83</v>
      </c>
      <c r="CP11">
        <v>68.42</v>
      </c>
      <c r="CQ11">
        <v>83.83</v>
      </c>
      <c r="CR11">
        <v>68.42</v>
      </c>
      <c r="CT11" t="s">
        <v>87</v>
      </c>
      <c r="CV11">
        <v>3989</v>
      </c>
      <c r="CW11" t="s">
        <v>88</v>
      </c>
      <c r="CY11" s="34" t="s">
        <v>89</v>
      </c>
      <c r="CZ11" s="35">
        <v>0.16104966253846154</v>
      </c>
      <c r="DB11" s="52">
        <v>1.25</v>
      </c>
      <c r="DC11" s="52"/>
      <c r="DD11" s="53">
        <v>2</v>
      </c>
      <c r="DE11" s="54" t="s">
        <v>81</v>
      </c>
      <c r="DF11" s="54" t="s">
        <v>40</v>
      </c>
      <c r="DG11" s="55" t="s">
        <v>41</v>
      </c>
      <c r="DH11" s="55" t="s">
        <v>55</v>
      </c>
      <c r="DI11" s="55" t="s">
        <v>82</v>
      </c>
    </row>
    <row r="12" spans="2:113" ht="21.6" thickBot="1" x14ac:dyDescent="0.35">
      <c r="B12" s="111"/>
      <c r="C12" s="111"/>
      <c r="S12" s="112"/>
      <c r="T12" s="112"/>
      <c r="U12" s="112"/>
      <c r="V12" s="112"/>
      <c r="W12" s="112"/>
      <c r="X12" s="113"/>
      <c r="AC12" s="91" t="s">
        <v>84</v>
      </c>
      <c r="AD12" s="92">
        <v>1</v>
      </c>
      <c r="AH12" s="114" t="s">
        <v>84</v>
      </c>
      <c r="AI12" s="115">
        <v>210</v>
      </c>
      <c r="AJ12" s="116">
        <v>0.2</v>
      </c>
      <c r="AN12" s="117" t="s">
        <v>90</v>
      </c>
      <c r="AO12" s="118" t="s">
        <v>84</v>
      </c>
      <c r="AP12" s="119" t="s">
        <v>91</v>
      </c>
      <c r="AQ12" s="120">
        <v>0.2</v>
      </c>
      <c r="AS12" s="100"/>
      <c r="AV12" s="91" t="s">
        <v>84</v>
      </c>
      <c r="AW12" s="121">
        <v>1</v>
      </c>
      <c r="AY12" s="109">
        <v>122</v>
      </c>
      <c r="AZ12" s="122" t="s">
        <v>92</v>
      </c>
      <c r="BA12" s="123"/>
      <c r="BB12" s="124"/>
      <c r="BC12" s="119"/>
      <c r="BD12" s="119"/>
      <c r="BE12" s="125"/>
      <c r="BF12" s="108"/>
      <c r="BG12" s="109">
        <v>122</v>
      </c>
      <c r="BH12" s="110">
        <f>_xlfn.XLOOKUP(BG12,'[1]OEE MEJORADA'!A:A,'[1]OEE MEJORADA'!B:B)</f>
        <v>0.92617360112689973</v>
      </c>
      <c r="BJ12" s="91"/>
      <c r="BK12" s="92">
        <v>10</v>
      </c>
      <c r="BU12" s="56"/>
      <c r="BV12" s="85" t="s">
        <v>84</v>
      </c>
      <c r="BW12" s="57"/>
      <c r="BY12" s="56"/>
      <c r="CA12" s="57"/>
      <c r="CC12" s="126">
        <v>763</v>
      </c>
      <c r="CD12" s="127" t="s">
        <v>93</v>
      </c>
      <c r="CE12" t="s">
        <v>94</v>
      </c>
      <c r="CF12" t="s">
        <v>95</v>
      </c>
      <c r="CN12">
        <v>3150</v>
      </c>
      <c r="CO12">
        <v>29.87</v>
      </c>
      <c r="CP12">
        <v>19.62</v>
      </c>
      <c r="CQ12">
        <v>29.87</v>
      </c>
      <c r="CR12">
        <v>19.62</v>
      </c>
      <c r="CT12" t="s">
        <v>96</v>
      </c>
      <c r="CV12">
        <v>5936</v>
      </c>
      <c r="CW12" t="s">
        <v>97</v>
      </c>
      <c r="CY12" s="34" t="s">
        <v>98</v>
      </c>
      <c r="CZ12" s="35">
        <v>7.0574833999999999E-3</v>
      </c>
    </row>
    <row r="13" spans="2:113" ht="21" x14ac:dyDescent="0.3">
      <c r="B13" s="64" t="s">
        <v>99</v>
      </c>
      <c r="C13" s="65"/>
      <c r="H13" s="128" t="s">
        <v>100</v>
      </c>
      <c r="I13" s="129"/>
      <c r="J13" s="129"/>
      <c r="K13" s="129"/>
      <c r="L13" s="130"/>
      <c r="M13" s="131">
        <v>0.1</v>
      </c>
      <c r="S13" s="112"/>
      <c r="T13" s="112"/>
      <c r="U13" s="112"/>
      <c r="V13" s="112"/>
      <c r="W13" s="112"/>
      <c r="X13" s="113"/>
      <c r="AC13" s="91" t="s">
        <v>101</v>
      </c>
      <c r="AD13" s="92">
        <v>1</v>
      </c>
      <c r="AH13" s="114" t="s">
        <v>84</v>
      </c>
      <c r="AI13" s="115">
        <v>211</v>
      </c>
      <c r="AJ13" s="116">
        <v>0.2</v>
      </c>
      <c r="AN13" s="117">
        <v>404033</v>
      </c>
      <c r="AO13" s="118" t="s">
        <v>84</v>
      </c>
      <c r="AP13" s="119" t="s">
        <v>102</v>
      </c>
      <c r="AQ13" s="120">
        <v>0.2</v>
      </c>
      <c r="AS13" s="100"/>
      <c r="AV13" s="91" t="s">
        <v>101</v>
      </c>
      <c r="AW13" s="121">
        <v>1</v>
      </c>
      <c r="AY13" s="109">
        <v>124</v>
      </c>
      <c r="AZ13" s="122" t="s">
        <v>103</v>
      </c>
      <c r="BA13" s="123"/>
      <c r="BB13" s="124"/>
      <c r="BC13" s="119"/>
      <c r="BD13" s="119"/>
      <c r="BE13" s="125"/>
      <c r="BF13" s="108"/>
      <c r="BG13" s="109">
        <v>124</v>
      </c>
      <c r="BH13" s="110">
        <f>_xlfn.XLOOKUP(BG13,'[1]OEE MEJORADA'!A:A,'[1]OEE MEJORADA'!B:B)</f>
        <v>0.74707857409333023</v>
      </c>
      <c r="BJ13" s="91"/>
      <c r="BK13" s="92">
        <v>10</v>
      </c>
      <c r="BN13" s="18" t="s">
        <v>104</v>
      </c>
      <c r="BO13" s="19"/>
      <c r="BP13" s="19"/>
      <c r="BQ13" s="19"/>
      <c r="BR13" s="20"/>
      <c r="BS13" s="27">
        <v>8</v>
      </c>
      <c r="BU13" s="56"/>
      <c r="BV13" s="85" t="s">
        <v>101</v>
      </c>
      <c r="BW13" s="57"/>
      <c r="BY13" s="56"/>
      <c r="CA13" s="57"/>
      <c r="CC13" s="126">
        <v>767</v>
      </c>
      <c r="CD13" s="127" t="s">
        <v>105</v>
      </c>
      <c r="CE13" t="s">
        <v>94</v>
      </c>
      <c r="CF13" t="s">
        <v>95</v>
      </c>
      <c r="CK13" t="s">
        <v>106</v>
      </c>
      <c r="CN13">
        <v>90</v>
      </c>
      <c r="CO13">
        <v>63.46</v>
      </c>
      <c r="CP13">
        <v>53.72</v>
      </c>
      <c r="CQ13">
        <v>34.49</v>
      </c>
      <c r="CR13">
        <v>24.76</v>
      </c>
      <c r="CT13" t="s">
        <v>107</v>
      </c>
      <c r="CV13">
        <v>5938</v>
      </c>
      <c r="CW13" t="s">
        <v>108</v>
      </c>
      <c r="CY13" s="34" t="s">
        <v>109</v>
      </c>
      <c r="CZ13" s="35">
        <v>2.9667905000000001E-2</v>
      </c>
    </row>
    <row r="14" spans="2:113" ht="21.6" thickBot="1" x14ac:dyDescent="0.35">
      <c r="B14" s="88"/>
      <c r="C14" s="89"/>
      <c r="H14" s="132"/>
      <c r="I14" s="133"/>
      <c r="J14" s="133"/>
      <c r="K14" s="133"/>
      <c r="L14" s="134"/>
      <c r="M14" s="135"/>
      <c r="AC14" s="91" t="s">
        <v>110</v>
      </c>
      <c r="AD14" s="92">
        <v>0.33</v>
      </c>
      <c r="AH14" s="114" t="s">
        <v>84</v>
      </c>
      <c r="AI14" s="115">
        <v>212</v>
      </c>
      <c r="AJ14" s="116">
        <v>0.2</v>
      </c>
      <c r="AN14" s="117">
        <v>404055</v>
      </c>
      <c r="AO14" s="118" t="s">
        <v>84</v>
      </c>
      <c r="AP14" s="119" t="s">
        <v>111</v>
      </c>
      <c r="AQ14" s="120">
        <v>0.33</v>
      </c>
      <c r="AS14" s="100"/>
      <c r="AV14" s="101" t="s">
        <v>110</v>
      </c>
      <c r="AW14" s="102">
        <v>1</v>
      </c>
      <c r="AY14" s="109">
        <v>125</v>
      </c>
      <c r="AZ14" s="122" t="s">
        <v>112</v>
      </c>
      <c r="BA14" s="123"/>
      <c r="BB14" s="124"/>
      <c r="BC14" s="119"/>
      <c r="BD14" s="119"/>
      <c r="BE14" s="125"/>
      <c r="BF14" s="108"/>
      <c r="BG14" s="109">
        <v>125</v>
      </c>
      <c r="BH14" s="110">
        <f>_xlfn.XLOOKUP(BG14,'[1]OEE MEJORADA'!A:A,'[1]OEE MEJORADA'!B:B)</f>
        <v>0.48980281690140853</v>
      </c>
      <c r="BJ14" s="91"/>
      <c r="BK14" s="92">
        <v>10</v>
      </c>
      <c r="BN14" s="40"/>
      <c r="BO14" s="41"/>
      <c r="BP14" s="41"/>
      <c r="BQ14" s="41"/>
      <c r="BR14" s="42"/>
      <c r="BS14" s="43"/>
      <c r="BU14" s="56"/>
      <c r="BW14" s="57"/>
      <c r="BY14" s="56"/>
      <c r="CA14" s="57"/>
      <c r="CC14" s="126">
        <v>772</v>
      </c>
      <c r="CD14" s="127" t="s">
        <v>93</v>
      </c>
      <c r="CE14" t="s">
        <v>94</v>
      </c>
      <c r="CF14" t="s">
        <v>95</v>
      </c>
      <c r="CN14">
        <v>91</v>
      </c>
      <c r="CO14">
        <v>63.46</v>
      </c>
      <c r="CP14">
        <v>53.72</v>
      </c>
      <c r="CQ14">
        <v>34.49</v>
      </c>
      <c r="CR14">
        <v>24.76</v>
      </c>
      <c r="CT14" t="s">
        <v>113</v>
      </c>
      <c r="CV14">
        <v>1058</v>
      </c>
      <c r="CW14" t="s">
        <v>114</v>
      </c>
      <c r="CY14" s="34" t="s">
        <v>115</v>
      </c>
      <c r="CZ14" s="35">
        <v>8.8391354000000005E-2</v>
      </c>
    </row>
    <row r="15" spans="2:113" ht="21.6" thickBot="1" x14ac:dyDescent="0.35">
      <c r="B15" s="111"/>
      <c r="C15" s="111"/>
      <c r="T15" s="112"/>
      <c r="U15" s="112"/>
      <c r="V15" s="112"/>
      <c r="W15" s="112"/>
      <c r="X15" s="113" t="s">
        <v>116</v>
      </c>
      <c r="Y15" s="113" t="s">
        <v>117</v>
      </c>
      <c r="AC15" s="91" t="s">
        <v>75</v>
      </c>
      <c r="AD15" s="92">
        <v>0.5</v>
      </c>
      <c r="AH15" s="114" t="s">
        <v>84</v>
      </c>
      <c r="AI15" s="115">
        <v>213</v>
      </c>
      <c r="AJ15" s="116">
        <v>0.2</v>
      </c>
      <c r="AN15" s="136">
        <v>412607</v>
      </c>
      <c r="AO15" s="118" t="s">
        <v>84</v>
      </c>
      <c r="AP15" s="119" t="s">
        <v>118</v>
      </c>
      <c r="AQ15" s="120">
        <v>0.2</v>
      </c>
      <c r="AS15" s="100"/>
      <c r="AV15" s="101" t="s">
        <v>75</v>
      </c>
      <c r="AW15" s="102">
        <v>1</v>
      </c>
      <c r="AY15" s="109">
        <v>127</v>
      </c>
      <c r="AZ15" s="122" t="s">
        <v>119</v>
      </c>
      <c r="BA15" s="123"/>
      <c r="BB15" s="124"/>
      <c r="BC15" s="119"/>
      <c r="BD15" s="119"/>
      <c r="BE15" s="125"/>
      <c r="BF15" s="108"/>
      <c r="BG15" s="109">
        <v>127</v>
      </c>
      <c r="BH15" s="110">
        <f>_xlfn.XLOOKUP(BG15,'[1]OEE MEJORADA'!A:A,'[1]OEE MEJORADA'!B:B)</f>
        <v>0.94544367466227375</v>
      </c>
      <c r="BJ15" s="91"/>
      <c r="BK15" s="92">
        <v>10</v>
      </c>
      <c r="BU15" s="56"/>
      <c r="BW15" s="57"/>
      <c r="BY15" s="56"/>
      <c r="CA15" s="57"/>
      <c r="CC15" s="126">
        <v>778</v>
      </c>
      <c r="CD15" s="127" t="s">
        <v>93</v>
      </c>
      <c r="CE15" t="s">
        <v>94</v>
      </c>
      <c r="CF15" t="s">
        <v>95</v>
      </c>
      <c r="CN15">
        <v>95</v>
      </c>
      <c r="CO15">
        <v>64.36</v>
      </c>
      <c r="CP15">
        <v>53.05</v>
      </c>
      <c r="CQ15">
        <v>35.39</v>
      </c>
      <c r="CR15">
        <v>24.08</v>
      </c>
      <c r="CT15" t="s">
        <v>120</v>
      </c>
      <c r="CV15">
        <v>4545</v>
      </c>
      <c r="CW15" t="s">
        <v>121</v>
      </c>
      <c r="CY15" s="34" t="s">
        <v>122</v>
      </c>
      <c r="CZ15" s="35">
        <v>9.0444199999999975E-3</v>
      </c>
    </row>
    <row r="16" spans="2:113" ht="21" x14ac:dyDescent="0.35">
      <c r="B16" s="64" t="s">
        <v>123</v>
      </c>
      <c r="C16" s="65"/>
      <c r="E16" s="12" t="s">
        <v>124</v>
      </c>
      <c r="H16" s="137" t="s">
        <v>125</v>
      </c>
      <c r="I16" s="138"/>
      <c r="J16" s="138"/>
      <c r="K16" s="138"/>
      <c r="L16" s="139"/>
      <c r="M16" s="140">
        <f>SUM(Y32:Y39)</f>
        <v>75</v>
      </c>
      <c r="O16" s="17" t="s">
        <v>126</v>
      </c>
      <c r="P16" s="17"/>
      <c r="Q16" s="17"/>
      <c r="R16" s="17"/>
      <c r="S16" s="141" t="s">
        <v>127</v>
      </c>
      <c r="T16" s="142"/>
      <c r="U16" s="142"/>
      <c r="V16" s="142"/>
      <c r="W16" s="143"/>
      <c r="X16" s="144"/>
      <c r="Y16" s="144"/>
      <c r="AC16" s="91" t="s">
        <v>128</v>
      </c>
      <c r="AD16" s="92">
        <v>1</v>
      </c>
      <c r="AH16" s="114" t="s">
        <v>84</v>
      </c>
      <c r="AI16" s="145">
        <v>214</v>
      </c>
      <c r="AJ16" s="116">
        <v>0.2</v>
      </c>
      <c r="AN16" s="117">
        <v>412604</v>
      </c>
      <c r="AO16" s="118" t="s">
        <v>84</v>
      </c>
      <c r="AP16" s="119" t="s">
        <v>129</v>
      </c>
      <c r="AQ16" s="120">
        <v>0.2</v>
      </c>
      <c r="AS16" s="100"/>
      <c r="AV16" s="101" t="s">
        <v>128</v>
      </c>
      <c r="AW16" s="102"/>
      <c r="AY16" s="109">
        <v>136</v>
      </c>
      <c r="AZ16" s="122" t="s">
        <v>130</v>
      </c>
      <c r="BA16" s="123"/>
      <c r="BB16" s="124"/>
      <c r="BC16" s="119"/>
      <c r="BD16" s="119"/>
      <c r="BE16" s="125"/>
      <c r="BF16" s="108"/>
      <c r="BG16" s="109">
        <v>136</v>
      </c>
      <c r="BH16" s="110">
        <f>_xlfn.XLOOKUP(BG16,'[1]OEE MEJORADA'!A:A,'[1]OEE MEJORADA'!B:B)</f>
        <v>0.86367089845967493</v>
      </c>
      <c r="BJ16" s="91"/>
      <c r="BK16" s="92">
        <v>10</v>
      </c>
      <c r="BU16" s="56"/>
      <c r="BW16" s="57"/>
      <c r="BY16" s="56"/>
      <c r="CA16" s="57"/>
      <c r="CC16" s="126">
        <v>784</v>
      </c>
      <c r="CD16" s="127" t="s">
        <v>105</v>
      </c>
      <c r="CE16" t="s">
        <v>94</v>
      </c>
      <c r="CF16" t="s">
        <v>95</v>
      </c>
      <c r="CK16" t="s">
        <v>131</v>
      </c>
      <c r="CN16">
        <v>101</v>
      </c>
      <c r="CO16">
        <v>64.36</v>
      </c>
      <c r="CP16">
        <v>53.05</v>
      </c>
      <c r="CQ16">
        <v>35.39</v>
      </c>
      <c r="CR16">
        <v>24.08</v>
      </c>
      <c r="CT16" t="s">
        <v>132</v>
      </c>
      <c r="CV16">
        <v>2675</v>
      </c>
      <c r="CW16" t="s">
        <v>133</v>
      </c>
      <c r="CY16" s="34" t="s">
        <v>134</v>
      </c>
      <c r="CZ16" s="35">
        <v>0.13748066250000002</v>
      </c>
    </row>
    <row r="17" spans="2:104" ht="21.6" thickBot="1" x14ac:dyDescent="0.35">
      <c r="B17" s="88"/>
      <c r="C17" s="89"/>
      <c r="H17" s="146"/>
      <c r="I17" s="147"/>
      <c r="J17" s="147"/>
      <c r="K17" s="147"/>
      <c r="L17" s="148"/>
      <c r="M17" s="149"/>
      <c r="S17" s="150"/>
      <c r="T17" s="151"/>
      <c r="U17" s="151"/>
      <c r="V17" s="151"/>
      <c r="W17" s="152"/>
      <c r="X17" s="153"/>
      <c r="Y17" s="153"/>
      <c r="AC17" s="91" t="s">
        <v>135</v>
      </c>
      <c r="AD17" s="92">
        <v>1</v>
      </c>
      <c r="AH17" s="114" t="s">
        <v>84</v>
      </c>
      <c r="AI17" s="115">
        <v>215</v>
      </c>
      <c r="AJ17" s="116">
        <v>0.2</v>
      </c>
      <c r="AN17" s="117">
        <v>412584</v>
      </c>
      <c r="AO17" s="118" t="s">
        <v>84</v>
      </c>
      <c r="AP17" s="119" t="s">
        <v>136</v>
      </c>
      <c r="AQ17" s="120">
        <v>0.2</v>
      </c>
      <c r="AS17" s="100"/>
      <c r="AV17" s="101" t="s">
        <v>135</v>
      </c>
      <c r="AW17" s="102"/>
      <c r="AY17" s="109">
        <v>139</v>
      </c>
      <c r="AZ17" s="122" t="s">
        <v>137</v>
      </c>
      <c r="BA17" s="123"/>
      <c r="BB17" s="124"/>
      <c r="BC17" s="119"/>
      <c r="BD17" s="119"/>
      <c r="BE17" s="125"/>
      <c r="BF17" s="108"/>
      <c r="BG17" s="109">
        <v>139</v>
      </c>
      <c r="BH17" s="110">
        <f>_xlfn.XLOOKUP(BG17,'[1]OEE MEJORADA'!A:A,'[1]OEE MEJORADA'!B:B)</f>
        <v>0.95373848881575396</v>
      </c>
      <c r="BJ17" s="91"/>
      <c r="BK17" s="92">
        <v>10</v>
      </c>
      <c r="BU17" s="56"/>
      <c r="BW17" s="57"/>
      <c r="BY17" s="56"/>
      <c r="CA17" s="57"/>
      <c r="CC17" s="154">
        <v>766</v>
      </c>
      <c r="CD17" s="155" t="s">
        <v>93</v>
      </c>
      <c r="CE17" t="s">
        <v>94</v>
      </c>
      <c r="CF17" t="s">
        <v>95</v>
      </c>
      <c r="CN17">
        <v>129</v>
      </c>
      <c r="CO17">
        <v>62.86</v>
      </c>
      <c r="CP17">
        <v>53.12</v>
      </c>
      <c r="CQ17">
        <v>33.89</v>
      </c>
      <c r="CR17">
        <v>24.16</v>
      </c>
      <c r="CT17" t="s">
        <v>138</v>
      </c>
      <c r="CV17">
        <v>580</v>
      </c>
      <c r="CW17" t="s">
        <v>139</v>
      </c>
      <c r="CY17" s="34" t="s">
        <v>140</v>
      </c>
      <c r="CZ17" s="35">
        <v>3.03741704E-3</v>
      </c>
    </row>
    <row r="18" spans="2:104" ht="15" thickBot="1" x14ac:dyDescent="0.35">
      <c r="B18" s="111"/>
      <c r="C18" s="111"/>
      <c r="S18" s="141" t="s">
        <v>141</v>
      </c>
      <c r="T18" s="142"/>
      <c r="U18" s="142"/>
      <c r="V18" s="142"/>
      <c r="W18" s="143"/>
      <c r="X18" s="144"/>
      <c r="Y18" s="144"/>
      <c r="AC18" s="91" t="s">
        <v>142</v>
      </c>
      <c r="AD18" s="92">
        <v>1</v>
      </c>
      <c r="AH18" s="114" t="s">
        <v>84</v>
      </c>
      <c r="AI18" s="145">
        <v>216</v>
      </c>
      <c r="AJ18" s="116">
        <v>0.2</v>
      </c>
      <c r="AN18" s="117">
        <v>403109</v>
      </c>
      <c r="AO18" s="118" t="s">
        <v>84</v>
      </c>
      <c r="AP18" s="119" t="s">
        <v>143</v>
      </c>
      <c r="AQ18" s="120">
        <v>0.2</v>
      </c>
      <c r="AS18" s="100"/>
      <c r="AV18" s="101" t="s">
        <v>142</v>
      </c>
      <c r="AW18" s="102"/>
      <c r="AY18" s="109">
        <v>142</v>
      </c>
      <c r="AZ18" s="122" t="s">
        <v>130</v>
      </c>
      <c r="BA18" s="123"/>
      <c r="BB18" s="124"/>
      <c r="BC18" s="119"/>
      <c r="BD18" s="119"/>
      <c r="BE18" s="125"/>
      <c r="BF18" s="108"/>
      <c r="BG18" s="109">
        <v>142</v>
      </c>
      <c r="BH18" s="156">
        <f>_xlfn.XLOOKUP(BG18,'[1]OEE MEJORADA'!A:A,'[1]OEE MEJORADA'!B:B)</f>
        <v>0.78828007640846465</v>
      </c>
      <c r="BJ18" s="91"/>
      <c r="BK18" s="92">
        <v>10</v>
      </c>
      <c r="BU18" s="56"/>
      <c r="BW18" s="57"/>
      <c r="BY18" s="56"/>
      <c r="CA18" s="57"/>
      <c r="CC18" s="154">
        <v>771</v>
      </c>
      <c r="CD18" s="155" t="s">
        <v>93</v>
      </c>
      <c r="CE18" t="s">
        <v>94</v>
      </c>
      <c r="CF18" t="s">
        <v>95</v>
      </c>
      <c r="CN18">
        <v>127</v>
      </c>
      <c r="CO18">
        <v>38.200000000000003</v>
      </c>
      <c r="CP18">
        <v>29.87</v>
      </c>
      <c r="CQ18">
        <v>38.200000000000003</v>
      </c>
      <c r="CR18">
        <v>29.87</v>
      </c>
      <c r="CT18" t="s">
        <v>144</v>
      </c>
      <c r="CV18">
        <v>1501</v>
      </c>
      <c r="CW18" t="s">
        <v>145</v>
      </c>
      <c r="CY18" s="34" t="s">
        <v>146</v>
      </c>
      <c r="CZ18" s="35">
        <v>0.89267861257142844</v>
      </c>
    </row>
    <row r="19" spans="2:104" ht="21.6" thickBot="1" x14ac:dyDescent="0.35">
      <c r="B19" s="64" t="s">
        <v>147</v>
      </c>
      <c r="C19" s="65"/>
      <c r="H19" s="137" t="s">
        <v>148</v>
      </c>
      <c r="I19" s="138"/>
      <c r="J19" s="138"/>
      <c r="K19" s="138"/>
      <c r="L19" s="139"/>
      <c r="M19" s="21">
        <v>8</v>
      </c>
      <c r="S19" s="150"/>
      <c r="T19" s="151"/>
      <c r="U19" s="151"/>
      <c r="V19" s="151"/>
      <c r="W19" s="152"/>
      <c r="X19" s="153"/>
      <c r="Y19" s="153"/>
      <c r="AC19" s="157" t="s">
        <v>149</v>
      </c>
      <c r="AD19" s="158">
        <v>1</v>
      </c>
      <c r="AH19" s="114" t="s">
        <v>84</v>
      </c>
      <c r="AI19" s="115">
        <v>217</v>
      </c>
      <c r="AJ19" s="116">
        <v>0.2</v>
      </c>
      <c r="AN19" s="117">
        <v>403994</v>
      </c>
      <c r="AO19" s="118" t="s">
        <v>84</v>
      </c>
      <c r="AP19" s="119" t="s">
        <v>150</v>
      </c>
      <c r="AQ19" s="120">
        <v>0.33</v>
      </c>
      <c r="AS19" s="100"/>
      <c r="AV19" s="159" t="s">
        <v>149</v>
      </c>
      <c r="AW19" s="160"/>
      <c r="AY19" s="109">
        <v>207</v>
      </c>
      <c r="AZ19" s="122" t="s">
        <v>151</v>
      </c>
      <c r="BA19" s="123"/>
      <c r="BB19" s="124"/>
      <c r="BC19" s="119"/>
      <c r="BD19" s="119"/>
      <c r="BE19" s="125"/>
      <c r="BF19" s="108"/>
      <c r="BG19" s="109">
        <v>207</v>
      </c>
      <c r="BH19" s="110">
        <f>_xlfn.XLOOKUP(BG19,'[1]OEE MEJORADA'!A:A,'[1]OEE MEJORADA'!B:B)</f>
        <v>0.90220634100579333</v>
      </c>
      <c r="BJ19" s="91"/>
      <c r="BK19" s="92">
        <v>10</v>
      </c>
      <c r="BU19" s="56"/>
      <c r="BW19" s="57"/>
      <c r="BY19" s="56"/>
      <c r="CA19" s="57"/>
      <c r="CC19" s="154">
        <v>785</v>
      </c>
      <c r="CD19" s="155" t="s">
        <v>93</v>
      </c>
      <c r="CE19" t="s">
        <v>94</v>
      </c>
      <c r="CF19" t="s">
        <v>95</v>
      </c>
      <c r="CN19">
        <v>128</v>
      </c>
      <c r="CO19">
        <v>38.200000000000003</v>
      </c>
      <c r="CP19">
        <v>29.87</v>
      </c>
      <c r="CQ19">
        <v>38.200000000000003</v>
      </c>
      <c r="CR19">
        <v>29.87</v>
      </c>
      <c r="CT19" t="s">
        <v>152</v>
      </c>
      <c r="CV19">
        <v>2623</v>
      </c>
      <c r="CW19" t="s">
        <v>153</v>
      </c>
      <c r="CY19" s="34" t="s">
        <v>154</v>
      </c>
      <c r="CZ19" s="35">
        <v>3.4289199599999994E-2</v>
      </c>
    </row>
    <row r="20" spans="2:104" ht="21.6" thickBot="1" x14ac:dyDescent="0.35">
      <c r="B20" s="88"/>
      <c r="C20" s="89"/>
      <c r="H20" s="146"/>
      <c r="I20" s="147"/>
      <c r="J20" s="147"/>
      <c r="K20" s="147"/>
      <c r="L20" s="148"/>
      <c r="M20" s="39"/>
      <c r="S20" s="141" t="s">
        <v>155</v>
      </c>
      <c r="T20" s="142"/>
      <c r="U20" s="142"/>
      <c r="V20" s="142"/>
      <c r="W20" s="143"/>
      <c r="X20" s="144"/>
      <c r="Y20" s="144"/>
      <c r="AH20" s="114" t="s">
        <v>84</v>
      </c>
      <c r="AI20" s="115">
        <v>221</v>
      </c>
      <c r="AJ20" s="116">
        <v>0.2</v>
      </c>
      <c r="AN20" s="117" t="s">
        <v>156</v>
      </c>
      <c r="AO20" s="118" t="s">
        <v>84</v>
      </c>
      <c r="AP20" s="119" t="s">
        <v>157</v>
      </c>
      <c r="AQ20" s="120">
        <v>0.2</v>
      </c>
      <c r="AS20" s="100"/>
      <c r="AY20" s="109">
        <v>210</v>
      </c>
      <c r="AZ20" s="122" t="s">
        <v>158</v>
      </c>
      <c r="BA20" s="123"/>
      <c r="BB20" s="124"/>
      <c r="BC20" s="119"/>
      <c r="BD20" s="119"/>
      <c r="BE20" s="125"/>
      <c r="BF20" s="108"/>
      <c r="BG20" s="109">
        <v>210</v>
      </c>
      <c r="BH20" s="110">
        <f>_xlfn.XLOOKUP(BG20,'[1]OEE MEJORADA'!A:A,'[1]OEE MEJORADA'!B:B)</f>
        <v>0.8397629549631801</v>
      </c>
      <c r="BJ20" s="91"/>
      <c r="BK20" s="92">
        <v>10</v>
      </c>
      <c r="BU20" s="56"/>
      <c r="BW20" s="57"/>
      <c r="BY20" s="56"/>
      <c r="CA20" s="57"/>
      <c r="CC20" s="154">
        <v>807</v>
      </c>
      <c r="CD20" s="155" t="s">
        <v>93</v>
      </c>
      <c r="CE20" t="s">
        <v>94</v>
      </c>
      <c r="CF20" t="s">
        <v>95</v>
      </c>
      <c r="CN20">
        <v>798</v>
      </c>
      <c r="CO20">
        <v>22.12</v>
      </c>
      <c r="CP20">
        <v>14.83</v>
      </c>
      <c r="CQ20">
        <v>22.12</v>
      </c>
      <c r="CR20">
        <v>14.83</v>
      </c>
      <c r="CT20" t="s">
        <v>159</v>
      </c>
      <c r="CV20">
        <v>1400</v>
      </c>
      <c r="CW20" t="s">
        <v>160</v>
      </c>
      <c r="CY20" s="34" t="s">
        <v>161</v>
      </c>
      <c r="CZ20" s="35">
        <v>0.16101185000000001</v>
      </c>
    </row>
    <row r="21" spans="2:104" ht="15.75" customHeight="1" thickBot="1" x14ac:dyDescent="0.35">
      <c r="S21" s="150"/>
      <c r="T21" s="151"/>
      <c r="U21" s="151"/>
      <c r="V21" s="151"/>
      <c r="W21" s="152"/>
      <c r="X21" s="153"/>
      <c r="Y21" s="153"/>
      <c r="AB21" s="161" t="s">
        <v>162</v>
      </c>
      <c r="AC21" s="161"/>
      <c r="AD21" s="161"/>
      <c r="AE21" s="161"/>
      <c r="AH21" s="114" t="s">
        <v>84</v>
      </c>
      <c r="AI21" s="115">
        <v>256</v>
      </c>
      <c r="AJ21" s="116">
        <v>0.25</v>
      </c>
      <c r="AN21" s="117">
        <v>452083</v>
      </c>
      <c r="AO21" s="118" t="s">
        <v>84</v>
      </c>
      <c r="AP21" s="119" t="s">
        <v>163</v>
      </c>
      <c r="AQ21" s="120">
        <v>0.2</v>
      </c>
      <c r="AS21" s="100"/>
      <c r="AY21" s="109">
        <v>211</v>
      </c>
      <c r="AZ21" s="122" t="s">
        <v>164</v>
      </c>
      <c r="BA21" s="123"/>
      <c r="BB21" s="124"/>
      <c r="BC21" s="119"/>
      <c r="BD21" s="119"/>
      <c r="BE21" s="125"/>
      <c r="BF21" s="108"/>
      <c r="BG21" s="109">
        <v>211</v>
      </c>
      <c r="BH21" s="110">
        <f>_xlfn.XLOOKUP(BG21,'[1]OEE MEJORADA'!A:A,'[1]OEE MEJORADA'!B:B)</f>
        <v>0.65199157996924428</v>
      </c>
      <c r="BJ21" s="91"/>
      <c r="BK21" s="92">
        <v>10</v>
      </c>
      <c r="BU21" s="56"/>
      <c r="BW21" s="57"/>
      <c r="BY21" s="56"/>
      <c r="CA21" s="57"/>
      <c r="CC21" s="154">
        <v>813</v>
      </c>
      <c r="CD21" s="155" t="s">
        <v>105</v>
      </c>
      <c r="CE21" t="s">
        <v>94</v>
      </c>
      <c r="CF21" t="s">
        <v>95</v>
      </c>
      <c r="CK21" t="s">
        <v>165</v>
      </c>
      <c r="CN21">
        <v>144</v>
      </c>
      <c r="CO21">
        <v>63.62</v>
      </c>
      <c r="CP21">
        <v>53.89</v>
      </c>
      <c r="CQ21">
        <v>38.659999999999997</v>
      </c>
      <c r="CR21">
        <v>28.93</v>
      </c>
      <c r="CT21" t="s">
        <v>166</v>
      </c>
      <c r="CV21">
        <v>2668</v>
      </c>
      <c r="CW21" t="s">
        <v>167</v>
      </c>
      <c r="CY21" s="34" t="s">
        <v>168</v>
      </c>
      <c r="CZ21" s="35">
        <v>7.2580384799999995E-3</v>
      </c>
    </row>
    <row r="22" spans="2:104" ht="15.75" customHeight="1" thickBot="1" x14ac:dyDescent="0.35">
      <c r="S22" s="141" t="s">
        <v>169</v>
      </c>
      <c r="T22" s="142"/>
      <c r="U22" s="142"/>
      <c r="V22" s="142"/>
      <c r="W22" s="143"/>
      <c r="X22" s="144"/>
      <c r="Y22" s="144"/>
      <c r="AB22" s="161"/>
      <c r="AC22" s="161"/>
      <c r="AD22" s="161"/>
      <c r="AE22" s="161"/>
      <c r="AH22" s="114" t="s">
        <v>84</v>
      </c>
      <c r="AI22" s="115">
        <v>257</v>
      </c>
      <c r="AJ22" s="116">
        <v>0.25</v>
      </c>
      <c r="AN22" s="117">
        <v>453773</v>
      </c>
      <c r="AO22" s="118" t="s">
        <v>84</v>
      </c>
      <c r="AP22" s="119" t="s">
        <v>170</v>
      </c>
      <c r="AQ22" s="120">
        <v>0.2</v>
      </c>
      <c r="AS22" s="100"/>
      <c r="AY22" s="109">
        <v>212</v>
      </c>
      <c r="AZ22" s="122" t="s">
        <v>171</v>
      </c>
      <c r="BA22" s="123"/>
      <c r="BB22" s="124"/>
      <c r="BC22" s="119"/>
      <c r="BD22" s="119"/>
      <c r="BE22" s="125"/>
      <c r="BF22" s="108"/>
      <c r="BG22" s="109">
        <v>212</v>
      </c>
      <c r="BH22" s="110">
        <f>_xlfn.XLOOKUP(BG22,'[1]OEE MEJORADA'!A:A,'[1]OEE MEJORADA'!B:B)</f>
        <v>0.9336728042950293</v>
      </c>
      <c r="BJ22" s="91"/>
      <c r="BK22" s="92">
        <v>10</v>
      </c>
      <c r="BU22" s="162"/>
      <c r="BV22" s="163"/>
      <c r="BW22" s="164"/>
      <c r="BY22" s="56"/>
      <c r="CA22" s="57"/>
      <c r="CC22" s="165">
        <v>776</v>
      </c>
      <c r="CD22" s="166" t="s">
        <v>105</v>
      </c>
      <c r="CE22" t="s">
        <v>172</v>
      </c>
      <c r="CF22" t="s">
        <v>95</v>
      </c>
      <c r="CN22">
        <v>145</v>
      </c>
      <c r="CO22">
        <v>78.540000000000006</v>
      </c>
      <c r="CP22">
        <v>60.92</v>
      </c>
      <c r="CQ22">
        <v>60.74</v>
      </c>
      <c r="CR22">
        <v>43.11</v>
      </c>
      <c r="CT22" t="s">
        <v>173</v>
      </c>
      <c r="CV22">
        <v>6226</v>
      </c>
      <c r="CW22" t="s">
        <v>174</v>
      </c>
      <c r="CY22" s="34" t="s">
        <v>175</v>
      </c>
      <c r="CZ22" s="35">
        <v>2.3641432000000004E-2</v>
      </c>
    </row>
    <row r="23" spans="2:104" ht="27" customHeight="1" thickBot="1" x14ac:dyDescent="0.35">
      <c r="H23" s="167" t="s">
        <v>176</v>
      </c>
      <c r="I23" s="168"/>
      <c r="J23" s="168"/>
      <c r="K23" s="168"/>
      <c r="L23" s="168"/>
      <c r="M23" s="169"/>
      <c r="S23" s="150"/>
      <c r="T23" s="151"/>
      <c r="U23" s="151"/>
      <c r="V23" s="151"/>
      <c r="W23" s="152"/>
      <c r="X23" s="153"/>
      <c r="Y23" s="153"/>
      <c r="AH23" s="114" t="s">
        <v>84</v>
      </c>
      <c r="AI23" s="115">
        <v>258</v>
      </c>
      <c r="AJ23" s="116">
        <v>0.25</v>
      </c>
      <c r="AN23" s="117">
        <v>453800</v>
      </c>
      <c r="AO23" s="118" t="s">
        <v>84</v>
      </c>
      <c r="AP23" s="119" t="s">
        <v>177</v>
      </c>
      <c r="AQ23" s="120">
        <v>0.2</v>
      </c>
      <c r="AS23" s="100"/>
      <c r="AY23" s="109">
        <v>213</v>
      </c>
      <c r="AZ23" s="122" t="s">
        <v>178</v>
      </c>
      <c r="BA23" s="123"/>
      <c r="BB23" s="124"/>
      <c r="BC23" s="119"/>
      <c r="BD23" s="119"/>
      <c r="BE23" s="125"/>
      <c r="BF23" s="108"/>
      <c r="BG23" s="109">
        <v>213</v>
      </c>
      <c r="BH23" s="110">
        <f>_xlfn.XLOOKUP(BG23,'[1]OEE MEJORADA'!A:A,'[1]OEE MEJORADA'!B:B)</f>
        <v>0.91629014095308969</v>
      </c>
      <c r="BJ23" s="91"/>
      <c r="BK23" s="92">
        <v>10</v>
      </c>
      <c r="BY23" s="56"/>
      <c r="CA23" s="57"/>
      <c r="CC23" s="170">
        <v>780</v>
      </c>
      <c r="CD23" s="171" t="s">
        <v>105</v>
      </c>
      <c r="CE23" t="s">
        <v>76</v>
      </c>
      <c r="CF23" t="s">
        <v>95</v>
      </c>
      <c r="CN23">
        <v>146</v>
      </c>
      <c r="CO23">
        <v>64.86</v>
      </c>
      <c r="CP23">
        <v>55.11</v>
      </c>
      <c r="CQ23">
        <v>39.869999999999997</v>
      </c>
      <c r="CR23">
        <v>30.14</v>
      </c>
      <c r="CT23" t="s">
        <v>179</v>
      </c>
      <c r="CV23">
        <v>7112</v>
      </c>
      <c r="CW23" t="s">
        <v>180</v>
      </c>
      <c r="CY23" s="34" t="s">
        <v>181</v>
      </c>
      <c r="CZ23" s="35">
        <v>0.14396395400000001</v>
      </c>
    </row>
    <row r="24" spans="2:104" ht="27" customHeight="1" thickBot="1" x14ac:dyDescent="0.35">
      <c r="H24" s="172"/>
      <c r="I24" s="173"/>
      <c r="J24" s="173"/>
      <c r="K24" s="173"/>
      <c r="L24" s="173"/>
      <c r="M24" s="174"/>
      <c r="S24" s="141" t="s">
        <v>182</v>
      </c>
      <c r="T24" s="142"/>
      <c r="U24" s="142"/>
      <c r="V24" s="142"/>
      <c r="W24" s="143"/>
      <c r="X24" s="144"/>
      <c r="Y24" s="144"/>
      <c r="AC24" s="175">
        <v>655</v>
      </c>
      <c r="AE24" s="176"/>
      <c r="AH24" s="114" t="s">
        <v>84</v>
      </c>
      <c r="AI24" s="145">
        <v>260</v>
      </c>
      <c r="AJ24" s="116">
        <v>0.25</v>
      </c>
      <c r="AN24" s="117">
        <v>452017</v>
      </c>
      <c r="AO24" s="118" t="s">
        <v>84</v>
      </c>
      <c r="AP24" s="119" t="s">
        <v>183</v>
      </c>
      <c r="AQ24" s="120">
        <v>0.2</v>
      </c>
      <c r="AS24" s="100"/>
      <c r="AY24" s="109">
        <v>214</v>
      </c>
      <c r="AZ24" s="122" t="s">
        <v>184</v>
      </c>
      <c r="BA24" s="123"/>
      <c r="BB24" s="124"/>
      <c r="BC24" s="119"/>
      <c r="BD24" s="119"/>
      <c r="BE24" s="125"/>
      <c r="BF24" s="108"/>
      <c r="BG24" s="109">
        <v>214</v>
      </c>
      <c r="BH24" s="110">
        <f>_xlfn.XLOOKUP(BG24,'[1]OEE MEJORADA'!A:A,'[1]OEE MEJORADA'!B:B)</f>
        <v>0.92863522501712203</v>
      </c>
      <c r="BJ24" s="91"/>
      <c r="BK24" s="92">
        <v>10</v>
      </c>
      <c r="BY24" s="56"/>
      <c r="CA24" s="57"/>
      <c r="CC24" s="170">
        <v>781</v>
      </c>
      <c r="CD24" s="171" t="s">
        <v>105</v>
      </c>
      <c r="CE24" t="s">
        <v>76</v>
      </c>
      <c r="CF24" t="s">
        <v>95</v>
      </c>
      <c r="CK24" t="s">
        <v>185</v>
      </c>
      <c r="CN24">
        <v>147</v>
      </c>
      <c r="CO24">
        <v>77.92</v>
      </c>
      <c r="CP24">
        <v>65.010000000000005</v>
      </c>
      <c r="CQ24">
        <v>77.92</v>
      </c>
      <c r="CR24">
        <v>65.010000000000005</v>
      </c>
      <c r="CT24" t="s">
        <v>186</v>
      </c>
      <c r="CV24">
        <v>2034</v>
      </c>
      <c r="CW24" t="s">
        <v>187</v>
      </c>
      <c r="CY24" s="34" t="s">
        <v>188</v>
      </c>
      <c r="CZ24" s="35">
        <v>0.42334499200000009</v>
      </c>
    </row>
    <row r="25" spans="2:104" ht="21.6" thickBot="1" x14ac:dyDescent="0.35">
      <c r="H25" s="177" t="s">
        <v>189</v>
      </c>
      <c r="I25" s="178"/>
      <c r="J25" s="178"/>
      <c r="K25" s="178" t="s">
        <v>83</v>
      </c>
      <c r="L25" s="178"/>
      <c r="M25" s="179">
        <v>20</v>
      </c>
      <c r="S25" s="150"/>
      <c r="T25" s="151"/>
      <c r="U25" s="151"/>
      <c r="V25" s="151"/>
      <c r="W25" s="152"/>
      <c r="X25" s="153"/>
      <c r="Y25" s="153"/>
      <c r="AA25" s="180"/>
      <c r="AB25" s="181"/>
      <c r="AC25" s="182">
        <v>728</v>
      </c>
      <c r="AD25" s="181"/>
      <c r="AE25" s="183"/>
      <c r="AH25" s="114" t="s">
        <v>84</v>
      </c>
      <c r="AI25" s="115">
        <v>261</v>
      </c>
      <c r="AJ25" s="116">
        <v>0.25</v>
      </c>
      <c r="AN25" s="117">
        <v>452085</v>
      </c>
      <c r="AO25" s="118" t="s">
        <v>84</v>
      </c>
      <c r="AP25" s="119" t="s">
        <v>190</v>
      </c>
      <c r="AQ25" s="120">
        <v>0.2</v>
      </c>
      <c r="AS25" s="100"/>
      <c r="AY25" s="109">
        <v>215</v>
      </c>
      <c r="AZ25" s="122" t="s">
        <v>191</v>
      </c>
      <c r="BA25" s="123"/>
      <c r="BB25" s="124"/>
      <c r="BC25" s="119"/>
      <c r="BD25" s="119"/>
      <c r="BE25" s="125"/>
      <c r="BF25" s="108"/>
      <c r="BG25" s="109">
        <v>215</v>
      </c>
      <c r="BH25" s="110">
        <f>_xlfn.XLOOKUP(BG25,'[1]OEE MEJORADA'!A:A,'[1]OEE MEJORADA'!B:B)</f>
        <v>0.70985512494297509</v>
      </c>
      <c r="BJ25" s="91"/>
      <c r="BK25" s="92">
        <v>10</v>
      </c>
      <c r="BY25" s="56"/>
      <c r="CA25" s="57"/>
      <c r="CC25" s="184">
        <v>779</v>
      </c>
      <c r="CD25" s="185" t="s">
        <v>93</v>
      </c>
      <c r="CE25" t="s">
        <v>94</v>
      </c>
      <c r="CF25" t="s">
        <v>95</v>
      </c>
      <c r="CN25">
        <v>149</v>
      </c>
      <c r="CO25">
        <v>67.430000000000007</v>
      </c>
      <c r="CP25">
        <v>57.7</v>
      </c>
      <c r="CQ25">
        <v>42.46</v>
      </c>
      <c r="CR25">
        <v>32.729999999999997</v>
      </c>
      <c r="CT25" t="s">
        <v>192</v>
      </c>
      <c r="CV25">
        <v>1321</v>
      </c>
      <c r="CW25" t="s">
        <v>193</v>
      </c>
      <c r="CY25" s="34" t="s">
        <v>194</v>
      </c>
      <c r="CZ25" s="35">
        <v>0.51986800200000005</v>
      </c>
    </row>
    <row r="26" spans="2:104" ht="21" x14ac:dyDescent="0.3">
      <c r="H26" s="186"/>
      <c r="I26" s="187"/>
      <c r="J26" s="187"/>
      <c r="K26" s="187"/>
      <c r="L26" s="187"/>
      <c r="M26" s="188"/>
      <c r="S26" s="141" t="s">
        <v>195</v>
      </c>
      <c r="T26" s="142"/>
      <c r="U26" s="142"/>
      <c r="V26" s="142"/>
      <c r="W26" s="143"/>
      <c r="X26" s="144"/>
      <c r="Y26" s="144"/>
      <c r="AA26" s="180"/>
      <c r="AC26" s="182">
        <v>793</v>
      </c>
      <c r="AD26" s="176"/>
      <c r="AE26" s="176"/>
      <c r="AH26" s="114" t="s">
        <v>84</v>
      </c>
      <c r="AI26" s="115">
        <v>262</v>
      </c>
      <c r="AJ26" s="116">
        <v>0.25</v>
      </c>
      <c r="AN26" s="117">
        <v>452130</v>
      </c>
      <c r="AO26" s="118" t="s">
        <v>84</v>
      </c>
      <c r="AP26" s="119" t="s">
        <v>196</v>
      </c>
      <c r="AQ26" s="120">
        <v>0.2</v>
      </c>
      <c r="AS26" s="100"/>
      <c r="AY26" s="109">
        <v>216</v>
      </c>
      <c r="AZ26" s="122" t="s">
        <v>197</v>
      </c>
      <c r="BA26" s="123"/>
      <c r="BB26" s="124"/>
      <c r="BC26" s="119"/>
      <c r="BD26" s="119"/>
      <c r="BE26" s="125"/>
      <c r="BF26" s="108"/>
      <c r="BG26" s="109">
        <v>216</v>
      </c>
      <c r="BH26" s="110">
        <f>_xlfn.XLOOKUP(BG26,'[1]OEE MEJORADA'!A:A,'[1]OEE MEJORADA'!B:B)</f>
        <v>0.86353196661803122</v>
      </c>
      <c r="BJ26" s="91"/>
      <c r="BK26" s="92">
        <v>10</v>
      </c>
      <c r="BY26" s="56"/>
      <c r="CA26" s="57"/>
      <c r="CC26" s="189">
        <v>762</v>
      </c>
      <c r="CD26" s="190" t="s">
        <v>105</v>
      </c>
      <c r="CE26" t="s">
        <v>198</v>
      </c>
      <c r="CF26" t="s">
        <v>95</v>
      </c>
      <c r="CN26">
        <v>150</v>
      </c>
      <c r="CO26">
        <v>76.97</v>
      </c>
      <c r="CP26">
        <v>63.2</v>
      </c>
      <c r="CQ26">
        <v>52</v>
      </c>
      <c r="CR26">
        <v>38.229999999999997</v>
      </c>
      <c r="CT26" t="s">
        <v>199</v>
      </c>
      <c r="CV26">
        <v>1660</v>
      </c>
      <c r="CW26" t="s">
        <v>200</v>
      </c>
      <c r="CY26" s="34" t="s">
        <v>201</v>
      </c>
      <c r="CZ26" s="35">
        <v>8.225500400000002E-2</v>
      </c>
    </row>
    <row r="27" spans="2:104" ht="21.6" thickBot="1" x14ac:dyDescent="0.35">
      <c r="H27" s="186" t="s">
        <v>202</v>
      </c>
      <c r="I27" s="187"/>
      <c r="J27" s="187"/>
      <c r="K27" s="191" t="s">
        <v>84</v>
      </c>
      <c r="L27" s="192"/>
      <c r="M27" s="188">
        <v>20</v>
      </c>
      <c r="S27" s="150"/>
      <c r="T27" s="151"/>
      <c r="U27" s="151"/>
      <c r="V27" s="151"/>
      <c r="W27" s="152"/>
      <c r="X27" s="153"/>
      <c r="Y27" s="153"/>
      <c r="AC27" s="182">
        <v>794</v>
      </c>
      <c r="AE27" s="176"/>
      <c r="AH27" s="114" t="s">
        <v>84</v>
      </c>
      <c r="AI27" s="115">
        <v>265</v>
      </c>
      <c r="AJ27" s="116">
        <v>0.5</v>
      </c>
      <c r="AN27" s="117">
        <v>451844</v>
      </c>
      <c r="AO27" s="118" t="s">
        <v>84</v>
      </c>
      <c r="AP27" s="119" t="s">
        <v>203</v>
      </c>
      <c r="AQ27" s="120">
        <v>0.2</v>
      </c>
      <c r="AS27" s="100"/>
      <c r="AY27" s="109">
        <v>217</v>
      </c>
      <c r="AZ27" s="122" t="s">
        <v>204</v>
      </c>
      <c r="BA27" s="123"/>
      <c r="BB27" s="124"/>
      <c r="BC27" s="119"/>
      <c r="BD27" s="119"/>
      <c r="BE27" s="125"/>
      <c r="BF27" s="108"/>
      <c r="BG27" s="109">
        <v>217</v>
      </c>
      <c r="BH27" s="110">
        <f>_xlfn.XLOOKUP(BG27,'[1]OEE MEJORADA'!A:A,'[1]OEE MEJORADA'!B:B)</f>
        <v>0.90095092892513484</v>
      </c>
      <c r="BJ27" s="91"/>
      <c r="BK27" s="92">
        <v>10</v>
      </c>
      <c r="BY27" s="56"/>
      <c r="CA27" s="57"/>
      <c r="CC27" s="193">
        <v>809</v>
      </c>
      <c r="CD27" s="194" t="s">
        <v>105</v>
      </c>
      <c r="CE27" t="s">
        <v>76</v>
      </c>
      <c r="CF27" t="s">
        <v>205</v>
      </c>
      <c r="CG27" t="s">
        <v>205</v>
      </c>
      <c r="CH27" t="s">
        <v>205</v>
      </c>
      <c r="CI27">
        <v>76513</v>
      </c>
      <c r="CN27">
        <v>151</v>
      </c>
      <c r="CO27">
        <v>76.97</v>
      </c>
      <c r="CP27">
        <v>63.2</v>
      </c>
      <c r="CQ27">
        <v>52</v>
      </c>
      <c r="CR27">
        <v>38.229999999999997</v>
      </c>
      <c r="CT27" t="s">
        <v>206</v>
      </c>
      <c r="CV27">
        <v>6221</v>
      </c>
      <c r="CW27" t="s">
        <v>207</v>
      </c>
      <c r="CY27" s="34" t="s">
        <v>208</v>
      </c>
      <c r="CZ27" s="35">
        <v>2.3927336421052637E-3</v>
      </c>
    </row>
    <row r="28" spans="2:104" ht="21" x14ac:dyDescent="0.3">
      <c r="H28" s="186"/>
      <c r="I28" s="187"/>
      <c r="J28" s="187"/>
      <c r="K28" s="195"/>
      <c r="L28" s="196"/>
      <c r="M28" s="188"/>
      <c r="S28" s="141" t="s">
        <v>209</v>
      </c>
      <c r="T28" s="142"/>
      <c r="U28" s="142"/>
      <c r="V28" s="142"/>
      <c r="W28" s="143"/>
      <c r="X28" s="144"/>
      <c r="Y28" s="144"/>
      <c r="AC28" s="182">
        <v>795</v>
      </c>
      <c r="AH28" s="114" t="s">
        <v>84</v>
      </c>
      <c r="AI28" s="115">
        <v>266</v>
      </c>
      <c r="AJ28" s="116">
        <v>0.5</v>
      </c>
      <c r="AN28" s="117">
        <v>452108</v>
      </c>
      <c r="AO28" s="118" t="s">
        <v>84</v>
      </c>
      <c r="AP28" s="119" t="s">
        <v>210</v>
      </c>
      <c r="AQ28" s="120">
        <v>0.2</v>
      </c>
      <c r="AS28" s="100"/>
      <c r="AY28" s="109">
        <v>221</v>
      </c>
      <c r="AZ28" s="122" t="s">
        <v>211</v>
      </c>
      <c r="BA28" s="123"/>
      <c r="BB28" s="124"/>
      <c r="BC28" s="119"/>
      <c r="BD28" s="119"/>
      <c r="BE28" s="125"/>
      <c r="BF28" s="108"/>
      <c r="BG28" s="109">
        <v>221</v>
      </c>
      <c r="BH28" s="110">
        <f>_xlfn.XLOOKUP(BG28,'[1]OEE MEJORADA'!A:A,'[1]OEE MEJORADA'!B:B)</f>
        <v>0.8755344217718728</v>
      </c>
      <c r="BJ28" s="91"/>
      <c r="BK28" s="92">
        <v>10</v>
      </c>
      <c r="BY28" s="56"/>
      <c r="CA28" s="57"/>
      <c r="CC28" s="56">
        <v>716</v>
      </c>
      <c r="CD28" s="197" t="s">
        <v>93</v>
      </c>
      <c r="CE28" t="s">
        <v>94</v>
      </c>
      <c r="CF28" t="s">
        <v>95</v>
      </c>
      <c r="CN28">
        <v>152</v>
      </c>
      <c r="CO28">
        <v>76.97</v>
      </c>
      <c r="CP28">
        <v>63.2</v>
      </c>
      <c r="CQ28">
        <v>52</v>
      </c>
      <c r="CR28">
        <v>38.229999999999997</v>
      </c>
      <c r="CT28" t="s">
        <v>212</v>
      </c>
      <c r="CV28">
        <v>6224</v>
      </c>
      <c r="CW28" t="s">
        <v>213</v>
      </c>
      <c r="CY28" s="34" t="s">
        <v>214</v>
      </c>
      <c r="CZ28" s="35">
        <v>7.0568531999999997E-4</v>
      </c>
    </row>
    <row r="29" spans="2:104" ht="21.6" thickBot="1" x14ac:dyDescent="0.35">
      <c r="H29" s="186" t="s">
        <v>215</v>
      </c>
      <c r="I29" s="187"/>
      <c r="J29" s="187"/>
      <c r="K29" s="187" t="s">
        <v>101</v>
      </c>
      <c r="L29" s="187"/>
      <c r="M29" s="188">
        <v>20</v>
      </c>
      <c r="S29" s="150"/>
      <c r="T29" s="151"/>
      <c r="U29" s="151"/>
      <c r="V29" s="151"/>
      <c r="W29" s="152"/>
      <c r="X29" s="153"/>
      <c r="Y29" s="153"/>
      <c r="AC29" s="182">
        <v>2700</v>
      </c>
      <c r="AH29" s="109" t="s">
        <v>84</v>
      </c>
      <c r="AI29" s="119">
        <v>270</v>
      </c>
      <c r="AJ29" s="125">
        <v>0.5</v>
      </c>
      <c r="AN29" s="117">
        <v>452065</v>
      </c>
      <c r="AO29" s="118" t="s">
        <v>84</v>
      </c>
      <c r="AP29" s="119" t="s">
        <v>216</v>
      </c>
      <c r="AQ29" s="120">
        <v>0.2</v>
      </c>
      <c r="AS29" s="100"/>
      <c r="AY29" s="109">
        <v>256</v>
      </c>
      <c r="AZ29" s="122" t="s">
        <v>217</v>
      </c>
      <c r="BA29" s="123"/>
      <c r="BB29" s="124"/>
      <c r="BC29" s="119"/>
      <c r="BD29" s="119"/>
      <c r="BE29" s="125"/>
      <c r="BF29" s="108"/>
      <c r="BG29" s="109">
        <v>256</v>
      </c>
      <c r="BH29" s="110">
        <f>_xlfn.XLOOKUP(BG29,'[1]OEE MEJORADA'!A:A,'[1]OEE MEJORADA'!B:B)</f>
        <v>0.62374725869957182</v>
      </c>
      <c r="BJ29" s="91"/>
      <c r="BK29" s="92">
        <v>10</v>
      </c>
      <c r="BY29" s="56"/>
      <c r="CA29" s="57"/>
      <c r="CC29" s="56">
        <v>814</v>
      </c>
      <c r="CD29" s="197" t="s">
        <v>93</v>
      </c>
      <c r="CE29" t="s">
        <v>94</v>
      </c>
      <c r="CF29" t="s">
        <v>95</v>
      </c>
      <c r="CN29">
        <v>160</v>
      </c>
      <c r="CO29">
        <v>67.14</v>
      </c>
      <c r="CP29">
        <v>57.4</v>
      </c>
      <c r="CQ29">
        <v>42.16</v>
      </c>
      <c r="CR29">
        <v>32.42</v>
      </c>
      <c r="CT29" t="s">
        <v>218</v>
      </c>
      <c r="CV29">
        <v>1331</v>
      </c>
      <c r="CW29" t="s">
        <v>219</v>
      </c>
      <c r="CY29" s="34" t="s">
        <v>220</v>
      </c>
      <c r="CZ29" s="35">
        <v>1.70867094E-3</v>
      </c>
    </row>
    <row r="30" spans="2:104" ht="21.6" thickBot="1" x14ac:dyDescent="0.35">
      <c r="H30" s="186"/>
      <c r="I30" s="187"/>
      <c r="J30" s="187"/>
      <c r="K30" s="187"/>
      <c r="L30" s="187"/>
      <c r="M30" s="188"/>
      <c r="S30" s="141" t="s">
        <v>221</v>
      </c>
      <c r="T30" s="142"/>
      <c r="U30" s="142"/>
      <c r="V30" s="142"/>
      <c r="W30" s="143"/>
      <c r="X30" s="144"/>
      <c r="Y30" s="144"/>
      <c r="AC30" s="198">
        <v>3600</v>
      </c>
      <c r="AH30" s="109" t="s">
        <v>101</v>
      </c>
      <c r="AI30" s="115">
        <v>142</v>
      </c>
      <c r="AJ30" s="116">
        <v>1</v>
      </c>
      <c r="AN30" s="117">
        <v>452952</v>
      </c>
      <c r="AO30" s="118" t="s">
        <v>84</v>
      </c>
      <c r="AP30" s="119" t="s">
        <v>222</v>
      </c>
      <c r="AQ30" s="120">
        <v>0.2</v>
      </c>
      <c r="AS30" s="100"/>
      <c r="AY30" s="109">
        <v>257</v>
      </c>
      <c r="AZ30" s="122" t="s">
        <v>223</v>
      </c>
      <c r="BA30" s="123"/>
      <c r="BB30" s="124"/>
      <c r="BC30" s="119"/>
      <c r="BD30" s="119"/>
      <c r="BE30" s="125"/>
      <c r="BF30" s="108"/>
      <c r="BG30" s="109">
        <v>257</v>
      </c>
      <c r="BH30" s="110">
        <f>_xlfn.XLOOKUP(BG30,'[1]OEE MEJORADA'!A:A,'[1]OEE MEJORADA'!B:B)</f>
        <v>0.782196810096772</v>
      </c>
      <c r="BJ30" s="91"/>
      <c r="BK30" s="92">
        <v>10</v>
      </c>
      <c r="BY30" s="56"/>
      <c r="CA30" s="57"/>
      <c r="CC30" s="56"/>
      <c r="CD30" s="57"/>
      <c r="CN30">
        <v>220</v>
      </c>
      <c r="CO30">
        <v>69.400000000000006</v>
      </c>
      <c r="CP30">
        <v>59.66</v>
      </c>
      <c r="CQ30">
        <v>46.95</v>
      </c>
      <c r="CR30">
        <v>37.200000000000003</v>
      </c>
      <c r="CT30" t="s">
        <v>224</v>
      </c>
      <c r="CV30">
        <v>5422</v>
      </c>
      <c r="CW30" t="s">
        <v>225</v>
      </c>
      <c r="CY30" s="34" t="s">
        <v>226</v>
      </c>
      <c r="CZ30" s="35">
        <v>1.6605699600000003E-3</v>
      </c>
    </row>
    <row r="31" spans="2:104" ht="21.6" thickBot="1" x14ac:dyDescent="0.35">
      <c r="H31" s="186"/>
      <c r="I31" s="187"/>
      <c r="J31" s="187"/>
      <c r="K31" s="187"/>
      <c r="L31" s="187"/>
      <c r="M31" s="188"/>
      <c r="S31" s="150"/>
      <c r="T31" s="151"/>
      <c r="U31" s="151"/>
      <c r="V31" s="151"/>
      <c r="W31" s="152"/>
      <c r="X31" s="153"/>
      <c r="Y31" s="153"/>
      <c r="AH31" s="109" t="s">
        <v>101</v>
      </c>
      <c r="AI31" s="115">
        <v>136</v>
      </c>
      <c r="AJ31" s="116">
        <v>0.33</v>
      </c>
      <c r="AN31" s="117">
        <v>452106</v>
      </c>
      <c r="AO31" s="118" t="s">
        <v>84</v>
      </c>
      <c r="AP31" s="119" t="s">
        <v>227</v>
      </c>
      <c r="AQ31" s="120">
        <v>0.2</v>
      </c>
      <c r="AS31" s="100"/>
      <c r="AY31" s="109">
        <v>258</v>
      </c>
      <c r="AZ31" s="122" t="s">
        <v>228</v>
      </c>
      <c r="BA31" s="123"/>
      <c r="BB31" s="124"/>
      <c r="BC31" s="119"/>
      <c r="BD31" s="119"/>
      <c r="BE31" s="125"/>
      <c r="BF31" s="108"/>
      <c r="BG31" s="109">
        <v>258</v>
      </c>
      <c r="BH31" s="110">
        <f>_xlfn.XLOOKUP(BG31,'[1]OEE MEJORADA'!A:A,'[1]OEE MEJORADA'!B:B)</f>
        <v>0.81154080496815895</v>
      </c>
      <c r="BJ31" s="91"/>
      <c r="BK31" s="92">
        <v>10</v>
      </c>
      <c r="BY31" s="56"/>
      <c r="CA31" s="57"/>
      <c r="CC31" s="56"/>
      <c r="CD31" s="57"/>
      <c r="CN31">
        <v>230</v>
      </c>
      <c r="CO31">
        <v>69.930000000000007</v>
      </c>
      <c r="CP31">
        <v>54.23</v>
      </c>
      <c r="CQ31">
        <v>43.06</v>
      </c>
      <c r="CR31">
        <v>27.34</v>
      </c>
      <c r="CT31" t="s">
        <v>229</v>
      </c>
      <c r="CV31">
        <v>4546</v>
      </c>
      <c r="CW31" t="s">
        <v>230</v>
      </c>
      <c r="CY31" s="34" t="s">
        <v>231</v>
      </c>
      <c r="CZ31" s="35">
        <v>8.3502871999999997E-4</v>
      </c>
    </row>
    <row r="32" spans="2:104" ht="21" x14ac:dyDescent="0.3">
      <c r="H32" s="186"/>
      <c r="I32" s="187"/>
      <c r="J32" s="187"/>
      <c r="K32" s="187"/>
      <c r="L32" s="187"/>
      <c r="M32" s="188"/>
      <c r="S32" s="141" t="s">
        <v>56</v>
      </c>
      <c r="T32" s="142"/>
      <c r="U32" s="142"/>
      <c r="V32" s="142"/>
      <c r="W32" s="143"/>
      <c r="X32" s="199">
        <v>1.110305273</v>
      </c>
      <c r="Y32" s="199">
        <v>18</v>
      </c>
      <c r="Z32">
        <v>18</v>
      </c>
      <c r="AA32" s="52"/>
      <c r="AH32" s="109" t="s">
        <v>101</v>
      </c>
      <c r="AI32" s="115">
        <v>122</v>
      </c>
      <c r="AJ32" s="116">
        <v>0.33</v>
      </c>
      <c r="AN32" s="117">
        <v>452128</v>
      </c>
      <c r="AO32" s="118" t="s">
        <v>84</v>
      </c>
      <c r="AP32" s="119" t="s">
        <v>232</v>
      </c>
      <c r="AQ32" s="120">
        <v>0.2</v>
      </c>
      <c r="AS32" s="100"/>
      <c r="AY32" s="109">
        <v>260</v>
      </c>
      <c r="AZ32" s="122" t="s">
        <v>233</v>
      </c>
      <c r="BA32" s="123"/>
      <c r="BB32" s="124"/>
      <c r="BC32" s="119"/>
      <c r="BD32" s="119"/>
      <c r="BE32" s="125"/>
      <c r="BF32" s="108"/>
      <c r="BG32" s="109">
        <v>260</v>
      </c>
      <c r="BH32" s="110">
        <f>_xlfn.XLOOKUP(BG32,'[1]OEE MEJORADA'!A:A,'[1]OEE MEJORADA'!B:B)</f>
        <v>0.8335308973257366</v>
      </c>
      <c r="BJ32" s="91"/>
      <c r="BK32" s="92">
        <v>10</v>
      </c>
      <c r="BY32" s="56"/>
      <c r="CA32" s="57"/>
      <c r="CC32" s="56"/>
      <c r="CD32" s="57"/>
      <c r="CN32">
        <v>233</v>
      </c>
      <c r="CO32">
        <v>69.930000000000007</v>
      </c>
      <c r="CP32">
        <v>54.23</v>
      </c>
      <c r="CQ32">
        <v>43.06</v>
      </c>
      <c r="CR32">
        <v>27.34</v>
      </c>
      <c r="CT32" t="s">
        <v>234</v>
      </c>
      <c r="CV32">
        <v>6741</v>
      </c>
      <c r="CW32" t="s">
        <v>235</v>
      </c>
      <c r="CY32" s="34" t="s">
        <v>236</v>
      </c>
      <c r="CZ32" s="35">
        <v>1.6394496400000001E-3</v>
      </c>
    </row>
    <row r="33" spans="8:104" ht="21.6" thickBot="1" x14ac:dyDescent="0.35">
      <c r="H33" s="186"/>
      <c r="I33" s="187"/>
      <c r="J33" s="187"/>
      <c r="K33" s="187" t="s">
        <v>110</v>
      </c>
      <c r="L33" s="187"/>
      <c r="M33" s="188">
        <v>1</v>
      </c>
      <c r="S33" s="150"/>
      <c r="T33" s="151"/>
      <c r="U33" s="151"/>
      <c r="V33" s="151"/>
      <c r="W33" s="152"/>
      <c r="X33" s="200"/>
      <c r="Y33" s="200"/>
      <c r="AA33" s="52"/>
      <c r="AH33" s="109" t="s">
        <v>101</v>
      </c>
      <c r="AI33" s="115">
        <v>127</v>
      </c>
      <c r="AJ33" s="116">
        <v>0.33</v>
      </c>
      <c r="AN33" s="117">
        <v>453010</v>
      </c>
      <c r="AO33" s="118" t="s">
        <v>84</v>
      </c>
      <c r="AP33" s="119" t="s">
        <v>237</v>
      </c>
      <c r="AQ33" s="120">
        <v>0.2</v>
      </c>
      <c r="AS33" s="100"/>
      <c r="AY33" s="109">
        <v>261</v>
      </c>
      <c r="AZ33" s="122" t="s">
        <v>238</v>
      </c>
      <c r="BA33" s="123"/>
      <c r="BB33" s="124"/>
      <c r="BC33" s="119"/>
      <c r="BD33" s="119"/>
      <c r="BE33" s="125"/>
      <c r="BF33" s="108"/>
      <c r="BG33" s="109">
        <v>261</v>
      </c>
      <c r="BH33" s="110">
        <f>_xlfn.XLOOKUP(BG33,'[1]OEE MEJORADA'!A:A,'[1]OEE MEJORADA'!B:B)</f>
        <v>0.85875640823456945</v>
      </c>
      <c r="BJ33" s="91"/>
      <c r="BK33" s="92">
        <v>10</v>
      </c>
      <c r="BY33" s="56"/>
      <c r="CA33" s="57"/>
      <c r="CC33" s="56"/>
      <c r="CD33" s="57"/>
      <c r="CN33">
        <v>234</v>
      </c>
      <c r="CO33">
        <v>69.930000000000007</v>
      </c>
      <c r="CP33">
        <v>54.23</v>
      </c>
      <c r="CQ33">
        <v>43.06</v>
      </c>
      <c r="CR33">
        <v>27.34</v>
      </c>
      <c r="CT33" t="s">
        <v>239</v>
      </c>
      <c r="CV33">
        <v>5937</v>
      </c>
      <c r="CW33" t="s">
        <v>240</v>
      </c>
      <c r="CY33" s="34" t="s">
        <v>241</v>
      </c>
      <c r="CZ33" s="35">
        <v>4.1599300000000003E-4</v>
      </c>
    </row>
    <row r="34" spans="8:104" ht="21" x14ac:dyDescent="0.3">
      <c r="H34" s="186"/>
      <c r="I34" s="187"/>
      <c r="J34" s="187"/>
      <c r="K34" s="187"/>
      <c r="L34" s="187"/>
      <c r="M34" s="188"/>
      <c r="S34" s="141" t="s">
        <v>99</v>
      </c>
      <c r="T34" s="142"/>
      <c r="U34" s="142"/>
      <c r="V34" s="142"/>
      <c r="W34" s="143"/>
      <c r="X34" s="199">
        <v>1.0190966669999999</v>
      </c>
      <c r="Y34" s="199">
        <v>23</v>
      </c>
      <c r="Z34">
        <v>23</v>
      </c>
      <c r="AA34" s="52"/>
      <c r="AH34" s="109" t="s">
        <v>101</v>
      </c>
      <c r="AI34" s="115">
        <v>109</v>
      </c>
      <c r="AJ34" s="116">
        <v>0.2</v>
      </c>
      <c r="AN34" s="117">
        <v>404014</v>
      </c>
      <c r="AO34" s="118" t="s">
        <v>84</v>
      </c>
      <c r="AP34" s="119" t="s">
        <v>242</v>
      </c>
      <c r="AQ34" s="120">
        <v>0.2</v>
      </c>
      <c r="AS34" s="100"/>
      <c r="AY34" s="109">
        <v>262</v>
      </c>
      <c r="AZ34" s="122" t="s">
        <v>243</v>
      </c>
      <c r="BA34" s="123"/>
      <c r="BB34" s="124"/>
      <c r="BC34" s="119"/>
      <c r="BD34" s="119"/>
      <c r="BE34" s="125"/>
      <c r="BF34" s="108"/>
      <c r="BG34" s="109">
        <v>262</v>
      </c>
      <c r="BH34" s="110">
        <f>_xlfn.XLOOKUP(BG34,'[1]OEE MEJORADA'!A:A,'[1]OEE MEJORADA'!B:B)</f>
        <v>0.79371791919235368</v>
      </c>
      <c r="BJ34" s="91"/>
      <c r="BK34" s="92">
        <v>10</v>
      </c>
      <c r="BY34" s="56"/>
      <c r="CA34" s="57"/>
      <c r="CC34" s="56"/>
      <c r="CD34" s="57"/>
      <c r="CN34">
        <v>238</v>
      </c>
      <c r="CO34">
        <v>69.930000000000007</v>
      </c>
      <c r="CP34">
        <v>54.23</v>
      </c>
      <c r="CQ34">
        <v>43.06</v>
      </c>
      <c r="CR34">
        <v>27.34</v>
      </c>
      <c r="CT34" t="s">
        <v>244</v>
      </c>
      <c r="CV34">
        <v>2649</v>
      </c>
      <c r="CW34" t="s">
        <v>245</v>
      </c>
      <c r="CY34" s="34" t="s">
        <v>246</v>
      </c>
      <c r="CZ34" s="35">
        <v>0.33165490691926336</v>
      </c>
    </row>
    <row r="35" spans="8:104" ht="21.6" thickBot="1" x14ac:dyDescent="0.35">
      <c r="H35" s="186"/>
      <c r="I35" s="187"/>
      <c r="J35" s="187"/>
      <c r="K35" s="187" t="s">
        <v>75</v>
      </c>
      <c r="L35" s="187"/>
      <c r="M35" s="188">
        <v>1</v>
      </c>
      <c r="S35" s="150"/>
      <c r="T35" s="151"/>
      <c r="U35" s="151"/>
      <c r="V35" s="151"/>
      <c r="W35" s="152"/>
      <c r="X35" s="200"/>
      <c r="Y35" s="200"/>
      <c r="AA35" s="52"/>
      <c r="AH35" s="109" t="s">
        <v>101</v>
      </c>
      <c r="AI35" s="145">
        <v>139</v>
      </c>
      <c r="AJ35" s="116">
        <v>0.33</v>
      </c>
      <c r="AN35" s="117">
        <v>403584</v>
      </c>
      <c r="AO35" s="118" t="s">
        <v>84</v>
      </c>
      <c r="AP35" s="119" t="s">
        <v>247</v>
      </c>
      <c r="AQ35" s="120">
        <v>0.2</v>
      </c>
      <c r="AS35" s="100"/>
      <c r="AY35" s="109">
        <v>265</v>
      </c>
      <c r="AZ35" s="122" t="s">
        <v>248</v>
      </c>
      <c r="BA35" s="123"/>
      <c r="BB35" s="124"/>
      <c r="BC35" s="119"/>
      <c r="BD35" s="119"/>
      <c r="BE35" s="125"/>
      <c r="BF35" s="108"/>
      <c r="BG35" s="109">
        <v>265</v>
      </c>
      <c r="BH35" s="110">
        <f>_xlfn.XLOOKUP(BG35,'[1]OEE MEJORADA'!A:A,'[1]OEE MEJORADA'!B:B)</f>
        <v>0.77003334206009832</v>
      </c>
      <c r="BJ35" s="91"/>
      <c r="BK35" s="92">
        <v>10</v>
      </c>
      <c r="BY35" s="56"/>
      <c r="CA35" s="57"/>
      <c r="CC35" s="56"/>
      <c r="CD35" s="57"/>
      <c r="CN35">
        <v>241</v>
      </c>
      <c r="CO35">
        <v>75.760000000000005</v>
      </c>
      <c r="CP35">
        <v>66.06</v>
      </c>
      <c r="CQ35">
        <v>51.96</v>
      </c>
      <c r="CR35">
        <v>42.26</v>
      </c>
      <c r="CT35" t="s">
        <v>249</v>
      </c>
      <c r="CV35">
        <v>20</v>
      </c>
      <c r="CW35" t="s">
        <v>250</v>
      </c>
      <c r="CY35" s="34" t="s">
        <v>251</v>
      </c>
      <c r="CZ35" s="35">
        <v>5.7368767249999994E-2</v>
      </c>
    </row>
    <row r="36" spans="8:104" ht="21" x14ac:dyDescent="0.3">
      <c r="H36" s="186"/>
      <c r="I36" s="187"/>
      <c r="J36" s="187"/>
      <c r="K36" s="187"/>
      <c r="L36" s="187"/>
      <c r="M36" s="188"/>
      <c r="S36" s="141" t="s">
        <v>123</v>
      </c>
      <c r="T36" s="142"/>
      <c r="U36" s="142"/>
      <c r="V36" s="142"/>
      <c r="W36" s="143"/>
      <c r="X36" s="199">
        <v>1.0614106109999999</v>
      </c>
      <c r="Y36" s="199">
        <v>20</v>
      </c>
      <c r="Z36">
        <v>20</v>
      </c>
      <c r="AH36" s="109" t="s">
        <v>101</v>
      </c>
      <c r="AI36" s="115">
        <v>141</v>
      </c>
      <c r="AJ36" s="116">
        <v>0.5</v>
      </c>
      <c r="AN36" s="117">
        <v>453037</v>
      </c>
      <c r="AO36" s="118" t="s">
        <v>84</v>
      </c>
      <c r="AP36" s="119" t="s">
        <v>252</v>
      </c>
      <c r="AQ36" s="120">
        <v>0.2</v>
      </c>
      <c r="AS36" s="100"/>
      <c r="AY36" s="109">
        <v>266</v>
      </c>
      <c r="AZ36" s="122" t="s">
        <v>253</v>
      </c>
      <c r="BA36" s="123"/>
      <c r="BB36" s="124"/>
      <c r="BC36" s="119"/>
      <c r="BD36" s="119"/>
      <c r="BE36" s="125"/>
      <c r="BF36" s="108"/>
      <c r="BG36" s="109">
        <v>266</v>
      </c>
      <c r="BH36" s="110">
        <f>_xlfn.XLOOKUP(BG36,'[1]OEE MEJORADA'!A:A,'[1]OEE MEJORADA'!B:B)</f>
        <v>0.83866119924183369</v>
      </c>
      <c r="BJ36" s="91"/>
      <c r="BK36" s="92">
        <v>10</v>
      </c>
      <c r="BY36" s="56"/>
      <c r="CA36" s="57"/>
      <c r="CC36" s="56"/>
      <c r="CD36" s="57"/>
      <c r="CN36">
        <v>250</v>
      </c>
      <c r="CO36">
        <v>68.61</v>
      </c>
      <c r="CP36">
        <v>58.88</v>
      </c>
      <c r="CQ36">
        <v>41.34</v>
      </c>
      <c r="CR36">
        <v>31.62</v>
      </c>
      <c r="CT36" t="s">
        <v>254</v>
      </c>
      <c r="CV36">
        <v>5944</v>
      </c>
      <c r="CW36" t="s">
        <v>255</v>
      </c>
      <c r="CY36" s="34" t="s">
        <v>256</v>
      </c>
      <c r="CZ36" s="35">
        <v>0.24051095418316837</v>
      </c>
    </row>
    <row r="37" spans="8:104" ht="21.6" thickBot="1" x14ac:dyDescent="0.35">
      <c r="H37" s="186"/>
      <c r="I37" s="187"/>
      <c r="J37" s="187"/>
      <c r="K37" s="187" t="s">
        <v>135</v>
      </c>
      <c r="L37" s="187"/>
      <c r="M37" s="188">
        <v>1</v>
      </c>
      <c r="S37" s="150"/>
      <c r="T37" s="151"/>
      <c r="U37" s="151"/>
      <c r="V37" s="151"/>
      <c r="W37" s="152"/>
      <c r="X37" s="200"/>
      <c r="Y37" s="200"/>
      <c r="AH37" s="109" t="s">
        <v>101</v>
      </c>
      <c r="AI37" s="145">
        <v>124</v>
      </c>
      <c r="AJ37" s="116">
        <v>0.5</v>
      </c>
      <c r="AN37" s="117">
        <v>453409</v>
      </c>
      <c r="AO37" s="118" t="s">
        <v>84</v>
      </c>
      <c r="AP37" s="119" t="s">
        <v>257</v>
      </c>
      <c r="AQ37" s="120">
        <v>0.2</v>
      </c>
      <c r="AS37" s="100"/>
      <c r="AY37" s="109">
        <v>270</v>
      </c>
      <c r="AZ37" s="122" t="s">
        <v>258</v>
      </c>
      <c r="BA37" s="123"/>
      <c r="BB37" s="124"/>
      <c r="BC37" s="119"/>
      <c r="BD37" s="119"/>
      <c r="BE37" s="125"/>
      <c r="BF37" s="108"/>
      <c r="BG37" s="109">
        <v>270</v>
      </c>
      <c r="BH37" s="110">
        <f>_xlfn.XLOOKUP(BG37,'[1]OEE MEJORADA'!A:A,'[1]OEE MEJORADA'!B:B)</f>
        <v>0.28915344996692227</v>
      </c>
      <c r="BJ37" s="91"/>
      <c r="BK37" s="92">
        <v>10</v>
      </c>
      <c r="BY37" s="56"/>
      <c r="CA37" s="57"/>
      <c r="CC37" s="56"/>
      <c r="CD37" s="57"/>
      <c r="CN37">
        <v>251</v>
      </c>
      <c r="CO37">
        <v>62.16</v>
      </c>
      <c r="CP37">
        <v>52.71</v>
      </c>
      <c r="CQ37">
        <v>38.14</v>
      </c>
      <c r="CR37">
        <v>28.67</v>
      </c>
      <c r="CT37" t="s">
        <v>259</v>
      </c>
      <c r="CV37">
        <v>6878</v>
      </c>
      <c r="CW37" t="s">
        <v>260</v>
      </c>
      <c r="CY37" s="34" t="s">
        <v>261</v>
      </c>
      <c r="CZ37" s="35">
        <v>1.8686351755175519E-3</v>
      </c>
    </row>
    <row r="38" spans="8:104" ht="21" x14ac:dyDescent="0.3">
      <c r="H38" s="186"/>
      <c r="I38" s="187"/>
      <c r="J38" s="187"/>
      <c r="K38" s="187"/>
      <c r="L38" s="187"/>
      <c r="M38" s="188"/>
      <c r="S38" s="141" t="s">
        <v>147</v>
      </c>
      <c r="T38" s="142"/>
      <c r="U38" s="142"/>
      <c r="V38" s="142"/>
      <c r="W38" s="143"/>
      <c r="X38" s="199">
        <v>0.80918744899999995</v>
      </c>
      <c r="Y38" s="199">
        <v>14</v>
      </c>
      <c r="Z38">
        <v>14</v>
      </c>
      <c r="AH38" s="114"/>
      <c r="AI38" s="201">
        <v>2700</v>
      </c>
      <c r="AJ38" s="202">
        <v>0.25</v>
      </c>
      <c r="AN38" s="117">
        <v>404018</v>
      </c>
      <c r="AO38" s="118" t="s">
        <v>84</v>
      </c>
      <c r="AP38" s="119" t="s">
        <v>262</v>
      </c>
      <c r="AQ38" s="120">
        <v>0.2</v>
      </c>
      <c r="AS38" s="100"/>
      <c r="AY38" s="109">
        <v>280</v>
      </c>
      <c r="AZ38" s="122" t="s">
        <v>263</v>
      </c>
      <c r="BA38" s="123"/>
      <c r="BB38" s="124"/>
      <c r="BC38" s="119"/>
      <c r="BD38" s="119"/>
      <c r="BE38" s="125"/>
      <c r="BF38" s="108"/>
      <c r="BG38" s="109">
        <v>280</v>
      </c>
      <c r="BH38" s="110">
        <f>_xlfn.XLOOKUP(BG38,'[1]OEE MEJORADA'!A:A,'[1]OEE MEJORADA'!B:B)</f>
        <v>0.79587567098617618</v>
      </c>
      <c r="BJ38" s="91"/>
      <c r="BK38" s="92">
        <v>10</v>
      </c>
      <c r="BY38" s="56"/>
      <c r="CA38" s="57"/>
      <c r="CC38" s="56"/>
      <c r="CD38" s="57"/>
      <c r="CN38">
        <v>309</v>
      </c>
      <c r="CO38">
        <v>64.53</v>
      </c>
      <c r="CP38">
        <v>54.79</v>
      </c>
      <c r="CQ38">
        <v>35.549999999999997</v>
      </c>
      <c r="CR38">
        <v>25.83</v>
      </c>
      <c r="CT38" t="s">
        <v>264</v>
      </c>
      <c r="CV38">
        <v>6155</v>
      </c>
      <c r="CW38" t="s">
        <v>265</v>
      </c>
      <c r="CY38" s="34" t="s">
        <v>266</v>
      </c>
      <c r="CZ38" s="35">
        <v>4.6193862646264627E-3</v>
      </c>
    </row>
    <row r="39" spans="8:104" ht="21.6" thickBot="1" x14ac:dyDescent="0.35">
      <c r="H39" s="186"/>
      <c r="I39" s="187"/>
      <c r="J39" s="187"/>
      <c r="K39" s="187" t="s">
        <v>142</v>
      </c>
      <c r="L39" s="187"/>
      <c r="M39" s="188">
        <v>1</v>
      </c>
      <c r="S39" s="150"/>
      <c r="T39" s="151"/>
      <c r="U39" s="151"/>
      <c r="V39" s="151"/>
      <c r="W39" s="152"/>
      <c r="X39" s="200"/>
      <c r="Y39" s="200"/>
      <c r="AH39" s="114"/>
      <c r="AI39" s="201">
        <v>750</v>
      </c>
      <c r="AJ39" s="202">
        <v>1</v>
      </c>
      <c r="AN39" s="117">
        <v>453418</v>
      </c>
      <c r="AO39" s="118" t="s">
        <v>84</v>
      </c>
      <c r="AP39" s="119" t="s">
        <v>267</v>
      </c>
      <c r="AQ39" s="120">
        <v>0.2</v>
      </c>
      <c r="AS39" s="100"/>
      <c r="AY39" s="109">
        <v>281</v>
      </c>
      <c r="AZ39" s="122" t="s">
        <v>268</v>
      </c>
      <c r="BA39" s="123"/>
      <c r="BB39" s="124"/>
      <c r="BC39" s="119"/>
      <c r="BD39" s="119"/>
      <c r="BE39" s="125"/>
      <c r="BF39" s="108"/>
      <c r="BG39" s="109">
        <v>281</v>
      </c>
      <c r="BH39" s="110">
        <f>_xlfn.XLOOKUP(BG39,'[1]OEE MEJORADA'!A:A,'[1]OEE MEJORADA'!B:B)</f>
        <v>0.31065345378099612</v>
      </c>
      <c r="BJ39" s="91"/>
      <c r="BK39" s="92">
        <v>10</v>
      </c>
      <c r="BY39" s="56"/>
      <c r="CA39" s="57"/>
      <c r="CC39" s="56"/>
      <c r="CD39" s="57"/>
      <c r="CN39">
        <v>310</v>
      </c>
      <c r="CO39">
        <v>64.53</v>
      </c>
      <c r="CP39">
        <v>54.79</v>
      </c>
      <c r="CQ39">
        <v>35.549999999999997</v>
      </c>
      <c r="CR39">
        <v>25.83</v>
      </c>
      <c r="CT39" t="s">
        <v>269</v>
      </c>
      <c r="CV39">
        <v>1286</v>
      </c>
      <c r="CW39" t="s">
        <v>270</v>
      </c>
      <c r="CY39" s="34" t="s">
        <v>271</v>
      </c>
      <c r="CZ39" s="35">
        <v>8.2927106E-2</v>
      </c>
    </row>
    <row r="40" spans="8:104" ht="21.6" thickBot="1" x14ac:dyDescent="0.35">
      <c r="H40" s="186"/>
      <c r="I40" s="187"/>
      <c r="J40" s="187"/>
      <c r="K40" s="187"/>
      <c r="L40" s="187"/>
      <c r="M40" s="188"/>
      <c r="AH40" s="114"/>
      <c r="AI40" s="203">
        <v>798</v>
      </c>
      <c r="AJ40" s="202">
        <v>1</v>
      </c>
      <c r="AN40" s="117">
        <v>452965</v>
      </c>
      <c r="AO40" s="118" t="s">
        <v>84</v>
      </c>
      <c r="AP40" s="119" t="s">
        <v>272</v>
      </c>
      <c r="AQ40" s="120">
        <v>0.2</v>
      </c>
      <c r="AS40" s="100"/>
      <c r="AY40" s="109">
        <v>282</v>
      </c>
      <c r="AZ40" s="122" t="s">
        <v>263</v>
      </c>
      <c r="BA40" s="123"/>
      <c r="BB40" s="124"/>
      <c r="BC40" s="119"/>
      <c r="BD40" s="119"/>
      <c r="BE40" s="125"/>
      <c r="BF40" s="108"/>
      <c r="BG40" s="109">
        <v>282</v>
      </c>
      <c r="BH40" s="110">
        <f>_xlfn.XLOOKUP(BG40,'[1]OEE MEJORADA'!A:A,'[1]OEE MEJORADA'!B:B)</f>
        <v>0.80907281043654666</v>
      </c>
      <c r="BJ40" s="91"/>
      <c r="BK40" s="92">
        <v>10</v>
      </c>
      <c r="BY40" s="56"/>
      <c r="CA40" s="57"/>
      <c r="CC40" s="56"/>
      <c r="CD40" s="57"/>
      <c r="CN40">
        <v>312</v>
      </c>
      <c r="CO40">
        <v>59.51</v>
      </c>
      <c r="CP40">
        <v>50.18</v>
      </c>
      <c r="CQ40">
        <v>30.53</v>
      </c>
      <c r="CR40">
        <v>20.79</v>
      </c>
      <c r="CT40" t="s">
        <v>273</v>
      </c>
      <c r="CV40">
        <v>6877</v>
      </c>
      <c r="CW40" t="s">
        <v>274</v>
      </c>
      <c r="CY40" s="34" t="s">
        <v>275</v>
      </c>
      <c r="CZ40" s="35">
        <v>2.2331724799999998E-2</v>
      </c>
    </row>
    <row r="41" spans="8:104" ht="21" x14ac:dyDescent="0.3">
      <c r="H41" s="186"/>
      <c r="I41" s="187"/>
      <c r="J41" s="187"/>
      <c r="K41" s="187" t="s">
        <v>128</v>
      </c>
      <c r="L41" s="187"/>
      <c r="M41" s="188">
        <v>1</v>
      </c>
      <c r="S41" s="204" t="s">
        <v>276</v>
      </c>
      <c r="T41" s="205"/>
      <c r="U41" s="205"/>
      <c r="V41" s="205"/>
      <c r="W41" s="206"/>
      <c r="X41" s="144">
        <f>X32+X34+X36+X38</f>
        <v>4</v>
      </c>
      <c r="AH41" s="114"/>
      <c r="AI41" s="201">
        <v>799</v>
      </c>
      <c r="AJ41" s="202">
        <v>1</v>
      </c>
      <c r="AN41" s="117">
        <v>451892</v>
      </c>
      <c r="AO41" s="118" t="s">
        <v>84</v>
      </c>
      <c r="AP41" s="119" t="s">
        <v>277</v>
      </c>
      <c r="AQ41" s="120">
        <v>0.2</v>
      </c>
      <c r="AS41" s="100"/>
      <c r="AY41" s="109">
        <v>401</v>
      </c>
      <c r="AZ41" s="122" t="s">
        <v>278</v>
      </c>
      <c r="BA41" s="123"/>
      <c r="BB41" s="124"/>
      <c r="BC41" s="119"/>
      <c r="BD41" s="119"/>
      <c r="BE41" s="125"/>
      <c r="BF41" s="108"/>
      <c r="BG41" s="109">
        <v>401</v>
      </c>
      <c r="BH41" s="110">
        <f>_xlfn.XLOOKUP(BG41,'[1]OEE MEJORADA'!A:A,'[1]OEE MEJORADA'!B:B)</f>
        <v>0.46326080100914535</v>
      </c>
      <c r="BJ41" s="91"/>
      <c r="BK41" s="92">
        <v>10</v>
      </c>
      <c r="BY41" s="56"/>
      <c r="CA41" s="57"/>
      <c r="CC41" s="56"/>
      <c r="CD41" s="57"/>
      <c r="CN41">
        <v>313</v>
      </c>
      <c r="CO41">
        <v>56.77</v>
      </c>
      <c r="CP41">
        <v>47.04</v>
      </c>
      <c r="CQ41">
        <v>29.5</v>
      </c>
      <c r="CR41">
        <v>19.77</v>
      </c>
      <c r="CT41" t="s">
        <v>279</v>
      </c>
      <c r="CV41">
        <v>3682</v>
      </c>
      <c r="CW41" t="s">
        <v>280</v>
      </c>
      <c r="CY41" s="34" t="s">
        <v>281</v>
      </c>
      <c r="CZ41" s="35">
        <v>3.6823608000000002E-3</v>
      </c>
    </row>
    <row r="42" spans="8:104" ht="21.6" thickBot="1" x14ac:dyDescent="0.35">
      <c r="H42" s="207"/>
      <c r="I42" s="208"/>
      <c r="J42" s="208"/>
      <c r="K42" s="208"/>
      <c r="L42" s="208"/>
      <c r="M42" s="209"/>
      <c r="S42" s="210"/>
      <c r="T42" s="211"/>
      <c r="U42" s="211"/>
      <c r="V42" s="211"/>
      <c r="W42" s="212"/>
      <c r="X42" s="153"/>
      <c r="AH42" s="114"/>
      <c r="AI42" s="201">
        <v>700</v>
      </c>
      <c r="AJ42" s="202">
        <v>1</v>
      </c>
      <c r="AN42" s="117">
        <v>403110</v>
      </c>
      <c r="AO42" s="118" t="s">
        <v>84</v>
      </c>
      <c r="AP42" s="119" t="s">
        <v>282</v>
      </c>
      <c r="AQ42" s="120">
        <v>0.2</v>
      </c>
      <c r="AS42" s="100"/>
      <c r="AY42" s="109">
        <v>405</v>
      </c>
      <c r="AZ42" s="122" t="s">
        <v>283</v>
      </c>
      <c r="BA42" s="123"/>
      <c r="BB42" s="124"/>
      <c r="BC42" s="119"/>
      <c r="BD42" s="119"/>
      <c r="BE42" s="125"/>
      <c r="BF42" s="108"/>
      <c r="BG42" s="109">
        <v>405</v>
      </c>
      <c r="BH42" s="110">
        <f>_xlfn.XLOOKUP(BG42,'[1]OEE MEJORADA'!A:A,'[1]OEE MEJORADA'!B:B)</f>
        <v>0.82529332544781175</v>
      </c>
      <c r="BJ42" s="91"/>
      <c r="BK42" s="92">
        <v>10</v>
      </c>
      <c r="BY42" s="56"/>
      <c r="CA42" s="57"/>
      <c r="CC42" s="56"/>
      <c r="CD42" s="57"/>
      <c r="CN42">
        <v>316</v>
      </c>
      <c r="CO42">
        <v>60.12</v>
      </c>
      <c r="CP42">
        <v>50.3</v>
      </c>
      <c r="CQ42">
        <v>31.15</v>
      </c>
      <c r="CR42">
        <v>21.33</v>
      </c>
      <c r="CT42" t="s">
        <v>284</v>
      </c>
      <c r="CV42">
        <v>2684</v>
      </c>
      <c r="CW42" t="s">
        <v>285</v>
      </c>
      <c r="CY42" s="34" t="s">
        <v>286</v>
      </c>
      <c r="CZ42" s="35">
        <v>4.8608375000000004E-4</v>
      </c>
    </row>
    <row r="43" spans="8:104" x14ac:dyDescent="0.3">
      <c r="AH43" s="114"/>
      <c r="AI43" s="201">
        <v>916</v>
      </c>
      <c r="AJ43" s="202">
        <v>1</v>
      </c>
      <c r="AN43" s="117">
        <v>452240</v>
      </c>
      <c r="AO43" s="118" t="s">
        <v>84</v>
      </c>
      <c r="AP43" s="119" t="s">
        <v>287</v>
      </c>
      <c r="AQ43" s="120">
        <v>0.2</v>
      </c>
      <c r="AS43" s="100"/>
      <c r="AY43" s="109">
        <v>406</v>
      </c>
      <c r="AZ43" s="122" t="s">
        <v>288</v>
      </c>
      <c r="BA43" s="123"/>
      <c r="BB43" s="124"/>
      <c r="BC43" s="119"/>
      <c r="BD43" s="119"/>
      <c r="BE43" s="125"/>
      <c r="BF43" s="108"/>
      <c r="BG43" s="109">
        <v>406</v>
      </c>
      <c r="BH43" s="110">
        <f>_xlfn.XLOOKUP(BG43,'[1]OEE MEJORADA'!A:A,'[1]OEE MEJORADA'!B:B)</f>
        <v>0.65112077239231347</v>
      </c>
      <c r="BJ43" s="91"/>
      <c r="BK43" s="92">
        <v>10</v>
      </c>
      <c r="BY43" s="56"/>
      <c r="CA43" s="57"/>
      <c r="CC43" s="56"/>
      <c r="CD43" s="57"/>
      <c r="CN43">
        <v>317</v>
      </c>
      <c r="CO43">
        <v>60.12</v>
      </c>
      <c r="CP43">
        <v>50.3</v>
      </c>
      <c r="CQ43">
        <v>31.15</v>
      </c>
      <c r="CR43">
        <v>21.33</v>
      </c>
      <c r="CV43">
        <v>3975</v>
      </c>
      <c r="CW43" t="s">
        <v>289</v>
      </c>
      <c r="CY43" s="34" t="s">
        <v>290</v>
      </c>
      <c r="CZ43" s="35">
        <v>2.5617507999999996</v>
      </c>
    </row>
    <row r="44" spans="8:104" x14ac:dyDescent="0.3">
      <c r="AH44" s="114"/>
      <c r="AI44" s="201">
        <v>724</v>
      </c>
      <c r="AJ44" s="202">
        <v>1</v>
      </c>
      <c r="AN44" s="117" t="s">
        <v>291</v>
      </c>
      <c r="AO44" s="118" t="s">
        <v>84</v>
      </c>
      <c r="AP44" s="119" t="s">
        <v>292</v>
      </c>
      <c r="AQ44" s="120">
        <v>0.2</v>
      </c>
      <c r="AS44" s="100"/>
      <c r="AY44" s="109">
        <v>407</v>
      </c>
      <c r="AZ44" s="122" t="s">
        <v>293</v>
      </c>
      <c r="BA44" s="123"/>
      <c r="BB44" s="124"/>
      <c r="BC44" s="119"/>
      <c r="BD44" s="119"/>
      <c r="BE44" s="125"/>
      <c r="BF44" s="108"/>
      <c r="BG44" s="109">
        <v>407</v>
      </c>
      <c r="BH44" s="110">
        <f>_xlfn.XLOOKUP(BG44,'[1]OEE MEJORADA'!A:A,'[1]OEE MEJORADA'!B:B)</f>
        <v>0.55776362017727421</v>
      </c>
      <c r="BJ44" s="91"/>
      <c r="BK44" s="92">
        <v>10</v>
      </c>
      <c r="BY44" s="56"/>
      <c r="CA44" s="57"/>
      <c r="CC44" s="56"/>
      <c r="CD44" s="57"/>
      <c r="CN44">
        <v>318</v>
      </c>
      <c r="CO44">
        <v>64.53</v>
      </c>
      <c r="CP44">
        <v>54.79</v>
      </c>
      <c r="CQ44">
        <v>35.549999999999997</v>
      </c>
      <c r="CR44">
        <v>25.83</v>
      </c>
      <c r="CV44">
        <v>7473</v>
      </c>
      <c r="CW44" t="s">
        <v>294</v>
      </c>
      <c r="CY44" s="34" t="s">
        <v>295</v>
      </c>
      <c r="CZ44" s="35">
        <v>5.1883304799999995E-3</v>
      </c>
    </row>
    <row r="45" spans="8:104" x14ac:dyDescent="0.3">
      <c r="AH45" s="114"/>
      <c r="AI45" s="145">
        <v>280</v>
      </c>
      <c r="AJ45" s="116">
        <v>0.25</v>
      </c>
      <c r="AN45" s="117">
        <v>452089</v>
      </c>
      <c r="AO45" s="118" t="s">
        <v>84</v>
      </c>
      <c r="AP45" s="119" t="s">
        <v>296</v>
      </c>
      <c r="AQ45" s="120">
        <v>0.2</v>
      </c>
      <c r="AS45" s="100"/>
      <c r="AY45" s="109">
        <v>409</v>
      </c>
      <c r="AZ45" s="122" t="s">
        <v>297</v>
      </c>
      <c r="BA45" s="123"/>
      <c r="BB45" s="124"/>
      <c r="BC45" s="119"/>
      <c r="BD45" s="119"/>
      <c r="BE45" s="125"/>
      <c r="BF45" s="108"/>
      <c r="BG45" s="109">
        <v>409</v>
      </c>
      <c r="BH45" s="110">
        <f>_xlfn.XLOOKUP(BG45,'[1]OEE MEJORADA'!A:A,'[1]OEE MEJORADA'!B:B)</f>
        <v>0.49206105991388027</v>
      </c>
      <c r="BJ45" s="91"/>
      <c r="BK45" s="92">
        <v>10</v>
      </c>
      <c r="BY45" s="56"/>
      <c r="CA45" s="57"/>
      <c r="CC45" s="56"/>
      <c r="CD45" s="57"/>
      <c r="CN45">
        <v>320</v>
      </c>
      <c r="CO45">
        <v>61.47</v>
      </c>
      <c r="CP45">
        <v>51.79</v>
      </c>
      <c r="CQ45">
        <v>33.340000000000003</v>
      </c>
      <c r="CR45">
        <v>23.88</v>
      </c>
      <c r="CV45">
        <v>1330</v>
      </c>
      <c r="CW45" t="s">
        <v>298</v>
      </c>
      <c r="CY45" s="34" t="s">
        <v>299</v>
      </c>
      <c r="CZ45" s="35">
        <v>0.37452152</v>
      </c>
    </row>
    <row r="46" spans="8:104" x14ac:dyDescent="0.3">
      <c r="AH46" s="114"/>
      <c r="AI46" s="145">
        <v>281</v>
      </c>
      <c r="AJ46" s="116">
        <v>0.25</v>
      </c>
      <c r="AN46" s="117">
        <v>453584</v>
      </c>
      <c r="AO46" s="118" t="s">
        <v>84</v>
      </c>
      <c r="AP46" s="119" t="s">
        <v>300</v>
      </c>
      <c r="AQ46" s="120">
        <v>0.2</v>
      </c>
      <c r="AS46" s="100"/>
      <c r="AY46" s="109">
        <v>412</v>
      </c>
      <c r="AZ46" s="122" t="s">
        <v>301</v>
      </c>
      <c r="BA46" s="123"/>
      <c r="BB46" s="124"/>
      <c r="BC46" s="119"/>
      <c r="BD46" s="119"/>
      <c r="BE46" s="125"/>
      <c r="BF46" s="108"/>
      <c r="BG46" s="109">
        <v>412</v>
      </c>
      <c r="BH46" s="110">
        <f>_xlfn.XLOOKUP(BG46,'[1]OEE MEJORADA'!A:A,'[1]OEE MEJORADA'!B:B)</f>
        <v>0.84635645302897278</v>
      </c>
      <c r="BJ46" s="91"/>
      <c r="BK46" s="92">
        <v>10</v>
      </c>
      <c r="BY46" s="56"/>
      <c r="CA46" s="57"/>
      <c r="CC46" s="56"/>
      <c r="CD46" s="57"/>
      <c r="CN46">
        <v>301</v>
      </c>
      <c r="CO46">
        <v>63.38</v>
      </c>
      <c r="CP46">
        <v>52</v>
      </c>
      <c r="CQ46">
        <v>34.4</v>
      </c>
      <c r="CR46">
        <v>23.03</v>
      </c>
      <c r="CV46">
        <v>5419</v>
      </c>
      <c r="CW46" t="s">
        <v>302</v>
      </c>
      <c r="CY46" s="34" t="s">
        <v>303</v>
      </c>
      <c r="CZ46" s="35">
        <v>2.0784401440000003E-3</v>
      </c>
    </row>
    <row r="47" spans="8:104" ht="15" thickBot="1" x14ac:dyDescent="0.35">
      <c r="AH47" s="114"/>
      <c r="AI47" s="145">
        <v>282</v>
      </c>
      <c r="AJ47" s="116">
        <v>0.25</v>
      </c>
      <c r="AN47" s="117">
        <v>451906</v>
      </c>
      <c r="AO47" s="118" t="s">
        <v>84</v>
      </c>
      <c r="AP47" s="119" t="s">
        <v>304</v>
      </c>
      <c r="AQ47" s="120">
        <v>0.2</v>
      </c>
      <c r="AS47" s="100"/>
      <c r="AY47" s="109">
        <v>417</v>
      </c>
      <c r="AZ47" s="122" t="s">
        <v>305</v>
      </c>
      <c r="BA47" s="123"/>
      <c r="BB47" s="124"/>
      <c r="BC47" s="119"/>
      <c r="BD47" s="119"/>
      <c r="BE47" s="125"/>
      <c r="BF47" s="108"/>
      <c r="BG47" s="109">
        <v>417</v>
      </c>
      <c r="BH47" s="110">
        <f>_xlfn.XLOOKUP(BG47,'[1]OEE MEJORADA'!A:A,'[1]OEE MEJORADA'!B:B)</f>
        <v>0.70210698814868411</v>
      </c>
      <c r="BJ47" s="91"/>
      <c r="BK47" s="92">
        <v>10</v>
      </c>
      <c r="BY47" s="162"/>
      <c r="BZ47" s="163"/>
      <c r="CA47" s="164"/>
      <c r="CC47" s="162"/>
      <c r="CD47" s="164"/>
      <c r="CN47">
        <v>319</v>
      </c>
      <c r="CO47">
        <v>60.22</v>
      </c>
      <c r="CP47">
        <v>50.48</v>
      </c>
      <c r="CQ47">
        <v>31.25</v>
      </c>
      <c r="CR47">
        <v>21.52</v>
      </c>
      <c r="CV47">
        <v>3415</v>
      </c>
      <c r="CW47" t="s">
        <v>306</v>
      </c>
      <c r="CY47" s="34" t="s">
        <v>307</v>
      </c>
      <c r="CZ47" s="35">
        <v>1.1094653573400001E-2</v>
      </c>
    </row>
    <row r="48" spans="8:104" ht="21" customHeight="1" x14ac:dyDescent="0.3">
      <c r="S48" s="213" t="s">
        <v>308</v>
      </c>
      <c r="T48" s="214"/>
      <c r="U48" s="214"/>
      <c r="V48" s="214"/>
      <c r="W48" s="215"/>
      <c r="X48" s="199">
        <v>1.2</v>
      </c>
      <c r="AH48" s="114"/>
      <c r="AI48" s="145">
        <v>780</v>
      </c>
      <c r="AJ48" s="116">
        <v>0.25</v>
      </c>
      <c r="AN48" s="117">
        <v>451899</v>
      </c>
      <c r="AO48" s="118" t="s">
        <v>84</v>
      </c>
      <c r="AP48" s="119" t="s">
        <v>309</v>
      </c>
      <c r="AQ48" s="120">
        <v>0.2</v>
      </c>
      <c r="AS48" s="100"/>
      <c r="AY48" s="109">
        <v>452</v>
      </c>
      <c r="AZ48" s="122" t="s">
        <v>310</v>
      </c>
      <c r="BA48" s="123"/>
      <c r="BB48" s="124"/>
      <c r="BC48" s="119"/>
      <c r="BD48" s="119"/>
      <c r="BE48" s="125"/>
      <c r="BF48" s="108"/>
      <c r="BG48" s="109">
        <v>452</v>
      </c>
      <c r="BH48" s="110">
        <f>_xlfn.XLOOKUP(BG48,'[1]OEE MEJORADA'!A:A,'[1]OEE MEJORADA'!B:B)</f>
        <v>0.75016858778815576</v>
      </c>
      <c r="BJ48" s="91"/>
      <c r="BK48" s="92">
        <v>10</v>
      </c>
      <c r="CN48">
        <v>323</v>
      </c>
      <c r="CO48">
        <v>60</v>
      </c>
      <c r="CP48">
        <v>50.25</v>
      </c>
      <c r="CQ48">
        <v>31.03</v>
      </c>
      <c r="CR48">
        <v>21.29</v>
      </c>
      <c r="CV48">
        <v>581</v>
      </c>
      <c r="CW48" t="s">
        <v>311</v>
      </c>
      <c r="CY48" s="34" t="s">
        <v>312</v>
      </c>
      <c r="CZ48" s="35">
        <v>1.7736397400000001E-3</v>
      </c>
    </row>
    <row r="49" spans="19:104" ht="15" thickBot="1" x14ac:dyDescent="0.35">
      <c r="S49" s="216"/>
      <c r="T49" s="217"/>
      <c r="U49" s="217"/>
      <c r="V49" s="217"/>
      <c r="W49" s="218"/>
      <c r="X49" s="200"/>
      <c r="AH49" s="114"/>
      <c r="AI49" s="145">
        <v>779</v>
      </c>
      <c r="AJ49" s="116">
        <v>1</v>
      </c>
      <c r="AN49" s="117">
        <v>452819</v>
      </c>
      <c r="AO49" s="118" t="s">
        <v>84</v>
      </c>
      <c r="AP49" s="119" t="s">
        <v>313</v>
      </c>
      <c r="AQ49" s="219">
        <v>0.2</v>
      </c>
      <c r="AS49" s="100"/>
      <c r="AY49" s="109">
        <v>454</v>
      </c>
      <c r="AZ49" s="122" t="s">
        <v>314</v>
      </c>
      <c r="BA49" s="123"/>
      <c r="BB49" s="124"/>
      <c r="BC49" s="119"/>
      <c r="BD49" s="119"/>
      <c r="BE49" s="125"/>
      <c r="BF49" s="108"/>
      <c r="BG49" s="109">
        <v>454</v>
      </c>
      <c r="BH49" s="110" t="str">
        <f>_xlfn.XLOOKUP(BG49,'[1]OEE MEJORADA'!A:A,'[1]OEE MEJORADA'!B:B)</f>
        <v/>
      </c>
      <c r="BJ49" s="91"/>
      <c r="BK49" s="92">
        <v>10</v>
      </c>
      <c r="CN49">
        <v>326</v>
      </c>
      <c r="CO49">
        <v>60.61</v>
      </c>
      <c r="CP49">
        <v>50.88</v>
      </c>
      <c r="CQ49">
        <v>31.65</v>
      </c>
      <c r="CR49">
        <v>21.9</v>
      </c>
      <c r="CV49">
        <v>3999</v>
      </c>
      <c r="CW49" t="s">
        <v>315</v>
      </c>
      <c r="CY49" s="34" t="s">
        <v>316</v>
      </c>
      <c r="CZ49" s="35">
        <v>4.5513360000000004E-3</v>
      </c>
    </row>
    <row r="50" spans="19:104" x14ac:dyDescent="0.3">
      <c r="AH50" s="114"/>
      <c r="AI50" s="109">
        <v>401</v>
      </c>
      <c r="AJ50" s="116">
        <v>1</v>
      </c>
      <c r="AN50" s="117" t="s">
        <v>317</v>
      </c>
      <c r="AO50" s="118" t="s">
        <v>84</v>
      </c>
      <c r="AP50" s="119" t="s">
        <v>318</v>
      </c>
      <c r="AQ50" s="120">
        <v>0.2</v>
      </c>
      <c r="AS50" s="100"/>
      <c r="AY50" s="109">
        <v>455</v>
      </c>
      <c r="AZ50" s="122" t="s">
        <v>319</v>
      </c>
      <c r="BA50" s="123"/>
      <c r="BB50" s="124"/>
      <c r="BC50" s="119"/>
      <c r="BD50" s="119"/>
      <c r="BE50" s="125"/>
      <c r="BF50" s="108"/>
      <c r="BG50" s="109">
        <v>455</v>
      </c>
      <c r="BH50" s="110">
        <f>_xlfn.XLOOKUP(BG50,'[1]OEE MEJORADA'!A:A,'[1]OEE MEJORADA'!B:B)</f>
        <v>0.76416916556094838</v>
      </c>
      <c r="BJ50" s="91"/>
      <c r="BK50" s="92">
        <v>10</v>
      </c>
      <c r="CN50">
        <v>327</v>
      </c>
      <c r="CO50">
        <v>64.400000000000006</v>
      </c>
      <c r="CP50">
        <v>54.67</v>
      </c>
      <c r="CQ50">
        <v>35.44</v>
      </c>
      <c r="CR50">
        <v>25.7</v>
      </c>
      <c r="CV50">
        <v>1605</v>
      </c>
      <c r="CW50" t="s">
        <v>320</v>
      </c>
      <c r="CY50" s="34" t="s">
        <v>321</v>
      </c>
      <c r="CZ50" s="35">
        <v>8.2550990080000018E-3</v>
      </c>
    </row>
    <row r="51" spans="19:104" x14ac:dyDescent="0.3">
      <c r="AH51" s="114"/>
      <c r="AI51" s="109">
        <v>405</v>
      </c>
      <c r="AJ51" s="116">
        <v>1</v>
      </c>
      <c r="AN51" s="117" t="s">
        <v>322</v>
      </c>
      <c r="AO51" s="118" t="s">
        <v>84</v>
      </c>
      <c r="AP51" s="119" t="s">
        <v>323</v>
      </c>
      <c r="AQ51" s="120">
        <v>0.2</v>
      </c>
      <c r="AS51" s="100"/>
      <c r="AY51" s="109">
        <v>456</v>
      </c>
      <c r="AZ51" s="122" t="s">
        <v>324</v>
      </c>
      <c r="BA51" s="123"/>
      <c r="BB51" s="124"/>
      <c r="BC51" s="119"/>
      <c r="BD51" s="119"/>
      <c r="BE51" s="125"/>
      <c r="BF51" s="108"/>
      <c r="BG51" s="109">
        <v>456</v>
      </c>
      <c r="BH51" s="110" t="str">
        <f>_xlfn.XLOOKUP(BG51,'[1]OEE MEJORADA'!A:A,'[1]OEE MEJORADA'!B:B)</f>
        <v/>
      </c>
      <c r="BJ51" s="91"/>
      <c r="BK51" s="92">
        <v>10</v>
      </c>
      <c r="CN51">
        <v>328</v>
      </c>
      <c r="CO51">
        <v>66.2</v>
      </c>
      <c r="CP51">
        <v>56.46</v>
      </c>
      <c r="CQ51">
        <v>37.22</v>
      </c>
      <c r="CR51">
        <v>27.5</v>
      </c>
      <c r="CV51">
        <v>5928</v>
      </c>
      <c r="CW51" t="s">
        <v>325</v>
      </c>
      <c r="CY51" s="34" t="s">
        <v>326</v>
      </c>
      <c r="CZ51" s="35">
        <v>3.4187649999999993E-2</v>
      </c>
    </row>
    <row r="52" spans="19:104" x14ac:dyDescent="0.3">
      <c r="AH52" s="114"/>
      <c r="AI52" s="109">
        <v>406</v>
      </c>
      <c r="AJ52" s="116">
        <v>1</v>
      </c>
      <c r="AN52" s="117" t="s">
        <v>327</v>
      </c>
      <c r="AO52" s="118" t="s">
        <v>84</v>
      </c>
      <c r="AP52" s="119" t="s">
        <v>328</v>
      </c>
      <c r="AQ52" s="120">
        <v>0.2</v>
      </c>
      <c r="AS52" s="100"/>
      <c r="AY52" s="109">
        <v>457</v>
      </c>
      <c r="AZ52" s="122" t="s">
        <v>329</v>
      </c>
      <c r="BA52" s="123"/>
      <c r="BB52" s="124"/>
      <c r="BC52" s="119"/>
      <c r="BD52" s="119"/>
      <c r="BE52" s="125"/>
      <c r="BF52" s="108"/>
      <c r="BG52" s="109">
        <v>457</v>
      </c>
      <c r="BH52" s="110">
        <f>_xlfn.XLOOKUP(BG52,'[1]OEE MEJORADA'!A:A,'[1]OEE MEJORADA'!B:B)</f>
        <v>0.75645072928996659</v>
      </c>
      <c r="BJ52" s="91"/>
      <c r="BK52" s="92">
        <v>10</v>
      </c>
      <c r="CN52">
        <v>329</v>
      </c>
      <c r="CO52">
        <v>65.319999999999993</v>
      </c>
      <c r="CP52">
        <v>55.58</v>
      </c>
      <c r="CQ52">
        <v>36.340000000000003</v>
      </c>
      <c r="CR52">
        <v>26.6</v>
      </c>
      <c r="CV52">
        <v>5361</v>
      </c>
      <c r="CW52" t="s">
        <v>330</v>
      </c>
      <c r="CY52" s="34" t="s">
        <v>331</v>
      </c>
      <c r="CZ52" s="35">
        <v>7.1611842300000001E-4</v>
      </c>
    </row>
    <row r="53" spans="19:104" x14ac:dyDescent="0.3">
      <c r="AH53" s="114"/>
      <c r="AI53" s="109">
        <v>407</v>
      </c>
      <c r="AJ53" s="116">
        <v>1</v>
      </c>
      <c r="AN53" s="117">
        <v>403996</v>
      </c>
      <c r="AO53" s="118" t="s">
        <v>84</v>
      </c>
      <c r="AP53" s="119" t="s">
        <v>332</v>
      </c>
      <c r="AQ53" s="120">
        <v>0.2</v>
      </c>
      <c r="AS53" s="100"/>
      <c r="AY53" s="109">
        <v>458</v>
      </c>
      <c r="AZ53" s="122" t="s">
        <v>333</v>
      </c>
      <c r="BA53" s="123"/>
      <c r="BB53" s="124"/>
      <c r="BC53" s="119"/>
      <c r="BD53" s="119"/>
      <c r="BE53" s="125"/>
      <c r="BF53" s="108"/>
      <c r="BG53" s="109">
        <v>458</v>
      </c>
      <c r="BH53" s="110">
        <f>_xlfn.XLOOKUP(BG53,'[1]OEE MEJORADA'!A:A,'[1]OEE MEJORADA'!B:B)</f>
        <v>0.48261205972598054</v>
      </c>
      <c r="BJ53" s="91"/>
      <c r="BK53" s="92">
        <v>10</v>
      </c>
      <c r="CN53">
        <v>332</v>
      </c>
      <c r="CO53">
        <v>66.2</v>
      </c>
      <c r="CP53">
        <v>56.46</v>
      </c>
      <c r="CQ53">
        <v>37.22</v>
      </c>
      <c r="CR53">
        <v>27.5</v>
      </c>
      <c r="CV53">
        <v>6739</v>
      </c>
      <c r="CW53" t="s">
        <v>334</v>
      </c>
      <c r="CY53" s="34" t="s">
        <v>335</v>
      </c>
      <c r="CZ53" s="35">
        <v>2.9535176215999999E-3</v>
      </c>
    </row>
    <row r="54" spans="19:104" x14ac:dyDescent="0.3">
      <c r="AH54" s="114"/>
      <c r="AI54" s="109">
        <v>409</v>
      </c>
      <c r="AJ54" s="116">
        <v>1</v>
      </c>
      <c r="AN54" s="117">
        <v>404015</v>
      </c>
      <c r="AO54" s="118" t="s">
        <v>84</v>
      </c>
      <c r="AP54" s="119" t="s">
        <v>336</v>
      </c>
      <c r="AQ54" s="120">
        <v>0.2</v>
      </c>
      <c r="AS54" s="100"/>
      <c r="AY54" s="109">
        <v>500</v>
      </c>
      <c r="AZ54" s="122" t="s">
        <v>337</v>
      </c>
      <c r="BA54" s="123"/>
      <c r="BB54" s="124"/>
      <c r="BC54" s="119"/>
      <c r="BD54" s="119"/>
      <c r="BE54" s="125"/>
      <c r="BF54" s="108"/>
      <c r="BG54" s="109">
        <v>500</v>
      </c>
      <c r="BH54" s="110">
        <f>_xlfn.XLOOKUP(BG54,'[1]OEE MEJORADA'!A:A,'[1]OEE MEJORADA'!B:B)</f>
        <v>0.33627169121216777</v>
      </c>
      <c r="BJ54" s="91"/>
      <c r="BK54" s="92">
        <v>10</v>
      </c>
      <c r="CN54">
        <v>333</v>
      </c>
      <c r="CO54">
        <v>65.319999999999993</v>
      </c>
      <c r="CP54">
        <v>55.58</v>
      </c>
      <c r="CQ54">
        <v>36.340000000000003</v>
      </c>
      <c r="CR54">
        <v>26.6</v>
      </c>
      <c r="CV54">
        <v>1461</v>
      </c>
      <c r="CW54" t="s">
        <v>338</v>
      </c>
      <c r="CY54" s="34" t="s">
        <v>339</v>
      </c>
      <c r="CZ54" s="35">
        <v>1.8112348128000004E-3</v>
      </c>
    </row>
    <row r="55" spans="19:104" x14ac:dyDescent="0.3">
      <c r="AH55" s="114"/>
      <c r="AI55" s="109">
        <v>412</v>
      </c>
      <c r="AJ55" s="116">
        <v>1</v>
      </c>
      <c r="AN55" s="117">
        <v>403988</v>
      </c>
      <c r="AO55" s="118" t="s">
        <v>84</v>
      </c>
      <c r="AP55" s="119" t="s">
        <v>340</v>
      </c>
      <c r="AQ55" s="219">
        <v>0.2</v>
      </c>
      <c r="AS55" s="100"/>
      <c r="AY55" s="109">
        <v>501</v>
      </c>
      <c r="AZ55" s="122" t="s">
        <v>341</v>
      </c>
      <c r="BA55" s="123"/>
      <c r="BB55" s="124"/>
      <c r="BC55" s="119"/>
      <c r="BD55" s="119"/>
      <c r="BE55" s="125"/>
      <c r="BF55" s="108"/>
      <c r="BG55" s="109">
        <v>501</v>
      </c>
      <c r="BH55" s="110">
        <f>_xlfn.XLOOKUP(BG55,'[1]OEE MEJORADA'!A:A,'[1]OEE MEJORADA'!B:B)</f>
        <v>0.44649185334186192</v>
      </c>
      <c r="BJ55" s="91"/>
      <c r="BK55" s="92">
        <v>10</v>
      </c>
      <c r="CN55">
        <v>420</v>
      </c>
      <c r="CO55">
        <v>66.2</v>
      </c>
      <c r="CP55">
        <v>56.46</v>
      </c>
      <c r="CQ55">
        <v>37.22</v>
      </c>
      <c r="CR55">
        <v>27.5</v>
      </c>
      <c r="CV55">
        <v>3674</v>
      </c>
      <c r="CW55" t="s">
        <v>342</v>
      </c>
      <c r="CY55" s="34" t="s">
        <v>343</v>
      </c>
      <c r="CZ55" s="35">
        <v>3.2700119360000003E-3</v>
      </c>
    </row>
    <row r="56" spans="19:104" x14ac:dyDescent="0.3">
      <c r="AH56" s="114"/>
      <c r="AI56" s="109">
        <v>417</v>
      </c>
      <c r="AJ56" s="116">
        <v>1</v>
      </c>
      <c r="AN56" s="117">
        <v>451707</v>
      </c>
      <c r="AO56" s="118" t="s">
        <v>84</v>
      </c>
      <c r="AP56" s="119" t="s">
        <v>344</v>
      </c>
      <c r="AQ56" s="120">
        <v>0.2</v>
      </c>
      <c r="AS56" s="100"/>
      <c r="AY56" s="109">
        <v>502</v>
      </c>
      <c r="AZ56" s="122" t="s">
        <v>345</v>
      </c>
      <c r="BA56" s="123"/>
      <c r="BB56" s="124"/>
      <c r="BC56" s="119"/>
      <c r="BD56" s="119"/>
      <c r="BE56" s="125"/>
      <c r="BF56" s="108"/>
      <c r="BG56" s="109">
        <v>502</v>
      </c>
      <c r="BH56" s="110">
        <f>_xlfn.XLOOKUP(BG56,'[1]OEE MEJORADA'!A:A,'[1]OEE MEJORADA'!B:B)</f>
        <v>0.4342300232811821</v>
      </c>
      <c r="BJ56" s="91"/>
      <c r="BK56" s="92">
        <v>10</v>
      </c>
      <c r="CN56">
        <v>421</v>
      </c>
      <c r="CO56">
        <v>66.2</v>
      </c>
      <c r="CP56">
        <v>56.46</v>
      </c>
      <c r="CQ56">
        <v>37.22</v>
      </c>
      <c r="CR56">
        <v>27.5</v>
      </c>
      <c r="CV56">
        <v>2614</v>
      </c>
      <c r="CW56" t="s">
        <v>346</v>
      </c>
      <c r="CY56" s="34" t="s">
        <v>347</v>
      </c>
      <c r="CZ56" s="35">
        <v>8.2775359999999996E-4</v>
      </c>
    </row>
    <row r="57" spans="19:104" x14ac:dyDescent="0.3">
      <c r="AH57" s="114"/>
      <c r="AI57" s="109">
        <v>452</v>
      </c>
      <c r="AJ57" s="116"/>
      <c r="AN57" s="117">
        <v>403092</v>
      </c>
      <c r="AO57" s="118" t="s">
        <v>84</v>
      </c>
      <c r="AP57" s="119" t="s">
        <v>348</v>
      </c>
      <c r="AQ57" s="120">
        <v>0.2</v>
      </c>
      <c r="AS57" s="100"/>
      <c r="AY57" s="109">
        <v>504</v>
      </c>
      <c r="AZ57" s="122" t="s">
        <v>349</v>
      </c>
      <c r="BA57" s="123"/>
      <c r="BB57" s="124"/>
      <c r="BC57" s="119"/>
      <c r="BD57" s="119"/>
      <c r="BE57" s="125"/>
      <c r="BF57" s="108"/>
      <c r="BG57" s="109">
        <v>504</v>
      </c>
      <c r="BH57" s="110">
        <f>_xlfn.XLOOKUP(BG57,'[1]OEE MEJORADA'!A:A,'[1]OEE MEJORADA'!B:B)</f>
        <v>0.67887145822364026</v>
      </c>
      <c r="BJ57" s="91"/>
      <c r="BK57" s="92">
        <v>10</v>
      </c>
      <c r="CN57">
        <v>422</v>
      </c>
      <c r="CO57">
        <v>65.319999999999993</v>
      </c>
      <c r="CP57">
        <v>55.58</v>
      </c>
      <c r="CQ57">
        <v>36.340000000000003</v>
      </c>
      <c r="CR57">
        <v>26.6</v>
      </c>
      <c r="CV57">
        <v>3866</v>
      </c>
      <c r="CW57" t="s">
        <v>350</v>
      </c>
      <c r="CY57" s="34" t="s">
        <v>351</v>
      </c>
      <c r="CZ57" s="35">
        <v>8.574880533333333E-4</v>
      </c>
    </row>
    <row r="58" spans="19:104" x14ac:dyDescent="0.3">
      <c r="AH58" s="114"/>
      <c r="AI58" s="109">
        <v>454</v>
      </c>
      <c r="AJ58" s="116"/>
      <c r="AN58" s="117">
        <v>403763</v>
      </c>
      <c r="AO58" s="118" t="s">
        <v>84</v>
      </c>
      <c r="AP58" s="119" t="s">
        <v>352</v>
      </c>
      <c r="AQ58" s="120">
        <v>0.2</v>
      </c>
      <c r="AS58" s="100"/>
      <c r="AY58" s="109">
        <v>505</v>
      </c>
      <c r="AZ58" s="122" t="s">
        <v>353</v>
      </c>
      <c r="BA58" s="123"/>
      <c r="BB58" s="124"/>
      <c r="BC58" s="119"/>
      <c r="BD58" s="119"/>
      <c r="BE58" s="125"/>
      <c r="BF58" s="108"/>
      <c r="BG58" s="109">
        <v>505</v>
      </c>
      <c r="BH58" s="110">
        <f>_xlfn.XLOOKUP(BG58,'[1]OEE MEJORADA'!A:A,'[1]OEE MEJORADA'!B:B)</f>
        <v>0.50228580275675083</v>
      </c>
      <c r="BJ58" s="91"/>
      <c r="BK58" s="92">
        <v>10</v>
      </c>
      <c r="CN58">
        <v>423</v>
      </c>
      <c r="CO58">
        <v>65.319999999999993</v>
      </c>
      <c r="CP58">
        <v>55.58</v>
      </c>
      <c r="CQ58">
        <v>36.340000000000003</v>
      </c>
      <c r="CR58">
        <v>26.6</v>
      </c>
      <c r="CV58">
        <v>6624</v>
      </c>
      <c r="CW58" t="s">
        <v>354</v>
      </c>
      <c r="CY58" s="34" t="s">
        <v>355</v>
      </c>
      <c r="CZ58" s="35">
        <v>9.0657168599999997E-3</v>
      </c>
    </row>
    <row r="59" spans="19:104" x14ac:dyDescent="0.3">
      <c r="AH59" s="114"/>
      <c r="AI59" s="109">
        <v>455</v>
      </c>
      <c r="AJ59" s="116"/>
      <c r="AN59" s="117">
        <v>403859</v>
      </c>
      <c r="AO59" s="118" t="s">
        <v>84</v>
      </c>
      <c r="AP59" s="119" t="s">
        <v>356</v>
      </c>
      <c r="AQ59" s="120">
        <v>0.2</v>
      </c>
      <c r="AS59" s="100"/>
      <c r="AY59" s="109">
        <v>506</v>
      </c>
      <c r="AZ59" s="122" t="s">
        <v>349</v>
      </c>
      <c r="BA59" s="123"/>
      <c r="BB59" s="124"/>
      <c r="BC59" s="119"/>
      <c r="BD59" s="119"/>
      <c r="BE59" s="125"/>
      <c r="BF59" s="108"/>
      <c r="BG59" s="109">
        <v>506</v>
      </c>
      <c r="BH59" s="110">
        <f>_xlfn.XLOOKUP(BG59,'[1]OEE MEJORADA'!A:A,'[1]OEE MEJORADA'!B:B)</f>
        <v>1.4910631305100298E-2</v>
      </c>
      <c r="BJ59" s="91"/>
      <c r="BK59" s="92">
        <v>10</v>
      </c>
      <c r="CN59">
        <v>424</v>
      </c>
      <c r="CO59">
        <v>66.2</v>
      </c>
      <c r="CP59">
        <v>56.46</v>
      </c>
      <c r="CQ59">
        <v>37.22</v>
      </c>
      <c r="CR59">
        <v>27.5</v>
      </c>
      <c r="CV59">
        <v>8004</v>
      </c>
      <c r="CW59" t="s">
        <v>357</v>
      </c>
      <c r="CY59" s="34" t="s">
        <v>358</v>
      </c>
      <c r="CZ59" s="35">
        <v>5.5459122239999992E-3</v>
      </c>
    </row>
    <row r="60" spans="19:104" x14ac:dyDescent="0.3">
      <c r="AH60" s="114"/>
      <c r="AI60" s="109">
        <v>456</v>
      </c>
      <c r="AJ60" s="116"/>
      <c r="AN60" s="117">
        <v>403158</v>
      </c>
      <c r="AO60" s="118" t="s">
        <v>84</v>
      </c>
      <c r="AP60" s="119" t="s">
        <v>359</v>
      </c>
      <c r="AQ60" s="120">
        <v>0.2</v>
      </c>
      <c r="AS60" s="100"/>
      <c r="AY60" s="109">
        <v>507</v>
      </c>
      <c r="AZ60" s="122" t="s">
        <v>349</v>
      </c>
      <c r="BA60" s="123"/>
      <c r="BB60" s="124"/>
      <c r="BC60" s="119"/>
      <c r="BD60" s="119"/>
      <c r="BE60" s="125"/>
      <c r="BF60" s="108"/>
      <c r="BG60" s="109">
        <v>507</v>
      </c>
      <c r="BH60" s="110">
        <f>_xlfn.XLOOKUP(BG60,'[1]OEE MEJORADA'!A:A,'[1]OEE MEJORADA'!B:B)</f>
        <v>0.51966120479433175</v>
      </c>
      <c r="BJ60" s="91"/>
      <c r="BK60" s="92">
        <v>10</v>
      </c>
      <c r="CN60">
        <v>334</v>
      </c>
      <c r="CO60">
        <v>71.64</v>
      </c>
      <c r="CP60">
        <v>58.67</v>
      </c>
      <c r="CQ60">
        <v>42.67</v>
      </c>
      <c r="CR60">
        <v>29.7</v>
      </c>
      <c r="CV60">
        <v>4953</v>
      </c>
      <c r="CW60" t="s">
        <v>360</v>
      </c>
      <c r="CY60" s="34" t="s">
        <v>361</v>
      </c>
      <c r="CZ60" s="35">
        <v>6.7997302720000001E-3</v>
      </c>
    </row>
    <row r="61" spans="19:104" x14ac:dyDescent="0.3">
      <c r="AH61" s="114"/>
      <c r="AI61" s="109">
        <v>457</v>
      </c>
      <c r="AJ61" s="116"/>
      <c r="AN61" s="117">
        <v>453288</v>
      </c>
      <c r="AO61" s="118" t="s">
        <v>84</v>
      </c>
      <c r="AP61" s="119" t="s">
        <v>362</v>
      </c>
      <c r="AQ61" s="120">
        <v>0.2</v>
      </c>
      <c r="AS61" s="100"/>
      <c r="AY61" s="109">
        <v>509</v>
      </c>
      <c r="AZ61" s="122" t="s">
        <v>363</v>
      </c>
      <c r="BA61" s="123"/>
      <c r="BB61" s="124"/>
      <c r="BC61" s="119"/>
      <c r="BD61" s="119"/>
      <c r="BE61" s="125"/>
      <c r="BF61" s="108"/>
      <c r="BG61" s="109">
        <v>509</v>
      </c>
      <c r="BH61" s="110">
        <f>_xlfn.XLOOKUP(BG61,'[1]OEE MEJORADA'!A:A,'[1]OEE MEJORADA'!B:B)</f>
        <v>0.81398907773659623</v>
      </c>
      <c r="BJ61" s="91"/>
      <c r="BK61" s="92">
        <v>10</v>
      </c>
      <c r="CN61">
        <v>336</v>
      </c>
      <c r="CO61">
        <v>71.64</v>
      </c>
      <c r="CP61">
        <v>58.67</v>
      </c>
      <c r="CQ61">
        <v>42.67</v>
      </c>
      <c r="CR61">
        <v>29.7</v>
      </c>
      <c r="CV61">
        <v>4263</v>
      </c>
      <c r="CW61" t="s">
        <v>364</v>
      </c>
      <c r="CY61" s="34" t="s">
        <v>365</v>
      </c>
      <c r="CZ61" s="35">
        <v>1.0096020047999999E-2</v>
      </c>
    </row>
    <row r="62" spans="19:104" x14ac:dyDescent="0.3">
      <c r="AH62" s="109"/>
      <c r="AI62" s="109">
        <v>458</v>
      </c>
      <c r="AJ62" s="116"/>
      <c r="AN62" s="117">
        <v>403085</v>
      </c>
      <c r="AO62" s="118" t="s">
        <v>84</v>
      </c>
      <c r="AP62" s="119" t="s">
        <v>366</v>
      </c>
      <c r="AQ62" s="120">
        <v>0.2</v>
      </c>
      <c r="AS62" s="100"/>
      <c r="AY62" s="109">
        <v>520</v>
      </c>
      <c r="AZ62" s="122" t="s">
        <v>367</v>
      </c>
      <c r="BA62" s="123"/>
      <c r="BB62" s="124"/>
      <c r="BC62" s="119"/>
      <c r="BD62" s="119"/>
      <c r="BE62" s="125"/>
      <c r="BF62" s="108"/>
      <c r="BG62" s="109">
        <v>520</v>
      </c>
      <c r="BH62" s="110">
        <f>_xlfn.XLOOKUP(BG62,'[1]OEE MEJORADA'!A:A,'[1]OEE MEJORADA'!B:B)</f>
        <v>0.55096707894448294</v>
      </c>
      <c r="BJ62" s="91"/>
      <c r="BK62" s="92">
        <v>10</v>
      </c>
      <c r="CN62">
        <v>338</v>
      </c>
      <c r="CO62">
        <v>68.23</v>
      </c>
      <c r="CP62">
        <v>58.51</v>
      </c>
      <c r="CQ62">
        <v>39.270000000000003</v>
      </c>
      <c r="CR62">
        <v>29.54</v>
      </c>
      <c r="CV62">
        <v>2613</v>
      </c>
      <c r="CW62" t="s">
        <v>368</v>
      </c>
      <c r="CY62" s="34" t="s">
        <v>369</v>
      </c>
      <c r="CZ62" s="35">
        <v>1.3071606845000002E-2</v>
      </c>
    </row>
    <row r="63" spans="19:104" x14ac:dyDescent="0.3">
      <c r="AH63" s="114"/>
      <c r="AI63" s="109">
        <v>500</v>
      </c>
      <c r="AJ63" s="116"/>
      <c r="AN63" s="117">
        <v>453554</v>
      </c>
      <c r="AO63" s="118" t="s">
        <v>84</v>
      </c>
      <c r="AP63" s="119" t="s">
        <v>370</v>
      </c>
      <c r="AQ63" s="120">
        <v>0.2</v>
      </c>
      <c r="AS63" s="100"/>
      <c r="AY63" s="109">
        <v>521</v>
      </c>
      <c r="AZ63" s="122" t="s">
        <v>371</v>
      </c>
      <c r="BA63" s="123"/>
      <c r="BB63" s="124"/>
      <c r="BC63" s="119"/>
      <c r="BD63" s="119"/>
      <c r="BE63" s="125"/>
      <c r="BF63" s="108"/>
      <c r="BG63" s="109">
        <v>521</v>
      </c>
      <c r="BH63" s="110">
        <f>_xlfn.XLOOKUP(BG63,'[1]OEE MEJORADA'!A:A,'[1]OEE MEJORADA'!B:B)</f>
        <v>0.53365037611505128</v>
      </c>
      <c r="BJ63" s="91"/>
      <c r="BK63" s="92">
        <v>10</v>
      </c>
      <c r="CN63">
        <v>363</v>
      </c>
      <c r="CO63">
        <v>68.31</v>
      </c>
      <c r="CP63">
        <v>55.48</v>
      </c>
      <c r="CQ63">
        <v>39.32</v>
      </c>
      <c r="CR63">
        <v>26.52</v>
      </c>
      <c r="CV63">
        <v>582</v>
      </c>
      <c r="CW63" t="s">
        <v>372</v>
      </c>
      <c r="CY63" s="34" t="s">
        <v>373</v>
      </c>
      <c r="CZ63" s="35">
        <v>1.3066730155000001E-2</v>
      </c>
    </row>
    <row r="64" spans="19:104" x14ac:dyDescent="0.3">
      <c r="AH64" s="109"/>
      <c r="AI64" s="109">
        <v>501</v>
      </c>
      <c r="AJ64" s="116"/>
      <c r="AN64" s="117">
        <v>453762</v>
      </c>
      <c r="AO64" s="118" t="s">
        <v>84</v>
      </c>
      <c r="AP64" s="119" t="s">
        <v>374</v>
      </c>
      <c r="AQ64" s="120">
        <v>0.2</v>
      </c>
      <c r="AS64" s="100"/>
      <c r="AY64" s="109">
        <v>522</v>
      </c>
      <c r="AZ64" s="122" t="s">
        <v>375</v>
      </c>
      <c r="BA64" s="123"/>
      <c r="BB64" s="124"/>
      <c r="BC64" s="119"/>
      <c r="BD64" s="119"/>
      <c r="BE64" s="125"/>
      <c r="BF64" s="108"/>
      <c r="BG64" s="109">
        <v>522</v>
      </c>
      <c r="BH64" s="110">
        <f>_xlfn.XLOOKUP(BG64,'[1]OEE MEJORADA'!A:A,'[1]OEE MEJORADA'!B:B)</f>
        <v>0.45715134153879378</v>
      </c>
      <c r="BJ64" s="91"/>
      <c r="BK64" s="92">
        <v>10</v>
      </c>
      <c r="CN64">
        <v>349</v>
      </c>
      <c r="CO64">
        <v>60.03</v>
      </c>
      <c r="CP64">
        <v>50.27</v>
      </c>
      <c r="CQ64">
        <v>31.05</v>
      </c>
      <c r="CR64">
        <v>21.31</v>
      </c>
      <c r="CV64">
        <v>102</v>
      </c>
      <c r="CW64" t="s">
        <v>376</v>
      </c>
      <c r="CY64" s="34" t="s">
        <v>377</v>
      </c>
      <c r="CZ64" s="35">
        <v>1.2938391929999999E-2</v>
      </c>
    </row>
    <row r="65" spans="2:104" ht="15.6" x14ac:dyDescent="0.3">
      <c r="B65" s="220"/>
      <c r="C65" s="220"/>
      <c r="AH65" s="109"/>
      <c r="AI65" s="109">
        <v>502</v>
      </c>
      <c r="AJ65" s="116"/>
      <c r="AN65" s="117">
        <v>453485</v>
      </c>
      <c r="AO65" s="118" t="s">
        <v>84</v>
      </c>
      <c r="AP65" s="119" t="s">
        <v>378</v>
      </c>
      <c r="AQ65" s="120">
        <v>0.2</v>
      </c>
      <c r="AS65" s="100"/>
      <c r="AY65" s="109">
        <v>523</v>
      </c>
      <c r="AZ65" s="122" t="s">
        <v>371</v>
      </c>
      <c r="BA65" s="123"/>
      <c r="BB65" s="124"/>
      <c r="BC65" s="119"/>
      <c r="BD65" s="119"/>
      <c r="BE65" s="125"/>
      <c r="BF65" s="108"/>
      <c r="BG65" s="109">
        <v>523</v>
      </c>
      <c r="BH65" s="110">
        <f>_xlfn.XLOOKUP(BG65,'[1]OEE MEJORADA'!A:A,'[1]OEE MEJORADA'!B:B)</f>
        <v>0.44671568587921689</v>
      </c>
      <c r="BJ65" s="91"/>
      <c r="BK65" s="92">
        <v>10</v>
      </c>
      <c r="CN65">
        <v>344</v>
      </c>
      <c r="CO65">
        <v>59.86</v>
      </c>
      <c r="CP65">
        <v>50.12</v>
      </c>
      <c r="CQ65">
        <v>30.89</v>
      </c>
      <c r="CR65">
        <v>21.15</v>
      </c>
      <c r="CV65">
        <v>2660</v>
      </c>
      <c r="CW65" t="s">
        <v>379</v>
      </c>
      <c r="CY65" s="34" t="s">
        <v>380</v>
      </c>
      <c r="CZ65" s="35">
        <v>2.2152044399999997E-3</v>
      </c>
    </row>
    <row r="66" spans="2:104" x14ac:dyDescent="0.3">
      <c r="AH66" s="114"/>
      <c r="AI66" s="109">
        <v>504</v>
      </c>
      <c r="AJ66" s="116"/>
      <c r="AN66" s="117">
        <v>453553</v>
      </c>
      <c r="AO66" s="118" t="s">
        <v>84</v>
      </c>
      <c r="AP66" s="119" t="s">
        <v>381</v>
      </c>
      <c r="AQ66" s="219">
        <v>0.2</v>
      </c>
      <c r="AS66" s="100"/>
      <c r="AY66" s="109">
        <v>550</v>
      </c>
      <c r="AZ66" s="122" t="s">
        <v>382</v>
      </c>
      <c r="BA66" s="123"/>
      <c r="BB66" s="124"/>
      <c r="BC66" s="119"/>
      <c r="BD66" s="119"/>
      <c r="BE66" s="125"/>
      <c r="BF66" s="108"/>
      <c r="BG66" s="109">
        <v>550</v>
      </c>
      <c r="BH66" s="110">
        <f>_xlfn.XLOOKUP(BG66,'[1]OEE MEJORADA'!A:A,'[1]OEE MEJORADA'!B:B)</f>
        <v>0.41973999949329199</v>
      </c>
      <c r="BJ66" s="91"/>
      <c r="BK66" s="92">
        <v>10</v>
      </c>
      <c r="CN66">
        <v>351</v>
      </c>
      <c r="CO66">
        <v>59.86</v>
      </c>
      <c r="CP66">
        <v>50.12</v>
      </c>
      <c r="CQ66">
        <v>30.89</v>
      </c>
      <c r="CR66">
        <v>21.15</v>
      </c>
      <c r="CV66">
        <v>6232</v>
      </c>
      <c r="CW66" t="s">
        <v>383</v>
      </c>
      <c r="CY66" s="34" t="s">
        <v>384</v>
      </c>
      <c r="CZ66" s="35">
        <v>2.3771469952500002E-3</v>
      </c>
    </row>
    <row r="67" spans="2:104" ht="15.6" x14ac:dyDescent="0.3">
      <c r="B67" s="220"/>
      <c r="C67" s="220"/>
      <c r="AH67" s="114"/>
      <c r="AI67" s="109">
        <v>505</v>
      </c>
      <c r="AJ67" s="116"/>
      <c r="AN67" s="117">
        <v>453484</v>
      </c>
      <c r="AO67" s="118" t="s">
        <v>84</v>
      </c>
      <c r="AP67" s="119" t="s">
        <v>385</v>
      </c>
      <c r="AQ67" s="219">
        <v>0.2</v>
      </c>
      <c r="AS67" s="100"/>
      <c r="AY67" s="109">
        <v>655</v>
      </c>
      <c r="AZ67" s="122" t="s">
        <v>386</v>
      </c>
      <c r="BA67" s="123"/>
      <c r="BB67" s="124"/>
      <c r="BC67" s="119"/>
      <c r="BD67" s="119"/>
      <c r="BE67" s="125"/>
      <c r="BF67" s="108"/>
      <c r="BG67" s="109">
        <v>655</v>
      </c>
      <c r="BH67" s="110">
        <f>_xlfn.XLOOKUP(BG67,'[1]OEE MEJORADA'!A:A,'[1]OEE MEJORADA'!B:B)</f>
        <v>0.88648584060222246</v>
      </c>
      <c r="BJ67" s="91"/>
      <c r="BK67" s="92">
        <v>10</v>
      </c>
      <c r="CN67">
        <v>342</v>
      </c>
      <c r="CO67">
        <v>59.63</v>
      </c>
      <c r="CP67">
        <v>49.87</v>
      </c>
      <c r="CQ67">
        <v>30.65</v>
      </c>
      <c r="CR67">
        <v>20.9</v>
      </c>
      <c r="CV67">
        <v>6614</v>
      </c>
      <c r="CW67" t="s">
        <v>387</v>
      </c>
      <c r="CY67" s="34" t="s">
        <v>388</v>
      </c>
      <c r="CZ67" s="35">
        <v>6.7451300799999993E-4</v>
      </c>
    </row>
    <row r="68" spans="2:104" ht="15.6" x14ac:dyDescent="0.3">
      <c r="B68" s="220"/>
      <c r="C68" s="220"/>
      <c r="AH68" s="109"/>
      <c r="AI68" s="109">
        <v>506</v>
      </c>
      <c r="AJ68" s="125"/>
      <c r="AN68" s="117">
        <v>453483</v>
      </c>
      <c r="AO68" s="118" t="s">
        <v>84</v>
      </c>
      <c r="AP68" s="119" t="s">
        <v>389</v>
      </c>
      <c r="AQ68" s="219">
        <v>0.2</v>
      </c>
      <c r="AS68" s="100"/>
      <c r="AY68" s="109">
        <v>670</v>
      </c>
      <c r="AZ68" s="122" t="s">
        <v>390</v>
      </c>
      <c r="BA68" s="123"/>
      <c r="BB68" s="124"/>
      <c r="BC68" s="119"/>
      <c r="BD68" s="119"/>
      <c r="BE68" s="125"/>
      <c r="BF68" s="108"/>
      <c r="BG68" s="109">
        <v>670</v>
      </c>
      <c r="BH68" s="110" t="e">
        <f>_xlfn.XLOOKUP(BG68,'[1]OEE MEJORADA'!A:A,'[1]OEE MEJORADA'!B:B)</f>
        <v>#N/A</v>
      </c>
      <c r="BJ68" s="91"/>
      <c r="BK68" s="92">
        <v>10</v>
      </c>
      <c r="CN68">
        <v>346</v>
      </c>
      <c r="CO68">
        <v>59.63</v>
      </c>
      <c r="CP68">
        <v>49.87</v>
      </c>
      <c r="CQ68">
        <v>30.65</v>
      </c>
      <c r="CR68">
        <v>20.9</v>
      </c>
      <c r="CV68">
        <v>125</v>
      </c>
      <c r="CW68" t="s">
        <v>391</v>
      </c>
      <c r="CY68" s="34" t="s">
        <v>392</v>
      </c>
      <c r="CZ68" s="35">
        <v>5.85832</v>
      </c>
    </row>
    <row r="69" spans="2:104" x14ac:dyDescent="0.3">
      <c r="AH69" s="114"/>
      <c r="AI69" s="109">
        <v>507</v>
      </c>
      <c r="AJ69" s="116"/>
      <c r="AN69" s="117">
        <v>451572</v>
      </c>
      <c r="AO69" s="118" t="s">
        <v>84</v>
      </c>
      <c r="AP69" s="119" t="s">
        <v>393</v>
      </c>
      <c r="AQ69" s="219">
        <v>0.2</v>
      </c>
      <c r="AS69" s="100"/>
      <c r="AY69" s="109">
        <v>700</v>
      </c>
      <c r="AZ69" s="122" t="s">
        <v>394</v>
      </c>
      <c r="BA69" s="123"/>
      <c r="BB69" s="124"/>
      <c r="BC69" s="119"/>
      <c r="BD69" s="119"/>
      <c r="BE69" s="125"/>
      <c r="BF69" s="108"/>
      <c r="BG69" s="109">
        <v>700</v>
      </c>
      <c r="BH69" s="110">
        <f>_xlfn.XLOOKUP(BG69,'[1]OEE MEJORADA'!A:A,'[1]OEE MEJORADA'!B:B)</f>
        <v>0.94134209291412485</v>
      </c>
      <c r="BJ69" s="91"/>
      <c r="BK69" s="92">
        <v>10</v>
      </c>
      <c r="CN69">
        <v>347</v>
      </c>
      <c r="CO69">
        <v>59.63</v>
      </c>
      <c r="CP69">
        <v>49.87</v>
      </c>
      <c r="CQ69">
        <v>30.65</v>
      </c>
      <c r="CR69">
        <v>20.9</v>
      </c>
      <c r="CV69">
        <v>5952</v>
      </c>
      <c r="CW69" t="s">
        <v>395</v>
      </c>
      <c r="CY69" s="34" t="s">
        <v>396</v>
      </c>
      <c r="CZ69" s="35">
        <v>2.87357077889E-3</v>
      </c>
    </row>
    <row r="70" spans="2:104" x14ac:dyDescent="0.3">
      <c r="AH70" s="114"/>
      <c r="AI70" s="109">
        <v>509</v>
      </c>
      <c r="AJ70" s="116"/>
      <c r="AN70" s="117">
        <v>452551</v>
      </c>
      <c r="AO70" s="118" t="s">
        <v>84</v>
      </c>
      <c r="AP70" s="119" t="s">
        <v>397</v>
      </c>
      <c r="AQ70" s="120">
        <v>0.2</v>
      </c>
      <c r="AS70" s="100"/>
      <c r="AY70" s="109">
        <v>701</v>
      </c>
      <c r="AZ70" s="122" t="s">
        <v>398</v>
      </c>
      <c r="BA70" s="123"/>
      <c r="BB70" s="124"/>
      <c r="BC70" s="119"/>
      <c r="BD70" s="119"/>
      <c r="BE70" s="125"/>
      <c r="BF70" s="108"/>
      <c r="BG70" s="109">
        <v>701</v>
      </c>
      <c r="BH70" s="110">
        <f>_xlfn.XLOOKUP(BG70,'[1]OEE MEJORADA'!A:A,'[1]OEE MEJORADA'!B:B)</f>
        <v>0.19931370804033061</v>
      </c>
      <c r="BJ70" s="91"/>
      <c r="BK70" s="92">
        <v>10</v>
      </c>
      <c r="CN70">
        <v>218</v>
      </c>
      <c r="CO70">
        <v>62.86</v>
      </c>
      <c r="CP70">
        <v>52.44</v>
      </c>
      <c r="CQ70">
        <v>36.03</v>
      </c>
      <c r="CR70">
        <v>25.6</v>
      </c>
      <c r="CV70">
        <v>6618</v>
      </c>
      <c r="CW70" t="s">
        <v>399</v>
      </c>
      <c r="CY70" s="34" t="s">
        <v>400</v>
      </c>
      <c r="CZ70" s="35">
        <v>8.2263999999999999</v>
      </c>
    </row>
    <row r="71" spans="2:104" x14ac:dyDescent="0.3">
      <c r="AH71" s="114"/>
      <c r="AI71" s="109">
        <v>520</v>
      </c>
      <c r="AJ71" s="116"/>
      <c r="AN71" s="117">
        <v>403998</v>
      </c>
      <c r="AO71" s="118" t="s">
        <v>84</v>
      </c>
      <c r="AP71" s="119" t="s">
        <v>401</v>
      </c>
      <c r="AQ71" s="120">
        <v>0.2</v>
      </c>
      <c r="AS71" s="100"/>
      <c r="AY71" s="109">
        <v>724</v>
      </c>
      <c r="AZ71" s="122" t="s">
        <v>402</v>
      </c>
      <c r="BA71" s="123"/>
      <c r="BB71" s="124"/>
      <c r="BC71" s="119"/>
      <c r="BD71" s="119"/>
      <c r="BE71" s="125"/>
      <c r="BF71" s="108"/>
      <c r="BG71" s="109">
        <v>724</v>
      </c>
      <c r="BH71" s="110">
        <f>_xlfn.XLOOKUP(BG71,'[1]OEE MEJORADA'!A:A,'[1]OEE MEJORADA'!B:B)</f>
        <v>0.97571883956143091</v>
      </c>
      <c r="BJ71" s="91"/>
      <c r="BK71" s="92">
        <v>10</v>
      </c>
      <c r="CN71">
        <v>219</v>
      </c>
      <c r="CO71">
        <v>62.86</v>
      </c>
      <c r="CP71">
        <v>52.44</v>
      </c>
      <c r="CQ71">
        <v>36.03</v>
      </c>
      <c r="CR71">
        <v>25.6</v>
      </c>
      <c r="CV71">
        <v>6605</v>
      </c>
      <c r="CW71" t="s">
        <v>403</v>
      </c>
      <c r="CY71" s="34" t="s">
        <v>404</v>
      </c>
      <c r="CZ71" s="35">
        <v>1.0560159999999999E-2</v>
      </c>
    </row>
    <row r="72" spans="2:104" x14ac:dyDescent="0.3">
      <c r="AH72" s="221"/>
      <c r="AI72" s="109">
        <v>521</v>
      </c>
      <c r="AJ72" s="116"/>
      <c r="AN72" s="117">
        <v>404006</v>
      </c>
      <c r="AO72" s="118" t="s">
        <v>84</v>
      </c>
      <c r="AP72" s="119" t="s">
        <v>405</v>
      </c>
      <c r="AQ72" s="120">
        <v>0.2</v>
      </c>
      <c r="AS72" s="100"/>
      <c r="AY72" s="109">
        <v>728</v>
      </c>
      <c r="AZ72" s="122" t="s">
        <v>406</v>
      </c>
      <c r="BA72" s="123"/>
      <c r="BB72" s="124"/>
      <c r="BC72" s="119"/>
      <c r="BD72" s="119"/>
      <c r="BE72" s="125"/>
      <c r="BF72" s="108"/>
      <c r="BG72" s="109">
        <v>728</v>
      </c>
      <c r="BH72" s="110">
        <f>_xlfn.XLOOKUP(BG72,'[1]OEE MEJORADA'!A:A,'[1]OEE MEJORADA'!B:B)</f>
        <v>0.99392762766859943</v>
      </c>
      <c r="BJ72" s="91"/>
      <c r="BK72" s="92">
        <v>10</v>
      </c>
      <c r="CN72">
        <v>410</v>
      </c>
      <c r="CO72">
        <v>62.56</v>
      </c>
      <c r="CP72">
        <v>52.33</v>
      </c>
      <c r="CQ72">
        <v>36.5</v>
      </c>
      <c r="CR72">
        <v>26.27</v>
      </c>
      <c r="CV72">
        <v>3981</v>
      </c>
      <c r="CW72" t="s">
        <v>407</v>
      </c>
      <c r="CY72" s="34" t="s">
        <v>408</v>
      </c>
      <c r="CZ72" s="35">
        <v>3.8068336799999998E-3</v>
      </c>
    </row>
    <row r="73" spans="2:104" x14ac:dyDescent="0.3">
      <c r="AH73" s="114"/>
      <c r="AI73" s="109">
        <v>522</v>
      </c>
      <c r="AJ73" s="116"/>
      <c r="AN73" s="117">
        <v>453368</v>
      </c>
      <c r="AO73" s="118" t="s">
        <v>84</v>
      </c>
      <c r="AP73" s="119" t="s">
        <v>409</v>
      </c>
      <c r="AQ73" s="219">
        <v>0.2</v>
      </c>
      <c r="AS73" s="100"/>
      <c r="AY73" s="109">
        <v>750</v>
      </c>
      <c r="AZ73" s="122" t="s">
        <v>410</v>
      </c>
      <c r="BA73" s="123"/>
      <c r="BB73" s="124"/>
      <c r="BC73" s="119"/>
      <c r="BD73" s="119"/>
      <c r="BE73" s="125"/>
      <c r="BF73" s="108"/>
      <c r="BG73" s="109">
        <v>750</v>
      </c>
      <c r="BH73" s="110">
        <f>_xlfn.XLOOKUP(BG73,'[1]OEE MEJORADA'!A:A,'[1]OEE MEJORADA'!B:B)</f>
        <v>0.93439188845889376</v>
      </c>
      <c r="BJ73" s="91"/>
      <c r="BK73" s="92">
        <v>10</v>
      </c>
      <c r="CN73">
        <v>412</v>
      </c>
      <c r="CO73">
        <v>62.77</v>
      </c>
      <c r="CP73">
        <v>52.16</v>
      </c>
      <c r="CQ73">
        <v>35.950000000000003</v>
      </c>
      <c r="CR73">
        <v>25.32</v>
      </c>
      <c r="CV73">
        <v>6620</v>
      </c>
      <c r="CW73" t="s">
        <v>411</v>
      </c>
      <c r="CY73" s="34" t="s">
        <v>412</v>
      </c>
      <c r="CZ73" s="35">
        <v>8.9177360680000011E-4</v>
      </c>
    </row>
    <row r="74" spans="2:104" x14ac:dyDescent="0.3">
      <c r="AH74" s="114"/>
      <c r="AI74" s="109">
        <v>523</v>
      </c>
      <c r="AJ74" s="116"/>
      <c r="AN74" s="117">
        <v>404020</v>
      </c>
      <c r="AO74" s="118" t="s">
        <v>84</v>
      </c>
      <c r="AP74" s="119" t="s">
        <v>413</v>
      </c>
      <c r="AQ74" s="120">
        <v>0.2</v>
      </c>
      <c r="AS74" s="100"/>
      <c r="AY74" s="109">
        <v>774</v>
      </c>
      <c r="AZ74" s="122" t="s">
        <v>414</v>
      </c>
      <c r="BA74" s="123"/>
      <c r="BB74" s="124"/>
      <c r="BC74" s="119"/>
      <c r="BD74" s="119"/>
      <c r="BE74" s="125"/>
      <c r="BF74" s="108"/>
      <c r="BG74" s="109">
        <v>774</v>
      </c>
      <c r="BH74" s="110" t="str">
        <f>_xlfn.XLOOKUP(BG74,'[1]OEE MEJORADA'!A:A,'[1]OEE MEJORADA'!B:B)</f>
        <v/>
      </c>
      <c r="BJ74" s="91"/>
      <c r="BK74" s="92">
        <v>10</v>
      </c>
      <c r="CN74">
        <v>425</v>
      </c>
      <c r="CO74">
        <v>85.14</v>
      </c>
      <c r="CP74">
        <v>75.400000000000006</v>
      </c>
      <c r="CQ74">
        <v>62.83</v>
      </c>
      <c r="CR74">
        <v>53.09</v>
      </c>
      <c r="CV74">
        <v>7986</v>
      </c>
      <c r="CW74" t="s">
        <v>415</v>
      </c>
      <c r="CY74" s="34" t="s">
        <v>416</v>
      </c>
      <c r="CZ74" s="35">
        <v>5.85832</v>
      </c>
    </row>
    <row r="75" spans="2:104" x14ac:dyDescent="0.3">
      <c r="AH75" s="222"/>
      <c r="AI75" s="109">
        <v>550</v>
      </c>
      <c r="AJ75" s="223"/>
      <c r="AN75" s="117">
        <v>403106</v>
      </c>
      <c r="AO75" s="118" t="s">
        <v>84</v>
      </c>
      <c r="AP75" s="119" t="s">
        <v>417</v>
      </c>
      <c r="AQ75" s="120">
        <v>0.2</v>
      </c>
      <c r="AS75" s="100"/>
      <c r="AY75" s="109">
        <v>775</v>
      </c>
      <c r="AZ75" s="122" t="s">
        <v>418</v>
      </c>
      <c r="BA75" s="123"/>
      <c r="BB75" s="124"/>
      <c r="BC75" s="119"/>
      <c r="BD75" s="119"/>
      <c r="BE75" s="125"/>
      <c r="BF75" s="108"/>
      <c r="BG75" s="109">
        <v>775</v>
      </c>
      <c r="BH75" s="110" t="str">
        <f>_xlfn.XLOOKUP(BG75,'[1]OEE MEJORADA'!A:A,'[1]OEE MEJORADA'!B:B)</f>
        <v/>
      </c>
      <c r="BJ75" s="91"/>
      <c r="BK75" s="92">
        <v>10</v>
      </c>
      <c r="CN75">
        <v>450</v>
      </c>
      <c r="CO75">
        <v>76.760000000000005</v>
      </c>
      <c r="CP75">
        <v>62.34</v>
      </c>
      <c r="CQ75">
        <v>49.93</v>
      </c>
      <c r="CR75">
        <v>35.5</v>
      </c>
      <c r="CV75">
        <v>1460</v>
      </c>
      <c r="CW75" t="s">
        <v>419</v>
      </c>
      <c r="CY75" s="34" t="s">
        <v>420</v>
      </c>
      <c r="CZ75" s="35">
        <v>9.7801600000000004</v>
      </c>
    </row>
    <row r="76" spans="2:104" ht="15" thickBot="1" x14ac:dyDescent="0.35">
      <c r="AH76" s="114"/>
      <c r="AI76" s="109">
        <v>655</v>
      </c>
      <c r="AJ76" s="116"/>
      <c r="AN76" s="117">
        <v>403107</v>
      </c>
      <c r="AO76" s="118" t="s">
        <v>84</v>
      </c>
      <c r="AP76" s="119" t="s">
        <v>421</v>
      </c>
      <c r="AQ76" s="120">
        <v>0.2</v>
      </c>
      <c r="AS76" s="100"/>
      <c r="AY76" s="109">
        <v>776</v>
      </c>
      <c r="AZ76" s="122" t="s">
        <v>422</v>
      </c>
      <c r="BA76" s="123"/>
      <c r="BB76" s="124"/>
      <c r="BC76" s="119"/>
      <c r="BD76" s="119"/>
      <c r="BE76" s="125"/>
      <c r="BF76" s="108"/>
      <c r="BG76" s="109">
        <v>776</v>
      </c>
      <c r="BH76" s="110" t="str">
        <f>_xlfn.XLOOKUP(BG76,'[1]OEE MEJORADA'!A:A,'[1]OEE MEJORADA'!B:B)</f>
        <v/>
      </c>
      <c r="BJ76" s="91"/>
      <c r="BK76" s="92">
        <v>10</v>
      </c>
      <c r="CN76">
        <v>451</v>
      </c>
      <c r="CO76">
        <v>76.760000000000005</v>
      </c>
      <c r="CP76">
        <v>62.34</v>
      </c>
      <c r="CQ76">
        <v>49.93</v>
      </c>
      <c r="CR76">
        <v>35.5</v>
      </c>
      <c r="CV76">
        <v>7601</v>
      </c>
      <c r="CW76" t="s">
        <v>423</v>
      </c>
      <c r="CY76" s="34" t="s">
        <v>424</v>
      </c>
      <c r="CZ76" s="35">
        <v>10.56016</v>
      </c>
    </row>
    <row r="77" spans="2:104" ht="21" x14ac:dyDescent="0.35">
      <c r="D77" s="12" t="s">
        <v>425</v>
      </c>
      <c r="H77" s="224" t="s">
        <v>426</v>
      </c>
      <c r="I77" s="225"/>
      <c r="J77" s="225"/>
      <c r="K77" s="225"/>
      <c r="L77" s="226"/>
      <c r="M77" s="140">
        <v>27.68</v>
      </c>
      <c r="P77" s="227" t="s">
        <v>427</v>
      </c>
      <c r="Q77" s="228"/>
      <c r="R77" s="228"/>
      <c r="S77" s="228"/>
      <c r="T77" s="228"/>
      <c r="U77" s="228"/>
      <c r="V77" s="228"/>
      <c r="W77" s="228"/>
      <c r="X77" s="229"/>
      <c r="AH77" s="114"/>
      <c r="AI77" s="109">
        <v>670</v>
      </c>
      <c r="AJ77" s="116"/>
      <c r="AN77" s="117">
        <v>453657</v>
      </c>
      <c r="AO77" s="118" t="s">
        <v>84</v>
      </c>
      <c r="AP77" s="119" t="s">
        <v>428</v>
      </c>
      <c r="AQ77" s="120">
        <v>0.2</v>
      </c>
      <c r="AS77" s="100"/>
      <c r="AY77" s="109">
        <v>777</v>
      </c>
      <c r="AZ77" s="122" t="s">
        <v>429</v>
      </c>
      <c r="BA77" s="123"/>
      <c r="BB77" s="124"/>
      <c r="BC77" s="119"/>
      <c r="BD77" s="119"/>
      <c r="BE77" s="125"/>
      <c r="BF77" s="108"/>
      <c r="BG77" s="109">
        <v>777</v>
      </c>
      <c r="BH77" s="110" t="str">
        <f>_xlfn.XLOOKUP(BG77,'[1]OEE MEJORADA'!A:A,'[1]OEE MEJORADA'!B:B)</f>
        <v/>
      </c>
      <c r="BJ77" s="91"/>
      <c r="BK77" s="92">
        <v>10</v>
      </c>
      <c r="CN77">
        <v>452</v>
      </c>
      <c r="CO77">
        <v>76.760000000000005</v>
      </c>
      <c r="CP77">
        <v>62.34</v>
      </c>
      <c r="CQ77">
        <v>49.93</v>
      </c>
      <c r="CR77">
        <v>35.5</v>
      </c>
      <c r="CV77">
        <v>6743</v>
      </c>
      <c r="CW77" t="s">
        <v>430</v>
      </c>
      <c r="CY77" s="34" t="s">
        <v>431</v>
      </c>
      <c r="CZ77" s="35">
        <v>5.633</v>
      </c>
    </row>
    <row r="78" spans="2:104" ht="21.6" thickBot="1" x14ac:dyDescent="0.35">
      <c r="H78" s="230"/>
      <c r="I78" s="231"/>
      <c r="J78" s="231"/>
      <c r="K78" s="231"/>
      <c r="L78" s="232"/>
      <c r="M78" s="149"/>
      <c r="P78" s="233" t="s">
        <v>432</v>
      </c>
      <c r="Q78" s="234"/>
      <c r="R78" s="235" t="s">
        <v>433</v>
      </c>
      <c r="S78" s="236"/>
      <c r="T78" s="234"/>
      <c r="U78" s="235" t="s">
        <v>434</v>
      </c>
      <c r="V78" s="236"/>
      <c r="W78" s="236"/>
      <c r="X78" s="237"/>
      <c r="AH78" s="114"/>
      <c r="AI78" s="109">
        <v>700</v>
      </c>
      <c r="AJ78" s="116"/>
      <c r="AN78" s="117">
        <v>452996</v>
      </c>
      <c r="AO78" s="118" t="s">
        <v>84</v>
      </c>
      <c r="AP78" s="119" t="s">
        <v>435</v>
      </c>
      <c r="AQ78" s="120">
        <v>0.2</v>
      </c>
      <c r="AS78" s="100"/>
      <c r="AY78" s="109">
        <v>780</v>
      </c>
      <c r="AZ78" s="122" t="s">
        <v>436</v>
      </c>
      <c r="BA78" s="123"/>
      <c r="BB78" s="124"/>
      <c r="BC78" s="119"/>
      <c r="BD78" s="119"/>
      <c r="BE78" s="125"/>
      <c r="BF78" s="108"/>
      <c r="BG78" s="109">
        <v>780</v>
      </c>
      <c r="BH78" s="110">
        <f>_xlfn.XLOOKUP(BG78,'[1]OEE MEJORADA'!A:A,'[1]OEE MEJORADA'!B:B)</f>
        <v>0.96822366503051593</v>
      </c>
      <c r="BJ78" s="91"/>
      <c r="BK78" s="92">
        <v>10</v>
      </c>
      <c r="CN78">
        <v>628</v>
      </c>
      <c r="CO78">
        <v>68.040000000000006</v>
      </c>
      <c r="CP78">
        <v>57.76</v>
      </c>
      <c r="CQ78">
        <v>46.65</v>
      </c>
      <c r="CR78">
        <v>36.36</v>
      </c>
      <c r="CV78">
        <v>3474</v>
      </c>
      <c r="CW78" t="s">
        <v>437</v>
      </c>
      <c r="CY78" s="34" t="s">
        <v>438</v>
      </c>
      <c r="CZ78" s="35">
        <v>3.392E-3</v>
      </c>
    </row>
    <row r="79" spans="2:104" ht="15" thickBot="1" x14ac:dyDescent="0.35">
      <c r="P79" s="238" t="s">
        <v>439</v>
      </c>
      <c r="Q79" s="239"/>
      <c r="R79" s="240">
        <v>32</v>
      </c>
      <c r="S79" s="240"/>
      <c r="T79" s="240"/>
      <c r="U79" s="241"/>
      <c r="V79" s="242"/>
      <c r="W79" s="242"/>
      <c r="X79" s="243"/>
      <c r="AH79" s="114"/>
      <c r="AI79" s="109">
        <v>701</v>
      </c>
      <c r="AJ79" s="116"/>
      <c r="AN79" s="117">
        <v>452973</v>
      </c>
      <c r="AO79" s="118" t="s">
        <v>84</v>
      </c>
      <c r="AP79" s="119" t="s">
        <v>440</v>
      </c>
      <c r="AQ79" s="120">
        <v>0.2</v>
      </c>
      <c r="AS79" s="100"/>
      <c r="AY79" s="109">
        <v>781</v>
      </c>
      <c r="AZ79" s="122" t="s">
        <v>441</v>
      </c>
      <c r="BA79" s="123"/>
      <c r="BB79" s="124"/>
      <c r="BC79" s="119"/>
      <c r="BD79" s="119"/>
      <c r="BE79" s="125"/>
      <c r="BF79" s="108"/>
      <c r="BG79" s="109">
        <v>781</v>
      </c>
      <c r="BH79" s="110">
        <f>_xlfn.XLOOKUP(BG79,'[1]OEE MEJORADA'!A:A,'[1]OEE MEJORADA'!B:B)</f>
        <v>0.72145828915205024</v>
      </c>
      <c r="BJ79" s="91"/>
      <c r="BK79" s="92">
        <v>10</v>
      </c>
      <c r="CN79">
        <v>629</v>
      </c>
      <c r="CO79">
        <v>68.040000000000006</v>
      </c>
      <c r="CP79">
        <v>57.76</v>
      </c>
      <c r="CQ79">
        <v>46.65</v>
      </c>
      <c r="CR79">
        <v>36.36</v>
      </c>
      <c r="CV79">
        <v>1608</v>
      </c>
      <c r="CW79" t="s">
        <v>442</v>
      </c>
      <c r="CY79" s="34" t="s">
        <v>443</v>
      </c>
      <c r="CZ79" s="35">
        <v>4.8330000000000002</v>
      </c>
    </row>
    <row r="80" spans="2:104" ht="21.6" thickBot="1" x14ac:dyDescent="0.35">
      <c r="H80" s="224" t="s">
        <v>444</v>
      </c>
      <c r="I80" s="225"/>
      <c r="J80" s="225"/>
      <c r="K80" s="225"/>
      <c r="L80" s="226"/>
      <c r="M80" s="140">
        <v>1500</v>
      </c>
      <c r="P80" s="238" t="s">
        <v>445</v>
      </c>
      <c r="Q80" s="239"/>
      <c r="R80" s="244">
        <v>32</v>
      </c>
      <c r="S80" s="244"/>
      <c r="T80" s="244"/>
      <c r="U80" s="241"/>
      <c r="V80" s="242"/>
      <c r="W80" s="242"/>
      <c r="X80" s="243"/>
      <c r="AH80" s="114"/>
      <c r="AI80" s="109">
        <v>724</v>
      </c>
      <c r="AJ80" s="116"/>
      <c r="AN80" s="117">
        <v>451792</v>
      </c>
      <c r="AO80" s="118" t="s">
        <v>84</v>
      </c>
      <c r="AP80" s="119" t="s">
        <v>446</v>
      </c>
      <c r="AQ80" s="219">
        <v>0.2</v>
      </c>
      <c r="AS80" s="100"/>
      <c r="AY80" s="109">
        <v>782</v>
      </c>
      <c r="AZ80" s="122" t="s">
        <v>447</v>
      </c>
      <c r="BA80" s="123"/>
      <c r="BB80" s="124"/>
      <c r="BC80" s="119"/>
      <c r="BD80" s="119"/>
      <c r="BE80" s="125"/>
      <c r="BF80" s="108"/>
      <c r="BG80" s="109">
        <v>782</v>
      </c>
      <c r="BH80" s="110">
        <f>_xlfn.XLOOKUP(BG80,'[1]OEE MEJORADA'!A:A,'[1]OEE MEJORADA'!B:B)</f>
        <v>0.96844095989926882</v>
      </c>
      <c r="BJ80" s="91"/>
      <c r="BK80" s="92">
        <v>10</v>
      </c>
      <c r="CN80">
        <v>630</v>
      </c>
      <c r="CO80">
        <v>68.040000000000006</v>
      </c>
      <c r="CP80">
        <v>57.76</v>
      </c>
      <c r="CQ80">
        <v>46.65</v>
      </c>
      <c r="CR80">
        <v>36.36</v>
      </c>
      <c r="CV80">
        <v>5355</v>
      </c>
      <c r="CW80" t="s">
        <v>448</v>
      </c>
      <c r="CY80" s="34" t="s">
        <v>449</v>
      </c>
      <c r="CZ80" s="35">
        <v>1.7259999999999999E-3</v>
      </c>
    </row>
    <row r="81" spans="8:104" ht="21.6" thickBot="1" x14ac:dyDescent="0.35">
      <c r="H81" s="230"/>
      <c r="I81" s="231"/>
      <c r="J81" s="231"/>
      <c r="K81" s="231"/>
      <c r="L81" s="232"/>
      <c r="M81" s="149"/>
      <c r="P81" s="238" t="s">
        <v>450</v>
      </c>
      <c r="Q81" s="239"/>
      <c r="R81" s="244">
        <v>48</v>
      </c>
      <c r="S81" s="244"/>
      <c r="T81" s="244"/>
      <c r="U81" s="241"/>
      <c r="V81" s="242"/>
      <c r="W81" s="242"/>
      <c r="X81" s="243"/>
      <c r="AH81" s="114"/>
      <c r="AI81" s="109">
        <v>728</v>
      </c>
      <c r="AJ81" s="116"/>
      <c r="AN81" s="117">
        <v>404053</v>
      </c>
      <c r="AO81" s="118" t="s">
        <v>84</v>
      </c>
      <c r="AP81" s="119" t="s">
        <v>451</v>
      </c>
      <c r="AQ81" s="219">
        <v>0.2</v>
      </c>
      <c r="AS81" s="100"/>
      <c r="AY81" s="109">
        <v>783</v>
      </c>
      <c r="AZ81" s="122" t="s">
        <v>452</v>
      </c>
      <c r="BA81" s="123"/>
      <c r="BB81" s="124"/>
      <c r="BC81" s="119"/>
      <c r="BD81" s="119"/>
      <c r="BE81" s="125"/>
      <c r="BF81" s="108"/>
      <c r="BG81" s="109">
        <v>783</v>
      </c>
      <c r="BH81" s="110">
        <f>_xlfn.XLOOKUP(BG81,'[1]OEE MEJORADA'!A:A,'[1]OEE MEJORADA'!B:B)</f>
        <v>0.92600861803534773</v>
      </c>
      <c r="BJ81" s="91"/>
      <c r="BK81" s="92">
        <v>10</v>
      </c>
      <c r="CN81">
        <v>640</v>
      </c>
      <c r="CO81">
        <v>88.81</v>
      </c>
      <c r="CP81">
        <v>74.84</v>
      </c>
      <c r="CQ81">
        <v>73.77</v>
      </c>
      <c r="CR81">
        <v>59.77</v>
      </c>
      <c r="CV81">
        <v>2013</v>
      </c>
      <c r="CW81" t="s">
        <v>453</v>
      </c>
      <c r="CY81" s="34" t="s">
        <v>454</v>
      </c>
      <c r="CZ81" s="35">
        <v>9.7801600000000004</v>
      </c>
    </row>
    <row r="82" spans="8:104" ht="15" thickBot="1" x14ac:dyDescent="0.35">
      <c r="P82" s="238" t="s">
        <v>455</v>
      </c>
      <c r="Q82" s="239"/>
      <c r="R82" s="244">
        <v>48</v>
      </c>
      <c r="S82" s="244"/>
      <c r="T82" s="244"/>
      <c r="U82" s="241"/>
      <c r="V82" s="242"/>
      <c r="W82" s="242"/>
      <c r="X82" s="243"/>
      <c r="AH82" s="114"/>
      <c r="AI82" s="109">
        <v>750</v>
      </c>
      <c r="AJ82" s="116"/>
      <c r="AN82" s="117">
        <v>453630</v>
      </c>
      <c r="AO82" s="118" t="s">
        <v>84</v>
      </c>
      <c r="AP82" s="119" t="s">
        <v>456</v>
      </c>
      <c r="AQ82" s="120">
        <v>0.2</v>
      </c>
      <c r="AS82" s="100"/>
      <c r="AY82" s="109">
        <v>790</v>
      </c>
      <c r="AZ82" s="122" t="s">
        <v>457</v>
      </c>
      <c r="BA82" s="123"/>
      <c r="BB82" s="124"/>
      <c r="BC82" s="119"/>
      <c r="BD82" s="119"/>
      <c r="BE82" s="125"/>
      <c r="BF82" s="108"/>
      <c r="BG82" s="109">
        <v>790</v>
      </c>
      <c r="BH82" s="110" t="str">
        <f>_xlfn.XLOOKUP(BG82,'[1]OEE MEJORADA'!A:A,'[1]OEE MEJORADA'!B:B)</f>
        <v/>
      </c>
      <c r="BJ82" s="91"/>
      <c r="BK82" s="92">
        <v>10</v>
      </c>
      <c r="CN82">
        <v>643</v>
      </c>
      <c r="CO82">
        <v>83.23</v>
      </c>
      <c r="CP82">
        <v>70.94</v>
      </c>
      <c r="CQ82">
        <v>68.17</v>
      </c>
      <c r="CR82">
        <v>55.9</v>
      </c>
      <c r="CV82">
        <v>6233</v>
      </c>
      <c r="CW82" t="s">
        <v>458</v>
      </c>
      <c r="CY82" s="34" t="s">
        <v>459</v>
      </c>
      <c r="CZ82" s="35">
        <v>6.4169999999999998</v>
      </c>
    </row>
    <row r="83" spans="8:104" ht="21.6" thickBot="1" x14ac:dyDescent="0.35">
      <c r="H83" s="224" t="s">
        <v>460</v>
      </c>
      <c r="I83" s="225"/>
      <c r="J83" s="225"/>
      <c r="K83" s="225"/>
      <c r="L83" s="226"/>
      <c r="M83" s="140">
        <v>20</v>
      </c>
      <c r="P83" s="238" t="s">
        <v>461</v>
      </c>
      <c r="Q83" s="239"/>
      <c r="R83" s="244">
        <v>16</v>
      </c>
      <c r="S83" s="244"/>
      <c r="T83" s="244"/>
      <c r="U83" s="241"/>
      <c r="V83" s="242"/>
      <c r="W83" s="242"/>
      <c r="X83" s="243"/>
      <c r="AH83" s="114"/>
      <c r="AI83" s="109">
        <v>774</v>
      </c>
      <c r="AJ83" s="116"/>
      <c r="AN83" s="117">
        <v>452366</v>
      </c>
      <c r="AO83" s="118" t="s">
        <v>84</v>
      </c>
      <c r="AP83" s="119" t="s">
        <v>462</v>
      </c>
      <c r="AQ83" s="120">
        <v>0.2</v>
      </c>
      <c r="AS83" s="100"/>
      <c r="AY83" s="109">
        <v>793</v>
      </c>
      <c r="AZ83" s="122" t="s">
        <v>463</v>
      </c>
      <c r="BA83" s="123"/>
      <c r="BB83" s="124"/>
      <c r="BC83" s="119"/>
      <c r="BD83" s="119"/>
      <c r="BE83" s="125"/>
      <c r="BF83" s="108"/>
      <c r="BG83" s="109">
        <v>793</v>
      </c>
      <c r="BH83" s="110">
        <f>_xlfn.XLOOKUP(BG83,'[1]OEE MEJORADA'!A:A,'[1]OEE MEJORADA'!B:B)</f>
        <v>0.85696069232139382</v>
      </c>
      <c r="BJ83" s="91"/>
      <c r="BK83" s="92">
        <v>10</v>
      </c>
      <c r="CN83">
        <v>644</v>
      </c>
      <c r="CO83">
        <v>83.23</v>
      </c>
      <c r="CP83">
        <v>70.94</v>
      </c>
      <c r="CQ83">
        <v>68.17</v>
      </c>
      <c r="CR83">
        <v>55.9</v>
      </c>
      <c r="CV83">
        <v>5382</v>
      </c>
      <c r="CW83" t="s">
        <v>464</v>
      </c>
      <c r="CY83" s="34" t="s">
        <v>465</v>
      </c>
      <c r="CZ83" s="35">
        <v>9.9682399999999998</v>
      </c>
    </row>
    <row r="84" spans="8:104" ht="21.6" thickBot="1" x14ac:dyDescent="0.35">
      <c r="H84" s="230"/>
      <c r="I84" s="231"/>
      <c r="J84" s="231"/>
      <c r="K84" s="231"/>
      <c r="L84" s="232"/>
      <c r="M84" s="149"/>
      <c r="P84" s="238" t="s">
        <v>466</v>
      </c>
      <c r="Q84" s="239"/>
      <c r="R84" s="244">
        <v>40</v>
      </c>
      <c r="S84" s="244"/>
      <c r="T84" s="244"/>
      <c r="U84" s="241"/>
      <c r="V84" s="242"/>
      <c r="W84" s="242"/>
      <c r="X84" s="243"/>
      <c r="AH84" s="114"/>
      <c r="AI84" s="109">
        <v>775</v>
      </c>
      <c r="AJ84" s="116"/>
      <c r="AN84" s="117">
        <v>452367</v>
      </c>
      <c r="AO84" s="118" t="s">
        <v>84</v>
      </c>
      <c r="AP84" s="119" t="s">
        <v>467</v>
      </c>
      <c r="AQ84" s="120">
        <v>0.2</v>
      </c>
      <c r="AS84" s="100"/>
      <c r="AY84" s="109">
        <v>794</v>
      </c>
      <c r="AZ84" s="122" t="s">
        <v>468</v>
      </c>
      <c r="BA84" s="123"/>
      <c r="BB84" s="124"/>
      <c r="BC84" s="119"/>
      <c r="BD84" s="119"/>
      <c r="BE84" s="125"/>
      <c r="BF84" s="108"/>
      <c r="BG84" s="109">
        <v>794</v>
      </c>
      <c r="BH84" s="110">
        <f>_xlfn.XLOOKUP(BG84,'[1]OEE MEJORADA'!A:A,'[1]OEE MEJORADA'!B:B)</f>
        <v>1.2674271229404308E-3</v>
      </c>
      <c r="BJ84" s="91"/>
      <c r="BK84" s="92">
        <v>10</v>
      </c>
      <c r="CN84">
        <v>731</v>
      </c>
      <c r="CO84">
        <v>10.55</v>
      </c>
      <c r="CP84">
        <v>10.55</v>
      </c>
      <c r="CQ84">
        <v>10.55</v>
      </c>
      <c r="CR84">
        <v>10.55</v>
      </c>
      <c r="CV84">
        <v>105</v>
      </c>
      <c r="CW84" t="s">
        <v>469</v>
      </c>
      <c r="CY84" s="34" t="s">
        <v>470</v>
      </c>
      <c r="CZ84" s="35">
        <v>1.796</v>
      </c>
    </row>
    <row r="85" spans="8:104" ht="15" thickBot="1" x14ac:dyDescent="0.35">
      <c r="P85" s="238" t="s">
        <v>471</v>
      </c>
      <c r="Q85" s="239"/>
      <c r="R85" s="244">
        <v>32</v>
      </c>
      <c r="S85" s="244"/>
      <c r="T85" s="244"/>
      <c r="U85" s="241"/>
      <c r="V85" s="242"/>
      <c r="W85" s="242"/>
      <c r="X85" s="243"/>
      <c r="AH85" s="114"/>
      <c r="AI85" s="109">
        <v>776</v>
      </c>
      <c r="AJ85" s="116"/>
      <c r="AN85" s="117">
        <v>403076</v>
      </c>
      <c r="AO85" s="118" t="s">
        <v>84</v>
      </c>
      <c r="AP85" s="119" t="s">
        <v>472</v>
      </c>
      <c r="AQ85" s="120">
        <v>0.2</v>
      </c>
      <c r="AS85" s="100"/>
      <c r="AY85" s="109">
        <v>795</v>
      </c>
      <c r="AZ85" s="122" t="s">
        <v>473</v>
      </c>
      <c r="BA85" s="123"/>
      <c r="BB85" s="124"/>
      <c r="BC85" s="119"/>
      <c r="BD85" s="119"/>
      <c r="BE85" s="125"/>
      <c r="BF85" s="108"/>
      <c r="BG85" s="109">
        <v>795</v>
      </c>
      <c r="BH85" s="110">
        <f>_xlfn.XLOOKUP(BG85,'[1]OEE MEJORADA'!A:A,'[1]OEE MEJORADA'!B:B)</f>
        <v>0.81946331344083867</v>
      </c>
      <c r="BJ85" s="91"/>
      <c r="BK85" s="92">
        <v>10</v>
      </c>
      <c r="CN85">
        <v>732</v>
      </c>
      <c r="CO85">
        <v>10.55</v>
      </c>
      <c r="CP85">
        <v>10.55</v>
      </c>
      <c r="CQ85">
        <v>10.55</v>
      </c>
      <c r="CR85">
        <v>10.55</v>
      </c>
      <c r="CV85">
        <v>7557</v>
      </c>
      <c r="CW85" t="s">
        <v>474</v>
      </c>
      <c r="CY85" s="34" t="s">
        <v>475</v>
      </c>
      <c r="CZ85" s="35">
        <v>1.776</v>
      </c>
    </row>
    <row r="86" spans="8:104" ht="21.6" thickBot="1" x14ac:dyDescent="0.35">
      <c r="H86" s="224" t="s">
        <v>476</v>
      </c>
      <c r="I86" s="225"/>
      <c r="J86" s="225"/>
      <c r="K86" s="225"/>
      <c r="L86" s="226"/>
      <c r="M86" s="140">
        <v>4</v>
      </c>
      <c r="P86" s="238" t="s">
        <v>477</v>
      </c>
      <c r="Q86" s="239"/>
      <c r="R86" s="244">
        <v>32</v>
      </c>
      <c r="S86" s="244"/>
      <c r="T86" s="244"/>
      <c r="U86" s="241"/>
      <c r="V86" s="242"/>
      <c r="W86" s="242"/>
      <c r="X86" s="243"/>
      <c r="AH86" s="114"/>
      <c r="AI86" s="109">
        <v>777</v>
      </c>
      <c r="AJ86" s="116"/>
      <c r="AN86" s="117">
        <v>453659</v>
      </c>
      <c r="AO86" s="118" t="s">
        <v>84</v>
      </c>
      <c r="AP86" s="119" t="s">
        <v>478</v>
      </c>
      <c r="AQ86" s="120">
        <v>0.2</v>
      </c>
      <c r="AS86" s="100"/>
      <c r="AY86" s="109">
        <v>797</v>
      </c>
      <c r="AZ86" s="122" t="s">
        <v>479</v>
      </c>
      <c r="BA86" s="123"/>
      <c r="BB86" s="124"/>
      <c r="BC86" s="119"/>
      <c r="BD86" s="119"/>
      <c r="BE86" s="125"/>
      <c r="BF86" s="108"/>
      <c r="BG86" s="109">
        <v>797</v>
      </c>
      <c r="BH86" s="110">
        <f>_xlfn.XLOOKUP(BG86,'[1]OEE MEJORADA'!A:A,'[1]OEE MEJORADA'!B:B)</f>
        <v>0.6745219721736111</v>
      </c>
      <c r="BJ86" s="91"/>
      <c r="BK86" s="92">
        <v>10</v>
      </c>
      <c r="CN86">
        <v>623</v>
      </c>
      <c r="CO86">
        <v>68.459999999999994</v>
      </c>
      <c r="CP86">
        <v>54.36</v>
      </c>
      <c r="CQ86">
        <v>53.42</v>
      </c>
      <c r="CR86">
        <v>39.31</v>
      </c>
      <c r="CV86">
        <v>89</v>
      </c>
      <c r="CW86" t="s">
        <v>480</v>
      </c>
      <c r="CY86" s="34" t="s">
        <v>481</v>
      </c>
      <c r="CZ86" s="35">
        <v>1.8759999999999999</v>
      </c>
    </row>
    <row r="87" spans="8:104" ht="21.6" thickBot="1" x14ac:dyDescent="0.35">
      <c r="H87" s="230"/>
      <c r="I87" s="231"/>
      <c r="J87" s="231"/>
      <c r="K87" s="231"/>
      <c r="L87" s="232"/>
      <c r="M87" s="149"/>
      <c r="P87" s="238" t="s">
        <v>482</v>
      </c>
      <c r="Q87" s="239"/>
      <c r="R87" s="244">
        <v>48</v>
      </c>
      <c r="S87" s="244"/>
      <c r="T87" s="244"/>
      <c r="U87" s="241"/>
      <c r="V87" s="242"/>
      <c r="W87" s="242"/>
      <c r="X87" s="243"/>
      <c r="AH87" s="114"/>
      <c r="AI87" s="109">
        <v>780</v>
      </c>
      <c r="AJ87" s="116"/>
      <c r="AN87" s="117">
        <v>453760</v>
      </c>
      <c r="AO87" s="118" t="s">
        <v>84</v>
      </c>
      <c r="AP87" s="119" t="s">
        <v>483</v>
      </c>
      <c r="AQ87" s="120">
        <v>0.2</v>
      </c>
      <c r="AS87" s="100"/>
      <c r="AY87" s="109">
        <v>798</v>
      </c>
      <c r="AZ87" s="122" t="s">
        <v>484</v>
      </c>
      <c r="BA87" s="123"/>
      <c r="BB87" s="124"/>
      <c r="BC87" s="119"/>
      <c r="BD87" s="119"/>
      <c r="BE87" s="125"/>
      <c r="BF87" s="108"/>
      <c r="BG87" s="109">
        <v>798</v>
      </c>
      <c r="BH87" s="110">
        <f>_xlfn.XLOOKUP(BG87,'[1]OEE MEJORADA'!A:A,'[1]OEE MEJORADA'!B:B)</f>
        <v>0.99936733956941703</v>
      </c>
      <c r="BJ87" s="91"/>
      <c r="BK87" s="92">
        <v>10</v>
      </c>
      <c r="CN87">
        <v>625</v>
      </c>
      <c r="CO87">
        <v>70.41</v>
      </c>
      <c r="CP87">
        <v>55.29</v>
      </c>
      <c r="CQ87">
        <v>46.54</v>
      </c>
      <c r="CR87">
        <v>31.41</v>
      </c>
      <c r="CV87">
        <v>16</v>
      </c>
      <c r="CW87" t="s">
        <v>485</v>
      </c>
      <c r="CY87" s="34" t="s">
        <v>486</v>
      </c>
      <c r="CZ87" s="35">
        <v>6.5220000000000002</v>
      </c>
    </row>
    <row r="88" spans="8:104" ht="15" thickBot="1" x14ac:dyDescent="0.35">
      <c r="P88" s="238" t="s">
        <v>487</v>
      </c>
      <c r="Q88" s="239"/>
      <c r="R88" s="245">
        <v>64</v>
      </c>
      <c r="S88" s="245"/>
      <c r="T88" s="245"/>
      <c r="U88" s="241"/>
      <c r="V88" s="242"/>
      <c r="W88" s="242"/>
      <c r="X88" s="243"/>
      <c r="AH88" s="114"/>
      <c r="AI88" s="109">
        <v>781</v>
      </c>
      <c r="AJ88" s="116"/>
      <c r="AN88" s="117">
        <v>404051</v>
      </c>
      <c r="AO88" s="118" t="s">
        <v>84</v>
      </c>
      <c r="AP88" s="119" t="s">
        <v>488</v>
      </c>
      <c r="AQ88" s="120">
        <v>0.2</v>
      </c>
      <c r="AS88" s="100"/>
      <c r="AY88" s="109">
        <v>799</v>
      </c>
      <c r="AZ88" s="122" t="s">
        <v>489</v>
      </c>
      <c r="BA88" s="123"/>
      <c r="BB88" s="124"/>
      <c r="BC88" s="119"/>
      <c r="BD88" s="119"/>
      <c r="BE88" s="125"/>
      <c r="BF88" s="108"/>
      <c r="BG88" s="109">
        <v>799</v>
      </c>
      <c r="BH88" s="110">
        <f>_xlfn.XLOOKUP(BG88,'[1]OEE MEJORADA'!A:A,'[1]OEE MEJORADA'!B:B)</f>
        <v>0.96255920345066404</v>
      </c>
      <c r="BJ88" s="91"/>
      <c r="BK88" s="92">
        <v>10</v>
      </c>
      <c r="CN88">
        <v>635</v>
      </c>
      <c r="CO88">
        <v>85.05</v>
      </c>
      <c r="CP88">
        <v>72.47</v>
      </c>
      <c r="CQ88">
        <v>61.17</v>
      </c>
      <c r="CR88">
        <v>48.6</v>
      </c>
      <c r="CV88">
        <v>91</v>
      </c>
      <c r="CW88" t="s">
        <v>490</v>
      </c>
      <c r="CY88" s="34" t="s">
        <v>491</v>
      </c>
      <c r="CZ88" s="35">
        <v>10.153</v>
      </c>
    </row>
    <row r="89" spans="8:104" ht="21.6" thickBot="1" x14ac:dyDescent="0.35">
      <c r="H89" s="224" t="s">
        <v>492</v>
      </c>
      <c r="I89" s="225"/>
      <c r="J89" s="225"/>
      <c r="K89" s="225"/>
      <c r="L89" s="226"/>
      <c r="M89" s="140">
        <v>2</v>
      </c>
      <c r="P89" s="238" t="s">
        <v>493</v>
      </c>
      <c r="Q89" s="239"/>
      <c r="R89" s="244">
        <v>1</v>
      </c>
      <c r="S89" s="244"/>
      <c r="T89" s="244"/>
      <c r="U89" s="241"/>
      <c r="V89" s="242"/>
      <c r="W89" s="242"/>
      <c r="X89" s="243"/>
      <c r="AH89" s="114"/>
      <c r="AI89" s="109">
        <v>782</v>
      </c>
      <c r="AJ89" s="116"/>
      <c r="AN89" s="117">
        <v>403980</v>
      </c>
      <c r="AO89" s="118" t="s">
        <v>84</v>
      </c>
      <c r="AP89" s="119" t="s">
        <v>494</v>
      </c>
      <c r="AQ89" s="120">
        <v>0.2</v>
      </c>
      <c r="AS89" s="100"/>
      <c r="AY89" s="109">
        <v>896</v>
      </c>
      <c r="AZ89" s="122" t="s">
        <v>495</v>
      </c>
      <c r="BA89" s="123"/>
      <c r="BB89" s="124"/>
      <c r="BC89" s="119"/>
      <c r="BD89" s="119"/>
      <c r="BE89" s="125"/>
      <c r="BF89" s="108"/>
      <c r="BG89" s="109">
        <v>896</v>
      </c>
      <c r="BH89" s="110">
        <f>_xlfn.XLOOKUP(BG89,'[1]OEE MEJORADA'!A:A,'[1]OEE MEJORADA'!B:B)</f>
        <v>0.9848647921015139</v>
      </c>
      <c r="BJ89" s="91"/>
      <c r="BK89" s="92">
        <v>10</v>
      </c>
      <c r="CN89">
        <v>636</v>
      </c>
      <c r="CO89">
        <v>92.22</v>
      </c>
      <c r="CP89">
        <v>77.02</v>
      </c>
      <c r="CQ89">
        <v>77.17</v>
      </c>
      <c r="CR89">
        <v>61.97</v>
      </c>
      <c r="CV89">
        <v>5961</v>
      </c>
      <c r="CW89" t="s">
        <v>496</v>
      </c>
      <c r="CY89" s="34" t="s">
        <v>497</v>
      </c>
      <c r="CZ89" s="35">
        <v>5.32679104E-4</v>
      </c>
    </row>
    <row r="90" spans="8:104" ht="21.6" thickBot="1" x14ac:dyDescent="0.35">
      <c r="H90" s="230"/>
      <c r="I90" s="231"/>
      <c r="J90" s="231"/>
      <c r="K90" s="231"/>
      <c r="L90" s="232"/>
      <c r="M90" s="149"/>
      <c r="P90" s="238" t="s">
        <v>498</v>
      </c>
      <c r="Q90" s="239"/>
      <c r="R90" s="246">
        <v>40</v>
      </c>
      <c r="S90" s="246"/>
      <c r="T90" s="246"/>
      <c r="U90" s="241"/>
      <c r="V90" s="242"/>
      <c r="W90" s="242"/>
      <c r="X90" s="243"/>
      <c r="AH90" s="114"/>
      <c r="AI90" s="109">
        <v>783</v>
      </c>
      <c r="AJ90" s="116"/>
      <c r="AN90" s="117">
        <v>452820</v>
      </c>
      <c r="AO90" s="118" t="s">
        <v>84</v>
      </c>
      <c r="AP90" s="119" t="s">
        <v>499</v>
      </c>
      <c r="AQ90" s="120">
        <v>0.2</v>
      </c>
      <c r="AS90" s="100"/>
      <c r="AY90" s="109">
        <v>897</v>
      </c>
      <c r="AZ90" s="122" t="s">
        <v>500</v>
      </c>
      <c r="BA90" s="123"/>
      <c r="BB90" s="124"/>
      <c r="BC90" s="119"/>
      <c r="BD90" s="119"/>
      <c r="BE90" s="125"/>
      <c r="BF90" s="108"/>
      <c r="BG90" s="109">
        <v>897</v>
      </c>
      <c r="BH90" s="110">
        <f>_xlfn.XLOOKUP(BG90,'[1]OEE MEJORADA'!A:A,'[1]OEE MEJORADA'!B:B)</f>
        <v>0.98384840523438655</v>
      </c>
      <c r="BJ90" s="91"/>
      <c r="BK90" s="92">
        <v>10</v>
      </c>
      <c r="CN90">
        <v>637</v>
      </c>
      <c r="CO90">
        <v>97.97</v>
      </c>
      <c r="CP90">
        <v>82.82</v>
      </c>
      <c r="CQ90">
        <v>75.16</v>
      </c>
      <c r="CR90">
        <v>60.01</v>
      </c>
      <c r="CV90">
        <v>2027</v>
      </c>
      <c r="CW90" t="s">
        <v>501</v>
      </c>
      <c r="CY90" s="34" t="s">
        <v>502</v>
      </c>
      <c r="CZ90" s="35">
        <v>2.104741718E-3</v>
      </c>
    </row>
    <row r="91" spans="8:104" ht="15" thickBot="1" x14ac:dyDescent="0.35">
      <c r="P91" s="238" t="s">
        <v>503</v>
      </c>
      <c r="Q91" s="239"/>
      <c r="R91" s="246">
        <v>40</v>
      </c>
      <c r="S91" s="246"/>
      <c r="T91" s="246"/>
      <c r="U91" s="241"/>
      <c r="V91" s="242"/>
      <c r="W91" s="242"/>
      <c r="X91" s="243"/>
      <c r="AH91" s="114"/>
      <c r="AI91" s="109">
        <v>790</v>
      </c>
      <c r="AJ91" s="116"/>
      <c r="AN91" s="117" t="s">
        <v>504</v>
      </c>
      <c r="AO91" s="118" t="s">
        <v>84</v>
      </c>
      <c r="AP91" s="119" t="s">
        <v>505</v>
      </c>
      <c r="AQ91" s="120">
        <v>0.2</v>
      </c>
      <c r="AS91" s="100"/>
      <c r="AY91" s="109">
        <v>898</v>
      </c>
      <c r="AZ91" s="122" t="s">
        <v>506</v>
      </c>
      <c r="BA91" s="123"/>
      <c r="BB91" s="124"/>
      <c r="BC91" s="119"/>
      <c r="BD91" s="119"/>
      <c r="BE91" s="125"/>
      <c r="BF91" s="108"/>
      <c r="BG91" s="109">
        <v>898</v>
      </c>
      <c r="BH91" s="110">
        <f>_xlfn.XLOOKUP(BG91,'[1]OEE MEJORADA'!A:A,'[1]OEE MEJORADA'!B:B)</f>
        <v>0.98258739434157161</v>
      </c>
      <c r="BJ91" s="91"/>
      <c r="BK91" s="92">
        <v>10</v>
      </c>
      <c r="CN91">
        <v>638</v>
      </c>
      <c r="CO91">
        <v>87.88</v>
      </c>
      <c r="CP91">
        <v>73.13</v>
      </c>
      <c r="CQ91">
        <v>63.99</v>
      </c>
      <c r="CR91">
        <v>49.26</v>
      </c>
      <c r="CV91">
        <v>7562</v>
      </c>
      <c r="CW91" t="s">
        <v>507</v>
      </c>
      <c r="CY91" s="34" t="s">
        <v>508</v>
      </c>
      <c r="CZ91" s="35">
        <v>3.137</v>
      </c>
    </row>
    <row r="92" spans="8:104" ht="21.6" thickBot="1" x14ac:dyDescent="0.35">
      <c r="H92" s="224" t="s">
        <v>509</v>
      </c>
      <c r="I92" s="225"/>
      <c r="J92" s="225"/>
      <c r="K92" s="225"/>
      <c r="L92" s="226"/>
      <c r="M92" s="247">
        <v>0.5</v>
      </c>
      <c r="P92" s="238" t="s">
        <v>510</v>
      </c>
      <c r="Q92" s="239"/>
      <c r="R92" s="241"/>
      <c r="S92" s="242"/>
      <c r="T92" s="239"/>
      <c r="U92" s="241"/>
      <c r="V92" s="242"/>
      <c r="W92" s="242"/>
      <c r="X92" s="243"/>
      <c r="AH92" s="109"/>
      <c r="AI92" s="109">
        <v>793</v>
      </c>
      <c r="AJ92" s="125"/>
      <c r="AN92" s="117" t="s">
        <v>511</v>
      </c>
      <c r="AO92" s="118" t="s">
        <v>84</v>
      </c>
      <c r="AP92" s="119" t="s">
        <v>512</v>
      </c>
      <c r="AQ92" s="120">
        <v>0.2</v>
      </c>
      <c r="AS92" s="100"/>
      <c r="AY92" s="109">
        <v>899</v>
      </c>
      <c r="AZ92" s="122" t="s">
        <v>513</v>
      </c>
      <c r="BA92" s="123"/>
      <c r="BB92" s="124"/>
      <c r="BC92" s="119"/>
      <c r="BD92" s="119"/>
      <c r="BE92" s="125"/>
      <c r="BF92" s="108"/>
      <c r="BG92" s="109">
        <v>899</v>
      </c>
      <c r="BH92" s="110">
        <f>_xlfn.XLOOKUP(BG92,'[1]OEE MEJORADA'!A:A,'[1]OEE MEJORADA'!B:B)</f>
        <v>0.98317927057620524</v>
      </c>
      <c r="BJ92" s="91"/>
      <c r="BK92" s="92">
        <v>10</v>
      </c>
      <c r="CN92">
        <v>639</v>
      </c>
      <c r="CO92">
        <v>83.23</v>
      </c>
      <c r="CP92">
        <v>70.94</v>
      </c>
      <c r="CQ92">
        <v>68.17</v>
      </c>
      <c r="CR92">
        <v>55.9</v>
      </c>
      <c r="CV92">
        <v>28</v>
      </c>
      <c r="CW92" t="s">
        <v>514</v>
      </c>
      <c r="CY92" s="34" t="s">
        <v>515</v>
      </c>
      <c r="CZ92" s="35">
        <v>5.0530000000000002E-3</v>
      </c>
    </row>
    <row r="93" spans="8:104" ht="21.6" thickBot="1" x14ac:dyDescent="0.35">
      <c r="H93" s="230"/>
      <c r="I93" s="231"/>
      <c r="J93" s="231"/>
      <c r="K93" s="231"/>
      <c r="L93" s="232"/>
      <c r="M93" s="43"/>
      <c r="P93" s="238" t="s">
        <v>516</v>
      </c>
      <c r="Q93" s="239"/>
      <c r="R93" s="241">
        <v>18</v>
      </c>
      <c r="S93" s="242"/>
      <c r="T93" s="239"/>
      <c r="U93" s="241"/>
      <c r="V93" s="242"/>
      <c r="W93" s="242"/>
      <c r="X93" s="243"/>
      <c r="AH93" s="221"/>
      <c r="AI93" s="109">
        <v>794</v>
      </c>
      <c r="AJ93" s="116"/>
      <c r="AN93" s="117">
        <v>452971</v>
      </c>
      <c r="AO93" s="118" t="s">
        <v>84</v>
      </c>
      <c r="AP93" s="119" t="s">
        <v>517</v>
      </c>
      <c r="AQ93" s="219">
        <v>0.2</v>
      </c>
      <c r="AS93" s="100"/>
      <c r="AY93" s="109">
        <v>901</v>
      </c>
      <c r="AZ93" s="122" t="s">
        <v>518</v>
      </c>
      <c r="BA93" s="123"/>
      <c r="BB93" s="124"/>
      <c r="BC93" s="119"/>
      <c r="BD93" s="119"/>
      <c r="BE93" s="125"/>
      <c r="BF93" s="108"/>
      <c r="BG93" s="109">
        <v>901</v>
      </c>
      <c r="BH93" s="110">
        <f>_xlfn.XLOOKUP(BG93,'[1]OEE MEJORADA'!A:A,'[1]OEE MEJORADA'!B:B)</f>
        <v>0.9100109744795466</v>
      </c>
      <c r="BJ93" s="91"/>
      <c r="BK93" s="92">
        <v>10</v>
      </c>
      <c r="CN93">
        <v>300</v>
      </c>
      <c r="CO93">
        <v>30.47</v>
      </c>
      <c r="CP93">
        <v>23.98</v>
      </c>
      <c r="CQ93">
        <v>30.47</v>
      </c>
      <c r="CR93">
        <v>23.98</v>
      </c>
      <c r="CV93">
        <v>4411</v>
      </c>
      <c r="CW93" t="s">
        <v>519</v>
      </c>
      <c r="CY93" s="34" t="s">
        <v>520</v>
      </c>
      <c r="CZ93" s="35">
        <v>4.9729999999999999</v>
      </c>
    </row>
    <row r="94" spans="8:104" ht="15" thickBot="1" x14ac:dyDescent="0.35">
      <c r="P94" s="238" t="s">
        <v>521</v>
      </c>
      <c r="Q94" s="239"/>
      <c r="R94" s="241">
        <v>40</v>
      </c>
      <c r="S94" s="242"/>
      <c r="T94" s="239"/>
      <c r="U94" s="241"/>
      <c r="V94" s="242"/>
      <c r="W94" s="242"/>
      <c r="X94" s="243"/>
      <c r="AH94" s="109"/>
      <c r="AI94" s="109">
        <v>795</v>
      </c>
      <c r="AJ94" s="116"/>
      <c r="AN94" s="117">
        <v>452972</v>
      </c>
      <c r="AO94" s="118" t="s">
        <v>84</v>
      </c>
      <c r="AP94" s="119" t="s">
        <v>522</v>
      </c>
      <c r="AQ94" s="219">
        <v>0.2</v>
      </c>
      <c r="AS94" s="100"/>
      <c r="AY94" s="109">
        <v>902</v>
      </c>
      <c r="AZ94" s="122" t="s">
        <v>523</v>
      </c>
      <c r="BA94" s="123"/>
      <c r="BB94" s="124"/>
      <c r="BC94" s="119"/>
      <c r="BD94" s="119"/>
      <c r="BE94" s="125"/>
      <c r="BF94" s="108"/>
      <c r="BG94" s="109">
        <v>902</v>
      </c>
      <c r="BH94" s="110">
        <f>_xlfn.XLOOKUP(BG94,'[1]OEE MEJORADA'!A:A,'[1]OEE MEJORADA'!B:B)</f>
        <v>0.9868224545374682</v>
      </c>
      <c r="BJ94" s="91"/>
      <c r="BK94" s="92">
        <v>10</v>
      </c>
      <c r="CN94">
        <v>502</v>
      </c>
      <c r="CO94">
        <v>71.400000000000006</v>
      </c>
      <c r="CP94">
        <v>61.2</v>
      </c>
      <c r="CQ94">
        <v>42.99</v>
      </c>
      <c r="CR94">
        <v>32.79</v>
      </c>
      <c r="CV94">
        <v>6223</v>
      </c>
      <c r="CW94" t="s">
        <v>524</v>
      </c>
      <c r="CY94" s="34" t="s">
        <v>525</v>
      </c>
      <c r="CZ94" s="35">
        <v>5.1610266240000001E-3</v>
      </c>
    </row>
    <row r="95" spans="8:104" ht="21.6" thickBot="1" x14ac:dyDescent="0.35">
      <c r="H95" s="224" t="s">
        <v>526</v>
      </c>
      <c r="I95" s="225"/>
      <c r="J95" s="225"/>
      <c r="K95" s="225"/>
      <c r="L95" s="226"/>
      <c r="M95" s="248">
        <v>0.05</v>
      </c>
      <c r="P95" s="238"/>
      <c r="Q95" s="239"/>
      <c r="R95" s="241"/>
      <c r="S95" s="242"/>
      <c r="T95" s="239"/>
      <c r="U95" s="241"/>
      <c r="V95" s="242"/>
      <c r="W95" s="242"/>
      <c r="X95" s="243"/>
      <c r="AH95" s="109"/>
      <c r="AI95" s="109">
        <v>797</v>
      </c>
      <c r="AJ95" s="116"/>
      <c r="AN95" s="117">
        <v>404011</v>
      </c>
      <c r="AO95" s="118" t="s">
        <v>84</v>
      </c>
      <c r="AP95" s="119" t="s">
        <v>527</v>
      </c>
      <c r="AQ95" s="120">
        <v>0.2</v>
      </c>
      <c r="AS95" s="100"/>
      <c r="AY95" s="109">
        <v>903</v>
      </c>
      <c r="AZ95" s="122" t="s">
        <v>528</v>
      </c>
      <c r="BA95" s="123"/>
      <c r="BB95" s="124"/>
      <c r="BC95" s="119"/>
      <c r="BD95" s="119"/>
      <c r="BE95" s="125"/>
      <c r="BF95" s="108"/>
      <c r="BG95" s="109">
        <v>903</v>
      </c>
      <c r="BH95" s="110">
        <f>_xlfn.XLOOKUP(BG95,'[1]OEE MEJORADA'!A:A,'[1]OEE MEJORADA'!B:B)</f>
        <v>0.89671586662891778</v>
      </c>
      <c r="BJ95" s="91"/>
      <c r="BK95" s="92">
        <v>10</v>
      </c>
      <c r="CN95">
        <v>716</v>
      </c>
      <c r="CO95">
        <v>34.79</v>
      </c>
      <c r="CP95">
        <v>27.6</v>
      </c>
      <c r="CQ95">
        <v>34.79</v>
      </c>
      <c r="CR95">
        <v>27.6</v>
      </c>
      <c r="CV95">
        <v>1666</v>
      </c>
      <c r="CW95" t="s">
        <v>529</v>
      </c>
      <c r="CY95" s="34" t="s">
        <v>530</v>
      </c>
      <c r="CZ95" s="35">
        <v>2.1300480133333334E-3</v>
      </c>
    </row>
    <row r="96" spans="8:104" ht="21.6" thickBot="1" x14ac:dyDescent="0.35">
      <c r="H96" s="230"/>
      <c r="I96" s="231"/>
      <c r="J96" s="231"/>
      <c r="K96" s="231"/>
      <c r="L96" s="232"/>
      <c r="M96" s="249"/>
      <c r="P96" s="238"/>
      <c r="Q96" s="239"/>
      <c r="R96" s="241"/>
      <c r="S96" s="242"/>
      <c r="T96" s="239"/>
      <c r="U96" s="241"/>
      <c r="V96" s="242"/>
      <c r="W96" s="242"/>
      <c r="X96" s="243"/>
      <c r="AH96" s="221"/>
      <c r="AI96" s="109">
        <v>798</v>
      </c>
      <c r="AJ96" s="116"/>
      <c r="AN96" s="117">
        <v>403993</v>
      </c>
      <c r="AO96" s="118" t="s">
        <v>84</v>
      </c>
      <c r="AP96" s="119" t="s">
        <v>531</v>
      </c>
      <c r="AQ96" s="120">
        <v>0.2</v>
      </c>
      <c r="AS96" s="100"/>
      <c r="AY96" s="109">
        <v>904</v>
      </c>
      <c r="AZ96" s="122" t="s">
        <v>532</v>
      </c>
      <c r="BA96" s="123"/>
      <c r="BB96" s="124"/>
      <c r="BC96" s="119"/>
      <c r="BD96" s="119"/>
      <c r="BE96" s="125"/>
      <c r="BF96" s="108"/>
      <c r="BG96" s="109">
        <v>904</v>
      </c>
      <c r="BH96" s="110">
        <f>_xlfn.XLOOKUP(BG96,'[1]OEE MEJORADA'!A:A,'[1]OEE MEJORADA'!B:B)</f>
        <v>0.91347897907581832</v>
      </c>
      <c r="BJ96" s="91"/>
      <c r="BK96" s="92">
        <v>10</v>
      </c>
      <c r="CN96">
        <v>719</v>
      </c>
      <c r="CO96">
        <v>30.47</v>
      </c>
      <c r="CP96">
        <v>23.98</v>
      </c>
      <c r="CQ96">
        <v>30.47</v>
      </c>
      <c r="CR96">
        <v>23.98</v>
      </c>
      <c r="CV96">
        <v>853</v>
      </c>
      <c r="CW96" t="s">
        <v>533</v>
      </c>
      <c r="CY96" s="34" t="s">
        <v>534</v>
      </c>
      <c r="CZ96" s="35">
        <v>1.4058732643499999E-2</v>
      </c>
    </row>
    <row r="97" spans="8:104" ht="15" thickBot="1" x14ac:dyDescent="0.35">
      <c r="P97" s="238"/>
      <c r="Q97" s="239"/>
      <c r="R97" s="241"/>
      <c r="S97" s="242"/>
      <c r="T97" s="239"/>
      <c r="U97" s="241"/>
      <c r="V97" s="242"/>
      <c r="W97" s="242"/>
      <c r="X97" s="243"/>
      <c r="AH97" s="114"/>
      <c r="AI97" s="109">
        <v>799</v>
      </c>
      <c r="AJ97" s="116"/>
      <c r="AN97" s="117">
        <v>452777</v>
      </c>
      <c r="AO97" s="118" t="s">
        <v>84</v>
      </c>
      <c r="AP97" s="119" t="s">
        <v>535</v>
      </c>
      <c r="AQ97" s="120">
        <v>0.2</v>
      </c>
      <c r="AS97" s="100"/>
      <c r="AY97" s="109">
        <v>906</v>
      </c>
      <c r="AZ97" s="122" t="s">
        <v>536</v>
      </c>
      <c r="BA97" s="123"/>
      <c r="BB97" s="124"/>
      <c r="BC97" s="119"/>
      <c r="BD97" s="119"/>
      <c r="BE97" s="125"/>
      <c r="BF97" s="108"/>
      <c r="BG97" s="109">
        <v>906</v>
      </c>
      <c r="BH97" s="110">
        <f>_xlfn.XLOOKUP(BG97,'[1]OEE MEJORADA'!A:A,'[1]OEE MEJORADA'!B:B)</f>
        <v>0.96840015507784827</v>
      </c>
      <c r="BJ97" s="91"/>
      <c r="BK97" s="92">
        <v>10</v>
      </c>
      <c r="CN97">
        <v>726</v>
      </c>
      <c r="CO97">
        <v>10.55</v>
      </c>
      <c r="CP97">
        <v>10.55</v>
      </c>
      <c r="CQ97">
        <v>10.55</v>
      </c>
      <c r="CR97">
        <v>10.55</v>
      </c>
      <c r="CV97">
        <v>7486</v>
      </c>
      <c r="CW97" t="s">
        <v>537</v>
      </c>
      <c r="CY97" s="34" t="s">
        <v>538</v>
      </c>
      <c r="CZ97" s="35">
        <v>10.153</v>
      </c>
    </row>
    <row r="98" spans="8:104" ht="21.6" thickBot="1" x14ac:dyDescent="0.35">
      <c r="H98" s="224" t="s">
        <v>539</v>
      </c>
      <c r="I98" s="225"/>
      <c r="J98" s="225"/>
      <c r="K98" s="225"/>
      <c r="L98" s="226"/>
      <c r="M98" s="248">
        <v>2.4E-2</v>
      </c>
      <c r="P98" s="238"/>
      <c r="Q98" s="239"/>
      <c r="R98" s="241"/>
      <c r="S98" s="242"/>
      <c r="T98" s="239"/>
      <c r="U98" s="241"/>
      <c r="V98" s="242"/>
      <c r="W98" s="242"/>
      <c r="X98" s="243"/>
      <c r="AH98" s="114"/>
      <c r="AI98" s="109">
        <v>2700</v>
      </c>
      <c r="AJ98" s="116"/>
      <c r="AN98" s="117">
        <v>452196</v>
      </c>
      <c r="AO98" s="118" t="s">
        <v>84</v>
      </c>
      <c r="AP98" s="119" t="s">
        <v>540</v>
      </c>
      <c r="AQ98" s="120">
        <v>0.2</v>
      </c>
      <c r="AS98" s="100"/>
      <c r="AY98" s="109">
        <v>907</v>
      </c>
      <c r="AZ98" s="122" t="s">
        <v>541</v>
      </c>
      <c r="BA98" s="123"/>
      <c r="BB98" s="124"/>
      <c r="BC98" s="119"/>
      <c r="BD98" s="119"/>
      <c r="BE98" s="125"/>
      <c r="BF98" s="108"/>
      <c r="BG98" s="109">
        <v>907</v>
      </c>
      <c r="BH98" s="110">
        <f>_xlfn.XLOOKUP(BG98,'[1]OEE MEJORADA'!A:A,'[1]OEE MEJORADA'!B:B)</f>
        <v>0.94910931559034262</v>
      </c>
      <c r="BJ98" s="91"/>
      <c r="BK98" s="92">
        <v>10</v>
      </c>
      <c r="CN98">
        <v>741</v>
      </c>
      <c r="CO98">
        <v>36.93</v>
      </c>
      <c r="CP98">
        <v>29.39</v>
      </c>
      <c r="CQ98">
        <v>42.35</v>
      </c>
      <c r="CR98">
        <v>34.81</v>
      </c>
      <c r="CV98">
        <v>7481</v>
      </c>
      <c r="CW98" t="s">
        <v>542</v>
      </c>
      <c r="CY98" s="34" t="s">
        <v>543</v>
      </c>
      <c r="CZ98" s="35">
        <v>1.6859999999999999</v>
      </c>
    </row>
    <row r="99" spans="8:104" ht="21.6" thickBot="1" x14ac:dyDescent="0.35">
      <c r="H99" s="230"/>
      <c r="I99" s="231"/>
      <c r="J99" s="231"/>
      <c r="K99" s="231"/>
      <c r="L99" s="232"/>
      <c r="M99" s="249"/>
      <c r="P99" s="238"/>
      <c r="Q99" s="239"/>
      <c r="R99" s="241"/>
      <c r="S99" s="242"/>
      <c r="T99" s="239"/>
      <c r="U99" s="241"/>
      <c r="V99" s="242"/>
      <c r="W99" s="242"/>
      <c r="X99" s="243"/>
      <c r="AH99" s="114"/>
      <c r="AI99" s="109">
        <v>3600</v>
      </c>
      <c r="AJ99" s="116"/>
      <c r="AN99" s="117">
        <v>404050</v>
      </c>
      <c r="AO99" s="118" t="s">
        <v>84</v>
      </c>
      <c r="AP99" s="119" t="s">
        <v>544</v>
      </c>
      <c r="AQ99" s="120">
        <v>0.2</v>
      </c>
      <c r="AS99" s="100"/>
      <c r="AY99" s="109">
        <v>908</v>
      </c>
      <c r="AZ99" s="122" t="s">
        <v>545</v>
      </c>
      <c r="BA99" s="123"/>
      <c r="BB99" s="124"/>
      <c r="BC99" s="119"/>
      <c r="BD99" s="119"/>
      <c r="BE99" s="125"/>
      <c r="BF99" s="108"/>
      <c r="BG99" s="109">
        <v>908</v>
      </c>
      <c r="BH99" s="110">
        <f>_xlfn.XLOOKUP(BG99,'[1]OEE MEJORADA'!A:A,'[1]OEE MEJORADA'!B:B)</f>
        <v>0.98417404497245353</v>
      </c>
      <c r="BJ99" s="91"/>
      <c r="BK99" s="92">
        <v>10</v>
      </c>
      <c r="CN99">
        <v>742</v>
      </c>
      <c r="CO99">
        <v>30.47</v>
      </c>
      <c r="CP99">
        <v>23.98</v>
      </c>
      <c r="CQ99">
        <v>30.47</v>
      </c>
      <c r="CR99">
        <v>23.98</v>
      </c>
      <c r="CV99">
        <v>6875</v>
      </c>
      <c r="CW99" t="s">
        <v>546</v>
      </c>
      <c r="CY99" s="34" t="s">
        <v>547</v>
      </c>
      <c r="CZ99" s="35">
        <v>3.0720000000000001</v>
      </c>
    </row>
    <row r="100" spans="8:104" ht="15" thickBot="1" x14ac:dyDescent="0.35">
      <c r="P100" s="238"/>
      <c r="Q100" s="239"/>
      <c r="R100" s="241"/>
      <c r="S100" s="242"/>
      <c r="T100" s="239"/>
      <c r="U100" s="241"/>
      <c r="V100" s="242"/>
      <c r="W100" s="242"/>
      <c r="X100" s="243"/>
      <c r="AH100" s="114"/>
      <c r="AI100" s="250">
        <v>8001</v>
      </c>
      <c r="AJ100" s="116"/>
      <c r="AN100" s="117">
        <v>453590</v>
      </c>
      <c r="AO100" s="118" t="s">
        <v>84</v>
      </c>
      <c r="AP100" s="119" t="s">
        <v>548</v>
      </c>
      <c r="AQ100" s="120">
        <v>0.2</v>
      </c>
      <c r="AS100" s="100"/>
      <c r="AY100" s="109">
        <v>909</v>
      </c>
      <c r="AZ100" s="122" t="s">
        <v>549</v>
      </c>
      <c r="BA100" s="123"/>
      <c r="BB100" s="124"/>
      <c r="BC100" s="119"/>
      <c r="BD100" s="119"/>
      <c r="BE100" s="125"/>
      <c r="BF100" s="108"/>
      <c r="BG100" s="109">
        <v>909</v>
      </c>
      <c r="BH100" s="110">
        <f>_xlfn.XLOOKUP(BG100,'[1]OEE MEJORADA'!A:A,'[1]OEE MEJORADA'!B:B)</f>
        <v>0.99462163179691276</v>
      </c>
      <c r="BJ100" s="91"/>
      <c r="BK100" s="92">
        <v>10</v>
      </c>
      <c r="CN100">
        <v>752</v>
      </c>
      <c r="CO100">
        <v>36.54</v>
      </c>
      <c r="CP100">
        <v>30.05</v>
      </c>
      <c r="CQ100">
        <v>36.54</v>
      </c>
      <c r="CR100">
        <v>30.05</v>
      </c>
      <c r="CV100">
        <v>56</v>
      </c>
      <c r="CW100" t="s">
        <v>550</v>
      </c>
      <c r="CY100" s="34" t="s">
        <v>551</v>
      </c>
      <c r="CZ100" s="35">
        <v>1.3869022856000002E-2</v>
      </c>
    </row>
    <row r="101" spans="8:104" ht="21.6" thickBot="1" x14ac:dyDescent="0.35">
      <c r="H101" s="251" t="s">
        <v>552</v>
      </c>
      <c r="I101" s="252"/>
      <c r="J101" s="252"/>
      <c r="K101" s="252"/>
      <c r="L101" s="253"/>
      <c r="M101" s="254">
        <f>($M$80/($M$83*365)/($M$86*$M$92))*120</f>
        <v>12.328767123287671</v>
      </c>
      <c r="P101" s="238"/>
      <c r="Q101" s="239"/>
      <c r="R101" s="241"/>
      <c r="S101" s="242"/>
      <c r="T101" s="239"/>
      <c r="U101" s="241"/>
      <c r="V101" s="242"/>
      <c r="W101" s="242"/>
      <c r="X101" s="243"/>
      <c r="AH101" s="114"/>
      <c r="AJ101" s="116"/>
      <c r="AN101" s="117" t="s">
        <v>553</v>
      </c>
      <c r="AO101" s="118" t="s">
        <v>84</v>
      </c>
      <c r="AP101" s="119" t="s">
        <v>554</v>
      </c>
      <c r="AQ101" s="120">
        <v>0.2</v>
      </c>
      <c r="AS101" s="100"/>
      <c r="AY101" s="109">
        <v>910</v>
      </c>
      <c r="AZ101" s="122" t="s">
        <v>555</v>
      </c>
      <c r="BA101" s="123"/>
      <c r="BB101" s="124"/>
      <c r="BC101" s="119"/>
      <c r="BD101" s="119"/>
      <c r="BE101" s="125"/>
      <c r="BF101" s="108"/>
      <c r="BG101" s="109">
        <v>910</v>
      </c>
      <c r="BH101" s="110">
        <f>_xlfn.XLOOKUP(BG101,'[1]OEE MEJORADA'!A:A,'[1]OEE MEJORADA'!B:B)</f>
        <v>0.9934231127324199</v>
      </c>
      <c r="BJ101" s="91"/>
      <c r="BK101" s="92">
        <v>10</v>
      </c>
      <c r="CN101">
        <v>755</v>
      </c>
      <c r="CO101">
        <v>52.28</v>
      </c>
      <c r="CP101">
        <v>45.78</v>
      </c>
      <c r="CQ101">
        <v>37.21</v>
      </c>
      <c r="CR101">
        <v>30.73</v>
      </c>
      <c r="CV101">
        <v>22</v>
      </c>
      <c r="CW101" t="s">
        <v>556</v>
      </c>
      <c r="CY101" s="34" t="s">
        <v>557</v>
      </c>
      <c r="CZ101" s="35">
        <v>7.7711038119999999E-3</v>
      </c>
    </row>
    <row r="102" spans="8:104" ht="21.6" thickBot="1" x14ac:dyDescent="0.35">
      <c r="H102" s="255"/>
      <c r="I102" s="256"/>
      <c r="J102" s="256"/>
      <c r="K102" s="256"/>
      <c r="L102" s="257"/>
      <c r="M102" s="258"/>
      <c r="P102" s="238"/>
      <c r="Q102" s="239"/>
      <c r="R102" s="241"/>
      <c r="S102" s="242"/>
      <c r="T102" s="239"/>
      <c r="U102" s="241"/>
      <c r="V102" s="242"/>
      <c r="W102" s="242"/>
      <c r="X102" s="243"/>
      <c r="AH102" s="114"/>
      <c r="AJ102" s="116"/>
      <c r="AN102" s="117">
        <v>453690</v>
      </c>
      <c r="AO102" s="118" t="s">
        <v>84</v>
      </c>
      <c r="AP102" s="119" t="s">
        <v>558</v>
      </c>
      <c r="AQ102" s="120">
        <v>0.2</v>
      </c>
      <c r="AS102" s="100"/>
      <c r="AY102" s="109">
        <v>911</v>
      </c>
      <c r="AZ102" s="122" t="s">
        <v>559</v>
      </c>
      <c r="BA102" s="123"/>
      <c r="BB102" s="124"/>
      <c r="BC102" s="119"/>
      <c r="BD102" s="119"/>
      <c r="BE102" s="125"/>
      <c r="BF102" s="108"/>
      <c r="BG102" s="109">
        <v>911</v>
      </c>
      <c r="BH102" s="110">
        <f>_xlfn.XLOOKUP(BG102,'[1]OEE MEJORADA'!A:A,'[1]OEE MEJORADA'!B:B)</f>
        <v>0.98855406642803634</v>
      </c>
      <c r="BJ102" s="91"/>
      <c r="BK102" s="92">
        <v>10</v>
      </c>
      <c r="CN102">
        <v>757</v>
      </c>
      <c r="CO102">
        <v>30.47</v>
      </c>
      <c r="CP102">
        <v>23.98</v>
      </c>
      <c r="CQ102">
        <v>30.47</v>
      </c>
      <c r="CR102">
        <v>23.98</v>
      </c>
      <c r="CV102">
        <v>1669</v>
      </c>
      <c r="CW102" t="s">
        <v>560</v>
      </c>
      <c r="CY102" s="34" t="s">
        <v>561</v>
      </c>
      <c r="CZ102" s="35">
        <v>1.2360756047999999E-2</v>
      </c>
    </row>
    <row r="103" spans="8:104" ht="15" thickBot="1" x14ac:dyDescent="0.35">
      <c r="P103" s="238"/>
      <c r="Q103" s="239"/>
      <c r="R103" s="241"/>
      <c r="S103" s="242"/>
      <c r="T103" s="239"/>
      <c r="U103" s="241"/>
      <c r="V103" s="242"/>
      <c r="W103" s="242"/>
      <c r="X103" s="243"/>
      <c r="AH103" s="114"/>
      <c r="AJ103" s="116"/>
      <c r="AN103" s="117">
        <v>453591</v>
      </c>
      <c r="AO103" s="118" t="s">
        <v>84</v>
      </c>
      <c r="AP103" s="119" t="s">
        <v>562</v>
      </c>
      <c r="AQ103" s="120">
        <v>0.2</v>
      </c>
      <c r="AS103" s="100"/>
      <c r="AY103" s="109">
        <v>912</v>
      </c>
      <c r="AZ103" s="122" t="s">
        <v>563</v>
      </c>
      <c r="BA103" s="123"/>
      <c r="BB103" s="124"/>
      <c r="BC103" s="119"/>
      <c r="BD103" s="119"/>
      <c r="BE103" s="125"/>
      <c r="BF103" s="108"/>
      <c r="BG103" s="109">
        <v>912</v>
      </c>
      <c r="BH103" s="110">
        <f>_xlfn.XLOOKUP(BG103,'[1]OEE MEJORADA'!A:A,'[1]OEE MEJORADA'!B:B)</f>
        <v>0.96943971064211409</v>
      </c>
      <c r="BJ103" s="91"/>
      <c r="BK103" s="92">
        <v>10</v>
      </c>
      <c r="CN103">
        <v>758</v>
      </c>
      <c r="CO103">
        <v>30.47</v>
      </c>
      <c r="CP103">
        <v>23.98</v>
      </c>
      <c r="CQ103">
        <v>30.47</v>
      </c>
      <c r="CR103">
        <v>23.98</v>
      </c>
      <c r="CV103">
        <v>2011</v>
      </c>
      <c r="CW103" t="s">
        <v>564</v>
      </c>
      <c r="CY103" s="34" t="s">
        <v>565</v>
      </c>
      <c r="CZ103" s="35">
        <v>1.0873203523999999E-2</v>
      </c>
    </row>
    <row r="104" spans="8:104" ht="21.6" thickBot="1" x14ac:dyDescent="0.35">
      <c r="H104" s="251" t="s">
        <v>566</v>
      </c>
      <c r="I104" s="252"/>
      <c r="J104" s="252"/>
      <c r="K104" s="252"/>
      <c r="L104" s="253"/>
      <c r="M104" s="254">
        <f>($M$80/($M$83*365)/($M$89*$M$92))</f>
        <v>0.20547945205479451</v>
      </c>
      <c r="P104" s="238"/>
      <c r="Q104" s="239"/>
      <c r="R104" s="241"/>
      <c r="S104" s="242"/>
      <c r="T104" s="239"/>
      <c r="U104" s="241"/>
      <c r="V104" s="242"/>
      <c r="W104" s="242"/>
      <c r="X104" s="243"/>
      <c r="AH104" s="114"/>
      <c r="AJ104" s="116"/>
      <c r="AN104" s="117">
        <v>452781</v>
      </c>
      <c r="AO104" s="118" t="s">
        <v>84</v>
      </c>
      <c r="AP104" s="119" t="s">
        <v>567</v>
      </c>
      <c r="AQ104" s="120">
        <v>0.2</v>
      </c>
      <c r="AS104" s="100"/>
      <c r="AY104" s="109">
        <v>913</v>
      </c>
      <c r="AZ104" s="122" t="s">
        <v>568</v>
      </c>
      <c r="BA104" s="123"/>
      <c r="BB104" s="124"/>
      <c r="BC104" s="119"/>
      <c r="BD104" s="119"/>
      <c r="BE104" s="125"/>
      <c r="BF104" s="108"/>
      <c r="BG104" s="109">
        <v>913</v>
      </c>
      <c r="BH104" s="110">
        <f>_xlfn.XLOOKUP(BG104,'[1]OEE MEJORADA'!A:A,'[1]OEE MEJORADA'!B:B)</f>
        <v>0.99100881136486241</v>
      </c>
      <c r="BJ104" s="91"/>
      <c r="BK104" s="92">
        <v>10</v>
      </c>
      <c r="CN104">
        <v>759</v>
      </c>
      <c r="CO104">
        <v>53.41</v>
      </c>
      <c r="CP104">
        <v>43.7</v>
      </c>
      <c r="CQ104">
        <v>33.47</v>
      </c>
      <c r="CR104">
        <v>23.75</v>
      </c>
      <c r="CV104">
        <v>7608</v>
      </c>
      <c r="CW104" t="s">
        <v>569</v>
      </c>
      <c r="CY104" s="34" t="s">
        <v>570</v>
      </c>
      <c r="CZ104" s="35">
        <v>1.453376410065E-2</v>
      </c>
    </row>
    <row r="105" spans="8:104" ht="21.6" thickBot="1" x14ac:dyDescent="0.35">
      <c r="H105" s="255"/>
      <c r="I105" s="256"/>
      <c r="J105" s="256"/>
      <c r="K105" s="256"/>
      <c r="L105" s="257"/>
      <c r="M105" s="258"/>
      <c r="P105" s="238"/>
      <c r="Q105" s="239"/>
      <c r="R105" s="241"/>
      <c r="S105" s="242"/>
      <c r="T105" s="239"/>
      <c r="U105" s="241"/>
      <c r="V105" s="242"/>
      <c r="W105" s="242"/>
      <c r="X105" s="243"/>
      <c r="AH105" s="114"/>
      <c r="AJ105" s="116"/>
      <c r="AN105" s="117" t="s">
        <v>571</v>
      </c>
      <c r="AO105" s="118" t="s">
        <v>84</v>
      </c>
      <c r="AP105" s="119" t="s">
        <v>572</v>
      </c>
      <c r="AQ105" s="120">
        <v>0.2</v>
      </c>
      <c r="AS105" s="100"/>
      <c r="AY105" s="109">
        <v>914</v>
      </c>
      <c r="AZ105" s="122" t="s">
        <v>573</v>
      </c>
      <c r="BA105" s="123"/>
      <c r="BB105" s="124"/>
      <c r="BC105" s="119"/>
      <c r="BD105" s="119"/>
      <c r="BE105" s="125"/>
      <c r="BF105" s="108"/>
      <c r="BG105" s="109">
        <v>914</v>
      </c>
      <c r="BH105" s="110">
        <f>_xlfn.XLOOKUP(BG105,'[1]OEE MEJORADA'!A:A,'[1]OEE MEJORADA'!B:B)</f>
        <v>0.9895319071787978</v>
      </c>
      <c r="BJ105" s="91"/>
      <c r="BK105" s="92">
        <v>10</v>
      </c>
      <c r="CN105">
        <v>762</v>
      </c>
      <c r="CO105">
        <v>52.83</v>
      </c>
      <c r="CP105">
        <v>46.34</v>
      </c>
      <c r="CQ105">
        <v>37.79</v>
      </c>
      <c r="CR105">
        <v>31.29</v>
      </c>
      <c r="CV105">
        <v>6735</v>
      </c>
      <c r="CW105" t="s">
        <v>574</v>
      </c>
      <c r="CY105" s="34" t="s">
        <v>575</v>
      </c>
      <c r="CZ105" s="35">
        <v>4.6630000000000005E-3</v>
      </c>
    </row>
    <row r="106" spans="8:104" ht="15" thickBot="1" x14ac:dyDescent="0.35">
      <c r="P106" s="238"/>
      <c r="Q106" s="239"/>
      <c r="R106" s="241"/>
      <c r="S106" s="242"/>
      <c r="T106" s="239"/>
      <c r="U106" s="241"/>
      <c r="V106" s="242"/>
      <c r="W106" s="242"/>
      <c r="X106" s="243"/>
      <c r="AH106" s="114"/>
      <c r="AI106" s="115"/>
      <c r="AJ106" s="116"/>
      <c r="AN106" s="117">
        <v>453766</v>
      </c>
      <c r="AO106" s="118" t="s">
        <v>84</v>
      </c>
      <c r="AP106" s="119" t="s">
        <v>576</v>
      </c>
      <c r="AQ106" s="120">
        <v>0.2</v>
      </c>
      <c r="AS106" s="100"/>
      <c r="AY106" s="109">
        <v>915</v>
      </c>
      <c r="AZ106" s="122" t="s">
        <v>577</v>
      </c>
      <c r="BA106" s="123"/>
      <c r="BB106" s="124"/>
      <c r="BC106" s="119"/>
      <c r="BD106" s="119"/>
      <c r="BE106" s="125"/>
      <c r="BF106" s="108"/>
      <c r="BG106" s="109">
        <v>915</v>
      </c>
      <c r="BH106" s="110">
        <f>_xlfn.XLOOKUP(BG106,'[1]OEE MEJORADA'!A:A,'[1]OEE MEJORADA'!B:B)</f>
        <v>0.89717093558109018</v>
      </c>
      <c r="BJ106" s="91"/>
      <c r="BK106" s="92">
        <v>10</v>
      </c>
      <c r="CN106">
        <v>763</v>
      </c>
      <c r="CO106">
        <v>40.64</v>
      </c>
      <c r="CP106">
        <v>33.9</v>
      </c>
      <c r="CQ106">
        <v>24.77</v>
      </c>
      <c r="CR106">
        <v>18.03</v>
      </c>
      <c r="CV106">
        <v>2658</v>
      </c>
      <c r="CW106" t="s">
        <v>578</v>
      </c>
      <c r="CY106" s="34" t="s">
        <v>579</v>
      </c>
      <c r="CZ106" s="35">
        <v>10.147</v>
      </c>
    </row>
    <row r="107" spans="8:104" ht="21.6" thickBot="1" x14ac:dyDescent="0.35">
      <c r="H107" s="224" t="s">
        <v>580</v>
      </c>
      <c r="I107" s="225"/>
      <c r="J107" s="225"/>
      <c r="K107" s="225"/>
      <c r="L107" s="226"/>
      <c r="M107" s="259">
        <v>600</v>
      </c>
      <c r="P107" s="238"/>
      <c r="Q107" s="239"/>
      <c r="R107" s="241"/>
      <c r="S107" s="242"/>
      <c r="T107" s="239"/>
      <c r="U107" s="241"/>
      <c r="V107" s="242"/>
      <c r="W107" s="242"/>
      <c r="X107" s="243"/>
      <c r="AH107" s="114"/>
      <c r="AI107" s="115"/>
      <c r="AJ107" s="116"/>
      <c r="AN107" s="117" t="s">
        <v>581</v>
      </c>
      <c r="AO107" s="118" t="s">
        <v>84</v>
      </c>
      <c r="AP107" s="119" t="s">
        <v>582</v>
      </c>
      <c r="AQ107" s="120">
        <v>0.2</v>
      </c>
      <c r="AS107" s="100"/>
      <c r="AY107" s="109">
        <v>916</v>
      </c>
      <c r="AZ107" s="122" t="s">
        <v>583</v>
      </c>
      <c r="BA107" s="123"/>
      <c r="BB107" s="124"/>
      <c r="BC107" s="119"/>
      <c r="BD107" s="119"/>
      <c r="BE107" s="125"/>
      <c r="BF107" s="108"/>
      <c r="BG107" s="109">
        <v>916</v>
      </c>
      <c r="BH107" s="110">
        <f>_xlfn.XLOOKUP(BG107,'[1]OEE MEJORADA'!A:A,'[1]OEE MEJORADA'!B:B)</f>
        <v>0.92476108035548144</v>
      </c>
      <c r="BJ107" s="91"/>
      <c r="BK107" s="92">
        <v>10</v>
      </c>
      <c r="CN107">
        <v>764</v>
      </c>
      <c r="CO107">
        <v>46.78</v>
      </c>
      <c r="CP107">
        <v>40.31</v>
      </c>
      <c r="CQ107">
        <v>26.84</v>
      </c>
      <c r="CR107">
        <v>20.36</v>
      </c>
      <c r="CV107">
        <v>6745</v>
      </c>
      <c r="CW107" t="s">
        <v>584</v>
      </c>
      <c r="CY107" s="34" t="s">
        <v>585</v>
      </c>
      <c r="CZ107" s="35">
        <v>1.6859999999999999</v>
      </c>
    </row>
    <row r="108" spans="8:104" ht="21.6" thickBot="1" x14ac:dyDescent="0.35">
      <c r="H108" s="230"/>
      <c r="I108" s="231"/>
      <c r="J108" s="231"/>
      <c r="K108" s="231"/>
      <c r="L108" s="232"/>
      <c r="M108" s="260"/>
      <c r="P108" s="238"/>
      <c r="Q108" s="239"/>
      <c r="R108" s="241"/>
      <c r="S108" s="242"/>
      <c r="T108" s="239"/>
      <c r="U108" s="241"/>
      <c r="V108" s="242"/>
      <c r="W108" s="242"/>
      <c r="X108" s="243"/>
      <c r="AH108" s="109"/>
      <c r="AI108" s="115"/>
      <c r="AJ108" s="116"/>
      <c r="AN108" s="117">
        <v>403901</v>
      </c>
      <c r="AO108" s="118" t="s">
        <v>84</v>
      </c>
      <c r="AP108" s="119" t="s">
        <v>586</v>
      </c>
      <c r="AQ108" s="120">
        <v>0.2</v>
      </c>
      <c r="AS108" s="100"/>
      <c r="AY108" s="109">
        <v>917</v>
      </c>
      <c r="AZ108" s="122" t="s">
        <v>587</v>
      </c>
      <c r="BA108" s="123"/>
      <c r="BB108" s="124"/>
      <c r="BC108" s="119"/>
      <c r="BD108" s="119"/>
      <c r="BE108" s="125"/>
      <c r="BF108" s="108"/>
      <c r="BG108" s="109">
        <v>917</v>
      </c>
      <c r="BH108" s="110">
        <f>_xlfn.XLOOKUP(BG108,'[1]OEE MEJORADA'!A:A,'[1]OEE MEJORADA'!B:B)</f>
        <v>0.94085509208693596</v>
      </c>
      <c r="BJ108" s="91"/>
      <c r="BK108" s="92">
        <v>10</v>
      </c>
      <c r="CN108">
        <v>765</v>
      </c>
      <c r="CO108">
        <v>42.35</v>
      </c>
      <c r="CP108">
        <v>34.81</v>
      </c>
      <c r="CQ108">
        <v>36.93</v>
      </c>
      <c r="CR108">
        <v>29.39</v>
      </c>
      <c r="CV108">
        <v>7604</v>
      </c>
      <c r="CW108" t="s">
        <v>588</v>
      </c>
      <c r="CY108" s="34" t="s">
        <v>589</v>
      </c>
      <c r="CZ108" s="35">
        <v>4.5830000000000002</v>
      </c>
    </row>
    <row r="109" spans="8:104" ht="15" thickBot="1" x14ac:dyDescent="0.35">
      <c r="P109" s="238"/>
      <c r="Q109" s="239"/>
      <c r="R109" s="241"/>
      <c r="S109" s="242"/>
      <c r="T109" s="239"/>
      <c r="U109" s="241"/>
      <c r="V109" s="242"/>
      <c r="W109" s="242"/>
      <c r="X109" s="243"/>
      <c r="AH109" s="109"/>
      <c r="AI109" s="119"/>
      <c r="AJ109" s="125"/>
      <c r="AN109" s="117">
        <v>400211</v>
      </c>
      <c r="AO109" s="118" t="s">
        <v>101</v>
      </c>
      <c r="AP109" s="119" t="s">
        <v>590</v>
      </c>
      <c r="AQ109" s="120">
        <v>1</v>
      </c>
      <c r="AS109" s="100"/>
      <c r="AY109" s="109">
        <v>918</v>
      </c>
      <c r="AZ109" s="122" t="s">
        <v>591</v>
      </c>
      <c r="BA109" s="123"/>
      <c r="BB109" s="124"/>
      <c r="BC109" s="119"/>
      <c r="BD109" s="119"/>
      <c r="BE109" s="125"/>
      <c r="BF109" s="108"/>
      <c r="BG109" s="109">
        <v>918</v>
      </c>
      <c r="BH109" s="110" t="e">
        <f>_xlfn.XLOOKUP(BG109,'[1]OEE MEJORADA'!A:A,'[1]OEE MEJORADA'!B:B)</f>
        <v>#N/A</v>
      </c>
      <c r="BJ109" s="91"/>
      <c r="BK109" s="92">
        <v>10</v>
      </c>
      <c r="CN109">
        <v>766</v>
      </c>
      <c r="CO109">
        <v>30.47</v>
      </c>
      <c r="CP109">
        <v>23.98</v>
      </c>
      <c r="CQ109">
        <v>30.47</v>
      </c>
      <c r="CR109">
        <v>23.98</v>
      </c>
      <c r="CV109">
        <v>6598</v>
      </c>
      <c r="CW109" t="s">
        <v>592</v>
      </c>
      <c r="CY109" s="34" t="s">
        <v>593</v>
      </c>
      <c r="CZ109" s="35">
        <v>1.6759999999999999</v>
      </c>
    </row>
    <row r="110" spans="8:104" ht="21.6" thickBot="1" x14ac:dyDescent="0.35">
      <c r="H110" s="224" t="s">
        <v>594</v>
      </c>
      <c r="I110" s="225"/>
      <c r="J110" s="225"/>
      <c r="K110" s="225"/>
      <c r="L110" s="226"/>
      <c r="M110" s="254">
        <v>2</v>
      </c>
      <c r="P110" s="238"/>
      <c r="Q110" s="239"/>
      <c r="R110" s="241"/>
      <c r="S110" s="242"/>
      <c r="T110" s="239"/>
      <c r="U110" s="241"/>
      <c r="V110" s="242"/>
      <c r="W110" s="242"/>
      <c r="X110" s="243"/>
      <c r="AH110" s="114"/>
      <c r="AI110" s="115"/>
      <c r="AJ110" s="116"/>
      <c r="AN110" s="117" t="s">
        <v>595</v>
      </c>
      <c r="AO110" s="118" t="s">
        <v>101</v>
      </c>
      <c r="AP110" s="119" t="s">
        <v>596</v>
      </c>
      <c r="AQ110" s="120">
        <v>0.5</v>
      </c>
      <c r="AS110" s="100"/>
      <c r="AY110" s="109">
        <v>920</v>
      </c>
      <c r="AZ110" s="122" t="s">
        <v>597</v>
      </c>
      <c r="BA110" s="123"/>
      <c r="BB110" s="124"/>
      <c r="BC110" s="119"/>
      <c r="BD110" s="119"/>
      <c r="BE110" s="125"/>
      <c r="BF110" s="108"/>
      <c r="BG110" s="109">
        <v>920</v>
      </c>
      <c r="BH110" s="110">
        <f>_xlfn.XLOOKUP(BG110,'[1]OEE MEJORADA'!A:A,'[1]OEE MEJORADA'!B:B)</f>
        <v>0.99220941103147386</v>
      </c>
      <c r="BJ110" s="91"/>
      <c r="BK110" s="92">
        <v>10</v>
      </c>
      <c r="CN110">
        <v>767</v>
      </c>
      <c r="CO110">
        <v>40.64</v>
      </c>
      <c r="CP110">
        <v>33.9</v>
      </c>
      <c r="CQ110">
        <v>24.77</v>
      </c>
      <c r="CR110">
        <v>18.03</v>
      </c>
      <c r="CV110">
        <v>7688</v>
      </c>
      <c r="CW110" t="s">
        <v>598</v>
      </c>
      <c r="CY110" s="34" t="s">
        <v>599</v>
      </c>
      <c r="CZ110" s="35">
        <v>3.0720000000000001</v>
      </c>
    </row>
    <row r="111" spans="8:104" ht="21.6" thickBot="1" x14ac:dyDescent="0.35">
      <c r="H111" s="230"/>
      <c r="I111" s="231"/>
      <c r="J111" s="231"/>
      <c r="K111" s="231"/>
      <c r="L111" s="232"/>
      <c r="M111" s="258"/>
      <c r="P111" s="238"/>
      <c r="Q111" s="239"/>
      <c r="R111" s="241"/>
      <c r="S111" s="242"/>
      <c r="T111" s="239"/>
      <c r="U111" s="241"/>
      <c r="V111" s="242"/>
      <c r="W111" s="242"/>
      <c r="X111" s="243"/>
      <c r="AH111" s="114"/>
      <c r="AI111" s="115"/>
      <c r="AJ111" s="116"/>
      <c r="AN111" s="117">
        <v>400208</v>
      </c>
      <c r="AO111" s="118" t="s">
        <v>101</v>
      </c>
      <c r="AP111" s="119" t="s">
        <v>600</v>
      </c>
      <c r="AQ111" s="120">
        <v>1</v>
      </c>
      <c r="AS111" s="100"/>
      <c r="AY111" s="109">
        <v>2700</v>
      </c>
      <c r="AZ111" s="122" t="s">
        <v>601</v>
      </c>
      <c r="BA111" s="123"/>
      <c r="BB111" s="124"/>
      <c r="BC111" s="119"/>
      <c r="BD111" s="119"/>
      <c r="BE111" s="125"/>
      <c r="BF111" s="108"/>
      <c r="BG111" s="109">
        <v>2700</v>
      </c>
      <c r="BH111" s="110">
        <f>_xlfn.XLOOKUP(BG111,'[1]OEE MEJORADA'!A:A,'[1]OEE MEJORADA'!B:B)</f>
        <v>0.98557291830713656</v>
      </c>
      <c r="BJ111" s="91"/>
      <c r="BK111" s="92">
        <v>10</v>
      </c>
      <c r="CN111">
        <v>771</v>
      </c>
      <c r="CO111">
        <v>41.74</v>
      </c>
      <c r="CP111">
        <v>35.25</v>
      </c>
      <c r="CQ111">
        <v>36.33</v>
      </c>
      <c r="CR111">
        <v>29.84</v>
      </c>
      <c r="CV111">
        <v>2612</v>
      </c>
      <c r="CW111" t="s">
        <v>602</v>
      </c>
      <c r="CY111" s="34" t="s">
        <v>603</v>
      </c>
      <c r="CZ111" s="35">
        <v>1.786E-3</v>
      </c>
    </row>
    <row r="112" spans="8:104" ht="15" thickBot="1" x14ac:dyDescent="0.35">
      <c r="P112" s="238"/>
      <c r="Q112" s="239"/>
      <c r="R112" s="241"/>
      <c r="S112" s="242"/>
      <c r="T112" s="239"/>
      <c r="U112" s="241"/>
      <c r="V112" s="242"/>
      <c r="W112" s="242"/>
      <c r="X112" s="243"/>
      <c r="AH112" s="109"/>
      <c r="AI112" s="115"/>
      <c r="AJ112" s="116"/>
      <c r="AN112" s="117">
        <v>400213</v>
      </c>
      <c r="AO112" s="118" t="s">
        <v>101</v>
      </c>
      <c r="AP112" s="119" t="s">
        <v>604</v>
      </c>
      <c r="AQ112" s="120">
        <v>1</v>
      </c>
      <c r="AS112" s="100"/>
      <c r="AY112" s="109">
        <v>3600</v>
      </c>
      <c r="AZ112" s="122" t="s">
        <v>605</v>
      </c>
      <c r="BA112" s="123"/>
      <c r="BB112" s="124"/>
      <c r="BC112" s="119"/>
      <c r="BD112" s="119"/>
      <c r="BE112" s="125"/>
      <c r="BF112" s="108"/>
      <c r="BG112" s="109">
        <v>3600</v>
      </c>
      <c r="BH112" s="110">
        <f>_xlfn.XLOOKUP(BG112,'[1]OEE MEJORADA'!A:A,'[1]OEE MEJORADA'!B:B)</f>
        <v>0.89599247855212127</v>
      </c>
      <c r="BJ112" s="91"/>
      <c r="BK112" s="92">
        <v>10</v>
      </c>
      <c r="CN112">
        <v>772</v>
      </c>
      <c r="CO112">
        <v>40.64</v>
      </c>
      <c r="CP112">
        <v>33.9</v>
      </c>
      <c r="CQ112">
        <v>24.77</v>
      </c>
      <c r="CR112">
        <v>18.03</v>
      </c>
      <c r="CV112">
        <v>2967</v>
      </c>
      <c r="CW112" t="s">
        <v>606</v>
      </c>
      <c r="CY112" s="34" t="s">
        <v>607</v>
      </c>
      <c r="CZ112" s="35">
        <v>2.590611064E-2</v>
      </c>
    </row>
    <row r="113" spans="16:104" ht="15" thickBot="1" x14ac:dyDescent="0.35">
      <c r="P113" s="238"/>
      <c r="Q113" s="239"/>
      <c r="R113" s="241"/>
      <c r="S113" s="242"/>
      <c r="T113" s="239"/>
      <c r="U113" s="241"/>
      <c r="V113" s="242"/>
      <c r="W113" s="242"/>
      <c r="X113" s="243"/>
      <c r="AH113" s="109"/>
      <c r="AI113" s="115"/>
      <c r="AJ113" s="116"/>
      <c r="AN113" s="117" t="s">
        <v>608</v>
      </c>
      <c r="AO113" s="118" t="s">
        <v>101</v>
      </c>
      <c r="AP113" s="119" t="s">
        <v>609</v>
      </c>
      <c r="AQ113" s="120">
        <v>0.33</v>
      </c>
      <c r="AS113" s="100"/>
      <c r="AY113" s="109">
        <v>3601</v>
      </c>
      <c r="AZ113" s="122" t="s">
        <v>610</v>
      </c>
      <c r="BA113" s="123"/>
      <c r="BB113" s="124"/>
      <c r="BC113" s="119"/>
      <c r="BD113" s="119"/>
      <c r="BE113" s="125"/>
      <c r="BF113" s="108"/>
      <c r="BG113" s="109">
        <v>3601</v>
      </c>
      <c r="BH113" s="110" t="str">
        <f>_xlfn.XLOOKUP(BG113,'[1]OEE MEJORADA'!A:A,'[1]OEE MEJORADA'!B:B)</f>
        <v/>
      </c>
      <c r="BJ113" s="91"/>
      <c r="BK113" s="92">
        <v>10</v>
      </c>
      <c r="CN113">
        <v>776</v>
      </c>
      <c r="CO113">
        <v>40.590000000000003</v>
      </c>
      <c r="CP113">
        <v>34.1</v>
      </c>
      <c r="CQ113">
        <v>35.18</v>
      </c>
      <c r="CR113">
        <v>28.69</v>
      </c>
      <c r="CV113">
        <v>7606</v>
      </c>
      <c r="CW113" t="s">
        <v>611</v>
      </c>
      <c r="CY113" s="34" t="s">
        <v>612</v>
      </c>
      <c r="CZ113" s="35">
        <v>2.085</v>
      </c>
    </row>
    <row r="114" spans="16:104" ht="15" thickBot="1" x14ac:dyDescent="0.35">
      <c r="P114" s="238"/>
      <c r="Q114" s="239"/>
      <c r="R114" s="241"/>
      <c r="S114" s="242"/>
      <c r="T114" s="239"/>
      <c r="U114" s="241"/>
      <c r="V114" s="242"/>
      <c r="W114" s="242"/>
      <c r="X114" s="243"/>
      <c r="AH114" s="109"/>
      <c r="AI114" s="115"/>
      <c r="AJ114" s="116"/>
      <c r="AN114" s="117">
        <v>400299</v>
      </c>
      <c r="AO114" s="118" t="s">
        <v>101</v>
      </c>
      <c r="AP114" s="119" t="s">
        <v>613</v>
      </c>
      <c r="AQ114" s="120">
        <v>1</v>
      </c>
      <c r="AS114" s="100"/>
      <c r="AY114" s="109">
        <v>8001</v>
      </c>
      <c r="AZ114" s="122" t="s">
        <v>614</v>
      </c>
      <c r="BA114" s="123"/>
      <c r="BB114" s="124"/>
      <c r="BC114" s="119"/>
      <c r="BD114" s="119"/>
      <c r="BE114" s="125"/>
      <c r="BF114" s="108"/>
      <c r="BG114" s="109">
        <v>8001</v>
      </c>
      <c r="BH114" s="110">
        <f>_xlfn.XLOOKUP(BG114,'[1]OEE MEJORADA'!A:A,'[1]OEE MEJORADA'!B:B)</f>
        <v>0.82493825659252018</v>
      </c>
      <c r="BJ114" s="91"/>
      <c r="BK114" s="92">
        <v>10</v>
      </c>
      <c r="CN114">
        <v>778</v>
      </c>
      <c r="CO114">
        <v>40.64</v>
      </c>
      <c r="CP114">
        <v>33.9</v>
      </c>
      <c r="CQ114">
        <v>24.77</v>
      </c>
      <c r="CR114">
        <v>18.03</v>
      </c>
      <c r="CV114">
        <v>7607</v>
      </c>
      <c r="CW114" t="s">
        <v>615</v>
      </c>
      <c r="CY114" s="34" t="s">
        <v>616</v>
      </c>
      <c r="CZ114" s="35">
        <v>10.544</v>
      </c>
    </row>
    <row r="115" spans="16:104" ht="15" thickBot="1" x14ac:dyDescent="0.35">
      <c r="P115" s="238"/>
      <c r="Q115" s="239"/>
      <c r="R115" s="241"/>
      <c r="S115" s="242"/>
      <c r="T115" s="239"/>
      <c r="U115" s="241"/>
      <c r="V115" s="242"/>
      <c r="W115" s="242"/>
      <c r="X115" s="243"/>
      <c r="AH115" s="222"/>
      <c r="AI115" s="261"/>
      <c r="AJ115" s="223"/>
      <c r="AN115" s="117">
        <v>407518</v>
      </c>
      <c r="AO115" s="118" t="s">
        <v>101</v>
      </c>
      <c r="AP115" s="119" t="s">
        <v>617</v>
      </c>
      <c r="AQ115" s="120">
        <v>0.33</v>
      </c>
      <c r="AS115" s="100"/>
      <c r="AY115" s="109">
        <v>10014</v>
      </c>
      <c r="AZ115" s="122" t="s">
        <v>618</v>
      </c>
      <c r="BA115" s="123"/>
      <c r="BB115" s="124"/>
      <c r="BC115" s="119"/>
      <c r="BD115" s="119"/>
      <c r="BE115" s="125"/>
      <c r="BF115" s="108"/>
      <c r="BG115" s="109">
        <v>10014</v>
      </c>
      <c r="BH115" s="110" t="e">
        <f>_xlfn.XLOOKUP(BG115,'[1]OEE MEJORADA'!A:A,'[1]OEE MEJORADA'!B:B)</f>
        <v>#N/A</v>
      </c>
      <c r="BJ115" s="91"/>
      <c r="BK115" s="92">
        <v>10</v>
      </c>
      <c r="CN115">
        <v>779</v>
      </c>
      <c r="CO115">
        <v>53.23</v>
      </c>
      <c r="CP115">
        <v>46</v>
      </c>
      <c r="CQ115">
        <v>47.82</v>
      </c>
      <c r="CR115">
        <v>40.590000000000003</v>
      </c>
      <c r="CV115">
        <v>2026</v>
      </c>
      <c r="CW115" t="s">
        <v>619</v>
      </c>
      <c r="CY115" s="34" t="s">
        <v>620</v>
      </c>
      <c r="CZ115" s="35">
        <v>1.756</v>
      </c>
    </row>
    <row r="116" spans="16:104" ht="15" thickBot="1" x14ac:dyDescent="0.35">
      <c r="P116" s="238"/>
      <c r="Q116" s="239"/>
      <c r="R116" s="241"/>
      <c r="S116" s="242"/>
      <c r="T116" s="239"/>
      <c r="U116" s="241"/>
      <c r="V116" s="242"/>
      <c r="W116" s="242"/>
      <c r="X116" s="243"/>
      <c r="AH116" s="222"/>
      <c r="AI116" s="261"/>
      <c r="AJ116" s="223"/>
      <c r="AN116" s="117">
        <v>400304</v>
      </c>
      <c r="AO116" s="118" t="s">
        <v>101</v>
      </c>
      <c r="AP116" s="119" t="s">
        <v>621</v>
      </c>
      <c r="AQ116" s="120">
        <v>0.5</v>
      </c>
      <c r="AS116" s="100"/>
      <c r="AY116" s="109">
        <v>10199</v>
      </c>
      <c r="AZ116" s="122" t="s">
        <v>622</v>
      </c>
      <c r="BA116" s="123"/>
      <c r="BB116" s="124"/>
      <c r="BC116" s="119"/>
      <c r="BD116" s="119"/>
      <c r="BE116" s="125"/>
      <c r="BF116" s="108"/>
      <c r="BG116" s="109">
        <v>10199</v>
      </c>
      <c r="BH116" s="110" t="e">
        <f>_xlfn.XLOOKUP(BG116,'[1]OEE MEJORADA'!A:A,'[1]OEE MEJORADA'!B:B)</f>
        <v>#N/A</v>
      </c>
      <c r="BJ116" s="91"/>
      <c r="BK116" s="92">
        <v>10</v>
      </c>
      <c r="CN116">
        <v>780</v>
      </c>
      <c r="CO116">
        <v>40.630000000000003</v>
      </c>
      <c r="CP116">
        <v>33.85</v>
      </c>
      <c r="CQ116">
        <v>35.22</v>
      </c>
      <c r="CR116">
        <v>28.43</v>
      </c>
      <c r="CV116">
        <v>2646</v>
      </c>
      <c r="CW116" t="s">
        <v>623</v>
      </c>
      <c r="CY116" s="34" t="s">
        <v>624</v>
      </c>
      <c r="CZ116" s="35">
        <v>3.0720000000000001</v>
      </c>
    </row>
    <row r="117" spans="16:104" ht="15" thickBot="1" x14ac:dyDescent="0.35">
      <c r="P117" s="238"/>
      <c r="Q117" s="239"/>
      <c r="R117" s="241"/>
      <c r="S117" s="242"/>
      <c r="T117" s="239"/>
      <c r="U117" s="241"/>
      <c r="V117" s="242"/>
      <c r="W117" s="242"/>
      <c r="X117" s="243"/>
      <c r="AH117" s="222"/>
      <c r="AI117" s="261"/>
      <c r="AJ117" s="223"/>
      <c r="AN117" s="117">
        <v>400303</v>
      </c>
      <c r="AO117" s="118" t="s">
        <v>101</v>
      </c>
      <c r="AP117" s="119" t="s">
        <v>625</v>
      </c>
      <c r="AQ117" s="120">
        <v>0.5</v>
      </c>
      <c r="AS117" s="100"/>
      <c r="AY117" s="109">
        <v>10258</v>
      </c>
      <c r="AZ117" s="122" t="s">
        <v>626</v>
      </c>
      <c r="BA117" s="123"/>
      <c r="BB117" s="124"/>
      <c r="BC117" s="119"/>
      <c r="BD117" s="119"/>
      <c r="BE117" s="125"/>
      <c r="BF117" s="108"/>
      <c r="BG117" s="109">
        <v>10258</v>
      </c>
      <c r="BH117" s="110" t="e">
        <f>_xlfn.XLOOKUP(BG117,'[1]OEE MEJORADA'!A:A,'[1]OEE MEJORADA'!B:B)</f>
        <v>#N/A</v>
      </c>
      <c r="BJ117" s="91"/>
      <c r="BK117" s="92">
        <v>10</v>
      </c>
      <c r="CN117">
        <v>781</v>
      </c>
      <c r="CO117">
        <v>40.630000000000003</v>
      </c>
      <c r="CP117">
        <v>33.85</v>
      </c>
      <c r="CQ117">
        <v>35.22</v>
      </c>
      <c r="CR117">
        <v>28.43</v>
      </c>
      <c r="CV117">
        <v>3486</v>
      </c>
      <c r="CW117" t="s">
        <v>627</v>
      </c>
      <c r="CY117" s="34" t="s">
        <v>628</v>
      </c>
      <c r="CZ117" s="35">
        <v>1.686E-3</v>
      </c>
    </row>
    <row r="118" spans="16:104" ht="15" thickBot="1" x14ac:dyDescent="0.35">
      <c r="P118" s="238"/>
      <c r="Q118" s="239"/>
      <c r="R118" s="241"/>
      <c r="S118" s="242"/>
      <c r="T118" s="239"/>
      <c r="U118" s="241"/>
      <c r="V118" s="242"/>
      <c r="W118" s="242"/>
      <c r="X118" s="243"/>
      <c r="AH118" s="222"/>
      <c r="AI118" s="261"/>
      <c r="AJ118" s="223"/>
      <c r="AN118" s="117">
        <v>400292</v>
      </c>
      <c r="AO118" s="118" t="s">
        <v>101</v>
      </c>
      <c r="AP118" s="119" t="s">
        <v>629</v>
      </c>
      <c r="AQ118" s="120">
        <v>1</v>
      </c>
      <c r="AS118" s="100"/>
      <c r="AY118" s="109">
        <v>10405</v>
      </c>
      <c r="AZ118" s="122" t="s">
        <v>630</v>
      </c>
      <c r="BA118" s="123"/>
      <c r="BB118" s="124"/>
      <c r="BC118" s="119"/>
      <c r="BD118" s="119"/>
      <c r="BE118" s="125"/>
      <c r="BF118" s="108"/>
      <c r="BG118" s="109">
        <v>10405</v>
      </c>
      <c r="BH118" s="110" t="e">
        <f>_xlfn.XLOOKUP(BG118,'[1]OEE MEJORADA'!A:A,'[1]OEE MEJORADA'!B:B)</f>
        <v>#N/A</v>
      </c>
      <c r="BJ118" s="91"/>
      <c r="BK118" s="92">
        <v>10</v>
      </c>
      <c r="CN118">
        <v>782</v>
      </c>
      <c r="CO118">
        <v>46.81</v>
      </c>
      <c r="CP118">
        <v>38.909999999999997</v>
      </c>
      <c r="CQ118">
        <v>25.49</v>
      </c>
      <c r="CR118">
        <v>17.57</v>
      </c>
      <c r="CV118">
        <v>194</v>
      </c>
      <c r="CW118" t="s">
        <v>631</v>
      </c>
      <c r="CY118" s="34" t="s">
        <v>632</v>
      </c>
      <c r="CZ118" s="35">
        <v>3.10648E-3</v>
      </c>
    </row>
    <row r="119" spans="16:104" ht="15" thickBot="1" x14ac:dyDescent="0.35">
      <c r="P119" s="238"/>
      <c r="Q119" s="239"/>
      <c r="R119" s="241"/>
      <c r="S119" s="242"/>
      <c r="T119" s="239"/>
      <c r="U119" s="241"/>
      <c r="V119" s="242"/>
      <c r="W119" s="242"/>
      <c r="X119" s="243"/>
      <c r="AH119" s="109"/>
      <c r="AI119" s="115"/>
      <c r="AJ119" s="116"/>
      <c r="AN119" s="117">
        <v>400293</v>
      </c>
      <c r="AO119" s="118" t="s">
        <v>101</v>
      </c>
      <c r="AP119" s="119" t="s">
        <v>633</v>
      </c>
      <c r="AQ119" s="120">
        <v>1</v>
      </c>
      <c r="AS119" s="100"/>
      <c r="AY119" s="109">
        <v>10413</v>
      </c>
      <c r="AZ119" s="122" t="s">
        <v>634</v>
      </c>
      <c r="BA119" s="123"/>
      <c r="BB119" s="124"/>
      <c r="BC119" s="119"/>
      <c r="BD119" s="119"/>
      <c r="BE119" s="125"/>
      <c r="BF119" s="108"/>
      <c r="BG119" s="109">
        <v>10413</v>
      </c>
      <c r="BH119" s="110" t="e">
        <f>_xlfn.XLOOKUP(BG119,'[1]OEE MEJORADA'!A:A,'[1]OEE MEJORADA'!B:B)</f>
        <v>#N/A</v>
      </c>
      <c r="BJ119" s="91"/>
      <c r="BK119" s="92">
        <v>10</v>
      </c>
      <c r="CN119">
        <v>784</v>
      </c>
      <c r="CO119">
        <v>40.64</v>
      </c>
      <c r="CP119">
        <v>33.9</v>
      </c>
      <c r="CQ119">
        <v>24.77</v>
      </c>
      <c r="CR119">
        <v>18.03</v>
      </c>
      <c r="CV119">
        <v>6746</v>
      </c>
      <c r="CW119" t="s">
        <v>635</v>
      </c>
      <c r="CY119" s="34" t="s">
        <v>636</v>
      </c>
      <c r="CZ119" s="35">
        <v>1.686E-3</v>
      </c>
    </row>
    <row r="120" spans="16:104" ht="15" thickBot="1" x14ac:dyDescent="0.35">
      <c r="P120" s="238"/>
      <c r="Q120" s="239"/>
      <c r="R120" s="241"/>
      <c r="S120" s="242"/>
      <c r="T120" s="239"/>
      <c r="U120" s="241"/>
      <c r="V120" s="242"/>
      <c r="W120" s="242"/>
      <c r="X120" s="243"/>
      <c r="AH120" s="109"/>
      <c r="AI120" s="115"/>
      <c r="AJ120" s="116"/>
      <c r="AN120" s="117" t="s">
        <v>637</v>
      </c>
      <c r="AO120" s="118" t="s">
        <v>101</v>
      </c>
      <c r="AP120" s="119" t="s">
        <v>638</v>
      </c>
      <c r="AQ120" s="120">
        <v>0.5</v>
      </c>
      <c r="AS120" s="100"/>
      <c r="AY120" s="109">
        <v>10662</v>
      </c>
      <c r="AZ120" s="122" t="s">
        <v>639</v>
      </c>
      <c r="BA120" s="123"/>
      <c r="BB120" s="124"/>
      <c r="BC120" s="119"/>
      <c r="BD120" s="119"/>
      <c r="BE120" s="125"/>
      <c r="BF120" s="108"/>
      <c r="BG120" s="109">
        <v>10662</v>
      </c>
      <c r="BH120" s="110" t="e">
        <f>_xlfn.XLOOKUP(BG120,'[1]OEE MEJORADA'!A:A,'[1]OEE MEJORADA'!B:B)</f>
        <v>#N/A</v>
      </c>
      <c r="BJ120" s="91"/>
      <c r="BK120" s="92">
        <v>10</v>
      </c>
      <c r="CN120">
        <v>786</v>
      </c>
      <c r="CO120">
        <v>42.35</v>
      </c>
      <c r="CP120">
        <v>34.81</v>
      </c>
      <c r="CQ120">
        <v>36.93</v>
      </c>
      <c r="CR120">
        <v>29.39</v>
      </c>
      <c r="CV120">
        <v>6222</v>
      </c>
      <c r="CW120" t="s">
        <v>640</v>
      </c>
      <c r="CY120" s="34" t="s">
        <v>641</v>
      </c>
      <c r="CZ120" s="35">
        <v>1.686E-3</v>
      </c>
    </row>
    <row r="121" spans="16:104" ht="15" thickBot="1" x14ac:dyDescent="0.35">
      <c r="P121" s="238"/>
      <c r="Q121" s="239"/>
      <c r="R121" s="241"/>
      <c r="S121" s="242"/>
      <c r="T121" s="239"/>
      <c r="U121" s="241"/>
      <c r="V121" s="242"/>
      <c r="W121" s="242"/>
      <c r="X121" s="243"/>
      <c r="AH121" s="109"/>
      <c r="AI121" s="119"/>
      <c r="AJ121" s="125"/>
      <c r="AN121" s="117">
        <v>450179</v>
      </c>
      <c r="AO121" s="118" t="s">
        <v>101</v>
      </c>
      <c r="AP121" s="119" t="s">
        <v>642</v>
      </c>
      <c r="AQ121" s="120">
        <v>0.33</v>
      </c>
      <c r="AS121" s="100"/>
      <c r="AY121" s="109">
        <v>10666</v>
      </c>
      <c r="AZ121" s="122" t="s">
        <v>643</v>
      </c>
      <c r="BA121" s="123"/>
      <c r="BB121" s="124"/>
      <c r="BC121" s="119"/>
      <c r="BD121" s="119"/>
      <c r="BE121" s="125"/>
      <c r="BF121" s="108"/>
      <c r="BG121" s="109">
        <v>10666</v>
      </c>
      <c r="BH121" s="110" t="e">
        <f>_xlfn.XLOOKUP(BG121,'[1]OEE MEJORADA'!A:A,'[1]OEE MEJORADA'!B:B)</f>
        <v>#N/A</v>
      </c>
      <c r="BJ121" s="91"/>
      <c r="BK121" s="92">
        <v>10</v>
      </c>
      <c r="CN121">
        <v>787</v>
      </c>
      <c r="CO121">
        <v>41.69</v>
      </c>
      <c r="CP121">
        <v>34.520000000000003</v>
      </c>
      <c r="CQ121">
        <v>36.630000000000003</v>
      </c>
      <c r="CR121">
        <v>29.1</v>
      </c>
      <c r="CV121">
        <v>2022</v>
      </c>
      <c r="CW121" t="s">
        <v>644</v>
      </c>
      <c r="CY121" s="34" t="s">
        <v>645</v>
      </c>
      <c r="CZ121" s="35">
        <v>16.34</v>
      </c>
    </row>
    <row r="122" spans="16:104" ht="15" thickBot="1" x14ac:dyDescent="0.35">
      <c r="P122" s="238"/>
      <c r="Q122" s="239"/>
      <c r="R122" s="241"/>
      <c r="S122" s="242"/>
      <c r="T122" s="239"/>
      <c r="U122" s="241"/>
      <c r="V122" s="242"/>
      <c r="W122" s="242"/>
      <c r="X122" s="243"/>
      <c r="AH122" s="222"/>
      <c r="AI122" s="261"/>
      <c r="AJ122" s="223"/>
      <c r="AN122" s="117">
        <v>413115</v>
      </c>
      <c r="AO122" s="118" t="s">
        <v>101</v>
      </c>
      <c r="AP122" s="119" t="s">
        <v>646</v>
      </c>
      <c r="AQ122" s="120">
        <v>0.5</v>
      </c>
      <c r="AS122" s="100"/>
      <c r="AY122" s="109">
        <v>10798</v>
      </c>
      <c r="AZ122" s="122" t="s">
        <v>647</v>
      </c>
      <c r="BA122" s="123"/>
      <c r="BB122" s="124"/>
      <c r="BC122" s="119"/>
      <c r="BD122" s="119"/>
      <c r="BE122" s="125"/>
      <c r="BF122" s="108"/>
      <c r="BG122" s="109">
        <v>10798</v>
      </c>
      <c r="BH122" s="110" t="e">
        <f>_xlfn.XLOOKUP(BG122,'[1]OEE MEJORADA'!A:A,'[1]OEE MEJORADA'!B:B)</f>
        <v>#N/A</v>
      </c>
      <c r="BJ122" s="91"/>
      <c r="BK122" s="92">
        <v>10</v>
      </c>
      <c r="CN122">
        <v>791</v>
      </c>
      <c r="CO122">
        <v>14.33</v>
      </c>
      <c r="CP122">
        <v>7.77</v>
      </c>
      <c r="CQ122">
        <v>14.33</v>
      </c>
      <c r="CR122">
        <v>7.77</v>
      </c>
      <c r="CV122">
        <v>266</v>
      </c>
      <c r="CW122" t="s">
        <v>648</v>
      </c>
      <c r="CY122" s="34" t="s">
        <v>649</v>
      </c>
      <c r="CZ122" s="35">
        <v>5.1829999999999998</v>
      </c>
    </row>
    <row r="123" spans="16:104" ht="15" thickBot="1" x14ac:dyDescent="0.35">
      <c r="P123" s="238"/>
      <c r="Q123" s="239"/>
      <c r="R123" s="241"/>
      <c r="S123" s="242"/>
      <c r="T123" s="239"/>
      <c r="U123" s="241"/>
      <c r="V123" s="242"/>
      <c r="W123" s="242"/>
      <c r="X123" s="243"/>
      <c r="AH123" s="222"/>
      <c r="AI123" s="261"/>
      <c r="AJ123" s="223"/>
      <c r="AN123" s="117">
        <v>412440</v>
      </c>
      <c r="AO123" s="118" t="s">
        <v>101</v>
      </c>
      <c r="AP123" s="119" t="s">
        <v>650</v>
      </c>
      <c r="AQ123" s="120">
        <v>0.5</v>
      </c>
      <c r="AS123" s="100"/>
      <c r="AY123" s="109">
        <v>11005</v>
      </c>
      <c r="AZ123" s="122" t="s">
        <v>651</v>
      </c>
      <c r="BA123" s="123"/>
      <c r="BB123" s="124"/>
      <c r="BC123" s="119"/>
      <c r="BD123" s="119"/>
      <c r="BE123" s="125"/>
      <c r="BF123" s="108"/>
      <c r="BG123" s="109">
        <v>11005</v>
      </c>
      <c r="BH123" s="110" t="e">
        <f>_xlfn.XLOOKUP(BG123,'[1]OEE MEJORADA'!A:A,'[1]OEE MEJORADA'!B:B)</f>
        <v>#N/A</v>
      </c>
      <c r="BJ123" s="91"/>
      <c r="BK123" s="92">
        <v>10</v>
      </c>
      <c r="CN123">
        <v>792</v>
      </c>
      <c r="CO123">
        <v>15.51</v>
      </c>
      <c r="CP123">
        <v>9.01</v>
      </c>
      <c r="CQ123">
        <v>15.51</v>
      </c>
      <c r="CR123">
        <v>9.01</v>
      </c>
      <c r="CV123">
        <v>2666</v>
      </c>
      <c r="CW123" t="s">
        <v>652</v>
      </c>
      <c r="CY123" s="34" t="s">
        <v>653</v>
      </c>
      <c r="CZ123" s="35">
        <v>2.9870000000000001</v>
      </c>
    </row>
    <row r="124" spans="16:104" ht="15" thickBot="1" x14ac:dyDescent="0.35">
      <c r="P124" s="238"/>
      <c r="Q124" s="239"/>
      <c r="R124" s="241"/>
      <c r="S124" s="242"/>
      <c r="T124" s="239"/>
      <c r="U124" s="241"/>
      <c r="V124" s="242"/>
      <c r="W124" s="242"/>
      <c r="X124" s="243"/>
      <c r="AH124" s="109"/>
      <c r="AI124" s="115"/>
      <c r="AJ124" s="116"/>
      <c r="AN124" s="117">
        <v>412366</v>
      </c>
      <c r="AO124" s="118" t="s">
        <v>101</v>
      </c>
      <c r="AP124" s="119" t="s">
        <v>654</v>
      </c>
      <c r="AQ124" s="120">
        <v>0.33</v>
      </c>
      <c r="AS124" s="100"/>
      <c r="AY124" s="109">
        <v>20014</v>
      </c>
      <c r="AZ124" s="122" t="s">
        <v>655</v>
      </c>
      <c r="BA124" s="123"/>
      <c r="BB124" s="124"/>
      <c r="BC124" s="119"/>
      <c r="BD124" s="119"/>
      <c r="BE124" s="125"/>
      <c r="BF124" s="108"/>
      <c r="BG124" s="109">
        <v>20014</v>
      </c>
      <c r="BH124" s="110" t="e">
        <f>_xlfn.XLOOKUP(BG124,'[1]OEE MEJORADA'!A:A,'[1]OEE MEJORADA'!B:B)</f>
        <v>#N/A</v>
      </c>
      <c r="BJ124" s="91"/>
      <c r="BK124" s="92">
        <v>10</v>
      </c>
      <c r="CN124">
        <v>800</v>
      </c>
      <c r="CO124">
        <v>38.549999999999997</v>
      </c>
      <c r="CP124">
        <v>31.21</v>
      </c>
      <c r="CQ124">
        <v>38.549999999999997</v>
      </c>
      <c r="CR124">
        <v>31.21</v>
      </c>
      <c r="CV124">
        <v>6880</v>
      </c>
      <c r="CW124" t="s">
        <v>656</v>
      </c>
      <c r="CY124" s="34" t="s">
        <v>657</v>
      </c>
      <c r="CZ124" s="35">
        <v>1.6659999999999999E-3</v>
      </c>
    </row>
    <row r="125" spans="16:104" ht="15" thickBot="1" x14ac:dyDescent="0.35">
      <c r="P125" s="238"/>
      <c r="Q125" s="239"/>
      <c r="R125" s="241"/>
      <c r="S125" s="242"/>
      <c r="T125" s="239"/>
      <c r="U125" s="241"/>
      <c r="V125" s="242"/>
      <c r="W125" s="242"/>
      <c r="X125" s="243"/>
      <c r="AH125" s="222"/>
      <c r="AI125" s="261"/>
      <c r="AJ125" s="223"/>
      <c r="AN125" s="117" t="s">
        <v>658</v>
      </c>
      <c r="AO125" s="118" t="s">
        <v>101</v>
      </c>
      <c r="AP125" s="119" t="s">
        <v>659</v>
      </c>
      <c r="AQ125" s="120">
        <v>0.33</v>
      </c>
      <c r="AS125" s="100"/>
      <c r="AY125" s="109">
        <v>20405</v>
      </c>
      <c r="AZ125" s="122" t="s">
        <v>660</v>
      </c>
      <c r="BA125" s="123"/>
      <c r="BB125" s="124"/>
      <c r="BC125" s="119"/>
      <c r="BD125" s="119"/>
      <c r="BE125" s="125"/>
      <c r="BF125" s="108"/>
      <c r="BG125" s="109">
        <v>20405</v>
      </c>
      <c r="BH125" s="110" t="e">
        <f>_xlfn.XLOOKUP(BG125,'[1]OEE MEJORADA'!A:A,'[1]OEE MEJORADA'!B:B)</f>
        <v>#N/A</v>
      </c>
      <c r="BJ125" s="91"/>
      <c r="BK125" s="92">
        <v>10</v>
      </c>
      <c r="CN125">
        <v>807</v>
      </c>
      <c r="CO125">
        <v>49.72</v>
      </c>
      <c r="CP125">
        <v>40.44</v>
      </c>
      <c r="CQ125">
        <v>49.72</v>
      </c>
      <c r="CR125">
        <v>40.44</v>
      </c>
      <c r="CV125">
        <v>2647</v>
      </c>
      <c r="CW125" t="s">
        <v>661</v>
      </c>
      <c r="CY125" s="34" t="s">
        <v>662</v>
      </c>
      <c r="CZ125" s="35">
        <v>2.9870000000000001E-3</v>
      </c>
    </row>
    <row r="126" spans="16:104" ht="15" thickBot="1" x14ac:dyDescent="0.35">
      <c r="P126" s="238"/>
      <c r="Q126" s="239"/>
      <c r="R126" s="241"/>
      <c r="S126" s="242"/>
      <c r="T126" s="239"/>
      <c r="U126" s="241"/>
      <c r="V126" s="242"/>
      <c r="W126" s="242"/>
      <c r="X126" s="243"/>
      <c r="AH126" s="222"/>
      <c r="AI126" s="261"/>
      <c r="AJ126" s="223"/>
      <c r="AN126" s="117">
        <v>411561</v>
      </c>
      <c r="AO126" s="118" t="s">
        <v>101</v>
      </c>
      <c r="AP126" s="119" t="s">
        <v>663</v>
      </c>
      <c r="AQ126" s="120">
        <v>0.33</v>
      </c>
      <c r="AS126" s="100"/>
      <c r="AY126" s="109">
        <v>20725</v>
      </c>
      <c r="AZ126" s="122" t="s">
        <v>664</v>
      </c>
      <c r="BA126" s="123"/>
      <c r="BB126" s="124"/>
      <c r="BC126" s="119"/>
      <c r="BD126" s="119"/>
      <c r="BE126" s="125"/>
      <c r="BF126" s="108"/>
      <c r="BG126" s="109">
        <v>20725</v>
      </c>
      <c r="BH126" s="110" t="e">
        <f>_xlfn.XLOOKUP(BG126,'[1]OEE MEJORADA'!A:A,'[1]OEE MEJORADA'!B:B)</f>
        <v>#N/A</v>
      </c>
      <c r="BJ126" s="91"/>
      <c r="BK126" s="92">
        <v>10</v>
      </c>
      <c r="CN126">
        <v>809</v>
      </c>
      <c r="CO126">
        <v>49.72</v>
      </c>
      <c r="CP126">
        <v>40.44</v>
      </c>
      <c r="CQ126">
        <v>49.72</v>
      </c>
      <c r="CR126">
        <v>40.44</v>
      </c>
      <c r="CV126">
        <v>3490</v>
      </c>
      <c r="CW126" t="s">
        <v>665</v>
      </c>
      <c r="CY126" s="34" t="s">
        <v>666</v>
      </c>
      <c r="CZ126" s="35">
        <v>9.6950000000000003</v>
      </c>
    </row>
    <row r="127" spans="16:104" ht="15" thickBot="1" x14ac:dyDescent="0.35">
      <c r="P127" s="238"/>
      <c r="Q127" s="239"/>
      <c r="R127" s="241"/>
      <c r="S127" s="242"/>
      <c r="T127" s="239"/>
      <c r="U127" s="241"/>
      <c r="V127" s="242"/>
      <c r="W127" s="242"/>
      <c r="X127" s="243"/>
      <c r="AH127" s="222"/>
      <c r="AI127" s="261"/>
      <c r="AJ127" s="223"/>
      <c r="AN127" s="117">
        <v>411933</v>
      </c>
      <c r="AO127" s="118" t="s">
        <v>101</v>
      </c>
      <c r="AP127" s="119" t="s">
        <v>667</v>
      </c>
      <c r="AQ127" s="120">
        <v>0.5</v>
      </c>
      <c r="AS127" s="100"/>
      <c r="AY127" s="109">
        <v>21005</v>
      </c>
      <c r="AZ127" s="122" t="s">
        <v>651</v>
      </c>
      <c r="BA127" s="123"/>
      <c r="BB127" s="124"/>
      <c r="BC127" s="119"/>
      <c r="BD127" s="119"/>
      <c r="BE127" s="125"/>
      <c r="BF127" s="108"/>
      <c r="BG127" s="109">
        <v>21005</v>
      </c>
      <c r="BH127" s="110" t="e">
        <f>_xlfn.XLOOKUP(BG127,'[1]OEE MEJORADA'!A:A,'[1]OEE MEJORADA'!B:B)</f>
        <v>#N/A</v>
      </c>
      <c r="BJ127" s="91"/>
      <c r="BK127" s="92">
        <v>10</v>
      </c>
      <c r="CN127">
        <v>813</v>
      </c>
      <c r="CO127">
        <v>45.69</v>
      </c>
      <c r="CP127">
        <v>39.200000000000003</v>
      </c>
      <c r="CQ127">
        <v>25.83</v>
      </c>
      <c r="CR127">
        <v>19.32</v>
      </c>
      <c r="CV127">
        <v>6622</v>
      </c>
      <c r="CW127" t="s">
        <v>668</v>
      </c>
      <c r="CY127" s="34" t="s">
        <v>669</v>
      </c>
      <c r="CZ127" s="35">
        <v>10.153</v>
      </c>
    </row>
    <row r="128" spans="16:104" ht="15" thickBot="1" x14ac:dyDescent="0.35">
      <c r="P128" s="238"/>
      <c r="Q128" s="239"/>
      <c r="R128" s="241"/>
      <c r="S128" s="242"/>
      <c r="T128" s="239"/>
      <c r="U128" s="241"/>
      <c r="V128" s="242"/>
      <c r="W128" s="242"/>
      <c r="X128" s="243"/>
      <c r="AH128" s="222"/>
      <c r="AI128" s="261"/>
      <c r="AJ128" s="223"/>
      <c r="AN128" s="117">
        <v>407612</v>
      </c>
      <c r="AO128" s="118" t="s">
        <v>101</v>
      </c>
      <c r="AP128" s="119" t="s">
        <v>670</v>
      </c>
      <c r="AQ128" s="120">
        <v>0.33</v>
      </c>
      <c r="AS128" s="100"/>
      <c r="AY128" s="109">
        <v>30014</v>
      </c>
      <c r="AZ128" s="122" t="s">
        <v>671</v>
      </c>
      <c r="BA128" s="123"/>
      <c r="BB128" s="124"/>
      <c r="BC128" s="119"/>
      <c r="BD128" s="119"/>
      <c r="BE128" s="125"/>
      <c r="BF128" s="108"/>
      <c r="BG128" s="109">
        <v>30014</v>
      </c>
      <c r="BH128" s="110" t="e">
        <f>_xlfn.XLOOKUP(BG128,'[1]OEE MEJORADA'!A:A,'[1]OEE MEJORADA'!B:B)</f>
        <v>#N/A</v>
      </c>
      <c r="BJ128" s="91"/>
      <c r="BK128" s="92">
        <v>10</v>
      </c>
      <c r="CN128">
        <v>850</v>
      </c>
      <c r="CO128">
        <v>54.35</v>
      </c>
      <c r="CP128">
        <v>44.91</v>
      </c>
      <c r="CQ128">
        <v>32.92</v>
      </c>
      <c r="CR128">
        <v>23.46</v>
      </c>
      <c r="CV128">
        <v>7560</v>
      </c>
      <c r="CW128" t="s">
        <v>672</v>
      </c>
      <c r="CY128" s="34" t="s">
        <v>673</v>
      </c>
      <c r="CZ128" s="35">
        <v>5.1829999999999998</v>
      </c>
    </row>
    <row r="129" spans="16:104" ht="15" thickBot="1" x14ac:dyDescent="0.35">
      <c r="P129" s="238"/>
      <c r="Q129" s="239"/>
      <c r="R129" s="241"/>
      <c r="S129" s="242"/>
      <c r="T129" s="239"/>
      <c r="U129" s="241"/>
      <c r="V129" s="242"/>
      <c r="W129" s="242"/>
      <c r="X129" s="243"/>
      <c r="AH129" s="222"/>
      <c r="AI129" s="261"/>
      <c r="AJ129" s="223"/>
      <c r="AN129" s="117">
        <v>407605</v>
      </c>
      <c r="AO129" s="118" t="s">
        <v>101</v>
      </c>
      <c r="AP129" s="119" t="s">
        <v>674</v>
      </c>
      <c r="AQ129" s="120">
        <v>0.33</v>
      </c>
      <c r="AS129" s="100"/>
      <c r="AY129" s="109">
        <v>30405</v>
      </c>
      <c r="AZ129" s="122" t="s">
        <v>660</v>
      </c>
      <c r="BA129" s="123"/>
      <c r="BB129" s="124"/>
      <c r="BC129" s="119"/>
      <c r="BD129" s="119"/>
      <c r="BE129" s="125"/>
      <c r="BF129" s="108"/>
      <c r="BG129" s="109">
        <v>30405</v>
      </c>
      <c r="BH129" s="110" t="e">
        <f>_xlfn.XLOOKUP(BG129,'[1]OEE MEJORADA'!A:A,'[1]OEE MEJORADA'!B:B)</f>
        <v>#N/A</v>
      </c>
      <c r="BJ129" s="91"/>
      <c r="BK129" s="92">
        <v>10</v>
      </c>
      <c r="CN129">
        <v>1102</v>
      </c>
      <c r="CO129">
        <v>0</v>
      </c>
      <c r="CP129">
        <v>0</v>
      </c>
      <c r="CQ129">
        <v>11.08</v>
      </c>
      <c r="CR129">
        <v>11.08</v>
      </c>
      <c r="CV129">
        <v>579</v>
      </c>
      <c r="CW129" t="s">
        <v>675</v>
      </c>
      <c r="CY129" s="34" t="s">
        <v>676</v>
      </c>
      <c r="CZ129" s="35">
        <v>5.0529999999999999</v>
      </c>
    </row>
    <row r="130" spans="16:104" x14ac:dyDescent="0.3">
      <c r="P130" s="238"/>
      <c r="Q130" s="239"/>
      <c r="R130" s="241"/>
      <c r="S130" s="242"/>
      <c r="T130" s="239"/>
      <c r="U130" s="241"/>
      <c r="V130" s="242"/>
      <c r="W130" s="242"/>
      <c r="X130" s="243"/>
      <c r="AH130" s="222"/>
      <c r="AI130" s="261"/>
      <c r="AJ130" s="223"/>
      <c r="AN130" s="117" t="s">
        <v>677</v>
      </c>
      <c r="AO130" s="118" t="s">
        <v>101</v>
      </c>
      <c r="AP130" s="119" t="s">
        <v>678</v>
      </c>
      <c r="AQ130" s="120">
        <v>0.5</v>
      </c>
      <c r="AS130" s="100"/>
      <c r="AY130" s="109">
        <v>31002</v>
      </c>
      <c r="AZ130" s="122" t="s">
        <v>679</v>
      </c>
      <c r="BA130" s="123"/>
      <c r="BB130" s="124"/>
      <c r="BC130" s="119"/>
      <c r="BD130" s="119"/>
      <c r="BE130" s="125"/>
      <c r="BF130" s="108"/>
      <c r="BG130" s="109">
        <v>31002</v>
      </c>
      <c r="BH130" s="110" t="e">
        <f>_xlfn.XLOOKUP(BG130,'[1]OEE MEJORADA'!A:A,'[1]OEE MEJORADA'!B:B)</f>
        <v>#N/A</v>
      </c>
      <c r="BJ130" s="91"/>
      <c r="BK130" s="92">
        <v>10</v>
      </c>
      <c r="CN130">
        <v>1103</v>
      </c>
      <c r="CO130">
        <v>0</v>
      </c>
      <c r="CP130">
        <v>0</v>
      </c>
      <c r="CQ130">
        <v>12.73</v>
      </c>
      <c r="CR130">
        <v>12.73</v>
      </c>
      <c r="CV130">
        <v>7477</v>
      </c>
      <c r="CW130" t="s">
        <v>680</v>
      </c>
      <c r="CY130" s="34" t="s">
        <v>681</v>
      </c>
      <c r="CZ130" s="35">
        <v>5.0529999999999999</v>
      </c>
    </row>
    <row r="131" spans="16:104" x14ac:dyDescent="0.3">
      <c r="AH131" s="222"/>
      <c r="AI131" s="261"/>
      <c r="AJ131" s="223"/>
      <c r="AN131" s="117">
        <v>450431</v>
      </c>
      <c r="AO131" s="118" t="s">
        <v>101</v>
      </c>
      <c r="AP131" s="119" t="s">
        <v>682</v>
      </c>
      <c r="AQ131" s="120">
        <v>0.5</v>
      </c>
      <c r="AS131" s="100"/>
      <c r="AY131" s="109">
        <v>31003</v>
      </c>
      <c r="AZ131" s="122" t="s">
        <v>683</v>
      </c>
      <c r="BA131" s="123"/>
      <c r="BB131" s="124"/>
      <c r="BC131" s="119"/>
      <c r="BD131" s="119"/>
      <c r="BE131" s="125"/>
      <c r="BF131" s="108"/>
      <c r="BG131" s="109">
        <v>31003</v>
      </c>
      <c r="BH131" s="110" t="e">
        <f>_xlfn.XLOOKUP(BG131,'[1]OEE MEJORADA'!A:A,'[1]OEE MEJORADA'!B:B)</f>
        <v>#N/A</v>
      </c>
      <c r="BJ131" s="91"/>
      <c r="BK131" s="92">
        <v>10</v>
      </c>
      <c r="CN131">
        <v>1104</v>
      </c>
      <c r="CO131">
        <v>0</v>
      </c>
      <c r="CP131">
        <v>0</v>
      </c>
      <c r="CQ131">
        <v>9.8000000000000007</v>
      </c>
      <c r="CR131">
        <v>9.8000000000000007</v>
      </c>
      <c r="CV131">
        <v>2608</v>
      </c>
      <c r="CW131" t="s">
        <v>684</v>
      </c>
      <c r="CY131" s="34" t="s">
        <v>685</v>
      </c>
      <c r="CZ131" s="35">
        <v>6.13</v>
      </c>
    </row>
    <row r="132" spans="16:104" x14ac:dyDescent="0.3">
      <c r="AH132" s="222"/>
      <c r="AI132" s="261"/>
      <c r="AJ132" s="223"/>
      <c r="AN132" s="117" t="s">
        <v>686</v>
      </c>
      <c r="AO132" s="118" t="s">
        <v>101</v>
      </c>
      <c r="AP132" s="119" t="s">
        <v>687</v>
      </c>
      <c r="AQ132" s="120">
        <v>0.5</v>
      </c>
      <c r="AS132" s="100"/>
      <c r="AY132" s="109">
        <v>31005</v>
      </c>
      <c r="AZ132" s="122" t="s">
        <v>651</v>
      </c>
      <c r="BA132" s="123"/>
      <c r="BB132" s="124"/>
      <c r="BC132" s="119"/>
      <c r="BD132" s="119"/>
      <c r="BE132" s="125"/>
      <c r="BF132" s="108"/>
      <c r="BG132" s="109">
        <v>31005</v>
      </c>
      <c r="BH132" s="110" t="e">
        <f>_xlfn.XLOOKUP(BG132,'[1]OEE MEJORADA'!A:A,'[1]OEE MEJORADA'!B:B)</f>
        <v>#N/A</v>
      </c>
      <c r="BJ132" s="91"/>
      <c r="BK132" s="92">
        <v>10</v>
      </c>
      <c r="CN132">
        <v>1108</v>
      </c>
      <c r="CO132">
        <v>0</v>
      </c>
      <c r="CP132">
        <v>0</v>
      </c>
      <c r="CQ132">
        <v>10.82</v>
      </c>
      <c r="CR132">
        <v>10.82</v>
      </c>
      <c r="CV132">
        <v>1456</v>
      </c>
      <c r="CW132" t="s">
        <v>688</v>
      </c>
      <c r="CY132" s="34" t="s">
        <v>689</v>
      </c>
      <c r="CZ132" s="35">
        <v>4.5830000000000002</v>
      </c>
    </row>
    <row r="133" spans="16:104" x14ac:dyDescent="0.3">
      <c r="AH133" s="222"/>
      <c r="AI133" s="261"/>
      <c r="AJ133" s="223"/>
      <c r="AN133" s="117" t="s">
        <v>690</v>
      </c>
      <c r="AO133" s="118" t="s">
        <v>101</v>
      </c>
      <c r="AP133" s="119" t="s">
        <v>691</v>
      </c>
      <c r="AQ133" s="120">
        <v>0.5</v>
      </c>
      <c r="AS133" s="100"/>
      <c r="AY133" s="109">
        <v>31568</v>
      </c>
      <c r="AZ133" s="122" t="s">
        <v>692</v>
      </c>
      <c r="BA133" s="123"/>
      <c r="BB133" s="124"/>
      <c r="BC133" s="119"/>
      <c r="BD133" s="119"/>
      <c r="BE133" s="125"/>
      <c r="BF133" s="108"/>
      <c r="BG133" s="109">
        <v>31568</v>
      </c>
      <c r="BH133" s="110" t="e">
        <f>_xlfn.XLOOKUP(BG133,'[1]OEE MEJORADA'!A:A,'[1]OEE MEJORADA'!B:B)</f>
        <v>#N/A</v>
      </c>
      <c r="BJ133" s="91"/>
      <c r="BK133" s="92">
        <v>10</v>
      </c>
      <c r="CN133">
        <v>3350</v>
      </c>
      <c r="CO133">
        <v>30.47</v>
      </c>
      <c r="CP133">
        <v>23.98</v>
      </c>
      <c r="CQ133">
        <v>30.47</v>
      </c>
      <c r="CR133">
        <v>23.98</v>
      </c>
      <c r="CV133">
        <v>5363</v>
      </c>
      <c r="CW133" t="s">
        <v>693</v>
      </c>
      <c r="CY133" s="34" t="s">
        <v>694</v>
      </c>
      <c r="CZ133" s="35">
        <v>6.13</v>
      </c>
    </row>
    <row r="134" spans="16:104" x14ac:dyDescent="0.3">
      <c r="AH134" s="222"/>
      <c r="AI134" s="261"/>
      <c r="AJ134" s="223"/>
      <c r="AN134" s="117" t="s">
        <v>695</v>
      </c>
      <c r="AO134" s="118" t="s">
        <v>101</v>
      </c>
      <c r="AP134" s="119" t="s">
        <v>696</v>
      </c>
      <c r="AQ134" s="219">
        <v>0.5</v>
      </c>
      <c r="AS134" s="100"/>
      <c r="AY134" s="109">
        <v>31660</v>
      </c>
      <c r="AZ134" s="122" t="s">
        <v>697</v>
      </c>
      <c r="BA134" s="123"/>
      <c r="BB134" s="124"/>
      <c r="BC134" s="119"/>
      <c r="BD134" s="119"/>
      <c r="BE134" s="125"/>
      <c r="BF134" s="108"/>
      <c r="BG134" s="109">
        <v>31660</v>
      </c>
      <c r="BH134" s="110" t="e">
        <f>_xlfn.XLOOKUP(BG134,'[1]OEE MEJORADA'!A:A,'[1]OEE MEJORADA'!B:B)</f>
        <v>#N/A</v>
      </c>
      <c r="BJ134" s="91"/>
      <c r="BK134" s="92">
        <v>10</v>
      </c>
      <c r="CN134">
        <v>707</v>
      </c>
      <c r="CO134">
        <v>29.89</v>
      </c>
      <c r="CP134">
        <v>19.98</v>
      </c>
      <c r="CQ134">
        <v>29.89</v>
      </c>
      <c r="CR134">
        <v>19.98</v>
      </c>
      <c r="CV134">
        <v>4004</v>
      </c>
      <c r="CW134" t="s">
        <v>698</v>
      </c>
      <c r="CY134" s="34" t="s">
        <v>699</v>
      </c>
      <c r="CZ134" s="35">
        <v>2.9670000000000001</v>
      </c>
    </row>
    <row r="135" spans="16:104" x14ac:dyDescent="0.3">
      <c r="AH135" s="222"/>
      <c r="AI135" s="261"/>
      <c r="AJ135" s="223"/>
      <c r="AN135" s="117">
        <v>450962</v>
      </c>
      <c r="AO135" s="118" t="s">
        <v>101</v>
      </c>
      <c r="AP135" s="119" t="s">
        <v>700</v>
      </c>
      <c r="AQ135" s="120">
        <v>0.5</v>
      </c>
      <c r="AS135" s="100"/>
      <c r="AY135" s="109">
        <v>40014</v>
      </c>
      <c r="AZ135" s="122" t="s">
        <v>701</v>
      </c>
      <c r="BA135" s="123"/>
      <c r="BB135" s="124"/>
      <c r="BC135" s="119"/>
      <c r="BD135" s="119"/>
      <c r="BE135" s="125"/>
      <c r="BF135" s="108"/>
      <c r="BG135" s="109">
        <v>40014</v>
      </c>
      <c r="BH135" s="110" t="e">
        <f>_xlfn.XLOOKUP(BG135,'[1]OEE MEJORADA'!A:A,'[1]OEE MEJORADA'!B:B)</f>
        <v>#N/A</v>
      </c>
      <c r="BJ135" s="91"/>
      <c r="BK135" s="92">
        <v>10</v>
      </c>
      <c r="CN135">
        <v>709</v>
      </c>
      <c r="CO135">
        <v>29.89</v>
      </c>
      <c r="CP135">
        <v>19.98</v>
      </c>
      <c r="CQ135">
        <v>29.89</v>
      </c>
      <c r="CR135">
        <v>19.98</v>
      </c>
      <c r="CV135">
        <v>6235</v>
      </c>
      <c r="CW135" t="s">
        <v>702</v>
      </c>
      <c r="CY135" s="34" t="s">
        <v>703</v>
      </c>
      <c r="CZ135" s="35">
        <v>9.9280000000000008</v>
      </c>
    </row>
    <row r="136" spans="16:104" x14ac:dyDescent="0.3">
      <c r="AH136" s="222"/>
      <c r="AI136" s="261"/>
      <c r="AJ136" s="223"/>
      <c r="AN136" s="117">
        <v>450348</v>
      </c>
      <c r="AO136" s="118" t="s">
        <v>101</v>
      </c>
      <c r="AP136" s="119" t="s">
        <v>704</v>
      </c>
      <c r="AQ136" s="120">
        <v>0.33</v>
      </c>
      <c r="AS136" s="100"/>
      <c r="AY136" s="109">
        <v>40405</v>
      </c>
      <c r="AZ136" s="122" t="s">
        <v>660</v>
      </c>
      <c r="BA136" s="123"/>
      <c r="BB136" s="124"/>
      <c r="BC136" s="119"/>
      <c r="BD136" s="119"/>
      <c r="BE136" s="125"/>
      <c r="BF136" s="108"/>
      <c r="BG136" s="109">
        <v>40405</v>
      </c>
      <c r="BH136" s="110" t="e">
        <f>_xlfn.XLOOKUP(BG136,'[1]OEE MEJORADA'!A:A,'[1]OEE MEJORADA'!B:B)</f>
        <v>#N/A</v>
      </c>
      <c r="BJ136" s="91"/>
      <c r="BK136" s="92">
        <v>10</v>
      </c>
      <c r="CN136">
        <v>711</v>
      </c>
      <c r="CO136">
        <v>29.89</v>
      </c>
      <c r="CP136">
        <v>19.98</v>
      </c>
      <c r="CQ136">
        <v>29.89</v>
      </c>
      <c r="CR136">
        <v>19.98</v>
      </c>
      <c r="CV136">
        <v>4404</v>
      </c>
      <c r="CW136" t="s">
        <v>705</v>
      </c>
      <c r="CY136" s="34" t="s">
        <v>706</v>
      </c>
      <c r="CZ136" s="35">
        <v>5.0529999999999999</v>
      </c>
    </row>
    <row r="137" spans="16:104" x14ac:dyDescent="0.3">
      <c r="AH137" s="222"/>
      <c r="AI137" s="261"/>
      <c r="AJ137" s="223"/>
      <c r="AN137" s="117" t="s">
        <v>707</v>
      </c>
      <c r="AO137" s="118" t="s">
        <v>101</v>
      </c>
      <c r="AP137" s="119" t="s">
        <v>708</v>
      </c>
      <c r="AQ137" s="120">
        <v>0.5</v>
      </c>
      <c r="AS137" s="100"/>
      <c r="AY137" s="109">
        <v>41002</v>
      </c>
      <c r="AZ137" s="122" t="s">
        <v>679</v>
      </c>
      <c r="BA137" s="123"/>
      <c r="BB137" s="124"/>
      <c r="BC137" s="119"/>
      <c r="BD137" s="119"/>
      <c r="BE137" s="125"/>
      <c r="BF137" s="108"/>
      <c r="BG137" s="109">
        <v>41002</v>
      </c>
      <c r="BH137" s="110" t="e">
        <f>_xlfn.XLOOKUP(BG137,'[1]OEE MEJORADA'!A:A,'[1]OEE MEJORADA'!B:B)</f>
        <v>#N/A</v>
      </c>
      <c r="BJ137" s="91"/>
      <c r="BK137" s="92">
        <v>10</v>
      </c>
      <c r="CN137">
        <v>712</v>
      </c>
      <c r="CO137">
        <v>35.79</v>
      </c>
      <c r="CP137">
        <v>29.3</v>
      </c>
      <c r="CQ137">
        <v>35.79</v>
      </c>
      <c r="CR137">
        <v>29.3</v>
      </c>
      <c r="CV137">
        <v>3672</v>
      </c>
      <c r="CW137" t="s">
        <v>709</v>
      </c>
      <c r="CY137" s="34" t="s">
        <v>710</v>
      </c>
      <c r="CZ137" s="35">
        <v>5.0529999999999999</v>
      </c>
    </row>
    <row r="138" spans="16:104" x14ac:dyDescent="0.3">
      <c r="AH138" s="222"/>
      <c r="AI138" s="261"/>
      <c r="AJ138" s="223"/>
      <c r="AN138" s="117">
        <v>451002</v>
      </c>
      <c r="AO138" s="118" t="s">
        <v>101</v>
      </c>
      <c r="AP138" s="119" t="s">
        <v>711</v>
      </c>
      <c r="AQ138" s="120">
        <v>1</v>
      </c>
      <c r="AS138" s="100"/>
      <c r="AY138" s="109">
        <v>41003</v>
      </c>
      <c r="AZ138" s="122" t="s">
        <v>683</v>
      </c>
      <c r="BA138" s="123"/>
      <c r="BB138" s="124"/>
      <c r="BC138" s="119"/>
      <c r="BD138" s="119"/>
      <c r="BE138" s="125"/>
      <c r="BF138" s="108"/>
      <c r="BG138" s="109">
        <v>41003</v>
      </c>
      <c r="BH138" s="110" t="e">
        <f>_xlfn.XLOOKUP(BG138,'[1]OEE MEJORADA'!A:A,'[1]OEE MEJORADA'!B:B)</f>
        <v>#N/A</v>
      </c>
      <c r="BJ138" s="91"/>
      <c r="BK138" s="92">
        <v>10</v>
      </c>
      <c r="CN138">
        <v>799</v>
      </c>
      <c r="CO138">
        <v>34.200000000000003</v>
      </c>
      <c r="CP138">
        <v>26.56</v>
      </c>
      <c r="CQ138">
        <v>34.200000000000003</v>
      </c>
      <c r="CR138">
        <v>26.56</v>
      </c>
      <c r="CV138">
        <v>1609</v>
      </c>
      <c r="CW138" t="s">
        <v>712</v>
      </c>
      <c r="CY138" s="34" t="s">
        <v>713</v>
      </c>
      <c r="CZ138" s="35">
        <v>4.5830000000000002</v>
      </c>
    </row>
    <row r="139" spans="16:104" x14ac:dyDescent="0.3">
      <c r="AH139" s="222"/>
      <c r="AI139" s="261"/>
      <c r="AJ139" s="223"/>
      <c r="AN139" s="117" t="s">
        <v>714</v>
      </c>
      <c r="AO139" s="118" t="s">
        <v>101</v>
      </c>
      <c r="AP139" s="119" t="s">
        <v>715</v>
      </c>
      <c r="AQ139" s="120">
        <v>0.33</v>
      </c>
      <c r="AS139" s="100"/>
      <c r="AY139" s="109">
        <v>41005</v>
      </c>
      <c r="AZ139" s="122" t="s">
        <v>716</v>
      </c>
      <c r="BA139" s="123"/>
      <c r="BB139" s="124"/>
      <c r="BC139" s="119"/>
      <c r="BD139" s="119"/>
      <c r="BE139" s="125"/>
      <c r="BF139" s="108"/>
      <c r="BG139" s="109">
        <v>41005</v>
      </c>
      <c r="BH139" s="110" t="e">
        <f>_xlfn.XLOOKUP(BG139,'[1]OEE MEJORADA'!A:A,'[1]OEE MEJORADA'!B:B)</f>
        <v>#N/A</v>
      </c>
      <c r="BJ139" s="91"/>
      <c r="BK139" s="92">
        <v>10</v>
      </c>
      <c r="CN139">
        <v>2000</v>
      </c>
      <c r="CO139">
        <v>39.92</v>
      </c>
      <c r="CP139">
        <v>32.880000000000003</v>
      </c>
      <c r="CQ139">
        <v>39.92</v>
      </c>
      <c r="CR139">
        <v>32.880000000000003</v>
      </c>
      <c r="CV139">
        <v>6749</v>
      </c>
      <c r="CW139" t="s">
        <v>717</v>
      </c>
      <c r="CY139" s="34" t="s">
        <v>718</v>
      </c>
      <c r="CZ139" s="35">
        <v>6.13</v>
      </c>
    </row>
    <row r="140" spans="16:104" x14ac:dyDescent="0.3">
      <c r="AH140" s="222"/>
      <c r="AI140" s="261"/>
      <c r="AJ140" s="223"/>
      <c r="AN140" s="117" t="s">
        <v>719</v>
      </c>
      <c r="AO140" s="118" t="s">
        <v>101</v>
      </c>
      <c r="AP140" s="119" t="s">
        <v>720</v>
      </c>
      <c r="AQ140" s="120">
        <v>0.33</v>
      </c>
      <c r="AS140" s="100"/>
      <c r="AY140" s="109">
        <v>41006</v>
      </c>
      <c r="AZ140" s="122" t="s">
        <v>721</v>
      </c>
      <c r="BA140" s="123"/>
      <c r="BB140" s="124"/>
      <c r="BC140" s="119"/>
      <c r="BD140" s="119"/>
      <c r="BE140" s="125"/>
      <c r="BF140" s="108"/>
      <c r="BG140" s="109">
        <v>41006</v>
      </c>
      <c r="BH140" s="110" t="e">
        <f>_xlfn.XLOOKUP(BG140,'[1]OEE MEJORADA'!A:A,'[1]OEE MEJORADA'!B:B)</f>
        <v>#N/A</v>
      </c>
      <c r="BJ140" s="91"/>
      <c r="BK140" s="92">
        <v>10</v>
      </c>
      <c r="CN140">
        <v>2002</v>
      </c>
      <c r="CO140">
        <v>45.19</v>
      </c>
      <c r="CP140">
        <v>37.090000000000003</v>
      </c>
      <c r="CQ140">
        <v>45.19</v>
      </c>
      <c r="CR140">
        <v>37.090000000000003</v>
      </c>
      <c r="CV140">
        <v>2606</v>
      </c>
      <c r="CW140" t="s">
        <v>722</v>
      </c>
      <c r="CY140" s="34" t="s">
        <v>723</v>
      </c>
      <c r="CZ140" s="35">
        <v>7.3239999999999998</v>
      </c>
    </row>
    <row r="141" spans="16:104" x14ac:dyDescent="0.3">
      <c r="AH141" s="222"/>
      <c r="AI141" s="261"/>
      <c r="AJ141" s="223"/>
      <c r="AN141" s="117" t="s">
        <v>724</v>
      </c>
      <c r="AO141" s="118" t="s">
        <v>101</v>
      </c>
      <c r="AP141" s="119" t="s">
        <v>725</v>
      </c>
      <c r="AQ141" s="120">
        <v>0.33</v>
      </c>
      <c r="AS141" s="100"/>
      <c r="AY141" s="109">
        <v>50014</v>
      </c>
      <c r="AZ141" s="122" t="s">
        <v>726</v>
      </c>
      <c r="BA141" s="123"/>
      <c r="BB141" s="124"/>
      <c r="BC141" s="119"/>
      <c r="BD141" s="119"/>
      <c r="BE141" s="125"/>
      <c r="BF141" s="108"/>
      <c r="BG141" s="109">
        <v>50014</v>
      </c>
      <c r="BH141" s="110" t="e">
        <f>_xlfn.XLOOKUP(BG141,'[1]OEE MEJORADA'!A:A,'[1]OEE MEJORADA'!B:B)</f>
        <v>#N/A</v>
      </c>
      <c r="BJ141" s="91"/>
      <c r="BK141" s="92">
        <v>10</v>
      </c>
      <c r="CN141">
        <v>749</v>
      </c>
      <c r="CO141">
        <v>30.47</v>
      </c>
      <c r="CP141">
        <v>23.98</v>
      </c>
      <c r="CQ141">
        <v>30.47</v>
      </c>
      <c r="CR141">
        <v>23.98</v>
      </c>
      <c r="CV141">
        <v>195</v>
      </c>
      <c r="CW141" t="s">
        <v>727</v>
      </c>
      <c r="CY141" s="34" t="s">
        <v>728</v>
      </c>
      <c r="CZ141" s="35">
        <v>10.257</v>
      </c>
    </row>
    <row r="142" spans="16:104" x14ac:dyDescent="0.3">
      <c r="AH142" s="222"/>
      <c r="AI142" s="261"/>
      <c r="AJ142" s="223"/>
      <c r="AN142" s="117" t="s">
        <v>729</v>
      </c>
      <c r="AO142" s="118" t="s">
        <v>101</v>
      </c>
      <c r="AP142" s="119" t="s">
        <v>730</v>
      </c>
      <c r="AQ142" s="120">
        <v>0.5</v>
      </c>
      <c r="AS142" s="100"/>
      <c r="AY142" s="109">
        <v>50616</v>
      </c>
      <c r="AZ142" s="122" t="s">
        <v>731</v>
      </c>
      <c r="BA142" s="123"/>
      <c r="BB142" s="124"/>
      <c r="BC142" s="119"/>
      <c r="BD142" s="119"/>
      <c r="BE142" s="125"/>
      <c r="BF142" s="108"/>
      <c r="BG142" s="109">
        <v>50616</v>
      </c>
      <c r="BH142" s="110" t="e">
        <f>_xlfn.XLOOKUP(BG142,'[1]OEE MEJORADA'!A:A,'[1]OEE MEJORADA'!B:B)</f>
        <v>#N/A</v>
      </c>
      <c r="BJ142" s="91"/>
      <c r="BK142" s="92">
        <v>10</v>
      </c>
      <c r="CN142">
        <v>2100</v>
      </c>
      <c r="CO142">
        <v>78.62</v>
      </c>
      <c r="CP142">
        <v>65.72</v>
      </c>
      <c r="CQ142">
        <v>78.62</v>
      </c>
      <c r="CR142">
        <v>65.72</v>
      </c>
      <c r="CV142">
        <v>7485</v>
      </c>
      <c r="CW142" t="s">
        <v>732</v>
      </c>
      <c r="CY142" s="34" t="s">
        <v>733</v>
      </c>
      <c r="CZ142" s="35">
        <v>4.9729999999999999</v>
      </c>
    </row>
    <row r="143" spans="16:104" x14ac:dyDescent="0.3">
      <c r="AH143" s="222"/>
      <c r="AI143" s="261"/>
      <c r="AJ143" s="223"/>
      <c r="AN143" s="117" t="s">
        <v>734</v>
      </c>
      <c r="AO143" s="118" t="s">
        <v>101</v>
      </c>
      <c r="AP143" s="119" t="s">
        <v>735</v>
      </c>
      <c r="AQ143" s="120">
        <v>0.33</v>
      </c>
      <c r="AS143" s="100"/>
      <c r="AY143" s="109">
        <v>60219</v>
      </c>
      <c r="AZ143" s="122" t="s">
        <v>736</v>
      </c>
      <c r="BA143" s="123"/>
      <c r="BB143" s="124"/>
      <c r="BC143" s="119"/>
      <c r="BD143" s="119"/>
      <c r="BE143" s="125"/>
      <c r="BF143" s="108"/>
      <c r="BG143" s="109">
        <v>60219</v>
      </c>
      <c r="BH143" s="110" t="e">
        <f>_xlfn.XLOOKUP(BG143,'[1]OEE MEJORADA'!A:A,'[1]OEE MEJORADA'!B:B)</f>
        <v>#N/A</v>
      </c>
      <c r="BJ143" s="91"/>
      <c r="BK143" s="92">
        <v>10</v>
      </c>
      <c r="CN143">
        <v>7362</v>
      </c>
      <c r="CO143">
        <v>0</v>
      </c>
      <c r="CP143">
        <v>0</v>
      </c>
      <c r="CQ143">
        <v>8.7999999999999995E-2</v>
      </c>
      <c r="CR143">
        <v>8.7999999999999995E-2</v>
      </c>
      <c r="CV143">
        <v>7564</v>
      </c>
      <c r="CW143" t="s">
        <v>737</v>
      </c>
      <c r="CY143" s="34" t="s">
        <v>738</v>
      </c>
      <c r="CZ143" s="35">
        <v>4.8330000000000002</v>
      </c>
    </row>
    <row r="144" spans="16:104" x14ac:dyDescent="0.3">
      <c r="AH144" s="222"/>
      <c r="AI144" s="261"/>
      <c r="AJ144" s="223"/>
      <c r="AN144" s="117">
        <v>451621</v>
      </c>
      <c r="AO144" s="118" t="s">
        <v>101</v>
      </c>
      <c r="AP144" s="119" t="s">
        <v>739</v>
      </c>
      <c r="AQ144" s="120">
        <v>0.5</v>
      </c>
      <c r="AS144" s="100"/>
      <c r="AY144" s="109">
        <v>60305</v>
      </c>
      <c r="AZ144" s="122" t="s">
        <v>740</v>
      </c>
      <c r="BA144" s="123"/>
      <c r="BB144" s="124"/>
      <c r="BC144" s="119"/>
      <c r="BD144" s="119"/>
      <c r="BE144" s="125"/>
      <c r="BF144" s="108"/>
      <c r="BG144" s="109">
        <v>60305</v>
      </c>
      <c r="BH144" s="110" t="e">
        <f>_xlfn.XLOOKUP(BG144,'[1]OEE MEJORADA'!A:A,'[1]OEE MEJORADA'!B:B)</f>
        <v>#N/A</v>
      </c>
      <c r="BJ144" s="91"/>
      <c r="BK144" s="92">
        <v>10</v>
      </c>
      <c r="CN144">
        <v>2700</v>
      </c>
      <c r="CO144">
        <v>68.459999999999994</v>
      </c>
      <c r="CP144">
        <v>52.48</v>
      </c>
      <c r="CQ144">
        <v>68.459999999999994</v>
      </c>
      <c r="CR144">
        <v>52.48</v>
      </c>
      <c r="CV144">
        <v>7571</v>
      </c>
      <c r="CW144" t="s">
        <v>741</v>
      </c>
      <c r="CY144" s="34" t="s">
        <v>742</v>
      </c>
      <c r="CZ144" s="35">
        <v>1.676E-3</v>
      </c>
    </row>
    <row r="145" spans="4:104" x14ac:dyDescent="0.3">
      <c r="AH145" s="221"/>
      <c r="AI145" s="115"/>
      <c r="AJ145" s="116"/>
      <c r="AN145" s="117" t="s">
        <v>743</v>
      </c>
      <c r="AO145" s="118" t="s">
        <v>101</v>
      </c>
      <c r="AP145" s="119" t="s">
        <v>744</v>
      </c>
      <c r="AQ145" s="120">
        <v>0.5</v>
      </c>
      <c r="AS145" s="100"/>
      <c r="AY145" s="109">
        <v>60311</v>
      </c>
      <c r="AZ145" s="122" t="s">
        <v>745</v>
      </c>
      <c r="BA145" s="123"/>
      <c r="BB145" s="124"/>
      <c r="BC145" s="119"/>
      <c r="BD145" s="119"/>
      <c r="BE145" s="125"/>
      <c r="BF145" s="108"/>
      <c r="BG145" s="109">
        <v>60311</v>
      </c>
      <c r="BH145" s="110" t="e">
        <f>_xlfn.XLOOKUP(BG145,'[1]OEE MEJORADA'!A:A,'[1]OEE MEJORADA'!B:B)</f>
        <v>#N/A</v>
      </c>
      <c r="BJ145" s="91"/>
      <c r="BK145" s="92">
        <v>10</v>
      </c>
      <c r="CN145">
        <v>2701</v>
      </c>
      <c r="CO145">
        <v>45.27</v>
      </c>
      <c r="CP145">
        <v>32.19</v>
      </c>
      <c r="CQ145">
        <v>45.27</v>
      </c>
      <c r="CR145">
        <v>32.19</v>
      </c>
      <c r="CV145">
        <v>2665</v>
      </c>
      <c r="CW145" t="s">
        <v>746</v>
      </c>
      <c r="CY145" s="34" t="s">
        <v>747</v>
      </c>
      <c r="CZ145" s="35">
        <v>3.9495455999999998E-2</v>
      </c>
    </row>
    <row r="146" spans="4:104" x14ac:dyDescent="0.3">
      <c r="AH146" s="221"/>
      <c r="AI146" s="115"/>
      <c r="AJ146" s="116"/>
      <c r="AN146" s="117" t="s">
        <v>748</v>
      </c>
      <c r="AO146" s="118" t="s">
        <v>101</v>
      </c>
      <c r="AP146" s="119" t="s">
        <v>749</v>
      </c>
      <c r="AQ146" s="120">
        <v>0.5</v>
      </c>
      <c r="AS146" s="100"/>
      <c r="AY146" s="109">
        <v>60392</v>
      </c>
      <c r="AZ146" s="122" t="s">
        <v>750</v>
      </c>
      <c r="BA146" s="123"/>
      <c r="BB146" s="124"/>
      <c r="BC146" s="119"/>
      <c r="BD146" s="119"/>
      <c r="BE146" s="125"/>
      <c r="BF146" s="108"/>
      <c r="BG146" s="109">
        <v>60392</v>
      </c>
      <c r="BH146" s="110" t="e">
        <f>_xlfn.XLOOKUP(BG146,'[1]OEE MEJORADA'!A:A,'[1]OEE MEJORADA'!B:B)</f>
        <v>#N/A</v>
      </c>
      <c r="BJ146" s="91"/>
      <c r="BK146" s="92">
        <v>10</v>
      </c>
      <c r="CN146">
        <v>2702</v>
      </c>
      <c r="CO146">
        <v>68.459999999999994</v>
      </c>
      <c r="CP146">
        <v>52.48</v>
      </c>
      <c r="CQ146">
        <v>68.459999999999994</v>
      </c>
      <c r="CR146">
        <v>52.48</v>
      </c>
      <c r="CV146">
        <v>5365</v>
      </c>
      <c r="CW146" t="s">
        <v>751</v>
      </c>
      <c r="CY146" s="34" t="s">
        <v>752</v>
      </c>
      <c r="CZ146" s="35">
        <v>5.8982311039999999E-2</v>
      </c>
    </row>
    <row r="147" spans="4:104" x14ac:dyDescent="0.3">
      <c r="AH147" s="221"/>
      <c r="AI147" s="115"/>
      <c r="AJ147" s="116"/>
      <c r="AN147" s="117">
        <v>451811</v>
      </c>
      <c r="AO147" s="118" t="s">
        <v>101</v>
      </c>
      <c r="AP147" s="119" t="s">
        <v>753</v>
      </c>
      <c r="AQ147" s="219">
        <v>0.33</v>
      </c>
      <c r="AS147" s="100"/>
      <c r="AY147" s="109">
        <v>60661</v>
      </c>
      <c r="AZ147" s="122" t="s">
        <v>736</v>
      </c>
      <c r="BA147" s="123"/>
      <c r="BB147" s="124"/>
      <c r="BC147" s="119"/>
      <c r="BD147" s="119"/>
      <c r="BE147" s="125"/>
      <c r="BF147" s="108"/>
      <c r="BG147" s="109">
        <v>60661</v>
      </c>
      <c r="BH147" s="110" t="e">
        <f>_xlfn.XLOOKUP(BG147,'[1]OEE MEJORADA'!A:A,'[1]OEE MEJORADA'!B:B)</f>
        <v>#N/A</v>
      </c>
      <c r="BJ147" s="91"/>
      <c r="BK147" s="92">
        <v>10</v>
      </c>
      <c r="CN147">
        <v>2703</v>
      </c>
      <c r="CO147">
        <v>66.48</v>
      </c>
      <c r="CP147">
        <v>56.76</v>
      </c>
      <c r="CQ147">
        <v>66.48</v>
      </c>
      <c r="CR147">
        <v>56.76</v>
      </c>
      <c r="CV147">
        <v>5381</v>
      </c>
      <c r="CW147" t="s">
        <v>754</v>
      </c>
      <c r="CY147" s="34" t="s">
        <v>755</v>
      </c>
      <c r="CZ147" s="35">
        <v>4.4408135064000001E-3</v>
      </c>
    </row>
    <row r="148" spans="4:104" x14ac:dyDescent="0.3">
      <c r="AH148" s="221"/>
      <c r="AI148" s="115"/>
      <c r="AJ148" s="116"/>
      <c r="AN148" s="117" t="s">
        <v>756</v>
      </c>
      <c r="AO148" s="118" t="s">
        <v>101</v>
      </c>
      <c r="AP148" s="119" t="s">
        <v>757</v>
      </c>
      <c r="AQ148" s="120">
        <v>0.5</v>
      </c>
      <c r="AS148" s="100"/>
      <c r="AY148" s="109">
        <v>60824</v>
      </c>
      <c r="AZ148" s="122" t="s">
        <v>758</v>
      </c>
      <c r="BA148" s="123"/>
      <c r="BB148" s="124"/>
      <c r="BC148" s="119"/>
      <c r="BD148" s="119"/>
      <c r="BE148" s="125"/>
      <c r="BF148" s="108"/>
      <c r="BG148" s="109">
        <v>60824</v>
      </c>
      <c r="BH148" s="110" t="e">
        <f>_xlfn.XLOOKUP(BG148,'[1]OEE MEJORADA'!A:A,'[1]OEE MEJORADA'!B:B)</f>
        <v>#N/A</v>
      </c>
      <c r="BJ148" s="91"/>
      <c r="BK148" s="92">
        <v>10</v>
      </c>
      <c r="CN148">
        <v>2705</v>
      </c>
      <c r="CO148">
        <v>55.22</v>
      </c>
      <c r="CP148">
        <v>41.89</v>
      </c>
      <c r="CQ148">
        <v>55.22</v>
      </c>
      <c r="CR148">
        <v>41.89</v>
      </c>
      <c r="CV148">
        <v>7476</v>
      </c>
      <c r="CW148" t="s">
        <v>759</v>
      </c>
      <c r="CY148" s="34" t="s">
        <v>760</v>
      </c>
      <c r="CZ148" s="35">
        <v>1.8264127874999998E-2</v>
      </c>
    </row>
    <row r="149" spans="4:104" x14ac:dyDescent="0.3">
      <c r="AH149" s="221"/>
      <c r="AI149" s="115"/>
      <c r="AJ149" s="116"/>
      <c r="AN149" s="117">
        <v>452169</v>
      </c>
      <c r="AO149" s="118" t="s">
        <v>101</v>
      </c>
      <c r="AP149" s="119" t="s">
        <v>761</v>
      </c>
      <c r="AQ149" s="120">
        <v>0.5</v>
      </c>
      <c r="AS149" s="100"/>
      <c r="AY149" s="109">
        <v>60825</v>
      </c>
      <c r="AZ149" s="122" t="s">
        <v>762</v>
      </c>
      <c r="BA149" s="123"/>
      <c r="BB149" s="124"/>
      <c r="BC149" s="119"/>
      <c r="BD149" s="119"/>
      <c r="BE149" s="125"/>
      <c r="BF149" s="108"/>
      <c r="BG149" s="109">
        <v>60825</v>
      </c>
      <c r="BH149" s="110" t="e">
        <f>_xlfn.XLOOKUP(BG149,'[1]OEE MEJORADA'!A:A,'[1]OEE MEJORADA'!B:B)</f>
        <v>#N/A</v>
      </c>
      <c r="BJ149" s="91"/>
      <c r="BK149" s="92">
        <v>10</v>
      </c>
      <c r="CN149">
        <v>2797</v>
      </c>
      <c r="CO149">
        <v>58.19</v>
      </c>
      <c r="CP149">
        <v>48.44</v>
      </c>
      <c r="CQ149">
        <v>39.51</v>
      </c>
      <c r="CR149">
        <v>29.78</v>
      </c>
      <c r="CV149">
        <v>7505</v>
      </c>
      <c r="CW149" t="s">
        <v>763</v>
      </c>
      <c r="CY149" s="34" t="s">
        <v>764</v>
      </c>
      <c r="CZ149" s="35">
        <v>4.77059232E-4</v>
      </c>
    </row>
    <row r="150" spans="4:104" x14ac:dyDescent="0.3">
      <c r="AH150" s="221"/>
      <c r="AI150" s="119"/>
      <c r="AJ150" s="125"/>
      <c r="AN150" s="117">
        <v>452173</v>
      </c>
      <c r="AO150" s="118" t="s">
        <v>101</v>
      </c>
      <c r="AP150" s="119" t="s">
        <v>765</v>
      </c>
      <c r="AQ150" s="120">
        <v>0.5</v>
      </c>
      <c r="AS150" s="100"/>
      <c r="AY150" s="109">
        <v>66614</v>
      </c>
      <c r="AZ150" s="122" t="s">
        <v>766</v>
      </c>
      <c r="BA150" s="123"/>
      <c r="BB150" s="124"/>
      <c r="BC150" s="119"/>
      <c r="BD150" s="119"/>
      <c r="BE150" s="125"/>
      <c r="BF150" s="108"/>
      <c r="BG150" s="109">
        <v>66614</v>
      </c>
      <c r="BH150" s="110" t="e">
        <f>_xlfn.XLOOKUP(BG150,'[1]OEE MEJORADA'!A:A,'[1]OEE MEJORADA'!B:B)</f>
        <v>#N/A</v>
      </c>
      <c r="BJ150" s="91"/>
      <c r="BK150" s="92">
        <v>10</v>
      </c>
      <c r="CN150">
        <v>2799</v>
      </c>
      <c r="CO150">
        <v>30.47</v>
      </c>
      <c r="CP150">
        <v>23.98</v>
      </c>
      <c r="CQ150">
        <v>30.47</v>
      </c>
      <c r="CR150">
        <v>23.98</v>
      </c>
      <c r="CV150">
        <v>5386</v>
      </c>
      <c r="CW150" t="s">
        <v>767</v>
      </c>
      <c r="CY150" s="34" t="s">
        <v>768</v>
      </c>
      <c r="CZ150" s="35">
        <v>4.7844771920000001E-2</v>
      </c>
    </row>
    <row r="151" spans="4:104" x14ac:dyDescent="0.3">
      <c r="AH151" s="221"/>
      <c r="AI151" s="115"/>
      <c r="AJ151" s="116"/>
      <c r="AN151" s="117">
        <v>452526</v>
      </c>
      <c r="AO151" s="118" t="s">
        <v>101</v>
      </c>
      <c r="AP151" s="119" t="s">
        <v>769</v>
      </c>
      <c r="AQ151" s="120">
        <v>0.5</v>
      </c>
      <c r="AS151" s="100"/>
      <c r="AY151" s="109">
        <v>66662</v>
      </c>
      <c r="AZ151" s="122" t="s">
        <v>770</v>
      </c>
      <c r="BA151" s="123"/>
      <c r="BB151" s="124"/>
      <c r="BC151" s="119"/>
      <c r="BD151" s="119"/>
      <c r="BE151" s="125"/>
      <c r="BF151" s="108"/>
      <c r="BG151" s="109">
        <v>66662</v>
      </c>
      <c r="BH151" s="110" t="e">
        <f>_xlfn.XLOOKUP(BG151,'[1]OEE MEJORADA'!A:A,'[1]OEE MEJORADA'!B:B)</f>
        <v>#N/A</v>
      </c>
      <c r="BJ151" s="91"/>
      <c r="BK151" s="92">
        <v>10</v>
      </c>
      <c r="CN151">
        <v>3050</v>
      </c>
      <c r="CO151">
        <v>46.07</v>
      </c>
      <c r="CP151">
        <v>34.76</v>
      </c>
      <c r="CQ151">
        <v>46.07</v>
      </c>
      <c r="CR151">
        <v>34.76</v>
      </c>
      <c r="CV151">
        <v>5356</v>
      </c>
      <c r="CW151" t="s">
        <v>771</v>
      </c>
      <c r="CY151" s="34" t="s">
        <v>772</v>
      </c>
      <c r="CZ151" s="35">
        <v>9.9280000000000008</v>
      </c>
    </row>
    <row r="152" spans="4:104" x14ac:dyDescent="0.3">
      <c r="AH152" s="221"/>
      <c r="AI152" s="119"/>
      <c r="AJ152" s="125"/>
      <c r="AN152" s="117">
        <v>452579</v>
      </c>
      <c r="AO152" s="118" t="s">
        <v>101</v>
      </c>
      <c r="AP152" s="119" t="s">
        <v>773</v>
      </c>
      <c r="AQ152" s="120">
        <v>0.33</v>
      </c>
      <c r="AS152" s="100"/>
      <c r="AY152" s="109">
        <v>67663</v>
      </c>
      <c r="AZ152" s="122" t="s">
        <v>774</v>
      </c>
      <c r="BA152" s="123"/>
      <c r="BB152" s="124"/>
      <c r="BC152" s="119"/>
      <c r="BD152" s="119"/>
      <c r="BE152" s="125"/>
      <c r="BF152" s="108"/>
      <c r="BG152" s="109">
        <v>67663</v>
      </c>
      <c r="BH152" s="110" t="e">
        <f>_xlfn.XLOOKUP(BG152,'[1]OEE MEJORADA'!A:A,'[1]OEE MEJORADA'!B:B)</f>
        <v>#N/A</v>
      </c>
      <c r="BJ152" s="91"/>
      <c r="BK152" s="92">
        <v>10</v>
      </c>
      <c r="CN152">
        <v>3052</v>
      </c>
      <c r="CO152">
        <v>35.53</v>
      </c>
      <c r="CP152">
        <v>25.77</v>
      </c>
      <c r="CQ152">
        <v>35.53</v>
      </c>
      <c r="CR152">
        <v>25.77</v>
      </c>
      <c r="CV152">
        <v>2971</v>
      </c>
      <c r="CW152" t="s">
        <v>775</v>
      </c>
      <c r="CY152" s="34" t="s">
        <v>776</v>
      </c>
      <c r="CZ152" s="35">
        <v>1.756</v>
      </c>
    </row>
    <row r="153" spans="4:104" x14ac:dyDescent="0.3">
      <c r="AH153" s="221"/>
      <c r="AI153" s="115"/>
      <c r="AJ153" s="116"/>
      <c r="AN153" s="117">
        <v>452590</v>
      </c>
      <c r="AO153" s="118" t="s">
        <v>101</v>
      </c>
      <c r="AP153" s="119" t="s">
        <v>777</v>
      </c>
      <c r="AQ153" s="120">
        <v>0.5</v>
      </c>
      <c r="AS153" s="100"/>
      <c r="AY153" s="109">
        <v>68664</v>
      </c>
      <c r="AZ153" s="122" t="s">
        <v>778</v>
      </c>
      <c r="BA153" s="123"/>
      <c r="BB153" s="124"/>
      <c r="BC153" s="119"/>
      <c r="BD153" s="119"/>
      <c r="BE153" s="125"/>
      <c r="BF153" s="108"/>
      <c r="BG153" s="109">
        <v>68664</v>
      </c>
      <c r="BH153" s="110" t="e">
        <f>_xlfn.XLOOKUP(BG153,'[1]OEE MEJORADA'!A:A,'[1]OEE MEJORADA'!B:B)</f>
        <v>#N/A</v>
      </c>
      <c r="BJ153" s="91"/>
      <c r="BK153" s="92">
        <v>10</v>
      </c>
      <c r="CN153">
        <v>3053</v>
      </c>
      <c r="CO153">
        <v>63.81</v>
      </c>
      <c r="CP153">
        <v>54.08</v>
      </c>
      <c r="CQ153">
        <v>63.81</v>
      </c>
      <c r="CR153">
        <v>54.08</v>
      </c>
      <c r="CV153">
        <v>32</v>
      </c>
      <c r="CW153" t="s">
        <v>779</v>
      </c>
      <c r="CY153" s="34" t="s">
        <v>780</v>
      </c>
      <c r="CZ153" s="35">
        <v>4.62</v>
      </c>
    </row>
    <row r="154" spans="4:104" ht="15" thickBot="1" x14ac:dyDescent="0.35">
      <c r="AH154" s="221"/>
      <c r="AI154" s="119"/>
      <c r="AJ154" s="125"/>
      <c r="AN154" s="117">
        <v>452629</v>
      </c>
      <c r="AO154" s="118" t="s">
        <v>101</v>
      </c>
      <c r="AP154" s="119" t="s">
        <v>781</v>
      </c>
      <c r="AQ154" s="120">
        <v>0.5</v>
      </c>
      <c r="AS154" s="100"/>
      <c r="AY154" s="109">
        <v>69665</v>
      </c>
      <c r="AZ154" s="122" t="s">
        <v>782</v>
      </c>
      <c r="BA154" s="123"/>
      <c r="BB154" s="124"/>
      <c r="BC154" s="119"/>
      <c r="BD154" s="119"/>
      <c r="BE154" s="125"/>
      <c r="BF154" s="108"/>
      <c r="BG154" s="109">
        <v>69665</v>
      </c>
      <c r="BH154" s="110" t="e">
        <f>_xlfn.XLOOKUP(BG154,'[1]OEE MEJORADA'!A:A,'[1]OEE MEJORADA'!B:B)</f>
        <v>#N/A</v>
      </c>
      <c r="BJ154" s="91"/>
      <c r="BK154" s="92">
        <v>10</v>
      </c>
      <c r="CN154">
        <v>3059</v>
      </c>
      <c r="CO154">
        <v>29.47</v>
      </c>
      <c r="CP154">
        <v>23.94</v>
      </c>
      <c r="CQ154">
        <v>29.47</v>
      </c>
      <c r="CR154">
        <v>23.94</v>
      </c>
      <c r="CV154">
        <v>1607</v>
      </c>
      <c r="CW154" t="s">
        <v>783</v>
      </c>
      <c r="CY154" s="34" t="s">
        <v>784</v>
      </c>
      <c r="CZ154" s="35">
        <v>5.5919999999999996</v>
      </c>
    </row>
    <row r="155" spans="4:104" ht="22.2" thickTop="1" thickBot="1" x14ac:dyDescent="0.35">
      <c r="E155" s="262"/>
      <c r="F155" s="263" t="s">
        <v>785</v>
      </c>
      <c r="G155" s="264"/>
      <c r="H155" s="264"/>
      <c r="I155" s="264"/>
      <c r="J155" s="265"/>
      <c r="K155" s="266"/>
      <c r="L155" s="267"/>
      <c r="M155" s="267"/>
      <c r="N155" s="267"/>
      <c r="O155" s="267"/>
      <c r="AH155" s="221"/>
      <c r="AI155" s="115"/>
      <c r="AJ155" s="116"/>
      <c r="AN155" s="117">
        <v>452979</v>
      </c>
      <c r="AO155" s="118" t="s">
        <v>101</v>
      </c>
      <c r="AP155" s="119" t="s">
        <v>786</v>
      </c>
      <c r="AQ155" s="120">
        <v>0.5</v>
      </c>
      <c r="AS155" s="100"/>
      <c r="AY155" s="109">
        <v>70258</v>
      </c>
      <c r="AZ155" s="122" t="s">
        <v>626</v>
      </c>
      <c r="BA155" s="123"/>
      <c r="BB155" s="124"/>
      <c r="BC155" s="119"/>
      <c r="BD155" s="119"/>
      <c r="BE155" s="125"/>
      <c r="BF155" s="108"/>
      <c r="BG155" s="109">
        <v>70258</v>
      </c>
      <c r="BH155" s="110" t="e">
        <f>_xlfn.XLOOKUP(BG155,'[1]OEE MEJORADA'!A:A,'[1]OEE MEJORADA'!B:B)</f>
        <v>#N/A</v>
      </c>
      <c r="BJ155" s="91"/>
      <c r="BK155" s="92">
        <v>10</v>
      </c>
      <c r="CN155">
        <v>720</v>
      </c>
      <c r="CO155">
        <v>40.450000000000003</v>
      </c>
      <c r="CP155">
        <v>33.21</v>
      </c>
      <c r="CQ155">
        <v>40.450000000000003</v>
      </c>
      <c r="CR155">
        <v>33.21</v>
      </c>
      <c r="CV155">
        <v>6879</v>
      </c>
      <c r="CW155" t="s">
        <v>787</v>
      </c>
      <c r="CY155" s="34" t="s">
        <v>788</v>
      </c>
      <c r="CZ155" s="35">
        <v>4.5279126044444437E-2</v>
      </c>
    </row>
    <row r="156" spans="4:104" ht="22.2" thickTop="1" thickBot="1" x14ac:dyDescent="0.35">
      <c r="D156" s="268"/>
      <c r="F156" s="269"/>
      <c r="G156" s="270"/>
      <c r="H156" s="270"/>
      <c r="I156" s="270"/>
      <c r="J156" s="271"/>
      <c r="O156" s="272"/>
      <c r="AH156" s="221"/>
      <c r="AI156" s="119"/>
      <c r="AJ156" s="125"/>
      <c r="AN156" s="117" t="s">
        <v>789</v>
      </c>
      <c r="AO156" s="118" t="s">
        <v>101</v>
      </c>
      <c r="AP156" s="119" t="s">
        <v>790</v>
      </c>
      <c r="AQ156" s="120">
        <v>0.5</v>
      </c>
      <c r="AS156" s="100"/>
      <c r="AY156" s="109">
        <v>81012</v>
      </c>
      <c r="AZ156" s="122" t="s">
        <v>791</v>
      </c>
      <c r="BA156" s="123"/>
      <c r="BB156" s="124"/>
      <c r="BC156" s="119"/>
      <c r="BD156" s="119"/>
      <c r="BE156" s="125"/>
      <c r="BF156" s="108"/>
      <c r="BG156" s="109">
        <v>81012</v>
      </c>
      <c r="BH156" s="110" t="e">
        <f>_xlfn.XLOOKUP(BG156,'[1]OEE MEJORADA'!A:A,'[1]OEE MEJORADA'!B:B)</f>
        <v>#N/A</v>
      </c>
      <c r="BJ156" s="91"/>
      <c r="BK156" s="92">
        <v>10</v>
      </c>
      <c r="CN156">
        <v>725</v>
      </c>
      <c r="CO156">
        <v>44.97</v>
      </c>
      <c r="CP156">
        <v>38</v>
      </c>
      <c r="CQ156">
        <v>44.97</v>
      </c>
      <c r="CR156">
        <v>38</v>
      </c>
      <c r="CV156">
        <v>1328</v>
      </c>
      <c r="CW156" t="s">
        <v>792</v>
      </c>
      <c r="CY156" s="34" t="s">
        <v>793</v>
      </c>
      <c r="CZ156" s="35">
        <v>9.9279999999999993E-3</v>
      </c>
    </row>
    <row r="157" spans="4:104" ht="15.6" thickTop="1" thickBot="1" x14ac:dyDescent="0.35">
      <c r="D157" s="268"/>
      <c r="O157" s="268"/>
      <c r="AH157" s="221"/>
      <c r="AI157" s="115"/>
      <c r="AJ157" s="116"/>
      <c r="AN157" s="117">
        <v>453641</v>
      </c>
      <c r="AO157" s="118" t="s">
        <v>101</v>
      </c>
      <c r="AP157" s="119" t="s">
        <v>794</v>
      </c>
      <c r="AQ157" s="120">
        <v>0.5</v>
      </c>
      <c r="AS157" s="100"/>
      <c r="AY157" s="109">
        <v>90000</v>
      </c>
      <c r="AZ157" s="122" t="s">
        <v>795</v>
      </c>
      <c r="BA157" s="123"/>
      <c r="BB157" s="124"/>
      <c r="BC157" s="119"/>
      <c r="BD157" s="119"/>
      <c r="BE157" s="125"/>
      <c r="BF157" s="108"/>
      <c r="BG157" s="109">
        <v>90000</v>
      </c>
      <c r="BH157" s="110" t="e">
        <f>_xlfn.XLOOKUP(BG157,'[1]OEE MEJORADA'!A:A,'[1]OEE MEJORADA'!B:B)</f>
        <v>#N/A</v>
      </c>
      <c r="BJ157" s="91"/>
      <c r="BK157" s="92">
        <v>10</v>
      </c>
      <c r="CN157">
        <v>3602</v>
      </c>
      <c r="CO157">
        <v>42.18</v>
      </c>
      <c r="CP157">
        <v>30.32</v>
      </c>
      <c r="CQ157">
        <v>42.18</v>
      </c>
      <c r="CR157">
        <v>30.32</v>
      </c>
      <c r="CV157">
        <v>5354</v>
      </c>
      <c r="CW157" t="s">
        <v>796</v>
      </c>
      <c r="CY157" s="34" t="s">
        <v>797</v>
      </c>
      <c r="CZ157" s="35">
        <v>3.1859999999999999</v>
      </c>
    </row>
    <row r="158" spans="4:104" x14ac:dyDescent="0.3">
      <c r="D158" s="268"/>
      <c r="F158" s="273" t="s">
        <v>798</v>
      </c>
      <c r="G158" s="274"/>
      <c r="H158" s="274"/>
      <c r="I158" s="275"/>
      <c r="L158" s="273" t="s">
        <v>799</v>
      </c>
      <c r="M158" s="274"/>
      <c r="N158" s="275"/>
      <c r="O158" s="268"/>
      <c r="AH158" s="221"/>
      <c r="AI158" s="119"/>
      <c r="AJ158" s="125"/>
      <c r="AN158" s="117">
        <v>453516</v>
      </c>
      <c r="AO158" s="118" t="s">
        <v>101</v>
      </c>
      <c r="AP158" s="119" t="s">
        <v>800</v>
      </c>
      <c r="AQ158" s="120">
        <v>0.5</v>
      </c>
      <c r="AS158" s="100"/>
      <c r="AY158" s="109">
        <v>90014</v>
      </c>
      <c r="AZ158" s="122" t="s">
        <v>801</v>
      </c>
      <c r="BA158" s="123"/>
      <c r="BB158" s="124"/>
      <c r="BC158" s="119"/>
      <c r="BD158" s="119"/>
      <c r="BE158" s="125"/>
      <c r="BF158" s="108"/>
      <c r="BG158" s="109">
        <v>90014</v>
      </c>
      <c r="BH158" s="110" t="e">
        <f>_xlfn.XLOOKUP(BG158,'[1]OEE MEJORADA'!A:A,'[1]OEE MEJORADA'!B:B)</f>
        <v>#N/A</v>
      </c>
      <c r="BJ158" s="91"/>
      <c r="BK158" s="92">
        <v>10</v>
      </c>
      <c r="CN158">
        <v>3603</v>
      </c>
      <c r="CO158">
        <v>35.86</v>
      </c>
      <c r="CP158">
        <v>26.1</v>
      </c>
      <c r="CQ158">
        <v>35.86</v>
      </c>
      <c r="CR158">
        <v>26.1</v>
      </c>
      <c r="CV158">
        <v>77</v>
      </c>
      <c r="CW158" t="s">
        <v>802</v>
      </c>
      <c r="CY158" s="34" t="s">
        <v>803</v>
      </c>
      <c r="CZ158" s="35">
        <v>6.8586238592000014E-3</v>
      </c>
    </row>
    <row r="159" spans="4:104" ht="15" thickBot="1" x14ac:dyDescent="0.35">
      <c r="D159" s="268"/>
      <c r="F159" s="162"/>
      <c r="G159" s="276" t="s">
        <v>804</v>
      </c>
      <c r="H159" s="276"/>
      <c r="I159" s="277"/>
      <c r="L159" s="278" t="s">
        <v>805</v>
      </c>
      <c r="M159" s="276" t="s">
        <v>806</v>
      </c>
      <c r="N159" s="277" t="s">
        <v>807</v>
      </c>
      <c r="O159" s="268"/>
      <c r="AH159" s="221"/>
      <c r="AI159" s="115"/>
      <c r="AJ159" s="116"/>
      <c r="AN159" s="117">
        <v>453462</v>
      </c>
      <c r="AO159" s="118" t="s">
        <v>101</v>
      </c>
      <c r="AP159" s="119" t="s">
        <v>808</v>
      </c>
      <c r="AQ159" s="219">
        <v>0.33</v>
      </c>
      <c r="AS159" s="100"/>
      <c r="AY159" s="109">
        <v>90288</v>
      </c>
      <c r="AZ159" s="122" t="s">
        <v>795</v>
      </c>
      <c r="BA159" s="123"/>
      <c r="BB159" s="124"/>
      <c r="BC159" s="119"/>
      <c r="BD159" s="119"/>
      <c r="BE159" s="125"/>
      <c r="BF159" s="108"/>
      <c r="BG159" s="109">
        <v>90288</v>
      </c>
      <c r="BH159" s="110" t="e">
        <f>_xlfn.XLOOKUP(BG159,'[1]OEE MEJORADA'!A:A,'[1]OEE MEJORADA'!B:B)</f>
        <v>#N/A</v>
      </c>
      <c r="BJ159" s="91"/>
      <c r="BK159" s="92">
        <v>10</v>
      </c>
      <c r="CN159">
        <v>3604</v>
      </c>
      <c r="CO159">
        <v>51.94</v>
      </c>
      <c r="CP159">
        <v>42.19</v>
      </c>
      <c r="CQ159">
        <v>31.93</v>
      </c>
      <c r="CR159">
        <v>22.19</v>
      </c>
      <c r="CV159">
        <v>50</v>
      </c>
      <c r="CW159" t="s">
        <v>809</v>
      </c>
      <c r="CY159" s="34" t="s">
        <v>810</v>
      </c>
      <c r="CZ159" s="35">
        <v>3.6897753449299998E-2</v>
      </c>
    </row>
    <row r="160" spans="4:104" x14ac:dyDescent="0.3">
      <c r="D160" s="268"/>
      <c r="F160" s="58"/>
      <c r="G160" s="274" t="s">
        <v>811</v>
      </c>
      <c r="H160" s="274" t="s">
        <v>812</v>
      </c>
      <c r="I160" s="279" t="s">
        <v>813</v>
      </c>
      <c r="K160" t="str">
        <f t="shared" ref="K160:K168" si="0">CONCATENATE(L160,M160)</f>
        <v>MTOMTS</v>
      </c>
      <c r="L160" s="280" t="s">
        <v>814</v>
      </c>
      <c r="M160" s="281" t="s">
        <v>815</v>
      </c>
      <c r="N160" s="282" t="s">
        <v>815</v>
      </c>
      <c r="O160" s="268"/>
      <c r="AH160" s="221"/>
      <c r="AI160" s="119"/>
      <c r="AJ160" s="125"/>
      <c r="AN160" s="117">
        <v>453451</v>
      </c>
      <c r="AO160" s="118" t="s">
        <v>101</v>
      </c>
      <c r="AP160" s="119" t="s">
        <v>816</v>
      </c>
      <c r="AQ160" s="120">
        <v>0.5</v>
      </c>
      <c r="AS160" s="100"/>
      <c r="AY160" s="109">
        <v>90798</v>
      </c>
      <c r="AZ160" s="122" t="s">
        <v>817</v>
      </c>
      <c r="BA160" s="123"/>
      <c r="BB160" s="124"/>
      <c r="BC160" s="119"/>
      <c r="BD160" s="119"/>
      <c r="BE160" s="125"/>
      <c r="BF160" s="108"/>
      <c r="BG160" s="109">
        <v>90798</v>
      </c>
      <c r="BH160" s="110" t="e">
        <f>_xlfn.XLOOKUP(BG160,'[1]OEE MEJORADA'!A:A,'[1]OEE MEJORADA'!B:B)</f>
        <v>#N/A</v>
      </c>
      <c r="BJ160" s="91"/>
      <c r="BK160" s="92">
        <v>10</v>
      </c>
      <c r="CN160">
        <v>7411</v>
      </c>
      <c r="CO160">
        <v>0</v>
      </c>
      <c r="CP160">
        <v>0</v>
      </c>
      <c r="CQ160">
        <v>8.7100000000000009</v>
      </c>
      <c r="CR160">
        <v>8.7100000000000009</v>
      </c>
      <c r="CV160">
        <v>7605</v>
      </c>
      <c r="CW160" t="s">
        <v>818</v>
      </c>
      <c r="CY160" s="34" t="s">
        <v>819</v>
      </c>
      <c r="CZ160" s="35">
        <v>6.2619999999999996</v>
      </c>
    </row>
    <row r="161" spans="4:104" x14ac:dyDescent="0.3">
      <c r="D161" s="268"/>
      <c r="F161" s="283"/>
      <c r="G161" s="284">
        <v>0</v>
      </c>
      <c r="H161" s="284">
        <v>0.5</v>
      </c>
      <c r="I161" s="285" t="s">
        <v>815</v>
      </c>
      <c r="K161" t="str">
        <f t="shared" si="0"/>
        <v>MTSMTS</v>
      </c>
      <c r="L161" s="280" t="s">
        <v>815</v>
      </c>
      <c r="M161" s="281" t="s">
        <v>815</v>
      </c>
      <c r="N161" s="282" t="s">
        <v>815</v>
      </c>
      <c r="O161" s="268"/>
      <c r="AH161" s="221"/>
      <c r="AI161" s="115"/>
      <c r="AJ161" s="116"/>
      <c r="AN161" s="117" t="s">
        <v>820</v>
      </c>
      <c r="AO161" s="118" t="s">
        <v>101</v>
      </c>
      <c r="AP161" s="119" t="s">
        <v>821</v>
      </c>
      <c r="AQ161" s="120">
        <v>0.33</v>
      </c>
      <c r="AS161" s="100"/>
      <c r="AY161" s="109">
        <v>91144</v>
      </c>
      <c r="AZ161" s="122" t="s">
        <v>822</v>
      </c>
      <c r="BA161" s="123"/>
      <c r="BB161" s="124"/>
      <c r="BC161" s="119"/>
      <c r="BD161" s="119"/>
      <c r="BE161" s="125"/>
      <c r="BF161" s="108"/>
      <c r="BG161" s="109">
        <v>91144</v>
      </c>
      <c r="BH161" s="110" t="e">
        <f>_xlfn.XLOOKUP(BG161,'[1]OEE MEJORADA'!A:A,'[1]OEE MEJORADA'!B:B)</f>
        <v>#N/A</v>
      </c>
      <c r="BJ161" s="91"/>
      <c r="BK161" s="92">
        <v>10</v>
      </c>
      <c r="CN161">
        <v>729</v>
      </c>
      <c r="CO161">
        <v>0</v>
      </c>
      <c r="CP161">
        <v>0</v>
      </c>
      <c r="CQ161">
        <v>10.55</v>
      </c>
      <c r="CR161">
        <v>10.55</v>
      </c>
      <c r="CV161">
        <v>852</v>
      </c>
      <c r="CW161" t="s">
        <v>823</v>
      </c>
      <c r="CY161" s="34" t="s">
        <v>824</v>
      </c>
      <c r="CZ161" s="35">
        <v>6.59</v>
      </c>
    </row>
    <row r="162" spans="4:104" x14ac:dyDescent="0.3">
      <c r="D162" s="268"/>
      <c r="F162" s="56"/>
      <c r="G162" s="284">
        <v>0.5</v>
      </c>
      <c r="H162" s="284">
        <v>0.75</v>
      </c>
      <c r="I162" s="285" t="s">
        <v>825</v>
      </c>
      <c r="K162" t="str">
        <f t="shared" si="0"/>
        <v>MTOSMTS</v>
      </c>
      <c r="L162" s="280" t="s">
        <v>825</v>
      </c>
      <c r="M162" s="281" t="s">
        <v>815</v>
      </c>
      <c r="N162" s="282" t="s">
        <v>815</v>
      </c>
      <c r="O162" s="268"/>
      <c r="AH162" s="221"/>
      <c r="AI162" s="119"/>
      <c r="AJ162" s="125"/>
      <c r="AN162" s="117">
        <v>453419</v>
      </c>
      <c r="AO162" s="118" t="s">
        <v>101</v>
      </c>
      <c r="AP162" s="119" t="s">
        <v>826</v>
      </c>
      <c r="AQ162" s="120">
        <v>0.33</v>
      </c>
      <c r="AS162" s="100"/>
      <c r="AY162" s="109">
        <v>91160</v>
      </c>
      <c r="AZ162" s="122" t="s">
        <v>827</v>
      </c>
      <c r="BA162" s="123"/>
      <c r="BB162" s="124"/>
      <c r="BC162" s="119"/>
      <c r="BD162" s="119"/>
      <c r="BE162" s="125"/>
      <c r="BF162" s="108"/>
      <c r="BG162" s="109">
        <v>91160</v>
      </c>
      <c r="BH162" s="110" t="e">
        <f>_xlfn.XLOOKUP(BG162,'[1]OEE MEJORADA'!A:A,'[1]OEE MEJORADA'!B:B)</f>
        <v>#N/A</v>
      </c>
      <c r="BJ162" s="91"/>
      <c r="BK162" s="92">
        <v>10</v>
      </c>
      <c r="CN162">
        <v>5878</v>
      </c>
      <c r="CO162">
        <v>0</v>
      </c>
      <c r="CP162">
        <v>0</v>
      </c>
      <c r="CQ162">
        <v>5.6</v>
      </c>
      <c r="CR162">
        <v>5.6</v>
      </c>
      <c r="CV162">
        <v>8002</v>
      </c>
      <c r="CW162" t="s">
        <v>828</v>
      </c>
      <c r="CY162" s="34" t="s">
        <v>829</v>
      </c>
      <c r="CZ162" s="35">
        <v>1.6559999999999999</v>
      </c>
    </row>
    <row r="163" spans="4:104" ht="15" thickBot="1" x14ac:dyDescent="0.35">
      <c r="D163" s="268"/>
      <c r="F163" s="162"/>
      <c r="G163" s="286">
        <v>0.75</v>
      </c>
      <c r="H163" s="286"/>
      <c r="I163" s="287" t="s">
        <v>814</v>
      </c>
      <c r="K163" t="str">
        <f t="shared" si="0"/>
        <v>MTOMTO</v>
      </c>
      <c r="L163" s="283" t="s">
        <v>814</v>
      </c>
      <c r="M163" s="52" t="s">
        <v>814</v>
      </c>
      <c r="N163" s="288" t="s">
        <v>814</v>
      </c>
      <c r="O163" s="268"/>
      <c r="AH163" s="221"/>
      <c r="AI163" s="115"/>
      <c r="AJ163" s="116"/>
      <c r="AN163" s="117">
        <v>453123</v>
      </c>
      <c r="AO163" s="118" t="s">
        <v>101</v>
      </c>
      <c r="AP163" s="119" t="s">
        <v>830</v>
      </c>
      <c r="AQ163" s="120">
        <v>0.5</v>
      </c>
      <c r="AS163" s="100"/>
      <c r="AY163" s="109">
        <v>91170</v>
      </c>
      <c r="AZ163" s="122" t="s">
        <v>831</v>
      </c>
      <c r="BA163" s="123"/>
      <c r="BB163" s="124"/>
      <c r="BC163" s="119"/>
      <c r="BD163" s="119"/>
      <c r="BE163" s="125"/>
      <c r="BF163" s="108"/>
      <c r="BG163" s="109">
        <v>91170</v>
      </c>
      <c r="BH163" s="110" t="e">
        <f>_xlfn.XLOOKUP(BG163,'[1]OEE MEJORADA'!A:A,'[1]OEE MEJORADA'!B:B)</f>
        <v>#N/A</v>
      </c>
      <c r="BJ163" s="91"/>
      <c r="BK163" s="92">
        <v>10</v>
      </c>
      <c r="CN163">
        <v>3051</v>
      </c>
      <c r="CO163">
        <v>0</v>
      </c>
      <c r="CP163">
        <v>0</v>
      </c>
      <c r="CQ163">
        <v>42.41</v>
      </c>
      <c r="CR163">
        <v>42.41</v>
      </c>
      <c r="CV163">
        <v>5962</v>
      </c>
      <c r="CW163" t="s">
        <v>832</v>
      </c>
      <c r="CY163" s="34" t="s">
        <v>833</v>
      </c>
      <c r="CZ163" s="35">
        <v>2.9670000000000001</v>
      </c>
    </row>
    <row r="164" spans="4:104" ht="15" thickBot="1" x14ac:dyDescent="0.35">
      <c r="D164" s="268"/>
      <c r="K164" t="str">
        <f t="shared" si="0"/>
        <v>MTOSMTO</v>
      </c>
      <c r="L164" s="283" t="s">
        <v>825</v>
      </c>
      <c r="M164" s="52" t="s">
        <v>814</v>
      </c>
      <c r="N164" s="288" t="s">
        <v>814</v>
      </c>
      <c r="O164" s="268"/>
      <c r="AH164" s="221"/>
      <c r="AI164" s="119"/>
      <c r="AJ164" s="125"/>
      <c r="AN164" s="117">
        <v>453389</v>
      </c>
      <c r="AO164" s="118" t="s">
        <v>101</v>
      </c>
      <c r="AP164" s="119" t="s">
        <v>834</v>
      </c>
      <c r="AQ164" s="120">
        <v>0.5</v>
      </c>
      <c r="AS164" s="100"/>
      <c r="AY164" s="109">
        <v>91190</v>
      </c>
      <c r="AZ164" s="122" t="s">
        <v>835</v>
      </c>
      <c r="BA164" s="123"/>
      <c r="BB164" s="124"/>
      <c r="BC164" s="119"/>
      <c r="BD164" s="119"/>
      <c r="BE164" s="125"/>
      <c r="BF164" s="108"/>
      <c r="BG164" s="109">
        <v>91190</v>
      </c>
      <c r="BH164" s="110" t="e">
        <f>_xlfn.XLOOKUP(BG164,'[1]OEE MEJORADA'!A:A,'[1]OEE MEJORADA'!B:B)</f>
        <v>#N/A</v>
      </c>
      <c r="BJ164" s="91"/>
      <c r="BK164" s="92">
        <v>10</v>
      </c>
      <c r="CN164">
        <v>761</v>
      </c>
      <c r="CO164">
        <v>0</v>
      </c>
      <c r="CP164">
        <v>0</v>
      </c>
      <c r="CQ164">
        <v>16.21</v>
      </c>
      <c r="CR164">
        <v>16.21</v>
      </c>
      <c r="CV164">
        <v>48</v>
      </c>
      <c r="CW164" t="s">
        <v>836</v>
      </c>
      <c r="CY164" s="34" t="s">
        <v>837</v>
      </c>
      <c r="CZ164" s="35">
        <v>2.967E-3</v>
      </c>
    </row>
    <row r="165" spans="4:104" x14ac:dyDescent="0.3">
      <c r="D165" s="268"/>
      <c r="F165" s="273" t="s">
        <v>838</v>
      </c>
      <c r="G165" s="274"/>
      <c r="H165" s="274"/>
      <c r="I165" s="275"/>
      <c r="K165" t="str">
        <f t="shared" si="0"/>
        <v>MTSMTO</v>
      </c>
      <c r="L165" s="280" t="s">
        <v>815</v>
      </c>
      <c r="M165" s="281" t="s">
        <v>814</v>
      </c>
      <c r="N165" s="282" t="s">
        <v>815</v>
      </c>
      <c r="O165" s="268"/>
      <c r="AH165" s="222"/>
      <c r="AI165" s="261"/>
      <c r="AJ165" s="223"/>
      <c r="AN165" s="117">
        <v>453396</v>
      </c>
      <c r="AO165" s="118" t="s">
        <v>101</v>
      </c>
      <c r="AP165" s="119" t="s">
        <v>839</v>
      </c>
      <c r="AQ165" s="120">
        <v>0.5</v>
      </c>
      <c r="AS165" s="100"/>
      <c r="AY165" s="109">
        <v>101196</v>
      </c>
      <c r="AZ165" s="122" t="s">
        <v>840</v>
      </c>
      <c r="BA165" s="123"/>
      <c r="BB165" s="124"/>
      <c r="BC165" s="119"/>
      <c r="BD165" s="119"/>
      <c r="BE165" s="125"/>
      <c r="BF165" s="108"/>
      <c r="BG165" s="109">
        <v>101196</v>
      </c>
      <c r="BH165" s="110" t="e">
        <f>_xlfn.XLOOKUP(BG165,'[1]OEE MEJORADA'!A:A,'[1]OEE MEJORADA'!B:B)</f>
        <v>#N/A</v>
      </c>
      <c r="BJ165" s="91"/>
      <c r="BK165" s="92">
        <v>10</v>
      </c>
      <c r="CN165">
        <v>4379</v>
      </c>
      <c r="CO165">
        <v>0</v>
      </c>
      <c r="CP165">
        <v>0</v>
      </c>
      <c r="CQ165">
        <v>10.5</v>
      </c>
      <c r="CR165">
        <v>10.5</v>
      </c>
      <c r="CV165">
        <v>5353</v>
      </c>
      <c r="CW165" t="s">
        <v>841</v>
      </c>
      <c r="CY165" s="34" t="s">
        <v>842</v>
      </c>
      <c r="CZ165" s="35">
        <v>5.3863520192000004E-2</v>
      </c>
    </row>
    <row r="166" spans="4:104" ht="15" thickBot="1" x14ac:dyDescent="0.35">
      <c r="D166" s="268"/>
      <c r="F166" s="162"/>
      <c r="G166" s="276" t="s">
        <v>843</v>
      </c>
      <c r="H166" s="276"/>
      <c r="I166" s="277"/>
      <c r="K166" t="str">
        <f t="shared" si="0"/>
        <v>MTSMTOS</v>
      </c>
      <c r="L166" s="280" t="s">
        <v>815</v>
      </c>
      <c r="M166" s="281" t="s">
        <v>825</v>
      </c>
      <c r="N166" s="282" t="s">
        <v>815</v>
      </c>
      <c r="O166" s="268"/>
      <c r="AH166" s="222"/>
      <c r="AI166" s="261"/>
      <c r="AJ166" s="223"/>
      <c r="AN166" s="117">
        <v>453400</v>
      </c>
      <c r="AO166" s="118" t="s">
        <v>101</v>
      </c>
      <c r="AP166" s="119" t="s">
        <v>844</v>
      </c>
      <c r="AQ166" s="120">
        <v>0.5</v>
      </c>
      <c r="AS166" s="100"/>
      <c r="AY166" s="109">
        <v>101200</v>
      </c>
      <c r="AZ166" s="122" t="s">
        <v>643</v>
      </c>
      <c r="BA166" s="123"/>
      <c r="BB166" s="124"/>
      <c r="BC166" s="119"/>
      <c r="BD166" s="119"/>
      <c r="BE166" s="125"/>
      <c r="BF166" s="108"/>
      <c r="BG166" s="109">
        <v>101200</v>
      </c>
      <c r="BH166" s="110" t="e">
        <f>_xlfn.XLOOKUP(BG166,'[1]OEE MEJORADA'!A:A,'[1]OEE MEJORADA'!B:B)</f>
        <v>#N/A</v>
      </c>
      <c r="BJ166" s="91"/>
      <c r="BK166" s="92">
        <v>10</v>
      </c>
      <c r="CN166">
        <v>3054</v>
      </c>
      <c r="CO166">
        <v>0</v>
      </c>
      <c r="CP166">
        <v>0</v>
      </c>
      <c r="CQ166">
        <v>68.7</v>
      </c>
      <c r="CR166">
        <v>68.7</v>
      </c>
      <c r="CV166">
        <v>7689</v>
      </c>
      <c r="CW166" t="s">
        <v>845</v>
      </c>
      <c r="CY166" s="34" t="s">
        <v>846</v>
      </c>
      <c r="CZ166" s="35">
        <v>1.6559999999999999E-3</v>
      </c>
    </row>
    <row r="167" spans="4:104" x14ac:dyDescent="0.3">
      <c r="D167" s="268"/>
      <c r="F167" s="56"/>
      <c r="G167" s="52" t="s">
        <v>811</v>
      </c>
      <c r="H167" s="52" t="s">
        <v>812</v>
      </c>
      <c r="I167" s="279" t="s">
        <v>813</v>
      </c>
      <c r="K167" t="str">
        <f t="shared" si="0"/>
        <v>MTOSMTOS</v>
      </c>
      <c r="L167" s="280" t="s">
        <v>825</v>
      </c>
      <c r="M167" s="281" t="s">
        <v>825</v>
      </c>
      <c r="N167" s="282" t="s">
        <v>815</v>
      </c>
      <c r="O167" s="268"/>
      <c r="AH167" s="222"/>
      <c r="AI167" s="261"/>
      <c r="AJ167" s="223"/>
      <c r="AN167" s="117">
        <v>453401</v>
      </c>
      <c r="AO167" s="118" t="s">
        <v>101</v>
      </c>
      <c r="AP167" s="119" t="s">
        <v>847</v>
      </c>
      <c r="AQ167" s="120">
        <v>0.5</v>
      </c>
      <c r="AS167" s="100"/>
      <c r="AY167" s="109">
        <v>101236</v>
      </c>
      <c r="AZ167" s="122" t="s">
        <v>848</v>
      </c>
      <c r="BA167" s="123"/>
      <c r="BB167" s="124"/>
      <c r="BC167" s="119"/>
      <c r="BD167" s="119"/>
      <c r="BE167" s="125"/>
      <c r="BF167" s="108"/>
      <c r="BG167" s="109">
        <v>101236</v>
      </c>
      <c r="BH167" s="110" t="e">
        <f>_xlfn.XLOOKUP(BG167,'[1]OEE MEJORADA'!A:A,'[1]OEE MEJORADA'!B:B)</f>
        <v>#N/A</v>
      </c>
      <c r="BJ167" s="91"/>
      <c r="BK167" s="92">
        <v>10</v>
      </c>
      <c r="CN167">
        <v>3058</v>
      </c>
      <c r="CO167">
        <v>0</v>
      </c>
      <c r="CP167">
        <v>0</v>
      </c>
      <c r="CQ167">
        <v>29.47</v>
      </c>
      <c r="CR167">
        <v>29.47</v>
      </c>
      <c r="CV167">
        <v>2018</v>
      </c>
      <c r="CW167" t="s">
        <v>849</v>
      </c>
      <c r="CY167" s="34" t="s">
        <v>850</v>
      </c>
      <c r="CZ167" s="35">
        <v>4.9029999999999996</v>
      </c>
    </row>
    <row r="168" spans="4:104" ht="15" thickBot="1" x14ac:dyDescent="0.35">
      <c r="D168" s="268"/>
      <c r="F168" s="56"/>
      <c r="G168" s="284">
        <v>0</v>
      </c>
      <c r="H168" s="284">
        <v>1.1000000000000001</v>
      </c>
      <c r="I168" s="285" t="s">
        <v>815</v>
      </c>
      <c r="K168" t="str">
        <f t="shared" si="0"/>
        <v>MTOMTOS</v>
      </c>
      <c r="L168" s="278" t="s">
        <v>814</v>
      </c>
      <c r="M168" s="276" t="s">
        <v>825</v>
      </c>
      <c r="N168" s="277" t="s">
        <v>814</v>
      </c>
      <c r="O168" s="268"/>
      <c r="AH168" s="222"/>
      <c r="AI168" s="261"/>
      <c r="AJ168" s="223"/>
      <c r="AN168" s="117">
        <v>453410</v>
      </c>
      <c r="AO168" s="118" t="s">
        <v>101</v>
      </c>
      <c r="AP168" s="119" t="s">
        <v>851</v>
      </c>
      <c r="AQ168" s="219">
        <v>0.5</v>
      </c>
      <c r="AS168" s="100"/>
      <c r="AY168" s="109">
        <v>101360</v>
      </c>
      <c r="AZ168" s="122" t="s">
        <v>852</v>
      </c>
      <c r="BA168" s="123"/>
      <c r="BB168" s="124"/>
      <c r="BC168" s="119"/>
      <c r="BD168" s="119"/>
      <c r="BE168" s="125"/>
      <c r="BF168" s="108"/>
      <c r="BG168" s="109">
        <v>101360</v>
      </c>
      <c r="BH168" s="110" t="e">
        <f>_xlfn.XLOOKUP(BG168,'[1]OEE MEJORADA'!A:A,'[1]OEE MEJORADA'!B:B)</f>
        <v>#N/A</v>
      </c>
      <c r="BJ168" s="91"/>
      <c r="BK168" s="92">
        <v>10</v>
      </c>
      <c r="CN168">
        <v>3300</v>
      </c>
      <c r="CO168">
        <v>0</v>
      </c>
      <c r="CP168">
        <v>0</v>
      </c>
      <c r="CQ168">
        <v>29.47</v>
      </c>
      <c r="CR168">
        <v>29.47</v>
      </c>
      <c r="CV168">
        <v>7172</v>
      </c>
      <c r="CW168" t="s">
        <v>853</v>
      </c>
      <c r="CY168" s="34" t="s">
        <v>854</v>
      </c>
      <c r="CZ168" s="35">
        <v>7.9569999999999999</v>
      </c>
    </row>
    <row r="169" spans="4:104" x14ac:dyDescent="0.3">
      <c r="D169" s="268"/>
      <c r="F169" s="56"/>
      <c r="G169" s="284">
        <v>1.1000000000000001</v>
      </c>
      <c r="H169" s="284">
        <v>1.2</v>
      </c>
      <c r="I169" s="285" t="s">
        <v>825</v>
      </c>
      <c r="O169" s="268"/>
      <c r="AH169" s="222"/>
      <c r="AI169" s="261"/>
      <c r="AJ169" s="223"/>
      <c r="AN169" s="117">
        <v>453414</v>
      </c>
      <c r="AO169" s="118" t="s">
        <v>101</v>
      </c>
      <c r="AP169" s="119" t="s">
        <v>855</v>
      </c>
      <c r="AQ169" s="120">
        <v>0.5</v>
      </c>
      <c r="AS169" s="100"/>
      <c r="AY169" s="109">
        <v>101465</v>
      </c>
      <c r="AZ169" s="122" t="s">
        <v>856</v>
      </c>
      <c r="BA169" s="123"/>
      <c r="BB169" s="124"/>
      <c r="BC169" s="119"/>
      <c r="BD169" s="119"/>
      <c r="BE169" s="125"/>
      <c r="BF169" s="108"/>
      <c r="BG169" s="109">
        <v>101465</v>
      </c>
      <c r="BH169" s="110" t="e">
        <f>_xlfn.XLOOKUP(BG169,'[1]OEE MEJORADA'!A:A,'[1]OEE MEJORADA'!B:B)</f>
        <v>#N/A</v>
      </c>
      <c r="BJ169" s="91"/>
      <c r="BK169" s="92">
        <v>10</v>
      </c>
      <c r="CN169">
        <v>750</v>
      </c>
      <c r="CO169">
        <v>0</v>
      </c>
      <c r="CP169">
        <v>0</v>
      </c>
      <c r="CQ169">
        <v>14.82</v>
      </c>
      <c r="CR169">
        <v>14.82</v>
      </c>
      <c r="CV169">
        <v>7561</v>
      </c>
      <c r="CW169" t="s">
        <v>857</v>
      </c>
      <c r="CY169" s="34" t="s">
        <v>858</v>
      </c>
      <c r="CZ169" s="35">
        <v>4.5880000000000001</v>
      </c>
    </row>
    <row r="170" spans="4:104" ht="15" thickBot="1" x14ac:dyDescent="0.35">
      <c r="D170" s="268"/>
      <c r="F170" s="162"/>
      <c r="G170" s="286">
        <v>1.2</v>
      </c>
      <c r="H170" s="286"/>
      <c r="I170" s="287" t="s">
        <v>814</v>
      </c>
      <c r="O170" s="268"/>
      <c r="AH170" s="222"/>
      <c r="AI170" s="261"/>
      <c r="AJ170" s="223"/>
      <c r="AN170" s="117">
        <v>400256</v>
      </c>
      <c r="AO170" s="118" t="s">
        <v>101</v>
      </c>
      <c r="AP170" s="119" t="s">
        <v>859</v>
      </c>
      <c r="AQ170" s="120">
        <v>0.5</v>
      </c>
      <c r="AS170" s="100"/>
      <c r="AY170" s="109">
        <v>101479</v>
      </c>
      <c r="AZ170" s="122" t="s">
        <v>860</v>
      </c>
      <c r="BA170" s="123"/>
      <c r="BB170" s="124"/>
      <c r="BC170" s="119"/>
      <c r="BD170" s="119"/>
      <c r="BE170" s="125"/>
      <c r="BF170" s="108"/>
      <c r="BG170" s="109">
        <v>101479</v>
      </c>
      <c r="BH170" s="110" t="e">
        <f>_xlfn.XLOOKUP(BG170,'[1]OEE MEJORADA'!A:A,'[1]OEE MEJORADA'!B:B)</f>
        <v>#N/A</v>
      </c>
      <c r="BJ170" s="91"/>
      <c r="BK170" s="92">
        <v>10</v>
      </c>
      <c r="CN170">
        <v>746</v>
      </c>
      <c r="CO170">
        <v>0</v>
      </c>
      <c r="CP170">
        <v>0</v>
      </c>
      <c r="CQ170">
        <v>15.51</v>
      </c>
      <c r="CR170">
        <v>15.51</v>
      </c>
      <c r="CY170" s="34" t="s">
        <v>861</v>
      </c>
      <c r="CZ170" s="35">
        <v>4.9729999999999999</v>
      </c>
    </row>
    <row r="171" spans="4:104" ht="15" thickBot="1" x14ac:dyDescent="0.35">
      <c r="D171" s="268"/>
      <c r="E171" s="266"/>
      <c r="F171" s="267"/>
      <c r="G171" s="267"/>
      <c r="H171" s="289"/>
      <c r="I171" s="289"/>
      <c r="J171" s="289"/>
      <c r="K171" s="267"/>
      <c r="L171" s="267"/>
      <c r="M171" s="267"/>
      <c r="N171" s="267"/>
      <c r="O171" s="262"/>
      <c r="AH171" s="222"/>
      <c r="AI171" s="261"/>
      <c r="AJ171" s="223"/>
      <c r="AN171" s="117">
        <v>400311</v>
      </c>
      <c r="AO171" s="118" t="s">
        <v>101</v>
      </c>
      <c r="AP171" s="119" t="s">
        <v>862</v>
      </c>
      <c r="AQ171" s="120">
        <v>0.5</v>
      </c>
      <c r="AS171" s="100"/>
      <c r="AY171" s="109">
        <v>101798</v>
      </c>
      <c r="AZ171" s="122" t="s">
        <v>863</v>
      </c>
      <c r="BA171" s="123"/>
      <c r="BB171" s="124"/>
      <c r="BC171" s="119"/>
      <c r="BD171" s="119"/>
      <c r="BE171" s="125"/>
      <c r="BF171" s="108"/>
      <c r="BG171" s="109">
        <v>101798</v>
      </c>
      <c r="BH171" s="110" t="e">
        <f>_xlfn.XLOOKUP(BG171,'[1]OEE MEJORADA'!A:A,'[1]OEE MEJORADA'!B:B)</f>
        <v>#N/A</v>
      </c>
      <c r="BJ171" s="91"/>
      <c r="BK171" s="92">
        <v>10</v>
      </c>
      <c r="CN171">
        <v>886</v>
      </c>
      <c r="CO171">
        <v>0</v>
      </c>
      <c r="CP171">
        <v>0</v>
      </c>
      <c r="CQ171">
        <v>9.66</v>
      </c>
      <c r="CR171">
        <v>9.66</v>
      </c>
      <c r="CY171" s="34" t="s">
        <v>864</v>
      </c>
      <c r="CZ171" s="35">
        <v>6.2619999999999996</v>
      </c>
    </row>
    <row r="172" spans="4:104" ht="15" thickTop="1" x14ac:dyDescent="0.3">
      <c r="AH172" s="222"/>
      <c r="AI172" s="261"/>
      <c r="AJ172" s="223"/>
      <c r="AN172" s="117">
        <v>400282</v>
      </c>
      <c r="AO172" s="118" t="s">
        <v>101</v>
      </c>
      <c r="AP172" s="119" t="s">
        <v>865</v>
      </c>
      <c r="AQ172" s="120">
        <v>0.5</v>
      </c>
      <c r="AS172" s="100"/>
      <c r="AY172" s="109">
        <v>121236</v>
      </c>
      <c r="AZ172" s="122" t="s">
        <v>866</v>
      </c>
      <c r="BA172" s="123"/>
      <c r="BB172" s="124"/>
      <c r="BC172" s="119"/>
      <c r="BD172" s="119"/>
      <c r="BE172" s="125"/>
      <c r="BF172" s="108"/>
      <c r="BG172" s="109">
        <v>121236</v>
      </c>
      <c r="BH172" s="110" t="e">
        <f>_xlfn.XLOOKUP(BG172,'[1]OEE MEJORADA'!A:A,'[1]OEE MEJORADA'!B:B)</f>
        <v>#N/A</v>
      </c>
      <c r="BJ172" s="91"/>
      <c r="BK172" s="92">
        <v>10</v>
      </c>
      <c r="CN172">
        <v>419</v>
      </c>
      <c r="CO172">
        <v>68.319999999999993</v>
      </c>
      <c r="CP172">
        <v>68.319999999999993</v>
      </c>
      <c r="CQ172">
        <v>42.27</v>
      </c>
      <c r="CR172">
        <v>42.27</v>
      </c>
      <c r="CY172" s="34" t="s">
        <v>867</v>
      </c>
      <c r="CZ172" s="35">
        <v>6.2212800000000001</v>
      </c>
    </row>
    <row r="173" spans="4:104" x14ac:dyDescent="0.3">
      <c r="AH173" s="221"/>
      <c r="AI173" s="115"/>
      <c r="AJ173" s="116"/>
      <c r="AN173" s="117">
        <v>400296</v>
      </c>
      <c r="AO173" s="118" t="s">
        <v>101</v>
      </c>
      <c r="AP173" s="119" t="s">
        <v>868</v>
      </c>
      <c r="AQ173" s="120">
        <v>0.5</v>
      </c>
      <c r="AS173" s="100"/>
      <c r="AY173" s="109">
        <v>121286</v>
      </c>
      <c r="AZ173" s="122" t="s">
        <v>866</v>
      </c>
      <c r="BA173" s="123"/>
      <c r="BB173" s="124"/>
      <c r="BC173" s="119"/>
      <c r="BD173" s="119"/>
      <c r="BE173" s="125"/>
      <c r="BF173" s="108"/>
      <c r="BG173" s="109">
        <v>121286</v>
      </c>
      <c r="BH173" s="110" t="e">
        <f>_xlfn.XLOOKUP(BG173,'[1]OEE MEJORADA'!A:A,'[1]OEE MEJORADA'!B:B)</f>
        <v>#N/A</v>
      </c>
      <c r="BJ173" s="91"/>
      <c r="BK173" s="92">
        <v>10</v>
      </c>
      <c r="CN173">
        <v>5502</v>
      </c>
      <c r="CO173">
        <v>0</v>
      </c>
      <c r="CP173">
        <v>0</v>
      </c>
      <c r="CQ173">
        <v>3.4000000000000002E-2</v>
      </c>
      <c r="CR173">
        <v>3.4000000000000002E-2</v>
      </c>
      <c r="CY173" s="34" t="s">
        <v>869</v>
      </c>
      <c r="CZ173" s="35">
        <v>1.651</v>
      </c>
    </row>
    <row r="174" spans="4:104" x14ac:dyDescent="0.3">
      <c r="AH174" s="222"/>
      <c r="AI174" s="261"/>
      <c r="AJ174" s="223"/>
      <c r="AN174" s="290">
        <v>400312</v>
      </c>
      <c r="AO174" s="291" t="s">
        <v>83</v>
      </c>
      <c r="AP174" s="291" t="s">
        <v>870</v>
      </c>
      <c r="AQ174" s="290">
        <v>1</v>
      </c>
      <c r="AS174" s="100"/>
      <c r="AY174" s="109">
        <v>121337</v>
      </c>
      <c r="AZ174" s="122" t="s">
        <v>871</v>
      </c>
      <c r="BA174" s="123"/>
      <c r="BB174" s="124"/>
      <c r="BC174" s="119"/>
      <c r="BD174" s="119"/>
      <c r="BE174" s="125"/>
      <c r="BF174" s="108"/>
      <c r="BG174" s="109">
        <v>121337</v>
      </c>
      <c r="BH174" s="110" t="e">
        <f>_xlfn.XLOOKUP(BG174,'[1]OEE MEJORADA'!A:A,'[1]OEE MEJORADA'!B:B)</f>
        <v>#N/A</v>
      </c>
      <c r="BJ174" s="91"/>
      <c r="BK174" s="92">
        <v>10</v>
      </c>
      <c r="CN174">
        <v>7030</v>
      </c>
      <c r="CO174">
        <v>0</v>
      </c>
      <c r="CP174">
        <v>0</v>
      </c>
      <c r="CQ174">
        <v>0.156</v>
      </c>
      <c r="CR174">
        <v>0.156</v>
      </c>
      <c r="CY174" s="34" t="s">
        <v>872</v>
      </c>
      <c r="CZ174" s="35">
        <v>1.631</v>
      </c>
    </row>
    <row r="175" spans="4:104" ht="15" thickBot="1" x14ac:dyDescent="0.35">
      <c r="AH175" s="222"/>
      <c r="AI175" s="261"/>
      <c r="AJ175" s="223"/>
      <c r="AN175" s="290" t="s">
        <v>873</v>
      </c>
      <c r="AO175" s="291" t="s">
        <v>83</v>
      </c>
      <c r="AP175" s="291" t="s">
        <v>874</v>
      </c>
      <c r="AQ175" s="290">
        <v>1</v>
      </c>
      <c r="AS175" s="100"/>
      <c r="AY175" s="109">
        <v>121921</v>
      </c>
      <c r="AZ175" s="122" t="s">
        <v>875</v>
      </c>
      <c r="BA175" s="123"/>
      <c r="BB175" s="124"/>
      <c r="BC175" s="119"/>
      <c r="BD175" s="119"/>
      <c r="BE175" s="125"/>
      <c r="BF175" s="108"/>
      <c r="BG175" s="109">
        <v>121921</v>
      </c>
      <c r="BH175" s="110" t="e">
        <f>_xlfn.XLOOKUP(BG175,'[1]OEE MEJORADA'!A:A,'[1]OEE MEJORADA'!B:B)</f>
        <v>#N/A</v>
      </c>
      <c r="BJ175" s="91"/>
      <c r="BK175" s="92">
        <v>10</v>
      </c>
      <c r="CN175">
        <v>161</v>
      </c>
      <c r="CO175">
        <v>70.5</v>
      </c>
      <c r="CP175">
        <v>60.27</v>
      </c>
      <c r="CQ175">
        <v>44.27</v>
      </c>
      <c r="CR175">
        <v>34.04</v>
      </c>
      <c r="CY175" s="34" t="s">
        <v>876</v>
      </c>
      <c r="CZ175" s="35">
        <v>5.9820000000000002</v>
      </c>
    </row>
    <row r="176" spans="4:104" ht="75" customHeight="1" x14ac:dyDescent="0.3">
      <c r="E176" s="292" t="s">
        <v>877</v>
      </c>
      <c r="F176" s="293"/>
      <c r="G176" s="294"/>
      <c r="I176" s="295" t="s">
        <v>878</v>
      </c>
      <c r="J176" s="296"/>
      <c r="L176" s="295" t="s">
        <v>879</v>
      </c>
      <c r="M176" s="296"/>
      <c r="P176" s="297" t="s">
        <v>880</v>
      </c>
      <c r="Q176" s="298"/>
      <c r="R176" s="298"/>
      <c r="S176" s="298"/>
      <c r="T176" s="298"/>
      <c r="U176" s="298"/>
      <c r="V176" s="298"/>
      <c r="W176" s="298"/>
      <c r="X176" s="299"/>
      <c r="AH176" s="222"/>
      <c r="AI176" s="261"/>
      <c r="AJ176" s="223"/>
      <c r="AN176" s="290">
        <v>400314</v>
      </c>
      <c r="AO176" s="291" t="s">
        <v>83</v>
      </c>
      <c r="AP176" s="291" t="s">
        <v>881</v>
      </c>
      <c r="AQ176" s="290">
        <v>1</v>
      </c>
      <c r="AS176" s="100"/>
      <c r="AY176" s="109">
        <v>131236</v>
      </c>
      <c r="AZ176" s="122" t="s">
        <v>882</v>
      </c>
      <c r="BA176" s="123"/>
      <c r="BB176" s="124"/>
      <c r="BC176" s="119"/>
      <c r="BD176" s="119"/>
      <c r="BE176" s="125"/>
      <c r="BF176" s="108"/>
      <c r="BG176" s="109">
        <v>131236</v>
      </c>
      <c r="BH176" s="110" t="e">
        <f>_xlfn.XLOOKUP(BG176,'[1]OEE MEJORADA'!A:A,'[1]OEE MEJORADA'!B:B)</f>
        <v>#N/A</v>
      </c>
      <c r="BJ176" s="91"/>
      <c r="BK176" s="92">
        <v>10</v>
      </c>
      <c r="CN176">
        <v>92</v>
      </c>
      <c r="CO176">
        <v>66.63</v>
      </c>
      <c r="CP176">
        <v>56.41</v>
      </c>
      <c r="CQ176">
        <v>36.21</v>
      </c>
      <c r="CR176">
        <v>26</v>
      </c>
      <c r="CY176" s="34" t="s">
        <v>883</v>
      </c>
      <c r="CZ176" s="35">
        <v>5.0539558319999999E-3</v>
      </c>
    </row>
    <row r="177" spans="5:104" ht="26.25" customHeight="1" x14ac:dyDescent="0.3">
      <c r="E177" s="300"/>
      <c r="F177" s="301"/>
      <c r="G177" s="302"/>
      <c r="I177" s="303"/>
      <c r="J177" s="304"/>
      <c r="L177" s="303"/>
      <c r="M177" s="304"/>
      <c r="P177" s="305"/>
      <c r="Q177" s="306"/>
      <c r="R177" s="306"/>
      <c r="S177" s="306"/>
      <c r="T177" s="306"/>
      <c r="U177" s="306"/>
      <c r="V177" s="306"/>
      <c r="W177" s="306"/>
      <c r="X177" s="307"/>
      <c r="AH177" s="222"/>
      <c r="AI177" s="261"/>
      <c r="AJ177" s="223"/>
      <c r="AN177" s="290">
        <v>413253</v>
      </c>
      <c r="AO177" s="291" t="s">
        <v>83</v>
      </c>
      <c r="AP177" s="291" t="s">
        <v>884</v>
      </c>
      <c r="AQ177" s="290">
        <v>1</v>
      </c>
      <c r="AS177" s="100"/>
      <c r="AY177" s="109">
        <v>201339</v>
      </c>
      <c r="AZ177" s="122" t="s">
        <v>885</v>
      </c>
      <c r="BA177" s="123"/>
      <c r="BB177" s="124"/>
      <c r="BC177" s="119"/>
      <c r="BD177" s="119"/>
      <c r="BE177" s="125"/>
      <c r="BF177" s="108"/>
      <c r="BG177" s="109">
        <v>201339</v>
      </c>
      <c r="BH177" s="110" t="e">
        <f>_xlfn.XLOOKUP(BG177,'[1]OEE MEJORADA'!A:A,'[1]OEE MEJORADA'!B:B)</f>
        <v>#N/A</v>
      </c>
      <c r="BJ177" s="91"/>
      <c r="BK177" s="92">
        <v>10</v>
      </c>
      <c r="CN177">
        <v>737</v>
      </c>
      <c r="CO177">
        <v>45.62</v>
      </c>
      <c r="CP177">
        <v>38.82</v>
      </c>
      <c r="CQ177">
        <v>45.62</v>
      </c>
      <c r="CR177">
        <v>38.82</v>
      </c>
      <c r="CY177" s="34" t="s">
        <v>886</v>
      </c>
      <c r="CZ177" s="35">
        <v>3.55</v>
      </c>
    </row>
    <row r="178" spans="5:104" x14ac:dyDescent="0.3">
      <c r="E178" s="56"/>
      <c r="F178" s="308" t="s">
        <v>887</v>
      </c>
      <c r="G178" s="309" t="s">
        <v>888</v>
      </c>
      <c r="I178" s="310" t="s">
        <v>887</v>
      </c>
      <c r="J178" s="309" t="s">
        <v>889</v>
      </c>
      <c r="L178" s="311" t="s">
        <v>887</v>
      </c>
      <c r="M178" s="312" t="s">
        <v>890</v>
      </c>
      <c r="P178" s="56"/>
      <c r="X178" s="57"/>
      <c r="AH178" s="222"/>
      <c r="AI178" s="261"/>
      <c r="AJ178" s="223"/>
      <c r="AN178" s="290" t="s">
        <v>891</v>
      </c>
      <c r="AO178" s="291" t="s">
        <v>83</v>
      </c>
      <c r="AP178" s="291" t="s">
        <v>892</v>
      </c>
      <c r="AQ178" s="290">
        <v>1</v>
      </c>
      <c r="AS178" s="100"/>
      <c r="AY178" s="109">
        <v>201482</v>
      </c>
      <c r="AZ178" s="122" t="s">
        <v>893</v>
      </c>
      <c r="BA178" s="123"/>
      <c r="BB178" s="124"/>
      <c r="BC178" s="119"/>
      <c r="BD178" s="119"/>
      <c r="BE178" s="125"/>
      <c r="BF178" s="108"/>
      <c r="BG178" s="109">
        <v>201482</v>
      </c>
      <c r="BH178" s="110" t="e">
        <f>_xlfn.XLOOKUP(BG178,'[1]OEE MEJORADA'!A:A,'[1]OEE MEJORADA'!B:B)</f>
        <v>#N/A</v>
      </c>
      <c r="BJ178" s="91"/>
      <c r="BK178" s="92">
        <v>10</v>
      </c>
      <c r="CN178">
        <v>739</v>
      </c>
      <c r="CO178">
        <v>45.62</v>
      </c>
      <c r="CP178">
        <v>38.82</v>
      </c>
      <c r="CQ178">
        <v>45.62</v>
      </c>
      <c r="CR178">
        <v>38.82</v>
      </c>
      <c r="CY178" s="34" t="s">
        <v>894</v>
      </c>
      <c r="CZ178" s="35">
        <v>8.917597513140002E-3</v>
      </c>
    </row>
    <row r="179" spans="5:104" x14ac:dyDescent="0.3">
      <c r="E179" s="56"/>
      <c r="F179" s="313">
        <v>451811</v>
      </c>
      <c r="G179" s="57">
        <v>109</v>
      </c>
      <c r="I179" s="314">
        <v>407518</v>
      </c>
      <c r="J179" s="315">
        <v>160000</v>
      </c>
      <c r="L179" s="316"/>
      <c r="M179" s="315"/>
      <c r="N179" s="317"/>
      <c r="P179" s="318" t="s">
        <v>895</v>
      </c>
      <c r="Q179" s="308" t="s">
        <v>896</v>
      </c>
      <c r="R179" s="308"/>
      <c r="S179" s="308"/>
      <c r="T179" s="308"/>
      <c r="U179" s="308"/>
      <c r="V179" s="308"/>
      <c r="W179" s="308"/>
      <c r="X179" s="309"/>
      <c r="AH179" s="222"/>
      <c r="AI179" s="261"/>
      <c r="AJ179" s="223"/>
      <c r="AN179" s="290" t="s">
        <v>897</v>
      </c>
      <c r="AO179" s="291" t="s">
        <v>83</v>
      </c>
      <c r="AP179" s="291" t="s">
        <v>898</v>
      </c>
      <c r="AQ179" s="290">
        <v>1</v>
      </c>
      <c r="AS179" s="100"/>
      <c r="AY179" s="109">
        <v>201559</v>
      </c>
      <c r="AZ179" s="122" t="s">
        <v>885</v>
      </c>
      <c r="BA179" s="123"/>
      <c r="BB179" s="124"/>
      <c r="BC179" s="119"/>
      <c r="BD179" s="119"/>
      <c r="BE179" s="125"/>
      <c r="BF179" s="108"/>
      <c r="BG179" s="109">
        <v>201559</v>
      </c>
      <c r="BH179" s="110" t="e">
        <f>_xlfn.XLOOKUP(BG179,'[1]OEE MEJORADA'!A:A,'[1]OEE MEJORADA'!B:B)</f>
        <v>#N/A</v>
      </c>
      <c r="BJ179" s="91"/>
      <c r="BK179" s="92">
        <v>10</v>
      </c>
      <c r="CN179">
        <v>153</v>
      </c>
      <c r="CO179">
        <v>80.819999999999993</v>
      </c>
      <c r="CP179">
        <v>66.36</v>
      </c>
      <c r="CQ179">
        <v>54.6</v>
      </c>
      <c r="CR179">
        <v>40.14</v>
      </c>
      <c r="CY179" s="34" t="s">
        <v>899</v>
      </c>
      <c r="CZ179" s="35">
        <v>1.3644803992000002E-2</v>
      </c>
    </row>
    <row r="180" spans="5:104" x14ac:dyDescent="0.3">
      <c r="E180" s="56"/>
      <c r="F180" s="313">
        <v>453298</v>
      </c>
      <c r="G180" s="57">
        <v>405</v>
      </c>
      <c r="I180" s="316"/>
      <c r="J180" s="315"/>
      <c r="M180" s="315"/>
      <c r="N180" s="317"/>
      <c r="P180" s="319"/>
      <c r="X180" s="57"/>
      <c r="AH180" s="222"/>
      <c r="AI180" s="261"/>
      <c r="AJ180" s="223"/>
      <c r="AN180" s="290" t="s">
        <v>900</v>
      </c>
      <c r="AO180" s="291" t="s">
        <v>83</v>
      </c>
      <c r="AP180" s="291" t="s">
        <v>901</v>
      </c>
      <c r="AQ180" s="290"/>
      <c r="AS180" s="100"/>
      <c r="AY180" s="109">
        <v>201921</v>
      </c>
      <c r="AZ180" s="122" t="s">
        <v>902</v>
      </c>
      <c r="BA180" s="123"/>
      <c r="BB180" s="124"/>
      <c r="BC180" s="119"/>
      <c r="BD180" s="119"/>
      <c r="BE180" s="125"/>
      <c r="BF180" s="108"/>
      <c r="BG180" s="109">
        <v>201921</v>
      </c>
      <c r="BH180" s="110" t="e">
        <f>_xlfn.XLOOKUP(BG180,'[1]OEE MEJORADA'!A:A,'[1]OEE MEJORADA'!B:B)</f>
        <v>#N/A</v>
      </c>
      <c r="BJ180" s="91"/>
      <c r="BK180" s="92">
        <v>10</v>
      </c>
      <c r="CN180">
        <v>814</v>
      </c>
      <c r="CO180">
        <v>47.67</v>
      </c>
      <c r="CP180">
        <v>40.880000000000003</v>
      </c>
      <c r="CQ180">
        <v>47.67</v>
      </c>
      <c r="CR180">
        <v>40.880000000000003</v>
      </c>
      <c r="CY180" s="34" t="s">
        <v>903</v>
      </c>
      <c r="CZ180" s="35">
        <v>1.0746563460757143E-2</v>
      </c>
    </row>
    <row r="181" spans="5:104" x14ac:dyDescent="0.3">
      <c r="E181" s="56"/>
      <c r="F181" s="313">
        <v>453526</v>
      </c>
      <c r="G181" s="57">
        <v>409</v>
      </c>
      <c r="I181" s="316"/>
      <c r="J181" s="315"/>
      <c r="L181" s="316"/>
      <c r="M181" s="315"/>
      <c r="N181" s="317"/>
      <c r="P181" s="319"/>
      <c r="X181" s="57"/>
      <c r="AH181" s="222"/>
      <c r="AI181" s="261"/>
      <c r="AJ181" s="223"/>
      <c r="AN181" s="290" t="s">
        <v>904</v>
      </c>
      <c r="AO181" s="291" t="s">
        <v>83</v>
      </c>
      <c r="AP181" s="291" t="s">
        <v>905</v>
      </c>
      <c r="AQ181" s="290">
        <v>1</v>
      </c>
      <c r="AS181" s="100"/>
      <c r="AY181" s="109">
        <v>405314</v>
      </c>
      <c r="AZ181" s="122" t="s">
        <v>906</v>
      </c>
      <c r="BA181" s="123"/>
      <c r="BB181" s="124"/>
      <c r="BC181" s="119"/>
      <c r="BD181" s="119"/>
      <c r="BE181" s="125"/>
      <c r="BF181" s="108"/>
      <c r="BG181" s="109">
        <v>405314</v>
      </c>
      <c r="BH181" s="110" t="e">
        <f>_xlfn.XLOOKUP(BG181,'[1]OEE MEJORADA'!A:A,'[1]OEE MEJORADA'!B:B)</f>
        <v>#N/A</v>
      </c>
      <c r="BJ181" s="91"/>
      <c r="BK181" s="92">
        <v>10</v>
      </c>
      <c r="CN181">
        <v>426</v>
      </c>
      <c r="CO181">
        <v>66.2</v>
      </c>
      <c r="CP181">
        <v>56.46</v>
      </c>
      <c r="CQ181">
        <v>37.22</v>
      </c>
      <c r="CR181">
        <v>27.5</v>
      </c>
      <c r="CY181" s="34" t="s">
        <v>907</v>
      </c>
      <c r="CZ181" s="35">
        <v>7.0825745024000004E-3</v>
      </c>
    </row>
    <row r="182" spans="5:104" x14ac:dyDescent="0.3">
      <c r="E182" s="56"/>
      <c r="F182" s="313" t="s">
        <v>908</v>
      </c>
      <c r="G182" s="57">
        <v>452</v>
      </c>
      <c r="I182" s="316"/>
      <c r="J182" s="315"/>
      <c r="L182" s="316"/>
      <c r="M182" s="315"/>
      <c r="N182" s="317"/>
      <c r="P182" s="319">
        <v>42</v>
      </c>
      <c r="X182" s="57"/>
      <c r="AH182" s="221"/>
      <c r="AI182" s="115"/>
      <c r="AJ182" s="116"/>
      <c r="AN182" s="290">
        <v>452466</v>
      </c>
      <c r="AO182" s="291" t="s">
        <v>83</v>
      </c>
      <c r="AP182" s="291" t="s">
        <v>909</v>
      </c>
      <c r="AQ182" s="290">
        <v>1</v>
      </c>
      <c r="AS182" s="100"/>
      <c r="AY182" s="109">
        <v>651407</v>
      </c>
      <c r="AZ182" s="122" t="s">
        <v>910</v>
      </c>
      <c r="BA182" s="123"/>
      <c r="BB182" s="124"/>
      <c r="BC182" s="119"/>
      <c r="BD182" s="119"/>
      <c r="BE182" s="125"/>
      <c r="BF182" s="108"/>
      <c r="BG182" s="109">
        <v>651407</v>
      </c>
      <c r="BH182" s="110" t="e">
        <f>_xlfn.XLOOKUP(BG182,'[1]OEE MEJORADA'!A:A,'[1]OEE MEJORADA'!B:B)</f>
        <v>#N/A</v>
      </c>
      <c r="BJ182" s="91"/>
      <c r="BK182" s="92">
        <v>10</v>
      </c>
      <c r="CN182">
        <v>413</v>
      </c>
      <c r="CO182">
        <v>62.86</v>
      </c>
      <c r="CP182">
        <v>52.44</v>
      </c>
      <c r="CQ182">
        <v>36.03</v>
      </c>
      <c r="CR182">
        <v>25.6</v>
      </c>
      <c r="CY182" s="34" t="s">
        <v>911</v>
      </c>
      <c r="CZ182" s="35">
        <v>5.6701595382800006E-3</v>
      </c>
    </row>
    <row r="183" spans="5:104" x14ac:dyDescent="0.3">
      <c r="E183" s="56"/>
      <c r="F183" s="313" t="s">
        <v>912</v>
      </c>
      <c r="G183" s="57">
        <v>456</v>
      </c>
      <c r="I183" s="316"/>
      <c r="J183" s="315"/>
      <c r="L183" s="316"/>
      <c r="M183" s="315"/>
      <c r="N183" s="317"/>
      <c r="P183" s="319">
        <v>3670</v>
      </c>
      <c r="X183" s="57"/>
      <c r="AH183" s="222"/>
      <c r="AI183" s="261"/>
      <c r="AJ183" s="223"/>
      <c r="AN183" s="290" t="s">
        <v>913</v>
      </c>
      <c r="AO183" s="291" t="s">
        <v>83</v>
      </c>
      <c r="AP183" s="291" t="s">
        <v>914</v>
      </c>
      <c r="AQ183" s="290"/>
      <c r="AS183" s="100"/>
      <c r="AY183" s="109">
        <v>661196</v>
      </c>
      <c r="AZ183" s="122" t="s">
        <v>915</v>
      </c>
      <c r="BA183" s="123"/>
      <c r="BB183" s="124"/>
      <c r="BC183" s="119"/>
      <c r="BD183" s="119"/>
      <c r="BE183" s="125"/>
      <c r="BF183" s="108"/>
      <c r="BG183" s="109">
        <v>661196</v>
      </c>
      <c r="BH183" s="110" t="e">
        <f>_xlfn.XLOOKUP(BG183,'[1]OEE MEJORADA'!A:A,'[1]OEE MEJORADA'!B:B)</f>
        <v>#N/A</v>
      </c>
      <c r="BJ183" s="91"/>
      <c r="BK183" s="92">
        <v>10</v>
      </c>
      <c r="CY183" s="34" t="s">
        <v>916</v>
      </c>
      <c r="CZ183" s="35">
        <v>6.1259916896000011E-3</v>
      </c>
    </row>
    <row r="184" spans="5:104" x14ac:dyDescent="0.3">
      <c r="E184" s="56"/>
      <c r="F184" s="313">
        <v>453074</v>
      </c>
      <c r="G184" s="57">
        <v>457</v>
      </c>
      <c r="I184" s="316"/>
      <c r="J184" s="315"/>
      <c r="L184" s="316"/>
      <c r="M184" s="315"/>
      <c r="N184" s="317"/>
      <c r="P184" s="319"/>
      <c r="X184" s="57"/>
      <c r="AH184" s="222"/>
      <c r="AI184" s="261"/>
      <c r="AJ184" s="223"/>
      <c r="AN184" s="290">
        <v>453055</v>
      </c>
      <c r="AO184" s="291" t="s">
        <v>83</v>
      </c>
      <c r="AP184" s="291" t="s">
        <v>917</v>
      </c>
      <c r="AQ184" s="290">
        <v>1</v>
      </c>
      <c r="AS184" s="100"/>
      <c r="AY184" s="109">
        <v>661335</v>
      </c>
      <c r="AZ184" s="122" t="s">
        <v>918</v>
      </c>
      <c r="BA184" s="123"/>
      <c r="BB184" s="124"/>
      <c r="BC184" s="119"/>
      <c r="BD184" s="119"/>
      <c r="BE184" s="125"/>
      <c r="BF184" s="108"/>
      <c r="BG184" s="109">
        <v>661335</v>
      </c>
      <c r="BH184" s="110" t="e">
        <f>_xlfn.XLOOKUP(BG184,'[1]OEE MEJORADA'!A:A,'[1]OEE MEJORADA'!B:B)</f>
        <v>#N/A</v>
      </c>
      <c r="BJ184" s="91"/>
      <c r="BK184" s="92">
        <v>10</v>
      </c>
      <c r="CY184" s="34" t="s">
        <v>919</v>
      </c>
      <c r="CZ184" s="35">
        <v>4.62</v>
      </c>
    </row>
    <row r="185" spans="5:104" x14ac:dyDescent="0.3">
      <c r="E185" s="56"/>
      <c r="F185" s="313">
        <v>453257</v>
      </c>
      <c r="G185" s="57">
        <v>458</v>
      </c>
      <c r="I185" s="320"/>
      <c r="J185" s="315"/>
      <c r="L185" s="316"/>
      <c r="M185" s="315"/>
      <c r="N185" s="317"/>
      <c r="P185" s="319"/>
      <c r="X185" s="57"/>
      <c r="AH185" s="222"/>
      <c r="AI185" s="261"/>
      <c r="AJ185" s="223"/>
      <c r="AN185" s="290">
        <v>453215</v>
      </c>
      <c r="AO185" s="291" t="s">
        <v>83</v>
      </c>
      <c r="AP185" s="291" t="s">
        <v>920</v>
      </c>
      <c r="AQ185" s="290">
        <v>1</v>
      </c>
      <c r="AS185" s="100"/>
      <c r="AY185" s="109">
        <v>661337</v>
      </c>
      <c r="AZ185" s="122" t="s">
        <v>921</v>
      </c>
      <c r="BA185" s="123"/>
      <c r="BB185" s="124"/>
      <c r="BC185" s="119"/>
      <c r="BD185" s="119"/>
      <c r="BE185" s="125"/>
      <c r="BF185" s="108"/>
      <c r="BG185" s="109">
        <v>661337</v>
      </c>
      <c r="BH185" s="110" t="e">
        <f>_xlfn.XLOOKUP(BG185,'[1]OEE MEJORADA'!A:A,'[1]OEE MEJORADA'!B:B)</f>
        <v>#N/A</v>
      </c>
      <c r="BJ185" s="91"/>
      <c r="BK185" s="92">
        <v>10</v>
      </c>
      <c r="CY185" s="34" t="s">
        <v>922</v>
      </c>
      <c r="CZ185" s="35">
        <v>4.62</v>
      </c>
    </row>
    <row r="186" spans="5:104" x14ac:dyDescent="0.3">
      <c r="E186" s="56"/>
      <c r="F186" s="313">
        <v>450829</v>
      </c>
      <c r="G186" s="57">
        <v>455</v>
      </c>
      <c r="I186" s="320"/>
      <c r="J186" s="315"/>
      <c r="L186" s="316"/>
      <c r="M186" s="315"/>
      <c r="N186" s="317"/>
      <c r="P186" s="319"/>
      <c r="X186" s="57"/>
      <c r="AH186" s="109"/>
      <c r="AI186" s="115"/>
      <c r="AJ186" s="116"/>
      <c r="AN186" s="290">
        <v>453333</v>
      </c>
      <c r="AO186" s="291" t="s">
        <v>83</v>
      </c>
      <c r="AP186" s="291" t="s">
        <v>923</v>
      </c>
      <c r="AQ186" s="290">
        <v>1</v>
      </c>
      <c r="AS186" s="100"/>
      <c r="AY186" s="109">
        <v>661640</v>
      </c>
      <c r="AZ186" s="122" t="s">
        <v>924</v>
      </c>
      <c r="BA186" s="123"/>
      <c r="BB186" s="124"/>
      <c r="BC186" s="119"/>
      <c r="BD186" s="119"/>
      <c r="BE186" s="125"/>
      <c r="BF186" s="108"/>
      <c r="BG186" s="109">
        <v>661640</v>
      </c>
      <c r="BH186" s="110" t="e">
        <f>_xlfn.XLOOKUP(BG186,'[1]OEE MEJORADA'!A:A,'[1]OEE MEJORADA'!B:B)</f>
        <v>#N/A</v>
      </c>
      <c r="BJ186" s="91"/>
      <c r="BK186" s="92">
        <v>10</v>
      </c>
      <c r="CY186" s="34" t="s">
        <v>925</v>
      </c>
      <c r="CZ186" s="35">
        <v>4.62</v>
      </c>
    </row>
    <row r="187" spans="5:104" x14ac:dyDescent="0.3">
      <c r="E187" s="56"/>
      <c r="F187" s="313">
        <v>411490</v>
      </c>
      <c r="G187" s="57">
        <v>454</v>
      </c>
      <c r="I187" s="316"/>
      <c r="J187" s="315"/>
      <c r="L187" s="320"/>
      <c r="M187" s="315"/>
      <c r="N187" s="317"/>
      <c r="P187" s="319"/>
      <c r="X187" s="57"/>
      <c r="AH187" s="222"/>
      <c r="AI187" s="261"/>
      <c r="AJ187" s="223"/>
      <c r="AN187" s="290">
        <v>453363</v>
      </c>
      <c r="AO187" s="291" t="s">
        <v>83</v>
      </c>
      <c r="AP187" s="291" t="s">
        <v>926</v>
      </c>
      <c r="AQ187" s="290">
        <v>1</v>
      </c>
      <c r="AS187" s="100"/>
      <c r="AY187" s="109">
        <v>671197</v>
      </c>
      <c r="AZ187" s="122" t="s">
        <v>774</v>
      </c>
      <c r="BA187" s="123"/>
      <c r="BB187" s="124"/>
      <c r="BC187" s="119"/>
      <c r="BD187" s="119"/>
      <c r="BE187" s="125"/>
      <c r="BF187" s="108"/>
      <c r="BG187" s="109">
        <v>671197</v>
      </c>
      <c r="BH187" s="110" t="e">
        <f>_xlfn.XLOOKUP(BG187,'[1]OEE MEJORADA'!A:A,'[1]OEE MEJORADA'!B:B)</f>
        <v>#N/A</v>
      </c>
      <c r="BJ187" s="91"/>
      <c r="BK187" s="92">
        <v>10</v>
      </c>
      <c r="CY187" s="34" t="s">
        <v>927</v>
      </c>
      <c r="CZ187" s="35">
        <v>4.62</v>
      </c>
    </row>
    <row r="188" spans="5:104" x14ac:dyDescent="0.3">
      <c r="E188" s="56"/>
      <c r="F188" s="313" t="s">
        <v>928</v>
      </c>
      <c r="G188" s="57">
        <v>507</v>
      </c>
      <c r="I188" s="320"/>
      <c r="J188" s="315"/>
      <c r="L188" s="316"/>
      <c r="M188" s="315"/>
      <c r="P188" s="319"/>
      <c r="X188" s="57"/>
      <c r="AH188" s="109"/>
      <c r="AI188" s="115"/>
      <c r="AJ188" s="116"/>
      <c r="AN188" s="290">
        <v>453378</v>
      </c>
      <c r="AO188" s="291" t="s">
        <v>83</v>
      </c>
      <c r="AP188" s="291" t="s">
        <v>929</v>
      </c>
      <c r="AQ188" s="290">
        <v>1</v>
      </c>
      <c r="AS188" s="100"/>
      <c r="AY188" s="109">
        <v>671302</v>
      </c>
      <c r="AZ188" s="122" t="s">
        <v>930</v>
      </c>
      <c r="BA188" s="123"/>
      <c r="BB188" s="124"/>
      <c r="BC188" s="119"/>
      <c r="BD188" s="119"/>
      <c r="BE188" s="125"/>
      <c r="BF188" s="108"/>
      <c r="BG188" s="109">
        <v>671302</v>
      </c>
      <c r="BH188" s="110" t="e">
        <f>_xlfn.XLOOKUP(BG188,'[1]OEE MEJORADA'!A:A,'[1]OEE MEJORADA'!B:B)</f>
        <v>#N/A</v>
      </c>
      <c r="BJ188" s="91"/>
      <c r="BK188" s="92">
        <v>10</v>
      </c>
      <c r="CY188" s="34" t="s">
        <v>931</v>
      </c>
      <c r="CZ188" s="35">
        <v>2.6174500026666665E-2</v>
      </c>
    </row>
    <row r="189" spans="5:104" x14ac:dyDescent="0.3">
      <c r="E189" s="56"/>
      <c r="F189" s="313" t="s">
        <v>932</v>
      </c>
      <c r="G189" s="57">
        <v>509</v>
      </c>
      <c r="I189" s="320"/>
      <c r="J189" s="315"/>
      <c r="L189" s="316"/>
      <c r="M189" s="315"/>
      <c r="P189" s="319"/>
      <c r="X189" s="57"/>
      <c r="AH189" s="222"/>
      <c r="AI189" s="261"/>
      <c r="AJ189" s="223"/>
      <c r="AN189" s="290">
        <v>453423</v>
      </c>
      <c r="AO189" s="291" t="s">
        <v>83</v>
      </c>
      <c r="AP189" s="291" t="s">
        <v>933</v>
      </c>
      <c r="AQ189" s="290">
        <v>1</v>
      </c>
      <c r="AS189" s="100"/>
      <c r="AY189" s="109">
        <v>671330</v>
      </c>
      <c r="AZ189" s="122" t="s">
        <v>934</v>
      </c>
      <c r="BA189" s="123"/>
      <c r="BB189" s="124"/>
      <c r="BC189" s="119"/>
      <c r="BD189" s="119"/>
      <c r="BE189" s="125"/>
      <c r="BF189" s="108"/>
      <c r="BG189" s="109">
        <v>671330</v>
      </c>
      <c r="BH189" s="110" t="e">
        <f>_xlfn.XLOOKUP(BG189,'[1]OEE MEJORADA'!A:A,'[1]OEE MEJORADA'!B:B)</f>
        <v>#N/A</v>
      </c>
      <c r="BJ189" s="91"/>
      <c r="BK189" s="92">
        <v>10</v>
      </c>
      <c r="CY189" s="34" t="s">
        <v>935</v>
      </c>
      <c r="CZ189" s="35">
        <v>10.087999999999999</v>
      </c>
    </row>
    <row r="190" spans="5:104" x14ac:dyDescent="0.3">
      <c r="E190" s="56"/>
      <c r="F190" s="313" t="s">
        <v>936</v>
      </c>
      <c r="G190" s="57">
        <v>520</v>
      </c>
      <c r="I190" s="320"/>
      <c r="J190" s="315"/>
      <c r="L190" s="320"/>
      <c r="M190" s="288"/>
      <c r="P190" s="319"/>
      <c r="X190" s="57"/>
      <c r="AH190" s="222"/>
      <c r="AI190" s="261"/>
      <c r="AJ190" s="223"/>
      <c r="AN190" s="290" t="s">
        <v>937</v>
      </c>
      <c r="AO190" s="291" t="s">
        <v>83</v>
      </c>
      <c r="AP190" s="291" t="s">
        <v>938</v>
      </c>
      <c r="AQ190" s="290">
        <v>1</v>
      </c>
      <c r="AS190" s="100"/>
      <c r="AY190" s="109">
        <v>671340</v>
      </c>
      <c r="AZ190" s="122" t="s">
        <v>939</v>
      </c>
      <c r="BA190" s="123"/>
      <c r="BB190" s="124"/>
      <c r="BC190" s="119"/>
      <c r="BD190" s="119"/>
      <c r="BE190" s="125"/>
      <c r="BF190" s="108"/>
      <c r="BG190" s="109">
        <v>671340</v>
      </c>
      <c r="BH190" s="110" t="e">
        <f>_xlfn.XLOOKUP(BG190,'[1]OEE MEJORADA'!A:A,'[1]OEE MEJORADA'!B:B)</f>
        <v>#N/A</v>
      </c>
      <c r="BJ190" s="91"/>
      <c r="BK190" s="92">
        <v>10</v>
      </c>
      <c r="CY190" s="34" t="s">
        <v>940</v>
      </c>
      <c r="CZ190" s="35">
        <v>4.5880000000000001</v>
      </c>
    </row>
    <row r="191" spans="5:104" x14ac:dyDescent="0.3">
      <c r="E191" s="56"/>
      <c r="F191" s="313">
        <v>452108</v>
      </c>
      <c r="G191" s="57">
        <v>217</v>
      </c>
      <c r="I191" s="320"/>
      <c r="J191" s="315"/>
      <c r="L191" s="320"/>
      <c r="M191" s="288"/>
      <c r="P191" s="319"/>
      <c r="X191" s="57"/>
      <c r="AH191" s="222"/>
      <c r="AI191" s="261"/>
      <c r="AJ191" s="223"/>
      <c r="AN191" s="290" t="s">
        <v>941</v>
      </c>
      <c r="AO191" s="291" t="s">
        <v>83</v>
      </c>
      <c r="AP191" s="291" t="s">
        <v>942</v>
      </c>
      <c r="AQ191" s="290">
        <v>1</v>
      </c>
      <c r="AS191" s="100"/>
      <c r="AY191" s="109">
        <v>671361</v>
      </c>
      <c r="AZ191" s="122" t="s">
        <v>943</v>
      </c>
      <c r="BA191" s="123"/>
      <c r="BB191" s="124"/>
      <c r="BC191" s="119"/>
      <c r="BD191" s="119"/>
      <c r="BE191" s="125"/>
      <c r="BF191" s="108"/>
      <c r="BG191" s="109">
        <v>671361</v>
      </c>
      <c r="BH191" s="110" t="str">
        <f>_xlfn.XLOOKUP(BG191,'[1]OEE MEJORADA'!A:A,'[1]OEE MEJORADA'!B:B)</f>
        <v/>
      </c>
      <c r="BJ191" s="91"/>
      <c r="BK191" s="92">
        <v>10</v>
      </c>
      <c r="CY191" s="34" t="s">
        <v>944</v>
      </c>
      <c r="CZ191" s="35">
        <v>3.367</v>
      </c>
    </row>
    <row r="192" spans="5:104" x14ac:dyDescent="0.3">
      <c r="E192" s="56"/>
      <c r="F192" s="313">
        <v>404003</v>
      </c>
      <c r="G192" s="57">
        <v>214</v>
      </c>
      <c r="I192" s="320"/>
      <c r="J192" s="315"/>
      <c r="L192" s="320"/>
      <c r="M192" s="288"/>
      <c r="P192" s="319"/>
      <c r="X192" s="57"/>
      <c r="AH192" s="109"/>
      <c r="AI192" s="115"/>
      <c r="AJ192" s="116"/>
      <c r="AN192" s="290" t="s">
        <v>945</v>
      </c>
      <c r="AO192" s="291" t="s">
        <v>83</v>
      </c>
      <c r="AP192" s="291" t="s">
        <v>946</v>
      </c>
      <c r="AQ192" s="290">
        <v>1</v>
      </c>
      <c r="AS192" s="100"/>
      <c r="AY192" s="109">
        <v>671523</v>
      </c>
      <c r="AZ192" s="122" t="s">
        <v>947</v>
      </c>
      <c r="BA192" s="123"/>
      <c r="BB192" s="124"/>
      <c r="BC192" s="119"/>
      <c r="BD192" s="119"/>
      <c r="BE192" s="125"/>
      <c r="BF192" s="108"/>
      <c r="BG192" s="109">
        <v>671523</v>
      </c>
      <c r="BH192" s="110" t="str">
        <f>_xlfn.XLOOKUP(BG192,'[1]OEE MEJORADA'!A:A,'[1]OEE MEJORADA'!B:B)</f>
        <v/>
      </c>
      <c r="BJ192" s="91"/>
      <c r="BK192" s="92">
        <v>10</v>
      </c>
      <c r="CY192" s="34" t="s">
        <v>948</v>
      </c>
      <c r="CZ192" s="35">
        <v>9.6219999999999999</v>
      </c>
    </row>
    <row r="193" spans="5:104" x14ac:dyDescent="0.3">
      <c r="E193" s="56"/>
      <c r="F193" s="313" t="s">
        <v>719</v>
      </c>
      <c r="G193" s="57">
        <v>124</v>
      </c>
      <c r="I193" s="320"/>
      <c r="J193" s="315"/>
      <c r="L193" s="283"/>
      <c r="M193" s="288"/>
      <c r="P193" s="319"/>
      <c r="X193" s="57"/>
      <c r="AH193" s="109"/>
      <c r="AI193" s="119"/>
      <c r="AJ193" s="125"/>
      <c r="AN193" s="290">
        <v>453523</v>
      </c>
      <c r="AO193" s="291" t="s">
        <v>83</v>
      </c>
      <c r="AP193" s="291" t="s">
        <v>949</v>
      </c>
      <c r="AQ193" s="290">
        <v>1</v>
      </c>
      <c r="AS193" s="100"/>
      <c r="AY193" s="109">
        <v>671970</v>
      </c>
      <c r="AZ193" s="122" t="s">
        <v>950</v>
      </c>
      <c r="BA193" s="123"/>
      <c r="BB193" s="124"/>
      <c r="BC193" s="119"/>
      <c r="BD193" s="119"/>
      <c r="BE193" s="125"/>
      <c r="BF193" s="108"/>
      <c r="BG193" s="109">
        <v>671970</v>
      </c>
      <c r="BH193" s="110" t="str">
        <f>_xlfn.XLOOKUP(BG193,'[1]OEE MEJORADA'!A:A,'[1]OEE MEJORADA'!B:B)</f>
        <v/>
      </c>
      <c r="BJ193" s="91"/>
      <c r="BK193" s="92">
        <v>10</v>
      </c>
      <c r="CY193" s="34" t="s">
        <v>951</v>
      </c>
      <c r="CZ193" s="35">
        <v>10.087999999999999</v>
      </c>
    </row>
    <row r="194" spans="5:104" x14ac:dyDescent="0.3">
      <c r="E194" s="56"/>
      <c r="F194" s="52"/>
      <c r="G194" s="57"/>
      <c r="I194" s="320"/>
      <c r="J194" s="315"/>
      <c r="L194" s="283"/>
      <c r="M194" s="288"/>
      <c r="P194" s="319"/>
      <c r="X194" s="57"/>
      <c r="AH194" s="222"/>
      <c r="AI194" s="261"/>
      <c r="AJ194" s="223"/>
      <c r="AN194" s="290">
        <v>453528</v>
      </c>
      <c r="AO194" s="291" t="s">
        <v>83</v>
      </c>
      <c r="AP194" s="291" t="s">
        <v>952</v>
      </c>
      <c r="AQ194" s="290">
        <v>1</v>
      </c>
      <c r="AS194" s="100"/>
      <c r="AY194" s="109">
        <v>671993</v>
      </c>
      <c r="AZ194" s="122" t="s">
        <v>953</v>
      </c>
      <c r="BA194" s="123"/>
      <c r="BB194" s="124"/>
      <c r="BC194" s="119"/>
      <c r="BD194" s="119"/>
      <c r="BE194" s="125"/>
      <c r="BF194" s="108"/>
      <c r="BG194" s="109">
        <v>671993</v>
      </c>
      <c r="BH194" s="110" t="e">
        <f>_xlfn.XLOOKUP(BG194,'[1]OEE MEJORADA'!A:A,'[1]OEE MEJORADA'!B:B)</f>
        <v>#N/A</v>
      </c>
      <c r="BJ194" s="91"/>
      <c r="BK194" s="92">
        <v>10</v>
      </c>
      <c r="CY194" s="34" t="s">
        <v>954</v>
      </c>
      <c r="CZ194" s="35">
        <v>1.631</v>
      </c>
    </row>
    <row r="195" spans="5:104" x14ac:dyDescent="0.3">
      <c r="E195" s="56"/>
      <c r="F195" s="313"/>
      <c r="G195" s="57"/>
      <c r="I195" s="320"/>
      <c r="J195" s="315"/>
      <c r="L195" s="316"/>
      <c r="M195" s="315"/>
      <c r="P195" s="319"/>
      <c r="X195" s="57"/>
      <c r="AH195" s="109"/>
      <c r="AI195" s="115"/>
      <c r="AJ195" s="116"/>
      <c r="AN195" s="290">
        <v>453620</v>
      </c>
      <c r="AO195" s="291" t="s">
        <v>83</v>
      </c>
      <c r="AP195" s="291" t="s">
        <v>955</v>
      </c>
      <c r="AQ195" s="290">
        <v>1</v>
      </c>
      <c r="AS195" s="100"/>
      <c r="AY195" s="109">
        <v>681198</v>
      </c>
      <c r="AZ195" s="122" t="s">
        <v>956</v>
      </c>
      <c r="BA195" s="123"/>
      <c r="BB195" s="124"/>
      <c r="BC195" s="119"/>
      <c r="BD195" s="119"/>
      <c r="BE195" s="125"/>
      <c r="BF195" s="108"/>
      <c r="BG195" s="109">
        <v>681198</v>
      </c>
      <c r="BH195" s="110" t="e">
        <f>_xlfn.XLOOKUP(BG195,'[1]OEE MEJORADA'!A:A,'[1]OEE MEJORADA'!B:B)</f>
        <v>#N/A</v>
      </c>
      <c r="BJ195" s="91"/>
      <c r="BK195" s="92">
        <v>10</v>
      </c>
      <c r="CY195" s="34" t="s">
        <v>957</v>
      </c>
      <c r="CZ195" s="35">
        <v>1.736</v>
      </c>
    </row>
    <row r="196" spans="5:104" x14ac:dyDescent="0.3">
      <c r="E196" s="56"/>
      <c r="G196" s="57"/>
      <c r="I196" s="320"/>
      <c r="J196" s="315"/>
      <c r="L196" s="56"/>
      <c r="M196" s="57"/>
      <c r="P196" s="319"/>
      <c r="X196" s="57"/>
      <c r="AH196" s="222"/>
      <c r="AI196" s="261"/>
      <c r="AJ196" s="223"/>
      <c r="AN196" s="290">
        <v>453644</v>
      </c>
      <c r="AO196" s="291" t="s">
        <v>83</v>
      </c>
      <c r="AP196" s="291" t="s">
        <v>958</v>
      </c>
      <c r="AQ196" s="290">
        <v>1</v>
      </c>
      <c r="AS196" s="100"/>
      <c r="AY196" s="109">
        <v>681337</v>
      </c>
      <c r="AZ196" s="122" t="s">
        <v>959</v>
      </c>
      <c r="BA196" s="123"/>
      <c r="BB196" s="124"/>
      <c r="BC196" s="119"/>
      <c r="BD196" s="119"/>
      <c r="BE196" s="125"/>
      <c r="BF196" s="108"/>
      <c r="BG196" s="109">
        <v>681337</v>
      </c>
      <c r="BH196" s="110" t="e">
        <f>_xlfn.XLOOKUP(BG196,'[1]OEE MEJORADA'!A:A,'[1]OEE MEJORADA'!B:B)</f>
        <v>#N/A</v>
      </c>
      <c r="BJ196" s="91"/>
      <c r="BK196" s="92">
        <v>10</v>
      </c>
      <c r="CY196" s="34" t="s">
        <v>960</v>
      </c>
      <c r="CZ196" s="35">
        <v>1.631</v>
      </c>
    </row>
    <row r="197" spans="5:104" x14ac:dyDescent="0.3">
      <c r="E197" s="56"/>
      <c r="G197" s="57"/>
      <c r="I197" s="56"/>
      <c r="J197" s="315"/>
      <c r="L197" s="56"/>
      <c r="M197" s="57"/>
      <c r="P197" s="319"/>
      <c r="X197" s="57"/>
      <c r="AH197" s="109"/>
      <c r="AI197" s="119"/>
      <c r="AJ197" s="125"/>
      <c r="AN197" s="290">
        <v>453645</v>
      </c>
      <c r="AO197" s="291" t="s">
        <v>83</v>
      </c>
      <c r="AP197" s="291" t="s">
        <v>961</v>
      </c>
      <c r="AQ197" s="290">
        <v>1</v>
      </c>
      <c r="AS197" s="100"/>
      <c r="AY197" s="109">
        <v>681379</v>
      </c>
      <c r="AZ197" s="122" t="s">
        <v>962</v>
      </c>
      <c r="BA197" s="123"/>
      <c r="BB197" s="124"/>
      <c r="BC197" s="119"/>
      <c r="BD197" s="119"/>
      <c r="BE197" s="125"/>
      <c r="BF197" s="108"/>
      <c r="BG197" s="109">
        <v>681379</v>
      </c>
      <c r="BH197" s="110" t="e">
        <f>_xlfn.XLOOKUP(BG197,'[1]OEE MEJORADA'!A:A,'[1]OEE MEJORADA'!B:B)</f>
        <v>#N/A</v>
      </c>
      <c r="BJ197" s="91"/>
      <c r="BK197" s="92">
        <v>10</v>
      </c>
      <c r="CY197" s="34" t="s">
        <v>963</v>
      </c>
      <c r="CZ197" s="35">
        <v>4.6529999999999996</v>
      </c>
    </row>
    <row r="198" spans="5:104" x14ac:dyDescent="0.3">
      <c r="E198" s="56"/>
      <c r="G198" s="57"/>
      <c r="I198" s="56"/>
      <c r="J198" s="315"/>
      <c r="L198" s="56"/>
      <c r="M198" s="57"/>
      <c r="P198" s="319"/>
      <c r="X198" s="57"/>
      <c r="AH198" s="221"/>
      <c r="AI198" s="115"/>
      <c r="AJ198" s="116"/>
      <c r="AN198" s="290" t="s">
        <v>964</v>
      </c>
      <c r="AO198" s="291" t="s">
        <v>83</v>
      </c>
      <c r="AP198" s="291" t="s">
        <v>965</v>
      </c>
      <c r="AQ198" s="290">
        <v>1</v>
      </c>
      <c r="AS198" s="100"/>
      <c r="AY198" s="109">
        <v>691199</v>
      </c>
      <c r="AZ198" s="122" t="s">
        <v>782</v>
      </c>
      <c r="BA198" s="123"/>
      <c r="BB198" s="124"/>
      <c r="BC198" s="119"/>
      <c r="BD198" s="119"/>
      <c r="BE198" s="125"/>
      <c r="BF198" s="108"/>
      <c r="BG198" s="109">
        <v>691199</v>
      </c>
      <c r="BH198" s="110" t="e">
        <f>_xlfn.XLOOKUP(BG198,'[1]OEE MEJORADA'!A:A,'[1]OEE MEJORADA'!B:B)</f>
        <v>#N/A</v>
      </c>
      <c r="BJ198" s="91"/>
      <c r="BK198" s="92">
        <v>10</v>
      </c>
      <c r="CY198" s="34" t="s">
        <v>966</v>
      </c>
      <c r="CZ198" s="35">
        <v>9.6219999999999999</v>
      </c>
    </row>
    <row r="199" spans="5:104" ht="15" thickBot="1" x14ac:dyDescent="0.35">
      <c r="E199" s="162"/>
      <c r="F199" s="163"/>
      <c r="G199" s="164"/>
      <c r="I199" s="162"/>
      <c r="J199" s="164"/>
      <c r="L199" s="56"/>
      <c r="M199" s="57"/>
      <c r="P199" s="321"/>
      <c r="Q199" s="163"/>
      <c r="R199" s="163"/>
      <c r="S199" s="163"/>
      <c r="T199" s="163"/>
      <c r="U199" s="163"/>
      <c r="V199" s="163"/>
      <c r="W199" s="163"/>
      <c r="X199" s="164"/>
      <c r="AH199" s="109"/>
      <c r="AI199" s="119"/>
      <c r="AJ199" s="125"/>
      <c r="AN199" s="290">
        <v>407102</v>
      </c>
      <c r="AO199" s="291" t="s">
        <v>83</v>
      </c>
      <c r="AP199" s="291" t="s">
        <v>967</v>
      </c>
      <c r="AQ199" s="290">
        <v>1</v>
      </c>
      <c r="AS199" s="100"/>
      <c r="AY199" s="109">
        <v>691728</v>
      </c>
      <c r="AZ199" s="122" t="s">
        <v>968</v>
      </c>
      <c r="BA199" s="123"/>
      <c r="BB199" s="124"/>
      <c r="BC199" s="119"/>
      <c r="BD199" s="119"/>
      <c r="BE199" s="125"/>
      <c r="BF199" s="108"/>
      <c r="BG199" s="109">
        <v>691728</v>
      </c>
      <c r="BH199" s="110" t="e">
        <f>_xlfn.XLOOKUP(BG199,'[1]OEE MEJORADA'!A:A,'[1]OEE MEJORADA'!B:B)</f>
        <v>#N/A</v>
      </c>
      <c r="BJ199" s="91"/>
      <c r="BK199" s="92">
        <v>10</v>
      </c>
      <c r="CY199" s="34" t="s">
        <v>969</v>
      </c>
      <c r="CZ199" s="35">
        <v>10.087999999999999</v>
      </c>
    </row>
    <row r="200" spans="5:104" ht="15" thickBot="1" x14ac:dyDescent="0.35">
      <c r="L200" s="162"/>
      <c r="M200" s="164"/>
      <c r="AH200" s="221"/>
      <c r="AI200" s="115"/>
      <c r="AJ200" s="116"/>
      <c r="AN200" s="290">
        <v>412206</v>
      </c>
      <c r="AO200" s="291" t="s">
        <v>83</v>
      </c>
      <c r="AP200" s="291" t="s">
        <v>970</v>
      </c>
      <c r="AQ200" s="290">
        <v>1</v>
      </c>
      <c r="AS200" s="100"/>
      <c r="AY200" s="109">
        <v>692030</v>
      </c>
      <c r="AZ200" s="122" t="s">
        <v>971</v>
      </c>
      <c r="BA200" s="123"/>
      <c r="BB200" s="124"/>
      <c r="BC200" s="119"/>
      <c r="BD200" s="119"/>
      <c r="BE200" s="125"/>
      <c r="BF200" s="108"/>
      <c r="BG200" s="109">
        <v>692030</v>
      </c>
      <c r="BH200" s="110" t="e">
        <f>_xlfn.XLOOKUP(BG200,'[1]OEE MEJORADA'!A:A,'[1]OEE MEJORADA'!B:B)</f>
        <v>#N/A</v>
      </c>
      <c r="BJ200" s="91"/>
      <c r="BK200" s="92">
        <v>10</v>
      </c>
      <c r="CY200" s="34" t="s">
        <v>972</v>
      </c>
      <c r="CZ200" s="35">
        <v>10.271000000000001</v>
      </c>
    </row>
    <row r="201" spans="5:104" x14ac:dyDescent="0.3">
      <c r="AH201" s="109"/>
      <c r="AI201" s="119"/>
      <c r="AJ201" s="125"/>
      <c r="AN201" s="290">
        <v>421102</v>
      </c>
      <c r="AO201" s="291" t="s">
        <v>83</v>
      </c>
      <c r="AP201" s="291" t="s">
        <v>973</v>
      </c>
      <c r="AQ201" s="290">
        <v>1</v>
      </c>
      <c r="AS201" s="100"/>
      <c r="AY201" s="109">
        <v>701476</v>
      </c>
      <c r="AZ201" s="122" t="s">
        <v>974</v>
      </c>
      <c r="BA201" s="123"/>
      <c r="BB201" s="124"/>
      <c r="BC201" s="119"/>
      <c r="BD201" s="119"/>
      <c r="BE201" s="125"/>
      <c r="BF201" s="108"/>
      <c r="BG201" s="109">
        <v>701476</v>
      </c>
      <c r="BH201" s="110" t="e">
        <f>_xlfn.XLOOKUP(BG201,'[1]OEE MEJORADA'!A:A,'[1]OEE MEJORADA'!B:B)</f>
        <v>#N/A</v>
      </c>
      <c r="BJ201" s="91"/>
      <c r="BK201" s="92">
        <v>10</v>
      </c>
      <c r="CY201" s="34" t="s">
        <v>975</v>
      </c>
      <c r="CZ201" s="35">
        <v>1.8813079999999999E-3</v>
      </c>
    </row>
    <row r="202" spans="5:104" x14ac:dyDescent="0.3">
      <c r="AH202" s="109"/>
      <c r="AI202" s="119"/>
      <c r="AJ202" s="125"/>
      <c r="AN202" s="290">
        <v>453479</v>
      </c>
      <c r="AO202" s="291" t="s">
        <v>83</v>
      </c>
      <c r="AP202" s="291" t="s">
        <v>976</v>
      </c>
      <c r="AQ202" s="290">
        <v>1</v>
      </c>
      <c r="AS202" s="100"/>
      <c r="AY202" s="109">
        <v>701924</v>
      </c>
      <c r="AZ202" s="122" t="s">
        <v>977</v>
      </c>
      <c r="BA202" s="123"/>
      <c r="BB202" s="124"/>
      <c r="BC202" s="119"/>
      <c r="BD202" s="119"/>
      <c r="BE202" s="125"/>
      <c r="BF202" s="108"/>
      <c r="BG202" s="109">
        <v>701924</v>
      </c>
      <c r="BH202" s="110" t="e">
        <f>_xlfn.XLOOKUP(BG202,'[1]OEE MEJORADA'!A:A,'[1]OEE MEJORADA'!B:B)</f>
        <v>#N/A</v>
      </c>
      <c r="BJ202" s="91"/>
      <c r="BK202" s="92">
        <v>10</v>
      </c>
      <c r="CY202" s="34" t="s">
        <v>978</v>
      </c>
      <c r="CZ202" s="35">
        <v>4.9029999999999996</v>
      </c>
    </row>
    <row r="203" spans="5:104" x14ac:dyDescent="0.3">
      <c r="AH203" s="109"/>
      <c r="AI203" s="119"/>
      <c r="AJ203" s="125"/>
      <c r="AN203" s="290">
        <v>453618</v>
      </c>
      <c r="AO203" s="291" t="s">
        <v>83</v>
      </c>
      <c r="AP203" s="291" t="s">
        <v>979</v>
      </c>
      <c r="AQ203" s="290">
        <v>1</v>
      </c>
      <c r="AS203" s="100"/>
      <c r="AY203" s="109">
        <v>999999</v>
      </c>
      <c r="AZ203" s="122" t="s">
        <v>980</v>
      </c>
      <c r="BA203" s="123"/>
      <c r="BB203" s="124"/>
      <c r="BC203" s="119"/>
      <c r="BD203" s="119"/>
      <c r="BE203" s="125"/>
      <c r="BF203" s="108"/>
      <c r="BG203" s="109">
        <v>999999</v>
      </c>
      <c r="BH203" s="110" t="e">
        <f>_xlfn.XLOOKUP(BG203,'[1]OEE MEJORADA'!A:A,'[1]OEE MEJORADA'!B:B)</f>
        <v>#N/A</v>
      </c>
      <c r="BJ203" s="91"/>
      <c r="BK203" s="92">
        <v>10</v>
      </c>
      <c r="CY203" s="34" t="s">
        <v>981</v>
      </c>
      <c r="CZ203" s="35">
        <v>1000</v>
      </c>
    </row>
    <row r="204" spans="5:104" x14ac:dyDescent="0.3">
      <c r="AH204" s="322"/>
      <c r="AI204" s="323"/>
      <c r="AJ204" s="324"/>
      <c r="AN204" s="290">
        <v>453719</v>
      </c>
      <c r="AO204" s="291" t="s">
        <v>83</v>
      </c>
      <c r="AP204" s="291" t="s">
        <v>982</v>
      </c>
      <c r="AQ204" s="290">
        <v>1</v>
      </c>
      <c r="AS204" s="100"/>
      <c r="AY204" s="109"/>
      <c r="AZ204" s="122"/>
      <c r="BA204" s="325"/>
      <c r="BB204" s="124"/>
      <c r="BC204" s="119"/>
      <c r="BD204" s="119"/>
      <c r="BE204" s="125"/>
      <c r="BF204" s="108"/>
      <c r="BG204" s="109">
        <v>779</v>
      </c>
      <c r="BH204" s="326">
        <v>1</v>
      </c>
      <c r="BJ204" s="327"/>
      <c r="BK204" s="328"/>
      <c r="CY204" s="34" t="s">
        <v>983</v>
      </c>
      <c r="CZ204" s="35">
        <v>7.0069999999999997</v>
      </c>
    </row>
    <row r="205" spans="5:104" x14ac:dyDescent="0.3">
      <c r="AH205" s="109"/>
      <c r="AI205" s="119"/>
      <c r="AJ205" s="125"/>
      <c r="AN205" s="290">
        <v>400309</v>
      </c>
      <c r="AO205" s="291" t="s">
        <v>83</v>
      </c>
      <c r="AP205" s="291" t="s">
        <v>984</v>
      </c>
      <c r="AQ205" s="290">
        <v>1</v>
      </c>
      <c r="AS205" s="100"/>
      <c r="AY205" s="109"/>
      <c r="AZ205" s="122"/>
      <c r="BA205" s="325"/>
      <c r="BB205" s="124"/>
      <c r="BC205" s="119"/>
      <c r="BD205" s="119"/>
      <c r="BE205" s="125"/>
      <c r="BF205" s="108"/>
      <c r="BG205" s="109"/>
      <c r="BH205" s="125"/>
      <c r="BJ205" s="327"/>
      <c r="BK205" s="328"/>
      <c r="CY205" s="34" t="s">
        <v>985</v>
      </c>
      <c r="CZ205" s="35">
        <v>1.2073846102375E-2</v>
      </c>
    </row>
    <row r="206" spans="5:104" x14ac:dyDescent="0.3">
      <c r="AH206" s="109"/>
      <c r="AI206" s="119"/>
      <c r="AJ206" s="125"/>
      <c r="AN206" s="290">
        <v>410997</v>
      </c>
      <c r="AO206" s="291" t="s">
        <v>83</v>
      </c>
      <c r="AP206" s="291" t="s">
        <v>986</v>
      </c>
      <c r="AQ206" s="290">
        <v>1</v>
      </c>
      <c r="AS206" s="100"/>
      <c r="AY206" s="109"/>
      <c r="AZ206" s="122"/>
      <c r="BA206" s="325"/>
      <c r="BB206" s="124"/>
      <c r="BC206" s="119"/>
      <c r="BD206" s="119"/>
      <c r="BE206" s="125"/>
      <c r="BF206" s="108"/>
      <c r="BG206" s="109"/>
      <c r="BH206" s="125"/>
      <c r="BJ206" s="327"/>
      <c r="BK206" s="328"/>
      <c r="CY206" s="34" t="s">
        <v>987</v>
      </c>
      <c r="CZ206" s="35">
        <v>2.9409126506666672E-3</v>
      </c>
    </row>
    <row r="207" spans="5:104" x14ac:dyDescent="0.3">
      <c r="AH207" s="109"/>
      <c r="AI207" s="119"/>
      <c r="AJ207" s="125"/>
      <c r="AN207" s="290">
        <v>412524</v>
      </c>
      <c r="AO207" s="291" t="s">
        <v>83</v>
      </c>
      <c r="AP207" s="291" t="s">
        <v>988</v>
      </c>
      <c r="AQ207" s="290">
        <v>1</v>
      </c>
      <c r="AS207" s="100"/>
      <c r="AY207" s="109"/>
      <c r="AZ207" s="122"/>
      <c r="BA207" s="325"/>
      <c r="BB207" s="124"/>
      <c r="BC207" s="119"/>
      <c r="BD207" s="119"/>
      <c r="BE207" s="125"/>
      <c r="BF207" s="108"/>
      <c r="BG207" s="109"/>
      <c r="BH207" s="125"/>
      <c r="BJ207" s="327"/>
      <c r="BK207" s="328"/>
      <c r="CY207" s="34" t="s">
        <v>989</v>
      </c>
      <c r="CZ207" s="35">
        <v>10.087999999999999</v>
      </c>
    </row>
    <row r="208" spans="5:104" x14ac:dyDescent="0.3">
      <c r="AH208" s="109"/>
      <c r="AI208" s="119"/>
      <c r="AJ208" s="125"/>
      <c r="AN208" s="329" t="s">
        <v>990</v>
      </c>
      <c r="AO208" s="291" t="s">
        <v>83</v>
      </c>
      <c r="AP208" s="291" t="s">
        <v>991</v>
      </c>
      <c r="AQ208" s="290">
        <v>1</v>
      </c>
      <c r="AS208" s="100"/>
      <c r="AY208" s="109"/>
      <c r="AZ208" s="122"/>
      <c r="BA208" s="325"/>
      <c r="BB208" s="124"/>
      <c r="BC208" s="119"/>
      <c r="BD208" s="119"/>
      <c r="BE208" s="125"/>
      <c r="BF208" s="108"/>
      <c r="BG208" s="109"/>
      <c r="BH208" s="125"/>
      <c r="BJ208" s="327"/>
      <c r="BK208" s="328"/>
      <c r="CY208" s="34" t="s">
        <v>992</v>
      </c>
      <c r="CZ208" s="35">
        <v>1.053529059334E-2</v>
      </c>
    </row>
    <row r="209" spans="34:104" x14ac:dyDescent="0.3">
      <c r="AH209" s="109"/>
      <c r="AI209" s="119"/>
      <c r="AJ209" s="125"/>
      <c r="AN209" s="329" t="s">
        <v>993</v>
      </c>
      <c r="AO209" s="291" t="s">
        <v>83</v>
      </c>
      <c r="AP209" s="291" t="s">
        <v>994</v>
      </c>
      <c r="AQ209" s="290">
        <v>1</v>
      </c>
      <c r="AS209" s="100"/>
      <c r="AY209" s="109"/>
      <c r="AZ209" s="122"/>
      <c r="BA209" s="325"/>
      <c r="BB209" s="124"/>
      <c r="BC209" s="119"/>
      <c r="BD209" s="119"/>
      <c r="BE209" s="125"/>
      <c r="BF209" s="108"/>
      <c r="BG209" s="109"/>
      <c r="BH209" s="125"/>
      <c r="BJ209" s="327"/>
      <c r="BK209" s="328"/>
      <c r="CY209" s="34" t="s">
        <v>995</v>
      </c>
      <c r="CZ209" s="35">
        <v>2.3751215860000001E-2</v>
      </c>
    </row>
    <row r="210" spans="34:104" x14ac:dyDescent="0.3">
      <c r="AH210" s="109"/>
      <c r="AI210" s="119"/>
      <c r="AJ210" s="125"/>
      <c r="AN210" s="329" t="s">
        <v>996</v>
      </c>
      <c r="AO210" s="291" t="s">
        <v>83</v>
      </c>
      <c r="AP210" s="291" t="s">
        <v>997</v>
      </c>
      <c r="AQ210" s="290">
        <v>1</v>
      </c>
      <c r="AS210" s="100"/>
      <c r="AY210" s="109"/>
      <c r="AZ210" s="122"/>
      <c r="BA210" s="325"/>
      <c r="BB210" s="124"/>
      <c r="BC210" s="119"/>
      <c r="BD210" s="119"/>
      <c r="BE210" s="125"/>
      <c r="BF210" s="108"/>
      <c r="BG210" s="109"/>
      <c r="BH210" s="125"/>
      <c r="BJ210" s="327"/>
      <c r="BK210" s="328"/>
      <c r="CY210" s="34" t="s">
        <v>998</v>
      </c>
      <c r="CZ210" s="35">
        <v>2.3588101559999996E-3</v>
      </c>
    </row>
    <row r="211" spans="34:104" x14ac:dyDescent="0.3">
      <c r="AH211" s="109"/>
      <c r="AI211" s="119"/>
      <c r="AJ211" s="125"/>
      <c r="AN211" s="290">
        <v>421100</v>
      </c>
      <c r="AO211" s="291" t="s">
        <v>83</v>
      </c>
      <c r="AP211" s="291" t="s">
        <v>999</v>
      </c>
      <c r="AQ211" s="290">
        <v>1</v>
      </c>
      <c r="AS211" s="100"/>
      <c r="AY211" s="322"/>
      <c r="AZ211" s="330"/>
      <c r="BA211" s="331"/>
      <c r="BB211" s="332"/>
      <c r="BC211" s="323"/>
      <c r="BD211" s="323"/>
      <c r="BE211" s="324"/>
      <c r="BF211" s="108"/>
      <c r="BG211" s="109"/>
      <c r="BH211" s="125"/>
      <c r="BJ211" s="327"/>
      <c r="BK211" s="328"/>
      <c r="CY211" s="34" t="s">
        <v>1000</v>
      </c>
      <c r="CZ211" s="35">
        <v>2.2974767559999997E-3</v>
      </c>
    </row>
    <row r="212" spans="34:104" x14ac:dyDescent="0.3">
      <c r="AH212" s="109"/>
      <c r="AI212" s="119"/>
      <c r="AJ212" s="125"/>
      <c r="AN212" s="290">
        <v>421103</v>
      </c>
      <c r="AO212" s="291" t="s">
        <v>83</v>
      </c>
      <c r="AP212" s="291" t="s">
        <v>1001</v>
      </c>
      <c r="AQ212" s="290">
        <v>1</v>
      </c>
      <c r="AS212" s="100"/>
      <c r="AY212" s="109"/>
      <c r="AZ212" s="122"/>
      <c r="BA212" s="325"/>
      <c r="BB212" s="124"/>
      <c r="BC212" s="119"/>
      <c r="BD212" s="119"/>
      <c r="BE212" s="125"/>
      <c r="BF212" s="108"/>
      <c r="BG212" s="109"/>
      <c r="BH212" s="125"/>
      <c r="BJ212" s="327"/>
      <c r="BK212" s="328"/>
      <c r="CY212" s="34" t="s">
        <v>1002</v>
      </c>
      <c r="CZ212" s="35">
        <v>4.5880000000000001</v>
      </c>
    </row>
    <row r="213" spans="34:104" x14ac:dyDescent="0.3">
      <c r="AH213" s="109"/>
      <c r="AI213" s="119"/>
      <c r="AJ213" s="125"/>
      <c r="AN213" s="329" t="s">
        <v>932</v>
      </c>
      <c r="AO213" s="291" t="s">
        <v>83</v>
      </c>
      <c r="AP213" s="291" t="s">
        <v>1003</v>
      </c>
      <c r="AQ213" s="290">
        <v>1</v>
      </c>
      <c r="AS213" s="100"/>
      <c r="AY213" s="109"/>
      <c r="AZ213" s="122"/>
      <c r="BA213" s="325"/>
      <c r="BB213" s="109"/>
      <c r="BC213" s="119"/>
      <c r="BD213" s="119"/>
      <c r="BE213" s="125"/>
      <c r="BF213" s="108"/>
      <c r="BG213" s="109"/>
      <c r="BH213" s="125"/>
      <c r="BJ213" s="327"/>
      <c r="BK213" s="328"/>
      <c r="CY213" s="34" t="s">
        <v>1004</v>
      </c>
      <c r="CZ213" s="35">
        <v>1.5860000000000001</v>
      </c>
    </row>
    <row r="214" spans="34:104" x14ac:dyDescent="0.3">
      <c r="AH214" s="109"/>
      <c r="AI214" s="119"/>
      <c r="AJ214" s="125"/>
      <c r="AN214" s="329" t="s">
        <v>1005</v>
      </c>
      <c r="AO214" s="291" t="s">
        <v>83</v>
      </c>
      <c r="AP214" s="291" t="s">
        <v>1006</v>
      </c>
      <c r="AQ214" s="290">
        <v>1</v>
      </c>
      <c r="AS214" s="100"/>
      <c r="AY214" s="109"/>
      <c r="AZ214" s="122"/>
      <c r="BA214" s="325"/>
      <c r="BB214" s="109"/>
      <c r="BC214" s="119"/>
      <c r="BD214" s="119"/>
      <c r="BE214" s="125"/>
      <c r="BF214" s="108"/>
      <c r="BG214" s="109"/>
      <c r="BH214" s="125"/>
      <c r="BJ214" s="327"/>
      <c r="BK214" s="328"/>
      <c r="CY214" s="34" t="s">
        <v>1007</v>
      </c>
      <c r="CZ214" s="35">
        <v>2.7570000000000001</v>
      </c>
    </row>
    <row r="215" spans="34:104" ht="15" thickBot="1" x14ac:dyDescent="0.35">
      <c r="AH215" s="333"/>
      <c r="AI215" s="334"/>
      <c r="AJ215" s="335"/>
      <c r="AN215" s="329" t="s">
        <v>1008</v>
      </c>
      <c r="AO215" s="291" t="s">
        <v>83</v>
      </c>
      <c r="AP215" s="291" t="s">
        <v>1009</v>
      </c>
      <c r="AQ215" s="290">
        <v>1</v>
      </c>
      <c r="AS215" s="100"/>
      <c r="AY215" s="109"/>
      <c r="AZ215" s="122"/>
      <c r="BA215" s="325"/>
      <c r="BB215" s="109"/>
      <c r="BC215" s="119"/>
      <c r="BD215" s="119"/>
      <c r="BE215" s="125"/>
      <c r="BF215" s="108"/>
      <c r="BG215" s="109"/>
      <c r="BH215" s="125"/>
      <c r="BJ215" s="327"/>
      <c r="BK215" s="328"/>
      <c r="CY215" s="34" t="s">
        <v>1010</v>
      </c>
      <c r="CZ215" s="35">
        <v>1.0589480864000002E-2</v>
      </c>
    </row>
    <row r="216" spans="34:104" x14ac:dyDescent="0.3">
      <c r="AN216" s="329" t="s">
        <v>1011</v>
      </c>
      <c r="AO216" s="291" t="s">
        <v>83</v>
      </c>
      <c r="AP216" s="291" t="s">
        <v>1012</v>
      </c>
      <c r="AQ216" s="290">
        <v>1</v>
      </c>
      <c r="AS216" s="100"/>
      <c r="AY216" s="109"/>
      <c r="AZ216" s="122"/>
      <c r="BA216" s="325"/>
      <c r="BB216" s="109"/>
      <c r="BC216" s="119"/>
      <c r="BD216" s="119"/>
      <c r="BE216" s="125"/>
      <c r="BF216" s="108"/>
      <c r="BG216" s="109"/>
      <c r="BH216" s="125"/>
      <c r="BJ216" s="327"/>
      <c r="BK216" s="328"/>
      <c r="CY216" s="34" t="s">
        <v>1013</v>
      </c>
      <c r="CZ216" s="35">
        <v>5.3337932547499996E-3</v>
      </c>
    </row>
    <row r="217" spans="34:104" x14ac:dyDescent="0.3">
      <c r="AN217" s="290">
        <v>453298</v>
      </c>
      <c r="AO217" s="291" t="s">
        <v>83</v>
      </c>
      <c r="AP217" s="291" t="s">
        <v>1014</v>
      </c>
      <c r="AQ217" s="290">
        <v>1</v>
      </c>
      <c r="AS217" s="100"/>
      <c r="AY217" s="109"/>
      <c r="AZ217" s="122"/>
      <c r="BA217" s="325"/>
      <c r="BB217" s="109"/>
      <c r="BC217" s="119"/>
      <c r="BD217" s="119"/>
      <c r="BE217" s="125"/>
      <c r="BF217" s="108"/>
      <c r="BG217" s="109"/>
      <c r="BH217" s="125"/>
      <c r="BJ217" s="327"/>
      <c r="BK217" s="328"/>
      <c r="CY217" s="34" t="s">
        <v>1015</v>
      </c>
      <c r="CZ217" s="35">
        <v>10.539</v>
      </c>
    </row>
    <row r="218" spans="34:104" x14ac:dyDescent="0.3">
      <c r="AN218" s="329" t="s">
        <v>1016</v>
      </c>
      <c r="AO218" s="291" t="s">
        <v>83</v>
      </c>
      <c r="AP218" s="291" t="s">
        <v>1017</v>
      </c>
      <c r="AQ218" s="290">
        <v>1</v>
      </c>
      <c r="AS218" s="100"/>
      <c r="AY218" s="109"/>
      <c r="AZ218" s="122"/>
      <c r="BA218" s="325"/>
      <c r="BB218" s="109"/>
      <c r="BC218" s="119"/>
      <c r="BD218" s="119"/>
      <c r="BE218" s="125"/>
      <c r="BF218" s="108"/>
      <c r="BG218" s="109"/>
      <c r="BH218" s="125"/>
      <c r="BJ218" s="327"/>
      <c r="BK218" s="328"/>
      <c r="CY218" s="34" t="s">
        <v>1018</v>
      </c>
      <c r="CZ218" s="35">
        <v>7.9569999999999999</v>
      </c>
    </row>
    <row r="219" spans="34:104" ht="15" thickBot="1" x14ac:dyDescent="0.35">
      <c r="AN219" s="290">
        <v>453487</v>
      </c>
      <c r="AO219" s="291" t="s">
        <v>83</v>
      </c>
      <c r="AP219" s="291" t="s">
        <v>1019</v>
      </c>
      <c r="AQ219" s="290">
        <v>1</v>
      </c>
      <c r="AS219" s="100"/>
      <c r="AY219" s="109"/>
      <c r="AZ219" s="122"/>
      <c r="BA219" s="325"/>
      <c r="BB219" s="109"/>
      <c r="BC219" s="119"/>
      <c r="BD219" s="119"/>
      <c r="BE219" s="125"/>
      <c r="BF219" s="108"/>
      <c r="BG219" s="109"/>
      <c r="BH219" s="125"/>
      <c r="BJ219" s="336"/>
      <c r="BK219" s="337"/>
      <c r="CY219" s="34" t="s">
        <v>1020</v>
      </c>
      <c r="CZ219" s="35">
        <v>1.756</v>
      </c>
    </row>
    <row r="220" spans="34:104" ht="15" thickBot="1" x14ac:dyDescent="0.35">
      <c r="AN220" s="329">
        <v>453488</v>
      </c>
      <c r="AO220" s="291" t="s">
        <v>83</v>
      </c>
      <c r="AP220" s="291" t="s">
        <v>1021</v>
      </c>
      <c r="AQ220" s="290">
        <v>1</v>
      </c>
      <c r="AS220" s="100"/>
      <c r="AY220" s="109"/>
      <c r="AZ220" s="122"/>
      <c r="BA220" s="325"/>
      <c r="BB220" s="109"/>
      <c r="BC220" s="119"/>
      <c r="BD220" s="119"/>
      <c r="BE220" s="125"/>
      <c r="BF220" s="108"/>
      <c r="BG220" s="333"/>
      <c r="BH220" s="335"/>
      <c r="CY220" s="34" t="s">
        <v>1022</v>
      </c>
      <c r="CZ220" s="35">
        <v>8.0611487999999981E-2</v>
      </c>
    </row>
    <row r="221" spans="34:104" x14ac:dyDescent="0.3">
      <c r="AN221" s="290">
        <v>453526</v>
      </c>
      <c r="AO221" s="291" t="s">
        <v>83</v>
      </c>
      <c r="AP221" s="291" t="s">
        <v>1023</v>
      </c>
      <c r="AQ221" s="290">
        <v>1</v>
      </c>
      <c r="AS221" s="100"/>
      <c r="AY221" s="109"/>
      <c r="AZ221" s="122"/>
      <c r="BA221" s="325"/>
      <c r="BB221" s="109"/>
      <c r="BC221" s="119"/>
      <c r="BD221" s="119"/>
      <c r="BE221" s="125"/>
      <c r="BF221" s="108"/>
      <c r="BJ221" s="52"/>
      <c r="BK221" s="52"/>
      <c r="CY221" s="34" t="s">
        <v>1024</v>
      </c>
      <c r="CZ221" s="35">
        <v>10.087999999999999</v>
      </c>
    </row>
    <row r="222" spans="34:104" x14ac:dyDescent="0.3">
      <c r="AN222" s="290">
        <v>453600</v>
      </c>
      <c r="AO222" s="291" t="s">
        <v>83</v>
      </c>
      <c r="AP222" s="291" t="s">
        <v>1025</v>
      </c>
      <c r="AQ222" s="290">
        <v>1</v>
      </c>
      <c r="AS222" s="100"/>
      <c r="AY222" s="109"/>
      <c r="AZ222" s="122"/>
      <c r="BA222" s="325"/>
      <c r="BB222" s="109"/>
      <c r="BC222" s="119"/>
      <c r="BD222" s="119"/>
      <c r="BE222" s="125"/>
      <c r="BF222" s="108"/>
      <c r="BJ222" s="52"/>
      <c r="BK222" s="52"/>
      <c r="CY222" s="34" t="s">
        <v>1026</v>
      </c>
      <c r="CZ222" s="35">
        <v>5.2477896000000001E-4</v>
      </c>
    </row>
    <row r="223" spans="34:104" x14ac:dyDescent="0.3">
      <c r="AN223" s="290">
        <v>453660</v>
      </c>
      <c r="AO223" s="291" t="s">
        <v>83</v>
      </c>
      <c r="AP223" s="291" t="s">
        <v>1027</v>
      </c>
      <c r="AQ223" s="290">
        <v>1</v>
      </c>
      <c r="AS223" s="100"/>
      <c r="AY223" s="109"/>
      <c r="AZ223" s="122"/>
      <c r="BA223" s="325"/>
      <c r="BB223" s="109"/>
      <c r="BC223" s="119"/>
      <c r="BD223" s="119"/>
      <c r="BE223" s="125"/>
      <c r="BF223" s="108"/>
      <c r="BJ223" s="52"/>
      <c r="BK223" s="52"/>
      <c r="CY223" s="34" t="s">
        <v>1028</v>
      </c>
      <c r="CZ223" s="35">
        <v>9.7969145599999989E-4</v>
      </c>
    </row>
    <row r="224" spans="34:104" x14ac:dyDescent="0.3">
      <c r="AN224" s="290">
        <v>453686</v>
      </c>
      <c r="AO224" s="291" t="s">
        <v>83</v>
      </c>
      <c r="AP224" s="291" t="s">
        <v>1029</v>
      </c>
      <c r="AQ224" s="290">
        <v>1</v>
      </c>
      <c r="AS224" s="100"/>
      <c r="AY224" s="109"/>
      <c r="AZ224" s="122"/>
      <c r="BA224" s="325"/>
      <c r="BB224" s="109"/>
      <c r="BC224" s="119"/>
      <c r="BD224" s="119"/>
      <c r="BE224" s="125"/>
      <c r="BF224" s="108"/>
      <c r="BJ224" s="52"/>
      <c r="BK224" s="52"/>
      <c r="CY224" s="34" t="s">
        <v>1030</v>
      </c>
      <c r="CZ224" s="35">
        <v>1.2770470720000001E-3</v>
      </c>
    </row>
    <row r="225" spans="40:104" x14ac:dyDescent="0.3">
      <c r="AN225" s="290">
        <v>453759</v>
      </c>
      <c r="AO225" s="291" t="s">
        <v>83</v>
      </c>
      <c r="AP225" s="291" t="s">
        <v>1031</v>
      </c>
      <c r="AQ225" s="290">
        <v>1</v>
      </c>
      <c r="AS225" s="100"/>
      <c r="AY225" s="109"/>
      <c r="AZ225" s="122"/>
      <c r="BA225" s="325"/>
      <c r="BB225" s="109"/>
      <c r="BC225" s="119"/>
      <c r="BD225" s="119"/>
      <c r="BE225" s="125"/>
      <c r="BF225" s="108"/>
      <c r="BJ225" s="52"/>
      <c r="BK225" s="52"/>
      <c r="CY225" s="34" t="s">
        <v>1032</v>
      </c>
      <c r="CZ225" s="35">
        <v>2.4107739520000003E-3</v>
      </c>
    </row>
    <row r="226" spans="40:104" x14ac:dyDescent="0.3">
      <c r="AN226" s="329" t="s">
        <v>1033</v>
      </c>
      <c r="AO226" s="291" t="s">
        <v>83</v>
      </c>
      <c r="AP226" s="291" t="s">
        <v>1034</v>
      </c>
      <c r="AQ226" s="290">
        <v>1</v>
      </c>
      <c r="AS226" s="100"/>
      <c r="AY226" s="109"/>
      <c r="AZ226" s="122"/>
      <c r="BA226" s="325"/>
      <c r="BB226" s="109"/>
      <c r="BC226" s="119"/>
      <c r="BD226" s="119"/>
      <c r="BE226" s="125"/>
      <c r="BF226" s="108"/>
      <c r="BJ226" s="52"/>
      <c r="BK226" s="52"/>
      <c r="CY226" s="34" t="s">
        <v>1035</v>
      </c>
      <c r="CZ226" s="35">
        <v>2.2845514280000001E-3</v>
      </c>
    </row>
    <row r="227" spans="40:104" x14ac:dyDescent="0.3">
      <c r="AN227" s="329" t="s">
        <v>1036</v>
      </c>
      <c r="AO227" s="291" t="s">
        <v>83</v>
      </c>
      <c r="AP227" s="291" t="s">
        <v>1037</v>
      </c>
      <c r="AQ227" s="290">
        <v>1</v>
      </c>
      <c r="AS227" s="100"/>
      <c r="AY227" s="109"/>
      <c r="AZ227" s="122"/>
      <c r="BA227" s="325"/>
      <c r="BB227" s="109"/>
      <c r="BC227" s="119"/>
      <c r="BD227" s="119"/>
      <c r="BE227" s="125"/>
      <c r="BF227" s="108"/>
      <c r="CY227" s="34" t="s">
        <v>1038</v>
      </c>
      <c r="CZ227" s="35">
        <v>3.0853793999999998E-3</v>
      </c>
    </row>
    <row r="228" spans="40:104" x14ac:dyDescent="0.3">
      <c r="AN228" s="290">
        <v>453449</v>
      </c>
      <c r="AO228" s="291" t="s">
        <v>83</v>
      </c>
      <c r="AP228" s="291" t="s">
        <v>1039</v>
      </c>
      <c r="AQ228" s="290">
        <v>1</v>
      </c>
      <c r="AS228" s="100"/>
      <c r="AY228" s="109"/>
      <c r="AZ228" s="122"/>
      <c r="BA228" s="325"/>
      <c r="BB228" s="109"/>
      <c r="BC228" s="119"/>
      <c r="BD228" s="119"/>
      <c r="BE228" s="125"/>
      <c r="BF228" s="108"/>
      <c r="CY228" s="34" t="s">
        <v>1040</v>
      </c>
      <c r="CZ228" s="35">
        <v>4.3210520399999987E-3</v>
      </c>
    </row>
    <row r="229" spans="40:104" x14ac:dyDescent="0.3">
      <c r="AN229" s="290">
        <v>453640</v>
      </c>
      <c r="AO229" s="291" t="s">
        <v>83</v>
      </c>
      <c r="AP229" s="291" t="s">
        <v>1041</v>
      </c>
      <c r="AQ229" s="290">
        <v>1</v>
      </c>
      <c r="AS229" s="100"/>
      <c r="AY229" s="109"/>
      <c r="AZ229" s="122"/>
      <c r="BA229" s="325"/>
      <c r="BB229" s="109"/>
      <c r="BC229" s="119"/>
      <c r="BD229" s="119"/>
      <c r="BE229" s="125"/>
      <c r="BF229" s="108"/>
      <c r="CY229" s="34" t="s">
        <v>1042</v>
      </c>
      <c r="CZ229" s="35">
        <v>5.9565423680000007E-3</v>
      </c>
    </row>
    <row r="230" spans="40:104" ht="15" thickBot="1" x14ac:dyDescent="0.35">
      <c r="AN230" s="290">
        <v>453666</v>
      </c>
      <c r="AO230" s="291" t="s">
        <v>83</v>
      </c>
      <c r="AP230" s="291" t="s">
        <v>1043</v>
      </c>
      <c r="AQ230" s="290">
        <v>1</v>
      </c>
      <c r="AS230" s="100"/>
      <c r="AY230" s="333"/>
      <c r="AZ230" s="338"/>
      <c r="BA230" s="339"/>
      <c r="BB230" s="333"/>
      <c r="BC230" s="334"/>
      <c r="BD230" s="334"/>
      <c r="BE230" s="335"/>
      <c r="BF230" s="108"/>
      <c r="CY230" s="34" t="s">
        <v>1044</v>
      </c>
      <c r="CZ230" s="35">
        <v>7.3765011839999998E-3</v>
      </c>
    </row>
    <row r="231" spans="40:104" x14ac:dyDescent="0.3">
      <c r="AN231" s="290">
        <v>453748</v>
      </c>
      <c r="AO231" s="291" t="s">
        <v>83</v>
      </c>
      <c r="AP231" s="291" t="s">
        <v>1045</v>
      </c>
      <c r="AQ231" s="290">
        <v>1</v>
      </c>
      <c r="AS231" s="100"/>
      <c r="BC231" s="52"/>
      <c r="CY231" s="34" t="s">
        <v>1046</v>
      </c>
      <c r="CZ231" s="35">
        <v>9.3173762240000013E-3</v>
      </c>
    </row>
    <row r="232" spans="40:104" x14ac:dyDescent="0.3">
      <c r="AN232" s="290">
        <v>453772</v>
      </c>
      <c r="AO232" s="291" t="s">
        <v>83</v>
      </c>
      <c r="AP232" s="291" t="s">
        <v>1047</v>
      </c>
      <c r="AQ232" s="290">
        <v>1</v>
      </c>
      <c r="AS232" s="100"/>
      <c r="BC232" s="52"/>
      <c r="CY232" s="34" t="s">
        <v>1048</v>
      </c>
      <c r="CZ232" s="35">
        <v>8.5493484533333327E-3</v>
      </c>
    </row>
    <row r="233" spans="40:104" x14ac:dyDescent="0.3">
      <c r="AN233" s="329" t="s">
        <v>1049</v>
      </c>
      <c r="AO233" s="291" t="s">
        <v>83</v>
      </c>
      <c r="AP233" s="291" t="s">
        <v>1050</v>
      </c>
      <c r="AQ233" s="290">
        <v>1</v>
      </c>
      <c r="AS233" s="100"/>
      <c r="BC233" s="52"/>
      <c r="CY233" s="34" t="s">
        <v>1051</v>
      </c>
      <c r="CZ233" s="35">
        <v>2.5722157347000004E-2</v>
      </c>
    </row>
    <row r="234" spans="40:104" x14ac:dyDescent="0.3">
      <c r="AN234" s="290">
        <v>412203</v>
      </c>
      <c r="AO234" s="291" t="s">
        <v>83</v>
      </c>
      <c r="AP234" s="291" t="s">
        <v>1052</v>
      </c>
      <c r="AQ234" s="290">
        <v>1</v>
      </c>
      <c r="AS234" s="100"/>
      <c r="BC234" s="52"/>
      <c r="CY234" s="34" t="s">
        <v>1053</v>
      </c>
      <c r="CZ234" s="35">
        <v>2.6535506689999998E-2</v>
      </c>
    </row>
    <row r="235" spans="40:104" x14ac:dyDescent="0.3">
      <c r="AN235" s="329" t="s">
        <v>1054</v>
      </c>
      <c r="AO235" s="291" t="s">
        <v>83</v>
      </c>
      <c r="AP235" s="291" t="s">
        <v>1055</v>
      </c>
      <c r="AQ235" s="290">
        <v>1</v>
      </c>
      <c r="AS235" s="100"/>
      <c r="BC235" s="52"/>
      <c r="CY235" s="34" t="s">
        <v>1056</v>
      </c>
      <c r="CZ235" s="35">
        <v>1.7877484559999999E-3</v>
      </c>
    </row>
    <row r="236" spans="40:104" x14ac:dyDescent="0.3">
      <c r="AN236" s="290">
        <v>450612</v>
      </c>
      <c r="AO236" s="291" t="s">
        <v>83</v>
      </c>
      <c r="AP236" s="291" t="s">
        <v>1057</v>
      </c>
      <c r="AQ236" s="290">
        <v>1</v>
      </c>
      <c r="AS236" s="100"/>
      <c r="BC236" s="52"/>
      <c r="CY236" s="34" t="s">
        <v>1058</v>
      </c>
      <c r="CZ236" s="35">
        <v>2.5343147029333334E-2</v>
      </c>
    </row>
    <row r="237" spans="40:104" x14ac:dyDescent="0.3">
      <c r="AN237" s="290">
        <v>413241</v>
      </c>
      <c r="AO237" s="291" t="s">
        <v>83</v>
      </c>
      <c r="AP237" s="291" t="s">
        <v>1059</v>
      </c>
      <c r="AQ237" s="290">
        <v>1</v>
      </c>
      <c r="AS237" s="100"/>
      <c r="BC237" s="52"/>
      <c r="CY237" s="34" t="s">
        <v>1060</v>
      </c>
      <c r="CZ237" s="35">
        <v>3.9166995231999999E-3</v>
      </c>
    </row>
    <row r="238" spans="40:104" x14ac:dyDescent="0.3">
      <c r="AN238" s="290">
        <v>421104</v>
      </c>
      <c r="AO238" s="291" t="s">
        <v>83</v>
      </c>
      <c r="AP238" s="291" t="s">
        <v>1061</v>
      </c>
      <c r="AQ238" s="290">
        <v>1</v>
      </c>
      <c r="AS238" s="100"/>
      <c r="BC238" s="52"/>
      <c r="CY238" s="34" t="s">
        <v>1062</v>
      </c>
      <c r="CZ238" s="35">
        <v>8.8656489999999998E-3</v>
      </c>
    </row>
    <row r="239" spans="40:104" x14ac:dyDescent="0.3">
      <c r="AN239" s="290">
        <v>411001</v>
      </c>
      <c r="AO239" s="291" t="s">
        <v>83</v>
      </c>
      <c r="AP239" s="291" t="s">
        <v>1063</v>
      </c>
      <c r="AQ239" s="290">
        <v>1</v>
      </c>
      <c r="AS239" s="100"/>
      <c r="BC239" s="52"/>
      <c r="CY239" s="34" t="s">
        <v>1064</v>
      </c>
      <c r="CZ239" s="35">
        <v>1.3136189E-2</v>
      </c>
    </row>
    <row r="240" spans="40:104" x14ac:dyDescent="0.3">
      <c r="AN240" s="290">
        <v>451439</v>
      </c>
      <c r="AO240" s="291" t="s">
        <v>83</v>
      </c>
      <c r="AP240" s="291" t="s">
        <v>1065</v>
      </c>
      <c r="AQ240" s="290">
        <v>1</v>
      </c>
      <c r="AS240" s="100"/>
      <c r="BC240" s="52"/>
      <c r="CY240" s="34" t="s">
        <v>1066</v>
      </c>
      <c r="CZ240" s="35">
        <v>2.0443458440900002E-2</v>
      </c>
    </row>
    <row r="241" spans="40:104" x14ac:dyDescent="0.3">
      <c r="AN241" s="290">
        <v>451534</v>
      </c>
      <c r="AO241" s="291" t="s">
        <v>83</v>
      </c>
      <c r="AP241" s="291" t="s">
        <v>1067</v>
      </c>
      <c r="AQ241" s="290">
        <v>1</v>
      </c>
      <c r="AS241" s="100"/>
      <c r="BC241" s="52"/>
      <c r="CY241" s="34" t="s">
        <v>1068</v>
      </c>
      <c r="CZ241" s="35">
        <v>0.53845431700000002</v>
      </c>
    </row>
    <row r="242" spans="40:104" x14ac:dyDescent="0.3">
      <c r="AN242" s="290">
        <v>451433</v>
      </c>
      <c r="AO242" s="291" t="s">
        <v>83</v>
      </c>
      <c r="AP242" s="291" t="s">
        <v>1069</v>
      </c>
      <c r="AQ242" s="290">
        <v>1</v>
      </c>
      <c r="AS242" s="100"/>
      <c r="BC242" s="52"/>
      <c r="CY242" s="34" t="s">
        <v>1070</v>
      </c>
      <c r="CZ242" s="35">
        <v>1.2633267903799998E-2</v>
      </c>
    </row>
    <row r="243" spans="40:104" x14ac:dyDescent="0.3">
      <c r="AN243" s="329" t="s">
        <v>1071</v>
      </c>
      <c r="AO243" s="291" t="s">
        <v>83</v>
      </c>
      <c r="AP243" s="291" t="s">
        <v>1072</v>
      </c>
      <c r="AQ243" s="290">
        <v>1</v>
      </c>
      <c r="AS243" s="100"/>
      <c r="BC243" s="52"/>
      <c r="CY243" s="34" t="s">
        <v>1073</v>
      </c>
      <c r="CZ243" s="35">
        <v>7.7990000000000004</v>
      </c>
    </row>
    <row r="244" spans="40:104" x14ac:dyDescent="0.3">
      <c r="AN244" s="340">
        <v>411490</v>
      </c>
      <c r="AO244" s="55" t="s">
        <v>83</v>
      </c>
      <c r="AP244" s="55" t="s">
        <v>1074</v>
      </c>
      <c r="AQ244" s="119">
        <v>0.25</v>
      </c>
      <c r="AS244" s="100"/>
      <c r="BC244" s="52"/>
      <c r="CY244" s="34" t="s">
        <v>1075</v>
      </c>
      <c r="CZ244" s="35">
        <v>4.7701568E-2</v>
      </c>
    </row>
    <row r="245" spans="40:104" x14ac:dyDescent="0.3">
      <c r="AN245" s="340">
        <v>413240</v>
      </c>
      <c r="AO245" s="55" t="s">
        <v>83</v>
      </c>
      <c r="AP245" s="55" t="s">
        <v>1076</v>
      </c>
      <c r="AQ245" s="119">
        <v>0.33</v>
      </c>
      <c r="AS245" s="100"/>
      <c r="BC245" s="52"/>
      <c r="CY245" s="34" t="s">
        <v>1077</v>
      </c>
      <c r="CZ245" s="35">
        <v>7.7991374239999994E-3</v>
      </c>
    </row>
    <row r="246" spans="40:104" x14ac:dyDescent="0.3">
      <c r="AN246" s="340">
        <v>450829</v>
      </c>
      <c r="AO246" s="55" t="s">
        <v>83</v>
      </c>
      <c r="AP246" s="55" t="s">
        <v>1078</v>
      </c>
      <c r="AQ246" s="119">
        <v>0.25</v>
      </c>
      <c r="AS246" s="100"/>
      <c r="BC246" s="52"/>
      <c r="CY246" s="34" t="s">
        <v>1079</v>
      </c>
      <c r="CZ246" s="35">
        <v>6.1826240000000003E-3</v>
      </c>
    </row>
    <row r="247" spans="40:104" x14ac:dyDescent="0.3">
      <c r="AN247" s="341" t="s">
        <v>1080</v>
      </c>
      <c r="AO247" s="55" t="s">
        <v>83</v>
      </c>
      <c r="AP247" s="55" t="s">
        <v>1081</v>
      </c>
      <c r="AQ247" s="119">
        <v>0.33</v>
      </c>
      <c r="AS247" s="100"/>
      <c r="BC247" s="52"/>
      <c r="CY247" s="34" t="s">
        <v>1082</v>
      </c>
      <c r="CZ247" s="35">
        <v>6.1826240000000003E-3</v>
      </c>
    </row>
    <row r="248" spans="40:104" x14ac:dyDescent="0.3">
      <c r="AN248" s="340">
        <v>453074</v>
      </c>
      <c r="AO248" s="55" t="s">
        <v>83</v>
      </c>
      <c r="AP248" s="55" t="s">
        <v>1083</v>
      </c>
      <c r="AQ248" s="119">
        <v>0.75</v>
      </c>
      <c r="AS248" s="100"/>
      <c r="BC248" s="52"/>
      <c r="CY248" s="34" t="s">
        <v>1084</v>
      </c>
      <c r="CZ248" s="35">
        <v>1.4710675306031746E-2</v>
      </c>
    </row>
    <row r="249" spans="40:104" x14ac:dyDescent="0.3">
      <c r="AN249" s="340">
        <v>453257</v>
      </c>
      <c r="AO249" s="55" t="s">
        <v>83</v>
      </c>
      <c r="AP249" s="55" t="s">
        <v>1085</v>
      </c>
      <c r="AQ249" s="119">
        <v>0.75</v>
      </c>
      <c r="AS249" s="100"/>
      <c r="BC249" s="52"/>
      <c r="CY249" s="34" t="s">
        <v>1086</v>
      </c>
      <c r="CZ249" s="35">
        <v>3.3175145833319996E-3</v>
      </c>
    </row>
    <row r="250" spans="40:104" x14ac:dyDescent="0.3">
      <c r="AN250" s="341" t="s">
        <v>1087</v>
      </c>
      <c r="AO250" s="55" t="s">
        <v>83</v>
      </c>
      <c r="AP250" s="55" t="s">
        <v>1088</v>
      </c>
      <c r="AQ250" s="119">
        <v>0.33</v>
      </c>
      <c r="AS250" s="100"/>
      <c r="BC250" s="52"/>
      <c r="CY250" s="34" t="s">
        <v>1089</v>
      </c>
      <c r="CZ250" s="35">
        <v>6.9156489999999994E-3</v>
      </c>
    </row>
    <row r="251" spans="40:104" x14ac:dyDescent="0.3">
      <c r="AN251" s="340">
        <v>420321</v>
      </c>
      <c r="AO251" s="55" t="s">
        <v>83</v>
      </c>
      <c r="AP251" s="55" t="s">
        <v>1090</v>
      </c>
      <c r="AQ251" s="119">
        <v>0.33</v>
      </c>
      <c r="AS251" s="100"/>
      <c r="BC251" s="52"/>
      <c r="CY251" s="34" t="s">
        <v>1091</v>
      </c>
      <c r="CZ251" s="35">
        <v>3.9883322080000005E-2</v>
      </c>
    </row>
    <row r="252" spans="40:104" x14ac:dyDescent="0.3">
      <c r="AN252" s="340">
        <v>420323</v>
      </c>
      <c r="AO252" s="55" t="s">
        <v>83</v>
      </c>
      <c r="AP252" s="55" t="s">
        <v>1092</v>
      </c>
      <c r="AQ252" s="119">
        <v>0.5</v>
      </c>
      <c r="AS252" s="100"/>
      <c r="BC252" s="52"/>
      <c r="CY252" s="34" t="s">
        <v>1093</v>
      </c>
      <c r="CZ252" s="35">
        <v>3.3319821776E-2</v>
      </c>
    </row>
    <row r="253" spans="40:104" x14ac:dyDescent="0.3">
      <c r="AN253" s="340">
        <v>420324</v>
      </c>
      <c r="AO253" s="55" t="s">
        <v>83</v>
      </c>
      <c r="AP253" s="55" t="s">
        <v>1094</v>
      </c>
      <c r="AQ253" s="119">
        <v>0.5</v>
      </c>
      <c r="AS253" s="100"/>
      <c r="BC253" s="52"/>
      <c r="CY253" s="34" t="s">
        <v>1095</v>
      </c>
      <c r="CZ253" s="35">
        <v>1.2930684159999999E-2</v>
      </c>
    </row>
    <row r="254" spans="40:104" x14ac:dyDescent="0.3">
      <c r="AN254" s="340">
        <v>421016</v>
      </c>
      <c r="AO254" s="55" t="s">
        <v>83</v>
      </c>
      <c r="AP254" s="55" t="s">
        <v>1096</v>
      </c>
      <c r="AQ254" s="119">
        <v>0.5</v>
      </c>
      <c r="AS254" s="100"/>
      <c r="BC254" s="52"/>
      <c r="CY254" s="34" t="s">
        <v>1097</v>
      </c>
      <c r="CZ254" s="35">
        <v>8.3394509213333325E-3</v>
      </c>
    </row>
    <row r="255" spans="40:104" x14ac:dyDescent="0.3">
      <c r="AN255" s="340">
        <v>421019</v>
      </c>
      <c r="AO255" s="55" t="s">
        <v>83</v>
      </c>
      <c r="AP255" s="55" t="s">
        <v>1098</v>
      </c>
      <c r="AQ255" s="119">
        <v>0.5</v>
      </c>
      <c r="AS255" s="100"/>
      <c r="BC255" s="52"/>
      <c r="CY255" s="34" t="s">
        <v>1099</v>
      </c>
      <c r="CZ255" s="35">
        <v>1.3572501916000001E-2</v>
      </c>
    </row>
    <row r="256" spans="40:104" x14ac:dyDescent="0.3">
      <c r="AN256" s="341" t="s">
        <v>928</v>
      </c>
      <c r="AO256" s="55" t="s">
        <v>83</v>
      </c>
      <c r="AP256" s="55" t="s">
        <v>1100</v>
      </c>
      <c r="AQ256" s="119">
        <v>0.5</v>
      </c>
      <c r="AS256" s="100"/>
      <c r="BC256" s="52"/>
      <c r="CY256" s="34" t="s">
        <v>1101</v>
      </c>
      <c r="CZ256" s="35">
        <v>1.5227779008E-2</v>
      </c>
    </row>
    <row r="257" spans="40:104" x14ac:dyDescent="0.3">
      <c r="AN257" s="340" t="s">
        <v>1102</v>
      </c>
      <c r="AO257" s="55" t="s">
        <v>83</v>
      </c>
      <c r="AP257" s="55" t="s">
        <v>1103</v>
      </c>
      <c r="AQ257" s="119">
        <v>0.5</v>
      </c>
      <c r="AS257" s="100"/>
      <c r="BC257" s="52"/>
      <c r="CY257" s="34" t="s">
        <v>1104</v>
      </c>
      <c r="CZ257" s="35">
        <v>3.5131663E-2</v>
      </c>
    </row>
    <row r="258" spans="40:104" x14ac:dyDescent="0.3">
      <c r="AN258" s="340" t="s">
        <v>1105</v>
      </c>
      <c r="AO258" s="55" t="s">
        <v>83</v>
      </c>
      <c r="AP258" s="55" t="s">
        <v>1106</v>
      </c>
      <c r="AQ258" s="119">
        <v>0.5</v>
      </c>
      <c r="AS258" s="100"/>
      <c r="BC258" s="52"/>
      <c r="CY258" s="34" t="s">
        <v>1107</v>
      </c>
      <c r="CZ258" s="35">
        <v>9.3742781564000011E-2</v>
      </c>
    </row>
    <row r="259" spans="40:104" x14ac:dyDescent="0.3">
      <c r="AN259" s="340" t="s">
        <v>1108</v>
      </c>
      <c r="AO259" s="55" t="s">
        <v>83</v>
      </c>
      <c r="AP259" s="55" t="s">
        <v>1109</v>
      </c>
      <c r="AQ259" s="119">
        <v>0.5</v>
      </c>
      <c r="AS259" s="100"/>
      <c r="BC259" s="52"/>
      <c r="CY259" s="34" t="s">
        <v>1110</v>
      </c>
      <c r="CZ259" s="35">
        <v>7.730447607999999E-3</v>
      </c>
    </row>
    <row r="260" spans="40:104" x14ac:dyDescent="0.3">
      <c r="AN260" s="340" t="s">
        <v>1111</v>
      </c>
      <c r="AO260" s="55" t="s">
        <v>83</v>
      </c>
      <c r="AP260" s="55" t="s">
        <v>1112</v>
      </c>
      <c r="AQ260" s="119">
        <v>0.5</v>
      </c>
      <c r="AS260" s="100"/>
      <c r="BC260" s="52"/>
      <c r="CY260" s="34" t="s">
        <v>1113</v>
      </c>
      <c r="CZ260" s="35">
        <v>5.0131173247999997E-2</v>
      </c>
    </row>
    <row r="261" spans="40:104" x14ac:dyDescent="0.3">
      <c r="AN261" s="340">
        <v>422060</v>
      </c>
      <c r="AO261" s="55" t="s">
        <v>83</v>
      </c>
      <c r="AP261" s="55" t="s">
        <v>1114</v>
      </c>
      <c r="AQ261" s="119">
        <v>0.33</v>
      </c>
      <c r="AS261" s="100"/>
      <c r="BC261" s="52"/>
      <c r="CY261" s="34" t="s">
        <v>1115</v>
      </c>
      <c r="CZ261" s="35">
        <v>1.5945432416000001E-2</v>
      </c>
    </row>
    <row r="262" spans="40:104" x14ac:dyDescent="0.3">
      <c r="AN262" s="340">
        <v>422086</v>
      </c>
      <c r="AO262" s="55" t="s">
        <v>83</v>
      </c>
      <c r="AP262" s="55" t="s">
        <v>1116</v>
      </c>
      <c r="AQ262" s="119">
        <v>0.5</v>
      </c>
      <c r="AS262" s="100"/>
      <c r="BC262" s="52"/>
      <c r="CY262" s="34" t="s">
        <v>1117</v>
      </c>
      <c r="CZ262" s="35">
        <v>1.570428E-3</v>
      </c>
    </row>
    <row r="263" spans="40:104" x14ac:dyDescent="0.3">
      <c r="AN263" s="340" t="s">
        <v>1118</v>
      </c>
      <c r="AO263" s="55" t="s">
        <v>83</v>
      </c>
      <c r="AP263" s="55" t="s">
        <v>1119</v>
      </c>
      <c r="AQ263" s="119">
        <v>0.5</v>
      </c>
      <c r="AS263" s="100"/>
      <c r="BC263" s="52"/>
      <c r="CY263" s="34" t="s">
        <v>1120</v>
      </c>
      <c r="CZ263" s="35">
        <v>2.7043751300578945E-2</v>
      </c>
    </row>
    <row r="264" spans="40:104" x14ac:dyDescent="0.3">
      <c r="AN264" s="340" t="s">
        <v>1121</v>
      </c>
      <c r="AO264" s="55" t="s">
        <v>83</v>
      </c>
      <c r="AP264" s="55" t="s">
        <v>1122</v>
      </c>
      <c r="AQ264" s="119">
        <v>0.33</v>
      </c>
      <c r="AS264" s="100"/>
      <c r="BC264" s="52"/>
      <c r="CY264" s="34" t="s">
        <v>1123</v>
      </c>
      <c r="CZ264" s="35">
        <v>5.9677771920000015E-3</v>
      </c>
    </row>
    <row r="265" spans="40:104" x14ac:dyDescent="0.3">
      <c r="AN265" s="340" t="s">
        <v>1124</v>
      </c>
      <c r="AO265" s="55" t="s">
        <v>83</v>
      </c>
      <c r="AP265" s="55" t="s">
        <v>1125</v>
      </c>
      <c r="AQ265" s="119">
        <v>0.33</v>
      </c>
      <c r="AS265" s="100"/>
      <c r="BC265" s="52"/>
      <c r="CY265" s="34" t="s">
        <v>1126</v>
      </c>
      <c r="CZ265" s="35">
        <v>4.8477682214531246E-3</v>
      </c>
    </row>
    <row r="266" spans="40:104" x14ac:dyDescent="0.3">
      <c r="AN266" s="340">
        <v>422136</v>
      </c>
      <c r="AO266" s="55" t="s">
        <v>83</v>
      </c>
      <c r="AP266" s="55" t="s">
        <v>1127</v>
      </c>
      <c r="AQ266" s="119">
        <v>0.5</v>
      </c>
      <c r="AS266" s="100"/>
      <c r="BC266" s="52"/>
      <c r="CY266" s="34" t="s">
        <v>1128</v>
      </c>
      <c r="CZ266" s="35">
        <v>4.5513822344000004E-2</v>
      </c>
    </row>
    <row r="267" spans="40:104" x14ac:dyDescent="0.3">
      <c r="AN267" s="340">
        <v>422151</v>
      </c>
      <c r="AO267" s="55" t="s">
        <v>83</v>
      </c>
      <c r="AP267" s="55" t="s">
        <v>1129</v>
      </c>
      <c r="AQ267" s="119">
        <v>0.33</v>
      </c>
      <c r="AS267" s="100"/>
      <c r="BC267" s="52"/>
      <c r="CY267" s="34" t="s">
        <v>1130</v>
      </c>
      <c r="CZ267" s="35">
        <v>8.1792564983999991E-2</v>
      </c>
    </row>
    <row r="268" spans="40:104" x14ac:dyDescent="0.3">
      <c r="AN268" s="340">
        <v>422449</v>
      </c>
      <c r="AO268" s="55" t="s">
        <v>83</v>
      </c>
      <c r="AP268" s="55" t="s">
        <v>1131</v>
      </c>
      <c r="AQ268" s="119">
        <v>0.33</v>
      </c>
      <c r="AS268" s="100"/>
      <c r="BC268" s="52"/>
      <c r="CY268" s="34" t="s">
        <v>1132</v>
      </c>
      <c r="CZ268" s="35">
        <v>1.3701553839999998E-3</v>
      </c>
    </row>
    <row r="269" spans="40:104" x14ac:dyDescent="0.3">
      <c r="AN269" s="340">
        <v>451383</v>
      </c>
      <c r="AO269" s="55" t="s">
        <v>83</v>
      </c>
      <c r="AP269" s="55" t="s">
        <v>1133</v>
      </c>
      <c r="AQ269" s="342"/>
      <c r="AS269" s="100"/>
      <c r="BC269" s="52"/>
      <c r="CY269" s="34" t="s">
        <v>1134</v>
      </c>
      <c r="CZ269" s="35">
        <v>3.8727240799999998E-3</v>
      </c>
    </row>
    <row r="270" spans="40:104" x14ac:dyDescent="0.3">
      <c r="AN270" s="340">
        <v>451384</v>
      </c>
      <c r="AO270" s="55" t="s">
        <v>83</v>
      </c>
      <c r="AP270" s="55" t="s">
        <v>1135</v>
      </c>
      <c r="AQ270" s="342"/>
      <c r="AS270" s="100"/>
      <c r="BC270" s="52"/>
      <c r="CY270" s="34" t="s">
        <v>1136</v>
      </c>
      <c r="CZ270" s="35">
        <v>1.0736038127999998E-3</v>
      </c>
    </row>
    <row r="271" spans="40:104" x14ac:dyDescent="0.3">
      <c r="AN271" s="340">
        <v>451558</v>
      </c>
      <c r="AO271" s="55" t="s">
        <v>83</v>
      </c>
      <c r="AP271" s="55" t="s">
        <v>1137</v>
      </c>
      <c r="AQ271" s="119">
        <v>0.33</v>
      </c>
      <c r="AS271" s="100"/>
      <c r="BC271" s="52"/>
      <c r="CY271" s="34" t="s">
        <v>1138</v>
      </c>
      <c r="CZ271" s="35">
        <v>1.2339921825000001E-3</v>
      </c>
    </row>
    <row r="272" spans="40:104" x14ac:dyDescent="0.3">
      <c r="AN272" s="341" t="s">
        <v>1139</v>
      </c>
      <c r="AO272" s="55" t="s">
        <v>83</v>
      </c>
      <c r="AP272" s="55" t="s">
        <v>1140</v>
      </c>
      <c r="AQ272" s="119">
        <v>0.33</v>
      </c>
      <c r="AS272" s="100"/>
      <c r="BC272" s="52"/>
      <c r="CY272" s="34" t="s">
        <v>1141</v>
      </c>
      <c r="CZ272" s="35">
        <v>1.60594840255E-2</v>
      </c>
    </row>
    <row r="273" spans="40:104" x14ac:dyDescent="0.3">
      <c r="AN273" s="341" t="s">
        <v>1142</v>
      </c>
      <c r="AO273" s="55" t="s">
        <v>83</v>
      </c>
      <c r="AP273" s="55" t="s">
        <v>1143</v>
      </c>
      <c r="AQ273" s="342"/>
      <c r="AS273" s="100"/>
      <c r="BC273" s="52"/>
      <c r="CY273" s="34" t="s">
        <v>1144</v>
      </c>
      <c r="CZ273" s="35">
        <v>1.4581176000000001E-2</v>
      </c>
    </row>
    <row r="274" spans="40:104" x14ac:dyDescent="0.3">
      <c r="AN274" s="340" t="s">
        <v>1145</v>
      </c>
      <c r="AO274" s="55" t="s">
        <v>83</v>
      </c>
      <c r="AP274" s="55" t="s">
        <v>1146</v>
      </c>
      <c r="AQ274" s="119">
        <v>0.5</v>
      </c>
      <c r="AS274" s="100"/>
      <c r="BC274" s="52"/>
      <c r="CY274" s="34" t="s">
        <v>1147</v>
      </c>
      <c r="CZ274" s="35">
        <v>1.7239097460000001E-3</v>
      </c>
    </row>
    <row r="275" spans="40:104" x14ac:dyDescent="0.3">
      <c r="AN275" s="341" t="s">
        <v>1148</v>
      </c>
      <c r="AO275" s="55" t="s">
        <v>83</v>
      </c>
      <c r="AP275" s="55" t="s">
        <v>1149</v>
      </c>
      <c r="AQ275" s="119">
        <v>0.5</v>
      </c>
      <c r="AS275" s="100"/>
      <c r="BC275" s="52"/>
      <c r="CY275" s="34" t="s">
        <v>1150</v>
      </c>
      <c r="CZ275" s="35">
        <v>9.4146808500000009E-4</v>
      </c>
    </row>
    <row r="276" spans="40:104" x14ac:dyDescent="0.3">
      <c r="AN276" s="341" t="s">
        <v>928</v>
      </c>
      <c r="AO276" s="55" t="s">
        <v>83</v>
      </c>
      <c r="AP276" s="55" t="s">
        <v>1100</v>
      </c>
      <c r="AQ276" s="119">
        <v>0.5</v>
      </c>
      <c r="AS276" s="100"/>
      <c r="BC276" s="52"/>
      <c r="CY276" s="34" t="s">
        <v>1151</v>
      </c>
      <c r="CZ276" s="35">
        <v>6.8134393599999989E-4</v>
      </c>
    </row>
    <row r="277" spans="40:104" x14ac:dyDescent="0.3">
      <c r="AN277" s="119" t="s">
        <v>1152</v>
      </c>
      <c r="AO277" s="55" t="s">
        <v>83</v>
      </c>
      <c r="AP277" s="55" t="s">
        <v>1153</v>
      </c>
      <c r="AQ277" s="119">
        <v>0.33</v>
      </c>
      <c r="AS277" s="100"/>
      <c r="BC277" s="52"/>
      <c r="CY277" s="34" t="s">
        <v>1154</v>
      </c>
      <c r="CZ277" s="35">
        <v>1.0927430544000001E-3</v>
      </c>
    </row>
    <row r="278" spans="40:104" x14ac:dyDescent="0.3">
      <c r="AN278" s="119" t="s">
        <v>936</v>
      </c>
      <c r="AO278" s="55" t="s">
        <v>83</v>
      </c>
      <c r="AP278" s="55" t="s">
        <v>1155</v>
      </c>
      <c r="AQ278" s="119">
        <v>0.5</v>
      </c>
      <c r="AS278" s="100"/>
      <c r="BC278" s="52"/>
      <c r="CY278" s="34" t="s">
        <v>1156</v>
      </c>
      <c r="CZ278" s="35">
        <v>3.5256080000000004E-3</v>
      </c>
    </row>
    <row r="279" spans="40:104" x14ac:dyDescent="0.3">
      <c r="AN279" s="119">
        <v>421654</v>
      </c>
      <c r="AO279" s="55" t="s">
        <v>83</v>
      </c>
      <c r="AP279" s="55" t="s">
        <v>1157</v>
      </c>
      <c r="AQ279" s="119">
        <v>0.5</v>
      </c>
      <c r="AS279" s="100"/>
      <c r="BC279" s="52"/>
      <c r="CY279" s="34" t="s">
        <v>1158</v>
      </c>
      <c r="CZ279" s="35">
        <v>5.6013803959999997E-3</v>
      </c>
    </row>
    <row r="280" spans="40:104" x14ac:dyDescent="0.3">
      <c r="AN280" s="119">
        <v>421686</v>
      </c>
      <c r="AO280" s="55" t="s">
        <v>83</v>
      </c>
      <c r="AP280" s="55" t="s">
        <v>1159</v>
      </c>
      <c r="AQ280" s="119">
        <v>0.33</v>
      </c>
      <c r="AS280" s="100"/>
      <c r="BC280" s="52"/>
      <c r="CY280" s="34" t="s">
        <v>1160</v>
      </c>
      <c r="CZ280" s="35">
        <v>1.4501340248E-2</v>
      </c>
    </row>
    <row r="281" spans="40:104" x14ac:dyDescent="0.3">
      <c r="AN281" s="119" t="s">
        <v>1161</v>
      </c>
      <c r="AO281" s="55" t="s">
        <v>83</v>
      </c>
      <c r="AP281" s="55" t="s">
        <v>1162</v>
      </c>
      <c r="AQ281" s="119">
        <v>0.5</v>
      </c>
      <c r="AS281" s="100"/>
      <c r="BC281" s="52"/>
      <c r="CY281" s="34" t="s">
        <v>1163</v>
      </c>
      <c r="CZ281" s="35">
        <v>4.603661333333333E-2</v>
      </c>
    </row>
    <row r="282" spans="40:104" x14ac:dyDescent="0.3">
      <c r="AN282" s="119">
        <v>421867</v>
      </c>
      <c r="AO282" s="55" t="s">
        <v>83</v>
      </c>
      <c r="AP282" s="55" t="s">
        <v>1164</v>
      </c>
      <c r="AQ282" s="119">
        <v>0.33</v>
      </c>
      <c r="AS282" s="100"/>
      <c r="BC282" s="52"/>
      <c r="CY282" s="34" t="s">
        <v>1165</v>
      </c>
      <c r="CZ282" s="35">
        <v>3.838359096E-3</v>
      </c>
    </row>
    <row r="283" spans="40:104" x14ac:dyDescent="0.3">
      <c r="AN283" s="119" t="s">
        <v>1166</v>
      </c>
      <c r="AO283" s="55" t="s">
        <v>83</v>
      </c>
      <c r="AP283" s="55" t="s">
        <v>1167</v>
      </c>
      <c r="AQ283" s="119">
        <v>0.5</v>
      </c>
      <c r="AS283" s="100"/>
      <c r="BC283" s="52"/>
      <c r="CY283" s="34" t="s">
        <v>1168</v>
      </c>
      <c r="CZ283" s="35">
        <v>3.9259953200000003E-3</v>
      </c>
    </row>
    <row r="284" spans="40:104" x14ac:dyDescent="0.3">
      <c r="AN284" s="119" t="s">
        <v>1169</v>
      </c>
      <c r="AO284" s="55" t="s">
        <v>83</v>
      </c>
      <c r="AP284" s="55" t="s">
        <v>1170</v>
      </c>
      <c r="AQ284" s="119">
        <v>0.33</v>
      </c>
      <c r="AS284" s="100"/>
      <c r="BC284" s="52"/>
      <c r="CY284" s="34" t="s">
        <v>1171</v>
      </c>
      <c r="CZ284" s="35">
        <v>7.5475154560000002E-3</v>
      </c>
    </row>
    <row r="285" spans="40:104" x14ac:dyDescent="0.3">
      <c r="AN285" s="119" t="s">
        <v>1172</v>
      </c>
      <c r="AO285" s="55" t="s">
        <v>83</v>
      </c>
      <c r="AP285" s="55" t="s">
        <v>1173</v>
      </c>
      <c r="AQ285" s="119">
        <v>1</v>
      </c>
      <c r="AS285" s="100"/>
      <c r="BC285" s="52"/>
      <c r="CY285" s="34" t="s">
        <v>1174</v>
      </c>
      <c r="CZ285" s="35">
        <v>8.3133960000000024E-3</v>
      </c>
    </row>
    <row r="286" spans="40:104" x14ac:dyDescent="0.3">
      <c r="AN286" s="119">
        <v>422003</v>
      </c>
      <c r="AO286" s="55" t="s">
        <v>83</v>
      </c>
      <c r="AP286" s="55" t="s">
        <v>1175</v>
      </c>
      <c r="AQ286" s="119">
        <v>0.33</v>
      </c>
      <c r="AS286" s="100"/>
      <c r="BC286" s="52"/>
      <c r="CY286" s="34" t="s">
        <v>1176</v>
      </c>
      <c r="CZ286" s="35">
        <v>2.3209968722599998E-2</v>
      </c>
    </row>
    <row r="287" spans="40:104" x14ac:dyDescent="0.3">
      <c r="AN287" s="119">
        <v>422007</v>
      </c>
      <c r="AO287" s="55" t="s">
        <v>83</v>
      </c>
      <c r="AP287" s="55" t="s">
        <v>1177</v>
      </c>
      <c r="AQ287" s="119">
        <v>0.5</v>
      </c>
      <c r="AS287" s="100"/>
      <c r="BC287" s="52"/>
      <c r="CY287" s="34" t="s">
        <v>1178</v>
      </c>
      <c r="CZ287" s="35">
        <v>1.7495920323076922E-3</v>
      </c>
    </row>
    <row r="288" spans="40:104" x14ac:dyDescent="0.3">
      <c r="AN288" s="119">
        <v>422016</v>
      </c>
      <c r="AO288" s="55" t="s">
        <v>83</v>
      </c>
      <c r="AP288" s="55" t="s">
        <v>1179</v>
      </c>
      <c r="AQ288" s="119">
        <v>1</v>
      </c>
      <c r="AS288" s="100"/>
      <c r="BC288" s="52"/>
      <c r="CY288" s="34" t="s">
        <v>1180</v>
      </c>
      <c r="CZ288" s="35">
        <v>1.4277168000000002E-2</v>
      </c>
    </row>
    <row r="289" spans="40:104" x14ac:dyDescent="0.3">
      <c r="AN289" s="119" t="s">
        <v>1181</v>
      </c>
      <c r="AO289" s="55" t="s">
        <v>83</v>
      </c>
      <c r="AP289" s="55" t="s">
        <v>1182</v>
      </c>
      <c r="AQ289" s="119">
        <v>0.33</v>
      </c>
      <c r="AS289" s="100"/>
      <c r="BC289" s="52"/>
      <c r="CY289" s="34" t="s">
        <v>1183</v>
      </c>
      <c r="CZ289" s="35">
        <v>1.1288426980483332E-2</v>
      </c>
    </row>
    <row r="290" spans="40:104" x14ac:dyDescent="0.3">
      <c r="AN290" s="119" t="s">
        <v>1184</v>
      </c>
      <c r="AO290" s="55" t="s">
        <v>83</v>
      </c>
      <c r="AP290" s="55" t="s">
        <v>1185</v>
      </c>
      <c r="AQ290" s="119">
        <v>0.33</v>
      </c>
      <c r="AS290" s="100"/>
      <c r="BC290" s="52"/>
      <c r="CY290" s="34" t="s">
        <v>1186</v>
      </c>
      <c r="CZ290" s="35">
        <v>7.3765011839999998E-3</v>
      </c>
    </row>
    <row r="291" spans="40:104" x14ac:dyDescent="0.3">
      <c r="AN291" s="119">
        <v>422088</v>
      </c>
      <c r="AO291" s="55" t="s">
        <v>83</v>
      </c>
      <c r="AP291" s="55" t="s">
        <v>1187</v>
      </c>
      <c r="AQ291" s="119">
        <v>0.33</v>
      </c>
      <c r="AS291" s="100"/>
      <c r="BC291" s="52"/>
      <c r="CY291" s="34" t="s">
        <v>1188</v>
      </c>
      <c r="CZ291" s="35">
        <v>1.7806175018687503E-2</v>
      </c>
    </row>
    <row r="292" spans="40:104" x14ac:dyDescent="0.3">
      <c r="AN292" s="119" t="s">
        <v>1189</v>
      </c>
      <c r="AO292" s="55" t="s">
        <v>83</v>
      </c>
      <c r="AP292" s="55" t="s">
        <v>1190</v>
      </c>
      <c r="AQ292" s="119">
        <v>0.33</v>
      </c>
      <c r="AS292" s="100"/>
      <c r="BC292" s="52"/>
      <c r="CY292" s="34" t="s">
        <v>1191</v>
      </c>
      <c r="CZ292" s="35">
        <v>1.1558089088000002E-2</v>
      </c>
    </row>
    <row r="293" spans="40:104" x14ac:dyDescent="0.3">
      <c r="AN293" s="119" t="s">
        <v>1192</v>
      </c>
      <c r="AO293" s="55" t="s">
        <v>83</v>
      </c>
      <c r="AP293" s="55" t="s">
        <v>1193</v>
      </c>
      <c r="AQ293" s="119">
        <v>0.33</v>
      </c>
      <c r="AS293" s="100"/>
      <c r="BC293" s="52"/>
      <c r="CY293" s="34" t="s">
        <v>1194</v>
      </c>
      <c r="CZ293" s="35">
        <v>4.0510537600000002E-3</v>
      </c>
    </row>
    <row r="294" spans="40:104" x14ac:dyDescent="0.3">
      <c r="AN294" s="119">
        <v>422185</v>
      </c>
      <c r="AO294" s="55" t="s">
        <v>83</v>
      </c>
      <c r="AP294" s="55" t="s">
        <v>1195</v>
      </c>
      <c r="AQ294" s="119">
        <v>0.75</v>
      </c>
      <c r="AS294" s="100"/>
      <c r="BC294" s="52"/>
      <c r="CY294" s="34" t="s">
        <v>1196</v>
      </c>
      <c r="CZ294" s="35">
        <v>5.5436825599999991E-4</v>
      </c>
    </row>
    <row r="295" spans="40:104" x14ac:dyDescent="0.3">
      <c r="AN295" s="119" t="s">
        <v>1197</v>
      </c>
      <c r="AO295" s="55" t="s">
        <v>83</v>
      </c>
      <c r="AP295" s="55" t="s">
        <v>1198</v>
      </c>
      <c r="AQ295" s="119">
        <v>0.5</v>
      </c>
      <c r="AS295" s="100"/>
      <c r="BC295" s="52"/>
      <c r="CY295" s="34" t="s">
        <v>1199</v>
      </c>
      <c r="CZ295" s="35">
        <v>2.2324366666666667E-3</v>
      </c>
    </row>
    <row r="296" spans="40:104" x14ac:dyDescent="0.3">
      <c r="AN296" s="119">
        <v>422262</v>
      </c>
      <c r="AO296" s="55" t="s">
        <v>83</v>
      </c>
      <c r="AP296" s="55" t="s">
        <v>1200</v>
      </c>
      <c r="AQ296" s="119">
        <v>0.33</v>
      </c>
      <c r="AS296" s="100"/>
      <c r="BC296" s="52"/>
      <c r="CY296" s="34" t="s">
        <v>1201</v>
      </c>
      <c r="CZ296" s="35">
        <v>3.2698020127999998E-3</v>
      </c>
    </row>
    <row r="297" spans="40:104" x14ac:dyDescent="0.3">
      <c r="AN297" s="119">
        <v>422297</v>
      </c>
      <c r="AO297" s="55" t="s">
        <v>83</v>
      </c>
      <c r="AP297" s="55" t="s">
        <v>1202</v>
      </c>
      <c r="AQ297" s="119">
        <v>0.5</v>
      </c>
      <c r="AS297" s="100"/>
      <c r="BC297" s="52"/>
      <c r="CY297" s="34" t="s">
        <v>1203</v>
      </c>
      <c r="CZ297" s="35">
        <v>2.9356272653333328E-2</v>
      </c>
    </row>
    <row r="298" spans="40:104" x14ac:dyDescent="0.3">
      <c r="AN298" s="343" t="s">
        <v>1204</v>
      </c>
      <c r="AO298" s="55" t="s">
        <v>83</v>
      </c>
      <c r="AP298" s="55" t="s">
        <v>1205</v>
      </c>
      <c r="AQ298" s="119">
        <v>0.5</v>
      </c>
      <c r="AS298" s="100"/>
      <c r="BC298" s="52"/>
      <c r="CY298" s="34" t="s">
        <v>1206</v>
      </c>
      <c r="CZ298" s="35">
        <v>3.5223912405333334E-3</v>
      </c>
    </row>
    <row r="299" spans="40:104" x14ac:dyDescent="0.3">
      <c r="AN299" s="343" t="s">
        <v>1207</v>
      </c>
      <c r="AO299" s="55" t="s">
        <v>83</v>
      </c>
      <c r="AP299" s="55" t="s">
        <v>1208</v>
      </c>
      <c r="AQ299" s="119">
        <v>0.5</v>
      </c>
      <c r="AS299" s="100"/>
      <c r="BC299" s="52"/>
      <c r="CY299" s="34" t="s">
        <v>1209</v>
      </c>
      <c r="CZ299" s="35">
        <v>1.1044643584000001E-3</v>
      </c>
    </row>
    <row r="300" spans="40:104" x14ac:dyDescent="0.3">
      <c r="AN300" s="119">
        <v>422420</v>
      </c>
      <c r="AO300" s="55" t="s">
        <v>83</v>
      </c>
      <c r="AP300" s="55" t="s">
        <v>1210</v>
      </c>
      <c r="AQ300" s="119">
        <v>0.5</v>
      </c>
      <c r="AS300" s="100"/>
      <c r="BC300" s="52"/>
      <c r="CY300" s="34" t="s">
        <v>1211</v>
      </c>
      <c r="CZ300" s="35">
        <v>2.3083468640000002E-3</v>
      </c>
    </row>
    <row r="301" spans="40:104" x14ac:dyDescent="0.3">
      <c r="AN301" s="119" t="s">
        <v>1212</v>
      </c>
      <c r="AO301" s="55" t="s">
        <v>83</v>
      </c>
      <c r="AP301" s="55" t="s">
        <v>1213</v>
      </c>
      <c r="AQ301" s="119">
        <v>0.75</v>
      </c>
      <c r="AS301" s="100"/>
      <c r="BC301" s="52"/>
      <c r="CY301" s="34" t="s">
        <v>1214</v>
      </c>
      <c r="CZ301" s="35">
        <v>3.8117442019999998E-4</v>
      </c>
    </row>
    <row r="302" spans="40:104" x14ac:dyDescent="0.3">
      <c r="AN302" s="119">
        <v>422470</v>
      </c>
      <c r="AO302" s="55" t="s">
        <v>83</v>
      </c>
      <c r="AP302" s="55" t="s">
        <v>1215</v>
      </c>
      <c r="AQ302" s="119">
        <v>0.33</v>
      </c>
      <c r="AS302" s="100"/>
      <c r="BC302" s="52"/>
      <c r="CY302" s="34" t="s">
        <v>1216</v>
      </c>
      <c r="CZ302" s="35">
        <v>1.1953585376000002E-3</v>
      </c>
    </row>
    <row r="303" spans="40:104" x14ac:dyDescent="0.3">
      <c r="AN303" s="119">
        <v>422480</v>
      </c>
      <c r="AO303" s="55" t="s">
        <v>83</v>
      </c>
      <c r="AP303" s="55" t="s">
        <v>1217</v>
      </c>
      <c r="AQ303" s="119">
        <v>0.5</v>
      </c>
      <c r="AS303" s="100"/>
      <c r="BC303" s="52"/>
      <c r="CY303" s="34" t="s">
        <v>1218</v>
      </c>
      <c r="CZ303" s="35">
        <v>2.0782886424650003E-2</v>
      </c>
    </row>
    <row r="304" spans="40:104" x14ac:dyDescent="0.3">
      <c r="AN304" s="119">
        <v>422481</v>
      </c>
      <c r="AO304" s="55" t="s">
        <v>83</v>
      </c>
      <c r="AP304" s="55" t="s">
        <v>1219</v>
      </c>
      <c r="AQ304" s="119">
        <v>0.5</v>
      </c>
      <c r="AS304" s="100"/>
      <c r="BC304" s="52"/>
      <c r="CY304" s="34" t="s">
        <v>1220</v>
      </c>
      <c r="CZ304" s="35">
        <v>0.45615192016</v>
      </c>
    </row>
    <row r="305" spans="40:104" x14ac:dyDescent="0.3">
      <c r="AN305" s="119">
        <v>453195</v>
      </c>
      <c r="AO305" s="55" t="s">
        <v>83</v>
      </c>
      <c r="AP305" s="55" t="s">
        <v>1221</v>
      </c>
      <c r="AQ305" s="119">
        <v>1</v>
      </c>
      <c r="AS305" s="100"/>
      <c r="BC305" s="52"/>
      <c r="CY305" s="34" t="s">
        <v>1222</v>
      </c>
      <c r="CZ305" s="35">
        <v>7.125280576E-4</v>
      </c>
    </row>
    <row r="306" spans="40:104" x14ac:dyDescent="0.3">
      <c r="AN306" s="344" t="s">
        <v>1223</v>
      </c>
      <c r="AO306" s="55" t="s">
        <v>83</v>
      </c>
      <c r="AP306" s="55" t="s">
        <v>1224</v>
      </c>
      <c r="AQ306" s="119">
        <v>0.33</v>
      </c>
      <c r="AS306" s="100"/>
      <c r="BC306" s="52"/>
      <c r="CY306" s="34" t="s">
        <v>1225</v>
      </c>
      <c r="CZ306" s="35">
        <v>1.4617304E-3</v>
      </c>
    </row>
    <row r="307" spans="40:104" x14ac:dyDescent="0.3">
      <c r="AN307" s="119">
        <v>422443</v>
      </c>
      <c r="AO307" s="55" t="s">
        <v>83</v>
      </c>
      <c r="AP307" s="55" t="s">
        <v>1226</v>
      </c>
      <c r="AQ307" s="342" t="s">
        <v>1227</v>
      </c>
      <c r="AS307" s="100"/>
      <c r="BC307" s="52"/>
      <c r="CY307" s="34" t="s">
        <v>1228</v>
      </c>
      <c r="CZ307" s="35">
        <v>7.2369621600000007E-3</v>
      </c>
    </row>
    <row r="308" spans="40:104" x14ac:dyDescent="0.3">
      <c r="AN308" s="119">
        <v>422444</v>
      </c>
      <c r="AO308" s="55" t="s">
        <v>83</v>
      </c>
      <c r="AP308" s="55" t="s">
        <v>1229</v>
      </c>
      <c r="AQ308" s="342" t="s">
        <v>1227</v>
      </c>
      <c r="AS308" s="100"/>
      <c r="BC308" s="52"/>
      <c r="CY308" s="34" t="s">
        <v>1230</v>
      </c>
      <c r="CZ308" s="35">
        <v>5.8061328000000002E-2</v>
      </c>
    </row>
    <row r="309" spans="40:104" x14ac:dyDescent="0.3">
      <c r="AN309" s="119">
        <v>422601</v>
      </c>
      <c r="AO309" s="55" t="s">
        <v>83</v>
      </c>
      <c r="AP309" s="55" t="s">
        <v>1231</v>
      </c>
      <c r="AQ309" s="342" t="s">
        <v>1227</v>
      </c>
      <c r="AS309" s="100"/>
      <c r="BC309" s="52"/>
      <c r="CY309" s="34" t="s">
        <v>1232</v>
      </c>
      <c r="CZ309" s="35">
        <v>0.59215493129999996</v>
      </c>
    </row>
    <row r="310" spans="40:104" x14ac:dyDescent="0.3">
      <c r="AN310" s="119">
        <v>422903</v>
      </c>
      <c r="AO310" s="55" t="s">
        <v>83</v>
      </c>
      <c r="AP310" s="55" t="s">
        <v>1233</v>
      </c>
      <c r="AQ310" s="342" t="s">
        <v>1227</v>
      </c>
      <c r="AS310" s="100"/>
      <c r="BC310" s="52"/>
      <c r="CY310" s="34" t="s">
        <v>1234</v>
      </c>
      <c r="CZ310" s="35">
        <v>0.27231947053399996</v>
      </c>
    </row>
    <row r="311" spans="40:104" x14ac:dyDescent="0.3">
      <c r="AN311" s="344" t="s">
        <v>1235</v>
      </c>
      <c r="AO311" s="55" t="s">
        <v>83</v>
      </c>
      <c r="AP311" s="55" t="s">
        <v>1236</v>
      </c>
      <c r="AQ311" s="119">
        <v>0.75</v>
      </c>
      <c r="AS311" s="100"/>
      <c r="BC311" s="52"/>
      <c r="CY311" s="34" t="s">
        <v>1237</v>
      </c>
      <c r="CZ311" s="35">
        <v>1.5699056568000001E-2</v>
      </c>
    </row>
    <row r="312" spans="40:104" x14ac:dyDescent="0.3">
      <c r="AN312" s="117"/>
      <c r="AO312" s="118"/>
      <c r="AP312" s="119"/>
      <c r="AQ312" s="120"/>
      <c r="AS312" s="100"/>
      <c r="BC312" s="52"/>
      <c r="CY312" s="34" t="s">
        <v>1238</v>
      </c>
      <c r="CZ312" s="35">
        <v>1.578501980817857E-2</v>
      </c>
    </row>
    <row r="313" spans="40:104" x14ac:dyDescent="0.3">
      <c r="AN313" s="117"/>
      <c r="AO313" s="118"/>
      <c r="AP313" s="119"/>
      <c r="AQ313" s="120"/>
      <c r="AS313" s="100"/>
      <c r="BC313" s="52"/>
      <c r="CY313" s="34" t="s">
        <v>1239</v>
      </c>
      <c r="CZ313" s="35">
        <v>0.12485172670300002</v>
      </c>
    </row>
    <row r="314" spans="40:104" x14ac:dyDescent="0.3">
      <c r="AN314" s="117"/>
      <c r="AO314" s="118"/>
      <c r="AP314" s="119"/>
      <c r="AQ314" s="120"/>
      <c r="AS314" s="100"/>
      <c r="BC314" s="52"/>
      <c r="CY314" s="34" t="s">
        <v>1240</v>
      </c>
      <c r="CZ314" s="35">
        <v>6.3156765439999999E-4</v>
      </c>
    </row>
    <row r="315" spans="40:104" x14ac:dyDescent="0.3">
      <c r="AN315" s="117"/>
      <c r="AO315" s="118"/>
      <c r="AP315" s="119"/>
      <c r="AQ315" s="120"/>
      <c r="AS315" s="100"/>
      <c r="BC315" s="52"/>
      <c r="CY315" s="34" t="s">
        <v>1241</v>
      </c>
      <c r="CZ315" s="35">
        <v>6.0174399999999996E-2</v>
      </c>
    </row>
    <row r="316" spans="40:104" x14ac:dyDescent="0.3">
      <c r="AN316" s="117"/>
      <c r="AO316" s="118"/>
      <c r="AP316" s="119"/>
      <c r="AQ316" s="120"/>
      <c r="AS316" s="100"/>
      <c r="BC316" s="52"/>
      <c r="CY316" s="34" t="s">
        <v>1242</v>
      </c>
      <c r="CZ316" s="35">
        <v>5.1830000000000001E-3</v>
      </c>
    </row>
    <row r="317" spans="40:104" x14ac:dyDescent="0.3">
      <c r="AN317" s="117"/>
      <c r="AO317" s="118"/>
      <c r="AP317" s="119"/>
      <c r="AQ317" s="120"/>
      <c r="AS317" s="100"/>
      <c r="BC317" s="52"/>
      <c r="CY317" s="34" t="s">
        <v>1243</v>
      </c>
      <c r="CZ317" s="35">
        <v>12.812680640000002</v>
      </c>
    </row>
    <row r="318" spans="40:104" x14ac:dyDescent="0.3">
      <c r="AN318" s="117"/>
      <c r="AO318" s="118"/>
      <c r="AP318" s="119"/>
      <c r="AQ318" s="120"/>
      <c r="AS318" s="100"/>
      <c r="BC318" s="52"/>
      <c r="CY318" s="34" t="s">
        <v>1244</v>
      </c>
      <c r="CZ318" s="35">
        <v>6.3640403200000009</v>
      </c>
    </row>
    <row r="319" spans="40:104" x14ac:dyDescent="0.3">
      <c r="AN319" s="117"/>
      <c r="AO319" s="118"/>
      <c r="AP319" s="119"/>
      <c r="AQ319" s="120"/>
      <c r="AS319" s="100"/>
      <c r="BC319" s="52"/>
      <c r="CY319" s="34" t="s">
        <v>1245</v>
      </c>
      <c r="CZ319" s="35">
        <v>0.14137871567999999</v>
      </c>
    </row>
    <row r="320" spans="40:104" x14ac:dyDescent="0.3">
      <c r="AN320" s="117"/>
      <c r="AO320" s="118"/>
      <c r="AP320" s="119"/>
      <c r="AQ320" s="120"/>
      <c r="AS320" s="100"/>
      <c r="BC320" s="52"/>
      <c r="CY320" s="34" t="s">
        <v>1246</v>
      </c>
      <c r="CZ320" s="35">
        <v>2.35725E-3</v>
      </c>
    </row>
    <row r="321" spans="40:104" x14ac:dyDescent="0.3">
      <c r="AN321" s="117"/>
      <c r="AO321" s="118"/>
      <c r="AP321" s="119"/>
      <c r="AQ321" s="120"/>
      <c r="AS321" s="100"/>
      <c r="BC321" s="52"/>
      <c r="CY321" s="34" t="s">
        <v>1247</v>
      </c>
      <c r="CZ321" s="35">
        <v>6.0174399999999996E-2</v>
      </c>
    </row>
    <row r="322" spans="40:104" x14ac:dyDescent="0.3">
      <c r="AN322" s="117"/>
      <c r="AO322" s="118"/>
      <c r="AP322" s="119"/>
      <c r="AQ322" s="120"/>
      <c r="AS322" s="100"/>
      <c r="BC322" s="52"/>
      <c r="CY322" s="34" t="s">
        <v>1248</v>
      </c>
      <c r="CZ322" s="35">
        <v>0.11217584722222222</v>
      </c>
    </row>
    <row r="323" spans="40:104" x14ac:dyDescent="0.3">
      <c r="AN323" s="117"/>
      <c r="AO323" s="118"/>
      <c r="AP323" s="119"/>
      <c r="AQ323" s="120"/>
      <c r="AS323" s="100"/>
      <c r="BC323" s="52"/>
      <c r="CY323" s="34" t="s">
        <v>1249</v>
      </c>
      <c r="CZ323" s="35">
        <v>0.49774309999999999</v>
      </c>
    </row>
    <row r="324" spans="40:104" x14ac:dyDescent="0.3">
      <c r="AN324" s="117"/>
      <c r="AO324" s="118"/>
      <c r="AP324" s="119"/>
      <c r="AQ324" s="120"/>
      <c r="AS324" s="100"/>
      <c r="BC324" s="52"/>
      <c r="CY324" s="34" t="s">
        <v>1250</v>
      </c>
      <c r="CZ324" s="35">
        <v>7.7835000000000001E-2</v>
      </c>
    </row>
    <row r="325" spans="40:104" x14ac:dyDescent="0.3">
      <c r="AN325" s="117"/>
      <c r="AO325" s="118"/>
      <c r="AP325" s="119"/>
      <c r="AQ325" s="120"/>
      <c r="AS325" s="100"/>
      <c r="BC325" s="52"/>
      <c r="CY325" s="34" t="s">
        <v>1251</v>
      </c>
      <c r="CZ325" s="35">
        <v>4.8839599999999997E-2</v>
      </c>
    </row>
    <row r="326" spans="40:104" x14ac:dyDescent="0.3">
      <c r="AN326" s="117"/>
      <c r="AO326" s="118"/>
      <c r="AP326" s="119"/>
      <c r="AQ326" s="120"/>
      <c r="AS326" s="100"/>
      <c r="BC326" s="52"/>
      <c r="CY326" s="34" t="s">
        <v>1252</v>
      </c>
      <c r="CZ326" s="35">
        <v>0.12424012000000001</v>
      </c>
    </row>
    <row r="327" spans="40:104" x14ac:dyDescent="0.3">
      <c r="AN327" s="117"/>
      <c r="AO327" s="118"/>
      <c r="AP327" s="119"/>
      <c r="AQ327" s="120"/>
      <c r="AS327" s="100"/>
      <c r="BC327" s="52"/>
      <c r="CY327" s="34" t="s">
        <v>1253</v>
      </c>
      <c r="CZ327" s="35">
        <v>2.4256731399999999E-2</v>
      </c>
    </row>
    <row r="328" spans="40:104" x14ac:dyDescent="0.3">
      <c r="AN328" s="117"/>
      <c r="AO328" s="118"/>
      <c r="AP328" s="119"/>
      <c r="AQ328" s="120"/>
      <c r="AS328" s="100"/>
      <c r="BC328" s="52"/>
      <c r="CY328" s="34" t="s">
        <v>1254</v>
      </c>
      <c r="CZ328" s="35">
        <v>1.4629176999999998E-2</v>
      </c>
    </row>
    <row r="329" spans="40:104" x14ac:dyDescent="0.3">
      <c r="AN329" s="117"/>
      <c r="AO329" s="118"/>
      <c r="AP329" s="119"/>
      <c r="AQ329" s="120"/>
      <c r="AS329" s="100"/>
      <c r="BC329" s="52"/>
      <c r="CY329" s="34" t="s">
        <v>1255</v>
      </c>
      <c r="CZ329" s="35">
        <v>0.21731695717999999</v>
      </c>
    </row>
    <row r="330" spans="40:104" x14ac:dyDescent="0.3">
      <c r="AN330" s="117"/>
      <c r="AO330" s="118"/>
      <c r="AP330" s="119"/>
      <c r="AQ330" s="120"/>
      <c r="AS330" s="100"/>
      <c r="BC330" s="52"/>
      <c r="CY330" s="34" t="s">
        <v>1256</v>
      </c>
      <c r="CZ330" s="35">
        <v>1.5631682559999999E-2</v>
      </c>
    </row>
    <row r="331" spans="40:104" x14ac:dyDescent="0.3">
      <c r="AN331" s="117"/>
      <c r="AO331" s="118"/>
      <c r="AP331" s="119"/>
      <c r="AQ331" s="120"/>
      <c r="AS331" s="100"/>
      <c r="BC331" s="52"/>
      <c r="CY331" s="34" t="s">
        <v>1257</v>
      </c>
      <c r="CZ331" s="35">
        <v>5.8020258394000004E-2</v>
      </c>
    </row>
    <row r="332" spans="40:104" x14ac:dyDescent="0.3">
      <c r="AN332" s="117"/>
      <c r="AO332" s="118"/>
      <c r="AP332" s="119"/>
      <c r="AQ332" s="120"/>
      <c r="AS332" s="100"/>
      <c r="BC332" s="52"/>
      <c r="CY332" s="34" t="s">
        <v>1258</v>
      </c>
      <c r="CZ332" s="35">
        <v>0.16371335465499998</v>
      </c>
    </row>
    <row r="333" spans="40:104" x14ac:dyDescent="0.3">
      <c r="AN333" s="117"/>
      <c r="AO333" s="118"/>
      <c r="AP333" s="119"/>
      <c r="AQ333" s="120"/>
      <c r="AS333" s="100"/>
      <c r="BC333" s="52"/>
      <c r="CY333" s="34" t="s">
        <v>1259</v>
      </c>
      <c r="CZ333" s="35">
        <v>1.013218E-3</v>
      </c>
    </row>
    <row r="334" spans="40:104" x14ac:dyDescent="0.3">
      <c r="AN334" s="117"/>
      <c r="AO334" s="118"/>
      <c r="AP334" s="119"/>
      <c r="AQ334" s="120"/>
      <c r="AS334" s="100"/>
      <c r="BC334" s="52"/>
      <c r="CY334" s="34" t="s">
        <v>1260</v>
      </c>
      <c r="CZ334" s="35">
        <v>2.9638579744000002E-3</v>
      </c>
    </row>
    <row r="335" spans="40:104" x14ac:dyDescent="0.3">
      <c r="AN335" s="117"/>
      <c r="AO335" s="118"/>
      <c r="AP335" s="119"/>
      <c r="AQ335" s="219"/>
      <c r="AS335" s="100"/>
      <c r="BC335" s="52"/>
      <c r="CY335" s="34" t="s">
        <v>1261</v>
      </c>
      <c r="CZ335" s="35">
        <v>5.0402880253333324E-2</v>
      </c>
    </row>
    <row r="336" spans="40:104" x14ac:dyDescent="0.3">
      <c r="AN336" s="117"/>
      <c r="AO336" s="118"/>
      <c r="AP336" s="119"/>
      <c r="AQ336" s="120"/>
      <c r="AS336" s="100"/>
      <c r="BC336" s="52"/>
      <c r="CY336" s="34" t="s">
        <v>1262</v>
      </c>
      <c r="CZ336" s="35">
        <v>1.7781663350855556E-2</v>
      </c>
    </row>
    <row r="337" spans="40:104" x14ac:dyDescent="0.3">
      <c r="AN337" s="117"/>
      <c r="AO337" s="118"/>
      <c r="AP337" s="119"/>
      <c r="AQ337" s="120"/>
      <c r="AS337" s="100"/>
      <c r="BC337" s="52"/>
      <c r="CY337" s="34" t="s">
        <v>1263</v>
      </c>
      <c r="CZ337" s="35">
        <v>1.3816036528E-2</v>
      </c>
    </row>
    <row r="338" spans="40:104" x14ac:dyDescent="0.3">
      <c r="AN338" s="117"/>
      <c r="AO338" s="118"/>
      <c r="AP338" s="119"/>
      <c r="AQ338" s="219"/>
      <c r="AS338" s="100"/>
      <c r="BC338" s="52"/>
      <c r="CY338" s="34" t="s">
        <v>1264</v>
      </c>
      <c r="CZ338" s="35">
        <v>1.4151235202666666E-2</v>
      </c>
    </row>
    <row r="339" spans="40:104" x14ac:dyDescent="0.3">
      <c r="AN339" s="117"/>
      <c r="AO339" s="118"/>
      <c r="AP339" s="119"/>
      <c r="AQ339" s="120"/>
      <c r="AS339" s="100"/>
      <c r="BC339" s="52"/>
      <c r="CY339" s="34" t="s">
        <v>1265</v>
      </c>
      <c r="CZ339" s="35">
        <v>8.3352792544000003E-3</v>
      </c>
    </row>
    <row r="340" spans="40:104" x14ac:dyDescent="0.3">
      <c r="AN340" s="117"/>
      <c r="AO340" s="118"/>
      <c r="AP340" s="119"/>
      <c r="AQ340" s="120"/>
      <c r="AS340" s="100"/>
      <c r="BC340" s="52"/>
      <c r="CY340" s="34" t="s">
        <v>1266</v>
      </c>
      <c r="CZ340" s="35">
        <v>1.8556814207999997E-2</v>
      </c>
    </row>
    <row r="341" spans="40:104" x14ac:dyDescent="0.3">
      <c r="AN341" s="117"/>
      <c r="AO341" s="118"/>
      <c r="AP341" s="119"/>
      <c r="AQ341" s="120"/>
      <c r="AS341" s="100"/>
      <c r="BC341" s="52"/>
      <c r="CY341" s="34" t="s">
        <v>1267</v>
      </c>
      <c r="CZ341" s="35">
        <v>4.5197788479999996E-3</v>
      </c>
    </row>
    <row r="342" spans="40:104" x14ac:dyDescent="0.3">
      <c r="AN342" s="117"/>
      <c r="AO342" s="118"/>
      <c r="AP342" s="119"/>
      <c r="AQ342" s="120"/>
      <c r="AS342" s="100"/>
      <c r="BC342" s="52"/>
      <c r="CY342" s="34" t="s">
        <v>1268</v>
      </c>
      <c r="CZ342" s="35">
        <v>3.2983109236666662E-2</v>
      </c>
    </row>
    <row r="343" spans="40:104" x14ac:dyDescent="0.3">
      <c r="AN343" s="117"/>
      <c r="AO343" s="118"/>
      <c r="AP343" s="119"/>
      <c r="AQ343" s="120"/>
      <c r="AS343" s="100"/>
      <c r="BC343" s="52"/>
      <c r="CY343" s="34" t="s">
        <v>1269</v>
      </c>
      <c r="CZ343" s="35">
        <v>2.0782026551376474E-2</v>
      </c>
    </row>
    <row r="344" spans="40:104" x14ac:dyDescent="0.3">
      <c r="AN344" s="117"/>
      <c r="AO344" s="118"/>
      <c r="AP344" s="119"/>
      <c r="AQ344" s="120"/>
      <c r="AS344" s="100"/>
      <c r="BC344" s="52"/>
      <c r="CY344" s="34" t="s">
        <v>1270</v>
      </c>
      <c r="CZ344" s="35">
        <v>7.4399159999999995E-3</v>
      </c>
    </row>
    <row r="345" spans="40:104" x14ac:dyDescent="0.3">
      <c r="AN345" s="117"/>
      <c r="AO345" s="118"/>
      <c r="AP345" s="119"/>
      <c r="AQ345" s="120"/>
      <c r="AS345" s="100"/>
      <c r="BC345" s="52"/>
      <c r="CY345" s="34" t="s">
        <v>1271</v>
      </c>
      <c r="CZ345" s="35">
        <v>1.3319907527999999E-2</v>
      </c>
    </row>
    <row r="346" spans="40:104" x14ac:dyDescent="0.3">
      <c r="AN346" s="117"/>
      <c r="AO346" s="118"/>
      <c r="AP346" s="119"/>
      <c r="AQ346" s="120"/>
      <c r="AS346" s="100"/>
      <c r="BC346" s="52"/>
      <c r="CY346" s="34" t="s">
        <v>1272</v>
      </c>
      <c r="CZ346" s="35">
        <v>8.8989158303999991E-3</v>
      </c>
    </row>
    <row r="347" spans="40:104" x14ac:dyDescent="0.3">
      <c r="AN347" s="117"/>
      <c r="AO347" s="118"/>
      <c r="AP347" s="119"/>
      <c r="AQ347" s="120"/>
      <c r="AS347" s="100"/>
      <c r="BC347" s="52"/>
      <c r="CY347" s="34" t="s">
        <v>1273</v>
      </c>
      <c r="CZ347" s="35">
        <v>9.3002099999999997E-3</v>
      </c>
    </row>
    <row r="348" spans="40:104" x14ac:dyDescent="0.3">
      <c r="AN348" s="117"/>
      <c r="AO348" s="118"/>
      <c r="AP348" s="119"/>
      <c r="AQ348" s="120"/>
      <c r="AS348" s="100"/>
      <c r="BC348" s="52"/>
      <c r="CY348" s="34" t="s">
        <v>1274</v>
      </c>
      <c r="CZ348" s="35">
        <v>9.5956659999999992E-3</v>
      </c>
    </row>
    <row r="349" spans="40:104" x14ac:dyDescent="0.3">
      <c r="AN349" s="117"/>
      <c r="AO349" s="118"/>
      <c r="AP349" s="119"/>
      <c r="AQ349" s="120"/>
      <c r="AS349" s="100"/>
      <c r="BC349" s="52"/>
      <c r="CY349" s="34" t="s">
        <v>1275</v>
      </c>
      <c r="CZ349" s="35">
        <v>5.0869819683250002E-2</v>
      </c>
    </row>
    <row r="350" spans="40:104" x14ac:dyDescent="0.3">
      <c r="AN350" s="117"/>
      <c r="AO350" s="118"/>
      <c r="AP350" s="119"/>
      <c r="AQ350" s="219"/>
      <c r="AS350" s="100"/>
      <c r="BC350" s="52"/>
      <c r="CY350" s="34" t="s">
        <v>1276</v>
      </c>
      <c r="CZ350" s="35">
        <v>7.25065E-4</v>
      </c>
    </row>
    <row r="351" spans="40:104" x14ac:dyDescent="0.3">
      <c r="AN351" s="117"/>
      <c r="AO351" s="118"/>
      <c r="AP351" s="119"/>
      <c r="AQ351" s="120"/>
      <c r="AS351" s="100"/>
      <c r="BC351" s="52"/>
      <c r="CY351" s="34" t="s">
        <v>1277</v>
      </c>
      <c r="CZ351" s="35">
        <v>0.20802244320000002</v>
      </c>
    </row>
    <row r="352" spans="40:104" x14ac:dyDescent="0.3">
      <c r="AN352" s="117"/>
      <c r="AO352" s="118"/>
      <c r="AP352" s="119"/>
      <c r="AQ352" s="120"/>
      <c r="AS352" s="100"/>
      <c r="BC352" s="52"/>
      <c r="CY352" s="34" t="s">
        <v>1278</v>
      </c>
      <c r="CZ352" s="35">
        <v>3.5025375412000001E-2</v>
      </c>
    </row>
    <row r="353" spans="40:104" x14ac:dyDescent="0.3">
      <c r="AN353" s="117"/>
      <c r="AO353" s="118"/>
      <c r="AP353" s="119"/>
      <c r="AQ353" s="120"/>
      <c r="AS353" s="100"/>
      <c r="BC353" s="52"/>
      <c r="CY353" s="34" t="s">
        <v>1279</v>
      </c>
      <c r="CZ353" s="35">
        <v>5.0477678544000003E-2</v>
      </c>
    </row>
    <row r="354" spans="40:104" x14ac:dyDescent="0.3">
      <c r="AN354" s="117"/>
      <c r="AO354" s="118"/>
      <c r="AP354" s="119"/>
      <c r="AQ354" s="120"/>
      <c r="AS354" s="100"/>
      <c r="BC354" s="52"/>
      <c r="CY354" s="34" t="s">
        <v>1280</v>
      </c>
      <c r="CZ354" s="35">
        <v>5.7834117503999999E-2</v>
      </c>
    </row>
    <row r="355" spans="40:104" x14ac:dyDescent="0.3">
      <c r="AN355" s="117"/>
      <c r="AO355" s="118"/>
      <c r="AP355" s="119"/>
      <c r="AQ355" s="120"/>
      <c r="AS355" s="100"/>
      <c r="BC355" s="52"/>
      <c r="CY355" s="34" t="s">
        <v>1281</v>
      </c>
      <c r="CZ355" s="35">
        <v>6.1284512056000003E-2</v>
      </c>
    </row>
    <row r="356" spans="40:104" x14ac:dyDescent="0.3">
      <c r="AN356" s="117"/>
      <c r="AO356" s="118"/>
      <c r="AP356" s="119"/>
      <c r="AQ356" s="120"/>
      <c r="AS356" s="100"/>
      <c r="BC356" s="52"/>
      <c r="CY356" s="34" t="s">
        <v>1282</v>
      </c>
      <c r="CZ356" s="35">
        <v>4.2349473453399998E-4</v>
      </c>
    </row>
    <row r="357" spans="40:104" x14ac:dyDescent="0.3">
      <c r="AN357" s="117"/>
      <c r="AO357" s="118"/>
      <c r="AP357" s="119"/>
      <c r="AQ357" s="120"/>
      <c r="AS357" s="100"/>
      <c r="BC357" s="52"/>
      <c r="CY357" s="34" t="s">
        <v>1283</v>
      </c>
      <c r="CZ357" s="35">
        <v>8.1368308799999991E-4</v>
      </c>
    </row>
    <row r="358" spans="40:104" x14ac:dyDescent="0.3">
      <c r="AN358" s="117"/>
      <c r="AO358" s="118"/>
      <c r="AP358" s="119"/>
      <c r="AQ358" s="120"/>
      <c r="AS358" s="100"/>
      <c r="BC358" s="52"/>
      <c r="CY358" s="34" t="s">
        <v>1284</v>
      </c>
      <c r="CZ358" s="35">
        <v>3.4997095079999999E-2</v>
      </c>
    </row>
    <row r="359" spans="40:104" x14ac:dyDescent="0.3">
      <c r="AN359" s="117"/>
      <c r="AO359" s="118"/>
      <c r="AP359" s="119"/>
      <c r="AQ359" s="120"/>
      <c r="AS359" s="100"/>
      <c r="BC359" s="52"/>
      <c r="CY359" s="34" t="s">
        <v>1285</v>
      </c>
      <c r="CZ359" s="35">
        <v>1.0354358312E-2</v>
      </c>
    </row>
    <row r="360" spans="40:104" x14ac:dyDescent="0.3">
      <c r="AN360" s="117"/>
      <c r="AO360" s="118"/>
      <c r="AP360" s="119"/>
      <c r="AQ360" s="120"/>
      <c r="AS360" s="100"/>
      <c r="BC360" s="52"/>
      <c r="CY360" s="34" t="s">
        <v>1286</v>
      </c>
      <c r="CZ360" s="35">
        <v>4.0283916287999995E-2</v>
      </c>
    </row>
    <row r="361" spans="40:104" x14ac:dyDescent="0.3">
      <c r="AN361" s="117"/>
      <c r="AO361" s="118"/>
      <c r="AP361" s="119"/>
      <c r="AQ361" s="120"/>
      <c r="AS361" s="100"/>
      <c r="BC361" s="52"/>
      <c r="CY361" s="34" t="s">
        <v>1287</v>
      </c>
      <c r="CZ361" s="35">
        <v>2.0912305439999999E-3</v>
      </c>
    </row>
    <row r="362" spans="40:104" x14ac:dyDescent="0.3">
      <c r="AN362" s="117"/>
      <c r="AO362" s="118"/>
      <c r="AP362" s="119"/>
      <c r="AQ362" s="120"/>
      <c r="AS362" s="100"/>
      <c r="BC362" s="52"/>
      <c r="CY362" s="34" t="s">
        <v>1288</v>
      </c>
      <c r="CZ362" s="35">
        <v>3.1853675199999999E-4</v>
      </c>
    </row>
    <row r="363" spans="40:104" x14ac:dyDescent="0.3">
      <c r="AN363" s="117"/>
      <c r="AO363" s="118"/>
      <c r="AP363" s="119"/>
      <c r="AQ363" s="120"/>
      <c r="AS363" s="100"/>
      <c r="BC363" s="52"/>
      <c r="CY363" s="34" t="s">
        <v>1289</v>
      </c>
      <c r="CZ363" s="35">
        <v>8.7771780400000001E-4</v>
      </c>
    </row>
    <row r="364" spans="40:104" x14ac:dyDescent="0.3">
      <c r="AN364" s="117"/>
      <c r="AO364" s="118"/>
      <c r="AP364" s="119"/>
      <c r="AQ364" s="120"/>
      <c r="AS364" s="100"/>
      <c r="BC364" s="52"/>
      <c r="CY364" s="34" t="s">
        <v>1290</v>
      </c>
      <c r="CZ364" s="35">
        <v>6.7848961330181819E-4</v>
      </c>
    </row>
    <row r="365" spans="40:104" x14ac:dyDescent="0.3">
      <c r="AN365" s="117"/>
      <c r="AO365" s="118"/>
      <c r="AP365" s="119"/>
      <c r="AQ365" s="120"/>
      <c r="AS365" s="100"/>
      <c r="BC365" s="52"/>
      <c r="CY365" s="34" t="s">
        <v>1291</v>
      </c>
      <c r="CZ365" s="35">
        <v>7.8376216959999995E-2</v>
      </c>
    </row>
    <row r="366" spans="40:104" x14ac:dyDescent="0.3">
      <c r="AN366" s="117"/>
      <c r="AO366" s="118"/>
      <c r="AP366" s="119"/>
      <c r="AQ366" s="120"/>
      <c r="AS366" s="100"/>
      <c r="BC366" s="52"/>
      <c r="CY366" s="34" t="s">
        <v>1292</v>
      </c>
      <c r="CZ366" s="35">
        <v>6.6316601599999997E-2</v>
      </c>
    </row>
    <row r="367" spans="40:104" x14ac:dyDescent="0.3">
      <c r="AN367" s="117"/>
      <c r="AO367" s="118"/>
      <c r="AP367" s="119"/>
      <c r="AQ367" s="120"/>
      <c r="AS367" s="100"/>
      <c r="BC367" s="52"/>
      <c r="CY367" s="34" t="s">
        <v>1293</v>
      </c>
      <c r="CZ367" s="35">
        <v>4.6945277402666664E-2</v>
      </c>
    </row>
    <row r="368" spans="40:104" x14ac:dyDescent="0.3">
      <c r="AN368" s="117"/>
      <c r="AO368" s="118"/>
      <c r="AP368" s="119"/>
      <c r="AQ368" s="120"/>
      <c r="AS368" s="100"/>
      <c r="BC368" s="52"/>
      <c r="CY368" s="34" t="s">
        <v>1294</v>
      </c>
      <c r="CZ368" s="35">
        <v>2.7570272000000005E-3</v>
      </c>
    </row>
    <row r="369" spans="40:104" x14ac:dyDescent="0.3">
      <c r="AN369" s="117"/>
      <c r="AO369" s="118"/>
      <c r="AP369" s="119"/>
      <c r="AQ369" s="120"/>
      <c r="AS369" s="100"/>
      <c r="BC369" s="52"/>
      <c r="CY369" s="34" t="s">
        <v>1295</v>
      </c>
      <c r="CZ369" s="35">
        <v>0.15562546067199998</v>
      </c>
    </row>
    <row r="370" spans="40:104" x14ac:dyDescent="0.3">
      <c r="AN370" s="117"/>
      <c r="AO370" s="118"/>
      <c r="AP370" s="119"/>
      <c r="AQ370" s="120"/>
      <c r="AS370" s="100"/>
      <c r="BC370" s="52"/>
      <c r="CY370" s="34" t="s">
        <v>1296</v>
      </c>
      <c r="CZ370" s="35">
        <v>0.27832952459999999</v>
      </c>
    </row>
    <row r="371" spans="40:104" x14ac:dyDescent="0.3">
      <c r="AN371" s="117"/>
      <c r="AO371" s="118"/>
      <c r="AP371" s="119"/>
      <c r="AQ371" s="120"/>
      <c r="AS371" s="100"/>
      <c r="BC371" s="52"/>
      <c r="CY371" s="34" t="s">
        <v>1297</v>
      </c>
      <c r="CZ371" s="35">
        <v>1.1951615763199998E-2</v>
      </c>
    </row>
    <row r="372" spans="40:104" x14ac:dyDescent="0.3">
      <c r="AN372" s="117"/>
      <c r="AO372" s="118"/>
      <c r="AP372" s="119"/>
      <c r="AQ372" s="120"/>
      <c r="AS372" s="100"/>
      <c r="BC372" s="52"/>
      <c r="CY372" s="34" t="s">
        <v>1298</v>
      </c>
      <c r="CZ372" s="35">
        <v>1.2842719122599999E-2</v>
      </c>
    </row>
    <row r="373" spans="40:104" x14ac:dyDescent="0.3">
      <c r="AN373" s="117"/>
      <c r="AO373" s="118"/>
      <c r="AP373" s="119"/>
      <c r="AQ373" s="120"/>
      <c r="AS373" s="100"/>
      <c r="BC373" s="52"/>
      <c r="CY373" s="34" t="s">
        <v>1299</v>
      </c>
      <c r="CZ373" s="35">
        <v>3.7420386621124999E-2</v>
      </c>
    </row>
    <row r="374" spans="40:104" x14ac:dyDescent="0.3">
      <c r="AN374" s="117"/>
      <c r="AO374" s="118"/>
      <c r="AP374" s="119"/>
      <c r="AQ374" s="120"/>
      <c r="AS374" s="100"/>
      <c r="BC374" s="52"/>
      <c r="CY374" s="34" t="s">
        <v>1300</v>
      </c>
      <c r="CZ374" s="35">
        <v>7.5692416320000009E-3</v>
      </c>
    </row>
    <row r="375" spans="40:104" x14ac:dyDescent="0.3">
      <c r="AN375" s="117"/>
      <c r="AO375" s="118"/>
      <c r="AP375" s="119"/>
      <c r="AQ375" s="120"/>
      <c r="AS375" s="100"/>
      <c r="BC375" s="52"/>
      <c r="CY375" s="34" t="s">
        <v>1301</v>
      </c>
      <c r="CZ375" s="35">
        <v>2.4316668946600003E-2</v>
      </c>
    </row>
    <row r="376" spans="40:104" x14ac:dyDescent="0.3">
      <c r="AN376" s="117"/>
      <c r="AO376" s="118"/>
      <c r="AP376" s="119"/>
      <c r="AQ376" s="120"/>
      <c r="AS376" s="100"/>
      <c r="BC376" s="52"/>
      <c r="CY376" s="34" t="s">
        <v>1302</v>
      </c>
      <c r="CZ376" s="35">
        <v>1.5960668000000001E-2</v>
      </c>
    </row>
    <row r="377" spans="40:104" x14ac:dyDescent="0.3">
      <c r="AN377" s="117"/>
      <c r="AO377" s="118"/>
      <c r="AP377" s="119"/>
      <c r="AQ377" s="120"/>
      <c r="AS377" s="100"/>
      <c r="BC377" s="52"/>
      <c r="CY377" s="34" t="s">
        <v>1303</v>
      </c>
      <c r="CZ377" s="35">
        <v>1.3879739328000001E-2</v>
      </c>
    </row>
    <row r="378" spans="40:104" x14ac:dyDescent="0.3">
      <c r="AN378" s="117"/>
      <c r="AO378" s="118"/>
      <c r="AP378" s="119"/>
      <c r="AQ378" s="120"/>
      <c r="AS378" s="100"/>
      <c r="BC378" s="52"/>
      <c r="CY378" s="34" t="s">
        <v>1304</v>
      </c>
      <c r="CZ378" s="35">
        <v>4.7871139200000006E-3</v>
      </c>
    </row>
    <row r="379" spans="40:104" x14ac:dyDescent="0.3">
      <c r="AN379" s="117"/>
      <c r="AO379" s="118"/>
      <c r="AP379" s="119"/>
      <c r="AQ379" s="120"/>
      <c r="AS379" s="100"/>
      <c r="BC379" s="52"/>
      <c r="CY379" s="34" t="s">
        <v>1305</v>
      </c>
      <c r="CZ379" s="35">
        <v>1.686917001888889E-3</v>
      </c>
    </row>
    <row r="380" spans="40:104" x14ac:dyDescent="0.3">
      <c r="AN380" s="117"/>
      <c r="AO380" s="118"/>
      <c r="AP380" s="119"/>
      <c r="AQ380" s="120"/>
      <c r="AS380" s="100"/>
      <c r="BC380" s="52"/>
      <c r="CY380" s="34" t="s">
        <v>1306</v>
      </c>
      <c r="CZ380" s="35">
        <v>4.1262207999999997E-4</v>
      </c>
    </row>
    <row r="381" spans="40:104" x14ac:dyDescent="0.3">
      <c r="AN381" s="117"/>
      <c r="AO381" s="118"/>
      <c r="AP381" s="119"/>
      <c r="AQ381" s="120"/>
      <c r="AS381" s="100"/>
      <c r="BC381" s="52"/>
      <c r="CY381" s="34" t="s">
        <v>1307</v>
      </c>
      <c r="CZ381" s="35">
        <v>1.5913420800000001E-2</v>
      </c>
    </row>
    <row r="382" spans="40:104" x14ac:dyDescent="0.3">
      <c r="AN382" s="117"/>
      <c r="AO382" s="118"/>
      <c r="AP382" s="119"/>
      <c r="AQ382" s="120"/>
      <c r="AS382" s="100"/>
      <c r="BC382" s="52"/>
      <c r="CY382" s="34" t="s">
        <v>1308</v>
      </c>
      <c r="CZ382" s="35">
        <v>5.5572213840000004E-3</v>
      </c>
    </row>
    <row r="383" spans="40:104" x14ac:dyDescent="0.3">
      <c r="AN383" s="117"/>
      <c r="AO383" s="118"/>
      <c r="AP383" s="119"/>
      <c r="AQ383" s="120"/>
      <c r="AS383" s="100"/>
      <c r="BC383" s="52"/>
      <c r="CY383" s="34" t="s">
        <v>1309</v>
      </c>
      <c r="CZ383" s="35">
        <v>2.2367820703200003E-3</v>
      </c>
    </row>
    <row r="384" spans="40:104" x14ac:dyDescent="0.3">
      <c r="AN384" s="117"/>
      <c r="AO384" s="118"/>
      <c r="AP384" s="119"/>
      <c r="AQ384" s="120"/>
      <c r="AS384" s="100"/>
      <c r="BC384" s="52"/>
      <c r="CY384" s="34" t="s">
        <v>1310</v>
      </c>
      <c r="CZ384" s="35">
        <v>4.9516392383999993E-3</v>
      </c>
    </row>
    <row r="385" spans="40:104" x14ac:dyDescent="0.3">
      <c r="AN385" s="117"/>
      <c r="AO385" s="118"/>
      <c r="AP385" s="119"/>
      <c r="AQ385" s="120"/>
      <c r="AS385" s="100"/>
      <c r="BC385" s="52"/>
      <c r="CY385" s="34" t="s">
        <v>1311</v>
      </c>
      <c r="CZ385" s="35">
        <v>3.9960494079999999E-3</v>
      </c>
    </row>
    <row r="386" spans="40:104" x14ac:dyDescent="0.3">
      <c r="AN386" s="117"/>
      <c r="AO386" s="118"/>
      <c r="AP386" s="119"/>
      <c r="AQ386" s="120"/>
      <c r="AS386" s="100"/>
      <c r="BC386" s="52"/>
      <c r="CY386" s="34" t="s">
        <v>1312</v>
      </c>
      <c r="CZ386" s="35">
        <v>3.0409528000000002E-2</v>
      </c>
    </row>
    <row r="387" spans="40:104" x14ac:dyDescent="0.3">
      <c r="AN387" s="117"/>
      <c r="AO387" s="118"/>
      <c r="AP387" s="119"/>
      <c r="AQ387" s="120"/>
      <c r="AS387" s="100"/>
      <c r="BC387" s="52"/>
      <c r="CY387" s="34" t="s">
        <v>1313</v>
      </c>
      <c r="CZ387" s="35">
        <v>5.3914241919999985E-4</v>
      </c>
    </row>
    <row r="388" spans="40:104" x14ac:dyDescent="0.3">
      <c r="AN388" s="117"/>
      <c r="AO388" s="118"/>
      <c r="AP388" s="119"/>
      <c r="AQ388" s="120"/>
      <c r="AS388" s="100"/>
      <c r="BC388" s="52"/>
      <c r="CY388" s="34" t="s">
        <v>1314</v>
      </c>
      <c r="CZ388" s="35">
        <v>4.8237986049999999E-4</v>
      </c>
    </row>
    <row r="389" spans="40:104" x14ac:dyDescent="0.3">
      <c r="AN389" s="117"/>
      <c r="AO389" s="115"/>
      <c r="AP389" s="119"/>
      <c r="AQ389" s="219"/>
      <c r="AS389" s="100"/>
      <c r="BC389" s="52"/>
      <c r="CY389" s="34" t="s">
        <v>1315</v>
      </c>
      <c r="CZ389" s="35">
        <v>3.9043073680000001E-4</v>
      </c>
    </row>
    <row r="390" spans="40:104" x14ac:dyDescent="0.3">
      <c r="AN390" s="117"/>
      <c r="AO390" s="118"/>
      <c r="AP390" s="119"/>
      <c r="AQ390" s="120"/>
      <c r="AS390" s="100"/>
      <c r="BC390" s="52"/>
      <c r="CY390" s="34" t="s">
        <v>1316</v>
      </c>
      <c r="CZ390" s="35">
        <v>6.775333333333335E-4</v>
      </c>
    </row>
    <row r="391" spans="40:104" x14ac:dyDescent="0.3">
      <c r="AN391" s="117"/>
      <c r="AO391" s="118"/>
      <c r="AP391" s="119"/>
      <c r="AQ391" s="120"/>
      <c r="AS391" s="100"/>
      <c r="BC391" s="52"/>
      <c r="CY391" s="34" t="s">
        <v>1317</v>
      </c>
      <c r="CZ391" s="35">
        <v>8.3478643659999994E-3</v>
      </c>
    </row>
    <row r="392" spans="40:104" x14ac:dyDescent="0.3">
      <c r="AN392" s="117"/>
      <c r="AO392" s="118"/>
      <c r="AP392" s="119"/>
      <c r="AQ392" s="120"/>
      <c r="AS392" s="100"/>
      <c r="BC392" s="52"/>
      <c r="CY392" s="34" t="s">
        <v>1318</v>
      </c>
      <c r="CZ392" s="35">
        <v>1.4999780000000001E-3</v>
      </c>
    </row>
    <row r="393" spans="40:104" x14ac:dyDescent="0.3">
      <c r="AN393" s="117"/>
      <c r="AO393" s="118"/>
      <c r="AP393" s="119"/>
      <c r="AQ393" s="120"/>
      <c r="AS393" s="100"/>
      <c r="BC393" s="52"/>
      <c r="CY393" s="34" t="s">
        <v>1319</v>
      </c>
      <c r="CZ393" s="35">
        <v>5.2351765687999999E-2</v>
      </c>
    </row>
    <row r="394" spans="40:104" x14ac:dyDescent="0.3">
      <c r="AN394" s="117"/>
      <c r="AO394" s="118"/>
      <c r="AP394" s="119"/>
      <c r="AQ394" s="120"/>
      <c r="AS394" s="100"/>
      <c r="BC394" s="52"/>
      <c r="CY394" s="34" t="s">
        <v>1320</v>
      </c>
      <c r="CZ394" s="35">
        <v>7.5367635199999989E-4</v>
      </c>
    </row>
    <row r="395" spans="40:104" x14ac:dyDescent="0.3">
      <c r="AN395" s="117"/>
      <c r="AO395" s="118"/>
      <c r="AP395" s="119"/>
      <c r="AQ395" s="120"/>
      <c r="AS395" s="100"/>
      <c r="BC395" s="52"/>
      <c r="CY395" s="34" t="s">
        <v>1321</v>
      </c>
      <c r="CZ395" s="35">
        <v>6.6034799999999995E-4</v>
      </c>
    </row>
    <row r="396" spans="40:104" x14ac:dyDescent="0.3">
      <c r="AN396" s="117"/>
      <c r="AO396" s="118"/>
      <c r="AP396" s="119"/>
      <c r="AQ396" s="120"/>
      <c r="AS396" s="100"/>
      <c r="BC396" s="52"/>
      <c r="CY396" s="34" t="s">
        <v>1322</v>
      </c>
      <c r="CZ396" s="35">
        <v>9.3173700363076914E-3</v>
      </c>
    </row>
    <row r="397" spans="40:104" x14ac:dyDescent="0.3">
      <c r="AN397" s="117"/>
      <c r="AO397" s="118"/>
      <c r="AP397" s="119"/>
      <c r="AQ397" s="120"/>
      <c r="AS397" s="100"/>
      <c r="BC397" s="52"/>
      <c r="CY397" s="34" t="s">
        <v>1323</v>
      </c>
      <c r="CZ397" s="35">
        <v>0.26843652095999998</v>
      </c>
    </row>
    <row r="398" spans="40:104" x14ac:dyDescent="0.3">
      <c r="AN398" s="117"/>
      <c r="AO398" s="118"/>
      <c r="AP398" s="119"/>
      <c r="AQ398" s="120"/>
      <c r="AS398" s="100"/>
      <c r="BC398" s="52"/>
      <c r="CY398" s="34" t="s">
        <v>1324</v>
      </c>
      <c r="CZ398" s="35">
        <v>1.3615110460000001E-2</v>
      </c>
    </row>
    <row r="399" spans="40:104" x14ac:dyDescent="0.3">
      <c r="AN399" s="117"/>
      <c r="AO399" s="118"/>
      <c r="AP399" s="119"/>
      <c r="AQ399" s="120"/>
      <c r="AS399" s="100"/>
      <c r="BC399" s="52"/>
      <c r="CY399" s="34" t="s">
        <v>1325</v>
      </c>
      <c r="CZ399" s="35">
        <v>3.8159867611599996E-3</v>
      </c>
    </row>
    <row r="400" spans="40:104" x14ac:dyDescent="0.3">
      <c r="AN400" s="117"/>
      <c r="AO400" s="118"/>
      <c r="AP400" s="119"/>
      <c r="AQ400" s="120"/>
      <c r="AS400" s="100"/>
      <c r="BC400" s="52"/>
      <c r="CY400" s="34" t="s">
        <v>1326</v>
      </c>
      <c r="CZ400" s="35">
        <v>8.1833457152499997E-3</v>
      </c>
    </row>
    <row r="401" spans="40:104" x14ac:dyDescent="0.3">
      <c r="AN401" s="117"/>
      <c r="AO401" s="118"/>
      <c r="AP401" s="119"/>
      <c r="AQ401" s="120"/>
      <c r="AS401" s="100"/>
      <c r="BC401" s="52"/>
      <c r="CY401" s="34" t="s">
        <v>1327</v>
      </c>
      <c r="CZ401" s="35">
        <v>3.9103356799999999E-3</v>
      </c>
    </row>
    <row r="402" spans="40:104" x14ac:dyDescent="0.3">
      <c r="AN402" s="117"/>
      <c r="AO402" s="118"/>
      <c r="AP402" s="119"/>
      <c r="AQ402" s="120"/>
      <c r="AS402" s="100"/>
      <c r="BC402" s="52"/>
      <c r="CY402" s="34" t="s">
        <v>1328</v>
      </c>
      <c r="CZ402" s="35">
        <v>6.60440635E-2</v>
      </c>
    </row>
    <row r="403" spans="40:104" x14ac:dyDescent="0.3">
      <c r="AN403" s="117"/>
      <c r="AO403" s="118"/>
      <c r="AP403" s="119"/>
      <c r="AQ403" s="120"/>
      <c r="AS403" s="100"/>
      <c r="BC403" s="52"/>
      <c r="CY403" s="34" t="s">
        <v>1329</v>
      </c>
      <c r="CZ403" s="35">
        <v>1.7518030816000001E-2</v>
      </c>
    </row>
    <row r="404" spans="40:104" x14ac:dyDescent="0.3">
      <c r="AN404" s="117"/>
      <c r="AO404" s="118"/>
      <c r="AP404" s="119"/>
      <c r="AQ404" s="120"/>
      <c r="AS404" s="100"/>
      <c r="BC404" s="52"/>
      <c r="CY404" s="34" t="s">
        <v>1330</v>
      </c>
      <c r="CZ404" s="35">
        <v>9.9428575999999992E-4</v>
      </c>
    </row>
    <row r="405" spans="40:104" x14ac:dyDescent="0.3">
      <c r="AN405" s="117"/>
      <c r="AO405" s="118"/>
      <c r="AP405" s="119"/>
      <c r="AQ405" s="120"/>
      <c r="AS405" s="100"/>
      <c r="BC405" s="52"/>
      <c r="CY405" s="34" t="s">
        <v>1331</v>
      </c>
      <c r="CZ405" s="35">
        <v>1.8323096000000001E-2</v>
      </c>
    </row>
    <row r="406" spans="40:104" x14ac:dyDescent="0.3">
      <c r="AN406" s="117"/>
      <c r="AO406" s="118"/>
      <c r="AP406" s="119"/>
      <c r="AQ406" s="120"/>
      <c r="AS406" s="100"/>
      <c r="BC406" s="52"/>
      <c r="CY406" s="34" t="s">
        <v>1332</v>
      </c>
      <c r="CZ406" s="35">
        <v>5.5097133055999996E-3</v>
      </c>
    </row>
    <row r="407" spans="40:104" x14ac:dyDescent="0.3">
      <c r="AN407" s="117"/>
      <c r="AO407" s="118"/>
      <c r="AP407" s="119"/>
      <c r="AQ407" s="120"/>
      <c r="AS407" s="100"/>
      <c r="BC407" s="52"/>
      <c r="CY407" s="34" t="s">
        <v>1333</v>
      </c>
      <c r="CZ407" s="35">
        <v>2.5907747116E-2</v>
      </c>
    </row>
    <row r="408" spans="40:104" x14ac:dyDescent="0.3">
      <c r="AN408" s="117"/>
      <c r="AO408" s="118"/>
      <c r="AP408" s="119"/>
      <c r="AQ408" s="120"/>
      <c r="AS408" s="100"/>
      <c r="BC408" s="52"/>
      <c r="CY408" s="34" t="s">
        <v>1334</v>
      </c>
      <c r="CZ408" s="35">
        <v>7.8347983680000007E-3</v>
      </c>
    </row>
    <row r="409" spans="40:104" x14ac:dyDescent="0.3">
      <c r="AN409" s="117"/>
      <c r="AO409" s="118"/>
      <c r="AP409" s="119"/>
      <c r="AQ409" s="120"/>
      <c r="AS409" s="100"/>
      <c r="BC409" s="52"/>
      <c r="CY409" s="34" t="s">
        <v>1335</v>
      </c>
      <c r="CZ409" s="35">
        <v>1.4909938576E-2</v>
      </c>
    </row>
    <row r="410" spans="40:104" x14ac:dyDescent="0.3">
      <c r="AN410" s="117"/>
      <c r="AO410" s="118"/>
      <c r="AP410" s="119"/>
      <c r="AQ410" s="120"/>
      <c r="AS410" s="100"/>
      <c r="BC410" s="52"/>
      <c r="CY410" s="34" t="s">
        <v>1336</v>
      </c>
      <c r="CZ410" s="35">
        <v>1.5943507740000001E-2</v>
      </c>
    </row>
    <row r="411" spans="40:104" x14ac:dyDescent="0.3">
      <c r="AN411" s="117"/>
      <c r="AO411" s="118"/>
      <c r="AP411" s="119"/>
      <c r="AQ411" s="120"/>
      <c r="AS411" s="100"/>
      <c r="BC411" s="52"/>
      <c r="CY411" s="34" t="s">
        <v>1337</v>
      </c>
      <c r="CZ411" s="35">
        <v>9.0707124828499994E-4</v>
      </c>
    </row>
    <row r="412" spans="40:104" x14ac:dyDescent="0.3">
      <c r="AN412" s="117"/>
      <c r="AO412" s="118"/>
      <c r="AP412" s="119"/>
      <c r="AQ412" s="120"/>
      <c r="AS412" s="100"/>
      <c r="BC412" s="52"/>
      <c r="CY412" s="34" t="s">
        <v>1338</v>
      </c>
      <c r="CZ412" s="35">
        <v>1.3877200000000001E-4</v>
      </c>
    </row>
    <row r="413" spans="40:104" x14ac:dyDescent="0.3">
      <c r="AN413" s="117"/>
      <c r="AO413" s="118"/>
      <c r="AP413" s="119"/>
      <c r="AQ413" s="120"/>
      <c r="AS413" s="100"/>
      <c r="BC413" s="52"/>
      <c r="CY413" s="34" t="s">
        <v>1339</v>
      </c>
      <c r="CZ413" s="35">
        <v>2.0273324799999998E-4</v>
      </c>
    </row>
    <row r="414" spans="40:104" x14ac:dyDescent="0.3">
      <c r="AN414" s="117"/>
      <c r="AO414" s="118"/>
      <c r="AP414" s="119"/>
      <c r="AQ414" s="120"/>
      <c r="AS414" s="100"/>
      <c r="BC414" s="52"/>
      <c r="CY414" s="34" t="s">
        <v>1340</v>
      </c>
      <c r="CZ414" s="35">
        <v>2.56851936E-4</v>
      </c>
    </row>
    <row r="415" spans="40:104" x14ac:dyDescent="0.3">
      <c r="AN415" s="117"/>
      <c r="AO415" s="118"/>
      <c r="AP415" s="119"/>
      <c r="AQ415" s="120"/>
      <c r="AS415" s="100"/>
      <c r="BC415" s="52"/>
      <c r="CY415" s="34" t="s">
        <v>1341</v>
      </c>
      <c r="CZ415" s="35">
        <v>3.3266991615789484E-4</v>
      </c>
    </row>
    <row r="416" spans="40:104" x14ac:dyDescent="0.3">
      <c r="AN416" s="117"/>
      <c r="AO416" s="118"/>
      <c r="AP416" s="119"/>
      <c r="AQ416" s="120"/>
      <c r="AS416" s="100"/>
      <c r="BC416" s="52"/>
      <c r="CY416" s="34" t="s">
        <v>1342</v>
      </c>
      <c r="CZ416" s="35">
        <v>5.6274089600000005E-4</v>
      </c>
    </row>
    <row r="417" spans="40:104" x14ac:dyDescent="0.3">
      <c r="AN417" s="117"/>
      <c r="AO417" s="118"/>
      <c r="AP417" s="119"/>
      <c r="AQ417" s="120"/>
      <c r="AS417" s="100"/>
      <c r="BC417" s="52"/>
      <c r="CY417" s="34" t="s">
        <v>1343</v>
      </c>
      <c r="CZ417" s="35">
        <v>1.2567983999999999E-3</v>
      </c>
    </row>
    <row r="418" spans="40:104" x14ac:dyDescent="0.3">
      <c r="AN418" s="117"/>
      <c r="AO418" s="118"/>
      <c r="AP418" s="119"/>
      <c r="AQ418" s="120"/>
      <c r="AS418" s="100"/>
      <c r="BC418" s="52"/>
      <c r="CY418" s="34" t="s">
        <v>1344</v>
      </c>
      <c r="CZ418" s="35">
        <v>2.7880065584E-2</v>
      </c>
    </row>
    <row r="419" spans="40:104" x14ac:dyDescent="0.3">
      <c r="AN419" s="117"/>
      <c r="AO419" s="118"/>
      <c r="AP419" s="119"/>
      <c r="AQ419" s="120"/>
      <c r="AS419" s="100"/>
      <c r="BC419" s="52"/>
      <c r="CY419" s="34" t="s">
        <v>1345</v>
      </c>
      <c r="CZ419" s="35">
        <v>2.03677604E-3</v>
      </c>
    </row>
    <row r="420" spans="40:104" x14ac:dyDescent="0.3">
      <c r="AN420" s="117"/>
      <c r="AO420" s="118"/>
      <c r="AP420" s="119"/>
      <c r="AQ420" s="120"/>
      <c r="AS420" s="100"/>
      <c r="BC420" s="52"/>
      <c r="CY420" s="34" t="s">
        <v>1346</v>
      </c>
      <c r="CZ420" s="35">
        <v>6.4486320666666666E-2</v>
      </c>
    </row>
    <row r="421" spans="40:104" x14ac:dyDescent="0.3">
      <c r="AN421" s="117"/>
      <c r="AO421" s="118"/>
      <c r="AP421" s="119"/>
      <c r="AQ421" s="120"/>
      <c r="AS421" s="100"/>
      <c r="BC421" s="52"/>
      <c r="CY421" s="34" t="s">
        <v>1347</v>
      </c>
      <c r="CZ421" s="35">
        <v>3.2516079440000002E-3</v>
      </c>
    </row>
    <row r="422" spans="40:104" x14ac:dyDescent="0.3">
      <c r="AN422" s="117"/>
      <c r="AO422" s="118"/>
      <c r="AP422" s="119"/>
      <c r="AQ422" s="120"/>
      <c r="AS422" s="100"/>
      <c r="BC422" s="52"/>
      <c r="CY422" s="34" t="s">
        <v>1348</v>
      </c>
      <c r="CZ422" s="35">
        <v>1.2424045491333331E-3</v>
      </c>
    </row>
    <row r="423" spans="40:104" x14ac:dyDescent="0.3">
      <c r="AN423" s="117"/>
      <c r="AO423" s="118"/>
      <c r="AP423" s="119"/>
      <c r="AQ423" s="120"/>
      <c r="AS423" s="100"/>
      <c r="BC423" s="52"/>
      <c r="CY423" s="34" t="s">
        <v>1349</v>
      </c>
      <c r="CZ423" s="35">
        <v>2.01461312E-4</v>
      </c>
    </row>
    <row r="424" spans="40:104" x14ac:dyDescent="0.3">
      <c r="AN424" s="117"/>
      <c r="AO424" s="118"/>
      <c r="AP424" s="119"/>
      <c r="AQ424" s="120"/>
      <c r="AS424" s="100"/>
      <c r="BC424" s="52"/>
      <c r="CY424" s="34" t="s">
        <v>1350</v>
      </c>
      <c r="CZ424" s="35">
        <v>2.9329622400000005E-4</v>
      </c>
    </row>
    <row r="425" spans="40:104" x14ac:dyDescent="0.3">
      <c r="AN425" s="117"/>
      <c r="AO425" s="118"/>
      <c r="AP425" s="119"/>
      <c r="AQ425" s="120"/>
      <c r="AS425" s="100"/>
      <c r="BC425" s="52"/>
      <c r="CY425" s="34" t="s">
        <v>1351</v>
      </c>
      <c r="CZ425" s="35">
        <v>3.4679164959999999E-3</v>
      </c>
    </row>
    <row r="426" spans="40:104" x14ac:dyDescent="0.3">
      <c r="AN426" s="117"/>
      <c r="AO426" s="118"/>
      <c r="AP426" s="119"/>
      <c r="AQ426" s="120"/>
      <c r="AS426" s="100"/>
      <c r="BC426" s="52"/>
      <c r="CY426" s="34" t="s">
        <v>1352</v>
      </c>
      <c r="CZ426" s="35">
        <v>1.0841033759999999E-3</v>
      </c>
    </row>
    <row r="427" spans="40:104" x14ac:dyDescent="0.3">
      <c r="AN427" s="117"/>
      <c r="AO427" s="118"/>
      <c r="AP427" s="119"/>
      <c r="AQ427" s="120"/>
      <c r="AS427" s="100"/>
      <c r="BC427" s="52"/>
      <c r="CY427" s="34" t="s">
        <v>1353</v>
      </c>
      <c r="CZ427" s="35">
        <v>2.2630952000000002E-3</v>
      </c>
    </row>
    <row r="428" spans="40:104" x14ac:dyDescent="0.3">
      <c r="AN428" s="117"/>
      <c r="AO428" s="118"/>
      <c r="AP428" s="119"/>
      <c r="AQ428" s="120"/>
      <c r="AS428" s="100"/>
      <c r="BC428" s="52"/>
      <c r="CY428" s="34" t="s">
        <v>1354</v>
      </c>
      <c r="CZ428" s="35">
        <v>4.9675993828566668E-2</v>
      </c>
    </row>
    <row r="429" spans="40:104" x14ac:dyDescent="0.3">
      <c r="AN429" s="117"/>
      <c r="AO429" s="118"/>
      <c r="AP429" s="119"/>
      <c r="AQ429" s="120"/>
      <c r="AS429" s="100"/>
      <c r="BC429" s="52"/>
      <c r="CY429" s="34" t="s">
        <v>1355</v>
      </c>
      <c r="CZ429" s="35">
        <v>2.1864084279999995E-3</v>
      </c>
    </row>
    <row r="430" spans="40:104" x14ac:dyDescent="0.3">
      <c r="AN430" s="117"/>
      <c r="AO430" s="118"/>
      <c r="AP430" s="119"/>
      <c r="AQ430" s="120"/>
      <c r="AS430" s="100"/>
      <c r="BC430" s="52"/>
      <c r="CY430" s="34" t="s">
        <v>1356</v>
      </c>
      <c r="CZ430" s="35">
        <v>1.2046368000000002E-2</v>
      </c>
    </row>
    <row r="431" spans="40:104" x14ac:dyDescent="0.3">
      <c r="AN431" s="117"/>
      <c r="AO431" s="118"/>
      <c r="AP431" s="119"/>
      <c r="AQ431" s="120"/>
      <c r="AS431" s="100"/>
      <c r="BC431" s="52"/>
      <c r="CY431" s="34" t="s">
        <v>1357</v>
      </c>
      <c r="CZ431" s="35">
        <v>2.6622142774866662E-2</v>
      </c>
    </row>
    <row r="432" spans="40:104" x14ac:dyDescent="0.3">
      <c r="AN432" s="117"/>
      <c r="AO432" s="118"/>
      <c r="AP432" s="119"/>
      <c r="AQ432" s="120"/>
      <c r="AS432" s="100"/>
      <c r="BC432" s="52"/>
      <c r="CY432" s="34" t="s">
        <v>1358</v>
      </c>
      <c r="CZ432" s="35">
        <v>2.1784202540000002E-2</v>
      </c>
    </row>
    <row r="433" spans="40:104" x14ac:dyDescent="0.3">
      <c r="AN433" s="117"/>
      <c r="AO433" s="118"/>
      <c r="AP433" s="119"/>
      <c r="AQ433" s="120"/>
      <c r="AS433" s="100"/>
      <c r="BC433" s="52"/>
      <c r="CY433" s="34" t="s">
        <v>1359</v>
      </c>
      <c r="CZ433" s="35">
        <v>7.8643552000000009E-3</v>
      </c>
    </row>
    <row r="434" spans="40:104" x14ac:dyDescent="0.3">
      <c r="AN434" s="117"/>
      <c r="AO434" s="118"/>
      <c r="AP434" s="119"/>
      <c r="AQ434" s="120"/>
      <c r="AS434" s="100"/>
      <c r="BC434" s="52"/>
      <c r="CY434" s="34" t="s">
        <v>1360</v>
      </c>
      <c r="CZ434" s="35">
        <v>3.0286E-2</v>
      </c>
    </row>
    <row r="435" spans="40:104" x14ac:dyDescent="0.3">
      <c r="AN435" s="117"/>
      <c r="AO435" s="118"/>
      <c r="AP435" s="119"/>
      <c r="AQ435" s="120"/>
      <c r="AS435" s="100"/>
      <c r="BC435" s="52"/>
      <c r="CY435" s="34" t="s">
        <v>1361</v>
      </c>
      <c r="CZ435" s="35">
        <v>3.7119283386799996E-3</v>
      </c>
    </row>
    <row r="436" spans="40:104" x14ac:dyDescent="0.3">
      <c r="AN436" s="117"/>
      <c r="AO436" s="118"/>
      <c r="AP436" s="119"/>
      <c r="AQ436" s="120"/>
      <c r="AS436" s="100"/>
      <c r="BC436" s="52"/>
      <c r="CY436" s="34" t="s">
        <v>1362</v>
      </c>
      <c r="CZ436" s="35">
        <v>5.7030280431999997E-3</v>
      </c>
    </row>
    <row r="437" spans="40:104" x14ac:dyDescent="0.3">
      <c r="AN437" s="136"/>
      <c r="AO437" s="118"/>
      <c r="AP437" s="119"/>
      <c r="AQ437" s="120"/>
      <c r="AS437" s="100"/>
      <c r="BC437" s="52"/>
      <c r="CY437" s="34" t="s">
        <v>1363</v>
      </c>
      <c r="CZ437" s="35">
        <v>4.5809026560000003E-4</v>
      </c>
    </row>
    <row r="438" spans="40:104" x14ac:dyDescent="0.3">
      <c r="AN438" s="136"/>
      <c r="AO438" s="118"/>
      <c r="AP438" s="119"/>
      <c r="AQ438" s="120"/>
      <c r="AS438" s="100"/>
      <c r="BC438" s="52"/>
      <c r="CY438" s="34" t="s">
        <v>1364</v>
      </c>
      <c r="CZ438" s="35">
        <v>5.8724435840000011E-4</v>
      </c>
    </row>
    <row r="439" spans="40:104" x14ac:dyDescent="0.3">
      <c r="AN439" s="117"/>
      <c r="AO439" s="118"/>
      <c r="AP439" s="119"/>
      <c r="AQ439" s="120"/>
      <c r="AS439" s="100"/>
      <c r="BC439" s="52"/>
      <c r="CY439" s="34" t="s">
        <v>1365</v>
      </c>
      <c r="CZ439" s="35">
        <v>5.3145573333333342E-4</v>
      </c>
    </row>
    <row r="440" spans="40:104" x14ac:dyDescent="0.3">
      <c r="AN440" s="117"/>
      <c r="AO440" s="118"/>
      <c r="AP440" s="119"/>
      <c r="AQ440" s="120"/>
      <c r="AS440" s="100"/>
      <c r="BC440" s="52"/>
      <c r="CY440" s="34" t="s">
        <v>1366</v>
      </c>
      <c r="CZ440" s="35">
        <v>2.30228E-2</v>
      </c>
    </row>
    <row r="441" spans="40:104" x14ac:dyDescent="0.3">
      <c r="AN441" s="117"/>
      <c r="AO441" s="118"/>
      <c r="AP441" s="119"/>
      <c r="AQ441" s="120"/>
      <c r="AS441" s="100"/>
      <c r="BC441" s="52"/>
      <c r="CY441" s="34" t="s">
        <v>1367</v>
      </c>
      <c r="CZ441" s="35">
        <v>3.2730867520000002E-3</v>
      </c>
    </row>
    <row r="442" spans="40:104" x14ac:dyDescent="0.3">
      <c r="AN442" s="117"/>
      <c r="AO442" s="118"/>
      <c r="AP442" s="119"/>
      <c r="AQ442" s="120"/>
      <c r="AS442" s="100"/>
      <c r="BC442" s="52"/>
      <c r="CY442" s="34" t="s">
        <v>1368</v>
      </c>
      <c r="CZ442" s="35">
        <v>3.3461326223999992E-2</v>
      </c>
    </row>
    <row r="443" spans="40:104" x14ac:dyDescent="0.3">
      <c r="AN443" s="117"/>
      <c r="AO443" s="118"/>
      <c r="AP443" s="119"/>
      <c r="AQ443" s="120"/>
      <c r="AS443" s="100"/>
      <c r="BC443" s="52"/>
      <c r="CY443" s="34" t="s">
        <v>1369</v>
      </c>
      <c r="CZ443" s="35">
        <v>0.66821640799999993</v>
      </c>
    </row>
    <row r="444" spans="40:104" x14ac:dyDescent="0.3">
      <c r="AN444" s="117"/>
      <c r="AO444" s="118"/>
      <c r="AP444" s="119"/>
      <c r="AQ444" s="120"/>
      <c r="AS444" s="100"/>
      <c r="BC444" s="52"/>
      <c r="CY444" s="34" t="s">
        <v>1370</v>
      </c>
      <c r="CZ444" s="35">
        <v>1.1623594528000001E-2</v>
      </c>
    </row>
    <row r="445" spans="40:104" x14ac:dyDescent="0.3">
      <c r="AN445" s="117"/>
      <c r="AO445" s="118"/>
      <c r="AP445" s="119"/>
      <c r="AQ445" s="120"/>
      <c r="AS445" s="100"/>
      <c r="BC445" s="52"/>
      <c r="CY445" s="34" t="s">
        <v>1371</v>
      </c>
      <c r="CZ445" s="35">
        <v>1.9452939704674998E-2</v>
      </c>
    </row>
    <row r="446" spans="40:104" x14ac:dyDescent="0.3">
      <c r="AN446" s="117"/>
      <c r="AO446" s="118"/>
      <c r="AP446" s="119"/>
      <c r="AQ446" s="120"/>
      <c r="AS446" s="100"/>
      <c r="BC446" s="52"/>
      <c r="CY446" s="34" t="s">
        <v>1372</v>
      </c>
      <c r="CZ446" s="35">
        <v>7.6327708048000015E-2</v>
      </c>
    </row>
    <row r="447" spans="40:104" x14ac:dyDescent="0.3">
      <c r="AN447" s="117"/>
      <c r="AO447" s="118"/>
      <c r="AP447" s="119"/>
      <c r="AQ447" s="120"/>
      <c r="AS447" s="100"/>
      <c r="CY447" s="34" t="s">
        <v>1373</v>
      </c>
      <c r="CZ447" s="35">
        <v>1.0130467579076924E-2</v>
      </c>
    </row>
    <row r="448" spans="40:104" x14ac:dyDescent="0.3">
      <c r="AN448" s="117"/>
      <c r="AO448" s="118"/>
      <c r="AP448" s="119"/>
      <c r="AQ448" s="120"/>
      <c r="AS448" s="100"/>
      <c r="CY448" s="34" t="s">
        <v>1374</v>
      </c>
      <c r="CZ448" s="35">
        <v>9.86444320115E-3</v>
      </c>
    </row>
    <row r="449" spans="40:104" x14ac:dyDescent="0.3">
      <c r="AN449" s="117"/>
      <c r="AO449" s="118"/>
      <c r="AP449" s="119"/>
      <c r="AQ449" s="120"/>
      <c r="AS449" s="100"/>
      <c r="CY449" s="34" t="s">
        <v>1375</v>
      </c>
      <c r="CZ449" s="35">
        <v>9.8739369250000035E-3</v>
      </c>
    </row>
    <row r="450" spans="40:104" x14ac:dyDescent="0.3">
      <c r="AN450" s="117"/>
      <c r="AO450" s="118"/>
      <c r="AP450" s="119"/>
      <c r="AQ450" s="120"/>
      <c r="AS450" s="100"/>
      <c r="CY450" s="34" t="s">
        <v>1376</v>
      </c>
      <c r="CZ450" s="35">
        <v>1.0905188925E-2</v>
      </c>
    </row>
    <row r="451" spans="40:104" x14ac:dyDescent="0.3">
      <c r="AN451" s="117"/>
      <c r="AO451" s="118"/>
      <c r="AP451" s="119"/>
      <c r="AQ451" s="120"/>
      <c r="AS451" s="100"/>
      <c r="CY451" s="34" t="s">
        <v>1377</v>
      </c>
      <c r="CZ451" s="35">
        <v>1.0397668923076924E-2</v>
      </c>
    </row>
    <row r="452" spans="40:104" x14ac:dyDescent="0.3">
      <c r="AN452" s="117"/>
      <c r="AO452" s="118"/>
      <c r="AP452" s="119"/>
      <c r="AQ452" s="120"/>
      <c r="AS452" s="100"/>
      <c r="CY452" s="34" t="s">
        <v>1378</v>
      </c>
      <c r="CZ452" s="35">
        <v>1.3233436923076923E-2</v>
      </c>
    </row>
    <row r="453" spans="40:104" x14ac:dyDescent="0.3">
      <c r="AN453" s="117"/>
      <c r="AO453" s="118"/>
      <c r="AP453" s="119"/>
      <c r="AQ453" s="120"/>
      <c r="AS453" s="100"/>
      <c r="CY453" s="34" t="s">
        <v>1379</v>
      </c>
      <c r="CZ453" s="35">
        <v>1.1292172888888889E-2</v>
      </c>
    </row>
    <row r="454" spans="40:104" x14ac:dyDescent="0.3">
      <c r="AN454" s="136"/>
      <c r="AO454" s="118"/>
      <c r="AP454" s="119"/>
      <c r="AQ454" s="120"/>
      <c r="AS454" s="100"/>
      <c r="CY454" s="34" t="s">
        <v>1380</v>
      </c>
      <c r="CZ454" s="35">
        <v>1.1583996919999999E-2</v>
      </c>
    </row>
    <row r="455" spans="40:104" x14ac:dyDescent="0.3">
      <c r="AN455" s="117"/>
      <c r="AO455" s="118"/>
      <c r="AP455" s="119"/>
      <c r="AQ455" s="120"/>
      <c r="AS455" s="100"/>
      <c r="CY455" s="34" t="s">
        <v>1381</v>
      </c>
      <c r="CZ455" s="35">
        <v>1.1875820919999997E-2</v>
      </c>
    </row>
    <row r="456" spans="40:104" x14ac:dyDescent="0.3">
      <c r="AN456" s="117"/>
      <c r="AO456" s="118"/>
      <c r="AP456" s="119"/>
      <c r="AQ456" s="120"/>
      <c r="AS456" s="100"/>
      <c r="CY456" s="34" t="s">
        <v>1382</v>
      </c>
      <c r="CZ456" s="35">
        <v>5.2371471343999991E-3</v>
      </c>
    </row>
    <row r="457" spans="40:104" x14ac:dyDescent="0.3">
      <c r="AN457" s="117"/>
      <c r="AO457" s="118"/>
      <c r="AP457" s="119"/>
      <c r="AQ457" s="120"/>
      <c r="AS457" s="100"/>
      <c r="CY457" s="34" t="s">
        <v>1383</v>
      </c>
      <c r="CZ457" s="35">
        <v>5.237637476571428E-3</v>
      </c>
    </row>
    <row r="458" spans="40:104" x14ac:dyDescent="0.3">
      <c r="AN458" s="117"/>
      <c r="AO458" s="118"/>
      <c r="AP458" s="119"/>
      <c r="AQ458" s="120"/>
      <c r="AS458" s="100"/>
      <c r="CY458" s="34" t="s">
        <v>1384</v>
      </c>
      <c r="CZ458" s="35">
        <v>3.3143440000000003E-3</v>
      </c>
    </row>
    <row r="459" spans="40:104" x14ac:dyDescent="0.3">
      <c r="AN459" s="117"/>
      <c r="AO459" s="118"/>
      <c r="AP459" s="119"/>
      <c r="AQ459" s="120"/>
      <c r="AS459" s="100"/>
      <c r="CY459" s="34" t="s">
        <v>1385</v>
      </c>
      <c r="CZ459" s="35">
        <v>2.8402079999999999E-3</v>
      </c>
    </row>
    <row r="460" spans="40:104" x14ac:dyDescent="0.3">
      <c r="AN460" s="117"/>
      <c r="AO460" s="118"/>
      <c r="AP460" s="119"/>
      <c r="AQ460" s="120"/>
      <c r="AS460" s="100"/>
      <c r="CY460" s="34" t="s">
        <v>1386</v>
      </c>
      <c r="CZ460" s="35">
        <v>3.7943045657600006E-3</v>
      </c>
    </row>
    <row r="461" spans="40:104" x14ac:dyDescent="0.3">
      <c r="AN461" s="117"/>
      <c r="AO461" s="118"/>
      <c r="AP461" s="119"/>
      <c r="AQ461" s="120"/>
      <c r="AS461" s="100"/>
      <c r="CY461" s="34" t="s">
        <v>1387</v>
      </c>
      <c r="CZ461" s="35">
        <v>3.9462830768333332E-3</v>
      </c>
    </row>
    <row r="462" spans="40:104" x14ac:dyDescent="0.3">
      <c r="AN462" s="117"/>
      <c r="AO462" s="118"/>
      <c r="AP462" s="119"/>
      <c r="AQ462" s="120"/>
      <c r="AS462" s="100"/>
      <c r="CY462" s="34" t="s">
        <v>1388</v>
      </c>
      <c r="CZ462" s="35">
        <v>4.4303715128000002E-3</v>
      </c>
    </row>
    <row r="463" spans="40:104" x14ac:dyDescent="0.3">
      <c r="AN463" s="117"/>
      <c r="AO463" s="118"/>
      <c r="AP463" s="119"/>
      <c r="AQ463" s="120"/>
      <c r="AS463" s="100"/>
      <c r="CY463" s="34" t="s">
        <v>1389</v>
      </c>
      <c r="CZ463" s="35">
        <v>5.1561613280000007E-3</v>
      </c>
    </row>
    <row r="464" spans="40:104" x14ac:dyDescent="0.3">
      <c r="AN464" s="117"/>
      <c r="AO464" s="118"/>
      <c r="AP464" s="119"/>
      <c r="AQ464" s="120"/>
      <c r="AS464" s="100"/>
      <c r="CY464" s="34" t="s">
        <v>1390</v>
      </c>
      <c r="CZ464" s="35">
        <v>1.2592807101000003E-2</v>
      </c>
    </row>
    <row r="465" spans="40:104" x14ac:dyDescent="0.3">
      <c r="AN465" s="117"/>
      <c r="AO465" s="118"/>
      <c r="AP465" s="119"/>
      <c r="AQ465" s="120"/>
      <c r="AS465" s="100"/>
      <c r="CY465" s="34" t="s">
        <v>1391</v>
      </c>
      <c r="CZ465" s="35">
        <v>1.2592807099076925E-2</v>
      </c>
    </row>
    <row r="466" spans="40:104" x14ac:dyDescent="0.3">
      <c r="AN466" s="117"/>
      <c r="AO466" s="118"/>
      <c r="AP466" s="119"/>
      <c r="AQ466" s="120"/>
      <c r="AS466" s="100"/>
      <c r="CY466" s="34" t="s">
        <v>1392</v>
      </c>
      <c r="CZ466" s="35">
        <v>1.2608712044000001E-2</v>
      </c>
    </row>
    <row r="467" spans="40:104" x14ac:dyDescent="0.3">
      <c r="AN467" s="117"/>
      <c r="AO467" s="118"/>
      <c r="AP467" s="119"/>
      <c r="AQ467" s="120"/>
      <c r="AS467" s="100"/>
      <c r="CY467" s="34" t="s">
        <v>1393</v>
      </c>
      <c r="CZ467" s="35">
        <v>9.478965519999999E-4</v>
      </c>
    </row>
    <row r="468" spans="40:104" x14ac:dyDescent="0.3">
      <c r="AN468" s="117"/>
      <c r="AO468" s="118"/>
      <c r="AP468" s="119"/>
      <c r="AQ468" s="120"/>
      <c r="AS468" s="100"/>
      <c r="CY468" s="34" t="s">
        <v>1394</v>
      </c>
      <c r="CZ468" s="35">
        <v>1.9677608000000001E-3</v>
      </c>
    </row>
    <row r="469" spans="40:104" x14ac:dyDescent="0.3">
      <c r="AN469" s="117"/>
      <c r="AO469" s="118"/>
      <c r="AP469" s="119"/>
      <c r="AQ469" s="120"/>
      <c r="AS469" s="100"/>
      <c r="CY469" s="34" t="s">
        <v>1395</v>
      </c>
      <c r="CZ469" s="35">
        <v>3.2843254080000004E-3</v>
      </c>
    </row>
    <row r="470" spans="40:104" x14ac:dyDescent="0.3">
      <c r="AN470" s="136"/>
      <c r="AO470" s="118"/>
      <c r="AP470" s="119"/>
      <c r="AQ470" s="120"/>
      <c r="AS470" s="100"/>
      <c r="CY470" s="34" t="s">
        <v>1396</v>
      </c>
      <c r="CZ470" s="35">
        <v>8.0350517893E-3</v>
      </c>
    </row>
    <row r="471" spans="40:104" x14ac:dyDescent="0.3">
      <c r="AN471" s="117"/>
      <c r="AO471" s="118"/>
      <c r="AP471" s="119"/>
      <c r="AQ471" s="120"/>
      <c r="AS471" s="100"/>
      <c r="CY471" s="34" t="s">
        <v>1397</v>
      </c>
      <c r="CZ471" s="35">
        <v>3.7369384736842106E-4</v>
      </c>
    </row>
    <row r="472" spans="40:104" x14ac:dyDescent="0.3">
      <c r="AN472" s="117"/>
      <c r="AO472" s="118"/>
      <c r="AP472" s="119"/>
      <c r="AQ472" s="120"/>
      <c r="AS472" s="100"/>
      <c r="CY472" s="34" t="s">
        <v>1398</v>
      </c>
      <c r="CZ472" s="35">
        <v>7.9330521430000006E-4</v>
      </c>
    </row>
    <row r="473" spans="40:104" x14ac:dyDescent="0.3">
      <c r="AN473" s="117"/>
      <c r="AO473" s="118"/>
      <c r="AP473" s="119"/>
      <c r="AQ473" s="120"/>
      <c r="AS473" s="100"/>
      <c r="CY473" s="34" t="s">
        <v>1399</v>
      </c>
      <c r="CZ473" s="35">
        <v>1.7925058936E-3</v>
      </c>
    </row>
    <row r="474" spans="40:104" x14ac:dyDescent="0.3">
      <c r="AN474" s="136"/>
      <c r="AO474" s="118"/>
      <c r="AP474" s="119"/>
      <c r="AQ474" s="120"/>
      <c r="AS474" s="100"/>
      <c r="CY474" s="34" t="s">
        <v>1400</v>
      </c>
      <c r="CZ474" s="35">
        <v>3.4415122560000006E-3</v>
      </c>
    </row>
    <row r="475" spans="40:104" x14ac:dyDescent="0.3">
      <c r="AN475" s="117"/>
      <c r="AO475" s="118"/>
      <c r="AP475" s="119"/>
      <c r="AQ475" s="120"/>
      <c r="AS475" s="100"/>
      <c r="CY475" s="34" t="s">
        <v>1401</v>
      </c>
      <c r="CZ475" s="35">
        <v>9.6989135040000014E-3</v>
      </c>
    </row>
    <row r="476" spans="40:104" x14ac:dyDescent="0.3">
      <c r="AN476" s="117"/>
      <c r="AO476" s="118"/>
      <c r="AP476" s="119"/>
      <c r="AQ476" s="120"/>
      <c r="AS476" s="100"/>
      <c r="CY476" s="34" t="s">
        <v>1402</v>
      </c>
      <c r="CZ476" s="35">
        <v>2.2795931135999998E-2</v>
      </c>
    </row>
    <row r="477" spans="40:104" x14ac:dyDescent="0.3">
      <c r="AN477" s="117"/>
      <c r="AO477" s="118"/>
      <c r="AP477" s="119"/>
      <c r="AQ477" s="120"/>
      <c r="AS477" s="100"/>
      <c r="CY477" s="34" t="s">
        <v>1403</v>
      </c>
      <c r="CZ477" s="35">
        <v>2.1175254136650001E-2</v>
      </c>
    </row>
    <row r="478" spans="40:104" x14ac:dyDescent="0.3">
      <c r="AN478" s="117"/>
      <c r="AO478" s="118"/>
      <c r="AP478" s="119"/>
      <c r="AQ478" s="120"/>
      <c r="AS478" s="100"/>
      <c r="CY478" s="34" t="s">
        <v>1404</v>
      </c>
      <c r="CZ478" s="35">
        <v>5.0734694399999997E-3</v>
      </c>
    </row>
    <row r="479" spans="40:104" x14ac:dyDescent="0.3">
      <c r="AN479" s="136"/>
      <c r="AO479" s="118"/>
      <c r="AP479" s="119"/>
      <c r="AQ479" s="120"/>
      <c r="AS479" s="100"/>
      <c r="CY479" s="34" t="s">
        <v>1405</v>
      </c>
      <c r="CZ479" s="35">
        <v>3.3279647999999995E-2</v>
      </c>
    </row>
    <row r="480" spans="40:104" x14ac:dyDescent="0.3">
      <c r="AN480" s="117"/>
      <c r="AO480" s="118"/>
      <c r="AP480" s="119"/>
      <c r="AQ480" s="120"/>
      <c r="AS480" s="100"/>
      <c r="CY480" s="34" t="s">
        <v>1406</v>
      </c>
      <c r="CZ480" s="35">
        <v>2.7733471999999995E-2</v>
      </c>
    </row>
    <row r="481" spans="40:104" x14ac:dyDescent="0.3">
      <c r="AN481" s="117"/>
      <c r="AO481" s="118"/>
      <c r="AP481" s="119"/>
      <c r="AQ481" s="120"/>
      <c r="AS481" s="100"/>
      <c r="CY481" s="34" t="s">
        <v>1407</v>
      </c>
      <c r="CZ481" s="35">
        <v>4.9341760000000002E-3</v>
      </c>
    </row>
    <row r="482" spans="40:104" x14ac:dyDescent="0.3">
      <c r="AN482" s="117"/>
      <c r="AO482" s="118"/>
      <c r="AP482" s="119"/>
      <c r="AQ482" s="120"/>
      <c r="AS482" s="100"/>
      <c r="CY482" s="34" t="s">
        <v>1408</v>
      </c>
      <c r="CZ482" s="35">
        <v>2.5851217578666669E-2</v>
      </c>
    </row>
    <row r="483" spans="40:104" x14ac:dyDescent="0.3">
      <c r="AN483" s="117"/>
      <c r="AO483" s="118"/>
      <c r="AP483" s="119"/>
      <c r="AQ483" s="120"/>
      <c r="AS483" s="100"/>
      <c r="CY483" s="34" t="s">
        <v>1409</v>
      </c>
      <c r="CZ483" s="35">
        <v>2.8791596079999998E-3</v>
      </c>
    </row>
    <row r="484" spans="40:104" x14ac:dyDescent="0.3">
      <c r="AN484" s="117"/>
      <c r="AO484" s="118"/>
      <c r="AP484" s="119"/>
      <c r="AQ484" s="120"/>
      <c r="AS484" s="100"/>
      <c r="CY484" s="34" t="s">
        <v>1410</v>
      </c>
      <c r="CZ484" s="35">
        <v>1.9271840639999997E-3</v>
      </c>
    </row>
    <row r="485" spans="40:104" x14ac:dyDescent="0.3">
      <c r="AN485" s="117"/>
      <c r="AO485" s="118"/>
      <c r="AP485" s="119"/>
      <c r="AQ485" s="120"/>
      <c r="AS485" s="100"/>
      <c r="CY485" s="34" t="s">
        <v>1411</v>
      </c>
      <c r="CZ485" s="35">
        <v>8.3607261329999986E-4</v>
      </c>
    </row>
    <row r="486" spans="40:104" x14ac:dyDescent="0.3">
      <c r="AN486" s="117"/>
      <c r="AO486" s="118"/>
      <c r="AP486" s="119"/>
      <c r="AQ486" s="120"/>
      <c r="AS486" s="100"/>
      <c r="CY486" s="34" t="s">
        <v>1412</v>
      </c>
      <c r="CZ486" s="35">
        <v>5.4937459199999995E-4</v>
      </c>
    </row>
    <row r="487" spans="40:104" x14ac:dyDescent="0.3">
      <c r="AN487" s="117"/>
      <c r="AO487" s="118"/>
      <c r="AP487" s="119"/>
      <c r="AQ487" s="120"/>
      <c r="AS487" s="100"/>
      <c r="CY487" s="34" t="s">
        <v>1413</v>
      </c>
      <c r="CZ487" s="35">
        <v>1.212885024E-3</v>
      </c>
    </row>
    <row r="488" spans="40:104" x14ac:dyDescent="0.3">
      <c r="AN488" s="117"/>
      <c r="AO488" s="118"/>
      <c r="AP488" s="119"/>
      <c r="AQ488" s="120"/>
      <c r="AS488" s="100"/>
      <c r="CY488" s="34" t="s">
        <v>1414</v>
      </c>
      <c r="CZ488" s="35">
        <v>9.6175973599999989E-3</v>
      </c>
    </row>
    <row r="489" spans="40:104" x14ac:dyDescent="0.3">
      <c r="AN489" s="117"/>
      <c r="AO489" s="118"/>
      <c r="AP489" s="119"/>
      <c r="AQ489" s="120"/>
      <c r="AS489" s="100"/>
      <c r="CY489" s="34" t="s">
        <v>1415</v>
      </c>
      <c r="CZ489" s="35">
        <v>1.2361239572000001E-2</v>
      </c>
    </row>
    <row r="490" spans="40:104" x14ac:dyDescent="0.3">
      <c r="AN490" s="117"/>
      <c r="AO490" s="118"/>
      <c r="AP490" s="119"/>
      <c r="AQ490" s="120"/>
      <c r="AS490" s="100"/>
      <c r="CY490" s="34" t="s">
        <v>1416</v>
      </c>
      <c r="CZ490" s="35">
        <v>1.6959287279999999E-3</v>
      </c>
    </row>
    <row r="491" spans="40:104" x14ac:dyDescent="0.3">
      <c r="AN491" s="117"/>
      <c r="AO491" s="118"/>
      <c r="AP491" s="119"/>
      <c r="AQ491" s="120"/>
      <c r="AS491" s="100"/>
      <c r="CY491" s="34" t="s">
        <v>1417</v>
      </c>
      <c r="CZ491" s="35">
        <v>1.5233800000000002E-3</v>
      </c>
    </row>
    <row r="492" spans="40:104" x14ac:dyDescent="0.3">
      <c r="AN492" s="117"/>
      <c r="AO492" s="118"/>
      <c r="AP492" s="119"/>
      <c r="AQ492" s="120"/>
      <c r="AS492" s="100"/>
      <c r="CY492" s="34" t="s">
        <v>1418</v>
      </c>
      <c r="CZ492" s="35">
        <v>1.4514494802999999E-2</v>
      </c>
    </row>
    <row r="493" spans="40:104" x14ac:dyDescent="0.3">
      <c r="AN493" s="117"/>
      <c r="AO493" s="118"/>
      <c r="AP493" s="119"/>
      <c r="AQ493" s="120"/>
      <c r="AS493" s="100"/>
      <c r="CY493" s="34" t="s">
        <v>1419</v>
      </c>
      <c r="CZ493" s="35">
        <v>1.8956535191999999E-2</v>
      </c>
    </row>
    <row r="494" spans="40:104" x14ac:dyDescent="0.3">
      <c r="AN494" s="117"/>
      <c r="AO494" s="118"/>
      <c r="AP494" s="119"/>
      <c r="AQ494" s="120"/>
      <c r="AS494" s="100"/>
      <c r="CY494" s="34" t="s">
        <v>1420</v>
      </c>
      <c r="CZ494" s="35">
        <v>5.4733393999999998E-2</v>
      </c>
    </row>
    <row r="495" spans="40:104" x14ac:dyDescent="0.3">
      <c r="AN495" s="117"/>
      <c r="AO495" s="118"/>
      <c r="AP495" s="119"/>
      <c r="AQ495" s="120"/>
      <c r="AS495" s="100"/>
      <c r="CY495" s="34" t="s">
        <v>1421</v>
      </c>
      <c r="CZ495" s="35">
        <v>5.4668194519999994E-3</v>
      </c>
    </row>
    <row r="496" spans="40:104" x14ac:dyDescent="0.3">
      <c r="AN496" s="117"/>
      <c r="AO496" s="118"/>
      <c r="AP496" s="119"/>
      <c r="AQ496" s="120"/>
      <c r="AS496" s="100"/>
      <c r="CY496" s="34" t="s">
        <v>1422</v>
      </c>
      <c r="CZ496" s="35">
        <v>1.2114011872000001E-2</v>
      </c>
    </row>
    <row r="497" spans="40:104" x14ac:dyDescent="0.3">
      <c r="AN497" s="117"/>
      <c r="AO497" s="118"/>
      <c r="AP497" s="119"/>
      <c r="AQ497" s="120"/>
      <c r="AS497" s="100"/>
      <c r="CY497" s="34" t="s">
        <v>1423</v>
      </c>
      <c r="CZ497" s="35">
        <v>5.4426684392000005E-3</v>
      </c>
    </row>
    <row r="498" spans="40:104" x14ac:dyDescent="0.3">
      <c r="AN498" s="117"/>
      <c r="AO498" s="115"/>
      <c r="AP498" s="119"/>
      <c r="AQ498" s="219"/>
      <c r="AS498" s="100"/>
      <c r="CY498" s="34" t="s">
        <v>1424</v>
      </c>
      <c r="CZ498" s="35">
        <v>6.0700510282666667E-3</v>
      </c>
    </row>
    <row r="499" spans="40:104" x14ac:dyDescent="0.3">
      <c r="AN499" s="117"/>
      <c r="AO499" s="118"/>
      <c r="AP499" s="119"/>
      <c r="AQ499" s="120"/>
      <c r="AS499" s="100"/>
      <c r="CY499" s="34" t="s">
        <v>1425</v>
      </c>
      <c r="CZ499" s="35">
        <v>1.1665446617150001E-2</v>
      </c>
    </row>
    <row r="500" spans="40:104" x14ac:dyDescent="0.3">
      <c r="AN500" s="117"/>
      <c r="AO500" s="118"/>
      <c r="AP500" s="119"/>
      <c r="AQ500" s="120"/>
      <c r="AS500" s="100"/>
      <c r="CY500" s="34" t="s">
        <v>1426</v>
      </c>
      <c r="CZ500" s="35">
        <v>3.7009666000000001E-4</v>
      </c>
    </row>
    <row r="501" spans="40:104" x14ac:dyDescent="0.3">
      <c r="AN501" s="117"/>
      <c r="AO501" s="118"/>
      <c r="AP501" s="119"/>
      <c r="AQ501" s="120"/>
      <c r="AS501" s="100"/>
      <c r="CY501" s="34" t="s">
        <v>1427</v>
      </c>
      <c r="CZ501" s="35">
        <v>4.6297055999999998E-4</v>
      </c>
    </row>
    <row r="502" spans="40:104" x14ac:dyDescent="0.3">
      <c r="AN502" s="117"/>
      <c r="AO502" s="118"/>
      <c r="AP502" s="119"/>
      <c r="AQ502" s="120"/>
      <c r="AS502" s="100"/>
      <c r="CY502" s="34" t="s">
        <v>1428</v>
      </c>
      <c r="CZ502" s="35">
        <v>5.3712647039999995E-3</v>
      </c>
    </row>
    <row r="503" spans="40:104" x14ac:dyDescent="0.3">
      <c r="AN503" s="136"/>
      <c r="AO503" s="118"/>
      <c r="AP503" s="119"/>
      <c r="AQ503" s="120"/>
      <c r="AS503" s="100"/>
      <c r="CY503" s="34" t="s">
        <v>1429</v>
      </c>
      <c r="CZ503" s="35">
        <v>3.4463861920000002E-3</v>
      </c>
    </row>
    <row r="504" spans="40:104" x14ac:dyDescent="0.3">
      <c r="AN504" s="117"/>
      <c r="AO504" s="118"/>
      <c r="AP504" s="119"/>
      <c r="AQ504" s="120"/>
      <c r="AS504" s="100"/>
      <c r="CY504" s="34" t="s">
        <v>1430</v>
      </c>
      <c r="CZ504" s="35">
        <v>0.15522612000000002</v>
      </c>
    </row>
    <row r="505" spans="40:104" x14ac:dyDescent="0.3">
      <c r="AN505" s="117"/>
      <c r="AO505" s="118"/>
      <c r="AP505" s="119"/>
      <c r="AQ505" s="120"/>
      <c r="AS505" s="100"/>
      <c r="CY505" s="34" t="s">
        <v>1431</v>
      </c>
      <c r="CZ505" s="35">
        <v>8.2159001600000002E-4</v>
      </c>
    </row>
    <row r="506" spans="40:104" x14ac:dyDescent="0.3">
      <c r="AN506" s="117"/>
      <c r="AO506" s="118"/>
      <c r="AP506" s="119"/>
      <c r="AQ506" s="120"/>
      <c r="AS506" s="100"/>
      <c r="CY506" s="34" t="s">
        <v>1432</v>
      </c>
      <c r="CZ506" s="35">
        <v>5.65212024E-3</v>
      </c>
    </row>
    <row r="507" spans="40:104" x14ac:dyDescent="0.3">
      <c r="AN507" s="117"/>
      <c r="AO507" s="118"/>
      <c r="AP507" s="119"/>
      <c r="AQ507" s="120"/>
      <c r="AS507" s="100"/>
      <c r="CY507" s="34" t="s">
        <v>1433</v>
      </c>
      <c r="CZ507" s="35">
        <v>0.124559428</v>
      </c>
    </row>
    <row r="508" spans="40:104" x14ac:dyDescent="0.3">
      <c r="AN508" s="117"/>
      <c r="AO508" s="118"/>
      <c r="AP508" s="119"/>
      <c r="AQ508" s="120"/>
      <c r="AS508" s="100"/>
      <c r="CY508" s="34" t="s">
        <v>1434</v>
      </c>
      <c r="CZ508" s="35">
        <v>1.7062680211000002E-2</v>
      </c>
    </row>
    <row r="509" spans="40:104" x14ac:dyDescent="0.3">
      <c r="AN509" s="117"/>
      <c r="AO509" s="118"/>
      <c r="AP509" s="119"/>
      <c r="AQ509" s="120"/>
      <c r="AS509" s="100"/>
      <c r="CY509" s="34" t="s">
        <v>1435</v>
      </c>
      <c r="CZ509" s="35">
        <v>1.8123760512000001E-2</v>
      </c>
    </row>
    <row r="510" spans="40:104" x14ac:dyDescent="0.3">
      <c r="AN510" s="117"/>
      <c r="AO510" s="118"/>
      <c r="AP510" s="119"/>
      <c r="AQ510" s="120"/>
      <c r="AS510" s="100"/>
      <c r="CY510" s="34" t="s">
        <v>1436</v>
      </c>
      <c r="CZ510" s="35">
        <v>2.7319100224000002E-2</v>
      </c>
    </row>
    <row r="511" spans="40:104" x14ac:dyDescent="0.3">
      <c r="AN511" s="117"/>
      <c r="AO511" s="118"/>
      <c r="AP511" s="119"/>
      <c r="AQ511" s="120"/>
      <c r="AS511" s="100"/>
      <c r="CY511" s="34" t="s">
        <v>1437</v>
      </c>
      <c r="CZ511" s="35">
        <v>1.28096271E-2</v>
      </c>
    </row>
    <row r="512" spans="40:104" x14ac:dyDescent="0.3">
      <c r="AN512" s="117"/>
      <c r="AO512" s="118"/>
      <c r="AP512" s="119"/>
      <c r="AQ512" s="120"/>
      <c r="AS512" s="100"/>
      <c r="CY512" s="34" t="s">
        <v>1438</v>
      </c>
      <c r="CZ512" s="35">
        <v>1.3833816368E-3</v>
      </c>
    </row>
    <row r="513" spans="40:104" x14ac:dyDescent="0.3">
      <c r="AN513" s="117"/>
      <c r="AO513" s="115"/>
      <c r="AP513" s="119"/>
      <c r="AQ513" s="219"/>
      <c r="AS513" s="100"/>
      <c r="CY513" s="34" t="s">
        <v>1439</v>
      </c>
      <c r="CZ513" s="35">
        <v>2.2112511719999998E-2</v>
      </c>
    </row>
    <row r="514" spans="40:104" x14ac:dyDescent="0.3">
      <c r="AN514" s="117"/>
      <c r="AO514" s="118"/>
      <c r="AP514" s="119"/>
      <c r="AQ514" s="120"/>
      <c r="AS514" s="100"/>
      <c r="CY514" s="34" t="s">
        <v>1440</v>
      </c>
      <c r="CZ514" s="35">
        <v>7.5150293333333335E-3</v>
      </c>
    </row>
    <row r="515" spans="40:104" x14ac:dyDescent="0.3">
      <c r="AN515" s="117"/>
      <c r="AO515" s="118"/>
      <c r="AP515" s="119"/>
      <c r="AQ515" s="120"/>
      <c r="AS515" s="100"/>
      <c r="CY515" s="34" t="s">
        <v>1441</v>
      </c>
      <c r="CZ515" s="35">
        <v>9.1679235797333336E-2</v>
      </c>
    </row>
    <row r="516" spans="40:104" x14ac:dyDescent="0.3">
      <c r="AN516" s="117"/>
      <c r="AO516" s="118"/>
      <c r="AP516" s="119"/>
      <c r="AQ516" s="120"/>
      <c r="AS516" s="100"/>
      <c r="CY516" s="34" t="s">
        <v>1442</v>
      </c>
      <c r="CZ516" s="35">
        <v>0.246610617</v>
      </c>
    </row>
    <row r="517" spans="40:104" x14ac:dyDescent="0.3">
      <c r="AN517" s="117"/>
      <c r="AO517" s="118"/>
      <c r="AP517" s="119"/>
      <c r="AQ517" s="120"/>
      <c r="AS517" s="100"/>
      <c r="CY517" s="34" t="s">
        <v>1443</v>
      </c>
      <c r="CZ517" s="35">
        <v>1.5012944874666668E-2</v>
      </c>
    </row>
    <row r="518" spans="40:104" x14ac:dyDescent="0.3">
      <c r="AN518" s="117"/>
      <c r="AO518" s="118"/>
      <c r="AP518" s="119"/>
      <c r="AQ518" s="120"/>
      <c r="AS518" s="100"/>
      <c r="CY518" s="34" t="s">
        <v>1444</v>
      </c>
      <c r="CZ518" s="35">
        <v>1.1699861856000001E-2</v>
      </c>
    </row>
    <row r="519" spans="40:104" x14ac:dyDescent="0.3">
      <c r="AN519" s="117"/>
      <c r="AO519" s="118"/>
      <c r="AP519" s="119"/>
      <c r="AQ519" s="120"/>
      <c r="AS519" s="100"/>
      <c r="CY519" s="34" t="s">
        <v>1445</v>
      </c>
      <c r="CZ519" s="35">
        <v>1.1924044808E-2</v>
      </c>
    </row>
    <row r="520" spans="40:104" x14ac:dyDescent="0.3">
      <c r="AN520" s="117"/>
      <c r="AO520" s="118"/>
      <c r="AP520" s="119"/>
      <c r="AQ520" s="120"/>
      <c r="AS520" s="100"/>
      <c r="CY520" s="34" t="s">
        <v>1446</v>
      </c>
      <c r="CZ520" s="35">
        <v>2.3113521080000001E-2</v>
      </c>
    </row>
    <row r="521" spans="40:104" x14ac:dyDescent="0.3">
      <c r="AN521" s="117"/>
      <c r="AO521" s="118"/>
      <c r="AP521" s="119"/>
      <c r="AQ521" s="120"/>
      <c r="AS521" s="100"/>
      <c r="CY521" s="34" t="s">
        <v>1447</v>
      </c>
      <c r="CZ521" s="35">
        <v>3.5963813559999999E-3</v>
      </c>
    </row>
    <row r="522" spans="40:104" x14ac:dyDescent="0.3">
      <c r="AN522" s="117"/>
      <c r="AO522" s="118"/>
      <c r="AP522" s="119"/>
      <c r="AQ522" s="120"/>
      <c r="AS522" s="100"/>
      <c r="CY522" s="34" t="s">
        <v>1448</v>
      </c>
      <c r="CZ522" s="35">
        <v>4.3829389013333338E-2</v>
      </c>
    </row>
    <row r="523" spans="40:104" x14ac:dyDescent="0.3">
      <c r="AN523" s="117"/>
      <c r="AO523" s="118"/>
      <c r="AP523" s="119"/>
      <c r="AQ523" s="120"/>
      <c r="AS523" s="100"/>
      <c r="CY523" s="34" t="s">
        <v>1449</v>
      </c>
      <c r="CZ523" s="35">
        <v>1.4857000704000001E-2</v>
      </c>
    </row>
    <row r="524" spans="40:104" x14ac:dyDescent="0.3">
      <c r="AN524" s="117"/>
      <c r="AO524" s="118"/>
      <c r="AP524" s="119"/>
      <c r="AQ524" s="120"/>
      <c r="AS524" s="100"/>
      <c r="CY524" s="34" t="s">
        <v>1450</v>
      </c>
      <c r="CZ524" s="35">
        <v>3.7484248858999994E-3</v>
      </c>
    </row>
    <row r="525" spans="40:104" x14ac:dyDescent="0.3">
      <c r="AN525" s="117"/>
      <c r="AO525" s="118"/>
      <c r="AP525" s="119"/>
      <c r="AQ525" s="120"/>
      <c r="AS525" s="100"/>
      <c r="CY525" s="34" t="s">
        <v>1451</v>
      </c>
      <c r="CZ525" s="35">
        <v>3.7484248858999994E-3</v>
      </c>
    </row>
    <row r="526" spans="40:104" x14ac:dyDescent="0.3">
      <c r="AN526" s="117"/>
      <c r="AO526" s="118"/>
      <c r="AP526" s="119"/>
      <c r="AQ526" s="120"/>
      <c r="AS526" s="100"/>
      <c r="CY526" s="34" t="s">
        <v>1452</v>
      </c>
      <c r="CZ526" s="35">
        <v>2.6592049280000003E-3</v>
      </c>
    </row>
    <row r="527" spans="40:104" x14ac:dyDescent="0.3">
      <c r="AN527" s="117"/>
      <c r="AO527" s="118"/>
      <c r="AP527" s="119"/>
      <c r="AQ527" s="120"/>
      <c r="AS527" s="100"/>
      <c r="CY527" s="34" t="s">
        <v>1453</v>
      </c>
      <c r="CZ527" s="35">
        <v>2.5450141600000002E-3</v>
      </c>
    </row>
    <row r="528" spans="40:104" x14ac:dyDescent="0.3">
      <c r="AN528" s="117"/>
      <c r="AO528" s="118"/>
      <c r="AP528" s="119"/>
      <c r="AQ528" s="120"/>
      <c r="AS528" s="100"/>
      <c r="CY528" s="34" t="s">
        <v>1454</v>
      </c>
      <c r="CZ528" s="35">
        <v>3.1599808800000001E-3</v>
      </c>
    </row>
    <row r="529" spans="40:104" x14ac:dyDescent="0.3">
      <c r="AN529" s="117"/>
      <c r="AO529" s="118"/>
      <c r="AP529" s="119"/>
      <c r="AQ529" s="120"/>
      <c r="AS529" s="100"/>
      <c r="CY529" s="34" t="s">
        <v>1455</v>
      </c>
      <c r="CZ529" s="35">
        <v>1.7741550872000002E-2</v>
      </c>
    </row>
    <row r="530" spans="40:104" x14ac:dyDescent="0.3">
      <c r="AN530" s="117"/>
      <c r="AO530" s="118"/>
      <c r="AP530" s="119"/>
      <c r="AQ530" s="120"/>
      <c r="AS530" s="100"/>
      <c r="CY530" s="34" t="s">
        <v>1456</v>
      </c>
      <c r="CZ530" s="35">
        <v>5.0078815999999998E-3</v>
      </c>
    </row>
    <row r="531" spans="40:104" x14ac:dyDescent="0.3">
      <c r="AN531" s="117"/>
      <c r="AO531" s="118"/>
      <c r="AP531" s="119"/>
      <c r="AQ531" s="120"/>
      <c r="AS531" s="100"/>
      <c r="CY531" s="34" t="s">
        <v>1457</v>
      </c>
      <c r="CZ531" s="35">
        <v>6.4276419999999999E-3</v>
      </c>
    </row>
    <row r="532" spans="40:104" x14ac:dyDescent="0.3">
      <c r="AN532" s="117"/>
      <c r="AO532" s="118"/>
      <c r="AP532" s="119"/>
      <c r="AQ532" s="120"/>
      <c r="AS532" s="100"/>
      <c r="CY532" s="34" t="s">
        <v>1458</v>
      </c>
      <c r="CZ532" s="35">
        <v>2.873867376E-2</v>
      </c>
    </row>
    <row r="533" spans="40:104" x14ac:dyDescent="0.3">
      <c r="AN533" s="117"/>
      <c r="AO533" s="118"/>
      <c r="AP533" s="119"/>
      <c r="AQ533" s="120"/>
      <c r="AS533" s="100"/>
      <c r="CY533" s="34" t="s">
        <v>1459</v>
      </c>
      <c r="CZ533" s="35">
        <v>2.7810859999999995E-3</v>
      </c>
    </row>
    <row r="534" spans="40:104" x14ac:dyDescent="0.3">
      <c r="AN534" s="117"/>
      <c r="AO534" s="118"/>
      <c r="AP534" s="119"/>
      <c r="AQ534" s="120"/>
      <c r="AS534" s="100"/>
      <c r="CY534" s="34" t="s">
        <v>1460</v>
      </c>
      <c r="CZ534" s="35">
        <v>5.5821114207999997E-2</v>
      </c>
    </row>
    <row r="535" spans="40:104" x14ac:dyDescent="0.3">
      <c r="AN535" s="117"/>
      <c r="AO535" s="118"/>
      <c r="AP535" s="119"/>
      <c r="AQ535" s="120"/>
      <c r="AS535" s="100"/>
      <c r="CY535" s="34" t="s">
        <v>1461</v>
      </c>
      <c r="CZ535" s="35">
        <v>4.2164979999999999E-3</v>
      </c>
    </row>
    <row r="536" spans="40:104" x14ac:dyDescent="0.3">
      <c r="AN536" s="117"/>
      <c r="AO536" s="118"/>
      <c r="AP536" s="119"/>
      <c r="AQ536" s="120"/>
      <c r="AS536" s="100"/>
      <c r="CY536" s="34" t="s">
        <v>1462</v>
      </c>
      <c r="CZ536" s="35">
        <v>9.2503575319999992E-4</v>
      </c>
    </row>
    <row r="537" spans="40:104" x14ac:dyDescent="0.3">
      <c r="AN537" s="117"/>
      <c r="AO537" s="118"/>
      <c r="AP537" s="119"/>
      <c r="AQ537" s="120"/>
      <c r="AS537" s="100"/>
      <c r="CY537" s="34" t="s">
        <v>1463</v>
      </c>
      <c r="CZ537" s="35">
        <v>0.157448136456</v>
      </c>
    </row>
    <row r="538" spans="40:104" x14ac:dyDescent="0.3">
      <c r="AN538" s="117"/>
      <c r="AO538" s="118"/>
      <c r="AP538" s="119"/>
      <c r="AQ538" s="120"/>
      <c r="AS538" s="100"/>
      <c r="CY538" s="34" t="s">
        <v>1464</v>
      </c>
      <c r="CZ538" s="35">
        <v>1.2370189E-2</v>
      </c>
    </row>
    <row r="539" spans="40:104" x14ac:dyDescent="0.3">
      <c r="AN539" s="117"/>
      <c r="AO539" s="118"/>
      <c r="AP539" s="119"/>
      <c r="AQ539" s="120"/>
      <c r="AS539" s="100"/>
      <c r="CY539" s="34" t="s">
        <v>1465</v>
      </c>
      <c r="CZ539" s="35">
        <v>1.723843552E-3</v>
      </c>
    </row>
    <row r="540" spans="40:104" x14ac:dyDescent="0.3">
      <c r="AN540" s="117"/>
      <c r="AO540" s="118"/>
      <c r="AP540" s="119"/>
      <c r="AQ540" s="120"/>
      <c r="AS540" s="100"/>
      <c r="CY540" s="34" t="s">
        <v>1466</v>
      </c>
      <c r="CZ540" s="35">
        <v>2.6769649919999999E-3</v>
      </c>
    </row>
    <row r="541" spans="40:104" x14ac:dyDescent="0.3">
      <c r="AN541" s="117"/>
      <c r="AO541" s="118"/>
      <c r="AP541" s="119"/>
      <c r="AQ541" s="120"/>
      <c r="AS541" s="100"/>
      <c r="CY541" s="34" t="s">
        <v>1467</v>
      </c>
      <c r="CZ541" s="35">
        <v>4.8772588799999997E-4</v>
      </c>
    </row>
    <row r="542" spans="40:104" x14ac:dyDescent="0.3">
      <c r="AN542" s="117"/>
      <c r="AO542" s="118"/>
      <c r="AP542" s="119"/>
      <c r="AQ542" s="120"/>
      <c r="AS542" s="100"/>
      <c r="CY542" s="34" t="s">
        <v>1468</v>
      </c>
      <c r="CZ542" s="35">
        <v>7.466958719999999E-4</v>
      </c>
    </row>
    <row r="543" spans="40:104" x14ac:dyDescent="0.3">
      <c r="AN543" s="117"/>
      <c r="AO543" s="118"/>
      <c r="AP543" s="119"/>
      <c r="AQ543" s="120"/>
      <c r="AS543" s="100"/>
      <c r="CY543" s="34" t="s">
        <v>1469</v>
      </c>
      <c r="CZ543" s="35">
        <v>3.5745809920000003E-3</v>
      </c>
    </row>
    <row r="544" spans="40:104" x14ac:dyDescent="0.3">
      <c r="AN544" s="117"/>
      <c r="AO544" s="118"/>
      <c r="AP544" s="119"/>
      <c r="AQ544" s="120"/>
      <c r="AS544" s="100"/>
      <c r="CY544" s="34" t="s">
        <v>1470</v>
      </c>
      <c r="CZ544" s="35">
        <v>4.7657716079999995E-3</v>
      </c>
    </row>
    <row r="545" spans="40:104" x14ac:dyDescent="0.3">
      <c r="AN545" s="117"/>
      <c r="AO545" s="118"/>
      <c r="AP545" s="119"/>
      <c r="AQ545" s="120"/>
      <c r="AS545" s="100"/>
      <c r="CY545" s="34" t="s">
        <v>1471</v>
      </c>
      <c r="CZ545" s="35">
        <v>1.3410318272000002E-2</v>
      </c>
    </row>
    <row r="546" spans="40:104" x14ac:dyDescent="0.3">
      <c r="AN546" s="117"/>
      <c r="AO546" s="118"/>
      <c r="AP546" s="119"/>
      <c r="AQ546" s="120"/>
      <c r="AS546" s="100"/>
      <c r="CY546" s="34" t="s">
        <v>1472</v>
      </c>
      <c r="CZ546" s="35">
        <v>2.2413248624000001E-2</v>
      </c>
    </row>
    <row r="547" spans="40:104" x14ac:dyDescent="0.3">
      <c r="AN547" s="117"/>
      <c r="AO547" s="118"/>
      <c r="AP547" s="119"/>
      <c r="AQ547" s="120"/>
      <c r="AS547" s="100"/>
      <c r="CY547" s="34" t="s">
        <v>1473</v>
      </c>
      <c r="CZ547" s="35">
        <v>1.4860859155500002E-2</v>
      </c>
    </row>
    <row r="548" spans="40:104" x14ac:dyDescent="0.3">
      <c r="AN548" s="117"/>
      <c r="AO548" s="118"/>
      <c r="AP548" s="119"/>
      <c r="AQ548" s="120"/>
      <c r="AS548" s="100"/>
      <c r="CY548" s="34" t="s">
        <v>1474</v>
      </c>
      <c r="CZ548" s="35">
        <v>6.3199119360000007E-3</v>
      </c>
    </row>
    <row r="549" spans="40:104" x14ac:dyDescent="0.3">
      <c r="AN549" s="117"/>
      <c r="AO549" s="118"/>
      <c r="AP549" s="119"/>
      <c r="AQ549" s="120"/>
      <c r="AS549" s="100"/>
      <c r="CY549" s="34" t="s">
        <v>1475</v>
      </c>
      <c r="CZ549" s="35">
        <v>1.8245142067E-3</v>
      </c>
    </row>
    <row r="550" spans="40:104" x14ac:dyDescent="0.3">
      <c r="AN550" s="117"/>
      <c r="AO550" s="118"/>
      <c r="AP550" s="119"/>
      <c r="AQ550" s="120"/>
      <c r="AS550" s="100"/>
      <c r="CY550" s="34" t="s">
        <v>1476</v>
      </c>
      <c r="CZ550" s="35">
        <v>4.2820461919999998E-4</v>
      </c>
    </row>
    <row r="551" spans="40:104" x14ac:dyDescent="0.3">
      <c r="AN551" s="117"/>
      <c r="AO551" s="118"/>
      <c r="AP551" s="119"/>
      <c r="AQ551" s="120"/>
      <c r="AS551" s="100"/>
      <c r="CY551" s="34" t="s">
        <v>1477</v>
      </c>
      <c r="CZ551" s="35">
        <v>5.2426436000000006E-4</v>
      </c>
    </row>
    <row r="552" spans="40:104" x14ac:dyDescent="0.3">
      <c r="AN552" s="117"/>
      <c r="AO552" s="118"/>
      <c r="AP552" s="119"/>
      <c r="AQ552" s="120"/>
      <c r="AS552" s="100"/>
      <c r="CY552" s="34" t="s">
        <v>1478</v>
      </c>
      <c r="CZ552" s="35">
        <v>1.723206096E-3</v>
      </c>
    </row>
    <row r="553" spans="40:104" x14ac:dyDescent="0.3">
      <c r="AN553" s="117"/>
      <c r="AO553" s="118"/>
      <c r="AP553" s="119"/>
      <c r="AQ553" s="120"/>
      <c r="AS553" s="100"/>
      <c r="CY553" s="34" t="s">
        <v>1479</v>
      </c>
      <c r="CZ553" s="35">
        <v>6.0678100000000003E-4</v>
      </c>
    </row>
    <row r="554" spans="40:104" x14ac:dyDescent="0.3">
      <c r="AN554" s="117"/>
      <c r="AO554" s="118"/>
      <c r="AP554" s="119"/>
      <c r="AQ554" s="120"/>
      <c r="AS554" s="100"/>
      <c r="CY554" s="34" t="s">
        <v>1480</v>
      </c>
      <c r="CZ554" s="35">
        <v>2.4504524E-2</v>
      </c>
    </row>
    <row r="555" spans="40:104" x14ac:dyDescent="0.3">
      <c r="AN555" s="117"/>
      <c r="AO555" s="118"/>
      <c r="AP555" s="119"/>
      <c r="AQ555" s="120"/>
      <c r="AS555" s="100"/>
      <c r="CY555" s="34" t="s">
        <v>1481</v>
      </c>
      <c r="CZ555" s="35">
        <v>3.5472633351999995E-2</v>
      </c>
    </row>
    <row r="556" spans="40:104" x14ac:dyDescent="0.3">
      <c r="AN556" s="117"/>
      <c r="AO556" s="118"/>
      <c r="AP556" s="119"/>
      <c r="AQ556" s="120"/>
      <c r="AS556" s="100"/>
      <c r="CY556" s="34" t="s">
        <v>1482</v>
      </c>
      <c r="CZ556" s="35">
        <v>2.4317353909333334E-2</v>
      </c>
    </row>
    <row r="557" spans="40:104" x14ac:dyDescent="0.3">
      <c r="AN557" s="117"/>
      <c r="AO557" s="118"/>
      <c r="AP557" s="119"/>
      <c r="AQ557" s="120"/>
      <c r="AS557" s="100"/>
      <c r="CY557" s="34" t="s">
        <v>1483</v>
      </c>
      <c r="CZ557" s="35">
        <v>4.6204493192000011E-3</v>
      </c>
    </row>
    <row r="558" spans="40:104" x14ac:dyDescent="0.3">
      <c r="AN558" s="117"/>
      <c r="AO558" s="118"/>
      <c r="AP558" s="119"/>
      <c r="AQ558" s="120"/>
      <c r="AS558" s="100"/>
      <c r="CY558" s="34" t="s">
        <v>1484</v>
      </c>
      <c r="CZ558" s="35">
        <v>2.4914278560000003E-2</v>
      </c>
    </row>
    <row r="559" spans="40:104" x14ac:dyDescent="0.3">
      <c r="AN559" s="117"/>
      <c r="AO559" s="115"/>
      <c r="AP559" s="119"/>
      <c r="AQ559" s="219"/>
      <c r="AS559" s="100"/>
      <c r="CY559" s="34" t="s">
        <v>1485</v>
      </c>
      <c r="CZ559" s="35">
        <v>1.8743886642857144E-2</v>
      </c>
    </row>
    <row r="560" spans="40:104" x14ac:dyDescent="0.3">
      <c r="AN560" s="117"/>
      <c r="AO560" s="118"/>
      <c r="AP560" s="119"/>
      <c r="AQ560" s="120"/>
      <c r="AS560" s="100"/>
      <c r="CY560" s="34" t="s">
        <v>1486</v>
      </c>
      <c r="CZ560" s="35">
        <v>2.7308522112E-3</v>
      </c>
    </row>
    <row r="561" spans="40:104" x14ac:dyDescent="0.3">
      <c r="AN561" s="117"/>
      <c r="AO561" s="118"/>
      <c r="AP561" s="119"/>
      <c r="AQ561" s="120"/>
      <c r="AS561" s="100"/>
      <c r="CY561" s="34" t="s">
        <v>1487</v>
      </c>
      <c r="CZ561" s="35">
        <v>5.4081032500000008E-3</v>
      </c>
    </row>
    <row r="562" spans="40:104" x14ac:dyDescent="0.3">
      <c r="AN562" s="117"/>
      <c r="AO562" s="118"/>
      <c r="AP562" s="119"/>
      <c r="AQ562" s="120"/>
      <c r="AS562" s="100"/>
      <c r="CY562" s="34" t="s">
        <v>1488</v>
      </c>
      <c r="CZ562" s="35">
        <v>5.0156537600000006E-4</v>
      </c>
    </row>
    <row r="563" spans="40:104" x14ac:dyDescent="0.3">
      <c r="AN563" s="117"/>
      <c r="AO563" s="118"/>
      <c r="AP563" s="119"/>
      <c r="AQ563" s="120"/>
      <c r="AS563" s="100"/>
      <c r="CY563" s="34" t="s">
        <v>1489</v>
      </c>
      <c r="CZ563" s="35">
        <v>2.6925005024166664E-3</v>
      </c>
    </row>
    <row r="564" spans="40:104" x14ac:dyDescent="0.3">
      <c r="AN564" s="117"/>
      <c r="AO564" s="118"/>
      <c r="AP564" s="119"/>
      <c r="AQ564" s="120"/>
      <c r="AS564" s="100"/>
      <c r="CY564" s="34" t="s">
        <v>1490</v>
      </c>
      <c r="CZ564" s="35">
        <v>1.8993820002200222E-3</v>
      </c>
    </row>
    <row r="565" spans="40:104" x14ac:dyDescent="0.3">
      <c r="AN565" s="117"/>
      <c r="AO565" s="118"/>
      <c r="AP565" s="119"/>
      <c r="AQ565" s="120"/>
      <c r="AS565" s="100"/>
      <c r="CY565" s="34" t="s">
        <v>1491</v>
      </c>
      <c r="CZ565" s="35">
        <v>1.989667000220022E-3</v>
      </c>
    </row>
    <row r="566" spans="40:104" x14ac:dyDescent="0.3">
      <c r="AN566" s="117"/>
      <c r="AO566" s="115"/>
      <c r="AP566" s="119"/>
      <c r="AQ566" s="219"/>
      <c r="AS566" s="100"/>
      <c r="CY566" s="34" t="s">
        <v>1492</v>
      </c>
      <c r="CZ566" s="35">
        <v>1.3433161002200219E-3</v>
      </c>
    </row>
    <row r="567" spans="40:104" x14ac:dyDescent="0.3">
      <c r="AN567" s="117"/>
      <c r="AO567" s="118"/>
      <c r="AP567" s="119"/>
      <c r="AQ567" s="120"/>
      <c r="AS567" s="100"/>
      <c r="CY567" s="34" t="s">
        <v>1493</v>
      </c>
      <c r="CZ567" s="35">
        <v>1.8480663399999999E-3</v>
      </c>
    </row>
    <row r="568" spans="40:104" x14ac:dyDescent="0.3">
      <c r="AN568" s="117"/>
      <c r="AO568" s="118"/>
      <c r="AP568" s="119"/>
      <c r="AQ568" s="120"/>
      <c r="AS568" s="100"/>
      <c r="CY568" s="34" t="s">
        <v>1494</v>
      </c>
      <c r="CZ568" s="35">
        <v>1.2121033637333333E-2</v>
      </c>
    </row>
    <row r="569" spans="40:104" x14ac:dyDescent="0.3">
      <c r="AN569" s="117"/>
      <c r="AO569" s="118"/>
      <c r="AP569" s="119"/>
      <c r="AQ569" s="120"/>
      <c r="AS569" s="100"/>
      <c r="CY569" s="34" t="s">
        <v>1495</v>
      </c>
      <c r="CZ569" s="35">
        <v>1.2121033637333333E-2</v>
      </c>
    </row>
    <row r="570" spans="40:104" x14ac:dyDescent="0.3">
      <c r="AN570" s="117"/>
      <c r="AO570" s="118"/>
      <c r="AP570" s="119"/>
      <c r="AQ570" s="120"/>
      <c r="AS570" s="100"/>
      <c r="CY570" s="34" t="s">
        <v>1496</v>
      </c>
      <c r="CZ570" s="35">
        <v>2.6588169579999998E-2</v>
      </c>
    </row>
    <row r="571" spans="40:104" x14ac:dyDescent="0.3">
      <c r="AN571" s="117"/>
      <c r="AO571" s="118"/>
      <c r="AP571" s="119"/>
      <c r="AQ571" s="120"/>
      <c r="AS571" s="100"/>
      <c r="CY571" s="34" t="s">
        <v>1497</v>
      </c>
      <c r="CZ571" s="35">
        <v>5.0193440360000001E-3</v>
      </c>
    </row>
    <row r="572" spans="40:104" x14ac:dyDescent="0.3">
      <c r="AN572" s="117"/>
      <c r="AO572" s="115"/>
      <c r="AP572" s="119"/>
      <c r="AQ572" s="219"/>
      <c r="AS572" s="100"/>
      <c r="CY572" s="34" t="s">
        <v>1498</v>
      </c>
      <c r="CZ572" s="35">
        <v>1.3385767999999999E-2</v>
      </c>
    </row>
    <row r="573" spans="40:104" x14ac:dyDescent="0.3">
      <c r="AN573" s="117"/>
      <c r="AO573" s="115"/>
      <c r="AP573" s="119"/>
      <c r="AQ573" s="219"/>
      <c r="AS573" s="100"/>
      <c r="CY573" s="34" t="s">
        <v>1499</v>
      </c>
      <c r="CZ573" s="35">
        <v>6.1400387999999998E-3</v>
      </c>
    </row>
    <row r="574" spans="40:104" x14ac:dyDescent="0.3">
      <c r="AN574" s="117"/>
      <c r="AO574" s="118"/>
      <c r="AP574" s="119"/>
      <c r="AQ574" s="120"/>
      <c r="AS574" s="100"/>
      <c r="CY574" s="34" t="s">
        <v>1500</v>
      </c>
      <c r="CZ574" s="35">
        <v>6.2488583999999988E-3</v>
      </c>
    </row>
    <row r="575" spans="40:104" x14ac:dyDescent="0.3">
      <c r="AN575" s="117"/>
      <c r="AO575" s="118"/>
      <c r="AP575" s="119"/>
      <c r="AQ575" s="120"/>
      <c r="AS575" s="100"/>
      <c r="CY575" s="34" t="s">
        <v>1501</v>
      </c>
      <c r="CZ575" s="35">
        <v>3.2636624144000005E-3</v>
      </c>
    </row>
    <row r="576" spans="40:104" x14ac:dyDescent="0.3">
      <c r="AN576" s="117"/>
      <c r="AO576" s="118"/>
      <c r="AP576" s="119"/>
      <c r="AQ576" s="120"/>
      <c r="AS576" s="100"/>
      <c r="CY576" s="34" t="s">
        <v>1502</v>
      </c>
      <c r="CZ576" s="35">
        <v>2.10778145E-2</v>
      </c>
    </row>
    <row r="577" spans="40:104" x14ac:dyDescent="0.3">
      <c r="AN577" s="117"/>
      <c r="AO577" s="118"/>
      <c r="AP577" s="119"/>
      <c r="AQ577" s="120"/>
      <c r="AS577" s="100"/>
      <c r="CY577" s="34" t="s">
        <v>1503</v>
      </c>
      <c r="CZ577" s="35">
        <v>1.2888793184E-2</v>
      </c>
    </row>
    <row r="578" spans="40:104" x14ac:dyDescent="0.3">
      <c r="AN578" s="117"/>
      <c r="AO578" s="118"/>
      <c r="AP578" s="119"/>
      <c r="AQ578" s="120"/>
      <c r="AS578" s="100"/>
      <c r="CY578" s="34" t="s">
        <v>1504</v>
      </c>
      <c r="CZ578" s="35">
        <v>3.5161327043199998E-2</v>
      </c>
    </row>
    <row r="579" spans="40:104" x14ac:dyDescent="0.3">
      <c r="AN579" s="117"/>
      <c r="AO579" s="118"/>
      <c r="AP579" s="119"/>
      <c r="AQ579" s="120"/>
      <c r="AS579" s="100"/>
      <c r="CY579" s="34" t="s">
        <v>1505</v>
      </c>
      <c r="CZ579" s="35">
        <v>2.0023203200000002E-3</v>
      </c>
    </row>
    <row r="580" spans="40:104" x14ac:dyDescent="0.3">
      <c r="AN580" s="117"/>
      <c r="AO580" s="118"/>
      <c r="AP580" s="119"/>
      <c r="AQ580" s="120"/>
      <c r="AS580" s="100"/>
      <c r="CY580" s="34" t="s">
        <v>1506</v>
      </c>
      <c r="CZ580" s="35">
        <v>1.4089701600000001E-3</v>
      </c>
    </row>
    <row r="581" spans="40:104" x14ac:dyDescent="0.3">
      <c r="AN581" s="117"/>
      <c r="AO581" s="118"/>
      <c r="AP581" s="119"/>
      <c r="AQ581" s="120"/>
      <c r="AS581" s="100"/>
      <c r="CY581" s="34" t="s">
        <v>1507</v>
      </c>
      <c r="CZ581" s="35">
        <v>9.0448417280000002E-3</v>
      </c>
    </row>
    <row r="582" spans="40:104" x14ac:dyDescent="0.3">
      <c r="AN582" s="117"/>
      <c r="AO582" s="118"/>
      <c r="AP582" s="119"/>
      <c r="AQ582" s="120"/>
      <c r="AS582" s="100"/>
      <c r="CY582" s="34" t="s">
        <v>1508</v>
      </c>
      <c r="CZ582" s="35">
        <v>2.33369992E-4</v>
      </c>
    </row>
    <row r="583" spans="40:104" x14ac:dyDescent="0.3">
      <c r="AN583" s="117"/>
      <c r="AO583" s="118"/>
      <c r="AP583" s="119"/>
      <c r="AQ583" s="120"/>
      <c r="AS583" s="100"/>
      <c r="CY583" s="34" t="s">
        <v>1509</v>
      </c>
      <c r="CZ583" s="35">
        <v>4.9832222660000005E-3</v>
      </c>
    </row>
    <row r="584" spans="40:104" x14ac:dyDescent="0.3">
      <c r="AN584" s="117"/>
      <c r="AO584" s="118"/>
      <c r="AP584" s="119"/>
      <c r="AQ584" s="120"/>
      <c r="AS584" s="100"/>
      <c r="CY584" s="34" t="s">
        <v>1510</v>
      </c>
      <c r="CZ584" s="35">
        <v>1.0242402560000001E-3</v>
      </c>
    </row>
    <row r="585" spans="40:104" x14ac:dyDescent="0.3">
      <c r="AN585" s="117"/>
      <c r="AO585" s="118"/>
      <c r="AP585" s="119"/>
      <c r="AQ585" s="120"/>
      <c r="AS585" s="100"/>
      <c r="CY585" s="34" t="s">
        <v>1511</v>
      </c>
      <c r="CZ585" s="35">
        <v>3.9215785792000003E-2</v>
      </c>
    </row>
    <row r="586" spans="40:104" x14ac:dyDescent="0.3">
      <c r="AN586" s="117"/>
      <c r="AO586" s="118"/>
      <c r="AP586" s="119"/>
      <c r="AQ586" s="120"/>
      <c r="AS586" s="100"/>
      <c r="CY586" s="34" t="s">
        <v>1512</v>
      </c>
      <c r="CZ586" s="35">
        <v>3.2677614847999997E-3</v>
      </c>
    </row>
    <row r="587" spans="40:104" x14ac:dyDescent="0.3">
      <c r="AN587" s="117"/>
      <c r="AO587" s="118"/>
      <c r="AP587" s="119"/>
      <c r="AQ587" s="120"/>
      <c r="AS587" s="100"/>
      <c r="CY587" s="34" t="s">
        <v>1513</v>
      </c>
      <c r="CZ587" s="35">
        <v>2.5724278527999998E-2</v>
      </c>
    </row>
    <row r="588" spans="40:104" x14ac:dyDescent="0.3">
      <c r="AN588" s="117"/>
      <c r="AO588" s="118"/>
      <c r="AP588" s="119"/>
      <c r="AQ588" s="120"/>
      <c r="AS588" s="100"/>
      <c r="CY588" s="34" t="s">
        <v>1514</v>
      </c>
      <c r="CZ588" s="35">
        <v>1.4308180000000002E-3</v>
      </c>
    </row>
    <row r="589" spans="40:104" x14ac:dyDescent="0.3">
      <c r="AN589" s="117"/>
      <c r="AO589" s="118"/>
      <c r="AP589" s="119"/>
      <c r="AQ589" s="120"/>
      <c r="AS589" s="100"/>
      <c r="CY589" s="34" t="s">
        <v>1515</v>
      </c>
      <c r="CZ589" s="35">
        <v>0.12250644592000001</v>
      </c>
    </row>
    <row r="590" spans="40:104" x14ac:dyDescent="0.3">
      <c r="AN590" s="117"/>
      <c r="AO590" s="118"/>
      <c r="AP590" s="119"/>
      <c r="AQ590" s="120"/>
      <c r="AS590" s="100"/>
      <c r="CY590" s="34" t="s">
        <v>1516</v>
      </c>
      <c r="CZ590" s="35">
        <v>0.33008437184</v>
      </c>
    </row>
    <row r="591" spans="40:104" x14ac:dyDescent="0.3">
      <c r="AN591" s="117"/>
      <c r="AO591" s="118"/>
      <c r="AP591" s="119"/>
      <c r="AQ591" s="120"/>
      <c r="AS591" s="100"/>
      <c r="CY591" s="34" t="s">
        <v>1517</v>
      </c>
      <c r="CZ591" s="35">
        <v>2.8065856880000002E-3</v>
      </c>
    </row>
    <row r="592" spans="40:104" x14ac:dyDescent="0.3">
      <c r="AN592" s="117"/>
      <c r="AO592" s="118"/>
      <c r="AP592" s="119"/>
      <c r="AQ592" s="120"/>
      <c r="AS592" s="100"/>
      <c r="CY592" s="34" t="s">
        <v>1518</v>
      </c>
      <c r="CZ592" s="35">
        <v>8.8989158304000008E-3</v>
      </c>
    </row>
    <row r="593" spans="40:104" x14ac:dyDescent="0.3">
      <c r="AN593" s="117"/>
      <c r="AO593" s="118"/>
      <c r="AP593" s="119"/>
      <c r="AQ593" s="120"/>
      <c r="AS593" s="100"/>
      <c r="CY593" s="34" t="s">
        <v>1519</v>
      </c>
      <c r="CZ593" s="35">
        <v>7.0671744000000002E-4</v>
      </c>
    </row>
    <row r="594" spans="40:104" x14ac:dyDescent="0.3">
      <c r="AN594" s="117"/>
      <c r="AO594" s="118"/>
      <c r="AP594" s="119"/>
      <c r="AQ594" s="120"/>
      <c r="AS594" s="100"/>
      <c r="CY594" s="34" t="s">
        <v>1520</v>
      </c>
      <c r="CZ594" s="35">
        <v>0.12048159419349999</v>
      </c>
    </row>
    <row r="595" spans="40:104" x14ac:dyDescent="0.3">
      <c r="AN595" s="117"/>
      <c r="AO595" s="118"/>
      <c r="AP595" s="119"/>
      <c r="AQ595" s="120"/>
      <c r="AS595" s="100"/>
      <c r="CY595" s="34" t="s">
        <v>1521</v>
      </c>
      <c r="CZ595" s="35">
        <v>4.5876021920000006E-3</v>
      </c>
    </row>
    <row r="596" spans="40:104" x14ac:dyDescent="0.3">
      <c r="AN596" s="117"/>
      <c r="AO596" s="118"/>
      <c r="AP596" s="119"/>
      <c r="AQ596" s="120"/>
      <c r="AS596" s="100"/>
      <c r="CY596" s="34" t="s">
        <v>1522</v>
      </c>
      <c r="CZ596" s="35">
        <v>3.69933723656E-4</v>
      </c>
    </row>
    <row r="597" spans="40:104" x14ac:dyDescent="0.3">
      <c r="AN597" s="117"/>
      <c r="AO597" s="118"/>
      <c r="AP597" s="119"/>
      <c r="AQ597" s="120"/>
      <c r="AS597" s="100"/>
      <c r="CY597" s="34" t="s">
        <v>1523</v>
      </c>
      <c r="CZ597" s="35">
        <v>1.9128924952000002E-2</v>
      </c>
    </row>
    <row r="598" spans="40:104" x14ac:dyDescent="0.3">
      <c r="AN598" s="117"/>
      <c r="AO598" s="118"/>
      <c r="AP598" s="119"/>
      <c r="AQ598" s="120"/>
      <c r="AS598" s="100"/>
      <c r="CY598" s="34" t="s">
        <v>1524</v>
      </c>
      <c r="CZ598" s="35">
        <v>1.40172200255E-2</v>
      </c>
    </row>
    <row r="599" spans="40:104" x14ac:dyDescent="0.3">
      <c r="AN599" s="117"/>
      <c r="AO599" s="118"/>
      <c r="AP599" s="119"/>
      <c r="AQ599" s="120"/>
      <c r="AS599" s="100"/>
      <c r="CY599" s="34" t="s">
        <v>1525</v>
      </c>
      <c r="CZ599" s="35">
        <v>5.2421026163249999E-2</v>
      </c>
    </row>
    <row r="600" spans="40:104" x14ac:dyDescent="0.3">
      <c r="AN600" s="117"/>
      <c r="AO600" s="118"/>
      <c r="AP600" s="119"/>
      <c r="AQ600" s="120"/>
      <c r="AS600" s="100"/>
      <c r="CY600" s="34" t="s">
        <v>1526</v>
      </c>
      <c r="CZ600" s="35">
        <v>6.2275199999999996E-4</v>
      </c>
    </row>
    <row r="601" spans="40:104" x14ac:dyDescent="0.3">
      <c r="AN601" s="117"/>
      <c r="AO601" s="118"/>
      <c r="AP601" s="119"/>
      <c r="AQ601" s="120"/>
      <c r="AS601" s="100"/>
      <c r="CY601" s="34" t="s">
        <v>1527</v>
      </c>
      <c r="CZ601" s="35">
        <v>4.2274253631999999E-2</v>
      </c>
    </row>
    <row r="602" spans="40:104" x14ac:dyDescent="0.3">
      <c r="AN602" s="117"/>
      <c r="AO602" s="118"/>
      <c r="AP602" s="119"/>
      <c r="AQ602" s="120"/>
      <c r="AS602" s="100"/>
      <c r="CY602" s="34" t="s">
        <v>1528</v>
      </c>
      <c r="CZ602" s="35">
        <v>1.0315196925000001E-2</v>
      </c>
    </row>
    <row r="603" spans="40:104" x14ac:dyDescent="0.3">
      <c r="AN603" s="117"/>
      <c r="AO603" s="118"/>
      <c r="AP603" s="119"/>
      <c r="AQ603" s="120"/>
      <c r="AS603" s="100"/>
      <c r="CY603" s="34" t="s">
        <v>1529</v>
      </c>
      <c r="CZ603" s="35">
        <v>1.031780014857143E-2</v>
      </c>
    </row>
    <row r="604" spans="40:104" x14ac:dyDescent="0.3">
      <c r="AN604" s="117"/>
      <c r="AO604" s="118"/>
      <c r="AP604" s="119"/>
      <c r="AQ604" s="120"/>
      <c r="AS604" s="100"/>
      <c r="CY604" s="34" t="s">
        <v>1530</v>
      </c>
      <c r="CZ604" s="35">
        <v>1.6001177088000001E-2</v>
      </c>
    </row>
    <row r="605" spans="40:104" x14ac:dyDescent="0.3">
      <c r="AN605" s="117"/>
      <c r="AO605" s="118"/>
      <c r="AP605" s="119"/>
      <c r="AQ605" s="120"/>
      <c r="AS605" s="100"/>
      <c r="CY605" s="34" t="s">
        <v>1531</v>
      </c>
      <c r="CZ605" s="35">
        <v>6.8245021055999999E-2</v>
      </c>
    </row>
    <row r="606" spans="40:104" x14ac:dyDescent="0.3">
      <c r="AN606" s="117"/>
      <c r="AO606" s="118"/>
      <c r="AP606" s="119"/>
      <c r="AQ606" s="120"/>
      <c r="AS606" s="100"/>
      <c r="CY606" s="34" t="s">
        <v>1532</v>
      </c>
      <c r="CZ606" s="35">
        <v>3.2357130000000003E-3</v>
      </c>
    </row>
    <row r="607" spans="40:104" x14ac:dyDescent="0.3">
      <c r="AN607" s="117"/>
      <c r="AO607" s="118"/>
      <c r="AP607" s="119"/>
      <c r="AQ607" s="120"/>
      <c r="AS607" s="100"/>
      <c r="CY607" s="34" t="s">
        <v>1533</v>
      </c>
      <c r="CZ607" s="35">
        <v>3.3701481840000005E-3</v>
      </c>
    </row>
    <row r="608" spans="40:104" x14ac:dyDescent="0.3">
      <c r="AN608" s="117"/>
      <c r="AO608" s="118"/>
      <c r="AP608" s="119"/>
      <c r="AQ608" s="120"/>
      <c r="AS608" s="100"/>
      <c r="CY608" s="34" t="s">
        <v>1534</v>
      </c>
      <c r="CZ608" s="35">
        <v>7.7903507329999983E-4</v>
      </c>
    </row>
    <row r="609" spans="40:104" x14ac:dyDescent="0.3">
      <c r="AN609" s="117"/>
      <c r="AO609" s="118"/>
      <c r="AP609" s="119"/>
      <c r="AQ609" s="120"/>
      <c r="AS609" s="100"/>
      <c r="CY609" s="34" t="s">
        <v>1535</v>
      </c>
      <c r="CZ609" s="35">
        <v>2.1780899071999999E-4</v>
      </c>
    </row>
    <row r="610" spans="40:104" x14ac:dyDescent="0.3">
      <c r="AN610" s="117"/>
      <c r="AO610" s="118"/>
      <c r="AP610" s="119"/>
      <c r="AQ610" s="120"/>
      <c r="AS610" s="100"/>
      <c r="CY610" s="34" t="s">
        <v>1536</v>
      </c>
      <c r="CZ610" s="35">
        <v>6.8895080799999994E-4</v>
      </c>
    </row>
    <row r="611" spans="40:104" x14ac:dyDescent="0.3">
      <c r="AN611" s="117"/>
      <c r="AO611" s="118"/>
      <c r="AP611" s="119"/>
      <c r="AQ611" s="120"/>
      <c r="AS611" s="100"/>
      <c r="CY611" s="34" t="s">
        <v>1537</v>
      </c>
      <c r="CZ611" s="35">
        <v>1.0546039936000001E-3</v>
      </c>
    </row>
    <row r="612" spans="40:104" x14ac:dyDescent="0.3">
      <c r="AN612" s="117"/>
      <c r="AO612" s="118"/>
      <c r="AP612" s="119"/>
      <c r="AQ612" s="120"/>
      <c r="AS612" s="100"/>
      <c r="CY612" s="34" t="s">
        <v>1538</v>
      </c>
      <c r="CZ612" s="35">
        <v>9.8459207999999996E-3</v>
      </c>
    </row>
    <row r="613" spans="40:104" x14ac:dyDescent="0.3">
      <c r="AN613" s="117"/>
      <c r="AO613" s="118"/>
      <c r="AP613" s="119"/>
      <c r="AQ613" s="120"/>
      <c r="AS613" s="100"/>
      <c r="CY613" s="34" t="s">
        <v>1539</v>
      </c>
      <c r="CZ613" s="35">
        <v>8.665394558823529E-3</v>
      </c>
    </row>
    <row r="614" spans="40:104" x14ac:dyDescent="0.3">
      <c r="AN614" s="117"/>
      <c r="AO614" s="118"/>
      <c r="AP614" s="119"/>
      <c r="AQ614" s="120"/>
      <c r="AS614" s="100"/>
      <c r="CY614" s="34" t="s">
        <v>1540</v>
      </c>
      <c r="CZ614" s="35">
        <v>0.11040241599999999</v>
      </c>
    </row>
    <row r="615" spans="40:104" x14ac:dyDescent="0.3">
      <c r="AN615" s="117"/>
      <c r="AO615" s="118"/>
      <c r="AP615" s="119"/>
      <c r="AQ615" s="120"/>
      <c r="AS615" s="100"/>
      <c r="CY615" s="34" t="s">
        <v>1541</v>
      </c>
      <c r="CZ615" s="35">
        <v>3.2141868240000001E-3</v>
      </c>
    </row>
    <row r="616" spans="40:104" x14ac:dyDescent="0.3">
      <c r="AN616" s="117"/>
      <c r="AO616" s="118"/>
      <c r="AP616" s="119"/>
      <c r="AQ616" s="120"/>
      <c r="AS616" s="100"/>
      <c r="CY616" s="34" t="s">
        <v>1542</v>
      </c>
      <c r="CZ616" s="35">
        <v>1.3141147759999998E-3</v>
      </c>
    </row>
    <row r="617" spans="40:104" x14ac:dyDescent="0.3">
      <c r="AN617" s="117"/>
      <c r="AO617" s="118"/>
      <c r="AP617" s="119"/>
      <c r="AQ617" s="120"/>
      <c r="AS617" s="100"/>
      <c r="CY617" s="34" t="s">
        <v>1543</v>
      </c>
      <c r="CZ617" s="35">
        <v>7.4247458026666675E-3</v>
      </c>
    </row>
    <row r="618" spans="40:104" x14ac:dyDescent="0.3">
      <c r="AN618" s="117"/>
      <c r="AO618" s="118"/>
      <c r="AP618" s="119"/>
      <c r="AQ618" s="120"/>
      <c r="AS618" s="100"/>
      <c r="CY618" s="34" t="s">
        <v>1544</v>
      </c>
      <c r="CZ618" s="35">
        <v>4.9574265363000001E-3</v>
      </c>
    </row>
    <row r="619" spans="40:104" x14ac:dyDescent="0.3">
      <c r="AN619" s="117"/>
      <c r="AO619" s="118"/>
      <c r="AP619" s="119"/>
      <c r="AQ619" s="120"/>
      <c r="AS619" s="100"/>
      <c r="CY619" s="34" t="s">
        <v>1545</v>
      </c>
      <c r="CZ619" s="35">
        <v>3.2335687800000004E-3</v>
      </c>
    </row>
    <row r="620" spans="40:104" x14ac:dyDescent="0.3">
      <c r="AN620" s="117"/>
      <c r="AO620" s="118"/>
      <c r="AP620" s="119"/>
      <c r="AQ620" s="120"/>
      <c r="AS620" s="100"/>
      <c r="CY620" s="34" t="s">
        <v>1546</v>
      </c>
      <c r="CZ620" s="35">
        <v>7.6891759120000002E-3</v>
      </c>
    </row>
    <row r="621" spans="40:104" x14ac:dyDescent="0.3">
      <c r="AN621" s="117"/>
      <c r="AO621" s="118"/>
      <c r="AP621" s="119"/>
      <c r="AQ621" s="120"/>
      <c r="AS621" s="100"/>
      <c r="CY621" s="34" t="s">
        <v>1547</v>
      </c>
      <c r="CZ621" s="35">
        <v>3.7211256320000001E-3</v>
      </c>
    </row>
    <row r="622" spans="40:104" x14ac:dyDescent="0.3">
      <c r="AN622" s="117"/>
      <c r="AO622" s="118"/>
      <c r="AP622" s="119"/>
      <c r="AQ622" s="120"/>
      <c r="AS622" s="100"/>
      <c r="CY622" s="34" t="s">
        <v>1548</v>
      </c>
      <c r="CZ622" s="35">
        <v>2.7517591583999999E-2</v>
      </c>
    </row>
    <row r="623" spans="40:104" x14ac:dyDescent="0.3">
      <c r="AN623" s="117"/>
      <c r="AO623" s="118"/>
      <c r="AP623" s="119"/>
      <c r="AQ623" s="120"/>
      <c r="AS623" s="100"/>
      <c r="CY623" s="34" t="s">
        <v>1549</v>
      </c>
      <c r="CZ623" s="35">
        <v>2.0862604762352945E-2</v>
      </c>
    </row>
    <row r="624" spans="40:104" x14ac:dyDescent="0.3">
      <c r="AN624" s="117"/>
      <c r="AO624" s="118"/>
      <c r="AP624" s="119"/>
      <c r="AQ624" s="120"/>
      <c r="AS624" s="100"/>
      <c r="CY624" s="34" t="s">
        <v>1550</v>
      </c>
      <c r="CZ624" s="35">
        <v>3.7774965695999994E-2</v>
      </c>
    </row>
    <row r="625" spans="40:104" x14ac:dyDescent="0.3">
      <c r="AN625" s="117"/>
      <c r="AO625" s="118"/>
      <c r="AP625" s="119"/>
      <c r="AQ625" s="120"/>
      <c r="AS625" s="100"/>
      <c r="CY625" s="34" t="s">
        <v>1551</v>
      </c>
      <c r="CZ625" s="35">
        <v>8.9144682320000009E-4</v>
      </c>
    </row>
    <row r="626" spans="40:104" x14ac:dyDescent="0.3">
      <c r="AN626" s="117"/>
      <c r="AO626" s="118"/>
      <c r="AP626" s="119"/>
      <c r="AQ626" s="120"/>
      <c r="AS626" s="100"/>
      <c r="CY626" s="34" t="s">
        <v>1552</v>
      </c>
      <c r="CZ626" s="35">
        <v>5.9254269179999999E-2</v>
      </c>
    </row>
    <row r="627" spans="40:104" x14ac:dyDescent="0.3">
      <c r="AN627" s="117"/>
      <c r="AO627" s="118"/>
      <c r="AP627" s="119"/>
      <c r="AQ627" s="120"/>
      <c r="AS627" s="100"/>
      <c r="CY627" s="34" t="s">
        <v>1553</v>
      </c>
      <c r="CZ627" s="35">
        <v>6.7290214826599996E-3</v>
      </c>
    </row>
    <row r="628" spans="40:104" x14ac:dyDescent="0.3">
      <c r="AN628" s="117"/>
      <c r="AO628" s="118"/>
      <c r="AP628" s="119"/>
      <c r="AQ628" s="120"/>
      <c r="AS628" s="100"/>
      <c r="CY628" s="34" t="s">
        <v>1554</v>
      </c>
      <c r="CZ628" s="35">
        <v>4.2778224640000004E-3</v>
      </c>
    </row>
    <row r="629" spans="40:104" x14ac:dyDescent="0.3">
      <c r="AN629" s="117"/>
      <c r="AO629" s="118"/>
      <c r="AP629" s="119"/>
      <c r="AQ629" s="120"/>
      <c r="AS629" s="100"/>
      <c r="CY629" s="34" t="s">
        <v>1555</v>
      </c>
      <c r="CZ629" s="35">
        <v>0.23903672790400002</v>
      </c>
    </row>
    <row r="630" spans="40:104" x14ac:dyDescent="0.3">
      <c r="AN630" s="117"/>
      <c r="AO630" s="118"/>
      <c r="AP630" s="119"/>
      <c r="AQ630" s="120"/>
      <c r="AS630" s="100"/>
      <c r="CY630" s="34" t="s">
        <v>1556</v>
      </c>
      <c r="CZ630" s="35">
        <v>1.8426719999999998E-3</v>
      </c>
    </row>
    <row r="631" spans="40:104" x14ac:dyDescent="0.3">
      <c r="AN631" s="117"/>
      <c r="AO631" s="118"/>
      <c r="AP631" s="119"/>
      <c r="AQ631" s="120"/>
      <c r="AS631" s="100"/>
      <c r="CY631" s="34" t="s">
        <v>1557</v>
      </c>
      <c r="CZ631" s="35">
        <v>1.0937981792022472E-3</v>
      </c>
    </row>
    <row r="632" spans="40:104" x14ac:dyDescent="0.3">
      <c r="AN632" s="117"/>
      <c r="AO632" s="118"/>
      <c r="AP632" s="119"/>
      <c r="AQ632" s="120"/>
      <c r="AS632" s="100"/>
      <c r="CY632" s="34" t="s">
        <v>1558</v>
      </c>
      <c r="CZ632" s="35">
        <v>4.136908291113333E-3</v>
      </c>
    </row>
    <row r="633" spans="40:104" x14ac:dyDescent="0.3">
      <c r="AN633" s="117"/>
      <c r="AO633" s="118"/>
      <c r="AP633" s="119"/>
      <c r="AQ633" s="120"/>
      <c r="AS633" s="100"/>
      <c r="CY633" s="34" t="s">
        <v>1559</v>
      </c>
      <c r="CZ633" s="35">
        <v>5.681508955076923E-3</v>
      </c>
    </row>
    <row r="634" spans="40:104" x14ac:dyDescent="0.3">
      <c r="AN634" s="117"/>
      <c r="AO634" s="118"/>
      <c r="AP634" s="119"/>
      <c r="AQ634" s="120"/>
      <c r="AS634" s="100"/>
      <c r="CY634" s="34" t="s">
        <v>1560</v>
      </c>
      <c r="CZ634" s="35">
        <v>1.6959287279999999E-3</v>
      </c>
    </row>
    <row r="635" spans="40:104" x14ac:dyDescent="0.3">
      <c r="AN635" s="117"/>
      <c r="AO635" s="118"/>
      <c r="AP635" s="119"/>
      <c r="AQ635" s="120"/>
      <c r="AS635" s="100"/>
      <c r="CY635" s="34" t="s">
        <v>1561</v>
      </c>
      <c r="CZ635" s="35">
        <v>1.8261203573333334E-3</v>
      </c>
    </row>
    <row r="636" spans="40:104" x14ac:dyDescent="0.3">
      <c r="AN636" s="117"/>
      <c r="AO636" s="118"/>
      <c r="AP636" s="119"/>
      <c r="AQ636" s="120"/>
      <c r="AS636" s="100"/>
      <c r="CY636" s="34" t="s">
        <v>1562</v>
      </c>
      <c r="CZ636" s="35">
        <v>6.4787798399999997E-3</v>
      </c>
    </row>
    <row r="637" spans="40:104" x14ac:dyDescent="0.3">
      <c r="AN637" s="136"/>
      <c r="AO637" s="118"/>
      <c r="AP637" s="119"/>
      <c r="AQ637" s="120"/>
      <c r="AS637" s="100"/>
      <c r="CY637" s="34" t="s">
        <v>1563</v>
      </c>
      <c r="CZ637" s="35">
        <v>1.0532022367999999E-2</v>
      </c>
    </row>
    <row r="638" spans="40:104" x14ac:dyDescent="0.3">
      <c r="AN638" s="117"/>
      <c r="AO638" s="118"/>
      <c r="AP638" s="119"/>
      <c r="AQ638" s="120"/>
      <c r="AS638" s="100"/>
      <c r="CY638" s="34" t="s">
        <v>1564</v>
      </c>
      <c r="CZ638" s="35">
        <v>4.325E-4</v>
      </c>
    </row>
    <row r="639" spans="40:104" x14ac:dyDescent="0.3">
      <c r="AN639" s="117"/>
      <c r="AO639" s="118"/>
      <c r="AP639" s="119"/>
      <c r="AQ639" s="120"/>
      <c r="AS639" s="100"/>
      <c r="CY639" s="34" t="s">
        <v>1565</v>
      </c>
      <c r="CZ639" s="35">
        <v>6.4112203520000008E-4</v>
      </c>
    </row>
    <row r="640" spans="40:104" x14ac:dyDescent="0.3">
      <c r="AN640" s="117"/>
      <c r="AO640" s="118"/>
      <c r="AP640" s="119"/>
      <c r="AQ640" s="120"/>
      <c r="AS640" s="100"/>
      <c r="CY640" s="34" t="s">
        <v>1566</v>
      </c>
      <c r="CZ640" s="35">
        <v>1.2539389162E-2</v>
      </c>
    </row>
    <row r="641" spans="40:104" x14ac:dyDescent="0.3">
      <c r="AN641" s="117"/>
      <c r="AO641" s="118"/>
      <c r="AP641" s="119"/>
      <c r="AQ641" s="120"/>
      <c r="AS641" s="100"/>
      <c r="CY641" s="34" t="s">
        <v>1567</v>
      </c>
      <c r="CZ641" s="35">
        <v>1.7730534135999999E-3</v>
      </c>
    </row>
    <row r="642" spans="40:104" x14ac:dyDescent="0.3">
      <c r="AN642" s="117"/>
      <c r="AO642" s="115"/>
      <c r="AP642" s="119"/>
      <c r="AQ642" s="219"/>
      <c r="AS642" s="100"/>
      <c r="CY642" s="34" t="s">
        <v>1568</v>
      </c>
      <c r="CZ642" s="35">
        <v>1.8814461240000001E-3</v>
      </c>
    </row>
    <row r="643" spans="40:104" x14ac:dyDescent="0.3">
      <c r="AN643" s="117"/>
      <c r="AO643" s="118"/>
      <c r="AP643" s="119"/>
      <c r="AQ643" s="120"/>
      <c r="AS643" s="100"/>
      <c r="CY643" s="34" t="s">
        <v>1569</v>
      </c>
      <c r="CZ643" s="35">
        <v>8.931449280000001E-4</v>
      </c>
    </row>
    <row r="644" spans="40:104" x14ac:dyDescent="0.3">
      <c r="AN644" s="136"/>
      <c r="AO644" s="118"/>
      <c r="AP644" s="119"/>
      <c r="AQ644" s="120"/>
      <c r="AS644" s="100"/>
      <c r="CY644" s="34" t="s">
        <v>1570</v>
      </c>
      <c r="CZ644" s="35">
        <v>5.6217828159999999E-3</v>
      </c>
    </row>
    <row r="645" spans="40:104" x14ac:dyDescent="0.3">
      <c r="AN645" s="117"/>
      <c r="AO645" s="118"/>
      <c r="AP645" s="119"/>
      <c r="AQ645" s="120"/>
      <c r="AS645" s="100"/>
      <c r="CY645" s="34" t="s">
        <v>1571</v>
      </c>
      <c r="CZ645" s="35">
        <v>1.6409322699999999E-2</v>
      </c>
    </row>
    <row r="646" spans="40:104" x14ac:dyDescent="0.3">
      <c r="AN646" s="117"/>
      <c r="AO646" s="118"/>
      <c r="AP646" s="119"/>
      <c r="AQ646" s="120"/>
      <c r="AS646" s="100"/>
      <c r="CY646" s="34" t="s">
        <v>1572</v>
      </c>
      <c r="CZ646" s="35">
        <v>6.0460531160000011E-2</v>
      </c>
    </row>
    <row r="647" spans="40:104" x14ac:dyDescent="0.3">
      <c r="AN647" s="117"/>
      <c r="AO647" s="118"/>
      <c r="AP647" s="119"/>
      <c r="AQ647" s="120"/>
      <c r="AS647" s="100"/>
      <c r="CY647" s="34" t="s">
        <v>1573</v>
      </c>
      <c r="CZ647" s="35">
        <v>4.7645399999999994E-3</v>
      </c>
    </row>
    <row r="648" spans="40:104" x14ac:dyDescent="0.3">
      <c r="AN648" s="117"/>
      <c r="AO648" s="118"/>
      <c r="AP648" s="119"/>
      <c r="AQ648" s="120"/>
      <c r="AS648" s="100"/>
      <c r="CY648" s="34" t="s">
        <v>1574</v>
      </c>
      <c r="CZ648" s="35">
        <v>4.7645400000000003E-3</v>
      </c>
    </row>
    <row r="649" spans="40:104" x14ac:dyDescent="0.3">
      <c r="AN649" s="117"/>
      <c r="AO649" s="118"/>
      <c r="AP649" s="119"/>
      <c r="AQ649" s="120"/>
      <c r="AS649" s="100"/>
      <c r="CY649" s="34" t="s">
        <v>1575</v>
      </c>
      <c r="CZ649" s="35">
        <v>4.8783169280000004E-3</v>
      </c>
    </row>
    <row r="650" spans="40:104" x14ac:dyDescent="0.3">
      <c r="AN650" s="117"/>
      <c r="AO650" s="118"/>
      <c r="AP650" s="119"/>
      <c r="AQ650" s="120"/>
      <c r="AS650" s="100"/>
      <c r="CY650" s="34" t="s">
        <v>1576</v>
      </c>
      <c r="CZ650" s="35">
        <v>4.7902996480000005E-4</v>
      </c>
    </row>
    <row r="651" spans="40:104" x14ac:dyDescent="0.3">
      <c r="AN651" s="117"/>
      <c r="AO651" s="118"/>
      <c r="AP651" s="119"/>
      <c r="AQ651" s="120"/>
      <c r="AS651" s="100"/>
      <c r="CY651" s="34" t="s">
        <v>1577</v>
      </c>
      <c r="CZ651" s="35">
        <v>1.4116415456000002E-2</v>
      </c>
    </row>
    <row r="652" spans="40:104" x14ac:dyDescent="0.3">
      <c r="AN652" s="117"/>
      <c r="AO652" s="118"/>
      <c r="AP652" s="119"/>
      <c r="AQ652" s="120"/>
      <c r="AS652" s="100"/>
      <c r="CY652" s="34" t="s">
        <v>1578</v>
      </c>
      <c r="CZ652" s="35">
        <v>5.6466758399999998E-4</v>
      </c>
    </row>
    <row r="653" spans="40:104" x14ac:dyDescent="0.3">
      <c r="AN653" s="117"/>
      <c r="AO653" s="118"/>
      <c r="AP653" s="119"/>
      <c r="AQ653" s="120"/>
      <c r="AS653" s="100"/>
      <c r="CY653" s="34" t="s">
        <v>1579</v>
      </c>
      <c r="CZ653" s="35">
        <v>3.5566675733399999E-2</v>
      </c>
    </row>
    <row r="654" spans="40:104" x14ac:dyDescent="0.3">
      <c r="AN654" s="117"/>
      <c r="AO654" s="118"/>
      <c r="AP654" s="119"/>
      <c r="AQ654" s="120"/>
      <c r="AS654" s="100"/>
      <c r="CY654" s="34" t="s">
        <v>1580</v>
      </c>
      <c r="CZ654" s="35">
        <v>3.6075009133399998E-2</v>
      </c>
    </row>
    <row r="655" spans="40:104" x14ac:dyDescent="0.3">
      <c r="AN655" s="117"/>
      <c r="AO655" s="118"/>
      <c r="AP655" s="119"/>
      <c r="AQ655" s="120"/>
      <c r="AS655" s="100"/>
      <c r="CY655" s="34" t="s">
        <v>1581</v>
      </c>
      <c r="CZ655" s="35">
        <v>2.0401528722599998E-3</v>
      </c>
    </row>
    <row r="656" spans="40:104" x14ac:dyDescent="0.3">
      <c r="AN656" s="117"/>
      <c r="AO656" s="118"/>
      <c r="AP656" s="119"/>
      <c r="AQ656" s="120"/>
      <c r="AS656" s="100"/>
      <c r="CY656" s="34" t="s">
        <v>1582</v>
      </c>
      <c r="CZ656" s="35">
        <v>2.5211519999999998E-4</v>
      </c>
    </row>
    <row r="657" spans="40:104" x14ac:dyDescent="0.3">
      <c r="AN657" s="117"/>
      <c r="AO657" s="118"/>
      <c r="AP657" s="119"/>
      <c r="AQ657" s="120"/>
      <c r="AS657" s="100"/>
      <c r="CY657" s="34" t="s">
        <v>1583</v>
      </c>
      <c r="CZ657" s="35">
        <v>1.7741550872000002E-2</v>
      </c>
    </row>
    <row r="658" spans="40:104" x14ac:dyDescent="0.3">
      <c r="AN658" s="117"/>
      <c r="AO658" s="118"/>
      <c r="AP658" s="119"/>
      <c r="AQ658" s="120"/>
      <c r="AS658" s="100"/>
      <c r="CY658" s="34" t="s">
        <v>1584</v>
      </c>
      <c r="CZ658" s="35">
        <v>3.0396784600000004E-3</v>
      </c>
    </row>
    <row r="659" spans="40:104" x14ac:dyDescent="0.3">
      <c r="AN659" s="117"/>
      <c r="AO659" s="118"/>
      <c r="AP659" s="119"/>
      <c r="AQ659" s="120"/>
      <c r="AS659" s="100"/>
      <c r="CY659" s="34" t="s">
        <v>1585</v>
      </c>
      <c r="CZ659" s="35">
        <v>2.0760915040000001E-2</v>
      </c>
    </row>
    <row r="660" spans="40:104" x14ac:dyDescent="0.3">
      <c r="AN660" s="117"/>
      <c r="AO660" s="118"/>
      <c r="AP660" s="119"/>
      <c r="AQ660" s="120"/>
      <c r="AS660" s="100"/>
      <c r="CY660" s="34" t="s">
        <v>1586</v>
      </c>
      <c r="CZ660" s="35">
        <v>3.9309128200000001E-3</v>
      </c>
    </row>
    <row r="661" spans="40:104" x14ac:dyDescent="0.3">
      <c r="AN661" s="117"/>
      <c r="AO661" s="118"/>
      <c r="AP661" s="119"/>
      <c r="AQ661" s="120"/>
      <c r="AS661" s="100"/>
      <c r="CY661" s="34" t="s">
        <v>1587</v>
      </c>
      <c r="CZ661" s="35">
        <v>2.3379380936000001E-3</v>
      </c>
    </row>
    <row r="662" spans="40:104" x14ac:dyDescent="0.3">
      <c r="AN662" s="117"/>
      <c r="AO662" s="118"/>
      <c r="AP662" s="119"/>
      <c r="AQ662" s="120"/>
      <c r="AS662" s="100"/>
      <c r="CY662" s="34" t="s">
        <v>1588</v>
      </c>
      <c r="CZ662" s="35">
        <v>5.3214712698461543E-2</v>
      </c>
    </row>
    <row r="663" spans="40:104" x14ac:dyDescent="0.3">
      <c r="AN663" s="117"/>
      <c r="AO663" s="118"/>
      <c r="AP663" s="119"/>
      <c r="AQ663" s="120"/>
      <c r="AS663" s="100"/>
      <c r="CY663" s="34" t="s">
        <v>1589</v>
      </c>
      <c r="CZ663" s="35">
        <v>3.1418620554666668E-2</v>
      </c>
    </row>
    <row r="664" spans="40:104" x14ac:dyDescent="0.3">
      <c r="AN664" s="117"/>
      <c r="AO664" s="118"/>
      <c r="AP664" s="119"/>
      <c r="AQ664" s="120"/>
      <c r="AS664" s="100"/>
      <c r="CY664" s="34" t="s">
        <v>1590</v>
      </c>
      <c r="CZ664" s="35">
        <v>2.30498112E-4</v>
      </c>
    </row>
    <row r="665" spans="40:104" x14ac:dyDescent="0.3">
      <c r="AN665" s="117"/>
      <c r="AO665" s="118"/>
      <c r="AP665" s="119"/>
      <c r="AQ665" s="120"/>
      <c r="AS665" s="100"/>
      <c r="CY665" s="34" t="s">
        <v>1591</v>
      </c>
      <c r="CZ665" s="35">
        <v>2.5220022656000003E-2</v>
      </c>
    </row>
    <row r="666" spans="40:104" x14ac:dyDescent="0.3">
      <c r="AN666" s="117"/>
      <c r="AO666" s="118"/>
      <c r="AP666" s="119"/>
      <c r="AQ666" s="120"/>
      <c r="AS666" s="100"/>
      <c r="CY666" s="34" t="s">
        <v>1592</v>
      </c>
      <c r="CZ666" s="35">
        <v>2.433295384E-3</v>
      </c>
    </row>
    <row r="667" spans="40:104" x14ac:dyDescent="0.3">
      <c r="AN667" s="136"/>
      <c r="AO667" s="118"/>
      <c r="AP667" s="119"/>
      <c r="AQ667" s="120"/>
      <c r="AS667" s="100"/>
      <c r="CY667" s="34" t="s">
        <v>1593</v>
      </c>
      <c r="CZ667" s="35">
        <v>4.2994161535999997E-2</v>
      </c>
    </row>
    <row r="668" spans="40:104" x14ac:dyDescent="0.3">
      <c r="AN668" s="117"/>
      <c r="AO668" s="118"/>
      <c r="AP668" s="119"/>
      <c r="AQ668" s="120"/>
      <c r="AS668" s="100"/>
      <c r="CY668" s="34" t="s">
        <v>1594</v>
      </c>
      <c r="CZ668" s="35">
        <v>4.2897088000000007E-2</v>
      </c>
    </row>
    <row r="669" spans="40:104" x14ac:dyDescent="0.3">
      <c r="AN669" s="117"/>
      <c r="AO669" s="118"/>
      <c r="AP669" s="119"/>
      <c r="AQ669" s="120"/>
      <c r="AS669" s="100"/>
      <c r="CY669" s="34" t="s">
        <v>1595</v>
      </c>
      <c r="CZ669" s="35">
        <v>4.1669055999999996E-2</v>
      </c>
    </row>
    <row r="670" spans="40:104" x14ac:dyDescent="0.3">
      <c r="AN670" s="117"/>
      <c r="AO670" s="118"/>
      <c r="AP670" s="119"/>
      <c r="AQ670" s="120"/>
      <c r="AS670" s="100"/>
      <c r="CY670" s="34" t="s">
        <v>1596</v>
      </c>
      <c r="CZ670" s="35">
        <v>4.9733696000000001E-2</v>
      </c>
    </row>
    <row r="671" spans="40:104" x14ac:dyDescent="0.3">
      <c r="AN671" s="117"/>
      <c r="AO671" s="118"/>
      <c r="AP671" s="119"/>
      <c r="AQ671" s="120"/>
      <c r="AS671" s="100"/>
      <c r="CY671" s="34" t="s">
        <v>1597</v>
      </c>
      <c r="CZ671" s="35">
        <v>4.6197176E-2</v>
      </c>
    </row>
    <row r="672" spans="40:104" x14ac:dyDescent="0.3">
      <c r="AN672" s="117"/>
      <c r="AO672" s="118"/>
      <c r="AP672" s="119"/>
      <c r="AQ672" s="120"/>
      <c r="AS672" s="100"/>
      <c r="CY672" s="34" t="s">
        <v>1598</v>
      </c>
      <c r="CZ672" s="35">
        <v>4.6504184000000004E-2</v>
      </c>
    </row>
    <row r="673" spans="40:104" x14ac:dyDescent="0.3">
      <c r="AN673" s="117"/>
      <c r="AO673" s="118"/>
      <c r="AP673" s="119"/>
      <c r="AQ673" s="120"/>
      <c r="AS673" s="100"/>
      <c r="CY673" s="34" t="s">
        <v>1599</v>
      </c>
      <c r="CZ673" s="35">
        <v>5.1701610382222226E-3</v>
      </c>
    </row>
    <row r="674" spans="40:104" x14ac:dyDescent="0.3">
      <c r="AN674" s="117"/>
      <c r="AO674" s="118"/>
      <c r="AP674" s="119"/>
      <c r="AQ674" s="120"/>
      <c r="AS674" s="100"/>
      <c r="CY674" s="34" t="s">
        <v>1600</v>
      </c>
      <c r="CZ674" s="35">
        <v>4.9189137803999994E-3</v>
      </c>
    </row>
    <row r="675" spans="40:104" x14ac:dyDescent="0.3">
      <c r="AN675" s="117"/>
      <c r="AO675" s="118"/>
      <c r="AP675" s="119"/>
      <c r="AQ675" s="120"/>
      <c r="AS675" s="100"/>
      <c r="CY675" s="34" t="s">
        <v>1601</v>
      </c>
      <c r="CZ675" s="35">
        <v>1.4445764245820001E-2</v>
      </c>
    </row>
    <row r="676" spans="40:104" x14ac:dyDescent="0.3">
      <c r="AN676" s="117"/>
      <c r="AO676" s="118"/>
      <c r="AP676" s="119"/>
      <c r="AQ676" s="120"/>
      <c r="AS676" s="100"/>
      <c r="CY676" s="34" t="s">
        <v>1602</v>
      </c>
      <c r="CZ676" s="35">
        <v>1.33810952E-3</v>
      </c>
    </row>
    <row r="677" spans="40:104" x14ac:dyDescent="0.3">
      <c r="AN677" s="117"/>
      <c r="AO677" s="118"/>
      <c r="AP677" s="119"/>
      <c r="AQ677" s="120"/>
      <c r="AS677" s="100"/>
      <c r="CY677" s="34" t="s">
        <v>1603</v>
      </c>
      <c r="CZ677" s="35">
        <v>2.0784373500000002E-2</v>
      </c>
    </row>
    <row r="678" spans="40:104" x14ac:dyDescent="0.3">
      <c r="AN678" s="117"/>
      <c r="AO678" s="118"/>
      <c r="AP678" s="119"/>
      <c r="AQ678" s="120"/>
      <c r="AS678" s="100"/>
      <c r="CY678" s="34" t="s">
        <v>1604</v>
      </c>
      <c r="CZ678" s="35">
        <v>2.03553168E-3</v>
      </c>
    </row>
    <row r="679" spans="40:104" x14ac:dyDescent="0.3">
      <c r="AN679" s="117"/>
      <c r="AO679" s="118"/>
      <c r="AP679" s="119"/>
      <c r="AQ679" s="120"/>
      <c r="AS679" s="100"/>
      <c r="CY679" s="34" t="s">
        <v>1605</v>
      </c>
      <c r="CZ679" s="35">
        <v>1.3886107210700001E-2</v>
      </c>
    </row>
    <row r="680" spans="40:104" x14ac:dyDescent="0.3">
      <c r="AN680" s="117"/>
      <c r="AO680" s="118"/>
      <c r="AP680" s="119"/>
      <c r="AQ680" s="120"/>
      <c r="AS680" s="100"/>
      <c r="CY680" s="34" t="s">
        <v>1606</v>
      </c>
      <c r="CZ680" s="35">
        <v>7.2209505616000001E-4</v>
      </c>
    </row>
    <row r="681" spans="40:104" x14ac:dyDescent="0.3">
      <c r="AN681" s="117"/>
      <c r="AO681" s="118"/>
      <c r="AP681" s="119"/>
      <c r="AQ681" s="120"/>
      <c r="AS681" s="100"/>
      <c r="CY681" s="34" t="s">
        <v>1607</v>
      </c>
      <c r="CZ681" s="35">
        <v>3.9225612830999998E-3</v>
      </c>
    </row>
    <row r="682" spans="40:104" x14ac:dyDescent="0.3">
      <c r="AN682" s="117"/>
      <c r="AO682" s="118"/>
      <c r="AP682" s="119"/>
      <c r="AQ682" s="120"/>
      <c r="AS682" s="100"/>
      <c r="CY682" s="34" t="s">
        <v>1608</v>
      </c>
      <c r="CZ682" s="35">
        <v>1.4951460714687502E-2</v>
      </c>
    </row>
    <row r="683" spans="40:104" x14ac:dyDescent="0.3">
      <c r="AN683" s="117"/>
      <c r="AO683" s="118"/>
      <c r="AP683" s="119"/>
      <c r="AQ683" s="120"/>
      <c r="AS683" s="100"/>
      <c r="CY683" s="34" t="s">
        <v>1609</v>
      </c>
      <c r="CZ683" s="35">
        <v>3.7724472208999996E-3</v>
      </c>
    </row>
    <row r="684" spans="40:104" x14ac:dyDescent="0.3">
      <c r="AN684" s="117"/>
      <c r="AO684" s="118"/>
      <c r="AP684" s="119"/>
      <c r="AQ684" s="120"/>
      <c r="AS684" s="100"/>
      <c r="CY684" s="34" t="s">
        <v>1610</v>
      </c>
      <c r="CZ684" s="35">
        <v>3.7724472208999996E-3</v>
      </c>
    </row>
    <row r="685" spans="40:104" x14ac:dyDescent="0.3">
      <c r="AN685" s="117"/>
      <c r="AO685" s="118"/>
      <c r="AP685" s="119"/>
      <c r="AQ685" s="120"/>
      <c r="AS685" s="100"/>
      <c r="CY685" s="34" t="s">
        <v>1611</v>
      </c>
      <c r="CZ685" s="35">
        <v>5.3682192672000001E-2</v>
      </c>
    </row>
    <row r="686" spans="40:104" x14ac:dyDescent="0.3">
      <c r="AN686" s="117"/>
      <c r="AO686" s="118"/>
      <c r="AP686" s="119"/>
      <c r="AQ686" s="120"/>
      <c r="AS686" s="100"/>
      <c r="CY686" s="34" t="s">
        <v>1612</v>
      </c>
      <c r="CZ686" s="35">
        <v>3.6822949319999999E-2</v>
      </c>
    </row>
    <row r="687" spans="40:104" x14ac:dyDescent="0.3">
      <c r="AN687" s="117"/>
      <c r="AO687" s="118"/>
      <c r="AP687" s="119"/>
      <c r="AQ687" s="120"/>
      <c r="AS687" s="100"/>
      <c r="CY687" s="34" t="s">
        <v>1613</v>
      </c>
      <c r="CZ687" s="35">
        <v>0.33469334816000001</v>
      </c>
    </row>
    <row r="688" spans="40:104" x14ac:dyDescent="0.3">
      <c r="AN688" s="117"/>
      <c r="AO688" s="118"/>
      <c r="AP688" s="119"/>
      <c r="AQ688" s="120"/>
      <c r="AS688" s="100"/>
      <c r="CY688" s="34" t="s">
        <v>1614</v>
      </c>
      <c r="CZ688" s="35">
        <v>8.3095966100000009E-3</v>
      </c>
    </row>
    <row r="689" spans="40:104" x14ac:dyDescent="0.3">
      <c r="AN689" s="117"/>
      <c r="AO689" s="118"/>
      <c r="AP689" s="119"/>
      <c r="AQ689" s="120"/>
      <c r="AS689" s="100"/>
      <c r="CY689" s="34" t="s">
        <v>1615</v>
      </c>
      <c r="CZ689" s="35">
        <v>1.3138123333333335E-2</v>
      </c>
    </row>
    <row r="690" spans="40:104" x14ac:dyDescent="0.3">
      <c r="AN690" s="117"/>
      <c r="AO690" s="118"/>
      <c r="AP690" s="119"/>
      <c r="AQ690" s="120"/>
      <c r="AS690" s="100"/>
      <c r="CY690" s="34" t="s">
        <v>1616</v>
      </c>
      <c r="CZ690" s="35">
        <v>1.6335397702659998E-2</v>
      </c>
    </row>
    <row r="691" spans="40:104" x14ac:dyDescent="0.3">
      <c r="AN691" s="117"/>
      <c r="AO691" s="118"/>
      <c r="AP691" s="119"/>
      <c r="AQ691" s="120"/>
      <c r="AS691" s="100"/>
      <c r="CY691" s="34" t="s">
        <v>1617</v>
      </c>
      <c r="CZ691" s="35">
        <v>3.6204032730900004E-2</v>
      </c>
    </row>
    <row r="692" spans="40:104" x14ac:dyDescent="0.3">
      <c r="AN692" s="117"/>
      <c r="AO692" s="118"/>
      <c r="AP692" s="119"/>
      <c r="AQ692" s="120"/>
      <c r="AS692" s="100"/>
      <c r="CY692" s="34" t="s">
        <v>1618</v>
      </c>
      <c r="CZ692" s="35">
        <v>2.6873422719999995E-3</v>
      </c>
    </row>
    <row r="693" spans="40:104" x14ac:dyDescent="0.3">
      <c r="AN693" s="117"/>
      <c r="AO693" s="118"/>
      <c r="AP693" s="119"/>
      <c r="AQ693" s="120"/>
      <c r="AS693" s="100"/>
      <c r="CY693" s="34" t="s">
        <v>1619</v>
      </c>
      <c r="CZ693" s="35">
        <v>1.7886888000000001E-3</v>
      </c>
    </row>
    <row r="694" spans="40:104" x14ac:dyDescent="0.3">
      <c r="AN694" s="117"/>
      <c r="AO694" s="118"/>
      <c r="AP694" s="119"/>
      <c r="AQ694" s="120"/>
      <c r="AS694" s="100"/>
      <c r="CY694" s="34" t="s">
        <v>1620</v>
      </c>
      <c r="CZ694" s="35">
        <v>5.1763727616000003E-3</v>
      </c>
    </row>
    <row r="695" spans="40:104" x14ac:dyDescent="0.3">
      <c r="AN695" s="117"/>
      <c r="AO695" s="118"/>
      <c r="AP695" s="119"/>
      <c r="AQ695" s="120"/>
      <c r="AS695" s="100"/>
      <c r="CY695" s="34" t="s">
        <v>1621</v>
      </c>
      <c r="CZ695" s="35">
        <v>5.0642622639000007E-3</v>
      </c>
    </row>
    <row r="696" spans="40:104" x14ac:dyDescent="0.3">
      <c r="AN696" s="136"/>
      <c r="AO696" s="118"/>
      <c r="AP696" s="119"/>
      <c r="AQ696" s="120"/>
      <c r="AS696" s="100"/>
      <c r="CY696" s="34" t="s">
        <v>1622</v>
      </c>
      <c r="CZ696" s="35">
        <v>5.0961361879999993E-2</v>
      </c>
    </row>
    <row r="697" spans="40:104" x14ac:dyDescent="0.3">
      <c r="AN697" s="117"/>
      <c r="AO697" s="118"/>
      <c r="AP697" s="119"/>
      <c r="AQ697" s="120"/>
      <c r="AS697" s="100"/>
      <c r="CY697" s="34" t="s">
        <v>1623</v>
      </c>
      <c r="CZ697" s="35">
        <v>8.7676108560000004E-3</v>
      </c>
    </row>
    <row r="698" spans="40:104" x14ac:dyDescent="0.3">
      <c r="AN698" s="117"/>
      <c r="AO698" s="118"/>
      <c r="AP698" s="119"/>
      <c r="AQ698" s="120"/>
      <c r="AS698" s="100"/>
      <c r="CY698" s="34" t="s">
        <v>1624</v>
      </c>
      <c r="CZ698" s="35">
        <v>2.4981534314666664E-2</v>
      </c>
    </row>
    <row r="699" spans="40:104" x14ac:dyDescent="0.3">
      <c r="AN699" s="117"/>
      <c r="AO699" s="118"/>
      <c r="AP699" s="119"/>
      <c r="AQ699" s="120"/>
      <c r="AS699" s="100"/>
      <c r="CY699" s="34" t="s">
        <v>1625</v>
      </c>
      <c r="CZ699" s="35">
        <v>2.0805515952000003E-2</v>
      </c>
    </row>
    <row r="700" spans="40:104" x14ac:dyDescent="0.3">
      <c r="AN700" s="117"/>
      <c r="AO700" s="118"/>
      <c r="AP700" s="119"/>
      <c r="AQ700" s="120"/>
      <c r="AS700" s="100"/>
      <c r="CY700" s="34" t="s">
        <v>1626</v>
      </c>
      <c r="CZ700" s="35">
        <v>4.6366001332000008E-3</v>
      </c>
    </row>
    <row r="701" spans="40:104" x14ac:dyDescent="0.3">
      <c r="AN701" s="117"/>
      <c r="AO701" s="118"/>
      <c r="AP701" s="119"/>
      <c r="AQ701" s="120"/>
      <c r="AS701" s="100"/>
      <c r="CY701" s="34" t="s">
        <v>1627</v>
      </c>
      <c r="CZ701" s="35">
        <v>7.8154393119999992E-3</v>
      </c>
    </row>
    <row r="702" spans="40:104" x14ac:dyDescent="0.3">
      <c r="AN702" s="117"/>
      <c r="AO702" s="118"/>
      <c r="AP702" s="119"/>
      <c r="AQ702" s="120"/>
      <c r="AS702" s="100"/>
      <c r="CY702" s="34" t="s">
        <v>1628</v>
      </c>
      <c r="CZ702" s="35">
        <v>9.5271042597894727E-3</v>
      </c>
    </row>
    <row r="703" spans="40:104" x14ac:dyDescent="0.3">
      <c r="AN703" s="117"/>
      <c r="AO703" s="118"/>
      <c r="AP703" s="119"/>
      <c r="AQ703" s="120"/>
      <c r="AS703" s="100"/>
      <c r="CY703" s="34" t="s">
        <v>1629</v>
      </c>
      <c r="CZ703" s="35">
        <v>1.6663358508799998E-2</v>
      </c>
    </row>
    <row r="704" spans="40:104" x14ac:dyDescent="0.3">
      <c r="AN704" s="117"/>
      <c r="AO704" s="118"/>
      <c r="AP704" s="119"/>
      <c r="AQ704" s="120"/>
      <c r="AS704" s="100"/>
      <c r="CY704" s="34" t="s">
        <v>1630</v>
      </c>
      <c r="CZ704" s="35">
        <v>2.0391402000000001E-3</v>
      </c>
    </row>
    <row r="705" spans="40:104" x14ac:dyDescent="0.3">
      <c r="AN705" s="117"/>
      <c r="AO705" s="118"/>
      <c r="AP705" s="119"/>
      <c r="AQ705" s="120"/>
      <c r="AS705" s="100"/>
      <c r="CY705" s="34" t="s">
        <v>1631</v>
      </c>
      <c r="CZ705" s="35">
        <v>2.4895281666666668E-4</v>
      </c>
    </row>
    <row r="706" spans="40:104" x14ac:dyDescent="0.3">
      <c r="AN706" s="117"/>
      <c r="AO706" s="118"/>
      <c r="AP706" s="119"/>
      <c r="AQ706" s="120"/>
      <c r="AS706" s="100"/>
      <c r="CY706" s="34" t="s">
        <v>1632</v>
      </c>
      <c r="CZ706" s="35">
        <v>5.4221978967999997E-2</v>
      </c>
    </row>
    <row r="707" spans="40:104" x14ac:dyDescent="0.3">
      <c r="AN707" s="117"/>
      <c r="AO707" s="118"/>
      <c r="AP707" s="119"/>
      <c r="AQ707" s="120"/>
      <c r="AS707" s="100"/>
      <c r="CY707" s="34" t="s">
        <v>1633</v>
      </c>
      <c r="CZ707" s="35">
        <v>5.4009939360000004E-3</v>
      </c>
    </row>
    <row r="708" spans="40:104" x14ac:dyDescent="0.3">
      <c r="AN708" s="117"/>
      <c r="AO708" s="118"/>
      <c r="AP708" s="119"/>
      <c r="AQ708" s="120"/>
      <c r="AS708" s="100"/>
      <c r="CY708" s="34" t="s">
        <v>1634</v>
      </c>
      <c r="CZ708" s="35">
        <v>2.9270854079999999E-2</v>
      </c>
    </row>
    <row r="709" spans="40:104" x14ac:dyDescent="0.3">
      <c r="AN709" s="117"/>
      <c r="AO709" s="118"/>
      <c r="AP709" s="119"/>
      <c r="AQ709" s="120"/>
      <c r="AS709" s="100"/>
      <c r="CY709" s="34" t="s">
        <v>1635</v>
      </c>
      <c r="CZ709" s="35">
        <v>2.5710847839999999E-3</v>
      </c>
    </row>
    <row r="710" spans="40:104" x14ac:dyDescent="0.3">
      <c r="AN710" s="117"/>
      <c r="AO710" s="118"/>
      <c r="AP710" s="119"/>
      <c r="AQ710" s="120"/>
      <c r="AS710" s="100"/>
      <c r="CY710" s="34" t="s">
        <v>1636</v>
      </c>
      <c r="CZ710" s="35">
        <v>1.7029458719999997E-3</v>
      </c>
    </row>
    <row r="711" spans="40:104" x14ac:dyDescent="0.3">
      <c r="AN711" s="117"/>
      <c r="AO711" s="118"/>
      <c r="AP711" s="119"/>
      <c r="AQ711" s="120"/>
      <c r="AS711" s="100"/>
      <c r="CY711" s="34" t="s">
        <v>1637</v>
      </c>
      <c r="CZ711" s="35">
        <v>1.072383056E-2</v>
      </c>
    </row>
    <row r="712" spans="40:104" x14ac:dyDescent="0.3">
      <c r="AN712" s="117"/>
      <c r="AO712" s="118"/>
      <c r="AP712" s="119"/>
      <c r="AQ712" s="120"/>
      <c r="AS712" s="100"/>
      <c r="CY712" s="34" t="s">
        <v>1638</v>
      </c>
      <c r="CZ712" s="35">
        <v>1.6496872016000001E-3</v>
      </c>
    </row>
    <row r="713" spans="40:104" x14ac:dyDescent="0.3">
      <c r="AN713" s="117"/>
      <c r="AO713" s="118"/>
      <c r="AP713" s="119"/>
      <c r="AQ713" s="120"/>
      <c r="AS713" s="100"/>
      <c r="CY713" s="34" t="s">
        <v>1639</v>
      </c>
      <c r="CZ713" s="35">
        <v>3.0833972000000001E-2</v>
      </c>
    </row>
    <row r="714" spans="40:104" x14ac:dyDescent="0.3">
      <c r="AN714" s="117"/>
      <c r="AO714" s="118"/>
      <c r="AP714" s="119"/>
      <c r="AQ714" s="120"/>
      <c r="AS714" s="100"/>
      <c r="CY714" s="34" t="s">
        <v>1640</v>
      </c>
      <c r="CZ714" s="35">
        <v>2.3953088640000001E-3</v>
      </c>
    </row>
    <row r="715" spans="40:104" x14ac:dyDescent="0.3">
      <c r="AN715" s="117"/>
      <c r="AO715" s="118"/>
      <c r="AP715" s="119"/>
      <c r="AQ715" s="120"/>
      <c r="AS715" s="100"/>
      <c r="CY715" s="34" t="s">
        <v>1641</v>
      </c>
      <c r="CZ715" s="35">
        <v>1.0662253333333334E-3</v>
      </c>
    </row>
    <row r="716" spans="40:104" x14ac:dyDescent="0.3">
      <c r="AN716" s="117"/>
      <c r="AO716" s="118"/>
      <c r="AP716" s="119"/>
      <c r="AQ716" s="120"/>
      <c r="AS716" s="100"/>
      <c r="CY716" s="34" t="s">
        <v>1642</v>
      </c>
      <c r="CZ716" s="35">
        <v>1.1073967287499999E-3</v>
      </c>
    </row>
    <row r="717" spans="40:104" x14ac:dyDescent="0.3">
      <c r="AN717" s="117"/>
      <c r="AO717" s="115"/>
      <c r="AP717" s="119"/>
      <c r="AQ717" s="219"/>
      <c r="AS717" s="100"/>
      <c r="CY717" s="34" t="s">
        <v>1643</v>
      </c>
      <c r="CZ717" s="35">
        <v>1.6000308095000001E-3</v>
      </c>
    </row>
    <row r="718" spans="40:104" x14ac:dyDescent="0.3">
      <c r="AN718" s="117"/>
      <c r="AO718" s="118"/>
      <c r="AP718" s="119"/>
      <c r="AQ718" s="120"/>
      <c r="AS718" s="100"/>
      <c r="CY718" s="34" t="s">
        <v>1644</v>
      </c>
      <c r="CZ718" s="35">
        <v>9.0018886720000003E-3</v>
      </c>
    </row>
    <row r="719" spans="40:104" x14ac:dyDescent="0.3">
      <c r="AN719" s="117"/>
      <c r="AO719" s="118"/>
      <c r="AP719" s="119"/>
      <c r="AQ719" s="120"/>
      <c r="AS719" s="100"/>
      <c r="CY719" s="34" t="s">
        <v>1645</v>
      </c>
      <c r="CZ719" s="35">
        <v>5.0685260000000003E-3</v>
      </c>
    </row>
    <row r="720" spans="40:104" x14ac:dyDescent="0.3">
      <c r="AN720" s="117"/>
      <c r="AO720" s="118"/>
      <c r="AP720" s="119"/>
      <c r="AQ720" s="120"/>
      <c r="AS720" s="100"/>
      <c r="CY720" s="34" t="s">
        <v>1646</v>
      </c>
      <c r="CZ720" s="35">
        <v>3.7919273599999997E-4</v>
      </c>
    </row>
    <row r="721" spans="40:104" x14ac:dyDescent="0.3">
      <c r="AN721" s="117"/>
      <c r="AO721" s="118"/>
      <c r="AP721" s="119"/>
      <c r="AQ721" s="120"/>
      <c r="AS721" s="100"/>
      <c r="CY721" s="34" t="s">
        <v>1647</v>
      </c>
      <c r="CZ721" s="35">
        <v>0.63124867223499992</v>
      </c>
    </row>
    <row r="722" spans="40:104" x14ac:dyDescent="0.3">
      <c r="AN722" s="117"/>
      <c r="AO722" s="118"/>
      <c r="AP722" s="119"/>
      <c r="AQ722" s="120"/>
      <c r="AS722" s="100"/>
      <c r="CY722" s="34" t="s">
        <v>1648</v>
      </c>
      <c r="CZ722" s="35">
        <v>1.926355607466667E-2</v>
      </c>
    </row>
    <row r="723" spans="40:104" x14ac:dyDescent="0.3">
      <c r="AN723" s="117"/>
      <c r="AO723" s="118"/>
      <c r="AP723" s="119"/>
      <c r="AQ723" s="120"/>
      <c r="AS723" s="100"/>
      <c r="CY723" s="34" t="s">
        <v>1649</v>
      </c>
      <c r="CZ723" s="35">
        <v>1.6662991960000002E-2</v>
      </c>
    </row>
    <row r="724" spans="40:104" x14ac:dyDescent="0.3">
      <c r="AN724" s="117"/>
      <c r="AO724" s="118"/>
      <c r="AP724" s="119"/>
      <c r="AQ724" s="120"/>
      <c r="AS724" s="100"/>
      <c r="CY724" s="34" t="s">
        <v>1650</v>
      </c>
      <c r="CZ724" s="35">
        <v>1.2417707328E-2</v>
      </c>
    </row>
    <row r="725" spans="40:104" x14ac:dyDescent="0.3">
      <c r="AN725" s="117"/>
      <c r="AO725" s="118"/>
      <c r="AP725" s="119"/>
      <c r="AQ725" s="120"/>
      <c r="AS725" s="100"/>
      <c r="CY725" s="34" t="s">
        <v>1651</v>
      </c>
      <c r="CZ725" s="35">
        <v>1.2417707328E-2</v>
      </c>
    </row>
    <row r="726" spans="40:104" x14ac:dyDescent="0.3">
      <c r="AN726" s="117"/>
      <c r="AO726" s="118"/>
      <c r="AP726" s="119"/>
      <c r="AQ726" s="120"/>
      <c r="AS726" s="100"/>
      <c r="CY726" s="34" t="s">
        <v>1652</v>
      </c>
      <c r="CZ726" s="35">
        <v>1.742339933265E-2</v>
      </c>
    </row>
    <row r="727" spans="40:104" x14ac:dyDescent="0.3">
      <c r="AN727" s="117"/>
      <c r="AO727" s="118"/>
      <c r="AP727" s="119"/>
      <c r="AQ727" s="120"/>
      <c r="AS727" s="100"/>
      <c r="CY727" s="34" t="s">
        <v>1653</v>
      </c>
      <c r="CZ727" s="35">
        <v>1.33779248E-2</v>
      </c>
    </row>
    <row r="728" spans="40:104" x14ac:dyDescent="0.3">
      <c r="AN728" s="117"/>
      <c r="AO728" s="118"/>
      <c r="AP728" s="119"/>
      <c r="AQ728" s="120"/>
      <c r="AS728" s="100"/>
      <c r="CY728" s="34" t="s">
        <v>1654</v>
      </c>
      <c r="CZ728" s="35">
        <v>1.33779248E-2</v>
      </c>
    </row>
    <row r="729" spans="40:104" x14ac:dyDescent="0.3">
      <c r="AN729" s="117"/>
      <c r="AO729" s="118"/>
      <c r="AP729" s="119"/>
      <c r="AQ729" s="120"/>
      <c r="AS729" s="100"/>
      <c r="CY729" s="34" t="s">
        <v>1655</v>
      </c>
      <c r="CZ729" s="35">
        <v>1.9880049494000001E-2</v>
      </c>
    </row>
    <row r="730" spans="40:104" x14ac:dyDescent="0.3">
      <c r="AN730" s="117"/>
      <c r="AO730" s="118"/>
      <c r="AP730" s="119"/>
      <c r="AQ730" s="120"/>
      <c r="AS730" s="100"/>
      <c r="CY730" s="34" t="s">
        <v>1656</v>
      </c>
      <c r="CZ730" s="35">
        <v>4.2341174599999998E-3</v>
      </c>
    </row>
    <row r="731" spans="40:104" x14ac:dyDescent="0.3">
      <c r="AN731" s="117"/>
      <c r="AO731" s="118"/>
      <c r="AP731" s="119"/>
      <c r="AQ731" s="120"/>
      <c r="AS731" s="100"/>
      <c r="CY731" s="34" t="s">
        <v>1657</v>
      </c>
      <c r="CZ731" s="35">
        <v>4.2341174599999998E-3</v>
      </c>
    </row>
    <row r="732" spans="40:104" x14ac:dyDescent="0.3">
      <c r="AN732" s="117"/>
      <c r="AO732" s="118"/>
      <c r="AP732" s="119"/>
      <c r="AQ732" s="120"/>
      <c r="AS732" s="100"/>
      <c r="CY732" s="34" t="s">
        <v>1658</v>
      </c>
      <c r="CZ732" s="35">
        <v>1.1947146600000001E-3</v>
      </c>
    </row>
    <row r="733" spans="40:104" x14ac:dyDescent="0.3">
      <c r="AN733" s="117"/>
      <c r="AO733" s="118"/>
      <c r="AP733" s="119"/>
      <c r="AQ733" s="120"/>
      <c r="AS733" s="100"/>
      <c r="CY733" s="34" t="s">
        <v>1659</v>
      </c>
      <c r="CZ733" s="35">
        <v>8.782933427249999E-3</v>
      </c>
    </row>
    <row r="734" spans="40:104" x14ac:dyDescent="0.3">
      <c r="AN734" s="117"/>
      <c r="AO734" s="118"/>
      <c r="AP734" s="119"/>
      <c r="AQ734" s="120"/>
      <c r="AS734" s="100"/>
      <c r="CY734" s="34" t="s">
        <v>1660</v>
      </c>
      <c r="CZ734" s="35">
        <v>3.022819848E-3</v>
      </c>
    </row>
    <row r="735" spans="40:104" x14ac:dyDescent="0.3">
      <c r="AN735" s="117"/>
      <c r="AO735" s="118"/>
      <c r="AP735" s="119"/>
      <c r="AQ735" s="120"/>
      <c r="AS735" s="100"/>
      <c r="CY735" s="34" t="s">
        <v>1661</v>
      </c>
      <c r="CZ735" s="35">
        <v>9.8394666240000008E-3</v>
      </c>
    </row>
    <row r="736" spans="40:104" x14ac:dyDescent="0.3">
      <c r="AN736" s="117"/>
      <c r="AO736" s="118"/>
      <c r="AP736" s="119"/>
      <c r="AQ736" s="120"/>
      <c r="AS736" s="100"/>
      <c r="CY736" s="34" t="s">
        <v>1662</v>
      </c>
      <c r="CZ736" s="35">
        <v>1.1116526459076924E-2</v>
      </c>
    </row>
    <row r="737" spans="40:104" x14ac:dyDescent="0.3">
      <c r="AN737" s="117"/>
      <c r="AO737" s="118"/>
      <c r="AP737" s="119"/>
      <c r="AQ737" s="120"/>
      <c r="AS737" s="100"/>
      <c r="CY737" s="34" t="s">
        <v>1663</v>
      </c>
      <c r="CZ737" s="35">
        <v>5.5820432385000002E-3</v>
      </c>
    </row>
    <row r="738" spans="40:104" x14ac:dyDescent="0.3">
      <c r="AN738" s="117"/>
      <c r="AO738" s="118"/>
      <c r="AP738" s="119"/>
      <c r="AQ738" s="120"/>
      <c r="AS738" s="100"/>
      <c r="CY738" s="34" t="s">
        <v>1664</v>
      </c>
      <c r="CZ738" s="35">
        <v>5.1269711146666669E-3</v>
      </c>
    </row>
    <row r="739" spans="40:104" x14ac:dyDescent="0.3">
      <c r="AN739" s="117"/>
      <c r="AO739" s="118"/>
      <c r="AP739" s="119"/>
      <c r="AQ739" s="120"/>
      <c r="AS739" s="100"/>
      <c r="CY739" s="34" t="s">
        <v>1665</v>
      </c>
      <c r="CZ739" s="35">
        <v>5.9607950250666671E-3</v>
      </c>
    </row>
    <row r="740" spans="40:104" x14ac:dyDescent="0.3">
      <c r="AN740" s="117"/>
      <c r="AO740" s="118"/>
      <c r="AP740" s="119"/>
      <c r="AQ740" s="120"/>
      <c r="AS740" s="100"/>
      <c r="CY740" s="34" t="s">
        <v>1666</v>
      </c>
      <c r="CZ740" s="35">
        <v>8.164466544E-3</v>
      </c>
    </row>
    <row r="741" spans="40:104" x14ac:dyDescent="0.3">
      <c r="AN741" s="117"/>
      <c r="AO741" s="118"/>
      <c r="AP741" s="119"/>
      <c r="AQ741" s="120"/>
      <c r="AS741" s="100"/>
      <c r="CY741" s="34" t="s">
        <v>1667</v>
      </c>
      <c r="CZ741" s="35">
        <v>0.20441738387200001</v>
      </c>
    </row>
    <row r="742" spans="40:104" x14ac:dyDescent="0.3">
      <c r="AN742" s="117"/>
      <c r="AO742" s="118"/>
      <c r="AP742" s="119"/>
      <c r="AQ742" s="120"/>
      <c r="AS742" s="100"/>
      <c r="CY742" s="34" t="s">
        <v>1668</v>
      </c>
      <c r="CZ742" s="35">
        <v>3.5065928559999998E-3</v>
      </c>
    </row>
    <row r="743" spans="40:104" x14ac:dyDescent="0.3">
      <c r="AN743" s="117"/>
      <c r="AO743" s="118"/>
      <c r="AP743" s="119"/>
      <c r="AQ743" s="120"/>
      <c r="AS743" s="100"/>
      <c r="CY743" s="34" t="s">
        <v>1669</v>
      </c>
      <c r="CZ743" s="35">
        <v>7.258794608E-3</v>
      </c>
    </row>
    <row r="744" spans="40:104" x14ac:dyDescent="0.3">
      <c r="AN744" s="117"/>
      <c r="AO744" s="118"/>
      <c r="AP744" s="119"/>
      <c r="AQ744" s="120"/>
      <c r="AS744" s="100"/>
      <c r="CY744" s="34" t="s">
        <v>1670</v>
      </c>
      <c r="CZ744" s="35">
        <v>1.40636670384E-3</v>
      </c>
    </row>
    <row r="745" spans="40:104" x14ac:dyDescent="0.3">
      <c r="AN745" s="117"/>
      <c r="AO745" s="118"/>
      <c r="AP745" s="119"/>
      <c r="AQ745" s="120"/>
      <c r="AS745" s="100"/>
      <c r="CY745" s="34" t="s">
        <v>1671</v>
      </c>
      <c r="CZ745" s="35">
        <v>3.4992004256000002E-3</v>
      </c>
    </row>
    <row r="746" spans="40:104" x14ac:dyDescent="0.3">
      <c r="AN746" s="117"/>
      <c r="AO746" s="118"/>
      <c r="AP746" s="119"/>
      <c r="AQ746" s="120"/>
      <c r="AS746" s="100"/>
      <c r="CY746" s="34" t="s">
        <v>1672</v>
      </c>
      <c r="CZ746" s="35">
        <v>1.2926029759999999E-3</v>
      </c>
    </row>
    <row r="747" spans="40:104" x14ac:dyDescent="0.3">
      <c r="AN747" s="117"/>
      <c r="AO747" s="118"/>
      <c r="AP747" s="119"/>
      <c r="AQ747" s="120"/>
      <c r="AS747" s="100"/>
      <c r="CY747" s="34" t="s">
        <v>1673</v>
      </c>
      <c r="CZ747" s="35">
        <v>2.2305160000000003E-4</v>
      </c>
    </row>
    <row r="748" spans="40:104" x14ac:dyDescent="0.3">
      <c r="AN748" s="117"/>
      <c r="AO748" s="118"/>
      <c r="AP748" s="119"/>
      <c r="AQ748" s="120"/>
      <c r="AS748" s="100"/>
      <c r="CY748" s="34" t="s">
        <v>1674</v>
      </c>
      <c r="CZ748" s="35">
        <v>3.1475493949999996E-3</v>
      </c>
    </row>
    <row r="749" spans="40:104" x14ac:dyDescent="0.3">
      <c r="AN749" s="117"/>
      <c r="AO749" s="118"/>
      <c r="AP749" s="119"/>
      <c r="AQ749" s="120"/>
      <c r="AS749" s="100"/>
      <c r="CY749" s="34" t="s">
        <v>1675</v>
      </c>
      <c r="CZ749" s="35">
        <v>6.0173592959999996E-3</v>
      </c>
    </row>
    <row r="750" spans="40:104" x14ac:dyDescent="0.3">
      <c r="AN750" s="117"/>
      <c r="AO750" s="118"/>
      <c r="AP750" s="119"/>
      <c r="AQ750" s="120"/>
      <c r="AS750" s="100"/>
      <c r="CY750" s="34" t="s">
        <v>1676</v>
      </c>
      <c r="CZ750" s="35">
        <v>7.4848104239999991E-2</v>
      </c>
    </row>
    <row r="751" spans="40:104" x14ac:dyDescent="0.3">
      <c r="AN751" s="117"/>
      <c r="AO751" s="118"/>
      <c r="AP751" s="119"/>
      <c r="AQ751" s="120"/>
      <c r="AS751" s="100"/>
      <c r="CY751" s="34" t="s">
        <v>1677</v>
      </c>
      <c r="CZ751" s="35">
        <v>2.2377110019999999E-3</v>
      </c>
    </row>
    <row r="752" spans="40:104" x14ac:dyDescent="0.3">
      <c r="AN752" s="117"/>
      <c r="AO752" s="118"/>
      <c r="AP752" s="119"/>
      <c r="AQ752" s="120"/>
      <c r="AS752" s="100"/>
      <c r="CY752" s="34" t="s">
        <v>1678</v>
      </c>
      <c r="CZ752" s="35">
        <v>2.0534002223999998E-3</v>
      </c>
    </row>
    <row r="753" spans="40:104" x14ac:dyDescent="0.3">
      <c r="AN753" s="117"/>
      <c r="AO753" s="118"/>
      <c r="AP753" s="119"/>
      <c r="AQ753" s="120"/>
      <c r="AS753" s="100"/>
      <c r="CY753" s="34" t="s">
        <v>1679</v>
      </c>
      <c r="CZ753" s="35">
        <v>2.6036868735999998E-2</v>
      </c>
    </row>
    <row r="754" spans="40:104" x14ac:dyDescent="0.3">
      <c r="AN754" s="117"/>
      <c r="AO754" s="118"/>
      <c r="AP754" s="119"/>
      <c r="AQ754" s="120"/>
      <c r="AS754" s="100"/>
      <c r="CY754" s="34" t="s">
        <v>1680</v>
      </c>
      <c r="CZ754" s="35">
        <v>3.3866397872000006E-2</v>
      </c>
    </row>
    <row r="755" spans="40:104" x14ac:dyDescent="0.3">
      <c r="AN755" s="117"/>
      <c r="AO755" s="118"/>
      <c r="AP755" s="119"/>
      <c r="AQ755" s="120"/>
      <c r="AS755" s="100"/>
      <c r="CY755" s="34" t="s">
        <v>1681</v>
      </c>
      <c r="CZ755" s="35">
        <v>3.4326397872000008E-2</v>
      </c>
    </row>
    <row r="756" spans="40:104" x14ac:dyDescent="0.3">
      <c r="AN756" s="117"/>
      <c r="AO756" s="118"/>
      <c r="AP756" s="119"/>
      <c r="AQ756" s="120"/>
      <c r="AS756" s="100"/>
      <c r="CY756" s="34" t="s">
        <v>1682</v>
      </c>
      <c r="CZ756" s="35">
        <v>2.6036868735999998E-2</v>
      </c>
    </row>
    <row r="757" spans="40:104" x14ac:dyDescent="0.3">
      <c r="AN757" s="117"/>
      <c r="AO757" s="115"/>
      <c r="AP757" s="119"/>
      <c r="AQ757" s="219"/>
      <c r="AS757" s="100"/>
      <c r="CY757" s="34" t="s">
        <v>1683</v>
      </c>
      <c r="CZ757" s="35">
        <v>3.3866397872000006E-2</v>
      </c>
    </row>
    <row r="758" spans="40:104" x14ac:dyDescent="0.3">
      <c r="AN758" s="117"/>
      <c r="AO758" s="118"/>
      <c r="AP758" s="119"/>
      <c r="AQ758" s="120"/>
      <c r="AS758" s="100"/>
      <c r="CY758" s="34" t="s">
        <v>1684</v>
      </c>
      <c r="CZ758" s="35">
        <v>3.4326397872000008E-2</v>
      </c>
    </row>
    <row r="759" spans="40:104" x14ac:dyDescent="0.3">
      <c r="AN759" s="117"/>
      <c r="AO759" s="118"/>
      <c r="AP759" s="119"/>
      <c r="AQ759" s="120"/>
      <c r="AS759" s="100"/>
      <c r="CY759" s="34" t="s">
        <v>1685</v>
      </c>
      <c r="CZ759" s="35">
        <v>4.1481335673500003E-3</v>
      </c>
    </row>
    <row r="760" spans="40:104" x14ac:dyDescent="0.3">
      <c r="AN760" s="117"/>
      <c r="AO760" s="118"/>
      <c r="AP760" s="119"/>
      <c r="AQ760" s="120"/>
      <c r="AS760" s="100"/>
      <c r="CY760" s="34" t="s">
        <v>1686</v>
      </c>
      <c r="CZ760" s="35">
        <v>2.5619193600000001E-4</v>
      </c>
    </row>
    <row r="761" spans="40:104" x14ac:dyDescent="0.3">
      <c r="AN761" s="117"/>
      <c r="AO761" s="118"/>
      <c r="AP761" s="119"/>
      <c r="AQ761" s="120"/>
      <c r="AS761" s="100"/>
      <c r="CY761" s="34" t="s">
        <v>1687</v>
      </c>
      <c r="CZ761" s="35">
        <v>3.7832971064000005E-3</v>
      </c>
    </row>
    <row r="762" spans="40:104" x14ac:dyDescent="0.3">
      <c r="AN762" s="117"/>
      <c r="AO762" s="118"/>
      <c r="AP762" s="119"/>
      <c r="AQ762" s="120"/>
      <c r="AS762" s="100"/>
      <c r="CY762" s="34" t="s">
        <v>1688</v>
      </c>
      <c r="CZ762" s="35">
        <v>4.7690459342105279E-3</v>
      </c>
    </row>
    <row r="763" spans="40:104" x14ac:dyDescent="0.3">
      <c r="AN763" s="117"/>
      <c r="AO763" s="118"/>
      <c r="AP763" s="119"/>
      <c r="AQ763" s="120"/>
      <c r="AS763" s="100"/>
      <c r="CY763" s="34" t="s">
        <v>1689</v>
      </c>
      <c r="CZ763" s="35">
        <v>0.16364800586666667</v>
      </c>
    </row>
    <row r="764" spans="40:104" x14ac:dyDescent="0.3">
      <c r="AN764" s="136"/>
      <c r="AO764" s="118"/>
      <c r="AP764" s="119"/>
      <c r="AQ764" s="120"/>
      <c r="AS764" s="100"/>
      <c r="CY764" s="34" t="s">
        <v>1690</v>
      </c>
      <c r="CZ764" s="35">
        <v>4.6924421439999992E-3</v>
      </c>
    </row>
    <row r="765" spans="40:104" x14ac:dyDescent="0.3">
      <c r="AN765" s="117"/>
      <c r="AO765" s="118"/>
      <c r="AP765" s="119"/>
      <c r="AQ765" s="120"/>
      <c r="AS765" s="100"/>
      <c r="CY765" s="34" t="s">
        <v>1691</v>
      </c>
      <c r="CZ765" s="35">
        <v>1.4568838431E-2</v>
      </c>
    </row>
    <row r="766" spans="40:104" x14ac:dyDescent="0.3">
      <c r="AN766" s="117"/>
      <c r="AO766" s="118"/>
      <c r="AP766" s="119"/>
      <c r="AQ766" s="120"/>
      <c r="AS766" s="100"/>
      <c r="CY766" s="34" t="s">
        <v>1692</v>
      </c>
      <c r="CZ766" s="35">
        <v>1.5453842814999998E-4</v>
      </c>
    </row>
    <row r="767" spans="40:104" x14ac:dyDescent="0.3">
      <c r="AN767" s="117"/>
      <c r="AO767" s="118"/>
      <c r="AP767" s="119"/>
      <c r="AQ767" s="120"/>
      <c r="AS767" s="100"/>
      <c r="CY767" s="34" t="s">
        <v>1693</v>
      </c>
      <c r="CZ767" s="35">
        <v>5.5176259200000004E-4</v>
      </c>
    </row>
    <row r="768" spans="40:104" x14ac:dyDescent="0.3">
      <c r="AN768" s="117"/>
      <c r="AO768" s="118"/>
      <c r="AP768" s="119"/>
      <c r="AQ768" s="120"/>
      <c r="AS768" s="100"/>
      <c r="CY768" s="34" t="s">
        <v>1694</v>
      </c>
      <c r="CZ768" s="35">
        <v>7.5867233333333324E-3</v>
      </c>
    </row>
    <row r="769" spans="40:104" x14ac:dyDescent="0.3">
      <c r="AN769" s="117"/>
      <c r="AO769" s="118"/>
      <c r="AP769" s="119"/>
      <c r="AQ769" s="120"/>
      <c r="AS769" s="100"/>
      <c r="CY769" s="34" t="s">
        <v>1695</v>
      </c>
      <c r="CZ769" s="35">
        <v>9.8137730733333321E-3</v>
      </c>
    </row>
    <row r="770" spans="40:104" x14ac:dyDescent="0.3">
      <c r="AN770" s="136"/>
      <c r="AO770" s="118"/>
      <c r="AP770" s="119"/>
      <c r="AQ770" s="120"/>
      <c r="AS770" s="100"/>
      <c r="CY770" s="34" t="s">
        <v>1696</v>
      </c>
      <c r="CZ770" s="35">
        <v>1.633071228E-2</v>
      </c>
    </row>
    <row r="771" spans="40:104" x14ac:dyDescent="0.3">
      <c r="AN771" s="117"/>
      <c r="AO771" s="118"/>
      <c r="AP771" s="119"/>
      <c r="AQ771" s="120"/>
      <c r="AS771" s="100"/>
      <c r="CY771" s="34" t="s">
        <v>1697</v>
      </c>
      <c r="CZ771" s="35">
        <v>5.3490125120000002E-2</v>
      </c>
    </row>
    <row r="772" spans="40:104" x14ac:dyDescent="0.3">
      <c r="AN772" s="117"/>
      <c r="AO772" s="118"/>
      <c r="AP772" s="119"/>
      <c r="AQ772" s="120"/>
      <c r="AS772" s="100"/>
      <c r="CY772" s="34" t="s">
        <v>1698</v>
      </c>
      <c r="CZ772" s="35">
        <v>2.0303683984000002E-2</v>
      </c>
    </row>
    <row r="773" spans="40:104" x14ac:dyDescent="0.3">
      <c r="AN773" s="117"/>
      <c r="AO773" s="118"/>
      <c r="AP773" s="119"/>
      <c r="AQ773" s="120"/>
      <c r="AS773" s="100"/>
      <c r="CY773" s="34" t="s">
        <v>1699</v>
      </c>
      <c r="CZ773" s="35">
        <v>1.38170514E-2</v>
      </c>
    </row>
    <row r="774" spans="40:104" x14ac:dyDescent="0.3">
      <c r="AN774" s="117"/>
      <c r="AO774" s="118"/>
      <c r="AP774" s="119"/>
      <c r="AQ774" s="120"/>
      <c r="AS774" s="100"/>
      <c r="CY774" s="34" t="s">
        <v>1700</v>
      </c>
      <c r="CZ774" s="35">
        <v>2.4830205566666666E-2</v>
      </c>
    </row>
    <row r="775" spans="40:104" x14ac:dyDescent="0.3">
      <c r="AN775" s="117"/>
      <c r="AO775" s="118"/>
      <c r="AP775" s="119"/>
      <c r="AQ775" s="120"/>
      <c r="AS775" s="100"/>
      <c r="CY775" s="34" t="s">
        <v>1701</v>
      </c>
      <c r="CZ775" s="35">
        <v>1.3041041296E-2</v>
      </c>
    </row>
    <row r="776" spans="40:104" x14ac:dyDescent="0.3">
      <c r="AN776" s="117"/>
      <c r="AO776" s="118"/>
      <c r="AP776" s="119"/>
      <c r="AQ776" s="120"/>
      <c r="AS776" s="100"/>
      <c r="CY776" s="34" t="s">
        <v>1702</v>
      </c>
      <c r="CZ776" s="35">
        <v>8.0448418720000003E-4</v>
      </c>
    </row>
    <row r="777" spans="40:104" x14ac:dyDescent="0.3">
      <c r="AN777" s="117"/>
      <c r="AO777" s="118"/>
      <c r="AP777" s="119"/>
      <c r="AQ777" s="120"/>
      <c r="AS777" s="100"/>
      <c r="CY777" s="34" t="s">
        <v>1703</v>
      </c>
      <c r="CZ777" s="35">
        <v>3.0192422400000004E-4</v>
      </c>
    </row>
    <row r="778" spans="40:104" x14ac:dyDescent="0.3">
      <c r="AN778" s="117"/>
      <c r="AO778" s="118"/>
      <c r="AP778" s="119"/>
      <c r="AQ778" s="120"/>
      <c r="AS778" s="100"/>
      <c r="CY778" s="34" t="s">
        <v>1704</v>
      </c>
      <c r="CZ778" s="35">
        <v>3.1522400000000002E-4</v>
      </c>
    </row>
    <row r="779" spans="40:104" x14ac:dyDescent="0.3">
      <c r="AN779" s="117"/>
      <c r="AO779" s="118"/>
      <c r="AP779" s="119"/>
      <c r="AQ779" s="120"/>
      <c r="AS779" s="100"/>
      <c r="CY779" s="34" t="s">
        <v>1705</v>
      </c>
      <c r="CZ779" s="35">
        <v>1.4815096520000002E-3</v>
      </c>
    </row>
    <row r="780" spans="40:104" x14ac:dyDescent="0.3">
      <c r="AN780" s="117"/>
      <c r="AO780" s="118"/>
      <c r="AP780" s="119"/>
      <c r="AQ780" s="120"/>
      <c r="AS780" s="100"/>
      <c r="CY780" s="34" t="s">
        <v>1706</v>
      </c>
      <c r="CZ780" s="35">
        <v>9.4706143999999999E-4</v>
      </c>
    </row>
    <row r="781" spans="40:104" x14ac:dyDescent="0.3">
      <c r="AN781" s="117"/>
      <c r="AO781" s="118"/>
      <c r="AP781" s="119"/>
      <c r="AQ781" s="120"/>
      <c r="AS781" s="100"/>
      <c r="CY781" s="34" t="s">
        <v>1707</v>
      </c>
      <c r="CZ781" s="35">
        <v>1.2715241120000002E-3</v>
      </c>
    </row>
    <row r="782" spans="40:104" x14ac:dyDescent="0.3">
      <c r="AN782" s="117"/>
      <c r="AO782" s="118"/>
      <c r="AP782" s="119"/>
      <c r="AQ782" s="120"/>
      <c r="AS782" s="100"/>
      <c r="CY782" s="34" t="s">
        <v>1708</v>
      </c>
      <c r="CZ782" s="35">
        <v>6.0726549519999999E-3</v>
      </c>
    </row>
    <row r="783" spans="40:104" x14ac:dyDescent="0.3">
      <c r="AN783" s="117"/>
      <c r="AO783" s="118"/>
      <c r="AP783" s="119"/>
      <c r="AQ783" s="120"/>
      <c r="AS783" s="100"/>
      <c r="CY783" s="34" t="s">
        <v>1709</v>
      </c>
      <c r="CZ783" s="35">
        <v>2.3349385000000001E-3</v>
      </c>
    </row>
    <row r="784" spans="40:104" x14ac:dyDescent="0.3">
      <c r="AN784" s="117"/>
      <c r="AO784" s="118"/>
      <c r="AP784" s="119"/>
      <c r="AQ784" s="120"/>
      <c r="AS784" s="100"/>
      <c r="CY784" s="34" t="s">
        <v>1710</v>
      </c>
      <c r="CZ784" s="35">
        <v>1.5571365060307693E-2</v>
      </c>
    </row>
    <row r="785" spans="40:104" x14ac:dyDescent="0.3">
      <c r="AN785" s="117"/>
      <c r="AO785" s="118"/>
      <c r="AP785" s="119"/>
      <c r="AQ785" s="120"/>
      <c r="AS785" s="100"/>
      <c r="CY785" s="34" t="s">
        <v>1711</v>
      </c>
      <c r="CZ785" s="35">
        <v>2.5789723999999997E-2</v>
      </c>
    </row>
    <row r="786" spans="40:104" x14ac:dyDescent="0.3">
      <c r="AN786" s="117"/>
      <c r="AO786" s="118"/>
      <c r="AP786" s="119"/>
      <c r="AQ786" s="120"/>
      <c r="AS786" s="100"/>
      <c r="CY786" s="34" t="s">
        <v>1712</v>
      </c>
      <c r="CZ786" s="35">
        <v>1.8003940000000001E-3</v>
      </c>
    </row>
    <row r="787" spans="40:104" x14ac:dyDescent="0.3">
      <c r="AN787" s="117"/>
      <c r="AO787" s="118"/>
      <c r="AP787" s="119"/>
      <c r="AQ787" s="120"/>
      <c r="AS787" s="100"/>
      <c r="CY787" s="34" t="s">
        <v>1713</v>
      </c>
      <c r="CZ787" s="35">
        <v>5.8232199679999992E-2</v>
      </c>
    </row>
    <row r="788" spans="40:104" x14ac:dyDescent="0.3">
      <c r="AN788" s="117"/>
      <c r="AO788" s="118"/>
      <c r="AP788" s="119"/>
      <c r="AQ788" s="120"/>
      <c r="AS788" s="100"/>
      <c r="CY788" s="34" t="s">
        <v>1714</v>
      </c>
      <c r="CZ788" s="35">
        <v>9.2971803519999998E-4</v>
      </c>
    </row>
    <row r="789" spans="40:104" x14ac:dyDescent="0.3">
      <c r="AN789" s="117"/>
      <c r="AO789" s="118"/>
      <c r="AP789" s="119"/>
      <c r="AQ789" s="120"/>
      <c r="AS789" s="100"/>
      <c r="CY789" s="34" t="s">
        <v>1715</v>
      </c>
      <c r="CZ789" s="35">
        <v>3.8007493440000003E-3</v>
      </c>
    </row>
    <row r="790" spans="40:104" x14ac:dyDescent="0.3">
      <c r="AN790" s="117"/>
      <c r="AO790" s="118"/>
      <c r="AP790" s="119"/>
      <c r="AQ790" s="120"/>
      <c r="AS790" s="100"/>
      <c r="CY790" s="34" t="s">
        <v>1716</v>
      </c>
      <c r="CZ790" s="35">
        <v>3.8007493440000003E-3</v>
      </c>
    </row>
    <row r="791" spans="40:104" x14ac:dyDescent="0.3">
      <c r="AN791" s="117"/>
      <c r="AO791" s="118"/>
      <c r="AP791" s="119"/>
      <c r="AQ791" s="120"/>
      <c r="AS791" s="100"/>
      <c r="CY791" s="34" t="s">
        <v>1717</v>
      </c>
      <c r="CZ791" s="35">
        <v>3.555714641333333E-3</v>
      </c>
    </row>
    <row r="792" spans="40:104" x14ac:dyDescent="0.3">
      <c r="AN792" s="117"/>
      <c r="AO792" s="118"/>
      <c r="AP792" s="119"/>
      <c r="AQ792" s="120"/>
      <c r="AS792" s="100"/>
      <c r="CY792" s="34" t="s">
        <v>1718</v>
      </c>
      <c r="CZ792" s="35">
        <v>3.555714641333333E-3</v>
      </c>
    </row>
    <row r="793" spans="40:104" x14ac:dyDescent="0.3">
      <c r="AN793" s="117"/>
      <c r="AO793" s="118"/>
      <c r="AP793" s="119"/>
      <c r="AQ793" s="120"/>
      <c r="AS793" s="100"/>
      <c r="CY793" s="34" t="s">
        <v>1719</v>
      </c>
      <c r="CZ793" s="35">
        <v>2.1644703382400006E-3</v>
      </c>
    </row>
    <row r="794" spans="40:104" x14ac:dyDescent="0.3">
      <c r="AN794" s="117"/>
      <c r="AO794" s="118"/>
      <c r="AP794" s="119"/>
      <c r="AQ794" s="120"/>
      <c r="AS794" s="100"/>
      <c r="CY794" s="34" t="s">
        <v>1720</v>
      </c>
      <c r="CZ794" s="35">
        <v>1.1322400734999998E-2</v>
      </c>
    </row>
    <row r="795" spans="40:104" x14ac:dyDescent="0.3">
      <c r="AN795" s="117"/>
      <c r="AO795" s="118"/>
      <c r="AP795" s="119"/>
      <c r="AQ795" s="120"/>
      <c r="AS795" s="100"/>
      <c r="CY795" s="34" t="s">
        <v>1721</v>
      </c>
      <c r="CZ795" s="35">
        <v>6.4860093399999996E-3</v>
      </c>
    </row>
    <row r="796" spans="40:104" x14ac:dyDescent="0.3">
      <c r="AN796" s="117"/>
      <c r="AO796" s="118"/>
      <c r="AP796" s="119"/>
      <c r="AQ796" s="120"/>
      <c r="AS796" s="100"/>
      <c r="CY796" s="34" t="s">
        <v>1722</v>
      </c>
      <c r="CZ796" s="35">
        <v>1.6279371040000001E-2</v>
      </c>
    </row>
    <row r="797" spans="40:104" x14ac:dyDescent="0.3">
      <c r="AN797" s="117"/>
      <c r="AO797" s="118"/>
      <c r="AP797" s="119"/>
      <c r="AQ797" s="120"/>
      <c r="AS797" s="100"/>
      <c r="CY797" s="34" t="s">
        <v>1723</v>
      </c>
      <c r="CZ797" s="35">
        <v>1.4096954350000001E-2</v>
      </c>
    </row>
    <row r="798" spans="40:104" x14ac:dyDescent="0.3">
      <c r="AN798" s="117"/>
      <c r="AO798" s="118"/>
      <c r="AP798" s="119"/>
      <c r="AQ798" s="120"/>
      <c r="AS798" s="100"/>
      <c r="CY798" s="34" t="s">
        <v>1724</v>
      </c>
      <c r="CZ798" s="35">
        <v>4.271310712000001E-3</v>
      </c>
    </row>
    <row r="799" spans="40:104" x14ac:dyDescent="0.3">
      <c r="AN799" s="117"/>
      <c r="AO799" s="118"/>
      <c r="AP799" s="119"/>
      <c r="AQ799" s="120"/>
      <c r="AS799" s="100"/>
      <c r="CY799" s="34" t="s">
        <v>1725</v>
      </c>
      <c r="CZ799" s="35">
        <v>5.6496533600000002E-4</v>
      </c>
    </row>
    <row r="800" spans="40:104" x14ac:dyDescent="0.3">
      <c r="AN800" s="117"/>
      <c r="AO800" s="115"/>
      <c r="AP800" s="119"/>
      <c r="AQ800" s="219"/>
      <c r="AS800" s="100"/>
      <c r="CY800" s="34" t="s">
        <v>1726</v>
      </c>
      <c r="CZ800" s="35">
        <v>2.9443430400000003E-4</v>
      </c>
    </row>
    <row r="801" spans="40:104" x14ac:dyDescent="0.3">
      <c r="AN801" s="117"/>
      <c r="AO801" s="118"/>
      <c r="AP801" s="119"/>
      <c r="AQ801" s="120"/>
      <c r="AS801" s="100"/>
      <c r="CY801" s="34" t="s">
        <v>1727</v>
      </c>
      <c r="CZ801" s="35">
        <v>1.2623775168E-2</v>
      </c>
    </row>
    <row r="802" spans="40:104" x14ac:dyDescent="0.3">
      <c r="AN802" s="117"/>
      <c r="AO802" s="118"/>
      <c r="AP802" s="119"/>
      <c r="AQ802" s="120"/>
      <c r="AS802" s="100"/>
      <c r="CY802" s="34" t="s">
        <v>1728</v>
      </c>
      <c r="CZ802" s="35">
        <v>8.4245109599999997E-4</v>
      </c>
    </row>
    <row r="803" spans="40:104" x14ac:dyDescent="0.3">
      <c r="AN803" s="117"/>
      <c r="AO803" s="118"/>
      <c r="AP803" s="119"/>
      <c r="AQ803" s="120"/>
      <c r="AS803" s="100"/>
      <c r="CY803" s="34" t="s">
        <v>1729</v>
      </c>
      <c r="CZ803" s="35">
        <v>9.2674842207999999E-2</v>
      </c>
    </row>
    <row r="804" spans="40:104" x14ac:dyDescent="0.3">
      <c r="AN804" s="117"/>
      <c r="AO804" s="118"/>
      <c r="AP804" s="119"/>
      <c r="AQ804" s="120"/>
      <c r="AS804" s="100"/>
      <c r="CY804" s="34" t="s">
        <v>1730</v>
      </c>
      <c r="CZ804" s="35">
        <v>1.60728E-3</v>
      </c>
    </row>
    <row r="805" spans="40:104" x14ac:dyDescent="0.3">
      <c r="AN805" s="117"/>
      <c r="AO805" s="118"/>
      <c r="AP805" s="119"/>
      <c r="AQ805" s="120"/>
      <c r="AS805" s="100"/>
      <c r="CY805" s="34" t="s">
        <v>1731</v>
      </c>
      <c r="CZ805" s="35">
        <v>0.10742664</v>
      </c>
    </row>
    <row r="806" spans="40:104" x14ac:dyDescent="0.3">
      <c r="AN806" s="117"/>
      <c r="AO806" s="118"/>
      <c r="AP806" s="119"/>
      <c r="AQ806" s="120"/>
      <c r="AS806" s="100"/>
      <c r="CY806" s="34" t="s">
        <v>1732</v>
      </c>
      <c r="CZ806" s="35">
        <v>6.7747680000000005E-2</v>
      </c>
    </row>
    <row r="807" spans="40:104" x14ac:dyDescent="0.3">
      <c r="AN807" s="117"/>
      <c r="AO807" s="118"/>
      <c r="AP807" s="119"/>
      <c r="AQ807" s="120"/>
      <c r="AS807" s="100"/>
      <c r="CY807" s="34" t="s">
        <v>1733</v>
      </c>
      <c r="CZ807" s="35">
        <v>1.9356479999999999E-2</v>
      </c>
    </row>
    <row r="808" spans="40:104" x14ac:dyDescent="0.3">
      <c r="AN808" s="117"/>
      <c r="AO808" s="118"/>
      <c r="AP808" s="119"/>
      <c r="AQ808" s="120"/>
      <c r="AS808" s="100"/>
      <c r="CY808" s="34" t="s">
        <v>1734</v>
      </c>
      <c r="CZ808" s="35">
        <v>4.6589568319999998E-3</v>
      </c>
    </row>
    <row r="809" spans="40:104" x14ac:dyDescent="0.3">
      <c r="AN809" s="117"/>
      <c r="AO809" s="118"/>
      <c r="AP809" s="119"/>
      <c r="AQ809" s="120"/>
      <c r="AS809" s="100"/>
      <c r="CY809" s="34" t="s">
        <v>1735</v>
      </c>
      <c r="CZ809" s="35">
        <v>4.6406436751999999E-2</v>
      </c>
    </row>
    <row r="810" spans="40:104" x14ac:dyDescent="0.3">
      <c r="AN810" s="117"/>
      <c r="AO810" s="118"/>
      <c r="AP810" s="119"/>
      <c r="AQ810" s="120"/>
      <c r="AS810" s="100"/>
      <c r="CY810" s="34" t="s">
        <v>1736</v>
      </c>
      <c r="CZ810" s="35">
        <v>200.23302200000001</v>
      </c>
    </row>
    <row r="811" spans="40:104" x14ac:dyDescent="0.3">
      <c r="AN811" s="117"/>
      <c r="AO811" s="118"/>
      <c r="AP811" s="119"/>
      <c r="AQ811" s="120"/>
      <c r="AS811" s="100"/>
      <c r="CY811" s="34" t="s">
        <v>1737</v>
      </c>
      <c r="CZ811" s="35">
        <v>200</v>
      </c>
    </row>
    <row r="812" spans="40:104" x14ac:dyDescent="0.3">
      <c r="AN812" s="117"/>
      <c r="AO812" s="118"/>
      <c r="AP812" s="119"/>
      <c r="AQ812" s="120"/>
      <c r="AS812" s="100"/>
      <c r="CY812" s="34" t="s">
        <v>1738</v>
      </c>
      <c r="CZ812" s="35">
        <v>0.21949199999999999</v>
      </c>
    </row>
    <row r="813" spans="40:104" x14ac:dyDescent="0.3">
      <c r="AN813" s="117"/>
      <c r="AO813" s="118"/>
      <c r="AP813" s="119"/>
      <c r="AQ813" s="120"/>
      <c r="AS813" s="100"/>
      <c r="CY813" s="34" t="s">
        <v>1739</v>
      </c>
      <c r="CZ813" s="35">
        <v>2.8773964669999994E-3</v>
      </c>
    </row>
    <row r="814" spans="40:104" x14ac:dyDescent="0.3">
      <c r="AN814" s="117"/>
      <c r="AO814" s="118"/>
      <c r="AP814" s="119"/>
      <c r="AQ814" s="120"/>
      <c r="AS814" s="100"/>
      <c r="CY814" s="34" t="s">
        <v>1740</v>
      </c>
      <c r="CZ814" s="35">
        <v>2.3245754483199998E-3</v>
      </c>
    </row>
    <row r="815" spans="40:104" x14ac:dyDescent="0.3">
      <c r="AN815" s="117"/>
      <c r="AO815" s="118"/>
      <c r="AP815" s="119"/>
      <c r="AQ815" s="120"/>
      <c r="AS815" s="100"/>
      <c r="CY815" s="34" t="s">
        <v>1741</v>
      </c>
      <c r="CZ815" s="35">
        <v>3.6281640000000006E-3</v>
      </c>
    </row>
    <row r="816" spans="40:104" x14ac:dyDescent="0.3">
      <c r="AN816" s="117"/>
      <c r="AO816" s="118"/>
      <c r="AP816" s="119"/>
      <c r="AQ816" s="120"/>
      <c r="AS816" s="100"/>
      <c r="CY816" s="34" t="s">
        <v>1742</v>
      </c>
      <c r="CZ816" s="35">
        <v>1.4944546295999998E-2</v>
      </c>
    </row>
    <row r="817" spans="40:104" x14ac:dyDescent="0.3">
      <c r="AN817" s="117"/>
      <c r="AO817" s="118"/>
      <c r="AP817" s="119"/>
      <c r="AQ817" s="120"/>
      <c r="AS817" s="100"/>
      <c r="CY817" s="34" t="s">
        <v>1743</v>
      </c>
      <c r="CZ817" s="35">
        <v>0.10207482627999999</v>
      </c>
    </row>
    <row r="818" spans="40:104" x14ac:dyDescent="0.3">
      <c r="AN818" s="117"/>
      <c r="AO818" s="118"/>
      <c r="AP818" s="119"/>
      <c r="AQ818" s="120"/>
      <c r="AS818" s="100"/>
      <c r="CY818" s="34" t="s">
        <v>1744</v>
      </c>
      <c r="CZ818" s="35">
        <v>2.5376587688E-2</v>
      </c>
    </row>
    <row r="819" spans="40:104" x14ac:dyDescent="0.3">
      <c r="AN819" s="117"/>
      <c r="AO819" s="118"/>
      <c r="AP819" s="119"/>
      <c r="AQ819" s="120"/>
      <c r="AS819" s="100"/>
      <c r="CY819" s="34" t="s">
        <v>1745</v>
      </c>
      <c r="CZ819" s="35">
        <v>2.4625566267999999E-2</v>
      </c>
    </row>
    <row r="820" spans="40:104" x14ac:dyDescent="0.3">
      <c r="AN820" s="117"/>
      <c r="AO820" s="118"/>
      <c r="AP820" s="119"/>
      <c r="AQ820" s="120"/>
      <c r="AS820" s="100"/>
      <c r="CY820" s="34" t="s">
        <v>1746</v>
      </c>
      <c r="CZ820" s="35">
        <v>2.6066398804E-2</v>
      </c>
    </row>
    <row r="821" spans="40:104" x14ac:dyDescent="0.3">
      <c r="AN821" s="117"/>
      <c r="AO821" s="118"/>
      <c r="AP821" s="119"/>
      <c r="AQ821" s="120"/>
      <c r="AS821" s="100"/>
      <c r="CY821" s="34" t="s">
        <v>1747</v>
      </c>
      <c r="CZ821" s="35">
        <v>8.6098407349999989E-3</v>
      </c>
    </row>
    <row r="822" spans="40:104" x14ac:dyDescent="0.3">
      <c r="AN822" s="117"/>
      <c r="AO822" s="118"/>
      <c r="AP822" s="119"/>
      <c r="AQ822" s="120"/>
      <c r="AS822" s="100"/>
      <c r="CY822" s="34" t="s">
        <v>1748</v>
      </c>
      <c r="CZ822" s="35">
        <v>1.4229914389333334E-3</v>
      </c>
    </row>
    <row r="823" spans="40:104" x14ac:dyDescent="0.3">
      <c r="AN823" s="117"/>
      <c r="AO823" s="118"/>
      <c r="AP823" s="119"/>
      <c r="AQ823" s="120"/>
      <c r="AS823" s="100"/>
      <c r="CY823" s="34" t="s">
        <v>1749</v>
      </c>
      <c r="CZ823" s="35">
        <v>1.5064454000000001E-2</v>
      </c>
    </row>
    <row r="824" spans="40:104" x14ac:dyDescent="0.3">
      <c r="AN824" s="117"/>
      <c r="AO824" s="118"/>
      <c r="AP824" s="119"/>
      <c r="AQ824" s="120"/>
      <c r="AS824" s="100"/>
      <c r="CY824" s="34" t="s">
        <v>1750</v>
      </c>
      <c r="CZ824" s="35">
        <v>2.5869072625E-2</v>
      </c>
    </row>
    <row r="825" spans="40:104" x14ac:dyDescent="0.3">
      <c r="AN825" s="117"/>
      <c r="AO825" s="118"/>
      <c r="AP825" s="119"/>
      <c r="AQ825" s="120"/>
      <c r="AS825" s="100"/>
      <c r="CY825" s="34" t="s">
        <v>1751</v>
      </c>
      <c r="CZ825" s="35">
        <v>3.6905155268000004E-3</v>
      </c>
    </row>
    <row r="826" spans="40:104" x14ac:dyDescent="0.3">
      <c r="AN826" s="117"/>
      <c r="AO826" s="118"/>
      <c r="AP826" s="119"/>
      <c r="AQ826" s="120"/>
      <c r="AS826" s="100"/>
      <c r="CY826" s="34" t="s">
        <v>1752</v>
      </c>
      <c r="CZ826" s="35">
        <v>5.5174130366700009E-3</v>
      </c>
    </row>
    <row r="827" spans="40:104" x14ac:dyDescent="0.3">
      <c r="AN827" s="117"/>
      <c r="AO827" s="118"/>
      <c r="AP827" s="119"/>
      <c r="AQ827" s="120"/>
      <c r="AS827" s="100"/>
      <c r="CY827" s="34" t="s">
        <v>1753</v>
      </c>
      <c r="CZ827" s="35">
        <v>5.7291675733709677E-2</v>
      </c>
    </row>
    <row r="828" spans="40:104" x14ac:dyDescent="0.3">
      <c r="AN828" s="117"/>
      <c r="AO828" s="118"/>
      <c r="AP828" s="119"/>
      <c r="AQ828" s="120"/>
      <c r="AS828" s="100"/>
      <c r="CY828" s="34" t="s">
        <v>1754</v>
      </c>
      <c r="CZ828" s="35">
        <v>0.11218333338709677</v>
      </c>
    </row>
    <row r="829" spans="40:104" x14ac:dyDescent="0.3">
      <c r="AN829" s="117"/>
      <c r="AO829" s="118"/>
      <c r="AP829" s="119"/>
      <c r="AQ829" s="120"/>
      <c r="AS829" s="100"/>
      <c r="CY829" s="34" t="s">
        <v>1755</v>
      </c>
      <c r="CZ829" s="35">
        <v>6.1904732499999997E-2</v>
      </c>
    </row>
    <row r="830" spans="40:104" x14ac:dyDescent="0.3">
      <c r="AN830" s="117"/>
      <c r="AO830" s="118"/>
      <c r="AP830" s="119"/>
      <c r="AQ830" s="120"/>
      <c r="AS830" s="100"/>
      <c r="CY830" s="34" t="s">
        <v>1756</v>
      </c>
      <c r="CZ830" s="35">
        <v>9.4401819560000017E-2</v>
      </c>
    </row>
    <row r="831" spans="40:104" x14ac:dyDescent="0.3">
      <c r="AN831" s="117"/>
      <c r="AO831" s="118"/>
      <c r="AP831" s="119"/>
      <c r="AQ831" s="120"/>
      <c r="AS831" s="100"/>
      <c r="CY831" s="34" t="s">
        <v>1757</v>
      </c>
      <c r="CZ831" s="35">
        <v>7.7750000000000007E-3</v>
      </c>
    </row>
    <row r="832" spans="40:104" x14ac:dyDescent="0.3">
      <c r="AN832" s="117"/>
      <c r="AO832" s="118"/>
      <c r="AP832" s="119"/>
      <c r="AQ832" s="120"/>
      <c r="AS832" s="100"/>
      <c r="CY832" s="34" t="s">
        <v>1758</v>
      </c>
      <c r="CZ832" s="35">
        <v>9.8077576E-2</v>
      </c>
    </row>
    <row r="833" spans="40:104" x14ac:dyDescent="0.3">
      <c r="AN833" s="117"/>
      <c r="AO833" s="118"/>
      <c r="AP833" s="119"/>
      <c r="AQ833" s="120"/>
      <c r="AS833" s="100"/>
      <c r="CY833" s="34" t="s">
        <v>1759</v>
      </c>
      <c r="CZ833" s="35">
        <v>1.5640110015955055E-3</v>
      </c>
    </row>
    <row r="834" spans="40:104" x14ac:dyDescent="0.3">
      <c r="AN834" s="117"/>
      <c r="AO834" s="118"/>
      <c r="AP834" s="119"/>
      <c r="AQ834" s="120"/>
      <c r="AS834" s="100"/>
      <c r="CY834" s="34" t="s">
        <v>1760</v>
      </c>
      <c r="CZ834" s="35">
        <v>3.3579272827999995E-2</v>
      </c>
    </row>
    <row r="835" spans="40:104" x14ac:dyDescent="0.3">
      <c r="AN835" s="117"/>
      <c r="AO835" s="118"/>
      <c r="AP835" s="119"/>
      <c r="AQ835" s="120"/>
      <c r="AS835" s="100"/>
      <c r="CY835" s="34" t="s">
        <v>1761</v>
      </c>
      <c r="CZ835" s="35">
        <v>5.1101433343999997E-2</v>
      </c>
    </row>
    <row r="836" spans="40:104" x14ac:dyDescent="0.3">
      <c r="AN836" s="117"/>
      <c r="AO836" s="118"/>
      <c r="AP836" s="119"/>
      <c r="AQ836" s="120"/>
      <c r="AS836" s="100"/>
      <c r="CY836" s="34" t="s">
        <v>1762</v>
      </c>
      <c r="CZ836" s="35">
        <v>1.0516347852800002E-3</v>
      </c>
    </row>
    <row r="837" spans="40:104" x14ac:dyDescent="0.3">
      <c r="AN837" s="117"/>
      <c r="AO837" s="118"/>
      <c r="AP837" s="119"/>
      <c r="AQ837" s="120"/>
      <c r="AS837" s="100"/>
      <c r="CY837" s="34" t="s">
        <v>1763</v>
      </c>
      <c r="CZ837" s="35">
        <v>2.7928166519466668E-2</v>
      </c>
    </row>
    <row r="838" spans="40:104" x14ac:dyDescent="0.3">
      <c r="AN838" s="117"/>
      <c r="AO838" s="118"/>
      <c r="AP838" s="119"/>
      <c r="AQ838" s="120"/>
      <c r="AS838" s="100"/>
      <c r="CY838" s="34" t="s">
        <v>1764</v>
      </c>
      <c r="CZ838" s="35">
        <v>7.5229960729600006E-3</v>
      </c>
    </row>
    <row r="839" spans="40:104" x14ac:dyDescent="0.3">
      <c r="AN839" s="117"/>
      <c r="AO839" s="118"/>
      <c r="AP839" s="119"/>
      <c r="AQ839" s="120"/>
      <c r="AS839" s="100"/>
      <c r="CY839" s="34" t="s">
        <v>1765</v>
      </c>
      <c r="CZ839" s="35">
        <v>2.6833358894500004E-3</v>
      </c>
    </row>
    <row r="840" spans="40:104" x14ac:dyDescent="0.3">
      <c r="AN840" s="117"/>
      <c r="AO840" s="118"/>
      <c r="AP840" s="119"/>
      <c r="AQ840" s="120"/>
      <c r="AS840" s="100"/>
      <c r="CY840" s="34" t="s">
        <v>1766</v>
      </c>
      <c r="CZ840" s="35">
        <v>1.6529452424000002E-2</v>
      </c>
    </row>
    <row r="841" spans="40:104" x14ac:dyDescent="0.3">
      <c r="AN841" s="117"/>
      <c r="AO841" s="118"/>
      <c r="AP841" s="119"/>
      <c r="AQ841" s="120"/>
      <c r="AS841" s="100"/>
      <c r="CY841" s="34" t="s">
        <v>1767</v>
      </c>
      <c r="CZ841" s="35">
        <v>2.8678826599999999E-3</v>
      </c>
    </row>
    <row r="842" spans="40:104" x14ac:dyDescent="0.3">
      <c r="AN842" s="117"/>
      <c r="AO842" s="118"/>
      <c r="AP842" s="119"/>
      <c r="AQ842" s="120"/>
      <c r="AS842" s="100"/>
      <c r="CY842" s="34" t="s">
        <v>1768</v>
      </c>
      <c r="CZ842" s="35">
        <v>2.2509177600000001E-4</v>
      </c>
    </row>
    <row r="843" spans="40:104" x14ac:dyDescent="0.3">
      <c r="AN843" s="117"/>
      <c r="AO843" s="118"/>
      <c r="AP843" s="119"/>
      <c r="AQ843" s="120"/>
      <c r="AS843" s="100"/>
      <c r="CY843" s="34" t="s">
        <v>1769</v>
      </c>
      <c r="CZ843" s="35">
        <v>4.1731979839999996E-3</v>
      </c>
    </row>
    <row r="844" spans="40:104" x14ac:dyDescent="0.3">
      <c r="AN844" s="117"/>
      <c r="AO844" s="118"/>
      <c r="AP844" s="119"/>
      <c r="AQ844" s="120"/>
      <c r="AS844" s="100"/>
      <c r="CY844" s="34" t="s">
        <v>1770</v>
      </c>
      <c r="CZ844" s="35">
        <v>1.2788716119999999E-3</v>
      </c>
    </row>
    <row r="845" spans="40:104" x14ac:dyDescent="0.3">
      <c r="AN845" s="117"/>
      <c r="AO845" s="118"/>
      <c r="AP845" s="119"/>
      <c r="AQ845" s="120"/>
      <c r="AS845" s="100"/>
      <c r="CY845" s="34" t="s">
        <v>1771</v>
      </c>
      <c r="CZ845" s="35">
        <v>6.5472684160000003E-3</v>
      </c>
    </row>
    <row r="846" spans="40:104" x14ac:dyDescent="0.3">
      <c r="AN846" s="117"/>
      <c r="AO846" s="118"/>
      <c r="AP846" s="119"/>
      <c r="AQ846" s="120"/>
      <c r="AS846" s="100"/>
      <c r="CY846" s="34" t="s">
        <v>1772</v>
      </c>
      <c r="CZ846" s="35">
        <v>3.9114893376E-2</v>
      </c>
    </row>
    <row r="847" spans="40:104" x14ac:dyDescent="0.3">
      <c r="AN847" s="117"/>
      <c r="AO847" s="118"/>
      <c r="AP847" s="119"/>
      <c r="AQ847" s="120"/>
      <c r="AS847" s="100"/>
      <c r="CY847" s="34" t="s">
        <v>1773</v>
      </c>
      <c r="CZ847" s="35">
        <v>1.7978297866600001E-2</v>
      </c>
    </row>
    <row r="848" spans="40:104" x14ac:dyDescent="0.3">
      <c r="AN848" s="117"/>
      <c r="AO848" s="118"/>
      <c r="AP848" s="119"/>
      <c r="AQ848" s="120"/>
      <c r="AS848" s="100"/>
      <c r="CY848" s="34" t="s">
        <v>1774</v>
      </c>
      <c r="CZ848" s="35">
        <v>2.5261479833399998E-2</v>
      </c>
    </row>
    <row r="849" spans="40:104" x14ac:dyDescent="0.3">
      <c r="AN849" s="117"/>
      <c r="AO849" s="118"/>
      <c r="AP849" s="119"/>
      <c r="AQ849" s="120"/>
      <c r="AS849" s="100"/>
      <c r="CY849" s="34" t="s">
        <v>1775</v>
      </c>
      <c r="CZ849" s="35">
        <v>4.2864177279999995E-3</v>
      </c>
    </row>
    <row r="850" spans="40:104" x14ac:dyDescent="0.3">
      <c r="AN850" s="117"/>
      <c r="AO850" s="118"/>
      <c r="AP850" s="119"/>
      <c r="AQ850" s="120"/>
      <c r="AS850" s="100"/>
      <c r="CY850" s="34" t="s">
        <v>1776</v>
      </c>
      <c r="CZ850" s="35">
        <v>3.9652086640000004E-3</v>
      </c>
    </row>
    <row r="851" spans="40:104" x14ac:dyDescent="0.3">
      <c r="AN851" s="117"/>
      <c r="AO851" s="115"/>
      <c r="AP851" s="119"/>
      <c r="AQ851" s="219"/>
      <c r="AS851" s="100"/>
      <c r="CY851" s="34" t="s">
        <v>1777</v>
      </c>
      <c r="CZ851" s="35">
        <v>4.3592225999999991E-2</v>
      </c>
    </row>
    <row r="852" spans="40:104" x14ac:dyDescent="0.3">
      <c r="AN852" s="117"/>
      <c r="AO852" s="115"/>
      <c r="AP852" s="119"/>
      <c r="AQ852" s="219"/>
      <c r="AS852" s="100"/>
      <c r="CY852" s="34" t="s">
        <v>1778</v>
      </c>
      <c r="CZ852" s="35">
        <v>7.6988947936153847E-3</v>
      </c>
    </row>
    <row r="853" spans="40:104" x14ac:dyDescent="0.3">
      <c r="AN853" s="117"/>
      <c r="AO853" s="118"/>
      <c r="AP853" s="119"/>
      <c r="AQ853" s="120"/>
      <c r="AS853" s="100"/>
      <c r="CY853" s="34" t="s">
        <v>1779</v>
      </c>
      <c r="CZ853" s="35">
        <v>2.5022224693333334E-2</v>
      </c>
    </row>
    <row r="854" spans="40:104" x14ac:dyDescent="0.3">
      <c r="AN854" s="117"/>
      <c r="AO854" s="118"/>
      <c r="AP854" s="119"/>
      <c r="AQ854" s="120"/>
      <c r="AS854" s="100"/>
      <c r="CY854" s="34" t="s">
        <v>1780</v>
      </c>
      <c r="CZ854" s="35">
        <v>1.1489545E-2</v>
      </c>
    </row>
    <row r="855" spans="40:104" x14ac:dyDescent="0.3">
      <c r="AN855" s="117"/>
      <c r="AO855" s="118"/>
      <c r="AP855" s="119"/>
      <c r="AQ855" s="120"/>
      <c r="AS855" s="100"/>
      <c r="CY855" s="34" t="s">
        <v>1781</v>
      </c>
      <c r="CZ855" s="35">
        <v>1.5521403999999999E-2</v>
      </c>
    </row>
    <row r="856" spans="40:104" x14ac:dyDescent="0.3">
      <c r="AN856" s="117"/>
      <c r="AO856" s="118"/>
      <c r="AP856" s="119"/>
      <c r="AQ856" s="120"/>
      <c r="AS856" s="100"/>
      <c r="CY856" s="34" t="s">
        <v>1782</v>
      </c>
      <c r="CZ856" s="35">
        <v>1.4862096000000002E-2</v>
      </c>
    </row>
    <row r="857" spans="40:104" x14ac:dyDescent="0.3">
      <c r="AN857" s="117"/>
      <c r="AO857" s="118"/>
      <c r="AP857" s="119"/>
      <c r="AQ857" s="120"/>
      <c r="AS857" s="100"/>
      <c r="CY857" s="34" t="s">
        <v>1783</v>
      </c>
      <c r="CZ857" s="35">
        <v>1.5202384000000001E-2</v>
      </c>
    </row>
    <row r="858" spans="40:104" x14ac:dyDescent="0.3">
      <c r="AN858" s="117"/>
      <c r="AO858" s="118"/>
      <c r="AP858" s="119"/>
      <c r="AQ858" s="120"/>
      <c r="AS858" s="100"/>
      <c r="CY858" s="34" t="s">
        <v>1784</v>
      </c>
      <c r="CZ858" s="35">
        <v>1.888124280876316E-2</v>
      </c>
    </row>
    <row r="859" spans="40:104" x14ac:dyDescent="0.3">
      <c r="AN859" s="117"/>
      <c r="AO859" s="118"/>
      <c r="AP859" s="119"/>
      <c r="AQ859" s="120"/>
      <c r="AS859" s="100"/>
      <c r="CY859" s="34" t="s">
        <v>1785</v>
      </c>
      <c r="CZ859" s="35">
        <v>2.0209783866666664E-2</v>
      </c>
    </row>
    <row r="860" spans="40:104" x14ac:dyDescent="0.3">
      <c r="AN860" s="117"/>
      <c r="AO860" s="118"/>
      <c r="AP860" s="119"/>
      <c r="AQ860" s="120"/>
      <c r="AS860" s="100"/>
      <c r="CY860" s="34" t="s">
        <v>1786</v>
      </c>
      <c r="CZ860" s="35">
        <v>2.2853415839999995E-2</v>
      </c>
    </row>
    <row r="861" spans="40:104" x14ac:dyDescent="0.3">
      <c r="AN861" s="117"/>
      <c r="AO861" s="118"/>
      <c r="AP861" s="119"/>
      <c r="AQ861" s="120"/>
      <c r="AS861" s="100"/>
      <c r="CY861" s="34" t="s">
        <v>1787</v>
      </c>
      <c r="CZ861" s="35">
        <v>1.5307660600000002E-2</v>
      </c>
    </row>
    <row r="862" spans="40:104" x14ac:dyDescent="0.3">
      <c r="AN862" s="117"/>
      <c r="AO862" s="118"/>
      <c r="AP862" s="119"/>
      <c r="AQ862" s="120"/>
      <c r="AS862" s="100"/>
      <c r="CY862" s="34" t="s">
        <v>1788</v>
      </c>
      <c r="CZ862" s="35">
        <v>1.1566023776E-2</v>
      </c>
    </row>
    <row r="863" spans="40:104" x14ac:dyDescent="0.3">
      <c r="AN863" s="117"/>
      <c r="AO863" s="118"/>
      <c r="AP863" s="119"/>
      <c r="AQ863" s="120"/>
      <c r="AS863" s="100"/>
      <c r="CY863" s="34" t="s">
        <v>1789</v>
      </c>
      <c r="CZ863" s="35">
        <v>2.1625921879999999E-2</v>
      </c>
    </row>
    <row r="864" spans="40:104" x14ac:dyDescent="0.3">
      <c r="AN864" s="117"/>
      <c r="AO864" s="118"/>
      <c r="AP864" s="119"/>
      <c r="AQ864" s="120"/>
      <c r="AS864" s="100"/>
      <c r="CY864" s="34" t="s">
        <v>1790</v>
      </c>
      <c r="CZ864" s="35">
        <v>1.2794855251000001E-2</v>
      </c>
    </row>
    <row r="865" spans="40:104" x14ac:dyDescent="0.3">
      <c r="AN865" s="117"/>
      <c r="AO865" s="118"/>
      <c r="AP865" s="119"/>
      <c r="AQ865" s="120"/>
      <c r="AS865" s="100"/>
      <c r="CY865" s="34" t="s">
        <v>1791</v>
      </c>
      <c r="CZ865" s="35">
        <v>2.6259666719999998E-2</v>
      </c>
    </row>
    <row r="866" spans="40:104" x14ac:dyDescent="0.3">
      <c r="AN866" s="117"/>
      <c r="AO866" s="118"/>
      <c r="AP866" s="119"/>
      <c r="AQ866" s="120"/>
      <c r="AS866" s="100"/>
      <c r="CY866" s="34" t="s">
        <v>1792</v>
      </c>
      <c r="CZ866" s="35">
        <v>2.6259666653333336E-2</v>
      </c>
    </row>
    <row r="867" spans="40:104" x14ac:dyDescent="0.3">
      <c r="AN867" s="117"/>
      <c r="AO867" s="118"/>
      <c r="AP867" s="119"/>
      <c r="AQ867" s="120"/>
      <c r="AS867" s="100"/>
      <c r="CY867" s="34" t="s">
        <v>1793</v>
      </c>
      <c r="CZ867" s="35">
        <v>0.27969583333333331</v>
      </c>
    </row>
    <row r="868" spans="40:104" x14ac:dyDescent="0.3">
      <c r="AN868" s="117"/>
      <c r="AO868" s="118"/>
      <c r="AP868" s="119"/>
      <c r="AQ868" s="120"/>
      <c r="AS868" s="100"/>
      <c r="CY868" s="34" t="s">
        <v>1794</v>
      </c>
      <c r="CZ868" s="35">
        <v>0.19946353648000001</v>
      </c>
    </row>
    <row r="869" spans="40:104" x14ac:dyDescent="0.3">
      <c r="AN869" s="117"/>
      <c r="AO869" s="118"/>
      <c r="AP869" s="119"/>
      <c r="AQ869" s="120"/>
      <c r="AS869" s="100"/>
      <c r="CY869" s="34" t="s">
        <v>1795</v>
      </c>
      <c r="CZ869" s="35">
        <v>3.1368398451166665E-2</v>
      </c>
    </row>
    <row r="870" spans="40:104" x14ac:dyDescent="0.3">
      <c r="AN870" s="117"/>
      <c r="AO870" s="118"/>
      <c r="AP870" s="119"/>
      <c r="AQ870" s="120"/>
      <c r="AS870" s="100"/>
      <c r="CY870" s="34" t="s">
        <v>1796</v>
      </c>
      <c r="CZ870" s="35">
        <v>0.2609264</v>
      </c>
    </row>
    <row r="871" spans="40:104" x14ac:dyDescent="0.3">
      <c r="AN871" s="117"/>
      <c r="AO871" s="118"/>
      <c r="AP871" s="119"/>
      <c r="AQ871" s="120"/>
      <c r="AS871" s="100"/>
      <c r="CY871" s="34" t="s">
        <v>1797</v>
      </c>
      <c r="CZ871" s="35">
        <v>0.17843718319999999</v>
      </c>
    </row>
    <row r="872" spans="40:104" x14ac:dyDescent="0.3">
      <c r="AN872" s="117"/>
      <c r="AO872" s="118"/>
      <c r="AP872" s="119"/>
      <c r="AQ872" s="120"/>
      <c r="AS872" s="100"/>
      <c r="CY872" s="34" t="s">
        <v>1798</v>
      </c>
      <c r="CZ872" s="35">
        <v>9.9534031935714288E-4</v>
      </c>
    </row>
    <row r="873" spans="40:104" x14ac:dyDescent="0.3">
      <c r="AN873" s="117"/>
      <c r="AO873" s="118"/>
      <c r="AP873" s="119"/>
      <c r="AQ873" s="120"/>
      <c r="AS873" s="100"/>
      <c r="CY873" s="34" t="s">
        <v>1799</v>
      </c>
      <c r="CZ873" s="35">
        <v>1.5482089325E-2</v>
      </c>
    </row>
    <row r="874" spans="40:104" x14ac:dyDescent="0.3">
      <c r="AN874" s="117"/>
      <c r="AO874" s="118"/>
      <c r="AP874" s="119"/>
      <c r="AQ874" s="120"/>
      <c r="AS874" s="100"/>
      <c r="CY874" s="34" t="s">
        <v>1800</v>
      </c>
      <c r="CZ874" s="35">
        <v>0.10906100972999999</v>
      </c>
    </row>
    <row r="875" spans="40:104" x14ac:dyDescent="0.3">
      <c r="AN875" s="117"/>
      <c r="AO875" s="118"/>
      <c r="AP875" s="119"/>
      <c r="AQ875" s="120"/>
      <c r="AS875" s="100"/>
      <c r="CY875" s="34" t="s">
        <v>1801</v>
      </c>
      <c r="CZ875" s="35">
        <v>1.204248864E-2</v>
      </c>
    </row>
    <row r="876" spans="40:104" x14ac:dyDescent="0.3">
      <c r="AN876" s="117"/>
      <c r="AO876" s="118"/>
      <c r="AP876" s="119"/>
      <c r="AQ876" s="120"/>
      <c r="AS876" s="100"/>
      <c r="CY876" s="34" t="s">
        <v>1802</v>
      </c>
      <c r="CZ876" s="35">
        <v>3.8999999999999999E-5</v>
      </c>
    </row>
    <row r="877" spans="40:104" x14ac:dyDescent="0.3">
      <c r="AN877" s="117"/>
      <c r="AO877" s="118"/>
      <c r="AP877" s="119"/>
      <c r="AQ877" s="120"/>
      <c r="AS877" s="100"/>
      <c r="CY877" s="34" t="s">
        <v>1803</v>
      </c>
      <c r="CZ877" s="35">
        <v>3.8999999999999999E-5</v>
      </c>
    </row>
    <row r="878" spans="40:104" x14ac:dyDescent="0.3">
      <c r="AN878" s="117"/>
      <c r="AO878" s="118"/>
      <c r="AP878" s="119"/>
      <c r="AQ878" s="120"/>
      <c r="AS878" s="100"/>
      <c r="CY878" s="34" t="s">
        <v>1804</v>
      </c>
      <c r="CZ878" s="35">
        <v>2.4776976088000002E-2</v>
      </c>
    </row>
    <row r="879" spans="40:104" x14ac:dyDescent="0.3">
      <c r="AN879" s="117"/>
      <c r="AO879" s="118"/>
      <c r="AP879" s="119"/>
      <c r="AQ879" s="120"/>
      <c r="AS879" s="100"/>
      <c r="CY879" s="34" t="s">
        <v>1805</v>
      </c>
      <c r="CZ879" s="35">
        <v>2.4776976088000002E-2</v>
      </c>
    </row>
    <row r="880" spans="40:104" x14ac:dyDescent="0.3">
      <c r="AN880" s="117"/>
      <c r="AO880" s="118"/>
      <c r="AP880" s="119"/>
      <c r="AQ880" s="120"/>
      <c r="AS880" s="100"/>
      <c r="CY880" s="34" t="s">
        <v>1806</v>
      </c>
      <c r="CZ880" s="35">
        <v>1.0049602688000001E-3</v>
      </c>
    </row>
    <row r="881" spans="40:104" x14ac:dyDescent="0.3">
      <c r="AN881" s="117"/>
      <c r="AO881" s="118"/>
      <c r="AP881" s="119"/>
      <c r="AQ881" s="120"/>
      <c r="AS881" s="100"/>
      <c r="CY881" s="34" t="s">
        <v>1807</v>
      </c>
      <c r="CZ881" s="35">
        <v>1.7689817130666668E-2</v>
      </c>
    </row>
    <row r="882" spans="40:104" x14ac:dyDescent="0.3">
      <c r="AN882" s="117"/>
      <c r="AO882" s="118"/>
      <c r="AP882" s="119"/>
      <c r="AQ882" s="120"/>
      <c r="AS882" s="100"/>
      <c r="CY882" s="34" t="s">
        <v>1808</v>
      </c>
      <c r="CZ882" s="35">
        <v>3.6930445744285719E-3</v>
      </c>
    </row>
    <row r="883" spans="40:104" x14ac:dyDescent="0.3">
      <c r="AN883" s="117"/>
      <c r="AO883" s="118"/>
      <c r="AP883" s="119"/>
      <c r="AQ883" s="120"/>
      <c r="AS883" s="100"/>
      <c r="CY883" s="34" t="s">
        <v>1809</v>
      </c>
      <c r="CZ883" s="35">
        <v>5.5342265480000001E-3</v>
      </c>
    </row>
    <row r="884" spans="40:104" x14ac:dyDescent="0.3">
      <c r="AN884" s="117"/>
      <c r="AO884" s="118"/>
      <c r="AP884" s="119"/>
      <c r="AQ884" s="120"/>
      <c r="AS884" s="100"/>
      <c r="CY884" s="34" t="s">
        <v>1810</v>
      </c>
      <c r="CZ884" s="35">
        <v>3.1590346152000001E-2</v>
      </c>
    </row>
    <row r="885" spans="40:104" x14ac:dyDescent="0.3">
      <c r="AN885" s="117"/>
      <c r="AO885" s="118"/>
      <c r="AP885" s="119"/>
      <c r="AQ885" s="120"/>
      <c r="AS885" s="100"/>
      <c r="CY885" s="34" t="s">
        <v>1811</v>
      </c>
      <c r="CZ885" s="35">
        <v>6.3850789888000002E-4</v>
      </c>
    </row>
    <row r="886" spans="40:104" x14ac:dyDescent="0.3">
      <c r="AN886" s="117"/>
      <c r="AO886" s="118"/>
      <c r="AP886" s="119"/>
      <c r="AQ886" s="120"/>
      <c r="AS886" s="100"/>
      <c r="CY886" s="34" t="s">
        <v>1812</v>
      </c>
      <c r="CZ886" s="35">
        <v>6.2856383488000005E-4</v>
      </c>
    </row>
    <row r="887" spans="40:104" x14ac:dyDescent="0.3">
      <c r="AN887" s="117"/>
      <c r="AO887" s="118"/>
      <c r="AP887" s="119"/>
      <c r="AQ887" s="120"/>
      <c r="AS887" s="100"/>
      <c r="CY887" s="34" t="s">
        <v>1813</v>
      </c>
      <c r="CZ887" s="35">
        <v>1.2529208000000001E-3</v>
      </c>
    </row>
    <row r="888" spans="40:104" x14ac:dyDescent="0.3">
      <c r="AN888" s="136"/>
      <c r="AO888" s="118"/>
      <c r="AP888" s="119"/>
      <c r="AQ888" s="120"/>
      <c r="AS888" s="100"/>
      <c r="CY888" s="34" t="s">
        <v>1814</v>
      </c>
      <c r="CZ888" s="35">
        <v>9.0841379200000004E-4</v>
      </c>
    </row>
    <row r="889" spans="40:104" x14ac:dyDescent="0.3">
      <c r="AN889" s="117"/>
      <c r="AO889" s="118"/>
      <c r="AP889" s="119"/>
      <c r="AQ889" s="120"/>
      <c r="AS889" s="100"/>
      <c r="CY889" s="34" t="s">
        <v>1815</v>
      </c>
      <c r="CZ889" s="35">
        <v>5.1101433343999997E-2</v>
      </c>
    </row>
    <row r="890" spans="40:104" x14ac:dyDescent="0.3">
      <c r="AN890" s="117"/>
      <c r="AO890" s="118"/>
      <c r="AP890" s="119"/>
      <c r="AQ890" s="120"/>
      <c r="AS890" s="100"/>
      <c r="CY890" s="34" t="s">
        <v>1816</v>
      </c>
      <c r="CZ890" s="35">
        <v>0.15288020597999999</v>
      </c>
    </row>
    <row r="891" spans="40:104" x14ac:dyDescent="0.3">
      <c r="AN891" s="117"/>
      <c r="AO891" s="118"/>
      <c r="AP891" s="119"/>
      <c r="AQ891" s="120"/>
      <c r="AS891" s="100"/>
      <c r="CY891" s="34" t="s">
        <v>1817</v>
      </c>
      <c r="CZ891" s="35">
        <v>1.7740502704000002E-2</v>
      </c>
    </row>
    <row r="892" spans="40:104" x14ac:dyDescent="0.3">
      <c r="AN892" s="117"/>
      <c r="AO892" s="118"/>
      <c r="AP892" s="119"/>
      <c r="AQ892" s="120"/>
      <c r="AS892" s="100"/>
      <c r="CY892" s="34" t="s">
        <v>1818</v>
      </c>
      <c r="CZ892" s="35">
        <v>3.5809114266000002E-4</v>
      </c>
    </row>
    <row r="893" spans="40:104" x14ac:dyDescent="0.3">
      <c r="AN893" s="117"/>
      <c r="AO893" s="118"/>
      <c r="AP893" s="119"/>
      <c r="AQ893" s="120"/>
      <c r="AS893" s="100"/>
      <c r="CY893" s="34" t="s">
        <v>1819</v>
      </c>
      <c r="CZ893" s="35">
        <v>7.4674495999999999E-4</v>
      </c>
    </row>
    <row r="894" spans="40:104" x14ac:dyDescent="0.3">
      <c r="AN894" s="117"/>
      <c r="AO894" s="118"/>
      <c r="AP894" s="119"/>
      <c r="AQ894" s="120"/>
      <c r="AS894" s="100"/>
      <c r="CY894" s="34" t="s">
        <v>1820</v>
      </c>
      <c r="CZ894" s="35">
        <v>2.5507081599999998E-3</v>
      </c>
    </row>
    <row r="895" spans="40:104" x14ac:dyDescent="0.3">
      <c r="AN895" s="117"/>
      <c r="AO895" s="118"/>
      <c r="AP895" s="119"/>
      <c r="AQ895" s="120"/>
      <c r="AS895" s="100"/>
      <c r="CY895" s="34" t="s">
        <v>1821</v>
      </c>
      <c r="CZ895" s="35">
        <v>2.3437278773333334E-2</v>
      </c>
    </row>
    <row r="896" spans="40:104" x14ac:dyDescent="0.3">
      <c r="AN896" s="117"/>
      <c r="AO896" s="118"/>
      <c r="AP896" s="119"/>
      <c r="AQ896" s="120"/>
      <c r="AS896" s="100"/>
      <c r="CY896" s="34" t="s">
        <v>1822</v>
      </c>
      <c r="CZ896" s="35">
        <v>3.2768398016000005E-3</v>
      </c>
    </row>
    <row r="897" spans="40:104" x14ac:dyDescent="0.3">
      <c r="AN897" s="117"/>
      <c r="AO897" s="118"/>
      <c r="AP897" s="119"/>
      <c r="AQ897" s="120"/>
      <c r="AS897" s="100"/>
      <c r="CY897" s="34" t="s">
        <v>1823</v>
      </c>
      <c r="CZ897" s="35">
        <v>3.8541270909999998E-3</v>
      </c>
    </row>
    <row r="898" spans="40:104" x14ac:dyDescent="0.3">
      <c r="AN898" s="136"/>
      <c r="AO898" s="118"/>
      <c r="AP898" s="119"/>
      <c r="AQ898" s="120"/>
      <c r="AS898" s="100"/>
      <c r="CY898" s="34" t="s">
        <v>1824</v>
      </c>
      <c r="CZ898" s="35">
        <v>3.8999999999999999E-5</v>
      </c>
    </row>
    <row r="899" spans="40:104" x14ac:dyDescent="0.3">
      <c r="AN899" s="117"/>
      <c r="AO899" s="115"/>
      <c r="AP899" s="119"/>
      <c r="AQ899" s="219"/>
      <c r="AS899" s="100"/>
      <c r="CY899" s="34" t="s">
        <v>1825</v>
      </c>
      <c r="CZ899" s="35">
        <v>3.8999999999999999E-5</v>
      </c>
    </row>
    <row r="900" spans="40:104" x14ac:dyDescent="0.3">
      <c r="AN900" s="117"/>
      <c r="AO900" s="118"/>
      <c r="AP900" s="119"/>
      <c r="AQ900" s="120"/>
      <c r="AS900" s="100"/>
      <c r="CY900" s="34" t="s">
        <v>1826</v>
      </c>
      <c r="CZ900" s="35">
        <v>3.8999999999999999E-5</v>
      </c>
    </row>
    <row r="901" spans="40:104" x14ac:dyDescent="0.3">
      <c r="AN901" s="117"/>
      <c r="AO901" s="118"/>
      <c r="AP901" s="119"/>
      <c r="AQ901" s="120"/>
      <c r="AS901" s="100"/>
      <c r="CY901" s="34" t="s">
        <v>1827</v>
      </c>
      <c r="CZ901" s="35">
        <v>3.8999999999999999E-5</v>
      </c>
    </row>
    <row r="902" spans="40:104" x14ac:dyDescent="0.3">
      <c r="AN902" s="117"/>
      <c r="AO902" s="118"/>
      <c r="AP902" s="119"/>
      <c r="AQ902" s="120"/>
      <c r="AS902" s="100"/>
      <c r="CY902" s="34" t="s">
        <v>1828</v>
      </c>
      <c r="CZ902" s="35">
        <v>3.8999999999999999E-5</v>
      </c>
    </row>
    <row r="903" spans="40:104" x14ac:dyDescent="0.3">
      <c r="AN903" s="117"/>
      <c r="AO903" s="118"/>
      <c r="AP903" s="119"/>
      <c r="AQ903" s="120"/>
      <c r="AS903" s="100"/>
      <c r="CY903" s="34" t="s">
        <v>1829</v>
      </c>
      <c r="CZ903" s="35">
        <v>3.8999999999999999E-5</v>
      </c>
    </row>
    <row r="904" spans="40:104" x14ac:dyDescent="0.3">
      <c r="AN904" s="117"/>
      <c r="AO904" s="118"/>
      <c r="AP904" s="119"/>
      <c r="AQ904" s="120"/>
      <c r="AS904" s="100"/>
      <c r="CY904" s="34" t="s">
        <v>1830</v>
      </c>
      <c r="CZ904" s="35">
        <v>3.8999999999999999E-5</v>
      </c>
    </row>
    <row r="905" spans="40:104" x14ac:dyDescent="0.3">
      <c r="AN905" s="117"/>
      <c r="AO905" s="118"/>
      <c r="AP905" s="119"/>
      <c r="AQ905" s="120"/>
      <c r="AS905" s="100"/>
      <c r="CY905" s="34" t="s">
        <v>1831</v>
      </c>
      <c r="CZ905" s="35">
        <v>3.8999999999999999E-5</v>
      </c>
    </row>
    <row r="906" spans="40:104" x14ac:dyDescent="0.3">
      <c r="AN906" s="117"/>
      <c r="AO906" s="118"/>
      <c r="AP906" s="119"/>
      <c r="AQ906" s="120"/>
      <c r="AS906" s="100"/>
      <c r="CY906" s="34" t="s">
        <v>1832</v>
      </c>
      <c r="CZ906" s="35">
        <v>0.38020755551999996</v>
      </c>
    </row>
    <row r="907" spans="40:104" x14ac:dyDescent="0.3">
      <c r="AN907" s="117"/>
      <c r="AO907" s="118"/>
      <c r="AP907" s="119"/>
      <c r="AQ907" s="120"/>
      <c r="AS907" s="100"/>
      <c r="CY907" s="34" t="s">
        <v>1833</v>
      </c>
      <c r="CZ907" s="35">
        <v>6.7089645999999998E-3</v>
      </c>
    </row>
    <row r="908" spans="40:104" x14ac:dyDescent="0.3">
      <c r="AN908" s="117"/>
      <c r="AO908" s="118"/>
      <c r="AP908" s="119"/>
      <c r="AQ908" s="120"/>
      <c r="AS908" s="100"/>
      <c r="CY908" s="34" t="s">
        <v>1834</v>
      </c>
      <c r="CZ908" s="35">
        <v>1.9649282506666666E-3</v>
      </c>
    </row>
    <row r="909" spans="40:104" x14ac:dyDescent="0.3">
      <c r="AN909" s="117"/>
      <c r="AO909" s="118"/>
      <c r="AP909" s="119"/>
      <c r="AQ909" s="120"/>
      <c r="AS909" s="100"/>
      <c r="CY909" s="34" t="s">
        <v>1835</v>
      </c>
      <c r="CZ909" s="35">
        <v>6.3942171903999992E-2</v>
      </c>
    </row>
    <row r="910" spans="40:104" x14ac:dyDescent="0.3">
      <c r="AN910" s="117"/>
      <c r="AO910" s="118"/>
      <c r="AP910" s="119"/>
      <c r="AQ910" s="120"/>
      <c r="AS910" s="100"/>
      <c r="CY910" s="34" t="s">
        <v>1836</v>
      </c>
      <c r="CZ910" s="35">
        <v>6.9978497055999997E-2</v>
      </c>
    </row>
    <row r="911" spans="40:104" x14ac:dyDescent="0.3">
      <c r="AN911" s="117"/>
      <c r="AO911" s="118"/>
      <c r="AP911" s="119"/>
      <c r="AQ911" s="120"/>
      <c r="AS911" s="100"/>
      <c r="CY911" s="34" t="s">
        <v>1837</v>
      </c>
      <c r="CZ911" s="35">
        <v>8.2205972575999986E-2</v>
      </c>
    </row>
    <row r="912" spans="40:104" x14ac:dyDescent="0.3">
      <c r="AN912" s="117"/>
      <c r="AO912" s="118"/>
      <c r="AP912" s="119"/>
      <c r="AQ912" s="120"/>
      <c r="AS912" s="100"/>
      <c r="CY912" s="34" t="s">
        <v>1838</v>
      </c>
      <c r="CZ912" s="35">
        <v>4.2862578719999999E-3</v>
      </c>
    </row>
    <row r="913" spans="40:104" x14ac:dyDescent="0.3">
      <c r="AN913" s="117"/>
      <c r="AO913" s="118"/>
      <c r="AP913" s="119"/>
      <c r="AQ913" s="120"/>
      <c r="AS913" s="100"/>
      <c r="CY913" s="34" t="s">
        <v>1839</v>
      </c>
      <c r="CZ913" s="35">
        <v>9.2220685439999995E-3</v>
      </c>
    </row>
    <row r="914" spans="40:104" x14ac:dyDescent="0.3">
      <c r="AN914" s="117"/>
      <c r="AO914" s="118"/>
      <c r="AP914" s="119"/>
      <c r="AQ914" s="120"/>
      <c r="AS914" s="100"/>
      <c r="CY914" s="34" t="s">
        <v>1840</v>
      </c>
      <c r="CZ914" s="35">
        <v>1.8095339360000001E-2</v>
      </c>
    </row>
    <row r="915" spans="40:104" x14ac:dyDescent="0.3">
      <c r="AN915" s="117"/>
      <c r="AO915" s="118"/>
      <c r="AP915" s="119"/>
      <c r="AQ915" s="120"/>
      <c r="AS915" s="100"/>
      <c r="CY915" s="34" t="s">
        <v>1841</v>
      </c>
      <c r="CZ915" s="35">
        <v>3.1734631486666667E-3</v>
      </c>
    </row>
    <row r="916" spans="40:104" x14ac:dyDescent="0.3">
      <c r="AN916" s="117"/>
      <c r="AO916" s="118"/>
      <c r="AP916" s="119"/>
      <c r="AQ916" s="120"/>
      <c r="AS916" s="100"/>
      <c r="CY916" s="34" t="s">
        <v>1842</v>
      </c>
      <c r="CZ916" s="35">
        <v>1.3121208224E-2</v>
      </c>
    </row>
    <row r="917" spans="40:104" x14ac:dyDescent="0.3">
      <c r="AN917" s="117"/>
      <c r="AO917" s="118"/>
      <c r="AP917" s="119"/>
      <c r="AQ917" s="120"/>
      <c r="AS917" s="100"/>
      <c r="CY917" s="34" t="s">
        <v>1843</v>
      </c>
      <c r="CZ917" s="35">
        <v>6.5533379999999997E-3</v>
      </c>
    </row>
    <row r="918" spans="40:104" x14ac:dyDescent="0.3">
      <c r="AN918" s="117"/>
      <c r="AO918" s="118"/>
      <c r="AP918" s="119"/>
      <c r="AQ918" s="120"/>
      <c r="AS918" s="100"/>
      <c r="CY918" s="34" t="s">
        <v>1844</v>
      </c>
      <c r="CZ918" s="35">
        <v>6.209813812E-3</v>
      </c>
    </row>
    <row r="919" spans="40:104" x14ac:dyDescent="0.3">
      <c r="AN919" s="117"/>
      <c r="AO919" s="118"/>
      <c r="AP919" s="119"/>
      <c r="AQ919" s="120"/>
      <c r="AS919" s="100"/>
      <c r="CY919" s="34" t="s">
        <v>1845</v>
      </c>
      <c r="CZ919" s="35">
        <v>9.8889119999999997E-3</v>
      </c>
    </row>
    <row r="920" spans="40:104" x14ac:dyDescent="0.3">
      <c r="AN920" s="117"/>
      <c r="AO920" s="118"/>
      <c r="AP920" s="119"/>
      <c r="AQ920" s="120"/>
      <c r="AS920" s="100"/>
      <c r="CY920" s="34" t="s">
        <v>1846</v>
      </c>
      <c r="CZ920" s="35">
        <v>3.8999999999999999E-5</v>
      </c>
    </row>
    <row r="921" spans="40:104" x14ac:dyDescent="0.3">
      <c r="AN921" s="117"/>
      <c r="AO921" s="118"/>
      <c r="AP921" s="119"/>
      <c r="AQ921" s="120"/>
      <c r="AS921" s="100"/>
      <c r="CY921" s="34" t="s">
        <v>1847</v>
      </c>
      <c r="CZ921" s="35">
        <v>3.8999999999999999E-5</v>
      </c>
    </row>
    <row r="922" spans="40:104" x14ac:dyDescent="0.3">
      <c r="AN922" s="117"/>
      <c r="AO922" s="118"/>
      <c r="AP922" s="119"/>
      <c r="AQ922" s="120"/>
      <c r="AS922" s="100"/>
      <c r="CY922" s="34" t="s">
        <v>1848</v>
      </c>
      <c r="CZ922" s="35">
        <v>3.8999999999999999E-5</v>
      </c>
    </row>
    <row r="923" spans="40:104" x14ac:dyDescent="0.3">
      <c r="AN923" s="117"/>
      <c r="AO923" s="118"/>
      <c r="AP923" s="119"/>
      <c r="AQ923" s="120"/>
      <c r="AS923" s="100"/>
      <c r="CY923" s="34" t="s">
        <v>1849</v>
      </c>
      <c r="CZ923" s="35">
        <v>3.8999999999999999E-5</v>
      </c>
    </row>
    <row r="924" spans="40:104" x14ac:dyDescent="0.3">
      <c r="AN924" s="117"/>
      <c r="AO924" s="118"/>
      <c r="AP924" s="119"/>
      <c r="AQ924" s="120"/>
      <c r="AS924" s="100"/>
      <c r="CY924" s="34" t="s">
        <v>1850</v>
      </c>
      <c r="CZ924" s="35">
        <v>4.1467954111999994E-2</v>
      </c>
    </row>
    <row r="925" spans="40:104" x14ac:dyDescent="0.3">
      <c r="AN925" s="117"/>
      <c r="AO925" s="118"/>
      <c r="AP925" s="119"/>
      <c r="AQ925" s="120"/>
      <c r="AS925" s="100"/>
      <c r="CY925" s="34" t="s">
        <v>1851</v>
      </c>
      <c r="CZ925" s="35">
        <v>7.5646741973333341E-4</v>
      </c>
    </row>
    <row r="926" spans="40:104" x14ac:dyDescent="0.3">
      <c r="AN926" s="117"/>
      <c r="AO926" s="118"/>
      <c r="AP926" s="119"/>
      <c r="AQ926" s="120"/>
      <c r="AS926" s="100"/>
      <c r="CY926" s="34" t="s">
        <v>1852</v>
      </c>
      <c r="CZ926" s="35">
        <v>3.0611206880000005E-2</v>
      </c>
    </row>
    <row r="927" spans="40:104" x14ac:dyDescent="0.3">
      <c r="AN927" s="117"/>
      <c r="AO927" s="118"/>
      <c r="AP927" s="119"/>
      <c r="AQ927" s="120"/>
      <c r="AS927" s="100"/>
      <c r="CY927" s="34" t="s">
        <v>1853</v>
      </c>
      <c r="CZ927" s="35">
        <v>1.6798961456000003E-2</v>
      </c>
    </row>
    <row r="928" spans="40:104" x14ac:dyDescent="0.3">
      <c r="AN928" s="117"/>
      <c r="AO928" s="118"/>
      <c r="AP928" s="119"/>
      <c r="AQ928" s="120"/>
      <c r="AS928" s="100"/>
      <c r="CY928" s="34" t="s">
        <v>1854</v>
      </c>
      <c r="CZ928" s="35">
        <v>1.4997517753624999E-2</v>
      </c>
    </row>
    <row r="929" spans="40:104" x14ac:dyDescent="0.3">
      <c r="AN929" s="117"/>
      <c r="AO929" s="118"/>
      <c r="AP929" s="119"/>
      <c r="AQ929" s="120"/>
      <c r="AS929" s="100"/>
      <c r="CY929" s="34" t="s">
        <v>1855</v>
      </c>
      <c r="CZ929" s="35">
        <v>1.4997517753624999E-2</v>
      </c>
    </row>
    <row r="930" spans="40:104" x14ac:dyDescent="0.3">
      <c r="AN930" s="117"/>
      <c r="AO930" s="118"/>
      <c r="AP930" s="119"/>
      <c r="AQ930" s="120"/>
      <c r="AS930" s="100"/>
      <c r="CY930" s="34" t="s">
        <v>1856</v>
      </c>
      <c r="CZ930" s="35">
        <v>1.7577259168000001E-2</v>
      </c>
    </row>
    <row r="931" spans="40:104" x14ac:dyDescent="0.3">
      <c r="AN931" s="117"/>
      <c r="AO931" s="118"/>
      <c r="AP931" s="119"/>
      <c r="AQ931" s="120"/>
      <c r="AS931" s="100"/>
      <c r="CY931" s="34" t="s">
        <v>1857</v>
      </c>
      <c r="CZ931" s="35">
        <v>1.7991300224000002E-3</v>
      </c>
    </row>
    <row r="932" spans="40:104" x14ac:dyDescent="0.3">
      <c r="AN932" s="117"/>
      <c r="AO932" s="118"/>
      <c r="AP932" s="119"/>
      <c r="AQ932" s="120"/>
      <c r="AS932" s="100"/>
      <c r="CY932" s="34" t="s">
        <v>1858</v>
      </c>
      <c r="CZ932" s="35">
        <v>5.3503320000000002E-3</v>
      </c>
    </row>
    <row r="933" spans="40:104" x14ac:dyDescent="0.3">
      <c r="AN933" s="117"/>
      <c r="AO933" s="118"/>
      <c r="AP933" s="119"/>
      <c r="AQ933" s="120"/>
      <c r="AS933" s="100"/>
      <c r="CY933" s="34" t="s">
        <v>1859</v>
      </c>
      <c r="CZ933" s="35">
        <v>2.0918107633333332E-2</v>
      </c>
    </row>
    <row r="934" spans="40:104" x14ac:dyDescent="0.3">
      <c r="AN934" s="117"/>
      <c r="AO934" s="118"/>
      <c r="AP934" s="119"/>
      <c r="AQ934" s="120"/>
      <c r="AS934" s="100"/>
      <c r="CY934" s="34" t="s">
        <v>1860</v>
      </c>
      <c r="CZ934" s="35">
        <v>7.1198399999999988E-3</v>
      </c>
    </row>
    <row r="935" spans="40:104" x14ac:dyDescent="0.3">
      <c r="AN935" s="117"/>
      <c r="AO935" s="118"/>
      <c r="AP935" s="119"/>
      <c r="AQ935" s="120"/>
      <c r="AS935" s="100"/>
      <c r="CY935" s="34" t="s">
        <v>1861</v>
      </c>
      <c r="CZ935" s="35">
        <v>1.3371904E-2</v>
      </c>
    </row>
    <row r="936" spans="40:104" x14ac:dyDescent="0.3">
      <c r="AN936" s="117"/>
      <c r="AO936" s="115"/>
      <c r="AP936" s="119"/>
      <c r="AQ936" s="219"/>
      <c r="AS936" s="100"/>
      <c r="CY936" s="34" t="s">
        <v>1862</v>
      </c>
      <c r="CZ936" s="35">
        <v>0.19477656160000001</v>
      </c>
    </row>
    <row r="937" spans="40:104" x14ac:dyDescent="0.3">
      <c r="AN937" s="117"/>
      <c r="AO937" s="118"/>
      <c r="AP937" s="119"/>
      <c r="AQ937" s="120"/>
      <c r="AS937" s="100"/>
      <c r="CY937" s="34" t="s">
        <v>1863</v>
      </c>
      <c r="CZ937" s="35">
        <v>8.8609304319999999E-2</v>
      </c>
    </row>
    <row r="938" spans="40:104" x14ac:dyDescent="0.3">
      <c r="AN938" s="136"/>
      <c r="AO938" s="118"/>
      <c r="AP938" s="119"/>
      <c r="AQ938" s="120"/>
      <c r="AS938" s="100"/>
      <c r="CY938" s="34" t="s">
        <v>1864</v>
      </c>
      <c r="CZ938" s="35">
        <v>9.2856684113500013E-3</v>
      </c>
    </row>
    <row r="939" spans="40:104" x14ac:dyDescent="0.3">
      <c r="AN939" s="117"/>
      <c r="AO939" s="118"/>
      <c r="AP939" s="119"/>
      <c r="AQ939" s="120"/>
      <c r="AS939" s="100"/>
      <c r="CY939" s="34" t="s">
        <v>1865</v>
      </c>
      <c r="CZ939" s="35">
        <v>1.1405567784000002E-2</v>
      </c>
    </row>
    <row r="940" spans="40:104" x14ac:dyDescent="0.3">
      <c r="AN940" s="117"/>
      <c r="AO940" s="118"/>
      <c r="AP940" s="119"/>
      <c r="AQ940" s="120"/>
      <c r="AS940" s="100"/>
      <c r="CY940" s="34" t="s">
        <v>1866</v>
      </c>
      <c r="CZ940" s="35">
        <v>5.8937407999999997E-2</v>
      </c>
    </row>
    <row r="941" spans="40:104" x14ac:dyDescent="0.3">
      <c r="AN941" s="117"/>
      <c r="AO941" s="118"/>
      <c r="AP941" s="119"/>
      <c r="AQ941" s="120"/>
      <c r="AS941" s="100"/>
      <c r="CY941" s="34" t="s">
        <v>1867</v>
      </c>
      <c r="CZ941" s="35">
        <v>9.3479540269999998E-3</v>
      </c>
    </row>
    <row r="942" spans="40:104" x14ac:dyDescent="0.3">
      <c r="AN942" s="117"/>
      <c r="AO942" s="118"/>
      <c r="AP942" s="119"/>
      <c r="AQ942" s="120"/>
      <c r="AS942" s="100"/>
      <c r="CY942" s="34" t="s">
        <v>1868</v>
      </c>
      <c r="CZ942" s="35">
        <v>5.2827612734999995E-4</v>
      </c>
    </row>
    <row r="943" spans="40:104" x14ac:dyDescent="0.3">
      <c r="AN943" s="117"/>
      <c r="AO943" s="118"/>
      <c r="AP943" s="119"/>
      <c r="AQ943" s="120"/>
      <c r="AS943" s="100"/>
      <c r="CY943" s="34" t="s">
        <v>1869</v>
      </c>
      <c r="CZ943" s="35">
        <v>3.0935216639999999E-2</v>
      </c>
    </row>
    <row r="944" spans="40:104" x14ac:dyDescent="0.3">
      <c r="AN944" s="117"/>
      <c r="AO944" s="118"/>
      <c r="AP944" s="119"/>
      <c r="AQ944" s="120"/>
      <c r="AS944" s="100"/>
      <c r="CY944" s="34" t="s">
        <v>1870</v>
      </c>
      <c r="CZ944" s="35">
        <v>2.2243391424000003E-3</v>
      </c>
    </row>
    <row r="945" spans="40:104" x14ac:dyDescent="0.3">
      <c r="AN945" s="117"/>
      <c r="AO945" s="118"/>
      <c r="AP945" s="119"/>
      <c r="AQ945" s="120"/>
      <c r="AS945" s="100"/>
      <c r="CY945" s="34" t="s">
        <v>1871</v>
      </c>
      <c r="CZ945" s="35">
        <v>3.5968976344000002E-2</v>
      </c>
    </row>
    <row r="946" spans="40:104" x14ac:dyDescent="0.3">
      <c r="AN946" s="117"/>
      <c r="AO946" s="118"/>
      <c r="AP946" s="119"/>
      <c r="AQ946" s="120"/>
      <c r="AS946" s="100"/>
      <c r="CY946" s="34" t="s">
        <v>1872</v>
      </c>
      <c r="CZ946" s="35">
        <v>3.5968976344000002E-2</v>
      </c>
    </row>
    <row r="947" spans="40:104" x14ac:dyDescent="0.3">
      <c r="AN947" s="117"/>
      <c r="AO947" s="118"/>
      <c r="AP947" s="119"/>
      <c r="AQ947" s="120"/>
      <c r="AS947" s="100"/>
      <c r="CY947" s="34" t="s">
        <v>1873</v>
      </c>
      <c r="CZ947" s="35">
        <v>1.370388424E-2</v>
      </c>
    </row>
    <row r="948" spans="40:104" x14ac:dyDescent="0.3">
      <c r="AN948" s="117"/>
      <c r="AO948" s="118"/>
      <c r="AP948" s="119"/>
      <c r="AQ948" s="120"/>
      <c r="AS948" s="100"/>
      <c r="CY948" s="34" t="s">
        <v>1874</v>
      </c>
      <c r="CZ948" s="35">
        <v>1.3703884239999999E-2</v>
      </c>
    </row>
    <row r="949" spans="40:104" x14ac:dyDescent="0.3">
      <c r="AN949" s="117"/>
      <c r="AO949" s="118"/>
      <c r="AP949" s="119"/>
      <c r="AQ949" s="120"/>
      <c r="AS949" s="100"/>
      <c r="CY949" s="34" t="s">
        <v>1875</v>
      </c>
      <c r="CZ949" s="35">
        <v>1.370388424E-2</v>
      </c>
    </row>
    <row r="950" spans="40:104" x14ac:dyDescent="0.3">
      <c r="AN950" s="117"/>
      <c r="AO950" s="118"/>
      <c r="AP950" s="119"/>
      <c r="AQ950" s="120"/>
      <c r="AS950" s="100"/>
      <c r="CY950" s="34" t="s">
        <v>1876</v>
      </c>
      <c r="CZ950" s="35">
        <v>1.370388424E-2</v>
      </c>
    </row>
    <row r="951" spans="40:104" x14ac:dyDescent="0.3">
      <c r="AN951" s="117"/>
      <c r="AO951" s="118"/>
      <c r="AP951" s="119"/>
      <c r="AQ951" s="120"/>
      <c r="AS951" s="100"/>
      <c r="CY951" s="34" t="s">
        <v>1877</v>
      </c>
      <c r="CZ951" s="35">
        <v>1.241994284E-2</v>
      </c>
    </row>
    <row r="952" spans="40:104" x14ac:dyDescent="0.3">
      <c r="AN952" s="117"/>
      <c r="AO952" s="118"/>
      <c r="AP952" s="119"/>
      <c r="AQ952" s="120"/>
      <c r="AS952" s="100"/>
      <c r="CY952" s="34" t="s">
        <v>1878</v>
      </c>
      <c r="CZ952" s="35">
        <v>1.129762736E-2</v>
      </c>
    </row>
    <row r="953" spans="40:104" x14ac:dyDescent="0.3">
      <c r="AN953" s="117"/>
      <c r="AO953" s="118"/>
      <c r="AP953" s="119"/>
      <c r="AQ953" s="120"/>
      <c r="AS953" s="100"/>
      <c r="CY953" s="34" t="s">
        <v>1879</v>
      </c>
      <c r="CZ953" s="35">
        <v>1.131314284E-2</v>
      </c>
    </row>
    <row r="954" spans="40:104" x14ac:dyDescent="0.3">
      <c r="AN954" s="117"/>
      <c r="AO954" s="118"/>
      <c r="AP954" s="119"/>
      <c r="AQ954" s="120"/>
      <c r="AS954" s="100"/>
      <c r="CY954" s="34" t="s">
        <v>1880</v>
      </c>
      <c r="CZ954" s="35">
        <v>1.131314284E-2</v>
      </c>
    </row>
    <row r="955" spans="40:104" x14ac:dyDescent="0.3">
      <c r="AN955" s="117"/>
      <c r="AO955" s="118"/>
      <c r="AP955" s="119"/>
      <c r="AQ955" s="120"/>
      <c r="AS955" s="100"/>
      <c r="CY955" s="34" t="s">
        <v>1881</v>
      </c>
      <c r="CZ955" s="35">
        <v>3.4163931719999999E-2</v>
      </c>
    </row>
    <row r="956" spans="40:104" x14ac:dyDescent="0.3">
      <c r="AN956" s="117"/>
      <c r="AO956" s="118"/>
      <c r="AP956" s="119"/>
      <c r="AQ956" s="120"/>
      <c r="AS956" s="100"/>
      <c r="CY956" s="34" t="s">
        <v>1882</v>
      </c>
      <c r="CZ956" s="35">
        <v>1.3833333285714286E-3</v>
      </c>
    </row>
    <row r="957" spans="40:104" x14ac:dyDescent="0.3">
      <c r="AN957" s="117"/>
      <c r="AO957" s="118"/>
      <c r="AP957" s="119"/>
      <c r="AQ957" s="120"/>
      <c r="AS957" s="100"/>
      <c r="CY957" s="34" t="s">
        <v>1883</v>
      </c>
      <c r="CZ957" s="35">
        <v>3.01858725333E-2</v>
      </c>
    </row>
    <row r="958" spans="40:104" x14ac:dyDescent="0.3">
      <c r="AN958" s="117"/>
      <c r="AO958" s="118"/>
      <c r="AP958" s="119"/>
      <c r="AQ958" s="120"/>
      <c r="AS958" s="100"/>
      <c r="CY958" s="34" t="s">
        <v>1884</v>
      </c>
      <c r="CZ958" s="35">
        <v>5.7479115487999999E-3</v>
      </c>
    </row>
    <row r="959" spans="40:104" x14ac:dyDescent="0.3">
      <c r="AN959" s="117"/>
      <c r="AO959" s="118"/>
      <c r="AP959" s="119"/>
      <c r="AQ959" s="120"/>
      <c r="AS959" s="100"/>
      <c r="CY959" s="34" t="s">
        <v>1885</v>
      </c>
      <c r="CZ959" s="35">
        <v>2.012036971252E-2</v>
      </c>
    </row>
    <row r="960" spans="40:104" x14ac:dyDescent="0.3">
      <c r="AN960" s="117"/>
      <c r="AO960" s="118"/>
      <c r="AP960" s="119"/>
      <c r="AQ960" s="120"/>
      <c r="AS960" s="100"/>
      <c r="CY960" s="34" t="s">
        <v>1886</v>
      </c>
      <c r="CZ960" s="35">
        <v>2.5106773824000003E-2</v>
      </c>
    </row>
    <row r="961" spans="40:104" x14ac:dyDescent="0.3">
      <c r="AN961" s="117"/>
      <c r="AO961" s="118"/>
      <c r="AP961" s="119"/>
      <c r="AQ961" s="120"/>
      <c r="AS961" s="100"/>
      <c r="CY961" s="34" t="s">
        <v>1887</v>
      </c>
      <c r="CZ961" s="35">
        <v>8.1449827583999993E-3</v>
      </c>
    </row>
    <row r="962" spans="40:104" x14ac:dyDescent="0.3">
      <c r="AN962" s="117"/>
      <c r="AO962" s="118"/>
      <c r="AP962" s="119"/>
      <c r="AQ962" s="120"/>
      <c r="AS962" s="100"/>
      <c r="CY962" s="34" t="s">
        <v>1888</v>
      </c>
      <c r="CZ962" s="35">
        <v>8.1449827583999993E-3</v>
      </c>
    </row>
    <row r="963" spans="40:104" x14ac:dyDescent="0.3">
      <c r="AN963" s="117"/>
      <c r="AO963" s="118"/>
      <c r="AP963" s="119"/>
      <c r="AQ963" s="120"/>
      <c r="AS963" s="100"/>
      <c r="CY963" s="34" t="s">
        <v>1889</v>
      </c>
      <c r="CZ963" s="35">
        <v>2.5339868736000002E-2</v>
      </c>
    </row>
    <row r="964" spans="40:104" x14ac:dyDescent="0.3">
      <c r="AN964" s="117"/>
      <c r="AO964" s="118"/>
      <c r="AP964" s="119"/>
      <c r="AQ964" s="120"/>
      <c r="AS964" s="100"/>
      <c r="CY964" s="34" t="s">
        <v>1890</v>
      </c>
      <c r="CZ964" s="35">
        <v>2.6036868736000002E-2</v>
      </c>
    </row>
    <row r="965" spans="40:104" x14ac:dyDescent="0.3">
      <c r="AN965" s="117"/>
      <c r="AO965" s="118"/>
      <c r="AP965" s="119"/>
      <c r="AQ965" s="120"/>
      <c r="AS965" s="100"/>
      <c r="CY965" s="34" t="s">
        <v>1891</v>
      </c>
      <c r="CZ965" s="35">
        <v>3.8207065999999998E-2</v>
      </c>
    </row>
    <row r="966" spans="40:104" x14ac:dyDescent="0.3">
      <c r="AN966" s="117"/>
      <c r="AO966" s="118"/>
      <c r="AP966" s="119"/>
      <c r="AQ966" s="120"/>
      <c r="AS966" s="100"/>
      <c r="CY966" s="34" t="s">
        <v>1892</v>
      </c>
      <c r="CZ966" s="35">
        <v>1.4144022047999999E-2</v>
      </c>
    </row>
    <row r="967" spans="40:104" x14ac:dyDescent="0.3">
      <c r="AN967" s="117"/>
      <c r="AO967" s="118"/>
      <c r="AP967" s="119"/>
      <c r="AQ967" s="120"/>
      <c r="AS967" s="100"/>
      <c r="CY967" s="34" t="s">
        <v>1893</v>
      </c>
      <c r="CZ967" s="35">
        <v>1.0189140000000001E-2</v>
      </c>
    </row>
    <row r="968" spans="40:104" x14ac:dyDescent="0.3">
      <c r="AN968" s="117"/>
      <c r="AO968" s="118"/>
      <c r="AP968" s="119"/>
      <c r="AQ968" s="120"/>
      <c r="AS968" s="100"/>
      <c r="CY968" s="34" t="s">
        <v>1894</v>
      </c>
      <c r="CZ968" s="35">
        <v>3.6765571575384614E-3</v>
      </c>
    </row>
    <row r="969" spans="40:104" x14ac:dyDescent="0.3">
      <c r="AN969" s="117"/>
      <c r="AO969" s="118"/>
      <c r="AP969" s="119"/>
      <c r="AQ969" s="120"/>
      <c r="AS969" s="100"/>
      <c r="CY969" s="34" t="s">
        <v>1895</v>
      </c>
      <c r="CZ969" s="35">
        <v>3.4779862219999999E-2</v>
      </c>
    </row>
    <row r="970" spans="40:104" x14ac:dyDescent="0.3">
      <c r="AN970" s="117"/>
      <c r="AO970" s="118"/>
      <c r="AP970" s="119"/>
      <c r="AQ970" s="120"/>
      <c r="AS970" s="100"/>
      <c r="CY970" s="34" t="s">
        <v>1896</v>
      </c>
      <c r="CZ970" s="35">
        <v>6.637395219999999E-3</v>
      </c>
    </row>
    <row r="971" spans="40:104" x14ac:dyDescent="0.3">
      <c r="AN971" s="117"/>
      <c r="AO971" s="118"/>
      <c r="AP971" s="119"/>
      <c r="AQ971" s="120"/>
      <c r="AS971" s="100"/>
      <c r="CY971" s="34" t="s">
        <v>1897</v>
      </c>
      <c r="CZ971" s="35">
        <v>1.0527065600000001E-4</v>
      </c>
    </row>
    <row r="972" spans="40:104" x14ac:dyDescent="0.3">
      <c r="AN972" s="117"/>
      <c r="AO972" s="118"/>
      <c r="AP972" s="119"/>
      <c r="AQ972" s="120"/>
      <c r="AS972" s="100"/>
      <c r="CY972" s="34" t="s">
        <v>1898</v>
      </c>
      <c r="CZ972" s="35">
        <v>5.1976382458666676E-2</v>
      </c>
    </row>
    <row r="973" spans="40:104" x14ac:dyDescent="0.3">
      <c r="AN973" s="117"/>
      <c r="AO973" s="118"/>
      <c r="AP973" s="119"/>
      <c r="AQ973" s="120"/>
      <c r="AS973" s="100"/>
      <c r="CY973" s="34" t="s">
        <v>1899</v>
      </c>
      <c r="CZ973" s="35">
        <v>8.4415697120000007E-4</v>
      </c>
    </row>
    <row r="974" spans="40:104" x14ac:dyDescent="0.3">
      <c r="AN974" s="117"/>
      <c r="AO974" s="118"/>
      <c r="AP974" s="119"/>
      <c r="AQ974" s="120"/>
      <c r="AS974" s="100"/>
      <c r="CY974" s="34" t="s">
        <v>1900</v>
      </c>
      <c r="CZ974" s="35">
        <v>2.4110059763749999E-3</v>
      </c>
    </row>
    <row r="975" spans="40:104" x14ac:dyDescent="0.3">
      <c r="AN975" s="117"/>
      <c r="AO975" s="118"/>
      <c r="AP975" s="119"/>
      <c r="AQ975" s="120"/>
      <c r="AS975" s="100"/>
      <c r="CY975" s="34" t="s">
        <v>1901</v>
      </c>
      <c r="CZ975" s="35">
        <v>1.9877072838181818E-2</v>
      </c>
    </row>
    <row r="976" spans="40:104" x14ac:dyDescent="0.3">
      <c r="AN976" s="117"/>
      <c r="AO976" s="118"/>
      <c r="AP976" s="119"/>
      <c r="AQ976" s="120"/>
      <c r="AS976" s="100"/>
      <c r="CY976" s="34" t="s">
        <v>1902</v>
      </c>
      <c r="CZ976" s="35">
        <v>2.7345554389343749E-2</v>
      </c>
    </row>
    <row r="977" spans="40:104" x14ac:dyDescent="0.3">
      <c r="AN977" s="117"/>
      <c r="AO977" s="118"/>
      <c r="AP977" s="119"/>
      <c r="AQ977" s="120"/>
      <c r="AS977" s="100"/>
      <c r="CY977" s="34" t="s">
        <v>1903</v>
      </c>
      <c r="CZ977" s="35">
        <v>9.3492371359999993E-3</v>
      </c>
    </row>
    <row r="978" spans="40:104" x14ac:dyDescent="0.3">
      <c r="AN978" s="117"/>
      <c r="AO978" s="118"/>
      <c r="AP978" s="119"/>
      <c r="AQ978" s="120"/>
      <c r="AS978" s="100"/>
      <c r="CY978" s="34" t="s">
        <v>1904</v>
      </c>
      <c r="CZ978" s="35">
        <v>1.5456926879999998E-3</v>
      </c>
    </row>
    <row r="979" spans="40:104" x14ac:dyDescent="0.3">
      <c r="AN979" s="109"/>
      <c r="AO979" s="115"/>
      <c r="AP979" s="119"/>
      <c r="AQ979" s="219"/>
      <c r="AS979" s="100"/>
      <c r="CY979" s="34" t="s">
        <v>1905</v>
      </c>
      <c r="CZ979" s="35">
        <v>9.2651732820000013E-2</v>
      </c>
    </row>
    <row r="980" spans="40:104" x14ac:dyDescent="0.3">
      <c r="AN980" s="117"/>
      <c r="AO980" s="118"/>
      <c r="AP980" s="119"/>
      <c r="AQ980" s="120"/>
      <c r="AS980" s="100"/>
      <c r="CY980" s="34" t="s">
        <v>1906</v>
      </c>
      <c r="CZ980" s="35">
        <v>9.1428199999999994E-3</v>
      </c>
    </row>
    <row r="981" spans="40:104" x14ac:dyDescent="0.3">
      <c r="AN981" s="117"/>
      <c r="AO981" s="118"/>
      <c r="AP981" s="119"/>
      <c r="AQ981" s="120"/>
      <c r="AS981" s="100"/>
      <c r="CY981" s="34" t="s">
        <v>1907</v>
      </c>
      <c r="CZ981" s="35">
        <v>1.6049664486649996E-2</v>
      </c>
    </row>
    <row r="982" spans="40:104" x14ac:dyDescent="0.3">
      <c r="AN982" s="117"/>
      <c r="AO982" s="118"/>
      <c r="AP982" s="119"/>
      <c r="AQ982" s="120"/>
      <c r="AS982" s="100"/>
      <c r="CY982" s="34" t="s">
        <v>1908</v>
      </c>
      <c r="CZ982" s="35">
        <v>1.4840991360000001E-3</v>
      </c>
    </row>
    <row r="983" spans="40:104" x14ac:dyDescent="0.3">
      <c r="AN983" s="117"/>
      <c r="AO983" s="118"/>
      <c r="AP983" s="119"/>
      <c r="AQ983" s="120"/>
      <c r="AS983" s="100"/>
      <c r="CY983" s="34" t="s">
        <v>1909</v>
      </c>
      <c r="CZ983" s="35">
        <v>1.7830992845000001E-2</v>
      </c>
    </row>
    <row r="984" spans="40:104" x14ac:dyDescent="0.3">
      <c r="AN984" s="117"/>
      <c r="AO984" s="118"/>
      <c r="AP984" s="119"/>
      <c r="AQ984" s="120"/>
      <c r="AS984" s="100"/>
      <c r="CY984" s="34" t="s">
        <v>1910</v>
      </c>
      <c r="CZ984" s="35">
        <v>1.7624585472000003E-2</v>
      </c>
    </row>
    <row r="985" spans="40:104" x14ac:dyDescent="0.3">
      <c r="AN985" s="117"/>
      <c r="AO985" s="118"/>
      <c r="AP985" s="119"/>
      <c r="AQ985" s="120"/>
      <c r="AS985" s="100"/>
      <c r="CY985" s="34" t="s">
        <v>1911</v>
      </c>
      <c r="CZ985" s="35">
        <v>2.1263301696000002E-2</v>
      </c>
    </row>
    <row r="986" spans="40:104" x14ac:dyDescent="0.3">
      <c r="AN986" s="117"/>
      <c r="AO986" s="118"/>
      <c r="AP986" s="119"/>
      <c r="AQ986" s="120"/>
      <c r="AS986" s="100"/>
      <c r="CY986" s="34" t="s">
        <v>1912</v>
      </c>
      <c r="CZ986" s="35">
        <v>1.7199390662500001E-2</v>
      </c>
    </row>
    <row r="987" spans="40:104" x14ac:dyDescent="0.3">
      <c r="AN987" s="117"/>
      <c r="AO987" s="118"/>
      <c r="AP987" s="119"/>
      <c r="AQ987" s="120"/>
      <c r="AS987" s="100"/>
      <c r="CY987" s="34" t="s">
        <v>1913</v>
      </c>
      <c r="CZ987" s="35">
        <v>1.4195519619999999E-2</v>
      </c>
    </row>
    <row r="988" spans="40:104" x14ac:dyDescent="0.3">
      <c r="AN988" s="117"/>
      <c r="AO988" s="118"/>
      <c r="AP988" s="119"/>
      <c r="AQ988" s="120"/>
      <c r="AS988" s="100"/>
      <c r="CY988" s="34" t="s">
        <v>1914</v>
      </c>
      <c r="CZ988" s="35">
        <v>4.3172429519999994E-3</v>
      </c>
    </row>
    <row r="989" spans="40:104" x14ac:dyDescent="0.3">
      <c r="AN989" s="117"/>
      <c r="AO989" s="118"/>
      <c r="AP989" s="119"/>
      <c r="AQ989" s="120"/>
      <c r="AS989" s="100"/>
      <c r="CY989" s="34" t="s">
        <v>1915</v>
      </c>
      <c r="CZ989" s="35">
        <v>7.526792872E-3</v>
      </c>
    </row>
    <row r="990" spans="40:104" x14ac:dyDescent="0.3">
      <c r="AN990" s="117"/>
      <c r="AO990" s="118"/>
      <c r="AP990" s="119"/>
      <c r="AQ990" s="120"/>
      <c r="AS990" s="100"/>
      <c r="CY990" s="34" t="s">
        <v>1916</v>
      </c>
      <c r="CZ990" s="35">
        <v>2.6361064120000001E-3</v>
      </c>
    </row>
    <row r="991" spans="40:104" x14ac:dyDescent="0.3">
      <c r="AN991" s="117"/>
      <c r="AO991" s="118"/>
      <c r="AP991" s="119"/>
      <c r="AQ991" s="120"/>
      <c r="AS991" s="100"/>
      <c r="CY991" s="34" t="s">
        <v>1917</v>
      </c>
      <c r="CZ991" s="35">
        <v>6.6034799999999995E-4</v>
      </c>
    </row>
    <row r="992" spans="40:104" x14ac:dyDescent="0.3">
      <c r="AN992" s="117"/>
      <c r="AO992" s="115"/>
      <c r="AP992" s="119"/>
      <c r="AQ992" s="219"/>
      <c r="AS992" s="100"/>
      <c r="CY992" s="34" t="s">
        <v>1918</v>
      </c>
      <c r="CZ992" s="35">
        <v>1.8063103519999999E-3</v>
      </c>
    </row>
    <row r="993" spans="40:104" x14ac:dyDescent="0.3">
      <c r="AN993" s="117"/>
      <c r="AO993" s="118"/>
      <c r="AP993" s="119"/>
      <c r="AQ993" s="120"/>
      <c r="AS993" s="100"/>
      <c r="CY993" s="34" t="s">
        <v>1919</v>
      </c>
      <c r="CZ993" s="35">
        <v>3.3886049560000004E-3</v>
      </c>
    </row>
    <row r="994" spans="40:104" x14ac:dyDescent="0.3">
      <c r="AN994" s="117"/>
      <c r="AO994" s="118"/>
      <c r="AP994" s="119"/>
      <c r="AQ994" s="120"/>
      <c r="AS994" s="100"/>
      <c r="CY994" s="34" t="s">
        <v>1920</v>
      </c>
      <c r="CZ994" s="35">
        <v>7.1899277155555554E-3</v>
      </c>
    </row>
    <row r="995" spans="40:104" x14ac:dyDescent="0.3">
      <c r="AN995" s="117"/>
      <c r="AO995" s="118"/>
      <c r="AP995" s="119"/>
      <c r="AQ995" s="120"/>
      <c r="AS995" s="100"/>
      <c r="CY995" s="34" t="s">
        <v>1921</v>
      </c>
      <c r="CZ995" s="35">
        <v>2.3594294400000002E-4</v>
      </c>
    </row>
    <row r="996" spans="40:104" x14ac:dyDescent="0.3">
      <c r="AN996" s="136"/>
      <c r="AO996" s="118"/>
      <c r="AP996" s="119"/>
      <c r="AQ996" s="120"/>
      <c r="AS996" s="100"/>
      <c r="CY996" s="34" t="s">
        <v>1922</v>
      </c>
      <c r="CZ996" s="35">
        <v>3.9315921799999994E-2</v>
      </c>
    </row>
    <row r="997" spans="40:104" x14ac:dyDescent="0.3">
      <c r="AN997" s="117"/>
      <c r="AO997" s="118"/>
      <c r="AP997" s="119"/>
      <c r="AQ997" s="120"/>
      <c r="AS997" s="100"/>
      <c r="CY997" s="34" t="s">
        <v>1923</v>
      </c>
      <c r="CZ997" s="35">
        <v>3.9931105600000001E-4</v>
      </c>
    </row>
    <row r="998" spans="40:104" x14ac:dyDescent="0.3">
      <c r="AN998" s="117"/>
      <c r="AO998" s="118"/>
      <c r="AP998" s="119"/>
      <c r="AQ998" s="120"/>
      <c r="AS998" s="100"/>
      <c r="CY998" s="34" t="s">
        <v>1924</v>
      </c>
      <c r="CZ998" s="35">
        <v>1.3461227000000002E-3</v>
      </c>
    </row>
    <row r="999" spans="40:104" x14ac:dyDescent="0.3">
      <c r="AN999" s="117"/>
      <c r="AO999" s="118"/>
      <c r="AP999" s="119"/>
      <c r="AQ999" s="120"/>
      <c r="AS999" s="100"/>
      <c r="CY999" s="34" t="s">
        <v>1925</v>
      </c>
      <c r="CZ999" s="35">
        <v>1.3767530399999999E-3</v>
      </c>
    </row>
    <row r="1000" spans="40:104" x14ac:dyDescent="0.3">
      <c r="AN1000" s="117"/>
      <c r="AO1000" s="118"/>
      <c r="AP1000" s="119"/>
      <c r="AQ1000" s="120"/>
      <c r="AS1000" s="100"/>
      <c r="CY1000" s="34" t="s">
        <v>1926</v>
      </c>
      <c r="CZ1000" s="35">
        <v>1.3767530399999999E-3</v>
      </c>
    </row>
    <row r="1001" spans="40:104" x14ac:dyDescent="0.3">
      <c r="AN1001" s="117"/>
      <c r="AO1001" s="118"/>
      <c r="AP1001" s="119"/>
      <c r="AQ1001" s="120"/>
      <c r="AS1001" s="100"/>
      <c r="CY1001" s="34" t="s">
        <v>1927</v>
      </c>
      <c r="CZ1001" s="35">
        <v>1.1992380400000001E-3</v>
      </c>
    </row>
    <row r="1002" spans="40:104" x14ac:dyDescent="0.3">
      <c r="AN1002" s="117"/>
      <c r="AO1002" s="118"/>
      <c r="AP1002" s="119"/>
      <c r="AQ1002" s="120"/>
      <c r="AS1002" s="100"/>
      <c r="CY1002" s="34" t="s">
        <v>1928</v>
      </c>
      <c r="CZ1002" s="35">
        <v>1.3767530399999999E-3</v>
      </c>
    </row>
    <row r="1003" spans="40:104" x14ac:dyDescent="0.3">
      <c r="AN1003" s="117"/>
      <c r="AO1003" s="118"/>
      <c r="AP1003" s="119"/>
      <c r="AQ1003" s="120"/>
      <c r="AS1003" s="100"/>
      <c r="CY1003" s="34" t="s">
        <v>1929</v>
      </c>
      <c r="CZ1003" s="35">
        <v>1.3767530399999999E-3</v>
      </c>
    </row>
    <row r="1004" spans="40:104" x14ac:dyDescent="0.3">
      <c r="AN1004" s="117"/>
      <c r="AO1004" s="118"/>
      <c r="AP1004" s="119"/>
      <c r="AQ1004" s="120"/>
      <c r="AS1004" s="100"/>
      <c r="CY1004" s="34" t="s">
        <v>1930</v>
      </c>
      <c r="CZ1004" s="35">
        <v>3.88705304E-3</v>
      </c>
    </row>
    <row r="1005" spans="40:104" x14ac:dyDescent="0.3">
      <c r="AN1005" s="117"/>
      <c r="AO1005" s="118"/>
      <c r="AP1005" s="119"/>
      <c r="AQ1005" s="120"/>
      <c r="AS1005" s="100"/>
      <c r="CY1005" s="34" t="s">
        <v>1931</v>
      </c>
      <c r="CZ1005" s="35">
        <v>5.4456272E-4</v>
      </c>
    </row>
    <row r="1006" spans="40:104" x14ac:dyDescent="0.3">
      <c r="AN1006" s="117"/>
      <c r="AO1006" s="118"/>
      <c r="AP1006" s="119"/>
      <c r="AQ1006" s="120"/>
      <c r="AS1006" s="100"/>
      <c r="CY1006" s="34" t="s">
        <v>1932</v>
      </c>
      <c r="CZ1006" s="35">
        <v>5.4456272E-4</v>
      </c>
    </row>
    <row r="1007" spans="40:104" x14ac:dyDescent="0.3">
      <c r="AN1007" s="117"/>
      <c r="AO1007" s="118"/>
      <c r="AP1007" s="119"/>
      <c r="AQ1007" s="120"/>
      <c r="AS1007" s="100"/>
      <c r="CY1007" s="34" t="s">
        <v>1933</v>
      </c>
      <c r="CZ1007" s="35">
        <v>1.0132955040000001E-3</v>
      </c>
    </row>
    <row r="1008" spans="40:104" x14ac:dyDescent="0.3">
      <c r="AN1008" s="136"/>
      <c r="AO1008" s="118"/>
      <c r="AP1008" s="119"/>
      <c r="AQ1008" s="120"/>
      <c r="AS1008" s="100"/>
      <c r="CY1008" s="34" t="s">
        <v>1934</v>
      </c>
      <c r="CZ1008" s="35">
        <v>1.9774637999999999E-3</v>
      </c>
    </row>
    <row r="1009" spans="40:104" x14ac:dyDescent="0.3">
      <c r="AN1009" s="117"/>
      <c r="AO1009" s="118"/>
      <c r="AP1009" s="119"/>
      <c r="AQ1009" s="120"/>
      <c r="AS1009" s="100"/>
      <c r="CY1009" s="34" t="s">
        <v>1935</v>
      </c>
      <c r="CZ1009" s="35">
        <v>1.9774637999999999E-3</v>
      </c>
    </row>
    <row r="1010" spans="40:104" x14ac:dyDescent="0.3">
      <c r="AN1010" s="117"/>
      <c r="AO1010" s="118"/>
      <c r="AP1010" s="119"/>
      <c r="AQ1010" s="120"/>
      <c r="AS1010" s="100"/>
      <c r="CY1010" s="34" t="s">
        <v>1936</v>
      </c>
      <c r="CZ1010" s="35">
        <v>1.9774637999999999E-3</v>
      </c>
    </row>
    <row r="1011" spans="40:104" x14ac:dyDescent="0.3">
      <c r="AN1011" s="117"/>
      <c r="AO1011" s="118"/>
      <c r="AP1011" s="119"/>
      <c r="AQ1011" s="120"/>
      <c r="AS1011" s="100"/>
      <c r="CY1011" s="34" t="s">
        <v>1937</v>
      </c>
      <c r="CZ1011" s="35">
        <v>1.50030348E-3</v>
      </c>
    </row>
    <row r="1012" spans="40:104" x14ac:dyDescent="0.3">
      <c r="AN1012" s="117"/>
      <c r="AO1012" s="118"/>
      <c r="AP1012" s="119"/>
      <c r="AQ1012" s="120"/>
      <c r="AS1012" s="100"/>
      <c r="CY1012" s="34" t="s">
        <v>1938</v>
      </c>
      <c r="CZ1012" s="35">
        <v>2.114009664E-3</v>
      </c>
    </row>
    <row r="1013" spans="40:104" x14ac:dyDescent="0.3">
      <c r="AN1013" s="117"/>
      <c r="AO1013" s="118"/>
      <c r="AP1013" s="119"/>
      <c r="AQ1013" s="120"/>
      <c r="AS1013" s="100"/>
      <c r="CY1013" s="34" t="s">
        <v>1939</v>
      </c>
      <c r="CZ1013" s="35">
        <v>9.1797471999999995E-4</v>
      </c>
    </row>
    <row r="1014" spans="40:104" x14ac:dyDescent="0.3">
      <c r="AN1014" s="117"/>
      <c r="AO1014" s="118"/>
      <c r="AP1014" s="119"/>
      <c r="AQ1014" s="120"/>
      <c r="AS1014" s="100"/>
      <c r="CY1014" s="34" t="s">
        <v>1940</v>
      </c>
      <c r="CZ1014" s="35">
        <v>7.9178528E-4</v>
      </c>
    </row>
    <row r="1015" spans="40:104" x14ac:dyDescent="0.3">
      <c r="AN1015" s="117"/>
      <c r="AO1015" s="118"/>
      <c r="AP1015" s="119"/>
      <c r="AQ1015" s="120"/>
      <c r="AS1015" s="100"/>
      <c r="CY1015" s="34" t="s">
        <v>1941</v>
      </c>
      <c r="CZ1015" s="35">
        <v>1.2103861119999999E-3</v>
      </c>
    </row>
    <row r="1016" spans="40:104" x14ac:dyDescent="0.3">
      <c r="AN1016" s="117"/>
      <c r="AO1016" s="118"/>
      <c r="AP1016" s="119"/>
      <c r="AQ1016" s="120"/>
      <c r="AS1016" s="100"/>
      <c r="CY1016" s="34" t="s">
        <v>1942</v>
      </c>
      <c r="CZ1016" s="35">
        <v>7.9178528E-4</v>
      </c>
    </row>
    <row r="1017" spans="40:104" x14ac:dyDescent="0.3">
      <c r="AN1017" s="117"/>
      <c r="AO1017" s="118"/>
      <c r="AP1017" s="119"/>
      <c r="AQ1017" s="120"/>
      <c r="AS1017" s="100"/>
      <c r="CY1017" s="34" t="s">
        <v>1943</v>
      </c>
      <c r="CZ1017" s="35">
        <v>1.2103861119999999E-3</v>
      </c>
    </row>
    <row r="1018" spans="40:104" x14ac:dyDescent="0.3">
      <c r="AN1018" s="117"/>
      <c r="AO1018" s="118"/>
      <c r="AP1018" s="119"/>
      <c r="AQ1018" s="120"/>
      <c r="AS1018" s="100"/>
      <c r="CY1018" s="34" t="s">
        <v>1944</v>
      </c>
      <c r="CZ1018" s="35">
        <v>1.7125330559999998E-3</v>
      </c>
    </row>
    <row r="1019" spans="40:104" x14ac:dyDescent="0.3">
      <c r="AN1019" s="117"/>
      <c r="AO1019" s="115"/>
      <c r="AP1019" s="119"/>
      <c r="AQ1019" s="219"/>
      <c r="AS1019" s="100"/>
      <c r="CY1019" s="34" t="s">
        <v>1945</v>
      </c>
      <c r="CZ1019" s="35">
        <v>1.1773157759999999E-3</v>
      </c>
    </row>
    <row r="1020" spans="40:104" x14ac:dyDescent="0.3">
      <c r="AN1020" s="117"/>
      <c r="AO1020" s="118"/>
      <c r="AP1020" s="119"/>
      <c r="AQ1020" s="120"/>
      <c r="AS1020" s="100"/>
      <c r="CY1020" s="34" t="s">
        <v>1946</v>
      </c>
      <c r="CZ1020" s="35">
        <v>1.1773157759999999E-3</v>
      </c>
    </row>
    <row r="1021" spans="40:104" x14ac:dyDescent="0.3">
      <c r="AN1021" s="117"/>
      <c r="AO1021" s="118"/>
      <c r="AP1021" s="119"/>
      <c r="AQ1021" s="120"/>
      <c r="AS1021" s="100"/>
      <c r="CY1021" s="34" t="s">
        <v>1947</v>
      </c>
      <c r="CZ1021" s="35">
        <v>5.0207140000000008E-3</v>
      </c>
    </row>
    <row r="1022" spans="40:104" x14ac:dyDescent="0.3">
      <c r="AN1022" s="117"/>
      <c r="AO1022" s="118"/>
      <c r="AP1022" s="119"/>
      <c r="AQ1022" s="120"/>
      <c r="AS1022" s="100"/>
      <c r="CY1022" s="34" t="s">
        <v>1948</v>
      </c>
      <c r="CZ1022" s="35">
        <v>5.6346659360000002E-3</v>
      </c>
    </row>
    <row r="1023" spans="40:104" x14ac:dyDescent="0.3">
      <c r="AN1023" s="117"/>
      <c r="AO1023" s="118"/>
      <c r="AP1023" s="119"/>
      <c r="AQ1023" s="120"/>
      <c r="AS1023" s="100"/>
      <c r="CY1023" s="34" t="s">
        <v>1949</v>
      </c>
      <c r="CZ1023" s="35">
        <v>7.8992481666600001E-2</v>
      </c>
    </row>
    <row r="1024" spans="40:104" x14ac:dyDescent="0.3">
      <c r="AN1024" s="117"/>
      <c r="AO1024" s="115"/>
      <c r="AP1024" s="119"/>
      <c r="AQ1024" s="219"/>
      <c r="AS1024" s="100"/>
      <c r="CY1024" s="34" t="s">
        <v>1950</v>
      </c>
      <c r="CZ1024" s="35">
        <v>7.4768319912000003E-2</v>
      </c>
    </row>
    <row r="1025" spans="40:104" x14ac:dyDescent="0.3">
      <c r="AN1025" s="117"/>
      <c r="AO1025" s="118"/>
      <c r="AP1025" s="119"/>
      <c r="AQ1025" s="120"/>
      <c r="AS1025" s="100"/>
      <c r="CY1025" s="34" t="s">
        <v>1951</v>
      </c>
      <c r="CZ1025" s="35">
        <v>0.19713500486699997</v>
      </c>
    </row>
    <row r="1026" spans="40:104" x14ac:dyDescent="0.3">
      <c r="AN1026" s="117"/>
      <c r="AO1026" s="118"/>
      <c r="AP1026" s="119"/>
      <c r="AQ1026" s="120"/>
      <c r="AS1026" s="100"/>
      <c r="CY1026" s="34" t="s">
        <v>1952</v>
      </c>
      <c r="CZ1026" s="35">
        <v>1.9280621880000001E-2</v>
      </c>
    </row>
    <row r="1027" spans="40:104" x14ac:dyDescent="0.3">
      <c r="AN1027" s="117"/>
      <c r="AO1027" s="115"/>
      <c r="AP1027" s="119"/>
      <c r="AQ1027" s="219"/>
      <c r="AS1027" s="100"/>
      <c r="CY1027" s="34" t="s">
        <v>1953</v>
      </c>
      <c r="CZ1027" s="35">
        <v>2.15483885088E-2</v>
      </c>
    </row>
    <row r="1028" spans="40:104" x14ac:dyDescent="0.3">
      <c r="AN1028" s="117"/>
      <c r="AO1028" s="115"/>
      <c r="AP1028" s="119"/>
      <c r="AQ1028" s="219"/>
      <c r="AS1028" s="100"/>
      <c r="CY1028" s="34" t="s">
        <v>1954</v>
      </c>
      <c r="CZ1028" s="35">
        <v>3.4959528363999993E-2</v>
      </c>
    </row>
    <row r="1029" spans="40:104" x14ac:dyDescent="0.3">
      <c r="AN1029" s="117"/>
      <c r="AO1029" s="115"/>
      <c r="AP1029" s="119"/>
      <c r="AQ1029" s="219"/>
      <c r="AS1029" s="100"/>
      <c r="CY1029" s="34" t="s">
        <v>1955</v>
      </c>
      <c r="CZ1029" s="35">
        <v>2.3060946669999999E-2</v>
      </c>
    </row>
    <row r="1030" spans="40:104" x14ac:dyDescent="0.3">
      <c r="AN1030" s="117"/>
      <c r="AO1030" s="115"/>
      <c r="AP1030" s="119"/>
      <c r="AQ1030" s="219"/>
      <c r="AS1030" s="100"/>
      <c r="CY1030" s="34" t="s">
        <v>1956</v>
      </c>
      <c r="CZ1030" s="35">
        <v>0.10627666667000001</v>
      </c>
    </row>
    <row r="1031" spans="40:104" x14ac:dyDescent="0.3">
      <c r="AN1031" s="117"/>
      <c r="AO1031" s="115"/>
      <c r="AP1031" s="119"/>
      <c r="AQ1031" s="219"/>
      <c r="AS1031" s="100"/>
      <c r="CY1031" s="34" t="s">
        <v>1957</v>
      </c>
      <c r="CZ1031" s="35">
        <v>0.10108600000000001</v>
      </c>
    </row>
    <row r="1032" spans="40:104" x14ac:dyDescent="0.3">
      <c r="AN1032" s="117"/>
      <c r="AO1032" s="115"/>
      <c r="AP1032" s="119"/>
      <c r="AQ1032" s="219"/>
      <c r="AS1032" s="100"/>
      <c r="CY1032" s="34" t="s">
        <v>1958</v>
      </c>
      <c r="CZ1032" s="35">
        <v>0.10157666666666668</v>
      </c>
    </row>
    <row r="1033" spans="40:104" x14ac:dyDescent="0.3">
      <c r="AN1033" s="117"/>
      <c r="AO1033" s="115"/>
      <c r="AP1033" s="119"/>
      <c r="AQ1033" s="219"/>
      <c r="AS1033" s="100"/>
      <c r="CY1033" s="34" t="s">
        <v>1959</v>
      </c>
      <c r="CZ1033" s="35">
        <v>3.6211298208000003E-3</v>
      </c>
    </row>
    <row r="1034" spans="40:104" x14ac:dyDescent="0.3">
      <c r="AN1034" s="117"/>
      <c r="AO1034" s="115"/>
      <c r="AP1034" s="119"/>
      <c r="AQ1034" s="219"/>
      <c r="AS1034" s="100"/>
      <c r="CY1034" s="34" t="s">
        <v>1960</v>
      </c>
      <c r="CZ1034" s="35">
        <v>4.0669178239999999E-3</v>
      </c>
    </row>
    <row r="1035" spans="40:104" x14ac:dyDescent="0.3">
      <c r="AN1035" s="117"/>
      <c r="AO1035" s="115"/>
      <c r="AP1035" s="119"/>
      <c r="AQ1035" s="219"/>
      <c r="AS1035" s="100"/>
      <c r="CY1035" s="34" t="s">
        <v>1961</v>
      </c>
      <c r="CZ1035" s="35">
        <v>2.89049525675E-3</v>
      </c>
    </row>
    <row r="1036" spans="40:104" x14ac:dyDescent="0.3">
      <c r="AN1036" s="117"/>
      <c r="AO1036" s="115"/>
      <c r="AP1036" s="119"/>
      <c r="AQ1036" s="219"/>
      <c r="AS1036" s="100"/>
      <c r="CY1036" s="34" t="s">
        <v>1962</v>
      </c>
      <c r="CZ1036" s="35">
        <v>2.0186472799999999E-3</v>
      </c>
    </row>
    <row r="1037" spans="40:104" x14ac:dyDescent="0.3">
      <c r="AN1037" s="117"/>
      <c r="AO1037" s="115"/>
      <c r="AP1037" s="119"/>
      <c r="AQ1037" s="219"/>
      <c r="AS1037" s="100"/>
      <c r="CY1037" s="34" t="s">
        <v>1963</v>
      </c>
      <c r="CZ1037" s="35">
        <v>5.609988128000001E-3</v>
      </c>
    </row>
    <row r="1038" spans="40:104" x14ac:dyDescent="0.3">
      <c r="AN1038" s="117"/>
      <c r="AO1038" s="115"/>
      <c r="AP1038" s="119"/>
      <c r="AQ1038" s="219"/>
      <c r="AS1038" s="100"/>
      <c r="CY1038" s="34" t="s">
        <v>1964</v>
      </c>
      <c r="CZ1038" s="35">
        <v>2.0870859359999995E-3</v>
      </c>
    </row>
    <row r="1039" spans="40:104" x14ac:dyDescent="0.3">
      <c r="AN1039" s="117"/>
      <c r="AO1039" s="115"/>
      <c r="AP1039" s="119"/>
      <c r="AQ1039" s="219"/>
      <c r="AS1039" s="100"/>
      <c r="CY1039" s="34" t="s">
        <v>1965</v>
      </c>
      <c r="CZ1039" s="35">
        <v>1.564161456E-3</v>
      </c>
    </row>
    <row r="1040" spans="40:104" x14ac:dyDescent="0.3">
      <c r="AN1040" s="117"/>
      <c r="AO1040" s="115"/>
      <c r="AP1040" s="119"/>
      <c r="AQ1040" s="219"/>
      <c r="AS1040" s="100"/>
      <c r="CY1040" s="34" t="s">
        <v>1966</v>
      </c>
      <c r="CZ1040" s="35">
        <v>0.49673696000000001</v>
      </c>
    </row>
    <row r="1041" spans="40:104" x14ac:dyDescent="0.3">
      <c r="AN1041" s="117"/>
      <c r="AO1041" s="115"/>
      <c r="AP1041" s="119"/>
      <c r="AQ1041" s="219"/>
      <c r="AS1041" s="100"/>
      <c r="CY1041" s="34" t="s">
        <v>1967</v>
      </c>
      <c r="CZ1041" s="35">
        <v>0.14283360000000001</v>
      </c>
    </row>
    <row r="1042" spans="40:104" x14ac:dyDescent="0.3">
      <c r="AN1042" s="117"/>
      <c r="AO1042" s="115"/>
      <c r="AP1042" s="119"/>
      <c r="AQ1042" s="219"/>
      <c r="AS1042" s="100"/>
      <c r="CY1042" s="34" t="s">
        <v>1968</v>
      </c>
      <c r="CZ1042" s="35">
        <v>3.0320160000000002E-2</v>
      </c>
    </row>
    <row r="1043" spans="40:104" x14ac:dyDescent="0.3">
      <c r="AN1043" s="117"/>
      <c r="AO1043" s="115"/>
      <c r="AP1043" s="119"/>
      <c r="AQ1043" s="219"/>
      <c r="AS1043" s="100"/>
      <c r="CY1043" s="34" t="s">
        <v>1969</v>
      </c>
      <c r="CZ1043" s="35">
        <v>8.6444800000000002E-2</v>
      </c>
    </row>
    <row r="1044" spans="40:104" x14ac:dyDescent="0.3">
      <c r="AN1044" s="117"/>
      <c r="AO1044" s="115"/>
      <c r="AP1044" s="119"/>
      <c r="AQ1044" s="219"/>
      <c r="AS1044" s="100"/>
      <c r="CY1044" s="34" t="s">
        <v>1970</v>
      </c>
      <c r="CZ1044" s="35">
        <v>2.4522156263999999E-2</v>
      </c>
    </row>
    <row r="1045" spans="40:104" x14ac:dyDescent="0.3">
      <c r="AN1045" s="117"/>
      <c r="AO1045" s="115"/>
      <c r="AP1045" s="119"/>
      <c r="AQ1045" s="219"/>
      <c r="AS1045" s="100"/>
      <c r="CY1045" s="34" t="s">
        <v>1971</v>
      </c>
      <c r="CZ1045" s="35">
        <v>9.324603008E-2</v>
      </c>
    </row>
    <row r="1046" spans="40:104" x14ac:dyDescent="0.3">
      <c r="AN1046" s="117"/>
      <c r="AO1046" s="115"/>
      <c r="AP1046" s="119"/>
      <c r="AQ1046" s="219"/>
      <c r="AS1046" s="100"/>
      <c r="CY1046" s="34" t="s">
        <v>1972</v>
      </c>
      <c r="CZ1046" s="35">
        <v>0.25877161135999999</v>
      </c>
    </row>
    <row r="1047" spans="40:104" x14ac:dyDescent="0.3">
      <c r="AN1047" s="117"/>
      <c r="AO1047" s="115"/>
      <c r="AP1047" s="119"/>
      <c r="AQ1047" s="219"/>
      <c r="AS1047" s="100"/>
      <c r="CY1047" s="34" t="s">
        <v>1973</v>
      </c>
      <c r="CZ1047" s="35">
        <v>0.25877161135999999</v>
      </c>
    </row>
    <row r="1048" spans="40:104" x14ac:dyDescent="0.3">
      <c r="AN1048" s="109"/>
      <c r="AO1048" s="115"/>
      <c r="AP1048" s="119"/>
      <c r="AQ1048" s="219"/>
      <c r="AS1048" s="100"/>
      <c r="CY1048" s="34" t="s">
        <v>1974</v>
      </c>
      <c r="CZ1048" s="35">
        <v>0.45044512188000002</v>
      </c>
    </row>
    <row r="1049" spans="40:104" x14ac:dyDescent="0.3">
      <c r="AN1049" s="117"/>
      <c r="AO1049" s="115"/>
      <c r="AP1049" s="119"/>
      <c r="AQ1049" s="219"/>
      <c r="AS1049" s="100"/>
      <c r="CY1049" s="34" t="s">
        <v>1975</v>
      </c>
      <c r="CZ1049" s="35">
        <v>1.2715752652727272E-3</v>
      </c>
    </row>
    <row r="1050" spans="40:104" x14ac:dyDescent="0.3">
      <c r="AN1050" s="109"/>
      <c r="AO1050" s="115"/>
      <c r="AP1050" s="119"/>
      <c r="AQ1050" s="219"/>
      <c r="AS1050" s="100"/>
      <c r="CY1050" s="34" t="s">
        <v>1976</v>
      </c>
      <c r="CZ1050" s="35">
        <v>3.6585702400000002E-3</v>
      </c>
    </row>
    <row r="1051" spans="40:104" x14ac:dyDescent="0.3">
      <c r="AN1051" s="117"/>
      <c r="AO1051" s="115"/>
      <c r="AP1051" s="119"/>
      <c r="AQ1051" s="219"/>
      <c r="AS1051" s="100"/>
      <c r="CY1051" s="34" t="s">
        <v>1977</v>
      </c>
      <c r="CZ1051" s="35">
        <v>1.1222614815999999E-2</v>
      </c>
    </row>
    <row r="1052" spans="40:104" x14ac:dyDescent="0.3">
      <c r="AN1052" s="117"/>
      <c r="AO1052" s="115"/>
      <c r="AP1052" s="119"/>
      <c r="AQ1052" s="219"/>
      <c r="AS1052" s="100"/>
      <c r="CY1052" s="34" t="s">
        <v>1978</v>
      </c>
      <c r="CZ1052" s="35">
        <v>3.4897303999999998E-4</v>
      </c>
    </row>
    <row r="1053" spans="40:104" x14ac:dyDescent="0.3">
      <c r="AN1053" s="117"/>
      <c r="AO1053" s="115"/>
      <c r="AP1053" s="119"/>
      <c r="AQ1053" s="219"/>
      <c r="AS1053" s="100"/>
      <c r="CY1053" s="34" t="s">
        <v>1979</v>
      </c>
      <c r="CZ1053" s="35">
        <v>3.3299876425600004E-3</v>
      </c>
    </row>
    <row r="1054" spans="40:104" x14ac:dyDescent="0.3">
      <c r="AN1054" s="117"/>
      <c r="AO1054" s="115"/>
      <c r="AP1054" s="119"/>
      <c r="AQ1054" s="219"/>
      <c r="AS1054" s="100"/>
      <c r="CY1054" s="34" t="s">
        <v>1980</v>
      </c>
      <c r="CZ1054" s="35">
        <v>5.8870761968750013E-3</v>
      </c>
    </row>
    <row r="1055" spans="40:104" x14ac:dyDescent="0.3">
      <c r="AN1055" s="117"/>
      <c r="AO1055" s="115"/>
      <c r="AP1055" s="119"/>
      <c r="AQ1055" s="219"/>
      <c r="AS1055" s="100"/>
      <c r="CY1055" s="34" t="s">
        <v>1981</v>
      </c>
      <c r="CZ1055" s="35">
        <v>3.5044635520000002E-3</v>
      </c>
    </row>
    <row r="1056" spans="40:104" x14ac:dyDescent="0.3">
      <c r="AN1056" s="117"/>
      <c r="AO1056" s="115"/>
      <c r="AP1056" s="119"/>
      <c r="AQ1056" s="219"/>
      <c r="AS1056" s="100"/>
      <c r="CY1056" s="34" t="s">
        <v>1982</v>
      </c>
      <c r="CZ1056" s="35">
        <v>2.455E-4</v>
      </c>
    </row>
    <row r="1057" spans="40:104" x14ac:dyDescent="0.3">
      <c r="AN1057" s="109"/>
      <c r="AO1057" s="115"/>
      <c r="AP1057" s="119"/>
      <c r="AQ1057" s="219"/>
      <c r="AS1057" s="100"/>
      <c r="CY1057" s="34" t="s">
        <v>1983</v>
      </c>
      <c r="CZ1057" s="35">
        <v>6.4831890849999995E-3</v>
      </c>
    </row>
    <row r="1058" spans="40:104" x14ac:dyDescent="0.3">
      <c r="AN1058" s="117"/>
      <c r="AO1058" s="115"/>
      <c r="AP1058" s="119"/>
      <c r="AQ1058" s="219"/>
      <c r="AS1058" s="100"/>
      <c r="CY1058" s="34" t="s">
        <v>1984</v>
      </c>
      <c r="CZ1058" s="35">
        <v>4.382879024E-3</v>
      </c>
    </row>
    <row r="1059" spans="40:104" x14ac:dyDescent="0.3">
      <c r="AN1059" s="117"/>
      <c r="AO1059" s="115"/>
      <c r="AP1059" s="119"/>
      <c r="AQ1059" s="219"/>
      <c r="AS1059" s="100"/>
      <c r="CY1059" s="34" t="s">
        <v>1985</v>
      </c>
      <c r="CZ1059" s="35">
        <v>1.540451592E-3</v>
      </c>
    </row>
    <row r="1060" spans="40:104" x14ac:dyDescent="0.3">
      <c r="AN1060" s="117"/>
      <c r="AO1060" s="115"/>
      <c r="AP1060" s="119"/>
      <c r="AQ1060" s="219"/>
      <c r="AS1060" s="100"/>
      <c r="CY1060" s="34" t="s">
        <v>1986</v>
      </c>
      <c r="CZ1060" s="35">
        <v>4.6999687200000002E-4</v>
      </c>
    </row>
    <row r="1061" spans="40:104" x14ac:dyDescent="0.3">
      <c r="AN1061" s="117"/>
      <c r="AO1061" s="115"/>
      <c r="AP1061" s="119"/>
      <c r="AQ1061" s="219"/>
      <c r="AS1061" s="100"/>
      <c r="CY1061" s="34" t="s">
        <v>1987</v>
      </c>
      <c r="CZ1061" s="35">
        <v>8.9158887359999994E-2</v>
      </c>
    </row>
    <row r="1062" spans="40:104" x14ac:dyDescent="0.3">
      <c r="AN1062" s="117"/>
      <c r="AO1062" s="115"/>
      <c r="AP1062" s="119"/>
      <c r="AQ1062" s="219"/>
      <c r="AS1062" s="100"/>
      <c r="CY1062" s="34" t="s">
        <v>1988</v>
      </c>
      <c r="CZ1062" s="35">
        <v>6.3379055999999989E-4</v>
      </c>
    </row>
    <row r="1063" spans="40:104" x14ac:dyDescent="0.3">
      <c r="AN1063" s="117"/>
      <c r="AO1063" s="115"/>
      <c r="AP1063" s="119"/>
      <c r="AQ1063" s="219"/>
      <c r="AS1063" s="100"/>
      <c r="CY1063" s="34" t="s">
        <v>1989</v>
      </c>
      <c r="CZ1063" s="35">
        <v>6.2253963968000009E-2</v>
      </c>
    </row>
    <row r="1064" spans="40:104" x14ac:dyDescent="0.3">
      <c r="AN1064" s="117"/>
      <c r="AO1064" s="115"/>
      <c r="AP1064" s="119"/>
      <c r="AQ1064" s="219"/>
      <c r="AS1064" s="100"/>
      <c r="CY1064" s="34" t="s">
        <v>1990</v>
      </c>
      <c r="CZ1064" s="35">
        <v>1.2600559296E-2</v>
      </c>
    </row>
    <row r="1065" spans="40:104" x14ac:dyDescent="0.3">
      <c r="AN1065" s="117"/>
      <c r="AO1065" s="115"/>
      <c r="AP1065" s="119"/>
      <c r="AQ1065" s="219"/>
      <c r="AS1065" s="100"/>
      <c r="CY1065" s="34" t="s">
        <v>1991</v>
      </c>
      <c r="CZ1065" s="35">
        <v>2.8076505430000001E-3</v>
      </c>
    </row>
    <row r="1066" spans="40:104" x14ac:dyDescent="0.3">
      <c r="AN1066" s="117"/>
      <c r="AO1066" s="115"/>
      <c r="AP1066" s="119"/>
      <c r="AQ1066" s="219"/>
      <c r="AS1066" s="100"/>
      <c r="CY1066" s="34" t="s">
        <v>1992</v>
      </c>
      <c r="CZ1066" s="35">
        <v>2.3920261537058824E-3</v>
      </c>
    </row>
    <row r="1067" spans="40:104" x14ac:dyDescent="0.3">
      <c r="AN1067" s="117"/>
      <c r="AO1067" s="115"/>
      <c r="AP1067" s="119"/>
      <c r="AQ1067" s="219"/>
      <c r="AS1067" s="100"/>
      <c r="CY1067" s="34" t="s">
        <v>1993</v>
      </c>
      <c r="CZ1067" s="35">
        <v>2.3613894239999998E-3</v>
      </c>
    </row>
    <row r="1068" spans="40:104" x14ac:dyDescent="0.3">
      <c r="AN1068" s="117"/>
      <c r="AO1068" s="115"/>
      <c r="AP1068" s="119"/>
      <c r="AQ1068" s="219"/>
      <c r="AS1068" s="100"/>
      <c r="CY1068" s="34" t="s">
        <v>1994</v>
      </c>
      <c r="CZ1068" s="35">
        <v>3.8999999999999999E-5</v>
      </c>
    </row>
    <row r="1069" spans="40:104" x14ac:dyDescent="0.3">
      <c r="AN1069" s="117"/>
      <c r="AO1069" s="115"/>
      <c r="AP1069" s="119"/>
      <c r="AQ1069" s="219"/>
      <c r="AS1069" s="100"/>
      <c r="CY1069" s="34" t="s">
        <v>1995</v>
      </c>
      <c r="CZ1069" s="35">
        <v>9.5200300000000009E-4</v>
      </c>
    </row>
    <row r="1070" spans="40:104" x14ac:dyDescent="0.3">
      <c r="AN1070" s="117"/>
      <c r="AO1070" s="115"/>
      <c r="AP1070" s="119"/>
      <c r="AQ1070" s="219"/>
      <c r="AS1070" s="100"/>
      <c r="CY1070" s="34" t="s">
        <v>1996</v>
      </c>
      <c r="CZ1070" s="35">
        <v>8.6122441600000002E-4</v>
      </c>
    </row>
    <row r="1071" spans="40:104" x14ac:dyDescent="0.3">
      <c r="AN1071" s="117"/>
      <c r="AO1071" s="115"/>
      <c r="AP1071" s="119"/>
      <c r="AQ1071" s="219"/>
      <c r="AS1071" s="100"/>
      <c r="CY1071" s="34" t="s">
        <v>1997</v>
      </c>
      <c r="CZ1071" s="35">
        <v>4.1985267999999996E-4</v>
      </c>
    </row>
    <row r="1072" spans="40:104" x14ac:dyDescent="0.3">
      <c r="AN1072" s="117"/>
      <c r="AO1072" s="115"/>
      <c r="AP1072" s="119"/>
      <c r="AQ1072" s="219"/>
      <c r="AS1072" s="100"/>
      <c r="CY1072" s="34" t="s">
        <v>1998</v>
      </c>
      <c r="CZ1072" s="35">
        <v>8.5123625599999996E-4</v>
      </c>
    </row>
    <row r="1073" spans="40:104" x14ac:dyDescent="0.3">
      <c r="AN1073" s="117"/>
      <c r="AO1073" s="115"/>
      <c r="AP1073" s="119"/>
      <c r="AQ1073" s="219"/>
      <c r="AS1073" s="100"/>
      <c r="CY1073" s="34" t="s">
        <v>1999</v>
      </c>
      <c r="CZ1073" s="35">
        <v>5.2316451040000003E-2</v>
      </c>
    </row>
    <row r="1074" spans="40:104" x14ac:dyDescent="0.3">
      <c r="AN1074" s="117"/>
      <c r="AO1074" s="115"/>
      <c r="AP1074" s="119"/>
      <c r="AQ1074" s="219"/>
      <c r="AS1074" s="100"/>
      <c r="CY1074" s="34" t="s">
        <v>2000</v>
      </c>
      <c r="CZ1074" s="35">
        <v>7.8177698911999997E-4</v>
      </c>
    </row>
    <row r="1075" spans="40:104" x14ac:dyDescent="0.3">
      <c r="AN1075" s="117"/>
      <c r="AO1075" s="115"/>
      <c r="AP1075" s="119"/>
      <c r="AQ1075" s="219"/>
      <c r="AS1075" s="100"/>
      <c r="CY1075" s="34" t="s">
        <v>2001</v>
      </c>
      <c r="CZ1075" s="35">
        <v>2.9785206880000005E-2</v>
      </c>
    </row>
    <row r="1076" spans="40:104" x14ac:dyDescent="0.3">
      <c r="AN1076" s="117"/>
      <c r="AO1076" s="115"/>
      <c r="AP1076" s="119"/>
      <c r="AQ1076" s="219"/>
      <c r="AS1076" s="100"/>
      <c r="CY1076" s="34" t="s">
        <v>2002</v>
      </c>
      <c r="CZ1076" s="35">
        <v>6.3293521470000015E-3</v>
      </c>
    </row>
    <row r="1077" spans="40:104" x14ac:dyDescent="0.3">
      <c r="AN1077" s="117"/>
      <c r="AO1077" s="115"/>
      <c r="AP1077" s="119"/>
      <c r="AQ1077" s="219"/>
      <c r="AS1077" s="100"/>
      <c r="CY1077" s="34" t="s">
        <v>2003</v>
      </c>
      <c r="CZ1077" s="35">
        <v>3.3799444703999995E-2</v>
      </c>
    </row>
    <row r="1078" spans="40:104" x14ac:dyDescent="0.3">
      <c r="AN1078" s="117"/>
      <c r="AO1078" s="115"/>
      <c r="AP1078" s="119"/>
      <c r="AQ1078" s="219"/>
      <c r="AS1078" s="100"/>
      <c r="CY1078" s="34" t="s">
        <v>2004</v>
      </c>
      <c r="CZ1078" s="35">
        <v>1.4999779999999999E-3</v>
      </c>
    </row>
    <row r="1079" spans="40:104" x14ac:dyDescent="0.3">
      <c r="AN1079" s="117"/>
      <c r="AO1079" s="115"/>
      <c r="AP1079" s="119"/>
      <c r="AQ1079" s="219"/>
      <c r="AS1079" s="100"/>
      <c r="CY1079" s="34" t="s">
        <v>2005</v>
      </c>
      <c r="CZ1079" s="35">
        <v>1.4565570837333333E-2</v>
      </c>
    </row>
    <row r="1080" spans="40:104" x14ac:dyDescent="0.3">
      <c r="AN1080" s="117"/>
      <c r="AO1080" s="115"/>
      <c r="AP1080" s="119"/>
      <c r="AQ1080" s="219"/>
      <c r="AS1080" s="100"/>
      <c r="CY1080" s="34" t="s">
        <v>2006</v>
      </c>
      <c r="CZ1080" s="35">
        <v>5.1750486970000001E-3</v>
      </c>
    </row>
    <row r="1081" spans="40:104" x14ac:dyDescent="0.3">
      <c r="AN1081" s="117"/>
      <c r="AO1081" s="115"/>
      <c r="AP1081" s="119"/>
      <c r="AQ1081" s="219"/>
      <c r="AS1081" s="100"/>
      <c r="CY1081" s="34" t="s">
        <v>2007</v>
      </c>
      <c r="CZ1081" s="35">
        <v>5.4375336991999996E-3</v>
      </c>
    </row>
    <row r="1082" spans="40:104" x14ac:dyDescent="0.3">
      <c r="AN1082" s="117"/>
      <c r="AO1082" s="115"/>
      <c r="AP1082" s="119"/>
      <c r="AQ1082" s="219"/>
      <c r="AS1082" s="100"/>
      <c r="CY1082" s="34" t="s">
        <v>2008</v>
      </c>
      <c r="CZ1082" s="35">
        <v>3.0904982272E-2</v>
      </c>
    </row>
    <row r="1083" spans="40:104" x14ac:dyDescent="0.3">
      <c r="AN1083" s="117"/>
      <c r="AO1083" s="115"/>
      <c r="AP1083" s="119"/>
      <c r="AQ1083" s="219"/>
      <c r="AS1083" s="100"/>
      <c r="CY1083" s="34" t="s">
        <v>2009</v>
      </c>
      <c r="CZ1083" s="35">
        <v>4.0686621440000001E-2</v>
      </c>
    </row>
    <row r="1084" spans="40:104" x14ac:dyDescent="0.3">
      <c r="AN1084" s="117"/>
      <c r="AO1084" s="115"/>
      <c r="AP1084" s="119"/>
      <c r="AQ1084" s="219"/>
      <c r="AS1084" s="100"/>
      <c r="CY1084" s="34" t="s">
        <v>2010</v>
      </c>
      <c r="CZ1084" s="35">
        <v>2.6215517855999997E-2</v>
      </c>
    </row>
    <row r="1085" spans="40:104" x14ac:dyDescent="0.3">
      <c r="AN1085" s="117"/>
      <c r="AO1085" s="115"/>
      <c r="AP1085" s="119"/>
      <c r="AQ1085" s="219"/>
      <c r="AS1085" s="100"/>
      <c r="CY1085" s="34" t="s">
        <v>2011</v>
      </c>
      <c r="CZ1085" s="35">
        <v>7.2148677375000001E-3</v>
      </c>
    </row>
    <row r="1086" spans="40:104" x14ac:dyDescent="0.3">
      <c r="AN1086" s="117"/>
      <c r="AO1086" s="115"/>
      <c r="AP1086" s="119"/>
      <c r="AQ1086" s="219"/>
      <c r="AS1086" s="100"/>
      <c r="CY1086" s="34" t="s">
        <v>2012</v>
      </c>
      <c r="CZ1086" s="35">
        <v>6.1970171839999998E-2</v>
      </c>
    </row>
    <row r="1087" spans="40:104" x14ac:dyDescent="0.3">
      <c r="AN1087" s="117"/>
      <c r="AO1087" s="115"/>
      <c r="AP1087" s="119"/>
      <c r="AQ1087" s="219"/>
      <c r="AS1087" s="100"/>
      <c r="CY1087" s="34" t="s">
        <v>2013</v>
      </c>
      <c r="CZ1087" s="35">
        <v>4.8472341119999991E-2</v>
      </c>
    </row>
    <row r="1088" spans="40:104" x14ac:dyDescent="0.3">
      <c r="AN1088" s="117"/>
      <c r="AO1088" s="115"/>
      <c r="AP1088" s="119"/>
      <c r="AQ1088" s="219"/>
      <c r="AS1088" s="100"/>
      <c r="CY1088" s="34" t="s">
        <v>2014</v>
      </c>
      <c r="CZ1088" s="35">
        <v>3.8999999999999999E-5</v>
      </c>
    </row>
    <row r="1089" spans="40:104" x14ac:dyDescent="0.3">
      <c r="AN1089" s="117"/>
      <c r="AO1089" s="115"/>
      <c r="AP1089" s="119"/>
      <c r="AQ1089" s="219"/>
      <c r="AS1089" s="100"/>
      <c r="CY1089" s="34" t="s">
        <v>2015</v>
      </c>
      <c r="CZ1089" s="35">
        <v>3.0565772560000003E-2</v>
      </c>
    </row>
    <row r="1090" spans="40:104" x14ac:dyDescent="0.3">
      <c r="AN1090" s="117"/>
      <c r="AO1090" s="115"/>
      <c r="AP1090" s="119"/>
      <c r="AQ1090" s="219"/>
      <c r="AS1090" s="100"/>
      <c r="CY1090" s="34" t="s">
        <v>2016</v>
      </c>
      <c r="CZ1090" s="35">
        <v>1.8550032799999998E-3</v>
      </c>
    </row>
    <row r="1091" spans="40:104" x14ac:dyDescent="0.3">
      <c r="AN1091" s="117"/>
      <c r="AO1091" s="115"/>
      <c r="AP1091" s="119"/>
      <c r="AQ1091" s="219"/>
      <c r="AS1091" s="100"/>
      <c r="CY1091" s="34" t="s">
        <v>2017</v>
      </c>
      <c r="CZ1091" s="35">
        <v>3.6990782400000001E-4</v>
      </c>
    </row>
    <row r="1092" spans="40:104" x14ac:dyDescent="0.3">
      <c r="AN1092" s="117"/>
      <c r="AO1092" s="115"/>
      <c r="AP1092" s="119"/>
      <c r="AQ1092" s="219"/>
      <c r="AS1092" s="100"/>
      <c r="CY1092" s="34" t="s">
        <v>2018</v>
      </c>
      <c r="CZ1092" s="35">
        <v>1.5827660159999999E-3</v>
      </c>
    </row>
    <row r="1093" spans="40:104" x14ac:dyDescent="0.3">
      <c r="AN1093" s="117"/>
      <c r="AO1093" s="115"/>
      <c r="AP1093" s="119"/>
      <c r="AQ1093" s="219"/>
      <c r="AS1093" s="100"/>
      <c r="CY1093" s="34" t="s">
        <v>2019</v>
      </c>
      <c r="CZ1093" s="35">
        <v>2.0630016717714285E-2</v>
      </c>
    </row>
    <row r="1094" spans="40:104" x14ac:dyDescent="0.3">
      <c r="AN1094" s="117"/>
      <c r="AO1094" s="115"/>
      <c r="AP1094" s="119"/>
      <c r="AQ1094" s="219"/>
      <c r="AS1094" s="100"/>
      <c r="CY1094" s="34" t="s">
        <v>2020</v>
      </c>
      <c r="CZ1094" s="35">
        <v>1.4116415456000002E-2</v>
      </c>
    </row>
    <row r="1095" spans="40:104" x14ac:dyDescent="0.3">
      <c r="AN1095" s="117"/>
      <c r="AO1095" s="115"/>
      <c r="AP1095" s="119"/>
      <c r="AQ1095" s="219"/>
      <c r="AS1095" s="100"/>
      <c r="CY1095" s="34" t="s">
        <v>2021</v>
      </c>
      <c r="CZ1095" s="35">
        <v>4.496656844E-2</v>
      </c>
    </row>
    <row r="1096" spans="40:104" x14ac:dyDescent="0.3">
      <c r="AN1096" s="117"/>
      <c r="AO1096" s="115"/>
      <c r="AP1096" s="119"/>
      <c r="AQ1096" s="219"/>
      <c r="AS1096" s="100"/>
      <c r="CY1096" s="34" t="s">
        <v>2022</v>
      </c>
      <c r="CZ1096" s="35">
        <v>1.4796274136E-3</v>
      </c>
    </row>
    <row r="1097" spans="40:104" x14ac:dyDescent="0.3">
      <c r="AN1097" s="117"/>
      <c r="AO1097" s="115"/>
      <c r="AP1097" s="119"/>
      <c r="AQ1097" s="219"/>
      <c r="AS1097" s="100"/>
      <c r="CY1097" s="34" t="s">
        <v>2023</v>
      </c>
      <c r="CZ1097" s="35">
        <v>1.5428307440000001E-3</v>
      </c>
    </row>
    <row r="1098" spans="40:104" x14ac:dyDescent="0.3">
      <c r="AN1098" s="117"/>
      <c r="AO1098" s="115"/>
      <c r="AP1098" s="119"/>
      <c r="AQ1098" s="219"/>
      <c r="AS1098" s="100"/>
      <c r="CY1098" s="34" t="s">
        <v>2024</v>
      </c>
      <c r="CZ1098" s="35">
        <v>2.7757078626399999E-3</v>
      </c>
    </row>
    <row r="1099" spans="40:104" x14ac:dyDescent="0.3">
      <c r="AN1099" s="117"/>
      <c r="AO1099" s="115"/>
      <c r="AP1099" s="119"/>
      <c r="AQ1099" s="219"/>
      <c r="AS1099" s="100"/>
      <c r="CY1099" s="34" t="s">
        <v>2025</v>
      </c>
      <c r="CZ1099" s="35">
        <v>1.1089119787999998E-2</v>
      </c>
    </row>
    <row r="1100" spans="40:104" x14ac:dyDescent="0.3">
      <c r="AN1100" s="117"/>
      <c r="AO1100" s="115"/>
      <c r="AP1100" s="119"/>
      <c r="AQ1100" s="219"/>
      <c r="AS1100" s="100"/>
      <c r="CY1100" s="34" t="s">
        <v>2026</v>
      </c>
      <c r="CZ1100" s="35">
        <v>1.1649935354E-3</v>
      </c>
    </row>
    <row r="1101" spans="40:104" x14ac:dyDescent="0.3">
      <c r="AN1101" s="117"/>
      <c r="AO1101" s="115"/>
      <c r="AP1101" s="119"/>
      <c r="AQ1101" s="219"/>
      <c r="AS1101" s="100"/>
      <c r="CY1101" s="34" t="s">
        <v>2027</v>
      </c>
      <c r="CZ1101" s="35">
        <v>5.4955065040000001E-2</v>
      </c>
    </row>
    <row r="1102" spans="40:104" x14ac:dyDescent="0.3">
      <c r="AN1102" s="117"/>
      <c r="AO1102" s="115"/>
      <c r="AP1102" s="119"/>
      <c r="AQ1102" s="219"/>
      <c r="AS1102" s="100"/>
      <c r="CY1102" s="34" t="s">
        <v>2028</v>
      </c>
      <c r="CZ1102" s="35">
        <v>1.2585303952499999E-3</v>
      </c>
    </row>
    <row r="1103" spans="40:104" x14ac:dyDescent="0.3">
      <c r="AN1103" s="117"/>
      <c r="AO1103" s="115"/>
      <c r="AP1103" s="119"/>
      <c r="AQ1103" s="219"/>
      <c r="AS1103" s="100"/>
      <c r="CY1103" s="34" t="s">
        <v>2029</v>
      </c>
      <c r="CZ1103" s="35">
        <v>1.6004888555E-3</v>
      </c>
    </row>
    <row r="1104" spans="40:104" x14ac:dyDescent="0.3">
      <c r="AN1104" s="117"/>
      <c r="AO1104" s="115"/>
      <c r="AP1104" s="119"/>
      <c r="AQ1104" s="219"/>
      <c r="AS1104" s="100"/>
      <c r="CY1104" s="34" t="s">
        <v>2030</v>
      </c>
      <c r="CZ1104" s="35">
        <v>2.3725093758125001E-3</v>
      </c>
    </row>
    <row r="1105" spans="40:104" x14ac:dyDescent="0.3">
      <c r="AN1105" s="117"/>
      <c r="AO1105" s="115"/>
      <c r="AP1105" s="119"/>
      <c r="AQ1105" s="219"/>
      <c r="AS1105" s="100"/>
      <c r="CY1105" s="34" t="s">
        <v>2031</v>
      </c>
      <c r="CZ1105" s="35">
        <v>3.6386093360000005E-3</v>
      </c>
    </row>
    <row r="1106" spans="40:104" x14ac:dyDescent="0.3">
      <c r="AN1106" s="117"/>
      <c r="AO1106" s="115"/>
      <c r="AP1106" s="119"/>
      <c r="AQ1106" s="219"/>
      <c r="AS1106" s="100"/>
      <c r="CY1106" s="34" t="s">
        <v>2032</v>
      </c>
      <c r="CZ1106" s="35">
        <v>1.1092456778666667E-3</v>
      </c>
    </row>
    <row r="1107" spans="40:104" x14ac:dyDescent="0.3">
      <c r="AN1107" s="117"/>
      <c r="AO1107" s="115"/>
      <c r="AP1107" s="119"/>
      <c r="AQ1107" s="219"/>
      <c r="AS1107" s="100"/>
      <c r="CY1107" s="34" t="s">
        <v>2033</v>
      </c>
      <c r="CZ1107" s="35">
        <v>2.3262415008000002E-3</v>
      </c>
    </row>
    <row r="1108" spans="40:104" x14ac:dyDescent="0.3">
      <c r="AN1108" s="117"/>
      <c r="AO1108" s="115"/>
      <c r="AP1108" s="119"/>
      <c r="AQ1108" s="219"/>
      <c r="AS1108" s="100"/>
      <c r="CY1108" s="34" t="s">
        <v>2034</v>
      </c>
      <c r="CZ1108" s="35">
        <v>0.83519077423999999</v>
      </c>
    </row>
    <row r="1109" spans="40:104" x14ac:dyDescent="0.3">
      <c r="AN1109" s="117"/>
      <c r="AO1109" s="115"/>
      <c r="AP1109" s="119"/>
      <c r="AQ1109" s="219"/>
      <c r="AS1109" s="100"/>
      <c r="CY1109" s="34" t="s">
        <v>2035</v>
      </c>
      <c r="CZ1109" s="35">
        <v>4.8172507863999993E-2</v>
      </c>
    </row>
    <row r="1110" spans="40:104" x14ac:dyDescent="0.3">
      <c r="AN1110" s="117"/>
      <c r="AO1110" s="115"/>
      <c r="AP1110" s="119"/>
      <c r="AQ1110" s="219"/>
      <c r="AS1110" s="100"/>
      <c r="CY1110" s="34" t="s">
        <v>2036</v>
      </c>
      <c r="CZ1110" s="35">
        <v>2.5925721120000002E-2</v>
      </c>
    </row>
    <row r="1111" spans="40:104" x14ac:dyDescent="0.3">
      <c r="AN1111" s="117"/>
      <c r="AO1111" s="115"/>
      <c r="AP1111" s="119"/>
      <c r="AQ1111" s="219"/>
      <c r="AS1111" s="100"/>
      <c r="CY1111" s="34" t="s">
        <v>2037</v>
      </c>
      <c r="CZ1111" s="35">
        <v>3.6666864920000004E-3</v>
      </c>
    </row>
    <row r="1112" spans="40:104" x14ac:dyDescent="0.3">
      <c r="AN1112" s="117"/>
      <c r="AO1112" s="115"/>
      <c r="AP1112" s="119"/>
      <c r="AQ1112" s="219"/>
      <c r="AS1112" s="100"/>
      <c r="CY1112" s="34" t="s">
        <v>2038</v>
      </c>
      <c r="CZ1112" s="35">
        <v>2.132316268E-2</v>
      </c>
    </row>
    <row r="1113" spans="40:104" x14ac:dyDescent="0.3">
      <c r="AN1113" s="117"/>
      <c r="AO1113" s="115"/>
      <c r="AP1113" s="119"/>
      <c r="AQ1113" s="219"/>
      <c r="AS1113" s="100"/>
      <c r="CY1113" s="34" t="s">
        <v>2039</v>
      </c>
      <c r="CZ1113" s="35">
        <v>1.4295213739999998E-3</v>
      </c>
    </row>
    <row r="1114" spans="40:104" x14ac:dyDescent="0.3">
      <c r="AN1114" s="117"/>
      <c r="AO1114" s="115"/>
      <c r="AP1114" s="119"/>
      <c r="AQ1114" s="219"/>
      <c r="AS1114" s="100"/>
      <c r="CY1114" s="34" t="s">
        <v>2040</v>
      </c>
      <c r="CZ1114" s="35">
        <v>1.7988589839999999E-3</v>
      </c>
    </row>
    <row r="1115" spans="40:104" x14ac:dyDescent="0.3">
      <c r="AN1115" s="117"/>
      <c r="AO1115" s="115"/>
      <c r="AP1115" s="119"/>
      <c r="AQ1115" s="219"/>
      <c r="AS1115" s="100"/>
      <c r="CY1115" s="34" t="s">
        <v>2041</v>
      </c>
      <c r="CZ1115" s="35">
        <v>1.7922666253333334E-2</v>
      </c>
    </row>
    <row r="1116" spans="40:104" x14ac:dyDescent="0.3">
      <c r="AN1116" s="117"/>
      <c r="AO1116" s="115"/>
      <c r="AP1116" s="119"/>
      <c r="AQ1116" s="219"/>
      <c r="AS1116" s="100"/>
      <c r="CY1116" s="34" t="s">
        <v>2042</v>
      </c>
      <c r="CZ1116" s="35">
        <v>7.4387591097000005E-3</v>
      </c>
    </row>
    <row r="1117" spans="40:104" x14ac:dyDescent="0.3">
      <c r="AN1117" s="117"/>
      <c r="AO1117" s="115"/>
      <c r="AP1117" s="119"/>
      <c r="AQ1117" s="219"/>
      <c r="AS1117" s="100"/>
      <c r="CY1117" s="34" t="s">
        <v>2043</v>
      </c>
      <c r="CZ1117" s="35">
        <v>2.4122899328000002E-3</v>
      </c>
    </row>
    <row r="1118" spans="40:104" x14ac:dyDescent="0.3">
      <c r="AN1118" s="117"/>
      <c r="AO1118" s="115"/>
      <c r="AP1118" s="119"/>
      <c r="AQ1118" s="219"/>
      <c r="AS1118" s="100"/>
      <c r="CY1118" s="34" t="s">
        <v>2044</v>
      </c>
      <c r="CZ1118" s="35">
        <v>5.4116186815999993E-2</v>
      </c>
    </row>
    <row r="1119" spans="40:104" x14ac:dyDescent="0.3">
      <c r="AN1119" s="117"/>
      <c r="AO1119" s="115"/>
      <c r="AP1119" s="119"/>
      <c r="AQ1119" s="219"/>
      <c r="AS1119" s="100"/>
      <c r="CY1119" s="34" t="s">
        <v>2045</v>
      </c>
      <c r="CZ1119" s="35">
        <v>5.1792200448000002E-2</v>
      </c>
    </row>
    <row r="1120" spans="40:104" x14ac:dyDescent="0.3">
      <c r="AN1120" s="117"/>
      <c r="AO1120" s="115"/>
      <c r="AP1120" s="119"/>
      <c r="AQ1120" s="219"/>
      <c r="AS1120" s="100"/>
      <c r="CY1120" s="34" t="s">
        <v>2046</v>
      </c>
      <c r="CZ1120" s="35">
        <v>2.9764716256000003E-2</v>
      </c>
    </row>
    <row r="1121" spans="40:104" x14ac:dyDescent="0.3">
      <c r="AN1121" s="117"/>
      <c r="AO1121" s="115"/>
      <c r="AP1121" s="119"/>
      <c r="AQ1121" s="219"/>
      <c r="AS1121" s="100"/>
      <c r="CY1121" s="34" t="s">
        <v>2047</v>
      </c>
      <c r="CZ1121" s="35">
        <v>3.7253534528000003E-2</v>
      </c>
    </row>
    <row r="1122" spans="40:104" x14ac:dyDescent="0.3">
      <c r="AN1122" s="117"/>
      <c r="AO1122" s="115"/>
      <c r="AP1122" s="119"/>
      <c r="AQ1122" s="219"/>
      <c r="AS1122" s="100"/>
      <c r="CY1122" s="34" t="s">
        <v>2048</v>
      </c>
      <c r="CZ1122" s="35">
        <v>3.0653091744000001E-2</v>
      </c>
    </row>
    <row r="1123" spans="40:104" x14ac:dyDescent="0.3">
      <c r="AN1123" s="117"/>
      <c r="AO1123" s="115"/>
      <c r="AP1123" s="119"/>
      <c r="AQ1123" s="219"/>
      <c r="AS1123" s="100"/>
      <c r="CY1123" s="34" t="s">
        <v>2049</v>
      </c>
      <c r="CZ1123" s="35">
        <v>1.7732630528000001E-2</v>
      </c>
    </row>
    <row r="1124" spans="40:104" x14ac:dyDescent="0.3">
      <c r="AN1124" s="117"/>
      <c r="AO1124" s="115"/>
      <c r="AP1124" s="119"/>
      <c r="AQ1124" s="219"/>
      <c r="AS1124" s="100"/>
      <c r="CY1124" s="34" t="s">
        <v>2050</v>
      </c>
      <c r="CZ1124" s="35">
        <v>1.7732630528000001E-2</v>
      </c>
    </row>
    <row r="1125" spans="40:104" x14ac:dyDescent="0.3">
      <c r="AN1125" s="117"/>
      <c r="AO1125" s="115"/>
      <c r="AP1125" s="119"/>
      <c r="AQ1125" s="219"/>
      <c r="AS1125" s="100"/>
      <c r="CY1125" s="34" t="s">
        <v>2051</v>
      </c>
      <c r="CZ1125" s="35">
        <v>2.0553152960000001E-2</v>
      </c>
    </row>
    <row r="1126" spans="40:104" x14ac:dyDescent="0.3">
      <c r="AN1126" s="117"/>
      <c r="AO1126" s="115"/>
      <c r="AP1126" s="119"/>
      <c r="AQ1126" s="219"/>
      <c r="AS1126" s="100"/>
      <c r="CY1126" s="34" t="s">
        <v>2052</v>
      </c>
      <c r="CZ1126" s="35">
        <v>1.6586228752000002E-2</v>
      </c>
    </row>
    <row r="1127" spans="40:104" x14ac:dyDescent="0.3">
      <c r="AN1127" s="117"/>
      <c r="AO1127" s="115"/>
      <c r="AP1127" s="119"/>
      <c r="AQ1127" s="219"/>
      <c r="AS1127" s="100"/>
      <c r="CY1127" s="34" t="s">
        <v>2053</v>
      </c>
      <c r="CZ1127" s="35">
        <v>2.7513646388000004E-3</v>
      </c>
    </row>
    <row r="1128" spans="40:104" x14ac:dyDescent="0.3">
      <c r="AN1128" s="117"/>
      <c r="AO1128" s="115"/>
      <c r="AP1128" s="119"/>
      <c r="AQ1128" s="219"/>
      <c r="AS1128" s="100"/>
      <c r="CY1128" s="34" t="s">
        <v>2054</v>
      </c>
      <c r="CZ1128" s="35">
        <v>2.0773194143999998E-3</v>
      </c>
    </row>
    <row r="1129" spans="40:104" x14ac:dyDescent="0.3">
      <c r="AN1129" s="117"/>
      <c r="AO1129" s="115"/>
      <c r="AP1129" s="119"/>
      <c r="AQ1129" s="219"/>
      <c r="AS1129" s="100"/>
      <c r="CY1129" s="34" t="s">
        <v>2055</v>
      </c>
      <c r="CZ1129" s="35">
        <v>4.6496741464000001E-3</v>
      </c>
    </row>
    <row r="1130" spans="40:104" x14ac:dyDescent="0.3">
      <c r="AN1130" s="117"/>
      <c r="AO1130" s="115"/>
      <c r="AP1130" s="119"/>
      <c r="AQ1130" s="219"/>
      <c r="AS1130" s="100"/>
      <c r="CY1130" s="34" t="s">
        <v>2056</v>
      </c>
      <c r="CZ1130" s="35">
        <v>8.3884696239999994E-4</v>
      </c>
    </row>
    <row r="1131" spans="40:104" x14ac:dyDescent="0.3">
      <c r="AN1131" s="136"/>
      <c r="AO1131" s="115"/>
      <c r="AP1131" s="119"/>
      <c r="AQ1131" s="219"/>
      <c r="AS1131" s="100"/>
      <c r="CY1131" s="34" t="s">
        <v>2057</v>
      </c>
      <c r="CZ1131" s="35">
        <v>9.1184000000000005E-3</v>
      </c>
    </row>
    <row r="1132" spans="40:104" x14ac:dyDescent="0.3">
      <c r="AN1132" s="109"/>
      <c r="AO1132" s="115"/>
      <c r="AP1132" s="119"/>
      <c r="AQ1132" s="219"/>
      <c r="AS1132" s="100"/>
      <c r="CY1132" s="34" t="s">
        <v>2058</v>
      </c>
      <c r="CZ1132" s="35">
        <v>2.3698289849599999E-2</v>
      </c>
    </row>
    <row r="1133" spans="40:104" x14ac:dyDescent="0.3">
      <c r="AN1133" s="109"/>
      <c r="AO1133" s="115"/>
      <c r="AP1133" s="119"/>
      <c r="AQ1133" s="219"/>
      <c r="AS1133" s="100"/>
      <c r="CY1133" s="34" t="s">
        <v>2059</v>
      </c>
      <c r="CZ1133" s="35">
        <v>1.4321377199999999E-3</v>
      </c>
    </row>
    <row r="1134" spans="40:104" x14ac:dyDescent="0.3">
      <c r="AN1134" s="109"/>
      <c r="AO1134" s="115"/>
      <c r="AP1134" s="119"/>
      <c r="AQ1134" s="219"/>
      <c r="AS1134" s="100"/>
      <c r="CY1134" s="34" t="s">
        <v>2060</v>
      </c>
      <c r="CZ1134" s="35">
        <v>1.0629065199999998E-3</v>
      </c>
    </row>
    <row r="1135" spans="40:104" x14ac:dyDescent="0.3">
      <c r="AN1135" s="109"/>
      <c r="AO1135" s="115"/>
      <c r="AP1135" s="119"/>
      <c r="AQ1135" s="219"/>
      <c r="AS1135" s="100"/>
      <c r="CY1135" s="34" t="s">
        <v>2061</v>
      </c>
      <c r="CZ1135" s="35">
        <v>2.8244741800000001E-2</v>
      </c>
    </row>
    <row r="1136" spans="40:104" x14ac:dyDescent="0.3">
      <c r="AN1136" s="109"/>
      <c r="AO1136" s="115"/>
      <c r="AP1136" s="119"/>
      <c r="AQ1136" s="219"/>
      <c r="AS1136" s="100"/>
      <c r="CY1136" s="34" t="s">
        <v>2062</v>
      </c>
      <c r="CZ1136" s="35">
        <v>7.9053125760000009E-2</v>
      </c>
    </row>
    <row r="1137" spans="40:104" x14ac:dyDescent="0.3">
      <c r="AN1137" s="109"/>
      <c r="AO1137" s="115"/>
      <c r="AP1137" s="119"/>
      <c r="AQ1137" s="219"/>
      <c r="AS1137" s="100"/>
      <c r="CY1137" s="34" t="s">
        <v>2063</v>
      </c>
      <c r="CZ1137" s="35">
        <v>3.3562029279999997E-3</v>
      </c>
    </row>
    <row r="1138" spans="40:104" x14ac:dyDescent="0.3">
      <c r="AN1138" s="109"/>
      <c r="AO1138" s="115"/>
      <c r="AP1138" s="119"/>
      <c r="AQ1138" s="219"/>
      <c r="AS1138" s="100"/>
      <c r="CY1138" s="34" t="s">
        <v>2064</v>
      </c>
      <c r="CZ1138" s="35">
        <v>3.3562029279999997E-3</v>
      </c>
    </row>
    <row r="1139" spans="40:104" x14ac:dyDescent="0.3">
      <c r="AN1139" s="109"/>
      <c r="AO1139" s="115"/>
      <c r="AP1139" s="119"/>
      <c r="AQ1139" s="219"/>
      <c r="AS1139" s="100"/>
      <c r="CY1139" s="34" t="s">
        <v>2065</v>
      </c>
      <c r="CZ1139" s="35">
        <v>2.3389019968000002E-3</v>
      </c>
    </row>
    <row r="1140" spans="40:104" x14ac:dyDescent="0.3">
      <c r="AN1140" s="109"/>
      <c r="AO1140" s="115"/>
      <c r="AP1140" s="119"/>
      <c r="AQ1140" s="219"/>
      <c r="AS1140" s="100"/>
      <c r="CY1140" s="34" t="s">
        <v>2066</v>
      </c>
      <c r="CZ1140" s="35">
        <v>1.570802E-3</v>
      </c>
    </row>
    <row r="1141" spans="40:104" x14ac:dyDescent="0.3">
      <c r="AN1141" s="109"/>
      <c r="AO1141" s="115"/>
      <c r="AP1141" s="119"/>
      <c r="AQ1141" s="219"/>
      <c r="AS1141" s="100"/>
      <c r="CY1141" s="34" t="s">
        <v>2067</v>
      </c>
      <c r="CZ1141" s="35">
        <v>9.2361694613333333E-3</v>
      </c>
    </row>
    <row r="1142" spans="40:104" x14ac:dyDescent="0.3">
      <c r="AN1142" s="109"/>
      <c r="AO1142" s="115"/>
      <c r="AP1142" s="119"/>
      <c r="AQ1142" s="219"/>
      <c r="AS1142" s="100"/>
      <c r="CY1142" s="34" t="s">
        <v>2068</v>
      </c>
      <c r="CZ1142" s="35">
        <v>3.1534616559999999E-2</v>
      </c>
    </row>
    <row r="1143" spans="40:104" x14ac:dyDescent="0.3">
      <c r="AN1143" s="109"/>
      <c r="AO1143" s="115"/>
      <c r="AP1143" s="119"/>
      <c r="AQ1143" s="219"/>
      <c r="AS1143" s="100"/>
      <c r="CY1143" s="34" t="s">
        <v>2069</v>
      </c>
      <c r="CZ1143" s="35">
        <v>1.6674422000000001E-2</v>
      </c>
    </row>
    <row r="1144" spans="40:104" x14ac:dyDescent="0.3">
      <c r="AN1144" s="109"/>
      <c r="AO1144" s="115"/>
      <c r="AP1144" s="119"/>
      <c r="AQ1144" s="219"/>
      <c r="AS1144" s="100"/>
      <c r="CY1144" s="34" t="s">
        <v>2070</v>
      </c>
      <c r="CZ1144" s="35">
        <v>9.5654554880000003E-3</v>
      </c>
    </row>
    <row r="1145" spans="40:104" x14ac:dyDescent="0.3">
      <c r="AN1145" s="109"/>
      <c r="AO1145" s="115"/>
      <c r="AP1145" s="119"/>
      <c r="AQ1145" s="219"/>
      <c r="AS1145" s="100"/>
      <c r="CY1145" s="34" t="s">
        <v>2071</v>
      </c>
      <c r="CZ1145" s="35">
        <v>1.6011411728E-2</v>
      </c>
    </row>
    <row r="1146" spans="40:104" x14ac:dyDescent="0.3">
      <c r="AN1146" s="109"/>
      <c r="AO1146" s="115"/>
      <c r="AP1146" s="119"/>
      <c r="AQ1146" s="219"/>
      <c r="AS1146" s="100"/>
      <c r="CY1146" s="34" t="s">
        <v>2072</v>
      </c>
      <c r="CZ1146" s="35">
        <v>3.5279359293333333E-2</v>
      </c>
    </row>
    <row r="1147" spans="40:104" x14ac:dyDescent="0.3">
      <c r="AN1147" s="109"/>
      <c r="AO1147" s="115"/>
      <c r="AP1147" s="119"/>
      <c r="AQ1147" s="219"/>
      <c r="AS1147" s="100"/>
      <c r="CY1147" s="34" t="s">
        <v>2073</v>
      </c>
      <c r="CZ1147" s="35">
        <v>2.2904976152E-2</v>
      </c>
    </row>
    <row r="1148" spans="40:104" x14ac:dyDescent="0.3">
      <c r="AN1148" s="109"/>
      <c r="AO1148" s="115"/>
      <c r="AP1148" s="119"/>
      <c r="AQ1148" s="219"/>
      <c r="AS1148" s="100"/>
      <c r="CY1148" s="34" t="s">
        <v>2074</v>
      </c>
      <c r="CZ1148" s="35">
        <v>3.8526260299999997E-2</v>
      </c>
    </row>
    <row r="1149" spans="40:104" x14ac:dyDescent="0.3">
      <c r="AN1149" s="109"/>
      <c r="AO1149" s="115"/>
      <c r="AP1149" s="119"/>
      <c r="AQ1149" s="219"/>
      <c r="AS1149" s="100"/>
      <c r="CY1149" s="34" t="s">
        <v>2075</v>
      </c>
      <c r="CZ1149" s="35">
        <v>2.3505212847999998E-2</v>
      </c>
    </row>
    <row r="1150" spans="40:104" x14ac:dyDescent="0.3">
      <c r="AN1150" s="109"/>
      <c r="AO1150" s="115"/>
      <c r="AP1150" s="119"/>
      <c r="AQ1150" s="219"/>
      <c r="AS1150" s="100"/>
      <c r="CY1150" s="34" t="s">
        <v>2076</v>
      </c>
      <c r="CZ1150" s="35">
        <v>1.2010986240000004E-3</v>
      </c>
    </row>
    <row r="1151" spans="40:104" x14ac:dyDescent="0.3">
      <c r="AN1151" s="109"/>
      <c r="AO1151" s="115"/>
      <c r="AP1151" s="119"/>
      <c r="AQ1151" s="219"/>
      <c r="AS1151" s="100"/>
      <c r="CY1151" s="34" t="s">
        <v>2077</v>
      </c>
      <c r="CZ1151" s="35">
        <v>9.8694398400000008E-4</v>
      </c>
    </row>
    <row r="1152" spans="40:104" x14ac:dyDescent="0.3">
      <c r="AN1152" s="109"/>
      <c r="AO1152" s="115"/>
      <c r="AP1152" s="119"/>
      <c r="AQ1152" s="219"/>
      <c r="AS1152" s="100"/>
      <c r="CY1152" s="34" t="s">
        <v>2078</v>
      </c>
      <c r="CZ1152" s="35">
        <v>3.2923033800000001E-3</v>
      </c>
    </row>
    <row r="1153" spans="40:104" x14ac:dyDescent="0.3">
      <c r="AN1153" s="109"/>
      <c r="AO1153" s="115"/>
      <c r="AP1153" s="119"/>
      <c r="AQ1153" s="219"/>
      <c r="AS1153" s="100"/>
      <c r="CY1153" s="34" t="s">
        <v>2079</v>
      </c>
      <c r="CZ1153" s="35">
        <v>4.9381294084999998E-3</v>
      </c>
    </row>
    <row r="1154" spans="40:104" x14ac:dyDescent="0.3">
      <c r="AN1154" s="117"/>
      <c r="AO1154" s="119"/>
      <c r="AP1154" s="119"/>
      <c r="AQ1154" s="219"/>
      <c r="AS1154" s="100"/>
      <c r="CY1154" s="34" t="s">
        <v>2080</v>
      </c>
      <c r="CZ1154" s="35">
        <v>1.6856128795000001E-3</v>
      </c>
    </row>
    <row r="1155" spans="40:104" x14ac:dyDescent="0.3">
      <c r="AN1155" s="117"/>
      <c r="AO1155" s="119"/>
      <c r="AP1155" s="119"/>
      <c r="AQ1155" s="219"/>
      <c r="AS1155" s="100"/>
      <c r="CY1155" s="34" t="s">
        <v>2081</v>
      </c>
      <c r="CZ1155" s="35">
        <v>1.4441536000000001E-2</v>
      </c>
    </row>
    <row r="1156" spans="40:104" x14ac:dyDescent="0.3">
      <c r="AN1156" s="117"/>
      <c r="AO1156" s="119"/>
      <c r="AP1156" s="119"/>
      <c r="AQ1156" s="219"/>
      <c r="AS1156" s="100"/>
      <c r="CY1156" s="34" t="s">
        <v>2082</v>
      </c>
      <c r="CZ1156" s="35">
        <v>9.9563758879999999E-3</v>
      </c>
    </row>
    <row r="1157" spans="40:104" x14ac:dyDescent="0.3">
      <c r="AN1157" s="117"/>
      <c r="AO1157" s="119"/>
      <c r="AP1157" s="119"/>
      <c r="AQ1157" s="219"/>
      <c r="AS1157" s="100"/>
      <c r="CY1157" s="34" t="s">
        <v>2083</v>
      </c>
      <c r="CZ1157" s="35">
        <v>1.0213280892E-2</v>
      </c>
    </row>
    <row r="1158" spans="40:104" x14ac:dyDescent="0.3">
      <c r="AN1158" s="117"/>
      <c r="AO1158" s="119"/>
      <c r="AP1158" s="119"/>
      <c r="AQ1158" s="219"/>
      <c r="AS1158" s="100"/>
      <c r="CY1158" s="34" t="s">
        <v>2084</v>
      </c>
      <c r="CZ1158" s="35">
        <v>8.4338024000000004E-4</v>
      </c>
    </row>
    <row r="1159" spans="40:104" x14ac:dyDescent="0.3">
      <c r="AN1159" s="117"/>
      <c r="AO1159" s="119"/>
      <c r="AP1159" s="119"/>
      <c r="AQ1159" s="219"/>
      <c r="AS1159" s="100"/>
      <c r="CY1159" s="34" t="s">
        <v>2085</v>
      </c>
      <c r="CZ1159" s="35">
        <v>1.2589031614999999E-2</v>
      </c>
    </row>
    <row r="1160" spans="40:104" x14ac:dyDescent="0.3">
      <c r="AN1160" s="117"/>
      <c r="AO1160" s="119"/>
      <c r="AP1160" s="119"/>
      <c r="AQ1160" s="219"/>
      <c r="AS1160" s="100"/>
      <c r="CY1160" s="34" t="s">
        <v>2086</v>
      </c>
      <c r="CZ1160" s="35">
        <v>2.9576617408000001E-2</v>
      </c>
    </row>
    <row r="1161" spans="40:104" x14ac:dyDescent="0.3">
      <c r="AN1161" s="117"/>
      <c r="AO1161" s="119"/>
      <c r="AP1161" s="119"/>
      <c r="AQ1161" s="219"/>
      <c r="AS1161" s="100"/>
      <c r="CY1161" s="34" t="s">
        <v>2087</v>
      </c>
      <c r="CZ1161" s="35">
        <v>2.8643855135999999E-2</v>
      </c>
    </row>
    <row r="1162" spans="40:104" x14ac:dyDescent="0.3">
      <c r="AN1162" s="117"/>
      <c r="AO1162" s="119"/>
      <c r="AP1162" s="119"/>
      <c r="AQ1162" s="219"/>
      <c r="AS1162" s="100"/>
      <c r="CY1162" s="34" t="s">
        <v>2088</v>
      </c>
      <c r="CZ1162" s="35">
        <v>5.9214991614814816E-4</v>
      </c>
    </row>
    <row r="1163" spans="40:104" x14ac:dyDescent="0.3">
      <c r="AN1163" s="117"/>
      <c r="AO1163" s="119"/>
      <c r="AP1163" s="119"/>
      <c r="AQ1163" s="219"/>
      <c r="AS1163" s="100"/>
      <c r="CY1163" s="34" t="s">
        <v>2089</v>
      </c>
      <c r="CZ1163" s="35">
        <v>5.8432033333333322E-3</v>
      </c>
    </row>
    <row r="1164" spans="40:104" x14ac:dyDescent="0.3">
      <c r="AN1164" s="117"/>
      <c r="AO1164" s="119"/>
      <c r="AP1164" s="119"/>
      <c r="AQ1164" s="219"/>
      <c r="AS1164" s="100"/>
      <c r="CY1164" s="34" t="s">
        <v>2090</v>
      </c>
      <c r="CZ1164" s="35">
        <v>0.13034455274000001</v>
      </c>
    </row>
    <row r="1165" spans="40:104" x14ac:dyDescent="0.3">
      <c r="AN1165" s="117"/>
      <c r="AO1165" s="119"/>
      <c r="AP1165" s="119"/>
      <c r="AQ1165" s="219"/>
      <c r="AS1165" s="100"/>
      <c r="CY1165" s="34" t="s">
        <v>2091</v>
      </c>
      <c r="CZ1165" s="35">
        <v>5.2286957747000005E-2</v>
      </c>
    </row>
    <row r="1166" spans="40:104" x14ac:dyDescent="0.3">
      <c r="AN1166" s="117"/>
      <c r="AO1166" s="119"/>
      <c r="AP1166" s="119"/>
      <c r="AQ1166" s="219"/>
      <c r="AS1166" s="100"/>
      <c r="CY1166" s="34" t="s">
        <v>2092</v>
      </c>
      <c r="CZ1166" s="35">
        <v>6.4364198696750001E-3</v>
      </c>
    </row>
    <row r="1167" spans="40:104" x14ac:dyDescent="0.3">
      <c r="AN1167" s="117"/>
      <c r="AO1167" s="119"/>
      <c r="AP1167" s="119"/>
      <c r="AQ1167" s="219"/>
      <c r="AS1167" s="100"/>
      <c r="CY1167" s="34" t="s">
        <v>2093</v>
      </c>
      <c r="CZ1167" s="35">
        <v>2.5650121904000002E-3</v>
      </c>
    </row>
    <row r="1168" spans="40:104" x14ac:dyDescent="0.3">
      <c r="AN1168" s="117"/>
      <c r="AO1168" s="119"/>
      <c r="AP1168" s="119"/>
      <c r="AQ1168" s="219"/>
      <c r="AS1168" s="100"/>
      <c r="CY1168" s="34" t="s">
        <v>2094</v>
      </c>
      <c r="CZ1168" s="35">
        <v>4.4475394080000005E-3</v>
      </c>
    </row>
    <row r="1169" spans="40:104" x14ac:dyDescent="0.3">
      <c r="AN1169" s="117"/>
      <c r="AO1169" s="119"/>
      <c r="AP1169" s="119"/>
      <c r="AQ1169" s="219"/>
      <c r="AS1169" s="100"/>
      <c r="CY1169" s="34" t="s">
        <v>2095</v>
      </c>
      <c r="CZ1169" s="35">
        <v>1.0011861375999998E-3</v>
      </c>
    </row>
    <row r="1170" spans="40:104" x14ac:dyDescent="0.3">
      <c r="AN1170" s="117"/>
      <c r="AO1170" s="119"/>
      <c r="AP1170" s="119"/>
      <c r="AQ1170" s="219"/>
      <c r="AS1170" s="100"/>
      <c r="CY1170" s="34" t="s">
        <v>2096</v>
      </c>
      <c r="CZ1170" s="35">
        <v>2.3732249320000003E-3</v>
      </c>
    </row>
    <row r="1171" spans="40:104" x14ac:dyDescent="0.3">
      <c r="AN1171" s="117"/>
      <c r="AO1171" s="119"/>
      <c r="AP1171" s="119"/>
      <c r="AQ1171" s="219"/>
      <c r="AS1171" s="100"/>
      <c r="CY1171" s="34" t="s">
        <v>2097</v>
      </c>
      <c r="CZ1171" s="35">
        <v>1.9542664891349999E-3</v>
      </c>
    </row>
    <row r="1172" spans="40:104" x14ac:dyDescent="0.3">
      <c r="AN1172" s="117"/>
      <c r="AO1172" s="119"/>
      <c r="AP1172" s="119"/>
      <c r="AQ1172" s="219"/>
      <c r="AS1172" s="100"/>
      <c r="CY1172" s="34" t="s">
        <v>2098</v>
      </c>
      <c r="CZ1172" s="35">
        <v>6.7773462560000008E-3</v>
      </c>
    </row>
    <row r="1173" spans="40:104" x14ac:dyDescent="0.3">
      <c r="AN1173" s="117"/>
      <c r="AO1173" s="119"/>
      <c r="AP1173" s="119"/>
      <c r="AQ1173" s="219"/>
      <c r="AS1173" s="100"/>
      <c r="CY1173" s="34" t="s">
        <v>2099</v>
      </c>
      <c r="CZ1173" s="35">
        <v>2.12969446E-3</v>
      </c>
    </row>
    <row r="1174" spans="40:104" x14ac:dyDescent="0.3">
      <c r="AN1174" s="117"/>
      <c r="AO1174" s="119"/>
      <c r="AP1174" s="119"/>
      <c r="AQ1174" s="219"/>
      <c r="AS1174" s="100"/>
      <c r="CY1174" s="34" t="s">
        <v>2100</v>
      </c>
      <c r="CZ1174" s="35">
        <v>2.8733675240000004E-3</v>
      </c>
    </row>
    <row r="1175" spans="40:104" x14ac:dyDescent="0.3">
      <c r="AN1175" s="117"/>
      <c r="AO1175" s="119"/>
      <c r="AP1175" s="119"/>
      <c r="AQ1175" s="219"/>
      <c r="AS1175" s="100"/>
      <c r="CY1175" s="34" t="s">
        <v>2101</v>
      </c>
      <c r="CZ1175" s="35">
        <v>2.7106265440000003E-3</v>
      </c>
    </row>
    <row r="1176" spans="40:104" x14ac:dyDescent="0.3">
      <c r="AN1176" s="117"/>
      <c r="AO1176" s="119"/>
      <c r="AP1176" s="119"/>
      <c r="AQ1176" s="219"/>
      <c r="AS1176" s="100"/>
      <c r="CY1176" s="34" t="s">
        <v>2102</v>
      </c>
      <c r="CZ1176" s="35">
        <v>1.5886013020799998</v>
      </c>
    </row>
    <row r="1177" spans="40:104" x14ac:dyDescent="0.3">
      <c r="AN1177" s="117"/>
      <c r="AO1177" s="119"/>
      <c r="AP1177" s="119"/>
      <c r="AQ1177" s="219"/>
      <c r="AS1177" s="100"/>
      <c r="CY1177" s="34" t="s">
        <v>2103</v>
      </c>
      <c r="CZ1177" s="35">
        <v>5.8916667500000003E-4</v>
      </c>
    </row>
    <row r="1178" spans="40:104" x14ac:dyDescent="0.3">
      <c r="AN1178" s="117"/>
      <c r="AO1178" s="119"/>
      <c r="AP1178" s="119"/>
      <c r="AQ1178" s="219"/>
      <c r="AS1178" s="100"/>
      <c r="CY1178" s="34" t="s">
        <v>2104</v>
      </c>
      <c r="CZ1178" s="35">
        <v>1.2580199240000001E-2</v>
      </c>
    </row>
    <row r="1179" spans="40:104" x14ac:dyDescent="0.3">
      <c r="AN1179" s="117"/>
      <c r="AO1179" s="119"/>
      <c r="AP1179" s="119"/>
      <c r="AQ1179" s="219"/>
      <c r="AS1179" s="100"/>
      <c r="CY1179" s="34" t="s">
        <v>2105</v>
      </c>
      <c r="CZ1179" s="35">
        <v>2.1987441733333335E-2</v>
      </c>
    </row>
    <row r="1180" spans="40:104" x14ac:dyDescent="0.3">
      <c r="AN1180" s="117"/>
      <c r="AO1180" s="119"/>
      <c r="AP1180" s="119"/>
      <c r="AQ1180" s="219"/>
      <c r="AS1180" s="100"/>
      <c r="CY1180" s="34" t="s">
        <v>2106</v>
      </c>
      <c r="CZ1180" s="35">
        <v>1.94835E-3</v>
      </c>
    </row>
    <row r="1181" spans="40:104" x14ac:dyDescent="0.3">
      <c r="AN1181" s="117"/>
      <c r="AO1181" s="119"/>
      <c r="AP1181" s="119"/>
      <c r="AQ1181" s="219"/>
      <c r="AS1181" s="100"/>
      <c r="CY1181" s="34" t="s">
        <v>2107</v>
      </c>
      <c r="CZ1181" s="35">
        <v>1.6849308999999999E-3</v>
      </c>
    </row>
    <row r="1182" spans="40:104" x14ac:dyDescent="0.3">
      <c r="AN1182" s="117"/>
      <c r="AO1182" s="119"/>
      <c r="AP1182" s="119"/>
      <c r="AQ1182" s="219"/>
      <c r="AS1182" s="100"/>
      <c r="CY1182" s="34" t="s">
        <v>2108</v>
      </c>
      <c r="CZ1182" s="35">
        <v>1.8066975040000001E-3</v>
      </c>
    </row>
    <row r="1183" spans="40:104" x14ac:dyDescent="0.3">
      <c r="AN1183" s="117"/>
      <c r="AO1183" s="119"/>
      <c r="AP1183" s="119"/>
      <c r="AQ1183" s="219"/>
      <c r="AS1183" s="100"/>
      <c r="CY1183" s="34" t="s">
        <v>2109</v>
      </c>
      <c r="CZ1183" s="35">
        <v>2.332430885333333E-3</v>
      </c>
    </row>
    <row r="1184" spans="40:104" x14ac:dyDescent="0.3">
      <c r="AN1184" s="117"/>
      <c r="AO1184" s="119"/>
      <c r="AP1184" s="119"/>
      <c r="AQ1184" s="219"/>
      <c r="AS1184" s="100"/>
      <c r="CY1184" s="34" t="s">
        <v>2110</v>
      </c>
      <c r="CZ1184" s="35">
        <v>2.362430552E-3</v>
      </c>
    </row>
    <row r="1185" spans="40:104" x14ac:dyDescent="0.3">
      <c r="AN1185" s="117"/>
      <c r="AO1185" s="119"/>
      <c r="AP1185" s="119"/>
      <c r="AQ1185" s="219"/>
      <c r="AS1185" s="100"/>
      <c r="CY1185" s="34" t="s">
        <v>2111</v>
      </c>
      <c r="CZ1185" s="35">
        <v>4.8265281706666666E-3</v>
      </c>
    </row>
    <row r="1186" spans="40:104" x14ac:dyDescent="0.3">
      <c r="AN1186" s="117"/>
      <c r="AO1186" s="119"/>
      <c r="AP1186" s="119"/>
      <c r="AQ1186" s="219"/>
      <c r="AS1186" s="100"/>
      <c r="CY1186" s="34" t="s">
        <v>2112</v>
      </c>
      <c r="CZ1186" s="35">
        <v>4.8565281706666671E-3</v>
      </c>
    </row>
    <row r="1187" spans="40:104" x14ac:dyDescent="0.3">
      <c r="AN1187" s="117"/>
      <c r="AO1187" s="119"/>
      <c r="AP1187" s="119"/>
      <c r="AQ1187" s="219"/>
      <c r="AS1187" s="100"/>
      <c r="CY1187" s="34" t="s">
        <v>2113</v>
      </c>
      <c r="CZ1187" s="35">
        <v>2.3213816780000003E-3</v>
      </c>
    </row>
    <row r="1188" spans="40:104" x14ac:dyDescent="0.3">
      <c r="AN1188" s="117"/>
      <c r="AO1188" s="119"/>
      <c r="AP1188" s="119"/>
      <c r="AQ1188" s="219"/>
      <c r="AS1188" s="100"/>
      <c r="CY1188" s="34" t="s">
        <v>2114</v>
      </c>
      <c r="CZ1188" s="35">
        <v>2.3813816613333333E-3</v>
      </c>
    </row>
    <row r="1189" spans="40:104" x14ac:dyDescent="0.3">
      <c r="AN1189" s="117"/>
      <c r="AO1189" s="119"/>
      <c r="AP1189" s="119"/>
      <c r="AQ1189" s="219"/>
      <c r="AS1189" s="100"/>
      <c r="CY1189" s="34" t="s">
        <v>2115</v>
      </c>
      <c r="CZ1189" s="35">
        <v>5.1330060032E-3</v>
      </c>
    </row>
    <row r="1190" spans="40:104" x14ac:dyDescent="0.3">
      <c r="AN1190" s="117"/>
      <c r="AO1190" s="119"/>
      <c r="AP1190" s="119"/>
      <c r="AQ1190" s="219"/>
      <c r="AS1190" s="100"/>
      <c r="CY1190" s="34" t="s">
        <v>2116</v>
      </c>
      <c r="CZ1190" s="35">
        <v>5.0970060029999998E-3</v>
      </c>
    </row>
    <row r="1191" spans="40:104" x14ac:dyDescent="0.3">
      <c r="AN1191" s="117"/>
      <c r="AO1191" s="119"/>
      <c r="AP1191" s="119"/>
      <c r="AQ1191" s="219"/>
      <c r="AS1191" s="100"/>
      <c r="CY1191" s="34" t="s">
        <v>2117</v>
      </c>
      <c r="CZ1191" s="35">
        <v>5.7157863066666665E-3</v>
      </c>
    </row>
    <row r="1192" spans="40:104" x14ac:dyDescent="0.3">
      <c r="AN1192" s="117"/>
      <c r="AO1192" s="119"/>
      <c r="AP1192" s="119"/>
      <c r="AQ1192" s="219"/>
      <c r="AS1192" s="100"/>
      <c r="CY1192" s="34" t="s">
        <v>2118</v>
      </c>
      <c r="CZ1192" s="35">
        <v>5.7457862232499993E-3</v>
      </c>
    </row>
    <row r="1193" spans="40:104" x14ac:dyDescent="0.3">
      <c r="AN1193" s="117"/>
      <c r="AO1193" s="119"/>
      <c r="AP1193" s="119"/>
      <c r="AQ1193" s="219"/>
      <c r="AS1193" s="100"/>
      <c r="CY1193" s="34" t="s">
        <v>2119</v>
      </c>
      <c r="CZ1193" s="35">
        <v>2.7344597333333331E-3</v>
      </c>
    </row>
    <row r="1194" spans="40:104" x14ac:dyDescent="0.3">
      <c r="AN1194" s="117"/>
      <c r="AO1194" s="119"/>
      <c r="AP1194" s="119"/>
      <c r="AQ1194" s="219"/>
      <c r="AS1194" s="100"/>
      <c r="CY1194" s="34" t="s">
        <v>2120</v>
      </c>
      <c r="CZ1194" s="35">
        <v>3.02399008E-3</v>
      </c>
    </row>
    <row r="1195" spans="40:104" x14ac:dyDescent="0.3">
      <c r="AN1195" s="117"/>
      <c r="AO1195" s="119"/>
      <c r="AP1195" s="119"/>
      <c r="AQ1195" s="219"/>
      <c r="AS1195" s="100"/>
      <c r="CY1195" s="34" t="s">
        <v>2121</v>
      </c>
      <c r="CZ1195" s="35">
        <v>3.01149008E-3</v>
      </c>
    </row>
    <row r="1196" spans="40:104" x14ac:dyDescent="0.3">
      <c r="AN1196" s="117"/>
      <c r="AO1196" s="119"/>
      <c r="AP1196" s="119"/>
      <c r="AQ1196" s="219"/>
      <c r="AS1196" s="100"/>
      <c r="CY1196" s="34" t="s">
        <v>2122</v>
      </c>
      <c r="CZ1196" s="35">
        <v>3.0366975999999999E-3</v>
      </c>
    </row>
    <row r="1197" spans="40:104" x14ac:dyDescent="0.3">
      <c r="AN1197" s="117"/>
      <c r="AO1197" s="119"/>
      <c r="AP1197" s="119"/>
      <c r="AQ1197" s="219"/>
      <c r="AS1197" s="100"/>
      <c r="CY1197" s="34" t="s">
        <v>2123</v>
      </c>
      <c r="CZ1197" s="35">
        <v>9.9708278186666673E-3</v>
      </c>
    </row>
    <row r="1198" spans="40:104" x14ac:dyDescent="0.3">
      <c r="AN1198" s="117"/>
      <c r="AO1198" s="119"/>
      <c r="AP1198" s="119"/>
      <c r="AQ1198" s="219"/>
      <c r="AS1198" s="100"/>
      <c r="CY1198" s="34" t="s">
        <v>2124</v>
      </c>
      <c r="CZ1198" s="35">
        <v>4.8827150496000013E-3</v>
      </c>
    </row>
    <row r="1199" spans="40:104" x14ac:dyDescent="0.3">
      <c r="AN1199" s="117"/>
      <c r="AO1199" s="119"/>
      <c r="AP1199" s="119"/>
      <c r="AQ1199" s="219"/>
      <c r="AS1199" s="100"/>
      <c r="CY1199" s="34" t="s">
        <v>2125</v>
      </c>
      <c r="CZ1199" s="35">
        <v>6.1225567984000001E-2</v>
      </c>
    </row>
    <row r="1200" spans="40:104" x14ac:dyDescent="0.3">
      <c r="AN1200" s="117"/>
      <c r="AO1200" s="119"/>
      <c r="AP1200" s="119"/>
      <c r="AQ1200" s="219"/>
      <c r="AS1200" s="100"/>
      <c r="CY1200" s="34" t="s">
        <v>2126</v>
      </c>
      <c r="CZ1200" s="35">
        <v>1.4461780352000001E-2</v>
      </c>
    </row>
    <row r="1201" spans="40:104" x14ac:dyDescent="0.3">
      <c r="AN1201" s="117"/>
      <c r="AO1201" s="119"/>
      <c r="AP1201" s="119"/>
      <c r="AQ1201" s="219"/>
      <c r="AS1201" s="100"/>
      <c r="CY1201" s="34" t="s">
        <v>2127</v>
      </c>
      <c r="CZ1201" s="35">
        <v>2.9806171664E-2</v>
      </c>
    </row>
    <row r="1202" spans="40:104" x14ac:dyDescent="0.3">
      <c r="AN1202" s="117"/>
      <c r="AO1202" s="119"/>
      <c r="AP1202" s="119"/>
      <c r="AQ1202" s="219"/>
      <c r="AS1202" s="100"/>
      <c r="CY1202" s="34" t="s">
        <v>2128</v>
      </c>
      <c r="CZ1202" s="35">
        <v>3.4627678952000009E-2</v>
      </c>
    </row>
    <row r="1203" spans="40:104" x14ac:dyDescent="0.3">
      <c r="AN1203" s="117"/>
      <c r="AO1203" s="119"/>
      <c r="AP1203" s="119"/>
      <c r="AQ1203" s="219"/>
      <c r="AS1203" s="100"/>
      <c r="CY1203" s="34" t="s">
        <v>2129</v>
      </c>
      <c r="CZ1203" s="35">
        <v>3.3784548947000004E-2</v>
      </c>
    </row>
    <row r="1204" spans="40:104" x14ac:dyDescent="0.3">
      <c r="AN1204" s="117"/>
      <c r="AO1204" s="119"/>
      <c r="AP1204" s="119"/>
      <c r="AQ1204" s="219"/>
      <c r="AS1204" s="100"/>
      <c r="CY1204" s="34" t="s">
        <v>2130</v>
      </c>
      <c r="CZ1204" s="35">
        <v>1.3943760288E-2</v>
      </c>
    </row>
    <row r="1205" spans="40:104" x14ac:dyDescent="0.3">
      <c r="AN1205" s="117"/>
      <c r="AO1205" s="119"/>
      <c r="AP1205" s="119"/>
      <c r="AQ1205" s="219"/>
      <c r="AS1205" s="100"/>
      <c r="CY1205" s="34" t="s">
        <v>2131</v>
      </c>
      <c r="CZ1205" s="35">
        <v>1.0252805429333333E-2</v>
      </c>
    </row>
    <row r="1206" spans="40:104" x14ac:dyDescent="0.3">
      <c r="AN1206" s="117"/>
      <c r="AO1206" s="119"/>
      <c r="AP1206" s="119"/>
      <c r="AQ1206" s="219"/>
      <c r="AS1206" s="100"/>
      <c r="CY1206" s="34" t="s">
        <v>2132</v>
      </c>
      <c r="CZ1206" s="35">
        <v>1.4555436904E-2</v>
      </c>
    </row>
    <row r="1207" spans="40:104" x14ac:dyDescent="0.3">
      <c r="AN1207" s="117"/>
      <c r="AO1207" s="119"/>
      <c r="AP1207" s="119"/>
      <c r="AQ1207" s="219"/>
      <c r="AS1207" s="100"/>
      <c r="CY1207" s="34" t="s">
        <v>2133</v>
      </c>
      <c r="CZ1207" s="35">
        <v>1.6988352239999997E-2</v>
      </c>
    </row>
    <row r="1208" spans="40:104" x14ac:dyDescent="0.3">
      <c r="AN1208" s="117"/>
      <c r="AO1208" s="119"/>
      <c r="AP1208" s="119"/>
      <c r="AQ1208" s="219"/>
      <c r="AS1208" s="100"/>
      <c r="CY1208" s="34" t="s">
        <v>2134</v>
      </c>
      <c r="CZ1208" s="35">
        <v>7.9682529999999998E-3</v>
      </c>
    </row>
    <row r="1209" spans="40:104" x14ac:dyDescent="0.3">
      <c r="AN1209" s="117"/>
      <c r="AO1209" s="119"/>
      <c r="AP1209" s="119"/>
      <c r="AQ1209" s="219"/>
      <c r="AS1209" s="100"/>
      <c r="CY1209" s="34" t="s">
        <v>2135</v>
      </c>
      <c r="CZ1209" s="35">
        <v>1.2393680000000001E-2</v>
      </c>
    </row>
    <row r="1210" spans="40:104" x14ac:dyDescent="0.3">
      <c r="AN1210" s="117"/>
      <c r="AO1210" s="119"/>
      <c r="AP1210" s="119"/>
      <c r="AQ1210" s="219"/>
      <c r="AS1210" s="100"/>
      <c r="CY1210" s="34" t="s">
        <v>2136</v>
      </c>
      <c r="CZ1210" s="35">
        <v>1.4361636096E-2</v>
      </c>
    </row>
    <row r="1211" spans="40:104" x14ac:dyDescent="0.3">
      <c r="AN1211" s="117"/>
      <c r="AO1211" s="119"/>
      <c r="AP1211" s="119"/>
      <c r="AQ1211" s="219"/>
      <c r="AS1211" s="100"/>
      <c r="CY1211" s="34" t="s">
        <v>2137</v>
      </c>
      <c r="CZ1211" s="35">
        <v>1.2961989047999998E-2</v>
      </c>
    </row>
    <row r="1212" spans="40:104" x14ac:dyDescent="0.3">
      <c r="AN1212" s="117"/>
      <c r="AO1212" s="119"/>
      <c r="AP1212" s="119"/>
      <c r="AQ1212" s="219"/>
      <c r="AS1212" s="100"/>
      <c r="CY1212" s="34" t="s">
        <v>2138</v>
      </c>
      <c r="CZ1212" s="35">
        <v>2.2835461144000001E-2</v>
      </c>
    </row>
    <row r="1213" spans="40:104" x14ac:dyDescent="0.3">
      <c r="AN1213" s="117"/>
      <c r="AO1213" s="119"/>
      <c r="AP1213" s="119"/>
      <c r="AQ1213" s="219"/>
      <c r="AS1213" s="100"/>
      <c r="CY1213" s="34" t="s">
        <v>2139</v>
      </c>
      <c r="CZ1213" s="35">
        <v>3.4095907712000002E-2</v>
      </c>
    </row>
    <row r="1214" spans="40:104" x14ac:dyDescent="0.3">
      <c r="AN1214" s="117"/>
      <c r="AO1214" s="119"/>
      <c r="AP1214" s="119"/>
      <c r="AQ1214" s="219"/>
      <c r="AS1214" s="100"/>
      <c r="CY1214" s="34" t="s">
        <v>2140</v>
      </c>
      <c r="CZ1214" s="35">
        <v>2.8080654860000002E-2</v>
      </c>
    </row>
    <row r="1215" spans="40:104" x14ac:dyDescent="0.3">
      <c r="AN1215" s="117"/>
      <c r="AO1215" s="119"/>
      <c r="AP1215" s="119"/>
      <c r="AQ1215" s="219"/>
      <c r="AS1215" s="100"/>
      <c r="CY1215" s="34" t="s">
        <v>2141</v>
      </c>
      <c r="CZ1215" s="35">
        <v>2.4800680240000001E-2</v>
      </c>
    </row>
    <row r="1216" spans="40:104" x14ac:dyDescent="0.3">
      <c r="AN1216" s="117"/>
      <c r="AO1216" s="119"/>
      <c r="AP1216" s="119"/>
      <c r="AQ1216" s="219"/>
      <c r="AS1216" s="100"/>
      <c r="CY1216" s="34" t="s">
        <v>2142</v>
      </c>
      <c r="CZ1216" s="35">
        <v>2.1762088287999998E-2</v>
      </c>
    </row>
    <row r="1217" spans="40:104" x14ac:dyDescent="0.3">
      <c r="AN1217" s="117"/>
      <c r="AO1217" s="119"/>
      <c r="AP1217" s="119"/>
      <c r="AQ1217" s="219"/>
      <c r="AS1217" s="100"/>
      <c r="CY1217" s="34" t="s">
        <v>2143</v>
      </c>
      <c r="CZ1217" s="35">
        <v>1.5419838812E-2</v>
      </c>
    </row>
    <row r="1218" spans="40:104" x14ac:dyDescent="0.3">
      <c r="AN1218" s="117"/>
      <c r="AO1218" s="119"/>
      <c r="AP1218" s="119"/>
      <c r="AQ1218" s="219"/>
      <c r="AS1218" s="100"/>
      <c r="CY1218" s="34" t="s">
        <v>2144</v>
      </c>
      <c r="CZ1218" s="35">
        <v>1.7583476375999999E-2</v>
      </c>
    </row>
    <row r="1219" spans="40:104" x14ac:dyDescent="0.3">
      <c r="AN1219" s="117"/>
      <c r="AO1219" s="119"/>
      <c r="AP1219" s="119"/>
      <c r="AQ1219" s="219"/>
      <c r="AS1219" s="100"/>
      <c r="CY1219" s="34" t="s">
        <v>2145</v>
      </c>
      <c r="CZ1219" s="35">
        <v>2.1912361663349998E-2</v>
      </c>
    </row>
    <row r="1220" spans="40:104" x14ac:dyDescent="0.3">
      <c r="AN1220" s="117"/>
      <c r="AO1220" s="119"/>
      <c r="AP1220" s="119"/>
      <c r="AQ1220" s="219"/>
      <c r="AS1220" s="100"/>
      <c r="CY1220" s="34" t="s">
        <v>2146</v>
      </c>
      <c r="CZ1220" s="35">
        <v>1.7045115039999996E-2</v>
      </c>
    </row>
    <row r="1221" spans="40:104" x14ac:dyDescent="0.3">
      <c r="AN1221" s="117"/>
      <c r="AO1221" s="119"/>
      <c r="AP1221" s="119"/>
      <c r="AQ1221" s="219"/>
      <c r="AS1221" s="100"/>
      <c r="CY1221" s="34" t="s">
        <v>2147</v>
      </c>
      <c r="CZ1221" s="35">
        <v>1.7571772375999998E-2</v>
      </c>
    </row>
    <row r="1222" spans="40:104" x14ac:dyDescent="0.3">
      <c r="AN1222" s="117"/>
      <c r="AO1222" s="119"/>
      <c r="AP1222" s="119"/>
      <c r="AQ1222" s="219"/>
      <c r="AS1222" s="100"/>
      <c r="CY1222" s="34" t="s">
        <v>2148</v>
      </c>
      <c r="CZ1222" s="35">
        <v>1.8155648080000003E-2</v>
      </c>
    </row>
    <row r="1223" spans="40:104" x14ac:dyDescent="0.3">
      <c r="AN1223" s="117"/>
      <c r="AO1223" s="119"/>
      <c r="AP1223" s="119"/>
      <c r="AQ1223" s="219"/>
      <c r="AS1223" s="100"/>
      <c r="CY1223" s="34" t="s">
        <v>2149</v>
      </c>
      <c r="CZ1223" s="35">
        <v>1.2023056791999999E-2</v>
      </c>
    </row>
    <row r="1224" spans="40:104" x14ac:dyDescent="0.3">
      <c r="AN1224" s="117"/>
      <c r="AO1224" s="119"/>
      <c r="AP1224" s="119"/>
      <c r="AQ1224" s="219"/>
      <c r="AS1224" s="100"/>
      <c r="CY1224" s="34" t="s">
        <v>2150</v>
      </c>
      <c r="CZ1224" s="35">
        <v>1.3993609248000001E-2</v>
      </c>
    </row>
    <row r="1225" spans="40:104" x14ac:dyDescent="0.3">
      <c r="AN1225" s="117"/>
      <c r="AO1225" s="119"/>
      <c r="AP1225" s="119"/>
      <c r="AQ1225" s="219"/>
      <c r="AS1225" s="100"/>
      <c r="CY1225" s="34" t="s">
        <v>2151</v>
      </c>
      <c r="CZ1225" s="35">
        <v>1.6021628664E-2</v>
      </c>
    </row>
    <row r="1226" spans="40:104" x14ac:dyDescent="0.3">
      <c r="AN1226" s="117"/>
      <c r="AO1226" s="119"/>
      <c r="AP1226" s="119"/>
      <c r="AQ1226" s="219"/>
      <c r="AS1226" s="100"/>
      <c r="CY1226" s="34" t="s">
        <v>2152</v>
      </c>
      <c r="CZ1226" s="35">
        <v>1.3921819396E-2</v>
      </c>
    </row>
    <row r="1227" spans="40:104" x14ac:dyDescent="0.3">
      <c r="AN1227" s="117"/>
      <c r="AO1227" s="119"/>
      <c r="AP1227" s="119"/>
      <c r="AQ1227" s="219"/>
      <c r="AS1227" s="100"/>
      <c r="CY1227" s="34" t="s">
        <v>2153</v>
      </c>
      <c r="CZ1227" s="35">
        <v>1.7265772376000001E-2</v>
      </c>
    </row>
    <row r="1228" spans="40:104" x14ac:dyDescent="0.3">
      <c r="AN1228" s="117"/>
      <c r="AO1228" s="119"/>
      <c r="AP1228" s="119"/>
      <c r="AQ1228" s="219"/>
      <c r="AS1228" s="100"/>
      <c r="CY1228" s="34" t="s">
        <v>2154</v>
      </c>
      <c r="CZ1228" s="35">
        <v>1.4386027818666665E-2</v>
      </c>
    </row>
    <row r="1229" spans="40:104" x14ac:dyDescent="0.3">
      <c r="AN1229" s="117"/>
      <c r="AO1229" s="119"/>
      <c r="AP1229" s="119"/>
      <c r="AQ1229" s="219"/>
      <c r="AS1229" s="100"/>
      <c r="CY1229" s="34" t="s">
        <v>2155</v>
      </c>
      <c r="CZ1229" s="35">
        <v>2.0736028832E-2</v>
      </c>
    </row>
    <row r="1230" spans="40:104" x14ac:dyDescent="0.3">
      <c r="AN1230" s="117"/>
      <c r="AO1230" s="119"/>
      <c r="AP1230" s="119"/>
      <c r="AQ1230" s="219"/>
      <c r="AS1230" s="100"/>
      <c r="CY1230" s="34" t="s">
        <v>2156</v>
      </c>
      <c r="CZ1230" s="35">
        <v>1.7905180376000002E-2</v>
      </c>
    </row>
    <row r="1231" spans="40:104" x14ac:dyDescent="0.3">
      <c r="AN1231" s="117"/>
      <c r="AO1231" s="119"/>
      <c r="AP1231" s="119"/>
      <c r="AQ1231" s="219"/>
      <c r="AS1231" s="100"/>
      <c r="CY1231" s="34" t="s">
        <v>2157</v>
      </c>
      <c r="CZ1231" s="35">
        <v>1.214750398E-2</v>
      </c>
    </row>
    <row r="1232" spans="40:104" x14ac:dyDescent="0.3">
      <c r="AN1232" s="117"/>
      <c r="AO1232" s="119"/>
      <c r="AP1232" s="119"/>
      <c r="AQ1232" s="219"/>
      <c r="AS1232" s="100"/>
      <c r="CY1232" s="34" t="s">
        <v>2158</v>
      </c>
      <c r="CZ1232" s="35">
        <v>1.4326780208E-2</v>
      </c>
    </row>
    <row r="1233" spans="40:104" x14ac:dyDescent="0.3">
      <c r="AN1233" s="117"/>
      <c r="AO1233" s="119"/>
      <c r="AP1233" s="119"/>
      <c r="AQ1233" s="219"/>
      <c r="AS1233" s="100"/>
      <c r="CY1233" s="34" t="s">
        <v>2159</v>
      </c>
      <c r="CZ1233" s="35">
        <v>1.9292074751999996E-2</v>
      </c>
    </row>
    <row r="1234" spans="40:104" x14ac:dyDescent="0.3">
      <c r="AN1234" s="117"/>
      <c r="AO1234" s="119"/>
      <c r="AP1234" s="119"/>
      <c r="AQ1234" s="219"/>
      <c r="AS1234" s="100"/>
      <c r="CY1234" s="34" t="s">
        <v>2160</v>
      </c>
      <c r="CZ1234" s="35">
        <v>1.7743476376E-2</v>
      </c>
    </row>
    <row r="1235" spans="40:104" x14ac:dyDescent="0.3">
      <c r="AN1235" s="117"/>
      <c r="AO1235" s="119"/>
      <c r="AP1235" s="119"/>
      <c r="AQ1235" s="219"/>
      <c r="AS1235" s="100"/>
      <c r="CY1235" s="34" t="s">
        <v>2161</v>
      </c>
      <c r="CZ1235" s="35">
        <v>1.4165227395999999E-2</v>
      </c>
    </row>
    <row r="1236" spans="40:104" x14ac:dyDescent="0.3">
      <c r="AN1236" s="117"/>
      <c r="AO1236" s="119"/>
      <c r="AP1236" s="119"/>
      <c r="AQ1236" s="219"/>
      <c r="AS1236" s="100"/>
      <c r="CY1236" s="34" t="s">
        <v>2162</v>
      </c>
      <c r="CZ1236" s="35">
        <v>2.0110063871999997E-2</v>
      </c>
    </row>
    <row r="1237" spans="40:104" x14ac:dyDescent="0.3">
      <c r="AN1237" s="117"/>
      <c r="AO1237" s="119"/>
      <c r="AP1237" s="119"/>
      <c r="AQ1237" s="219"/>
      <c r="AS1237" s="100"/>
      <c r="CY1237" s="34" t="s">
        <v>2163</v>
      </c>
      <c r="CZ1237" s="35">
        <v>2.0780474368000002E-2</v>
      </c>
    </row>
    <row r="1238" spans="40:104" x14ac:dyDescent="0.3">
      <c r="AN1238" s="117"/>
      <c r="AO1238" s="119"/>
      <c r="AP1238" s="119"/>
      <c r="AQ1238" s="219"/>
      <c r="AS1238" s="100"/>
      <c r="CY1238" s="34" t="s">
        <v>2164</v>
      </c>
      <c r="CZ1238" s="35">
        <v>2.2045839999999997E-2</v>
      </c>
    </row>
    <row r="1239" spans="40:104" x14ac:dyDescent="0.3">
      <c r="AN1239" s="117"/>
      <c r="AO1239" s="119"/>
      <c r="AP1239" s="119"/>
      <c r="AQ1239" s="219"/>
      <c r="AS1239" s="100"/>
      <c r="CY1239" s="34" t="s">
        <v>2165</v>
      </c>
      <c r="CZ1239" s="35">
        <v>2.4690767999999998E-2</v>
      </c>
    </row>
    <row r="1240" spans="40:104" x14ac:dyDescent="0.3">
      <c r="AN1240" s="117"/>
      <c r="AO1240" s="119"/>
      <c r="AP1240" s="119"/>
      <c r="AQ1240" s="219"/>
      <c r="AS1240" s="100"/>
      <c r="CY1240" s="34" t="s">
        <v>2166</v>
      </c>
      <c r="CZ1240" s="35">
        <v>2.6308841599999997E-2</v>
      </c>
    </row>
    <row r="1241" spans="40:104" x14ac:dyDescent="0.3">
      <c r="AN1241" s="117"/>
      <c r="AO1241" s="119"/>
      <c r="AP1241" s="119"/>
      <c r="AQ1241" s="219"/>
      <c r="AS1241" s="100"/>
      <c r="CY1241" s="34" t="s">
        <v>2167</v>
      </c>
      <c r="CZ1241" s="35">
        <v>3.1093787776000002E-2</v>
      </c>
    </row>
    <row r="1242" spans="40:104" x14ac:dyDescent="0.3">
      <c r="AN1242" s="117"/>
      <c r="AO1242" s="119"/>
      <c r="AP1242" s="119"/>
      <c r="AQ1242" s="219"/>
      <c r="AS1242" s="100"/>
      <c r="CY1242" s="34" t="s">
        <v>2168</v>
      </c>
      <c r="CZ1242" s="35">
        <v>3.3683442399999999E-2</v>
      </c>
    </row>
    <row r="1243" spans="40:104" x14ac:dyDescent="0.3">
      <c r="AN1243" s="117"/>
      <c r="AO1243" s="119"/>
      <c r="AP1243" s="119"/>
      <c r="AQ1243" s="219"/>
      <c r="AS1243" s="100"/>
      <c r="CY1243" s="34" t="s">
        <v>2169</v>
      </c>
      <c r="CZ1243" s="35">
        <v>3.5859949599999996E-2</v>
      </c>
    </row>
    <row r="1244" spans="40:104" x14ac:dyDescent="0.3">
      <c r="AN1244" s="117"/>
      <c r="AO1244" s="119"/>
      <c r="AP1244" s="119"/>
      <c r="AQ1244" s="219"/>
      <c r="AS1244" s="100"/>
      <c r="CY1244" s="34" t="s">
        <v>2170</v>
      </c>
      <c r="CZ1244" s="35">
        <v>1.5414678044871795E-2</v>
      </c>
    </row>
    <row r="1245" spans="40:104" x14ac:dyDescent="0.3">
      <c r="AN1245" s="117"/>
      <c r="AO1245" s="119"/>
      <c r="AP1245" s="119"/>
      <c r="AQ1245" s="219"/>
      <c r="AS1245" s="100"/>
      <c r="CY1245" s="34" t="s">
        <v>2171</v>
      </c>
      <c r="CZ1245" s="35">
        <v>1.2119550112000001E-2</v>
      </c>
    </row>
    <row r="1246" spans="40:104" x14ac:dyDescent="0.3">
      <c r="AN1246" s="117"/>
      <c r="AO1246" s="119"/>
      <c r="AP1246" s="119"/>
      <c r="AQ1246" s="219"/>
      <c r="AS1246" s="100"/>
      <c r="CY1246" s="34" t="s">
        <v>2172</v>
      </c>
      <c r="CZ1246" s="35">
        <v>9.8020153720000003E-2</v>
      </c>
    </row>
    <row r="1247" spans="40:104" x14ac:dyDescent="0.3">
      <c r="AN1247" s="117"/>
      <c r="AO1247" s="119"/>
      <c r="AP1247" s="119"/>
      <c r="AQ1247" s="125"/>
      <c r="AS1247" s="100"/>
      <c r="CY1247" s="34" t="s">
        <v>2173</v>
      </c>
      <c r="CZ1247" s="35">
        <v>8.0707605186600001E-3</v>
      </c>
    </row>
    <row r="1248" spans="40:104" x14ac:dyDescent="0.3">
      <c r="AN1248" s="117"/>
      <c r="AO1248" s="119"/>
      <c r="AP1248" s="119"/>
      <c r="AQ1248" s="125"/>
      <c r="AS1248" s="100"/>
      <c r="CY1248" s="34" t="s">
        <v>2174</v>
      </c>
      <c r="CZ1248" s="35">
        <v>2.5521082640000002E-3</v>
      </c>
    </row>
    <row r="1249" spans="40:104" x14ac:dyDescent="0.3">
      <c r="AN1249" s="117"/>
      <c r="AO1249" s="119"/>
      <c r="AP1249" s="119"/>
      <c r="AQ1249" s="125"/>
      <c r="AS1249" s="100"/>
      <c r="CY1249" s="34" t="s">
        <v>2175</v>
      </c>
      <c r="CZ1249" s="35">
        <v>3.3344435607999996E-3</v>
      </c>
    </row>
    <row r="1250" spans="40:104" x14ac:dyDescent="0.3">
      <c r="AN1250" s="117"/>
      <c r="AO1250" s="119"/>
      <c r="AP1250" s="119"/>
      <c r="AQ1250" s="219"/>
      <c r="AS1250" s="100"/>
      <c r="CY1250" s="34" t="s">
        <v>2176</v>
      </c>
      <c r="CZ1250" s="35">
        <v>1.0147714249999999E-3</v>
      </c>
    </row>
    <row r="1251" spans="40:104" x14ac:dyDescent="0.3">
      <c r="AN1251" s="117"/>
      <c r="AO1251" s="119"/>
      <c r="AP1251" s="119"/>
      <c r="AQ1251" s="219"/>
      <c r="AS1251" s="100"/>
      <c r="CY1251" s="34" t="s">
        <v>2177</v>
      </c>
      <c r="CZ1251" s="35">
        <v>3.9816524128000004E-3</v>
      </c>
    </row>
    <row r="1252" spans="40:104" x14ac:dyDescent="0.3">
      <c r="AN1252" s="117"/>
      <c r="AO1252" s="119"/>
      <c r="AP1252" s="119"/>
      <c r="AQ1252" s="219"/>
      <c r="AS1252" s="100"/>
      <c r="CY1252" s="34" t="s">
        <v>2178</v>
      </c>
      <c r="CZ1252" s="35">
        <v>3.8585160960000003E-3</v>
      </c>
    </row>
    <row r="1253" spans="40:104" x14ac:dyDescent="0.3">
      <c r="AN1253" s="117"/>
      <c r="AO1253" s="119"/>
      <c r="AP1253" s="119"/>
      <c r="AQ1253" s="219"/>
      <c r="AS1253" s="100"/>
      <c r="CY1253" s="34" t="s">
        <v>2179</v>
      </c>
      <c r="CZ1253" s="35">
        <v>2.2974961888281252E-4</v>
      </c>
    </row>
    <row r="1254" spans="40:104" x14ac:dyDescent="0.3">
      <c r="AN1254" s="117"/>
      <c r="AO1254" s="119"/>
      <c r="AP1254" s="119"/>
      <c r="AQ1254" s="219"/>
      <c r="AS1254" s="100"/>
      <c r="CY1254" s="34" t="s">
        <v>2180</v>
      </c>
      <c r="CZ1254" s="35">
        <v>1.2498990399999998E-4</v>
      </c>
    </row>
    <row r="1255" spans="40:104" x14ac:dyDescent="0.3">
      <c r="AN1255" s="345"/>
      <c r="AO1255" s="346"/>
      <c r="AP1255" s="346"/>
      <c r="AQ1255" s="347"/>
      <c r="AS1255" s="100"/>
      <c r="CY1255" s="34" t="s">
        <v>2181</v>
      </c>
      <c r="CZ1255" s="35">
        <v>5.4470519999999988E-2</v>
      </c>
    </row>
    <row r="1256" spans="40:104" x14ac:dyDescent="0.3">
      <c r="AN1256" s="348"/>
      <c r="AO1256" s="348"/>
      <c r="AP1256" s="348"/>
      <c r="AQ1256" s="348"/>
      <c r="AR1256" t="s">
        <v>2182</v>
      </c>
      <c r="AS1256" s="100"/>
      <c r="CY1256" s="34" t="s">
        <v>2183</v>
      </c>
      <c r="CZ1256" s="35">
        <v>1.4376298720000001E-2</v>
      </c>
    </row>
    <row r="1257" spans="40:104" x14ac:dyDescent="0.3">
      <c r="AN1257" s="119"/>
      <c r="AO1257" s="119"/>
      <c r="AP1257" s="349"/>
      <c r="AQ1257" s="119"/>
      <c r="AS1257" s="100"/>
      <c r="CY1257" s="34" t="s">
        <v>2184</v>
      </c>
      <c r="CZ1257" s="35">
        <v>3.5603868959999999E-3</v>
      </c>
    </row>
    <row r="1258" spans="40:104" x14ac:dyDescent="0.3">
      <c r="AN1258" s="119"/>
      <c r="AO1258" s="119"/>
      <c r="AP1258" s="349"/>
      <c r="AQ1258" s="119"/>
      <c r="AS1258" s="100"/>
      <c r="CY1258" s="34" t="s">
        <v>2185</v>
      </c>
      <c r="CZ1258" s="35">
        <v>8.9406174623999982E-2</v>
      </c>
    </row>
    <row r="1259" spans="40:104" x14ac:dyDescent="0.3">
      <c r="AN1259" s="119"/>
      <c r="AO1259" s="119"/>
      <c r="AP1259" s="349"/>
      <c r="AQ1259" s="119"/>
      <c r="AS1259" s="100"/>
      <c r="CY1259" s="34" t="s">
        <v>2186</v>
      </c>
      <c r="CZ1259" s="35">
        <v>9.984699337599999E-2</v>
      </c>
    </row>
    <row r="1260" spans="40:104" x14ac:dyDescent="0.3">
      <c r="AN1260" s="119"/>
      <c r="AO1260" s="119"/>
      <c r="AP1260" s="349"/>
      <c r="AQ1260" s="119"/>
      <c r="AS1260" s="100"/>
      <c r="CY1260" s="34" t="s">
        <v>2187</v>
      </c>
      <c r="CZ1260" s="35">
        <v>6.7436303791999996E-2</v>
      </c>
    </row>
    <row r="1261" spans="40:104" x14ac:dyDescent="0.3">
      <c r="AN1261" s="119"/>
      <c r="AO1261" s="119"/>
      <c r="AP1261" s="349"/>
      <c r="AQ1261" s="119"/>
      <c r="AS1261" s="100"/>
      <c r="CY1261" s="34" t="s">
        <v>2188</v>
      </c>
      <c r="CZ1261" s="35">
        <v>7.5852218208000005E-2</v>
      </c>
    </row>
    <row r="1262" spans="40:104" x14ac:dyDescent="0.3">
      <c r="AN1262" s="119"/>
      <c r="AO1262" s="119"/>
      <c r="AP1262" s="349"/>
      <c r="AQ1262" s="119"/>
      <c r="AS1262" s="100"/>
      <c r="CY1262" s="34" t="s">
        <v>2189</v>
      </c>
      <c r="CZ1262" s="35">
        <v>3.3321996031999994</v>
      </c>
    </row>
    <row r="1263" spans="40:104" x14ac:dyDescent="0.3">
      <c r="AN1263" s="119"/>
      <c r="AO1263" s="119"/>
      <c r="AP1263" s="349"/>
      <c r="AQ1263" s="119"/>
      <c r="AS1263" s="100"/>
      <c r="CY1263" s="34" t="s">
        <v>2190</v>
      </c>
      <c r="CZ1263" s="35">
        <v>2.6923931473333333E-2</v>
      </c>
    </row>
    <row r="1264" spans="40:104" x14ac:dyDescent="0.3">
      <c r="AN1264" s="119"/>
      <c r="AO1264" s="119"/>
      <c r="AP1264" s="349"/>
      <c r="AQ1264" s="119"/>
      <c r="AS1264" s="100"/>
      <c r="CY1264" s="34" t="s">
        <v>2191</v>
      </c>
      <c r="CZ1264" s="35">
        <v>4.2815619268400003E-3</v>
      </c>
    </row>
    <row r="1265" spans="40:104" x14ac:dyDescent="0.3">
      <c r="AN1265" s="119"/>
      <c r="AO1265" s="119"/>
      <c r="AP1265" s="349"/>
      <c r="AQ1265" s="119"/>
      <c r="AS1265" s="100"/>
      <c r="CY1265" s="34" t="s">
        <v>2192</v>
      </c>
      <c r="CZ1265" s="35">
        <v>5.0572185570400006</v>
      </c>
    </row>
    <row r="1266" spans="40:104" x14ac:dyDescent="0.3">
      <c r="AN1266" s="119"/>
      <c r="AO1266" s="119"/>
      <c r="AP1266" s="349"/>
      <c r="AQ1266" s="119"/>
      <c r="AS1266" s="100"/>
      <c r="CY1266" s="34" t="s">
        <v>2193</v>
      </c>
      <c r="CZ1266" s="35">
        <v>8.4159128883200013E-2</v>
      </c>
    </row>
    <row r="1267" spans="40:104" x14ac:dyDescent="0.3">
      <c r="AN1267" s="119"/>
      <c r="AO1267" s="119"/>
      <c r="AP1267" s="349"/>
      <c r="AQ1267" s="119"/>
      <c r="AS1267" s="100"/>
      <c r="CY1267" s="34" t="s">
        <v>2194</v>
      </c>
      <c r="CZ1267" s="35">
        <v>4.8754119647999999E-2</v>
      </c>
    </row>
    <row r="1268" spans="40:104" x14ac:dyDescent="0.3">
      <c r="AN1268" s="119"/>
      <c r="AO1268" s="119"/>
      <c r="AP1268" s="349"/>
      <c r="AQ1268" s="119"/>
      <c r="AS1268" s="100"/>
      <c r="CY1268" s="34" t="s">
        <v>2195</v>
      </c>
      <c r="CZ1268" s="35">
        <v>0.14359630194300002</v>
      </c>
    </row>
    <row r="1269" spans="40:104" x14ac:dyDescent="0.3">
      <c r="AN1269" s="119"/>
      <c r="AO1269" s="119"/>
      <c r="AP1269" s="349"/>
      <c r="AQ1269" s="119"/>
      <c r="AS1269" s="100"/>
      <c r="CY1269" s="34" t="s">
        <v>2196</v>
      </c>
      <c r="CZ1269" s="35">
        <v>6.5842607999999994E-4</v>
      </c>
    </row>
    <row r="1270" spans="40:104" x14ac:dyDescent="0.3">
      <c r="AN1270" s="119"/>
      <c r="AO1270" s="119"/>
      <c r="AP1270" s="349"/>
      <c r="AQ1270" s="119"/>
      <c r="AS1270" s="100"/>
      <c r="CY1270" s="34" t="s">
        <v>2197</v>
      </c>
      <c r="CZ1270" s="35">
        <v>6.3802133546600002E-3</v>
      </c>
    </row>
    <row r="1271" spans="40:104" x14ac:dyDescent="0.3">
      <c r="AN1271" s="119"/>
      <c r="AO1271" s="119"/>
      <c r="AP1271" s="349"/>
      <c r="AQ1271" s="119"/>
      <c r="AS1271" s="100"/>
      <c r="CY1271" s="34" t="s">
        <v>2198</v>
      </c>
      <c r="CZ1271" s="35">
        <v>2.0580767352000002E-2</v>
      </c>
    </row>
    <row r="1272" spans="40:104" x14ac:dyDescent="0.3">
      <c r="AN1272" s="119"/>
      <c r="AO1272" s="119"/>
      <c r="AP1272" s="349"/>
      <c r="AQ1272" s="119"/>
      <c r="AS1272" s="100"/>
      <c r="CY1272" s="34" t="s">
        <v>2199</v>
      </c>
      <c r="CZ1272" s="35">
        <v>1.2494399408E-2</v>
      </c>
    </row>
    <row r="1273" spans="40:104" x14ac:dyDescent="0.3">
      <c r="AN1273" s="119"/>
      <c r="AO1273" s="119"/>
      <c r="AP1273" s="349"/>
      <c r="AQ1273" s="119"/>
      <c r="AS1273" s="100"/>
      <c r="CY1273" s="34" t="s">
        <v>2200</v>
      </c>
      <c r="CZ1273" s="35">
        <v>1.9781746591999997E-2</v>
      </c>
    </row>
    <row r="1274" spans="40:104" x14ac:dyDescent="0.3">
      <c r="AN1274" s="119"/>
      <c r="AO1274" s="119"/>
      <c r="AP1274" s="349"/>
      <c r="AQ1274" s="119"/>
      <c r="AS1274" s="100"/>
      <c r="CY1274" s="34" t="s">
        <v>2201</v>
      </c>
      <c r="CZ1274" s="35">
        <v>3.8999999999999999E-5</v>
      </c>
    </row>
    <row r="1275" spans="40:104" x14ac:dyDescent="0.3">
      <c r="AN1275" s="119"/>
      <c r="AO1275" s="119"/>
      <c r="AP1275" s="349"/>
      <c r="AQ1275" s="119"/>
      <c r="AS1275" s="100"/>
      <c r="CY1275" s="34" t="s">
        <v>2202</v>
      </c>
      <c r="CZ1275" s="35">
        <v>8.7474905440000014E-2</v>
      </c>
    </row>
    <row r="1276" spans="40:104" x14ac:dyDescent="0.3">
      <c r="AN1276" s="119"/>
      <c r="AO1276" s="119"/>
      <c r="AP1276" s="349"/>
      <c r="AQ1276" s="119"/>
      <c r="AS1276" s="100"/>
      <c r="CY1276" s="34" t="s">
        <v>2203</v>
      </c>
      <c r="CZ1276" s="35">
        <v>3.3757460000000002E-3</v>
      </c>
    </row>
    <row r="1277" spans="40:104" x14ac:dyDescent="0.3">
      <c r="AN1277" s="119"/>
      <c r="AO1277" s="119"/>
      <c r="AP1277" s="349"/>
      <c r="AQ1277" s="119"/>
      <c r="AS1277" s="100"/>
      <c r="CY1277" s="34" t="s">
        <v>2204</v>
      </c>
      <c r="CZ1277" s="35">
        <v>1.7042351040000001E-2</v>
      </c>
    </row>
    <row r="1278" spans="40:104" x14ac:dyDescent="0.3">
      <c r="AN1278" s="119"/>
      <c r="AO1278" s="119"/>
      <c r="AP1278" s="349"/>
      <c r="AQ1278" s="119"/>
      <c r="AS1278" s="100"/>
      <c r="CY1278" s="34" t="s">
        <v>2205</v>
      </c>
      <c r="CZ1278" s="35">
        <v>1.9546477000000001E-3</v>
      </c>
    </row>
    <row r="1279" spans="40:104" x14ac:dyDescent="0.3">
      <c r="AN1279" s="119"/>
      <c r="AO1279" s="119"/>
      <c r="AP1279" s="349"/>
      <c r="AQ1279" s="119"/>
      <c r="AS1279" s="100"/>
      <c r="CY1279" s="34" t="s">
        <v>2206</v>
      </c>
      <c r="CZ1279" s="35">
        <v>1.1222208643200001E-3</v>
      </c>
    </row>
    <row r="1280" spans="40:104" x14ac:dyDescent="0.3">
      <c r="AN1280" s="119"/>
      <c r="AO1280" s="119"/>
      <c r="AP1280" s="349"/>
      <c r="AQ1280" s="119"/>
      <c r="AS1280" s="100"/>
      <c r="CY1280" s="34" t="s">
        <v>2207</v>
      </c>
      <c r="CZ1280" s="35">
        <v>1.6892680025608696E-2</v>
      </c>
    </row>
    <row r="1281" spans="40:104" x14ac:dyDescent="0.3">
      <c r="AN1281" s="119"/>
      <c r="AO1281" s="119"/>
      <c r="AP1281" s="349"/>
      <c r="AQ1281" s="119"/>
      <c r="AS1281" s="100"/>
      <c r="CY1281" s="34" t="s">
        <v>2208</v>
      </c>
      <c r="CZ1281" s="35">
        <v>1.6341786700812499E-2</v>
      </c>
    </row>
    <row r="1282" spans="40:104" x14ac:dyDescent="0.3">
      <c r="AN1282" s="119"/>
      <c r="AO1282" s="119"/>
      <c r="AP1282" s="349"/>
      <c r="AQ1282" s="119"/>
      <c r="AS1282" s="100"/>
      <c r="CY1282" s="34" t="s">
        <v>2209</v>
      </c>
      <c r="CZ1282" s="35">
        <v>2.4065924479999999E-3</v>
      </c>
    </row>
    <row r="1283" spans="40:104" x14ac:dyDescent="0.3">
      <c r="AN1283" s="119"/>
      <c r="AO1283" s="119"/>
      <c r="AP1283" s="349"/>
      <c r="AQ1283" s="119"/>
      <c r="AS1283" s="100"/>
      <c r="CY1283" s="34" t="s">
        <v>2210</v>
      </c>
      <c r="CZ1283" s="35">
        <v>1.15097268E-3</v>
      </c>
    </row>
    <row r="1284" spans="40:104" x14ac:dyDescent="0.3">
      <c r="AN1284" s="119"/>
      <c r="AO1284" s="119"/>
      <c r="AP1284" s="349"/>
      <c r="AQ1284" s="119"/>
      <c r="AS1284" s="100"/>
      <c r="CY1284" s="34" t="s">
        <v>2211</v>
      </c>
      <c r="CZ1284" s="35">
        <v>5.9351498936000002E-3</v>
      </c>
    </row>
    <row r="1285" spans="40:104" x14ac:dyDescent="0.3">
      <c r="AN1285" s="119"/>
      <c r="AO1285" s="119"/>
      <c r="AP1285" s="349"/>
      <c r="AQ1285" s="119"/>
      <c r="AS1285" s="100"/>
      <c r="CY1285" s="34" t="s">
        <v>2212</v>
      </c>
      <c r="CZ1285" s="35">
        <v>1.53048562592E-2</v>
      </c>
    </row>
    <row r="1286" spans="40:104" x14ac:dyDescent="0.3">
      <c r="AN1286" s="119"/>
      <c r="AO1286" s="119"/>
      <c r="AP1286" s="349"/>
      <c r="AQ1286" s="119"/>
      <c r="AS1286" s="100"/>
      <c r="CY1286" s="34" t="s">
        <v>2213</v>
      </c>
      <c r="CZ1286" s="35">
        <v>1.1537285997000001E-3</v>
      </c>
    </row>
    <row r="1287" spans="40:104" x14ac:dyDescent="0.3">
      <c r="AN1287" s="119"/>
      <c r="AO1287" s="119"/>
      <c r="AP1287" s="349"/>
      <c r="AQ1287" s="119"/>
      <c r="AS1287" s="100"/>
      <c r="CY1287" s="34" t="s">
        <v>2214</v>
      </c>
      <c r="CZ1287" s="35">
        <v>3.3201536159999999E-3</v>
      </c>
    </row>
    <row r="1288" spans="40:104" x14ac:dyDescent="0.3">
      <c r="AN1288" s="119"/>
      <c r="AO1288" s="119"/>
      <c r="AP1288" s="349"/>
      <c r="AQ1288" s="119"/>
      <c r="AS1288" s="100"/>
      <c r="CY1288" s="34" t="s">
        <v>2215</v>
      </c>
      <c r="CZ1288" s="35">
        <v>5.8628293376E-2</v>
      </c>
    </row>
    <row r="1289" spans="40:104" x14ac:dyDescent="0.3">
      <c r="AN1289" s="119"/>
      <c r="AO1289" s="119"/>
      <c r="AP1289" s="349"/>
      <c r="AQ1289" s="119"/>
      <c r="AS1289" s="100"/>
      <c r="CY1289" s="34" t="s">
        <v>2216</v>
      </c>
      <c r="CZ1289" s="35">
        <v>2.8923444816071429E-3</v>
      </c>
    </row>
    <row r="1290" spans="40:104" x14ac:dyDescent="0.3">
      <c r="AN1290" s="119"/>
      <c r="AO1290" s="119"/>
      <c r="AP1290" s="349"/>
      <c r="AQ1290" s="119"/>
      <c r="AS1290" s="100"/>
      <c r="CY1290" s="34" t="s">
        <v>2217</v>
      </c>
      <c r="CZ1290" s="35">
        <v>1.1612526642857142E-2</v>
      </c>
    </row>
    <row r="1291" spans="40:104" x14ac:dyDescent="0.3">
      <c r="AN1291" s="119"/>
      <c r="AO1291" s="119"/>
      <c r="AP1291" s="349"/>
      <c r="AQ1291" s="119"/>
      <c r="AS1291" s="100"/>
      <c r="CY1291" s="34" t="s">
        <v>2218</v>
      </c>
      <c r="CZ1291" s="35">
        <v>1.1811135935999998E-2</v>
      </c>
    </row>
    <row r="1292" spans="40:104" x14ac:dyDescent="0.3">
      <c r="AN1292" s="119"/>
      <c r="AO1292" s="119"/>
      <c r="AP1292" s="349"/>
      <c r="AQ1292" s="119"/>
      <c r="AS1292" s="100"/>
      <c r="CY1292" s="34" t="s">
        <v>2219</v>
      </c>
      <c r="CZ1292" s="35">
        <v>3.8999999999999999E-5</v>
      </c>
    </row>
    <row r="1293" spans="40:104" x14ac:dyDescent="0.3">
      <c r="AN1293" s="119"/>
      <c r="AO1293" s="119"/>
      <c r="AP1293" s="349"/>
      <c r="AQ1293" s="119"/>
      <c r="AS1293" s="100"/>
      <c r="CY1293" s="34" t="s">
        <v>2220</v>
      </c>
      <c r="CZ1293" s="35">
        <v>3.6440042532500001E-2</v>
      </c>
    </row>
    <row r="1294" spans="40:104" x14ac:dyDescent="0.3">
      <c r="AN1294" s="119"/>
      <c r="AO1294" s="119"/>
      <c r="AP1294" s="349"/>
      <c r="AQ1294" s="119"/>
      <c r="AS1294" s="100"/>
      <c r="CY1294" s="34" t="s">
        <v>2221</v>
      </c>
      <c r="CZ1294" s="35">
        <v>3.6769666729999997E-2</v>
      </c>
    </row>
    <row r="1295" spans="40:104" x14ac:dyDescent="0.3">
      <c r="AN1295" s="119"/>
      <c r="AO1295" s="119"/>
      <c r="AP1295" s="349"/>
      <c r="AQ1295" s="119"/>
      <c r="AS1295" s="100"/>
      <c r="CY1295" s="34" t="s">
        <v>2222</v>
      </c>
      <c r="CZ1295" s="35">
        <v>6.2863073216000001E-2</v>
      </c>
    </row>
    <row r="1296" spans="40:104" x14ac:dyDescent="0.3">
      <c r="AN1296" s="119"/>
      <c r="AO1296" s="119"/>
      <c r="AP1296" s="349"/>
      <c r="AQ1296" s="119"/>
      <c r="AS1296" s="100"/>
      <c r="CY1296" s="34" t="s">
        <v>2223</v>
      </c>
      <c r="CZ1296" s="35">
        <v>3.3955338466666665E-3</v>
      </c>
    </row>
    <row r="1297" spans="40:104" x14ac:dyDescent="0.3">
      <c r="AN1297" s="119"/>
      <c r="AO1297" s="119"/>
      <c r="AP1297" s="349"/>
      <c r="AQ1297" s="119"/>
      <c r="AS1297" s="100"/>
      <c r="CY1297" s="34" t="s">
        <v>2224</v>
      </c>
      <c r="CZ1297" s="35">
        <v>1.4390428415999999E-3</v>
      </c>
    </row>
    <row r="1298" spans="40:104" x14ac:dyDescent="0.3">
      <c r="AN1298" s="119"/>
      <c r="AO1298" s="119"/>
      <c r="AP1298" s="349"/>
      <c r="AQ1298" s="119"/>
      <c r="AS1298" s="100"/>
      <c r="CY1298" s="34" t="s">
        <v>2225</v>
      </c>
      <c r="CZ1298" s="35">
        <v>1.6296948095555557E-3</v>
      </c>
    </row>
    <row r="1299" spans="40:104" x14ac:dyDescent="0.3">
      <c r="AN1299" s="119"/>
      <c r="AO1299" s="119"/>
      <c r="AP1299" s="349"/>
      <c r="AQ1299" s="119"/>
      <c r="AS1299" s="100"/>
      <c r="CY1299" s="34" t="s">
        <v>2226</v>
      </c>
      <c r="CZ1299" s="35">
        <v>1.9005461708800002E-3</v>
      </c>
    </row>
    <row r="1300" spans="40:104" x14ac:dyDescent="0.3">
      <c r="AN1300" s="119"/>
      <c r="AO1300" s="119"/>
      <c r="AP1300" s="349"/>
      <c r="AQ1300" s="119"/>
      <c r="AS1300" s="100"/>
      <c r="CY1300" s="34" t="s">
        <v>2227</v>
      </c>
      <c r="CZ1300" s="35">
        <v>2.1585842634761904E-3</v>
      </c>
    </row>
    <row r="1301" spans="40:104" x14ac:dyDescent="0.3">
      <c r="AN1301" s="119"/>
      <c r="AO1301" s="119"/>
      <c r="AP1301" s="349"/>
      <c r="AQ1301" s="119"/>
      <c r="AS1301" s="100"/>
      <c r="CY1301" s="34" t="s">
        <v>2228</v>
      </c>
      <c r="CZ1301" s="35">
        <v>1.3449784352000001E-3</v>
      </c>
    </row>
    <row r="1302" spans="40:104" x14ac:dyDescent="0.3">
      <c r="AN1302" s="119"/>
      <c r="AO1302" s="119"/>
      <c r="AP1302" s="349"/>
      <c r="AQ1302" s="119"/>
      <c r="AS1302" s="100"/>
      <c r="CY1302" s="34" t="s">
        <v>2229</v>
      </c>
      <c r="CZ1302" s="35">
        <v>1.9588262439999998E-3</v>
      </c>
    </row>
    <row r="1303" spans="40:104" x14ac:dyDescent="0.3">
      <c r="AN1303" s="119"/>
      <c r="AO1303" s="119"/>
      <c r="AP1303" s="349"/>
      <c r="AQ1303" s="119"/>
      <c r="AS1303" s="100"/>
      <c r="CY1303" s="34" t="s">
        <v>2230</v>
      </c>
      <c r="CZ1303" s="35">
        <v>1.9480250400000002E-3</v>
      </c>
    </row>
    <row r="1304" spans="40:104" x14ac:dyDescent="0.3">
      <c r="AN1304" s="119"/>
      <c r="AO1304" s="119"/>
      <c r="AP1304" s="349"/>
      <c r="AQ1304" s="119"/>
      <c r="AS1304" s="100"/>
      <c r="CY1304" s="34" t="s">
        <v>2231</v>
      </c>
      <c r="CZ1304" s="35">
        <v>2.4681559295999999E-3</v>
      </c>
    </row>
    <row r="1305" spans="40:104" x14ac:dyDescent="0.3">
      <c r="AN1305" s="119"/>
      <c r="AO1305" s="119"/>
      <c r="AP1305" s="349"/>
      <c r="AQ1305" s="119"/>
      <c r="AS1305" s="100"/>
      <c r="CY1305" s="34" t="s">
        <v>2232</v>
      </c>
      <c r="CZ1305" s="35">
        <v>2.7142053488000001E-3</v>
      </c>
    </row>
    <row r="1306" spans="40:104" x14ac:dyDescent="0.3">
      <c r="AN1306" s="119"/>
      <c r="AO1306" s="119"/>
      <c r="AP1306" s="349"/>
      <c r="AQ1306" s="119"/>
      <c r="AS1306" s="100"/>
      <c r="CY1306" s="34" t="s">
        <v>2233</v>
      </c>
      <c r="CZ1306" s="35">
        <v>4.3676688495789479E-3</v>
      </c>
    </row>
    <row r="1307" spans="40:104" x14ac:dyDescent="0.3">
      <c r="AN1307" s="119"/>
      <c r="AO1307" s="119"/>
      <c r="AP1307" s="349"/>
      <c r="AQ1307" s="119"/>
      <c r="AS1307" s="100"/>
      <c r="CY1307" s="34" t="s">
        <v>2234</v>
      </c>
      <c r="CZ1307" s="35">
        <v>5.0703868799999996E-3</v>
      </c>
    </row>
    <row r="1308" spans="40:104" x14ac:dyDescent="0.3">
      <c r="AN1308" s="119"/>
      <c r="AO1308" s="119"/>
      <c r="AP1308" s="349"/>
      <c r="AQ1308" s="119"/>
      <c r="AS1308" s="100"/>
      <c r="CY1308" s="34" t="s">
        <v>2235</v>
      </c>
      <c r="CZ1308" s="35">
        <v>7.4738252403636369E-3</v>
      </c>
    </row>
    <row r="1309" spans="40:104" x14ac:dyDescent="0.3">
      <c r="AN1309" s="119"/>
      <c r="AO1309" s="119"/>
      <c r="AP1309" s="349"/>
      <c r="AQ1309" s="119"/>
      <c r="AS1309" s="100"/>
      <c r="CY1309" s="34" t="s">
        <v>2236</v>
      </c>
      <c r="CZ1309" s="35">
        <v>2.4195378688000001E-2</v>
      </c>
    </row>
    <row r="1310" spans="40:104" x14ac:dyDescent="0.3">
      <c r="AN1310" s="119"/>
      <c r="AO1310" s="119"/>
      <c r="AP1310" s="349"/>
      <c r="AQ1310" s="119"/>
      <c r="AS1310" s="100"/>
      <c r="CY1310" s="34" t="s">
        <v>2237</v>
      </c>
      <c r="CZ1310" s="35">
        <v>2.8132069055999999E-2</v>
      </c>
    </row>
    <row r="1311" spans="40:104" x14ac:dyDescent="0.3">
      <c r="AN1311" s="119"/>
      <c r="AO1311" s="119"/>
      <c r="AP1311" s="349"/>
      <c r="AQ1311" s="119"/>
      <c r="AS1311" s="100"/>
      <c r="CY1311" s="34" t="s">
        <v>2238</v>
      </c>
      <c r="CZ1311" s="35">
        <v>4.5867511872E-2</v>
      </c>
    </row>
    <row r="1312" spans="40:104" x14ac:dyDescent="0.3">
      <c r="AN1312" s="119"/>
      <c r="AO1312" s="119"/>
      <c r="AP1312" s="349"/>
      <c r="AQ1312" s="119"/>
      <c r="AS1312" s="100"/>
      <c r="CY1312" s="34" t="s">
        <v>2239</v>
      </c>
      <c r="CZ1312" s="35">
        <v>3.5089907839999997E-2</v>
      </c>
    </row>
    <row r="1313" spans="40:104" x14ac:dyDescent="0.3">
      <c r="AN1313" s="119"/>
      <c r="AO1313" s="119"/>
      <c r="AP1313" s="349"/>
      <c r="AQ1313" s="119"/>
      <c r="AS1313" s="100"/>
      <c r="CY1313" s="34" t="s">
        <v>2240</v>
      </c>
      <c r="CZ1313" s="35">
        <v>8.8906641407999989E-2</v>
      </c>
    </row>
    <row r="1314" spans="40:104" x14ac:dyDescent="0.3">
      <c r="AN1314" s="119"/>
      <c r="AO1314" s="119"/>
      <c r="AP1314" s="349"/>
      <c r="AQ1314" s="119"/>
      <c r="AS1314" s="100"/>
      <c r="CY1314" s="34" t="s">
        <v>2241</v>
      </c>
      <c r="CZ1314" s="35">
        <v>3.8467502272E-3</v>
      </c>
    </row>
    <row r="1315" spans="40:104" x14ac:dyDescent="0.3">
      <c r="AN1315" s="119"/>
      <c r="AO1315" s="119"/>
      <c r="AP1315" s="349"/>
      <c r="AQ1315" s="119"/>
      <c r="AS1315" s="100"/>
      <c r="CY1315" s="34" t="s">
        <v>2242</v>
      </c>
      <c r="CZ1315" s="35">
        <v>5.4063569279999999E-3</v>
      </c>
    </row>
    <row r="1316" spans="40:104" x14ac:dyDescent="0.3">
      <c r="AN1316" s="119"/>
      <c r="AO1316" s="119"/>
      <c r="AP1316" s="349"/>
      <c r="AQ1316" s="119"/>
      <c r="AS1316" s="100"/>
      <c r="CY1316" s="34" t="s">
        <v>2243</v>
      </c>
      <c r="CZ1316" s="35">
        <v>5.8421310019999995E-3</v>
      </c>
    </row>
    <row r="1317" spans="40:104" x14ac:dyDescent="0.3">
      <c r="AN1317" s="119"/>
      <c r="AO1317" s="119"/>
      <c r="AP1317" s="349"/>
      <c r="AQ1317" s="119"/>
      <c r="AS1317" s="100"/>
      <c r="CY1317" s="34" t="s">
        <v>2244</v>
      </c>
      <c r="CZ1317" s="35">
        <v>7.5405228656000014E-3</v>
      </c>
    </row>
    <row r="1318" spans="40:104" x14ac:dyDescent="0.3">
      <c r="AN1318" s="119"/>
      <c r="AO1318" s="119"/>
      <c r="AP1318" s="349"/>
      <c r="AQ1318" s="119"/>
      <c r="AS1318" s="100"/>
      <c r="CY1318" s="34" t="s">
        <v>2245</v>
      </c>
      <c r="CZ1318" s="35">
        <v>9.0975968999999993E-3</v>
      </c>
    </row>
    <row r="1319" spans="40:104" x14ac:dyDescent="0.3">
      <c r="AN1319" s="119"/>
      <c r="AO1319" s="119"/>
      <c r="AP1319" s="349"/>
      <c r="AQ1319" s="119"/>
      <c r="AS1319" s="100"/>
      <c r="CY1319" s="34" t="s">
        <v>2246</v>
      </c>
      <c r="CZ1319" s="35">
        <v>1.1107897984E-2</v>
      </c>
    </row>
    <row r="1320" spans="40:104" x14ac:dyDescent="0.3">
      <c r="AN1320" s="119"/>
      <c r="AO1320" s="119"/>
      <c r="AP1320" s="349"/>
      <c r="AQ1320" s="119"/>
      <c r="AS1320" s="100"/>
      <c r="CY1320" s="34" t="s">
        <v>2247</v>
      </c>
      <c r="CZ1320" s="35">
        <v>1.8636657768000001E-2</v>
      </c>
    </row>
    <row r="1321" spans="40:104" x14ac:dyDescent="0.3">
      <c r="AN1321" s="119"/>
      <c r="AO1321" s="119"/>
      <c r="AP1321" s="349"/>
      <c r="AQ1321" s="119"/>
      <c r="AS1321" s="100"/>
      <c r="CY1321" s="34" t="s">
        <v>2248</v>
      </c>
      <c r="CZ1321" s="35">
        <v>2.0230311440000003E-2</v>
      </c>
    </row>
    <row r="1322" spans="40:104" x14ac:dyDescent="0.3">
      <c r="AN1322" s="119"/>
      <c r="AO1322" s="119"/>
      <c r="AP1322" s="349"/>
      <c r="AQ1322" s="119"/>
      <c r="AS1322" s="100"/>
      <c r="CY1322" s="34" t="s">
        <v>2249</v>
      </c>
      <c r="CZ1322" s="35">
        <v>2.2292111440000002E-2</v>
      </c>
    </row>
    <row r="1323" spans="40:104" x14ac:dyDescent="0.3">
      <c r="AN1323" s="119"/>
      <c r="AO1323" s="119"/>
      <c r="AP1323" s="349"/>
      <c r="AQ1323" s="119"/>
      <c r="AS1323" s="100"/>
      <c r="CY1323" s="34" t="s">
        <v>2250</v>
      </c>
      <c r="CZ1323" s="35">
        <v>2.1766580880000004E-2</v>
      </c>
    </row>
    <row r="1324" spans="40:104" x14ac:dyDescent="0.3">
      <c r="AN1324" s="119"/>
      <c r="AO1324" s="119"/>
      <c r="AP1324" s="349"/>
      <c r="AQ1324" s="119"/>
      <c r="AS1324" s="100"/>
      <c r="CY1324" s="34" t="s">
        <v>2251</v>
      </c>
      <c r="CZ1324" s="35">
        <v>2.4804036960000005E-2</v>
      </c>
    </row>
    <row r="1325" spans="40:104" x14ac:dyDescent="0.3">
      <c r="AN1325" s="119"/>
      <c r="AO1325" s="119"/>
      <c r="AP1325" s="119"/>
      <c r="AQ1325" s="119"/>
      <c r="AS1325" s="100"/>
      <c r="CY1325" s="34" t="s">
        <v>2252</v>
      </c>
      <c r="CZ1325" s="35">
        <v>1.21255507981E-2</v>
      </c>
    </row>
    <row r="1326" spans="40:104" x14ac:dyDescent="0.3">
      <c r="AN1326" s="119"/>
      <c r="AO1326" s="119"/>
      <c r="AP1326" s="119"/>
      <c r="AQ1326" s="119"/>
      <c r="AS1326" s="100"/>
      <c r="CY1326" s="34" t="s">
        <v>2253</v>
      </c>
      <c r="CZ1326" s="35">
        <v>8.2979270399999999E-4</v>
      </c>
    </row>
    <row r="1327" spans="40:104" x14ac:dyDescent="0.3">
      <c r="AN1327" s="119"/>
      <c r="AO1327" s="119"/>
      <c r="AP1327" s="119"/>
      <c r="AQ1327" s="119"/>
      <c r="AS1327" s="100"/>
      <c r="CY1327" s="34" t="s">
        <v>2254</v>
      </c>
      <c r="CZ1327" s="35">
        <v>3.9470807320000001E-3</v>
      </c>
    </row>
    <row r="1328" spans="40:104" x14ac:dyDescent="0.3">
      <c r="AN1328" s="119"/>
      <c r="AO1328" s="119"/>
      <c r="AP1328" s="119"/>
      <c r="AQ1328" s="119"/>
      <c r="AS1328" s="100"/>
      <c r="CY1328" s="34" t="s">
        <v>2255</v>
      </c>
      <c r="CZ1328" s="35">
        <v>5.4388949133399997E-3</v>
      </c>
    </row>
    <row r="1329" spans="40:104" x14ac:dyDescent="0.3">
      <c r="AN1329" s="119"/>
      <c r="AO1329" s="119"/>
      <c r="AP1329" s="119"/>
      <c r="AQ1329" s="119"/>
      <c r="AS1329" s="100"/>
      <c r="CY1329" s="34" t="s">
        <v>2256</v>
      </c>
      <c r="CZ1329" s="35">
        <v>1.8952202048000001E-2</v>
      </c>
    </row>
    <row r="1330" spans="40:104" x14ac:dyDescent="0.3">
      <c r="AN1330" s="119"/>
      <c r="AO1330" s="119"/>
      <c r="AP1330" s="119"/>
      <c r="AQ1330" s="119"/>
      <c r="AS1330" s="100"/>
      <c r="CY1330" s="34" t="s">
        <v>2257</v>
      </c>
      <c r="CZ1330" s="35">
        <v>1.7464419647999999E-2</v>
      </c>
    </row>
    <row r="1331" spans="40:104" x14ac:dyDescent="0.3">
      <c r="AN1331" s="119"/>
      <c r="AO1331" s="119"/>
      <c r="AP1331" s="119"/>
      <c r="AQ1331" s="119"/>
      <c r="AS1331" s="100"/>
      <c r="CY1331" s="34" t="s">
        <v>2258</v>
      </c>
      <c r="CZ1331" s="35">
        <v>1.7464419647999999E-2</v>
      </c>
    </row>
    <row r="1332" spans="40:104" x14ac:dyDescent="0.3">
      <c r="AN1332" s="119"/>
      <c r="AO1332" s="119"/>
      <c r="AP1332" s="119"/>
      <c r="AQ1332" s="119"/>
      <c r="AS1332" s="100"/>
      <c r="CY1332" s="34" t="s">
        <v>2259</v>
      </c>
      <c r="CZ1332" s="35">
        <v>7.5207713815999989E-3</v>
      </c>
    </row>
    <row r="1333" spans="40:104" x14ac:dyDescent="0.3">
      <c r="AN1333" s="119"/>
      <c r="AO1333" s="119"/>
      <c r="AP1333" s="119"/>
      <c r="AQ1333" s="119"/>
      <c r="AS1333" s="100"/>
      <c r="CY1333" s="34" t="s">
        <v>2260</v>
      </c>
      <c r="CZ1333" s="35">
        <v>3.8999999999999999E-5</v>
      </c>
    </row>
    <row r="1334" spans="40:104" x14ac:dyDescent="0.3">
      <c r="AN1334" s="119"/>
      <c r="AO1334" s="119"/>
      <c r="AP1334" s="119"/>
      <c r="AQ1334" s="119"/>
      <c r="AS1334" s="100"/>
      <c r="CY1334" s="34" t="s">
        <v>2261</v>
      </c>
      <c r="CZ1334" s="35">
        <v>2.1625921880000003E-2</v>
      </c>
    </row>
    <row r="1335" spans="40:104" x14ac:dyDescent="0.3">
      <c r="AN1335" s="119"/>
      <c r="AO1335" s="119"/>
      <c r="AP1335" s="119"/>
      <c r="AQ1335" s="119"/>
      <c r="AS1335" s="100"/>
      <c r="CY1335" s="34" t="s">
        <v>2262</v>
      </c>
      <c r="CZ1335" s="35">
        <v>4.2424671276750005E-4</v>
      </c>
    </row>
    <row r="1336" spans="40:104" x14ac:dyDescent="0.3">
      <c r="AN1336" s="119"/>
      <c r="AO1336" s="119"/>
      <c r="AP1336" s="119"/>
      <c r="AQ1336" s="119"/>
      <c r="AS1336" s="100"/>
      <c r="CY1336" s="34" t="s">
        <v>2263</v>
      </c>
      <c r="CZ1336" s="35">
        <v>3.2493119622999996E-3</v>
      </c>
    </row>
    <row r="1337" spans="40:104" x14ac:dyDescent="0.3">
      <c r="AN1337" s="119"/>
      <c r="AO1337" s="119"/>
      <c r="AP1337" s="119"/>
      <c r="AQ1337" s="119"/>
      <c r="AS1337" s="100"/>
      <c r="CY1337" s="34" t="s">
        <v>2264</v>
      </c>
      <c r="CZ1337" s="35">
        <v>3.2849257599999997E-4</v>
      </c>
    </row>
    <row r="1338" spans="40:104" x14ac:dyDescent="0.3">
      <c r="AN1338" s="119"/>
      <c r="AO1338" s="119"/>
      <c r="AP1338" s="119"/>
      <c r="AQ1338" s="119"/>
      <c r="AS1338" s="100"/>
      <c r="CY1338" s="34" t="s">
        <v>2265</v>
      </c>
      <c r="CZ1338" s="35">
        <v>1.507855012E-3</v>
      </c>
    </row>
    <row r="1339" spans="40:104" x14ac:dyDescent="0.3">
      <c r="AN1339" s="119"/>
      <c r="AO1339" s="119"/>
      <c r="AP1339" s="119"/>
      <c r="AQ1339" s="119"/>
      <c r="AS1339" s="100"/>
      <c r="CY1339" s="34" t="s">
        <v>2266</v>
      </c>
      <c r="CZ1339" s="35">
        <v>3.6188757760000001E-3</v>
      </c>
    </row>
    <row r="1340" spans="40:104" x14ac:dyDescent="0.3">
      <c r="AN1340" s="119"/>
      <c r="AO1340" s="119"/>
      <c r="AP1340" s="119"/>
      <c r="AQ1340" s="119"/>
      <c r="AS1340" s="100"/>
      <c r="CY1340" s="34" t="s">
        <v>2267</v>
      </c>
      <c r="CZ1340" s="35">
        <v>7.1268424000000001E-4</v>
      </c>
    </row>
    <row r="1341" spans="40:104" x14ac:dyDescent="0.3">
      <c r="AN1341" s="119"/>
      <c r="AO1341" s="119"/>
      <c r="AP1341" s="119"/>
      <c r="AQ1341" s="119"/>
      <c r="AS1341" s="100"/>
      <c r="CY1341" s="34" t="s">
        <v>2268</v>
      </c>
      <c r="CZ1341" s="35">
        <v>1.1657880000000001E-2</v>
      </c>
    </row>
    <row r="1342" spans="40:104" x14ac:dyDescent="0.3">
      <c r="AN1342" s="119"/>
      <c r="AO1342" s="119"/>
      <c r="AP1342" s="119"/>
      <c r="AQ1342" s="119"/>
      <c r="AS1342" s="100"/>
      <c r="CY1342" s="34" t="s">
        <v>2269</v>
      </c>
      <c r="CZ1342" s="35">
        <v>1.08165824E-3</v>
      </c>
    </row>
    <row r="1343" spans="40:104" x14ac:dyDescent="0.3">
      <c r="AN1343" s="119"/>
      <c r="AO1343" s="119"/>
      <c r="AP1343" s="119"/>
      <c r="AQ1343" s="119"/>
      <c r="AS1343" s="100"/>
      <c r="CY1343" s="34" t="s">
        <v>2270</v>
      </c>
      <c r="CZ1343" s="35">
        <v>3.3293411215999998E-2</v>
      </c>
    </row>
    <row r="1344" spans="40:104" x14ac:dyDescent="0.3">
      <c r="AN1344" s="119"/>
      <c r="AO1344" s="119"/>
      <c r="AP1344" s="119"/>
      <c r="AQ1344" s="119"/>
      <c r="AS1344" s="100"/>
      <c r="CY1344" s="34" t="s">
        <v>2271</v>
      </c>
      <c r="CZ1344" s="35">
        <v>7.1533334643571426E-3</v>
      </c>
    </row>
    <row r="1345" spans="40:104" x14ac:dyDescent="0.3">
      <c r="AN1345" s="119"/>
      <c r="AO1345" s="119"/>
      <c r="AP1345" s="119"/>
      <c r="AQ1345" s="119"/>
      <c r="AS1345" s="100"/>
      <c r="CY1345" s="34" t="s">
        <v>2272</v>
      </c>
      <c r="CZ1345" s="35">
        <v>2.0661997323999998E-2</v>
      </c>
    </row>
    <row r="1346" spans="40:104" x14ac:dyDescent="0.3">
      <c r="AN1346" s="119"/>
      <c r="AO1346" s="119"/>
      <c r="AP1346" s="119"/>
      <c r="AQ1346" s="119"/>
      <c r="AS1346" s="100"/>
      <c r="CY1346" s="34" t="s">
        <v>2273</v>
      </c>
      <c r="CZ1346" s="35">
        <v>2.4681341171000001E-2</v>
      </c>
    </row>
    <row r="1347" spans="40:104" x14ac:dyDescent="0.3">
      <c r="AN1347" s="119"/>
      <c r="AO1347" s="119"/>
      <c r="AP1347" s="119"/>
      <c r="AQ1347" s="119"/>
      <c r="AS1347" s="100"/>
      <c r="CY1347" s="34" t="s">
        <v>2274</v>
      </c>
      <c r="CZ1347" s="35">
        <v>4.8824799999999998E-3</v>
      </c>
    </row>
    <row r="1348" spans="40:104" x14ac:dyDescent="0.3">
      <c r="AN1348" s="119"/>
      <c r="AO1348" s="119"/>
      <c r="AP1348" s="119"/>
      <c r="AQ1348" s="119"/>
      <c r="AS1348" s="100"/>
      <c r="CY1348" s="34" t="s">
        <v>2275</v>
      </c>
      <c r="CZ1348" s="35">
        <v>5.4335239999999995E-3</v>
      </c>
    </row>
    <row r="1349" spans="40:104" x14ac:dyDescent="0.3">
      <c r="AN1349" s="119"/>
      <c r="AO1349" s="119"/>
      <c r="AP1349" s="119"/>
      <c r="AQ1349" s="119"/>
      <c r="AS1349" s="100"/>
      <c r="CY1349" s="34" t="s">
        <v>2276</v>
      </c>
      <c r="CZ1349" s="35">
        <v>6.5364960000000001E-3</v>
      </c>
    </row>
    <row r="1350" spans="40:104" x14ac:dyDescent="0.3">
      <c r="AN1350" s="119"/>
      <c r="AO1350" s="119"/>
      <c r="AP1350" s="119"/>
      <c r="AQ1350" s="119"/>
      <c r="AS1350" s="100"/>
      <c r="CY1350" s="34" t="s">
        <v>2277</v>
      </c>
      <c r="CZ1350" s="35">
        <v>8.907157973332501E-2</v>
      </c>
    </row>
    <row r="1351" spans="40:104" x14ac:dyDescent="0.3">
      <c r="AN1351" s="119"/>
      <c r="AO1351" s="119"/>
      <c r="AP1351" s="119"/>
      <c r="AQ1351" s="119"/>
      <c r="AS1351" s="100"/>
      <c r="CY1351" s="34" t="s">
        <v>2278</v>
      </c>
      <c r="CZ1351" s="35">
        <v>6.3722110440000007E-2</v>
      </c>
    </row>
    <row r="1352" spans="40:104" x14ac:dyDescent="0.3">
      <c r="AN1352" s="119"/>
      <c r="AO1352" s="119"/>
      <c r="AP1352" s="119"/>
      <c r="AQ1352" s="119"/>
      <c r="AS1352" s="100"/>
      <c r="CY1352" s="34" t="s">
        <v>2279</v>
      </c>
      <c r="CZ1352" s="35">
        <v>3.3779252320000001E-2</v>
      </c>
    </row>
    <row r="1353" spans="40:104" x14ac:dyDescent="0.3">
      <c r="AN1353" s="119"/>
      <c r="AO1353" s="119"/>
      <c r="AP1353" s="119"/>
      <c r="AQ1353" s="119"/>
      <c r="AS1353" s="100"/>
      <c r="CY1353" s="34" t="s">
        <v>2280</v>
      </c>
      <c r="CZ1353" s="35">
        <v>3.5419804999999999E-2</v>
      </c>
    </row>
    <row r="1354" spans="40:104" x14ac:dyDescent="0.3">
      <c r="AN1354" s="119"/>
      <c r="AO1354" s="119"/>
      <c r="AP1354" s="119"/>
      <c r="AQ1354" s="119"/>
      <c r="AS1354" s="100"/>
      <c r="CY1354" s="34" t="s">
        <v>2281</v>
      </c>
      <c r="CZ1354" s="35">
        <v>1.0109711872307691E-3</v>
      </c>
    </row>
    <row r="1355" spans="40:104" x14ac:dyDescent="0.3">
      <c r="AN1355" s="119"/>
      <c r="AO1355" s="119"/>
      <c r="AP1355" s="119"/>
      <c r="AQ1355" s="119"/>
      <c r="AS1355" s="100"/>
      <c r="CY1355" s="34" t="s">
        <v>2282</v>
      </c>
      <c r="CZ1355" s="35">
        <v>4.592666449500001E-3</v>
      </c>
    </row>
    <row r="1356" spans="40:104" x14ac:dyDescent="0.3">
      <c r="AN1356" s="119"/>
      <c r="AO1356" s="119"/>
      <c r="AP1356" s="119"/>
      <c r="AQ1356" s="119"/>
      <c r="AS1356" s="100"/>
      <c r="CY1356" s="34" t="s">
        <v>2283</v>
      </c>
      <c r="CZ1356" s="35">
        <v>4.2768539840000001E-3</v>
      </c>
    </row>
    <row r="1357" spans="40:104" x14ac:dyDescent="0.3">
      <c r="AN1357" s="119"/>
      <c r="AO1357" s="119"/>
      <c r="AP1357" s="119"/>
      <c r="AQ1357" s="119"/>
      <c r="AS1357" s="100"/>
      <c r="CY1357" s="34" t="s">
        <v>2284</v>
      </c>
      <c r="CZ1357" s="35">
        <v>1.13036976E-3</v>
      </c>
    </row>
    <row r="1358" spans="40:104" x14ac:dyDescent="0.3">
      <c r="AN1358" s="119"/>
      <c r="AO1358" s="119"/>
      <c r="AP1358" s="119"/>
      <c r="AQ1358" s="119"/>
      <c r="AS1358" s="100"/>
      <c r="CY1358" s="34" t="s">
        <v>2285</v>
      </c>
      <c r="CZ1358" s="35">
        <v>4.6509109360000003E-4</v>
      </c>
    </row>
    <row r="1359" spans="40:104" x14ac:dyDescent="0.3">
      <c r="AN1359" s="119"/>
      <c r="AO1359" s="119"/>
      <c r="AP1359" s="119"/>
      <c r="AQ1359" s="119"/>
      <c r="AS1359" s="100"/>
      <c r="CY1359" s="34" t="s">
        <v>2286</v>
      </c>
      <c r="CZ1359" s="35">
        <v>6.4239541055999994E-2</v>
      </c>
    </row>
    <row r="1360" spans="40:104" x14ac:dyDescent="0.3">
      <c r="AN1360" s="119"/>
      <c r="AO1360" s="119"/>
      <c r="AP1360" s="119"/>
      <c r="AQ1360" s="119"/>
      <c r="AS1360" s="100"/>
      <c r="CY1360" s="34" t="s">
        <v>2287</v>
      </c>
      <c r="CZ1360" s="35">
        <v>8.2285712991999993E-2</v>
      </c>
    </row>
    <row r="1361" spans="40:104" x14ac:dyDescent="0.3">
      <c r="AN1361" s="119"/>
      <c r="AO1361" s="119"/>
      <c r="AP1361" s="119"/>
      <c r="AQ1361" s="119"/>
      <c r="AS1361" s="100"/>
      <c r="CY1361" s="34" t="s">
        <v>2288</v>
      </c>
      <c r="CZ1361" s="35">
        <v>8.8254049322666658E-2</v>
      </c>
    </row>
    <row r="1362" spans="40:104" x14ac:dyDescent="0.3">
      <c r="AN1362" s="119"/>
      <c r="AO1362" s="119"/>
      <c r="AP1362" s="119"/>
      <c r="AQ1362" s="119"/>
      <c r="AS1362" s="100"/>
      <c r="CY1362" s="34" t="s">
        <v>2289</v>
      </c>
      <c r="CZ1362" s="35">
        <v>1.2336117440000002E-3</v>
      </c>
    </row>
    <row r="1363" spans="40:104" x14ac:dyDescent="0.3">
      <c r="AN1363" s="119"/>
      <c r="AO1363" s="119"/>
      <c r="AP1363" s="119"/>
      <c r="AQ1363" s="119"/>
      <c r="AS1363" s="100"/>
      <c r="CY1363" s="34" t="s">
        <v>2290</v>
      </c>
      <c r="CZ1363" s="35">
        <v>3.4373687447999998E-2</v>
      </c>
    </row>
    <row r="1364" spans="40:104" x14ac:dyDescent="0.3">
      <c r="AN1364" s="119"/>
      <c r="AO1364" s="119"/>
      <c r="AP1364" s="119"/>
      <c r="AQ1364" s="119"/>
      <c r="AS1364" s="100"/>
      <c r="CY1364" s="34" t="s">
        <v>2291</v>
      </c>
      <c r="CZ1364" s="35">
        <v>3.4373687447999998E-2</v>
      </c>
    </row>
    <row r="1365" spans="40:104" x14ac:dyDescent="0.3">
      <c r="AN1365" s="119"/>
      <c r="AO1365" s="119"/>
      <c r="AP1365" s="119"/>
      <c r="AQ1365" s="119"/>
      <c r="AS1365" s="100"/>
      <c r="CY1365" s="34" t="s">
        <v>2292</v>
      </c>
      <c r="CZ1365" s="35">
        <v>1.8761283349333337E-2</v>
      </c>
    </row>
    <row r="1366" spans="40:104" x14ac:dyDescent="0.3">
      <c r="AN1366" s="119"/>
      <c r="AO1366" s="119"/>
      <c r="AP1366" s="119"/>
      <c r="AQ1366" s="119"/>
      <c r="AS1366" s="100"/>
      <c r="CY1366" s="34" t="s">
        <v>2293</v>
      </c>
      <c r="CZ1366" s="35">
        <v>6.4276419999999999E-3</v>
      </c>
    </row>
    <row r="1367" spans="40:104" x14ac:dyDescent="0.3">
      <c r="AN1367" s="119"/>
      <c r="AO1367" s="119"/>
      <c r="AP1367" s="119"/>
      <c r="AQ1367" s="119"/>
      <c r="AS1367" s="100"/>
      <c r="CY1367" s="34" t="s">
        <v>2294</v>
      </c>
      <c r="CZ1367" s="35">
        <v>7.5282850000000012E-2</v>
      </c>
    </row>
    <row r="1368" spans="40:104" x14ac:dyDescent="0.3">
      <c r="AN1368" s="119"/>
      <c r="AO1368" s="119"/>
      <c r="AP1368" s="119"/>
      <c r="AQ1368" s="119"/>
      <c r="AS1368" s="100"/>
      <c r="CY1368" s="34" t="s">
        <v>2295</v>
      </c>
      <c r="CZ1368" s="35">
        <v>7.7768450000000003E-2</v>
      </c>
    </row>
    <row r="1369" spans="40:104" x14ac:dyDescent="0.3">
      <c r="AN1369" s="119"/>
      <c r="AO1369" s="119"/>
      <c r="AP1369" s="119"/>
      <c r="AQ1369" s="119"/>
      <c r="AS1369" s="100"/>
      <c r="CY1369" s="34" t="s">
        <v>2296</v>
      </c>
      <c r="CZ1369" s="35">
        <v>6.2419099999999998E-2</v>
      </c>
    </row>
    <row r="1370" spans="40:104" x14ac:dyDescent="0.3">
      <c r="AN1370" s="119"/>
      <c r="AO1370" s="119"/>
      <c r="AP1370" s="119"/>
      <c r="AQ1370" s="119"/>
      <c r="AS1370" s="100"/>
      <c r="CY1370" s="34" t="s">
        <v>2297</v>
      </c>
      <c r="CZ1370" s="35">
        <v>7.7768450000000003E-2</v>
      </c>
    </row>
    <row r="1371" spans="40:104" x14ac:dyDescent="0.3">
      <c r="AN1371" s="119"/>
      <c r="AO1371" s="119"/>
      <c r="AP1371" s="119"/>
      <c r="AQ1371" s="119"/>
      <c r="AS1371" s="100"/>
      <c r="CY1371" s="34" t="s">
        <v>2298</v>
      </c>
      <c r="CZ1371" s="35">
        <v>1.4874015999999999E-2</v>
      </c>
    </row>
    <row r="1372" spans="40:104" x14ac:dyDescent="0.3">
      <c r="AN1372" s="119"/>
      <c r="AO1372" s="119"/>
      <c r="AP1372" s="119"/>
      <c r="AQ1372" s="119"/>
      <c r="AS1372" s="100"/>
      <c r="CY1372" s="34" t="s">
        <v>2299</v>
      </c>
      <c r="CZ1372" s="35">
        <v>1.378888E-2</v>
      </c>
    </row>
    <row r="1373" spans="40:104" x14ac:dyDescent="0.3">
      <c r="AN1373" s="119"/>
      <c r="AO1373" s="119"/>
      <c r="AP1373" s="119"/>
      <c r="AQ1373" s="119"/>
      <c r="AS1373" s="100"/>
      <c r="CY1373" s="34" t="s">
        <v>2300</v>
      </c>
      <c r="CZ1373" s="35">
        <v>1.5353509824E-2</v>
      </c>
    </row>
    <row r="1374" spans="40:104" x14ac:dyDescent="0.3">
      <c r="AN1374" s="119"/>
      <c r="AO1374" s="119"/>
      <c r="AP1374" s="119"/>
      <c r="AQ1374" s="119"/>
      <c r="AS1374" s="100"/>
      <c r="CY1374" s="34" t="s">
        <v>2301</v>
      </c>
      <c r="CZ1374" s="35">
        <v>1.5202009824000001E-2</v>
      </c>
    </row>
    <row r="1375" spans="40:104" x14ac:dyDescent="0.3">
      <c r="AN1375" s="119"/>
      <c r="AO1375" s="119"/>
      <c r="AP1375" s="119"/>
      <c r="AQ1375" s="119"/>
      <c r="AS1375" s="100"/>
      <c r="CY1375" s="34" t="s">
        <v>2302</v>
      </c>
      <c r="CZ1375" s="35">
        <v>1.7637469824000003E-2</v>
      </c>
    </row>
    <row r="1376" spans="40:104" x14ac:dyDescent="0.3">
      <c r="AN1376" s="119"/>
      <c r="AO1376" s="119"/>
      <c r="AP1376" s="119"/>
      <c r="AQ1376" s="119"/>
      <c r="AS1376" s="100"/>
      <c r="CY1376" s="34" t="s">
        <v>2303</v>
      </c>
      <c r="CZ1376" s="35">
        <v>1.4075526816000002E-2</v>
      </c>
    </row>
    <row r="1377" spans="40:104" x14ac:dyDescent="0.3">
      <c r="AN1377" s="119"/>
      <c r="AO1377" s="119"/>
      <c r="AP1377" s="119"/>
      <c r="AQ1377" s="119"/>
      <c r="AS1377" s="100"/>
      <c r="CY1377" s="34" t="s">
        <v>2304</v>
      </c>
      <c r="CZ1377" s="35">
        <v>7.2238477866666661E-3</v>
      </c>
    </row>
    <row r="1378" spans="40:104" x14ac:dyDescent="0.3">
      <c r="AN1378" s="119"/>
      <c r="AO1378" s="119"/>
      <c r="AP1378" s="119"/>
      <c r="AQ1378" s="119"/>
      <c r="AS1378" s="100"/>
      <c r="CY1378" s="34" t="s">
        <v>2305</v>
      </c>
      <c r="CZ1378" s="35">
        <v>8.1982616045500022E-3</v>
      </c>
    </row>
    <row r="1379" spans="40:104" x14ac:dyDescent="0.3">
      <c r="AN1379" s="119"/>
      <c r="AO1379" s="119"/>
      <c r="AP1379" s="119"/>
      <c r="AQ1379" s="119"/>
      <c r="AS1379" s="100"/>
      <c r="CY1379" s="34" t="s">
        <v>2306</v>
      </c>
      <c r="CZ1379" s="35">
        <v>2.8646080832000004E-2</v>
      </c>
    </row>
    <row r="1380" spans="40:104" x14ac:dyDescent="0.3">
      <c r="AN1380" s="119"/>
      <c r="AO1380" s="119"/>
      <c r="AP1380" s="119"/>
      <c r="AQ1380" s="119"/>
      <c r="AS1380" s="100"/>
      <c r="CY1380" s="34" t="s">
        <v>2307</v>
      </c>
      <c r="CZ1380" s="35">
        <v>2.2484000000000002E-4</v>
      </c>
    </row>
    <row r="1381" spans="40:104" x14ac:dyDescent="0.3">
      <c r="AN1381" s="119"/>
      <c r="AO1381" s="119"/>
      <c r="AP1381" s="119"/>
      <c r="AQ1381" s="119"/>
      <c r="AS1381" s="100"/>
      <c r="CY1381" s="34" t="s">
        <v>2308</v>
      </c>
      <c r="CZ1381" s="35">
        <v>1.2427745347999997E-3</v>
      </c>
    </row>
    <row r="1382" spans="40:104" x14ac:dyDescent="0.3">
      <c r="AN1382" s="119"/>
      <c r="AO1382" s="119"/>
      <c r="AP1382" s="119"/>
      <c r="AQ1382" s="119"/>
      <c r="AS1382" s="100"/>
      <c r="CY1382" s="34" t="s">
        <v>2309</v>
      </c>
      <c r="CZ1382" s="35">
        <v>9.1605727200000007E-4</v>
      </c>
    </row>
    <row r="1383" spans="40:104" x14ac:dyDescent="0.3">
      <c r="AN1383" s="119"/>
      <c r="AO1383" s="119"/>
      <c r="AP1383" s="119"/>
      <c r="AQ1383" s="119"/>
      <c r="AS1383" s="100"/>
      <c r="CY1383" s="34" t="s">
        <v>2310</v>
      </c>
      <c r="CZ1383" s="35">
        <v>1.0626586112E-2</v>
      </c>
    </row>
    <row r="1384" spans="40:104" x14ac:dyDescent="0.3">
      <c r="AN1384" s="119"/>
      <c r="AO1384" s="119"/>
      <c r="AP1384" s="119"/>
      <c r="AQ1384" s="119"/>
      <c r="AS1384" s="100"/>
      <c r="CY1384" s="34" t="s">
        <v>2311</v>
      </c>
      <c r="CZ1384" s="35">
        <v>1.2102319445333333E-2</v>
      </c>
    </row>
    <row r="1385" spans="40:104" x14ac:dyDescent="0.3">
      <c r="AN1385" s="119"/>
      <c r="AO1385" s="119"/>
      <c r="AP1385" s="119"/>
      <c r="AQ1385" s="119"/>
      <c r="AS1385" s="100"/>
      <c r="CY1385" s="34" t="s">
        <v>2312</v>
      </c>
      <c r="CZ1385" s="35">
        <v>9.3800000000000003E-4</v>
      </c>
    </row>
    <row r="1386" spans="40:104" x14ac:dyDescent="0.3">
      <c r="AN1386" s="119"/>
      <c r="AO1386" s="119"/>
      <c r="AP1386" s="119"/>
      <c r="AQ1386" s="119"/>
      <c r="AS1386" s="100"/>
      <c r="CY1386" s="34" t="s">
        <v>2313</v>
      </c>
      <c r="CZ1386" s="35">
        <v>3.8999999999999999E-5</v>
      </c>
    </row>
    <row r="1387" spans="40:104" x14ac:dyDescent="0.3">
      <c r="AN1387" s="119"/>
      <c r="AO1387" s="119"/>
      <c r="AP1387" s="119"/>
      <c r="AQ1387" s="119"/>
      <c r="AS1387" s="100"/>
      <c r="CY1387" s="34" t="s">
        <v>2314</v>
      </c>
      <c r="CZ1387" s="35">
        <v>3.8999999999999999E-5</v>
      </c>
    </row>
    <row r="1388" spans="40:104" x14ac:dyDescent="0.3">
      <c r="AN1388" s="119"/>
      <c r="AO1388" s="119"/>
      <c r="AP1388" s="119"/>
      <c r="AQ1388" s="119"/>
      <c r="AS1388" s="100"/>
      <c r="CY1388" s="34" t="s">
        <v>2315</v>
      </c>
      <c r="CZ1388" s="35">
        <v>3.8999999999999999E-5</v>
      </c>
    </row>
    <row r="1389" spans="40:104" x14ac:dyDescent="0.3">
      <c r="AN1389" s="119"/>
      <c r="AO1389" s="119"/>
      <c r="AP1389" s="119"/>
      <c r="AQ1389" s="119"/>
      <c r="AS1389" s="100"/>
      <c r="CY1389" s="34" t="s">
        <v>2316</v>
      </c>
      <c r="CZ1389" s="35">
        <v>3.8999999999999999E-5</v>
      </c>
    </row>
    <row r="1390" spans="40:104" x14ac:dyDescent="0.3">
      <c r="AN1390" s="119"/>
      <c r="AO1390" s="119"/>
      <c r="AP1390" s="119"/>
      <c r="AQ1390" s="119"/>
      <c r="AS1390" s="100"/>
      <c r="CY1390" s="34" t="s">
        <v>2317</v>
      </c>
      <c r="CZ1390" s="35">
        <v>3.8999999999999999E-5</v>
      </c>
    </row>
    <row r="1391" spans="40:104" x14ac:dyDescent="0.3">
      <c r="AN1391" s="119"/>
      <c r="AO1391" s="119"/>
      <c r="AP1391" s="119"/>
      <c r="AQ1391" s="119"/>
      <c r="AS1391" s="100"/>
      <c r="CY1391" s="34" t="s">
        <v>2318</v>
      </c>
      <c r="CZ1391" s="35">
        <v>3.8999999999999999E-5</v>
      </c>
    </row>
    <row r="1392" spans="40:104" x14ac:dyDescent="0.3">
      <c r="AN1392" s="119"/>
      <c r="AO1392" s="119"/>
      <c r="AP1392" s="119"/>
      <c r="AQ1392" s="119"/>
      <c r="AS1392" s="100"/>
      <c r="CY1392" s="34" t="s">
        <v>2319</v>
      </c>
      <c r="CZ1392" s="35">
        <v>3.8999999999999999E-5</v>
      </c>
    </row>
    <row r="1393" spans="40:104" x14ac:dyDescent="0.3">
      <c r="AN1393" s="119"/>
      <c r="AO1393" s="119"/>
      <c r="AP1393" s="119"/>
      <c r="AQ1393" s="119"/>
      <c r="AS1393" s="100"/>
      <c r="CY1393" s="34" t="s">
        <v>2320</v>
      </c>
      <c r="CZ1393" s="35">
        <v>3.8999999999999999E-5</v>
      </c>
    </row>
    <row r="1394" spans="40:104" x14ac:dyDescent="0.3">
      <c r="AN1394" s="119"/>
      <c r="AO1394" s="119"/>
      <c r="AP1394" s="119"/>
      <c r="AQ1394" s="119"/>
      <c r="AS1394" s="100"/>
      <c r="CY1394" s="34" t="s">
        <v>2321</v>
      </c>
      <c r="CZ1394" s="35">
        <v>3.8999999999999999E-5</v>
      </c>
    </row>
    <row r="1395" spans="40:104" x14ac:dyDescent="0.3">
      <c r="AN1395" s="119"/>
      <c r="AO1395" s="119"/>
      <c r="AP1395" s="119"/>
      <c r="AQ1395" s="119"/>
      <c r="AS1395" s="100"/>
      <c r="CY1395" s="34" t="s">
        <v>2322</v>
      </c>
      <c r="CZ1395" s="35">
        <v>3.8999999999999999E-5</v>
      </c>
    </row>
    <row r="1396" spans="40:104" x14ac:dyDescent="0.3">
      <c r="AN1396" s="119"/>
      <c r="AO1396" s="119"/>
      <c r="AP1396" s="119"/>
      <c r="AQ1396" s="119"/>
      <c r="AS1396" s="100"/>
      <c r="CY1396" s="34" t="s">
        <v>2323</v>
      </c>
      <c r="CZ1396" s="35">
        <v>3.8999999999999999E-5</v>
      </c>
    </row>
    <row r="1397" spans="40:104" x14ac:dyDescent="0.3">
      <c r="AN1397" s="119"/>
      <c r="AO1397" s="119"/>
      <c r="AP1397" s="119"/>
      <c r="AQ1397" s="119"/>
      <c r="AS1397" s="100"/>
      <c r="CY1397" s="34" t="s">
        <v>2324</v>
      </c>
      <c r="CZ1397" s="35">
        <v>3.8999999999999999E-5</v>
      </c>
    </row>
    <row r="1398" spans="40:104" x14ac:dyDescent="0.3">
      <c r="AN1398" s="119"/>
      <c r="AO1398" s="119"/>
      <c r="AP1398" s="119"/>
      <c r="AQ1398" s="119"/>
      <c r="AS1398" s="100"/>
      <c r="CY1398" s="34" t="s">
        <v>2325</v>
      </c>
      <c r="CZ1398" s="35">
        <v>3.8999999999999999E-5</v>
      </c>
    </row>
    <row r="1399" spans="40:104" x14ac:dyDescent="0.3">
      <c r="AN1399" s="119"/>
      <c r="AO1399" s="119"/>
      <c r="AP1399" s="119"/>
      <c r="AQ1399" s="119"/>
      <c r="AS1399" s="100"/>
      <c r="CY1399" s="34" t="s">
        <v>2326</v>
      </c>
      <c r="CZ1399" s="35">
        <v>3.8999999999999999E-5</v>
      </c>
    </row>
    <row r="1400" spans="40:104" x14ac:dyDescent="0.3">
      <c r="AN1400" s="119"/>
      <c r="AO1400" s="119"/>
      <c r="AP1400" s="119"/>
      <c r="AQ1400" s="119"/>
      <c r="AS1400" s="100"/>
      <c r="CY1400" s="34" t="s">
        <v>2327</v>
      </c>
      <c r="CZ1400" s="35">
        <v>3.8999999999999999E-5</v>
      </c>
    </row>
    <row r="1401" spans="40:104" x14ac:dyDescent="0.3">
      <c r="AN1401" s="119"/>
      <c r="AO1401" s="119"/>
      <c r="AP1401" s="119"/>
      <c r="AQ1401" s="119"/>
      <c r="AS1401" s="100"/>
      <c r="CY1401" s="34" t="s">
        <v>2328</v>
      </c>
      <c r="CZ1401" s="35">
        <v>3.8999999999999999E-5</v>
      </c>
    </row>
    <row r="1402" spans="40:104" x14ac:dyDescent="0.3">
      <c r="AN1402" s="119"/>
      <c r="AO1402" s="119"/>
      <c r="AP1402" s="119"/>
      <c r="AQ1402" s="119"/>
      <c r="AS1402" s="100"/>
      <c r="CY1402" s="34" t="s">
        <v>2329</v>
      </c>
      <c r="CZ1402" s="35">
        <v>3.8999999999999999E-5</v>
      </c>
    </row>
    <row r="1403" spans="40:104" x14ac:dyDescent="0.3">
      <c r="AN1403" s="119"/>
      <c r="AO1403" s="119"/>
      <c r="AP1403" s="119"/>
      <c r="AQ1403" s="119"/>
      <c r="AS1403" s="100"/>
      <c r="CY1403" s="34" t="s">
        <v>2330</v>
      </c>
      <c r="CZ1403" s="35">
        <v>3.8999999999999999E-5</v>
      </c>
    </row>
    <row r="1404" spans="40:104" x14ac:dyDescent="0.3">
      <c r="AN1404" s="119"/>
      <c r="AO1404" s="119"/>
      <c r="AP1404" s="119"/>
      <c r="AQ1404" s="119"/>
      <c r="AS1404" s="100"/>
      <c r="CY1404" s="34" t="s">
        <v>2331</v>
      </c>
      <c r="CZ1404" s="35">
        <v>3.8999999999999999E-5</v>
      </c>
    </row>
    <row r="1405" spans="40:104" x14ac:dyDescent="0.3">
      <c r="AN1405" s="119"/>
      <c r="AO1405" s="119"/>
      <c r="AP1405" s="119"/>
      <c r="AQ1405" s="119"/>
      <c r="AS1405" s="100"/>
      <c r="CY1405" s="34" t="s">
        <v>2332</v>
      </c>
      <c r="CZ1405" s="35">
        <v>3.8999999999999999E-5</v>
      </c>
    </row>
    <row r="1406" spans="40:104" x14ac:dyDescent="0.3">
      <c r="AN1406" s="119"/>
      <c r="AO1406" s="119"/>
      <c r="AP1406" s="119"/>
      <c r="AQ1406" s="119"/>
      <c r="AS1406" s="100"/>
      <c r="CY1406" s="34" t="s">
        <v>2333</v>
      </c>
      <c r="CZ1406" s="35">
        <v>4.2831942400000007E-4</v>
      </c>
    </row>
    <row r="1407" spans="40:104" x14ac:dyDescent="0.3">
      <c r="AN1407" s="119"/>
      <c r="AO1407" s="119"/>
      <c r="AP1407" s="119"/>
      <c r="AQ1407" s="119"/>
      <c r="AS1407" s="100"/>
      <c r="CY1407" s="34" t="s">
        <v>2334</v>
      </c>
      <c r="CZ1407" s="35">
        <v>5.7485054920000007E-3</v>
      </c>
    </row>
    <row r="1408" spans="40:104" x14ac:dyDescent="0.3">
      <c r="AN1408" s="119"/>
      <c r="AO1408" s="119"/>
      <c r="AP1408" s="119"/>
      <c r="AQ1408" s="119"/>
      <c r="AS1408" s="100"/>
      <c r="CY1408" s="34" t="s">
        <v>2335</v>
      </c>
      <c r="CZ1408" s="35">
        <v>5.7485054920000007E-3</v>
      </c>
    </row>
    <row r="1409" spans="40:104" x14ac:dyDescent="0.3">
      <c r="AN1409" s="119"/>
      <c r="AO1409" s="119"/>
      <c r="AP1409" s="119"/>
      <c r="AQ1409" s="119"/>
      <c r="AS1409" s="100"/>
      <c r="CY1409" s="34" t="s">
        <v>2336</v>
      </c>
      <c r="CZ1409" s="35">
        <v>1.2068115966166667E-2</v>
      </c>
    </row>
    <row r="1410" spans="40:104" x14ac:dyDescent="0.3">
      <c r="AN1410" s="119"/>
      <c r="AO1410" s="119"/>
      <c r="AP1410" s="119"/>
      <c r="AQ1410" s="119"/>
      <c r="AS1410" s="100"/>
      <c r="CY1410" s="34" t="s">
        <v>2337</v>
      </c>
      <c r="CZ1410" s="35">
        <v>3.4302969999999995E-2</v>
      </c>
    </row>
    <row r="1411" spans="40:104" x14ac:dyDescent="0.3">
      <c r="AN1411" s="119"/>
      <c r="AO1411" s="119"/>
      <c r="AP1411" s="119"/>
      <c r="AQ1411" s="119"/>
      <c r="AS1411" s="100"/>
      <c r="CY1411" s="34" t="s">
        <v>2338</v>
      </c>
      <c r="CZ1411" s="35">
        <v>4.9391012215999994E-2</v>
      </c>
    </row>
    <row r="1412" spans="40:104" x14ac:dyDescent="0.3">
      <c r="AN1412" s="119"/>
      <c r="AO1412" s="119"/>
      <c r="AP1412" s="119"/>
      <c r="AQ1412" s="119"/>
      <c r="AS1412" s="100"/>
      <c r="CY1412" s="34" t="s">
        <v>2339</v>
      </c>
      <c r="CZ1412" s="35">
        <v>3.1827975263999997E-2</v>
      </c>
    </row>
    <row r="1413" spans="40:104" x14ac:dyDescent="0.3">
      <c r="AN1413" s="119"/>
      <c r="AO1413" s="119"/>
      <c r="AP1413" s="119"/>
      <c r="AQ1413" s="119"/>
      <c r="AS1413" s="100"/>
      <c r="CY1413" s="34" t="s">
        <v>2340</v>
      </c>
      <c r="CZ1413" s="35">
        <v>2.5328945856666666E-3</v>
      </c>
    </row>
    <row r="1414" spans="40:104" x14ac:dyDescent="0.3">
      <c r="AN1414" s="119"/>
      <c r="AO1414" s="119"/>
      <c r="AP1414" s="119"/>
      <c r="AQ1414" s="119"/>
      <c r="AS1414" s="100"/>
      <c r="CY1414" s="34" t="s">
        <v>2341</v>
      </c>
      <c r="CZ1414" s="35">
        <v>2.1486761919999996E-3</v>
      </c>
    </row>
    <row r="1415" spans="40:104" x14ac:dyDescent="0.3">
      <c r="AN1415" s="119"/>
      <c r="AO1415" s="119"/>
      <c r="AP1415" s="119"/>
      <c r="AQ1415" s="119"/>
      <c r="AS1415" s="100"/>
      <c r="CY1415" s="34" t="s">
        <v>2342</v>
      </c>
      <c r="CZ1415" s="35">
        <v>8.91781384E-4</v>
      </c>
    </row>
    <row r="1416" spans="40:104" x14ac:dyDescent="0.3">
      <c r="AN1416" s="119"/>
      <c r="AO1416" s="119"/>
      <c r="AP1416" s="119"/>
      <c r="AQ1416" s="119"/>
      <c r="AS1416" s="100"/>
      <c r="CY1416" s="34" t="s">
        <v>2343</v>
      </c>
      <c r="CZ1416" s="35">
        <v>3.6028784253400004E-2</v>
      </c>
    </row>
    <row r="1417" spans="40:104" x14ac:dyDescent="0.3">
      <c r="AN1417" s="119"/>
      <c r="AO1417" s="119"/>
      <c r="AP1417" s="119"/>
      <c r="AQ1417" s="119"/>
      <c r="AS1417" s="100"/>
      <c r="CY1417" s="34" t="s">
        <v>2344</v>
      </c>
      <c r="CZ1417" s="35">
        <v>1.3732910999999998E-3</v>
      </c>
    </row>
    <row r="1418" spans="40:104" x14ac:dyDescent="0.3">
      <c r="AN1418" s="119"/>
      <c r="AO1418" s="119"/>
      <c r="AP1418" s="119"/>
      <c r="AQ1418" s="119"/>
      <c r="AS1418" s="100"/>
      <c r="CY1418" s="34" t="s">
        <v>2345</v>
      </c>
      <c r="CZ1418" s="35">
        <v>3.0630719775999998E-2</v>
      </c>
    </row>
    <row r="1419" spans="40:104" x14ac:dyDescent="0.3">
      <c r="AN1419" s="119"/>
      <c r="AO1419" s="119"/>
      <c r="AP1419" s="119"/>
      <c r="AQ1419" s="119"/>
      <c r="AS1419" s="100"/>
      <c r="CY1419" s="34" t="s">
        <v>2346</v>
      </c>
      <c r="CZ1419" s="35">
        <v>2.2802603304E-2</v>
      </c>
    </row>
    <row r="1420" spans="40:104" x14ac:dyDescent="0.3">
      <c r="AN1420" s="119"/>
      <c r="AO1420" s="119"/>
      <c r="AP1420" s="119"/>
      <c r="AQ1420" s="119"/>
      <c r="AS1420" s="100"/>
      <c r="CY1420" s="34" t="s">
        <v>2347</v>
      </c>
      <c r="CZ1420" s="35">
        <v>2.0453039152000002E-2</v>
      </c>
    </row>
    <row r="1421" spans="40:104" x14ac:dyDescent="0.3">
      <c r="AN1421" s="119"/>
      <c r="AO1421" s="119"/>
      <c r="AP1421" s="119"/>
      <c r="AQ1421" s="119"/>
      <c r="AS1421" s="100"/>
      <c r="CY1421" s="34" t="s">
        <v>2348</v>
      </c>
      <c r="CZ1421" s="35">
        <v>2.01951672E-3</v>
      </c>
    </row>
    <row r="1422" spans="40:104" x14ac:dyDescent="0.3">
      <c r="AN1422" s="119"/>
      <c r="AO1422" s="119"/>
      <c r="AP1422" s="119"/>
      <c r="AQ1422" s="119"/>
      <c r="AS1422" s="100"/>
      <c r="CY1422" s="34" t="s">
        <v>2349</v>
      </c>
      <c r="CZ1422" s="35">
        <v>1.1507993593599998E-2</v>
      </c>
    </row>
    <row r="1423" spans="40:104" x14ac:dyDescent="0.3">
      <c r="AN1423" s="119"/>
      <c r="AO1423" s="119"/>
      <c r="AP1423" s="119"/>
      <c r="AQ1423" s="119"/>
      <c r="AS1423" s="100"/>
      <c r="CY1423" s="34" t="s">
        <v>2350</v>
      </c>
      <c r="CZ1423" s="35">
        <v>1.8426966848E-2</v>
      </c>
    </row>
    <row r="1424" spans="40:104" x14ac:dyDescent="0.3">
      <c r="AN1424" s="119"/>
      <c r="AO1424" s="119"/>
      <c r="AP1424" s="119"/>
      <c r="AQ1424" s="119"/>
      <c r="AS1424" s="100"/>
      <c r="CY1424" s="34" t="s">
        <v>2351</v>
      </c>
      <c r="CZ1424" s="35">
        <v>6.0760757120000009E-2</v>
      </c>
    </row>
    <row r="1425" spans="40:104" x14ac:dyDescent="0.3">
      <c r="AN1425" s="119"/>
      <c r="AO1425" s="119"/>
      <c r="AP1425" s="119"/>
      <c r="AQ1425" s="119"/>
      <c r="AS1425" s="100"/>
      <c r="CY1425" s="34" t="s">
        <v>2352</v>
      </c>
      <c r="CZ1425" s="35">
        <v>0.54801089663999991</v>
      </c>
    </row>
    <row r="1426" spans="40:104" x14ac:dyDescent="0.3">
      <c r="AN1426" s="119"/>
      <c r="AO1426" s="119"/>
      <c r="AP1426" s="119"/>
      <c r="AQ1426" s="119"/>
      <c r="AS1426" s="100"/>
      <c r="CY1426" s="34" t="s">
        <v>2353</v>
      </c>
      <c r="CZ1426" s="35">
        <v>1.4198184477399999E-2</v>
      </c>
    </row>
    <row r="1427" spans="40:104" x14ac:dyDescent="0.3">
      <c r="AN1427" s="119"/>
      <c r="AO1427" s="119"/>
      <c r="AP1427" s="119"/>
      <c r="AQ1427" s="119"/>
      <c r="AS1427" s="100"/>
      <c r="CY1427" s="34" t="s">
        <v>2354</v>
      </c>
      <c r="CZ1427" s="35">
        <v>7.6296937340000009E-2</v>
      </c>
    </row>
    <row r="1428" spans="40:104" x14ac:dyDescent="0.3">
      <c r="AN1428" s="119"/>
      <c r="AO1428" s="119"/>
      <c r="AP1428" s="119"/>
      <c r="AQ1428" s="119"/>
      <c r="AS1428" s="100"/>
      <c r="CY1428" s="34" t="s">
        <v>2355</v>
      </c>
      <c r="CZ1428" s="35">
        <v>1.1883027519999998E-3</v>
      </c>
    </row>
    <row r="1429" spans="40:104" x14ac:dyDescent="0.3">
      <c r="AN1429" s="119"/>
      <c r="AO1429" s="119"/>
      <c r="AP1429" s="119"/>
      <c r="AQ1429" s="119"/>
      <c r="AS1429" s="100"/>
      <c r="CY1429" s="34" t="s">
        <v>2356</v>
      </c>
      <c r="CZ1429" s="35">
        <v>4.1526666499999996E-4</v>
      </c>
    </row>
    <row r="1430" spans="40:104" x14ac:dyDescent="0.3">
      <c r="AN1430" s="119"/>
      <c r="AO1430" s="119"/>
      <c r="AP1430" s="119"/>
      <c r="AQ1430" s="119"/>
      <c r="AS1430" s="100"/>
      <c r="CY1430" s="34" t="s">
        <v>2357</v>
      </c>
      <c r="CZ1430" s="35">
        <v>1.3186976128000002E-3</v>
      </c>
    </row>
    <row r="1431" spans="40:104" x14ac:dyDescent="0.3">
      <c r="AN1431" s="119"/>
      <c r="AO1431" s="119"/>
      <c r="AP1431" s="119"/>
      <c r="AQ1431" s="119"/>
      <c r="AS1431" s="100"/>
      <c r="CY1431" s="34" t="s">
        <v>2358</v>
      </c>
      <c r="CZ1431" s="35">
        <v>4.1044177065999998E-3</v>
      </c>
    </row>
    <row r="1432" spans="40:104" x14ac:dyDescent="0.3">
      <c r="AN1432" s="119"/>
      <c r="AO1432" s="119"/>
      <c r="AP1432" s="119"/>
      <c r="AQ1432" s="119"/>
      <c r="AS1432" s="100"/>
      <c r="CY1432" s="34" t="s">
        <v>2359</v>
      </c>
      <c r="CZ1432" s="35">
        <v>4.4064030400000004E-3</v>
      </c>
    </row>
    <row r="1433" spans="40:104" x14ac:dyDescent="0.3">
      <c r="AN1433" s="119"/>
      <c r="AO1433" s="119"/>
      <c r="AP1433" s="119"/>
      <c r="AQ1433" s="119"/>
      <c r="AS1433" s="100"/>
      <c r="CY1433" s="34" t="s">
        <v>2360</v>
      </c>
      <c r="CZ1433" s="35">
        <v>0.10894826576000001</v>
      </c>
    </row>
    <row r="1434" spans="40:104" x14ac:dyDescent="0.3">
      <c r="AN1434" s="119"/>
      <c r="AO1434" s="119"/>
      <c r="AP1434" s="119"/>
      <c r="AQ1434" s="119"/>
      <c r="AS1434" s="100"/>
      <c r="CY1434" s="34" t="s">
        <v>2361</v>
      </c>
      <c r="CZ1434" s="35">
        <v>3.7120353560000006E-2</v>
      </c>
    </row>
    <row r="1435" spans="40:104" x14ac:dyDescent="0.3">
      <c r="AN1435" s="119"/>
      <c r="AO1435" s="119"/>
      <c r="AP1435" s="119"/>
      <c r="AQ1435" s="119"/>
      <c r="AS1435" s="100"/>
      <c r="CY1435" s="34" t="s">
        <v>2362</v>
      </c>
      <c r="CZ1435" s="35">
        <v>3.2920060106680006E-2</v>
      </c>
    </row>
    <row r="1436" spans="40:104" x14ac:dyDescent="0.3">
      <c r="AN1436" s="119"/>
      <c r="AO1436" s="119"/>
      <c r="AP1436" s="119"/>
      <c r="AQ1436" s="119"/>
      <c r="AS1436" s="100"/>
      <c r="CY1436" s="34" t="s">
        <v>2363</v>
      </c>
      <c r="CZ1436" s="35">
        <v>2.3878956160000003E-2</v>
      </c>
    </row>
    <row r="1437" spans="40:104" x14ac:dyDescent="0.3">
      <c r="AN1437" s="119"/>
      <c r="AO1437" s="119"/>
      <c r="AP1437" s="119"/>
      <c r="AQ1437" s="119"/>
      <c r="AS1437" s="100"/>
      <c r="CY1437" s="34" t="s">
        <v>2364</v>
      </c>
      <c r="CZ1437" s="35">
        <v>3.6089331386666666E-3</v>
      </c>
    </row>
    <row r="1438" spans="40:104" x14ac:dyDescent="0.3">
      <c r="AN1438" s="119"/>
      <c r="AO1438" s="119"/>
      <c r="AP1438" s="119"/>
      <c r="AQ1438" s="119"/>
      <c r="AS1438" s="100"/>
      <c r="CY1438" s="34" t="s">
        <v>2365</v>
      </c>
      <c r="CZ1438" s="35">
        <v>4.0903771999999993E-3</v>
      </c>
    </row>
    <row r="1439" spans="40:104" x14ac:dyDescent="0.3">
      <c r="AN1439" s="119"/>
      <c r="AO1439" s="119"/>
      <c r="AP1439" s="119"/>
      <c r="AQ1439" s="119"/>
      <c r="AS1439" s="100"/>
      <c r="CY1439" s="34" t="s">
        <v>2366</v>
      </c>
      <c r="CZ1439" s="35">
        <v>2.1235025486700001E-2</v>
      </c>
    </row>
    <row r="1440" spans="40:104" x14ac:dyDescent="0.3">
      <c r="AN1440" s="119"/>
      <c r="AO1440" s="119"/>
      <c r="AP1440" s="119"/>
      <c r="AQ1440" s="119"/>
      <c r="AS1440" s="100"/>
      <c r="CY1440" s="34" t="s">
        <v>2367</v>
      </c>
      <c r="CZ1440" s="35">
        <v>2.5735284640000002E-3</v>
      </c>
    </row>
    <row r="1441" spans="40:104" x14ac:dyDescent="0.3">
      <c r="AN1441" s="119"/>
      <c r="AO1441" s="119"/>
      <c r="AP1441" s="119"/>
      <c r="AQ1441" s="119"/>
      <c r="AS1441" s="100"/>
      <c r="CY1441" s="34" t="s">
        <v>2368</v>
      </c>
      <c r="CZ1441" s="35">
        <v>2.3186040064E-3</v>
      </c>
    </row>
    <row r="1442" spans="40:104" x14ac:dyDescent="0.3">
      <c r="AN1442" s="119"/>
      <c r="AO1442" s="119"/>
      <c r="AP1442" s="119"/>
      <c r="AQ1442" s="119"/>
      <c r="AS1442" s="100"/>
      <c r="CY1442" s="34" t="s">
        <v>2369</v>
      </c>
      <c r="CZ1442" s="35">
        <v>1.5431399999999999E-4</v>
      </c>
    </row>
    <row r="1443" spans="40:104" x14ac:dyDescent="0.3">
      <c r="AN1443" s="119"/>
      <c r="AO1443" s="119"/>
      <c r="AP1443" s="119"/>
      <c r="AQ1443" s="119"/>
      <c r="AS1443" s="100"/>
      <c r="CY1443" s="34" t="s">
        <v>2370</v>
      </c>
      <c r="CZ1443" s="35">
        <v>4.9697934335999998E-4</v>
      </c>
    </row>
    <row r="1444" spans="40:104" x14ac:dyDescent="0.3">
      <c r="AN1444" s="119"/>
      <c r="AO1444" s="119"/>
      <c r="AP1444" s="119"/>
      <c r="AQ1444" s="119"/>
      <c r="AS1444" s="100"/>
      <c r="CY1444" s="34" t="s">
        <v>2371</v>
      </c>
      <c r="CZ1444" s="35">
        <v>1.0744790459076923E-2</v>
      </c>
    </row>
    <row r="1445" spans="40:104" x14ac:dyDescent="0.3">
      <c r="AN1445" s="119"/>
      <c r="AO1445" s="119"/>
      <c r="AP1445" s="119"/>
      <c r="AQ1445" s="119"/>
      <c r="AS1445" s="100"/>
      <c r="CY1445" s="34" t="s">
        <v>2372</v>
      </c>
      <c r="CZ1445" s="35">
        <v>8.1043189503999993E-3</v>
      </c>
    </row>
    <row r="1446" spans="40:104" x14ac:dyDescent="0.3">
      <c r="AN1446" s="119"/>
      <c r="AO1446" s="119"/>
      <c r="AP1446" s="119"/>
      <c r="AQ1446" s="119"/>
      <c r="AS1446" s="100"/>
      <c r="CY1446" s="34" t="s">
        <v>2373</v>
      </c>
      <c r="CZ1446" s="35">
        <v>7.6930291243999995E-3</v>
      </c>
    </row>
    <row r="1447" spans="40:104" x14ac:dyDescent="0.3">
      <c r="AN1447" s="119"/>
      <c r="AO1447" s="119"/>
      <c r="AP1447" s="119"/>
      <c r="AQ1447" s="119"/>
      <c r="AS1447" s="100"/>
      <c r="CY1447" s="34" t="s">
        <v>2374</v>
      </c>
      <c r="CZ1447" s="35">
        <v>2.6823326044444446E-2</v>
      </c>
    </row>
    <row r="1448" spans="40:104" x14ac:dyDescent="0.3">
      <c r="AN1448" s="119"/>
      <c r="AO1448" s="119"/>
      <c r="AP1448" s="119"/>
      <c r="AQ1448" s="119"/>
      <c r="AS1448" s="100"/>
      <c r="CY1448" s="34" t="s">
        <v>2375</v>
      </c>
      <c r="CZ1448" s="35">
        <v>7.9306575253333331E-3</v>
      </c>
    </row>
    <row r="1449" spans="40:104" x14ac:dyDescent="0.3">
      <c r="AN1449" s="119"/>
      <c r="AO1449" s="119"/>
      <c r="AP1449" s="119"/>
      <c r="AQ1449" s="119"/>
      <c r="AS1449" s="100"/>
      <c r="CY1449" s="34" t="s">
        <v>2376</v>
      </c>
      <c r="CZ1449" s="35">
        <v>4.5211877503999999E-2</v>
      </c>
    </row>
    <row r="1450" spans="40:104" x14ac:dyDescent="0.3">
      <c r="AN1450" s="119"/>
      <c r="AO1450" s="119"/>
      <c r="AP1450" s="119"/>
      <c r="AQ1450" s="119"/>
      <c r="AS1450" s="100"/>
      <c r="CY1450" s="34" t="s">
        <v>2377</v>
      </c>
      <c r="CZ1450" s="35">
        <v>4.2559436538703701E-3</v>
      </c>
    </row>
    <row r="1451" spans="40:104" x14ac:dyDescent="0.3">
      <c r="AN1451" s="119"/>
      <c r="AO1451" s="119"/>
      <c r="AP1451" s="119"/>
      <c r="AQ1451" s="119"/>
      <c r="AS1451" s="100"/>
      <c r="CY1451" s="34" t="s">
        <v>2378</v>
      </c>
      <c r="CZ1451" s="35">
        <v>1.3143960959999998E-3</v>
      </c>
    </row>
    <row r="1452" spans="40:104" x14ac:dyDescent="0.3">
      <c r="AN1452" s="119"/>
      <c r="AO1452" s="119"/>
      <c r="AP1452" s="119"/>
      <c r="AQ1452" s="119"/>
      <c r="AS1452" s="100"/>
      <c r="CY1452" s="34" t="s">
        <v>2379</v>
      </c>
      <c r="CZ1452" s="35">
        <v>1.2572154816000001E-2</v>
      </c>
    </row>
    <row r="1453" spans="40:104" x14ac:dyDescent="0.3">
      <c r="AN1453" s="119"/>
      <c r="AO1453" s="119"/>
      <c r="AP1453" s="119"/>
      <c r="AQ1453" s="119"/>
      <c r="AS1453" s="100"/>
      <c r="CY1453" s="34" t="s">
        <v>2380</v>
      </c>
      <c r="CZ1453" s="35">
        <v>4.5983714400000002E-4</v>
      </c>
    </row>
    <row r="1454" spans="40:104" x14ac:dyDescent="0.3">
      <c r="AN1454" s="119"/>
      <c r="AO1454" s="119"/>
      <c r="AP1454" s="119"/>
      <c r="AQ1454" s="119"/>
      <c r="AS1454" s="100"/>
      <c r="CY1454" s="34" t="s">
        <v>2381</v>
      </c>
      <c r="CZ1454" s="35">
        <v>7.2399899200000012E-3</v>
      </c>
    </row>
    <row r="1455" spans="40:104" x14ac:dyDescent="0.3">
      <c r="AN1455" s="119"/>
      <c r="AO1455" s="119"/>
      <c r="AP1455" s="119"/>
      <c r="AQ1455" s="119"/>
      <c r="AS1455" s="100"/>
      <c r="CY1455" s="34" t="s">
        <v>2382</v>
      </c>
      <c r="CZ1455" s="35">
        <v>4.3378399999999999E-4</v>
      </c>
    </row>
    <row r="1456" spans="40:104" x14ac:dyDescent="0.3">
      <c r="AN1456" s="119"/>
      <c r="AO1456" s="119"/>
      <c r="AP1456" s="119"/>
      <c r="AQ1456" s="119"/>
      <c r="AS1456" s="100"/>
      <c r="CY1456" s="34" t="s">
        <v>2383</v>
      </c>
      <c r="CZ1456" s="35">
        <v>7.3876003425862066E-4</v>
      </c>
    </row>
    <row r="1457" spans="40:104" x14ac:dyDescent="0.3">
      <c r="AN1457" s="119"/>
      <c r="AO1457" s="119"/>
      <c r="AP1457" s="119"/>
      <c r="AQ1457" s="119"/>
      <c r="AS1457" s="100"/>
      <c r="CY1457" s="34" t="s">
        <v>2384</v>
      </c>
      <c r="CZ1457" s="35">
        <v>1.0019117333333332E-3</v>
      </c>
    </row>
    <row r="1458" spans="40:104" x14ac:dyDescent="0.3">
      <c r="AN1458" s="119"/>
      <c r="AO1458" s="119"/>
      <c r="AP1458" s="119"/>
      <c r="AQ1458" s="119"/>
      <c r="AS1458" s="100"/>
      <c r="CY1458" s="34" t="s">
        <v>2385</v>
      </c>
      <c r="CZ1458" s="35">
        <v>9.4057839999999999E-4</v>
      </c>
    </row>
    <row r="1459" spans="40:104" x14ac:dyDescent="0.3">
      <c r="AN1459" s="119"/>
      <c r="AO1459" s="119"/>
      <c r="AP1459" s="119"/>
      <c r="AQ1459" s="119"/>
      <c r="AS1459" s="100"/>
      <c r="CY1459" s="34" t="s">
        <v>2386</v>
      </c>
      <c r="CZ1459" s="35">
        <v>4.3035178879999997E-4</v>
      </c>
    </row>
    <row r="1460" spans="40:104" x14ac:dyDescent="0.3">
      <c r="AN1460" s="119"/>
      <c r="AO1460" s="119"/>
      <c r="AP1460" s="119"/>
      <c r="AQ1460" s="119"/>
      <c r="AS1460" s="100"/>
      <c r="CY1460" s="34" t="s">
        <v>2387</v>
      </c>
      <c r="CZ1460" s="35">
        <v>2.2697738253333336E-4</v>
      </c>
    </row>
    <row r="1461" spans="40:104" x14ac:dyDescent="0.3">
      <c r="AN1461" s="119"/>
      <c r="AO1461" s="119"/>
      <c r="AP1461" s="119"/>
      <c r="AQ1461" s="119"/>
      <c r="AS1461" s="100"/>
      <c r="CY1461" s="34" t="s">
        <v>2388</v>
      </c>
      <c r="CZ1461" s="35">
        <v>6.0559596799999993E-4</v>
      </c>
    </row>
    <row r="1462" spans="40:104" x14ac:dyDescent="0.3">
      <c r="AN1462" s="119"/>
      <c r="AO1462" s="119"/>
      <c r="AP1462" s="119"/>
      <c r="AQ1462" s="119"/>
      <c r="AS1462" s="100"/>
      <c r="CY1462" s="34" t="s">
        <v>2389</v>
      </c>
      <c r="CZ1462" s="35">
        <v>3.3906951215949368E-3</v>
      </c>
    </row>
    <row r="1463" spans="40:104" x14ac:dyDescent="0.3">
      <c r="AN1463" s="119"/>
      <c r="AO1463" s="119"/>
      <c r="AP1463" s="119"/>
      <c r="AQ1463" s="119"/>
      <c r="AS1463" s="100"/>
      <c r="CY1463" s="34" t="s">
        <v>2390</v>
      </c>
      <c r="CZ1463" s="35">
        <v>2.283134984E-3</v>
      </c>
    </row>
    <row r="1464" spans="40:104" x14ac:dyDescent="0.3">
      <c r="AN1464" s="119"/>
      <c r="AO1464" s="119"/>
      <c r="AP1464" s="119"/>
      <c r="AQ1464" s="119"/>
      <c r="AS1464" s="100"/>
      <c r="CY1464" s="34" t="s">
        <v>2391</v>
      </c>
      <c r="CZ1464" s="35">
        <v>3.2824399999999994E-4</v>
      </c>
    </row>
    <row r="1465" spans="40:104" x14ac:dyDescent="0.3">
      <c r="AN1465" s="119"/>
      <c r="AO1465" s="119"/>
      <c r="AP1465" s="119"/>
      <c r="AQ1465" s="119"/>
      <c r="AS1465" s="100"/>
      <c r="CY1465" s="34" t="s">
        <v>2392</v>
      </c>
      <c r="CZ1465" s="35">
        <v>2.1140473192000002E-3</v>
      </c>
    </row>
    <row r="1466" spans="40:104" x14ac:dyDescent="0.3">
      <c r="AN1466" s="119"/>
      <c r="AO1466" s="119"/>
      <c r="AP1466" s="119"/>
      <c r="AQ1466" s="119"/>
      <c r="AS1466" s="100"/>
      <c r="CY1466" s="34" t="s">
        <v>2393</v>
      </c>
      <c r="CZ1466" s="35">
        <v>3.5625090732E-3</v>
      </c>
    </row>
    <row r="1467" spans="40:104" x14ac:dyDescent="0.3">
      <c r="AN1467" s="119"/>
      <c r="AO1467" s="119"/>
      <c r="AP1467" s="119"/>
      <c r="AQ1467" s="119"/>
      <c r="AS1467" s="100"/>
      <c r="CY1467" s="34" t="s">
        <v>2394</v>
      </c>
      <c r="CZ1467" s="35">
        <v>3.5625090732E-3</v>
      </c>
    </row>
    <row r="1468" spans="40:104" x14ac:dyDescent="0.3">
      <c r="AN1468" s="119"/>
      <c r="AO1468" s="119"/>
      <c r="AP1468" s="119"/>
      <c r="AQ1468" s="119"/>
      <c r="AS1468" s="100"/>
      <c r="CY1468" s="34" t="s">
        <v>2395</v>
      </c>
      <c r="CZ1468" s="35">
        <v>3.0115848796000004E-3</v>
      </c>
    </row>
    <row r="1469" spans="40:104" x14ac:dyDescent="0.3">
      <c r="AN1469" s="119"/>
      <c r="AO1469" s="119"/>
      <c r="AP1469" s="119"/>
      <c r="AQ1469" s="119"/>
      <c r="AS1469" s="100"/>
      <c r="CY1469" s="34" t="s">
        <v>2396</v>
      </c>
      <c r="CZ1469" s="35">
        <v>3.7117178939999997E-3</v>
      </c>
    </row>
    <row r="1470" spans="40:104" x14ac:dyDescent="0.3">
      <c r="AN1470" s="119"/>
      <c r="AO1470" s="119"/>
      <c r="AP1470" s="119"/>
      <c r="AQ1470" s="119"/>
      <c r="AS1470" s="100"/>
      <c r="CY1470" s="34" t="s">
        <v>2397</v>
      </c>
      <c r="CZ1470" s="35">
        <v>3.7117178939999997E-3</v>
      </c>
    </row>
    <row r="1471" spans="40:104" x14ac:dyDescent="0.3">
      <c r="AN1471" s="119"/>
      <c r="AO1471" s="119"/>
      <c r="AP1471" s="119"/>
      <c r="AQ1471" s="119"/>
      <c r="AS1471" s="100"/>
      <c r="CY1471" s="34" t="s">
        <v>2398</v>
      </c>
      <c r="CZ1471" s="35">
        <v>0.13319702556000002</v>
      </c>
    </row>
    <row r="1472" spans="40:104" x14ac:dyDescent="0.3">
      <c r="AN1472" s="119"/>
      <c r="AO1472" s="119"/>
      <c r="AP1472" s="119"/>
      <c r="AQ1472" s="119"/>
      <c r="AS1472" s="100"/>
      <c r="CY1472" s="34" t="s">
        <v>2399</v>
      </c>
      <c r="CZ1472" s="35">
        <v>8.8788884800000013E-3</v>
      </c>
    </row>
    <row r="1473" spans="40:104" x14ac:dyDescent="0.3">
      <c r="AN1473" s="119"/>
      <c r="AO1473" s="119"/>
      <c r="AP1473" s="119"/>
      <c r="AQ1473" s="119"/>
      <c r="AS1473" s="100"/>
      <c r="CY1473" s="34" t="s">
        <v>2400</v>
      </c>
      <c r="CZ1473" s="35">
        <v>3.4045514679999999E-3</v>
      </c>
    </row>
    <row r="1474" spans="40:104" x14ac:dyDescent="0.3">
      <c r="AN1474" s="119"/>
      <c r="AO1474" s="119"/>
      <c r="AP1474" s="119"/>
      <c r="AQ1474" s="119"/>
      <c r="AS1474" s="100"/>
      <c r="CY1474" s="34" t="s">
        <v>2401</v>
      </c>
      <c r="CZ1474" s="35">
        <v>2.7577872068571432E-3</v>
      </c>
    </row>
    <row r="1475" spans="40:104" x14ac:dyDescent="0.3">
      <c r="AN1475" s="119"/>
      <c r="AO1475" s="119"/>
      <c r="AP1475" s="119"/>
      <c r="AQ1475" s="119"/>
      <c r="CY1475" s="34" t="s">
        <v>2402</v>
      </c>
      <c r="CZ1475" s="35">
        <v>4.8964044870000003E-3</v>
      </c>
    </row>
    <row r="1476" spans="40:104" x14ac:dyDescent="0.3">
      <c r="AN1476" s="119"/>
      <c r="AO1476" s="119"/>
      <c r="AP1476" s="119"/>
      <c r="AQ1476" s="119"/>
      <c r="CY1476" s="34" t="s">
        <v>2403</v>
      </c>
      <c r="CZ1476" s="35">
        <v>2.6641716714666669E-2</v>
      </c>
    </row>
    <row r="1477" spans="40:104" x14ac:dyDescent="0.3">
      <c r="AN1477" s="119"/>
      <c r="AO1477" s="119"/>
      <c r="AP1477" s="119"/>
      <c r="AQ1477" s="119"/>
      <c r="CY1477" s="34" t="s">
        <v>2404</v>
      </c>
      <c r="CZ1477" s="35">
        <v>2.6101839871999998E-2</v>
      </c>
    </row>
    <row r="1478" spans="40:104" x14ac:dyDescent="0.3">
      <c r="AN1478" s="119"/>
      <c r="AO1478" s="119"/>
      <c r="AP1478" s="119"/>
      <c r="AQ1478" s="119"/>
      <c r="CY1478" s="34" t="s">
        <v>2405</v>
      </c>
      <c r="CZ1478" s="35">
        <v>2.1011061088000001E-2</v>
      </c>
    </row>
    <row r="1479" spans="40:104" x14ac:dyDescent="0.3">
      <c r="AN1479" s="119"/>
      <c r="AO1479" s="119"/>
      <c r="AP1479" s="119"/>
      <c r="AQ1479" s="119"/>
      <c r="CY1479" s="34" t="s">
        <v>2406</v>
      </c>
      <c r="CZ1479" s="35">
        <v>3.4302969999999995E-2</v>
      </c>
    </row>
    <row r="1480" spans="40:104" x14ac:dyDescent="0.3">
      <c r="AN1480" s="119"/>
      <c r="AO1480" s="119"/>
      <c r="AP1480" s="119"/>
      <c r="AQ1480" s="119"/>
      <c r="CY1480" s="34" t="s">
        <v>2407</v>
      </c>
      <c r="CZ1480" s="35">
        <v>3.4025055999999999E-4</v>
      </c>
    </row>
    <row r="1481" spans="40:104" x14ac:dyDescent="0.3">
      <c r="AN1481" s="119"/>
      <c r="AO1481" s="119"/>
      <c r="AP1481" s="119"/>
      <c r="AQ1481" s="119"/>
      <c r="CY1481" s="34" t="s">
        <v>2408</v>
      </c>
      <c r="CZ1481" s="35">
        <v>8.8682009599999991E-4</v>
      </c>
    </row>
    <row r="1482" spans="40:104" x14ac:dyDescent="0.3">
      <c r="AN1482" s="119"/>
      <c r="AO1482" s="119"/>
      <c r="AP1482" s="119"/>
      <c r="AQ1482" s="119"/>
      <c r="CY1482" s="34" t="s">
        <v>2409</v>
      </c>
      <c r="CZ1482" s="35">
        <v>1.1673205760000002E-3</v>
      </c>
    </row>
    <row r="1483" spans="40:104" x14ac:dyDescent="0.3">
      <c r="AN1483" s="119"/>
      <c r="AO1483" s="119"/>
      <c r="AP1483" s="119"/>
      <c r="AQ1483" s="119"/>
      <c r="CY1483" s="34" t="s">
        <v>2410</v>
      </c>
      <c r="CZ1483" s="35">
        <v>1.7398278400000003E-3</v>
      </c>
    </row>
    <row r="1484" spans="40:104" x14ac:dyDescent="0.3">
      <c r="AN1484" s="119"/>
      <c r="AO1484" s="119"/>
      <c r="AP1484" s="119"/>
      <c r="AQ1484" s="119"/>
      <c r="CY1484" s="34" t="s">
        <v>2411</v>
      </c>
      <c r="CZ1484" s="35">
        <v>4.1791944800000005E-3</v>
      </c>
    </row>
    <row r="1485" spans="40:104" x14ac:dyDescent="0.3">
      <c r="AN1485" s="119"/>
      <c r="AO1485" s="119"/>
      <c r="AP1485" s="119"/>
      <c r="AQ1485" s="119"/>
      <c r="CY1485" s="34" t="s">
        <v>2412</v>
      </c>
      <c r="CZ1485" s="35">
        <v>5.1092584000000003E-3</v>
      </c>
    </row>
    <row r="1486" spans="40:104" x14ac:dyDescent="0.3">
      <c r="AN1486" s="119"/>
      <c r="AO1486" s="119"/>
      <c r="AP1486" s="119"/>
      <c r="AQ1486" s="119"/>
      <c r="CY1486" s="34" t="s">
        <v>2413</v>
      </c>
      <c r="CZ1486" s="35">
        <v>2.774354576E-3</v>
      </c>
    </row>
    <row r="1487" spans="40:104" x14ac:dyDescent="0.3">
      <c r="AN1487" s="119"/>
      <c r="AO1487" s="119"/>
      <c r="AP1487" s="119"/>
      <c r="AQ1487" s="119"/>
      <c r="CY1487" s="34" t="s">
        <v>2414</v>
      </c>
      <c r="CZ1487" s="35">
        <v>2.3005259999999998E-3</v>
      </c>
    </row>
    <row r="1488" spans="40:104" x14ac:dyDescent="0.3">
      <c r="AN1488" s="119"/>
      <c r="AO1488" s="119"/>
      <c r="AP1488" s="119"/>
      <c r="AQ1488" s="119"/>
      <c r="CY1488" s="34" t="s">
        <v>2415</v>
      </c>
      <c r="CZ1488" s="35">
        <v>1.24562696E-3</v>
      </c>
    </row>
    <row r="1489" spans="40:104" x14ac:dyDescent="0.3">
      <c r="AN1489" s="119"/>
      <c r="AO1489" s="119"/>
      <c r="AP1489" s="119"/>
      <c r="AQ1489" s="119"/>
      <c r="CY1489" s="34" t="s">
        <v>2416</v>
      </c>
      <c r="CZ1489" s="35">
        <v>3.1366676959999999E-3</v>
      </c>
    </row>
    <row r="1490" spans="40:104" x14ac:dyDescent="0.3">
      <c r="AN1490" s="119"/>
      <c r="AO1490" s="119"/>
      <c r="AP1490" s="119"/>
      <c r="AQ1490" s="119"/>
      <c r="CY1490" s="34" t="s">
        <v>2417</v>
      </c>
      <c r="CZ1490" s="35">
        <v>1.2968739999999999E-3</v>
      </c>
    </row>
    <row r="1491" spans="40:104" x14ac:dyDescent="0.3">
      <c r="AN1491" s="119"/>
      <c r="AO1491" s="119"/>
      <c r="AP1491" s="119"/>
      <c r="AQ1491" s="119"/>
      <c r="CY1491" s="34" t="s">
        <v>2418</v>
      </c>
      <c r="CZ1491" s="35">
        <v>1.5833962879999999E-3</v>
      </c>
    </row>
    <row r="1492" spans="40:104" x14ac:dyDescent="0.3">
      <c r="AN1492" s="119"/>
      <c r="AO1492" s="119"/>
      <c r="AP1492" s="119"/>
      <c r="AQ1492" s="119"/>
      <c r="CY1492" s="34" t="s">
        <v>2419</v>
      </c>
      <c r="CZ1492" s="35">
        <v>1.833328E-3</v>
      </c>
    </row>
    <row r="1493" spans="40:104" x14ac:dyDescent="0.3">
      <c r="AN1493" s="119"/>
      <c r="AO1493" s="119"/>
      <c r="AP1493" s="119"/>
      <c r="AQ1493" s="119"/>
      <c r="CY1493" s="34" t="s">
        <v>2420</v>
      </c>
      <c r="CZ1493" s="35">
        <v>1.400172238E-2</v>
      </c>
    </row>
    <row r="1494" spans="40:104" x14ac:dyDescent="0.3">
      <c r="AN1494" s="119"/>
      <c r="AO1494" s="119"/>
      <c r="AP1494" s="119"/>
      <c r="AQ1494" s="119"/>
      <c r="CY1494" s="34" t="s">
        <v>2421</v>
      </c>
      <c r="CZ1494" s="35">
        <v>4.7330837152000007E-3</v>
      </c>
    </row>
    <row r="1495" spans="40:104" x14ac:dyDescent="0.3">
      <c r="AN1495" s="119"/>
      <c r="AO1495" s="119"/>
      <c r="AP1495" s="119"/>
      <c r="AQ1495" s="119"/>
      <c r="CY1495" s="34" t="s">
        <v>2422</v>
      </c>
      <c r="CZ1495" s="35">
        <v>1.1482510683633335E-2</v>
      </c>
    </row>
    <row r="1496" spans="40:104" x14ac:dyDescent="0.3">
      <c r="AN1496" s="119"/>
      <c r="AO1496" s="119"/>
      <c r="AP1496" s="119"/>
      <c r="AQ1496" s="119"/>
      <c r="CY1496" s="34" t="s">
        <v>2423</v>
      </c>
      <c r="CZ1496" s="35">
        <v>3.8849933199999998E-3</v>
      </c>
    </row>
    <row r="1497" spans="40:104" x14ac:dyDescent="0.3">
      <c r="AN1497" s="119"/>
      <c r="AO1497" s="119"/>
      <c r="AP1497" s="119"/>
      <c r="AQ1497" s="119"/>
      <c r="CY1497" s="34" t="s">
        <v>2424</v>
      </c>
      <c r="CZ1497" s="35">
        <v>7.870469619999999E-3</v>
      </c>
    </row>
    <row r="1498" spans="40:104" x14ac:dyDescent="0.3">
      <c r="AN1498" s="119"/>
      <c r="AO1498" s="119"/>
      <c r="AP1498" s="119"/>
      <c r="AQ1498" s="119"/>
      <c r="CY1498" s="34" t="s">
        <v>2425</v>
      </c>
      <c r="CZ1498" s="35">
        <v>6.0761411999999998E-4</v>
      </c>
    </row>
    <row r="1499" spans="40:104" x14ac:dyDescent="0.3">
      <c r="AN1499" s="119"/>
      <c r="AO1499" s="119"/>
      <c r="AP1499" s="119"/>
      <c r="AQ1499" s="119"/>
      <c r="CY1499" s="34" t="s">
        <v>2426</v>
      </c>
      <c r="CZ1499" s="35">
        <v>7.1599823199999997E-4</v>
      </c>
    </row>
    <row r="1500" spans="40:104" x14ac:dyDescent="0.3">
      <c r="AN1500" s="323"/>
      <c r="AO1500" s="323"/>
      <c r="AP1500" s="323"/>
      <c r="AQ1500" s="323"/>
      <c r="CY1500" s="34" t="s">
        <v>2427</v>
      </c>
      <c r="CZ1500" s="35">
        <v>1.2592710395076923E-2</v>
      </c>
    </row>
    <row r="1501" spans="40:104" x14ac:dyDescent="0.3">
      <c r="CY1501" s="34" t="s">
        <v>2428</v>
      </c>
      <c r="CZ1501" s="35">
        <v>1.8049162559999998E-3</v>
      </c>
    </row>
    <row r="1502" spans="40:104" x14ac:dyDescent="0.3">
      <c r="CY1502" s="34" t="s">
        <v>2429</v>
      </c>
      <c r="CZ1502" s="35">
        <v>1.494998544E-3</v>
      </c>
    </row>
    <row r="1503" spans="40:104" x14ac:dyDescent="0.3">
      <c r="CY1503" s="34" t="s">
        <v>2430</v>
      </c>
      <c r="CZ1503" s="35">
        <v>8.7610972800000004E-4</v>
      </c>
    </row>
    <row r="1504" spans="40:104" x14ac:dyDescent="0.3">
      <c r="CY1504" s="34" t="s">
        <v>2431</v>
      </c>
      <c r="CZ1504" s="35">
        <v>2.6024468080000003E-3</v>
      </c>
    </row>
    <row r="1505" spans="103:104" x14ac:dyDescent="0.3">
      <c r="CY1505" s="34" t="s">
        <v>2432</v>
      </c>
      <c r="CZ1505" s="35">
        <v>4.5499447379999999E-3</v>
      </c>
    </row>
    <row r="1506" spans="103:104" x14ac:dyDescent="0.3">
      <c r="CY1506" s="34" t="s">
        <v>2433</v>
      </c>
      <c r="CZ1506" s="35">
        <v>1.3362479999999999E-3</v>
      </c>
    </row>
    <row r="1507" spans="103:104" x14ac:dyDescent="0.3">
      <c r="CY1507" s="34" t="s">
        <v>2434</v>
      </c>
      <c r="CZ1507" s="35">
        <v>1.6049146816E-2</v>
      </c>
    </row>
    <row r="1508" spans="103:104" x14ac:dyDescent="0.3">
      <c r="CY1508" s="34" t="s">
        <v>2435</v>
      </c>
      <c r="CZ1508" s="35">
        <v>1.3019047425000001E-3</v>
      </c>
    </row>
    <row r="1509" spans="103:104" x14ac:dyDescent="0.3">
      <c r="CY1509" s="34" t="s">
        <v>2436</v>
      </c>
      <c r="CZ1509" s="35">
        <v>4.5557260340000003E-3</v>
      </c>
    </row>
    <row r="1510" spans="103:104" x14ac:dyDescent="0.3">
      <c r="CY1510" s="34" t="s">
        <v>2437</v>
      </c>
      <c r="CZ1510" s="35">
        <v>4.4261372353300001E-2</v>
      </c>
    </row>
    <row r="1511" spans="103:104" x14ac:dyDescent="0.3">
      <c r="CY1511" s="34" t="s">
        <v>2438</v>
      </c>
      <c r="CZ1511" s="35">
        <v>0.48505282176000003</v>
      </c>
    </row>
    <row r="1512" spans="103:104" x14ac:dyDescent="0.3">
      <c r="CY1512" s="34" t="s">
        <v>2439</v>
      </c>
      <c r="CZ1512" s="35">
        <v>0.1397608112</v>
      </c>
    </row>
    <row r="1513" spans="103:104" x14ac:dyDescent="0.3">
      <c r="CY1513" s="34" t="s">
        <v>2440</v>
      </c>
      <c r="CZ1513" s="35">
        <v>8.2316383999999992E-4</v>
      </c>
    </row>
    <row r="1514" spans="103:104" x14ac:dyDescent="0.3">
      <c r="CY1514" s="34" t="s">
        <v>2441</v>
      </c>
      <c r="CZ1514" s="35">
        <v>1.8390244079917184E-3</v>
      </c>
    </row>
    <row r="1515" spans="103:104" x14ac:dyDescent="0.3">
      <c r="CY1515" s="34" t="s">
        <v>2442</v>
      </c>
      <c r="CZ1515" s="35">
        <v>1.8433734592000001E-2</v>
      </c>
    </row>
    <row r="1516" spans="103:104" x14ac:dyDescent="0.3">
      <c r="CY1516" s="34" t="s">
        <v>2443</v>
      </c>
      <c r="CZ1516" s="35">
        <v>3.1408197340000001E-3</v>
      </c>
    </row>
    <row r="1517" spans="103:104" x14ac:dyDescent="0.3">
      <c r="CY1517" s="34" t="s">
        <v>2444</v>
      </c>
      <c r="CZ1517" s="35">
        <v>2.395565247847143E-2</v>
      </c>
    </row>
    <row r="1518" spans="103:104" x14ac:dyDescent="0.3">
      <c r="CY1518" s="34" t="s">
        <v>2445</v>
      </c>
      <c r="CZ1518" s="35">
        <v>1.8829071039999999E-3</v>
      </c>
    </row>
    <row r="1519" spans="103:104" x14ac:dyDescent="0.3">
      <c r="CY1519" s="34" t="s">
        <v>2446</v>
      </c>
      <c r="CZ1519" s="35">
        <v>7.4750244133333322E-3</v>
      </c>
    </row>
    <row r="1520" spans="103:104" x14ac:dyDescent="0.3">
      <c r="CY1520" s="34" t="s">
        <v>2447</v>
      </c>
      <c r="CZ1520" s="35">
        <v>1.5079380160000001E-3</v>
      </c>
    </row>
    <row r="1521" spans="103:104" x14ac:dyDescent="0.3">
      <c r="CY1521" s="34" t="s">
        <v>2448</v>
      </c>
      <c r="CZ1521" s="35">
        <v>4.0947149359999999E-3</v>
      </c>
    </row>
    <row r="1522" spans="103:104" x14ac:dyDescent="0.3">
      <c r="CY1522" s="34" t="s">
        <v>2449</v>
      </c>
      <c r="CZ1522" s="35">
        <v>3.111436744E-3</v>
      </c>
    </row>
    <row r="1523" spans="103:104" x14ac:dyDescent="0.3">
      <c r="CY1523" s="34" t="s">
        <v>2450</v>
      </c>
      <c r="CZ1523" s="35">
        <v>3.5529760376000002E-3</v>
      </c>
    </row>
    <row r="1524" spans="103:104" x14ac:dyDescent="0.3">
      <c r="CY1524" s="34" t="s">
        <v>2451</v>
      </c>
      <c r="CZ1524" s="35">
        <v>1.5337528180000001E-2</v>
      </c>
    </row>
    <row r="1525" spans="103:104" x14ac:dyDescent="0.3">
      <c r="CY1525" s="34" t="s">
        <v>2452</v>
      </c>
      <c r="CZ1525" s="35">
        <v>8.4474435839999992E-4</v>
      </c>
    </row>
    <row r="1526" spans="103:104" x14ac:dyDescent="0.3">
      <c r="CY1526" s="34" t="s">
        <v>2453</v>
      </c>
      <c r="CZ1526" s="35">
        <v>3.3313192156862745E-3</v>
      </c>
    </row>
    <row r="1527" spans="103:104" x14ac:dyDescent="0.3">
      <c r="CY1527" s="34" t="s">
        <v>2454</v>
      </c>
      <c r="CZ1527" s="35">
        <v>1.2263965121599999E-2</v>
      </c>
    </row>
    <row r="1528" spans="103:104" x14ac:dyDescent="0.3">
      <c r="CY1528" s="34" t="s">
        <v>2455</v>
      </c>
      <c r="CZ1528" s="35">
        <v>1.3196775154666666E-2</v>
      </c>
    </row>
    <row r="1529" spans="103:104" x14ac:dyDescent="0.3">
      <c r="CY1529" s="34" t="s">
        <v>2456</v>
      </c>
      <c r="CZ1529" s="35">
        <v>8.0264753760000002E-3</v>
      </c>
    </row>
    <row r="1530" spans="103:104" x14ac:dyDescent="0.3">
      <c r="CY1530" s="34" t="s">
        <v>2457</v>
      </c>
      <c r="CZ1530" s="35">
        <v>6.3358738559999997E-3</v>
      </c>
    </row>
    <row r="1531" spans="103:104" x14ac:dyDescent="0.3">
      <c r="CY1531" s="34" t="s">
        <v>2458</v>
      </c>
      <c r="CZ1531" s="35">
        <v>5.9110920960000002E-3</v>
      </c>
    </row>
    <row r="1532" spans="103:104" x14ac:dyDescent="0.3">
      <c r="CY1532" s="34" t="s">
        <v>2459</v>
      </c>
      <c r="CZ1532" s="35">
        <v>3.5702029279999999E-3</v>
      </c>
    </row>
    <row r="1533" spans="103:104" x14ac:dyDescent="0.3">
      <c r="CY1533" s="34" t="s">
        <v>2460</v>
      </c>
      <c r="CZ1533" s="35">
        <v>1.5599034560000001E-2</v>
      </c>
    </row>
    <row r="1534" spans="103:104" x14ac:dyDescent="0.3">
      <c r="CY1534" s="34" t="s">
        <v>2461</v>
      </c>
      <c r="CZ1534" s="35">
        <v>3.9262460640000002E-3</v>
      </c>
    </row>
    <row r="1535" spans="103:104" x14ac:dyDescent="0.3">
      <c r="CY1535" s="34" t="s">
        <v>2462</v>
      </c>
      <c r="CZ1535" s="35">
        <v>4.4313355840000001E-3</v>
      </c>
    </row>
    <row r="1536" spans="103:104" x14ac:dyDescent="0.3">
      <c r="CY1536" s="34" t="s">
        <v>2463</v>
      </c>
      <c r="CZ1536" s="35">
        <v>1.7618762106E-2</v>
      </c>
    </row>
    <row r="1537" spans="103:104" x14ac:dyDescent="0.3">
      <c r="CY1537" s="34" t="s">
        <v>2464</v>
      </c>
      <c r="CZ1537" s="35">
        <v>2.4352464000000001E-2</v>
      </c>
    </row>
    <row r="1538" spans="103:104" x14ac:dyDescent="0.3">
      <c r="CY1538" s="34" t="s">
        <v>2465</v>
      </c>
      <c r="CZ1538" s="35">
        <v>0.72696834399999999</v>
      </c>
    </row>
    <row r="1539" spans="103:104" x14ac:dyDescent="0.3">
      <c r="CY1539" s="34" t="s">
        <v>2466</v>
      </c>
      <c r="CZ1539" s="35">
        <v>0.7307474901333334</v>
      </c>
    </row>
    <row r="1540" spans="103:104" x14ac:dyDescent="0.3">
      <c r="CY1540" s="34" t="s">
        <v>2467</v>
      </c>
      <c r="CZ1540" s="35">
        <v>9.6081819839999999E-4</v>
      </c>
    </row>
    <row r="1541" spans="103:104" x14ac:dyDescent="0.3">
      <c r="CY1541" s="34" t="s">
        <v>2468</v>
      </c>
      <c r="CZ1541" s="35">
        <v>1.7632293200000001E-3</v>
      </c>
    </row>
    <row r="1542" spans="103:104" x14ac:dyDescent="0.3">
      <c r="CY1542" s="34" t="s">
        <v>2469</v>
      </c>
      <c r="CZ1542" s="35">
        <v>4.0795560000000007E-3</v>
      </c>
    </row>
    <row r="1543" spans="103:104" x14ac:dyDescent="0.3">
      <c r="CY1543" s="34" t="s">
        <v>2470</v>
      </c>
      <c r="CZ1543" s="35">
        <v>0.88827201840000003</v>
      </c>
    </row>
    <row r="1544" spans="103:104" x14ac:dyDescent="0.3">
      <c r="CY1544" s="34" t="s">
        <v>2471</v>
      </c>
      <c r="CZ1544" s="35">
        <v>3.576122048E-3</v>
      </c>
    </row>
    <row r="1545" spans="103:104" x14ac:dyDescent="0.3">
      <c r="CY1545" s="34" t="s">
        <v>2472</v>
      </c>
      <c r="CZ1545" s="35">
        <v>1.1435415506</v>
      </c>
    </row>
    <row r="1546" spans="103:104" x14ac:dyDescent="0.3">
      <c r="CY1546" s="34" t="s">
        <v>2473</v>
      </c>
      <c r="CZ1546" s="35">
        <v>0.26012855231999998</v>
      </c>
    </row>
    <row r="1547" spans="103:104" x14ac:dyDescent="0.3">
      <c r="CY1547" s="34" t="s">
        <v>2474</v>
      </c>
      <c r="CZ1547" s="35">
        <v>4.5560882816000009E-3</v>
      </c>
    </row>
    <row r="1548" spans="103:104" x14ac:dyDescent="0.3">
      <c r="CY1548" s="34" t="s">
        <v>2475</v>
      </c>
      <c r="CZ1548" s="35">
        <v>1.204558536E-2</v>
      </c>
    </row>
    <row r="1549" spans="103:104" x14ac:dyDescent="0.3">
      <c r="CY1549" s="34" t="s">
        <v>2476</v>
      </c>
      <c r="CZ1549" s="35">
        <v>2.4146698677333335E-3</v>
      </c>
    </row>
    <row r="1550" spans="103:104" x14ac:dyDescent="0.3">
      <c r="CY1550" s="34" t="s">
        <v>2477</v>
      </c>
      <c r="CZ1550" s="35">
        <v>0.42018621090000002</v>
      </c>
    </row>
    <row r="1551" spans="103:104" x14ac:dyDescent="0.3">
      <c r="CY1551" s="34" t="s">
        <v>2478</v>
      </c>
      <c r="CZ1551" s="35">
        <v>0.83922139043800004</v>
      </c>
    </row>
    <row r="1552" spans="103:104" x14ac:dyDescent="0.3">
      <c r="CY1552" s="34" t="s">
        <v>2479</v>
      </c>
      <c r="CZ1552" s="35">
        <v>0.56649216060000007</v>
      </c>
    </row>
    <row r="1553" spans="103:104" x14ac:dyDescent="0.3">
      <c r="CY1553" s="34" t="s">
        <v>2480</v>
      </c>
      <c r="CZ1553" s="35">
        <v>0.59366683250000007</v>
      </c>
    </row>
    <row r="1554" spans="103:104" x14ac:dyDescent="0.3">
      <c r="CY1554" s="34" t="s">
        <v>2481</v>
      </c>
      <c r="CZ1554" s="35">
        <v>1.1335943499999999</v>
      </c>
    </row>
    <row r="1555" spans="103:104" x14ac:dyDescent="0.3">
      <c r="CY1555" s="34" t="s">
        <v>2482</v>
      </c>
      <c r="CZ1555" s="35">
        <v>0.32603857200000003</v>
      </c>
    </row>
    <row r="1556" spans="103:104" x14ac:dyDescent="0.3">
      <c r="CY1556" s="34" t="s">
        <v>2483</v>
      </c>
      <c r="CZ1556" s="35">
        <v>2.7694981679999998E-2</v>
      </c>
    </row>
    <row r="1557" spans="103:104" x14ac:dyDescent="0.3">
      <c r="CY1557" s="34" t="s">
        <v>2484</v>
      </c>
      <c r="CZ1557" s="35">
        <v>1.5457794600000001E-2</v>
      </c>
    </row>
    <row r="1558" spans="103:104" x14ac:dyDescent="0.3">
      <c r="CY1558" s="34" t="s">
        <v>2485</v>
      </c>
      <c r="CZ1558" s="35">
        <v>2.1532444045749995E-2</v>
      </c>
    </row>
    <row r="1559" spans="103:104" x14ac:dyDescent="0.3">
      <c r="CY1559" s="34" t="s">
        <v>2486</v>
      </c>
      <c r="CZ1559" s="35">
        <v>2.57848979658E-2</v>
      </c>
    </row>
    <row r="1560" spans="103:104" x14ac:dyDescent="0.3">
      <c r="CY1560" s="34" t="s">
        <v>2487</v>
      </c>
      <c r="CZ1560" s="35">
        <v>0.18951083444799999</v>
      </c>
    </row>
    <row r="1561" spans="103:104" x14ac:dyDescent="0.3">
      <c r="CY1561" s="34" t="s">
        <v>2488</v>
      </c>
      <c r="CZ1561" s="35">
        <v>2.4541546367999999E-2</v>
      </c>
    </row>
    <row r="1562" spans="103:104" x14ac:dyDescent="0.3">
      <c r="CY1562" s="34" t="s">
        <v>2489</v>
      </c>
      <c r="CZ1562" s="35">
        <v>2.049843288E-2</v>
      </c>
    </row>
    <row r="1563" spans="103:104" x14ac:dyDescent="0.3">
      <c r="CY1563" s="34" t="s">
        <v>2490</v>
      </c>
      <c r="CZ1563" s="35">
        <v>8.9794850159999995E-2</v>
      </c>
    </row>
    <row r="1564" spans="103:104" x14ac:dyDescent="0.3">
      <c r="CY1564" s="34" t="s">
        <v>2491</v>
      </c>
      <c r="CZ1564" s="35">
        <v>3.9680549375999997E-2</v>
      </c>
    </row>
    <row r="1565" spans="103:104" x14ac:dyDescent="0.3">
      <c r="CY1565" s="34" t="s">
        <v>2492</v>
      </c>
      <c r="CZ1565" s="35">
        <v>2.20895082E-2</v>
      </c>
    </row>
    <row r="1566" spans="103:104" x14ac:dyDescent="0.3">
      <c r="CY1566" s="34" t="s">
        <v>2493</v>
      </c>
      <c r="CZ1566" s="35">
        <v>3.7957118000000001E-3</v>
      </c>
    </row>
    <row r="1567" spans="103:104" x14ac:dyDescent="0.3">
      <c r="CY1567" s="34" t="s">
        <v>2494</v>
      </c>
      <c r="CZ1567" s="35">
        <v>1.5031034560000002E-4</v>
      </c>
    </row>
    <row r="1568" spans="103:104" x14ac:dyDescent="0.3">
      <c r="CY1568" s="34" t="s">
        <v>2495</v>
      </c>
      <c r="CZ1568" s="35">
        <v>2.7357706671428568E-3</v>
      </c>
    </row>
    <row r="1569" spans="103:104" x14ac:dyDescent="0.3">
      <c r="CY1569" s="34" t="s">
        <v>2496</v>
      </c>
      <c r="CZ1569" s="35">
        <v>2.0046848999999999E-3</v>
      </c>
    </row>
    <row r="1570" spans="103:104" x14ac:dyDescent="0.3">
      <c r="CY1570" s="34" t="s">
        <v>2497</v>
      </c>
      <c r="CZ1570" s="35">
        <v>4.3516209920000005E-4</v>
      </c>
    </row>
    <row r="1571" spans="103:104" x14ac:dyDescent="0.3">
      <c r="CY1571" s="34" t="s">
        <v>2498</v>
      </c>
      <c r="CZ1571" s="35">
        <v>4.351620992E-4</v>
      </c>
    </row>
    <row r="1572" spans="103:104" x14ac:dyDescent="0.3">
      <c r="CY1572" s="34" t="s">
        <v>2499</v>
      </c>
      <c r="CZ1572" s="35">
        <v>7.8825158400000006E-4</v>
      </c>
    </row>
    <row r="1573" spans="103:104" x14ac:dyDescent="0.3">
      <c r="CY1573" s="34" t="s">
        <v>2500</v>
      </c>
      <c r="CZ1573" s="35">
        <v>2.2436557304000005E-2</v>
      </c>
    </row>
    <row r="1574" spans="103:104" x14ac:dyDescent="0.3">
      <c r="CY1574" s="34" t="s">
        <v>2501</v>
      </c>
      <c r="CZ1574" s="35">
        <v>1.5634214E-2</v>
      </c>
    </row>
    <row r="1575" spans="103:104" x14ac:dyDescent="0.3">
      <c r="CY1575" s="34" t="s">
        <v>2502</v>
      </c>
      <c r="CZ1575" s="35">
        <v>3.7219725760000003E-2</v>
      </c>
    </row>
    <row r="1576" spans="103:104" x14ac:dyDescent="0.3">
      <c r="CY1576" s="34" t="s">
        <v>2503</v>
      </c>
      <c r="CZ1576" s="35">
        <v>6.8345607919999996E-2</v>
      </c>
    </row>
    <row r="1577" spans="103:104" x14ac:dyDescent="0.3">
      <c r="CY1577" s="34" t="s">
        <v>2504</v>
      </c>
      <c r="CZ1577" s="35">
        <v>2.4825285759999999E-2</v>
      </c>
    </row>
    <row r="1578" spans="103:104" x14ac:dyDescent="0.3">
      <c r="CY1578" s="34" t="s">
        <v>2505</v>
      </c>
      <c r="CZ1578" s="35">
        <v>1.9023947984000002E-2</v>
      </c>
    </row>
    <row r="1579" spans="103:104" x14ac:dyDescent="0.3">
      <c r="CY1579" s="34" t="s">
        <v>2506</v>
      </c>
      <c r="CZ1579" s="35">
        <v>1.7030134774400001E-2</v>
      </c>
    </row>
    <row r="1580" spans="103:104" x14ac:dyDescent="0.3">
      <c r="CY1580" s="34" t="s">
        <v>2507</v>
      </c>
      <c r="CZ1580" s="35">
        <v>1.9372090584000003E-2</v>
      </c>
    </row>
    <row r="1581" spans="103:104" x14ac:dyDescent="0.3">
      <c r="CY1581" s="34" t="s">
        <v>2508</v>
      </c>
      <c r="CZ1581" s="35">
        <v>5.2030457799999999E-2</v>
      </c>
    </row>
    <row r="1582" spans="103:104" x14ac:dyDescent="0.3">
      <c r="CY1582" s="34" t="s">
        <v>2509</v>
      </c>
      <c r="CZ1582" s="35">
        <v>1.9432698559999999E-2</v>
      </c>
    </row>
    <row r="1583" spans="103:104" x14ac:dyDescent="0.3">
      <c r="CY1583" s="34" t="s">
        <v>2510</v>
      </c>
      <c r="CZ1583" s="35">
        <v>1.5781400000000001E-2</v>
      </c>
    </row>
    <row r="1584" spans="103:104" x14ac:dyDescent="0.3">
      <c r="CY1584" s="34" t="s">
        <v>2511</v>
      </c>
      <c r="CZ1584" s="35">
        <v>1.5781400000000001E-2</v>
      </c>
    </row>
    <row r="1585" spans="103:104" x14ac:dyDescent="0.3">
      <c r="CY1585" s="34" t="s">
        <v>2512</v>
      </c>
      <c r="CZ1585" s="35">
        <v>7.9549972312000006E-2</v>
      </c>
    </row>
    <row r="1586" spans="103:104" x14ac:dyDescent="0.3">
      <c r="CY1586" s="34" t="s">
        <v>2513</v>
      </c>
      <c r="CZ1586" s="35">
        <v>7.913873728000001E-2</v>
      </c>
    </row>
    <row r="1587" spans="103:104" x14ac:dyDescent="0.3">
      <c r="CY1587" s="34" t="s">
        <v>2514</v>
      </c>
      <c r="CZ1587" s="35">
        <v>9.0084083840000009E-3</v>
      </c>
    </row>
    <row r="1588" spans="103:104" x14ac:dyDescent="0.3">
      <c r="CY1588" s="34" t="s">
        <v>2515</v>
      </c>
      <c r="CZ1588" s="35">
        <v>9.0084083840000009E-3</v>
      </c>
    </row>
    <row r="1589" spans="103:104" x14ac:dyDescent="0.3">
      <c r="CY1589" s="34" t="s">
        <v>2516</v>
      </c>
      <c r="CZ1589" s="35">
        <v>3.3405397872000003E-2</v>
      </c>
    </row>
    <row r="1590" spans="103:104" x14ac:dyDescent="0.3">
      <c r="CY1590" s="34" t="s">
        <v>2517</v>
      </c>
      <c r="CZ1590" s="35">
        <v>3.3405397872000003E-2</v>
      </c>
    </row>
    <row r="1591" spans="103:104" x14ac:dyDescent="0.3">
      <c r="CY1591" s="34" t="s">
        <v>2518</v>
      </c>
      <c r="CZ1591" s="35">
        <v>0.21730382336000001</v>
      </c>
    </row>
    <row r="1592" spans="103:104" x14ac:dyDescent="0.3">
      <c r="CY1592" s="34" t="s">
        <v>2519</v>
      </c>
      <c r="CZ1592" s="35">
        <v>0.71470777760000004</v>
      </c>
    </row>
    <row r="1593" spans="103:104" x14ac:dyDescent="0.3">
      <c r="CY1593" s="34" t="s">
        <v>2520</v>
      </c>
      <c r="CZ1593" s="35">
        <v>0.69519192799999985</v>
      </c>
    </row>
    <row r="1594" spans="103:104" x14ac:dyDescent="0.3">
      <c r="CY1594" s="34" t="s">
        <v>2521</v>
      </c>
      <c r="CZ1594" s="35">
        <v>0.21008792269333335</v>
      </c>
    </row>
    <row r="1595" spans="103:104" x14ac:dyDescent="0.3">
      <c r="CY1595" s="34" t="s">
        <v>2522</v>
      </c>
      <c r="CZ1595" s="35">
        <v>6.4842271538999999E-3</v>
      </c>
    </row>
    <row r="1596" spans="103:104" x14ac:dyDescent="0.3">
      <c r="CY1596" s="34" t="s">
        <v>2523</v>
      </c>
      <c r="CZ1596" s="35">
        <v>5.7120243967999987E-3</v>
      </c>
    </row>
    <row r="1597" spans="103:104" x14ac:dyDescent="0.3">
      <c r="CY1597" s="34" t="s">
        <v>2524</v>
      </c>
      <c r="CZ1597" s="35">
        <v>3.8999999999999999E-5</v>
      </c>
    </row>
    <row r="1598" spans="103:104" x14ac:dyDescent="0.3">
      <c r="CY1598" s="34" t="s">
        <v>2525</v>
      </c>
      <c r="CZ1598" s="35">
        <v>2.9926080640000001E-3</v>
      </c>
    </row>
    <row r="1599" spans="103:104" x14ac:dyDescent="0.3">
      <c r="CY1599" s="34" t="s">
        <v>2526</v>
      </c>
      <c r="CZ1599" s="35">
        <v>2.1752284288000003E-2</v>
      </c>
    </row>
    <row r="1600" spans="103:104" x14ac:dyDescent="0.3">
      <c r="CY1600" s="34" t="s">
        <v>2527</v>
      </c>
      <c r="CZ1600" s="35">
        <v>8.8860158304000011E-3</v>
      </c>
    </row>
    <row r="1601" spans="103:104" x14ac:dyDescent="0.3">
      <c r="CY1601" s="34" t="s">
        <v>2528</v>
      </c>
      <c r="CZ1601" s="35">
        <v>1.7859384212E-2</v>
      </c>
    </row>
    <row r="1602" spans="103:104" x14ac:dyDescent="0.3">
      <c r="CY1602" s="34" t="s">
        <v>2529</v>
      </c>
      <c r="CZ1602" s="35">
        <v>3.4681010698000003E-2</v>
      </c>
    </row>
    <row r="1603" spans="103:104" x14ac:dyDescent="0.3">
      <c r="CY1603" s="34" t="s">
        <v>2530</v>
      </c>
      <c r="CZ1603" s="35">
        <v>2.8344722848000002E-3</v>
      </c>
    </row>
    <row r="1604" spans="103:104" x14ac:dyDescent="0.3">
      <c r="CY1604" s="34" t="s">
        <v>2531</v>
      </c>
      <c r="CZ1604" s="35">
        <v>1.1788530800000002E-3</v>
      </c>
    </row>
    <row r="1605" spans="103:104" x14ac:dyDescent="0.3">
      <c r="CY1605" s="34" t="s">
        <v>2532</v>
      </c>
      <c r="CZ1605" s="35">
        <v>5.1622086208000004E-2</v>
      </c>
    </row>
    <row r="1606" spans="103:104" x14ac:dyDescent="0.3">
      <c r="CY1606" s="34" t="s">
        <v>2533</v>
      </c>
      <c r="CZ1606" s="35">
        <v>6.8339887119999998E-2</v>
      </c>
    </row>
    <row r="1607" spans="103:104" x14ac:dyDescent="0.3">
      <c r="CY1607" s="34" t="s">
        <v>2534</v>
      </c>
      <c r="CZ1607" s="35">
        <v>4.2355365556700643E-2</v>
      </c>
    </row>
    <row r="1608" spans="103:104" x14ac:dyDescent="0.3">
      <c r="CY1608" s="34" t="s">
        <v>2535</v>
      </c>
      <c r="CZ1608" s="35">
        <v>3.8999999999999999E-5</v>
      </c>
    </row>
    <row r="1609" spans="103:104" x14ac:dyDescent="0.3">
      <c r="CY1609" s="34" t="s">
        <v>2536</v>
      </c>
      <c r="CZ1609" s="35">
        <v>3.8999999999999999E-5</v>
      </c>
    </row>
    <row r="1610" spans="103:104" x14ac:dyDescent="0.3">
      <c r="CY1610" s="34" t="s">
        <v>2537</v>
      </c>
      <c r="CZ1610" s="35">
        <v>3.8999999999999999E-5</v>
      </c>
    </row>
    <row r="1611" spans="103:104" x14ac:dyDescent="0.3">
      <c r="CY1611" s="34" t="s">
        <v>2538</v>
      </c>
      <c r="CZ1611" s="35">
        <v>3.8999999999999999E-5</v>
      </c>
    </row>
    <row r="1612" spans="103:104" x14ac:dyDescent="0.3">
      <c r="CY1612" s="34" t="s">
        <v>2539</v>
      </c>
      <c r="CZ1612" s="35">
        <v>3.8999999999999999E-5</v>
      </c>
    </row>
    <row r="1613" spans="103:104" x14ac:dyDescent="0.3">
      <c r="CY1613" s="34" t="s">
        <v>2540</v>
      </c>
      <c r="CZ1613" s="35">
        <v>3.8999999999999999E-5</v>
      </c>
    </row>
    <row r="1614" spans="103:104" x14ac:dyDescent="0.3">
      <c r="CY1614" s="34" t="s">
        <v>2541</v>
      </c>
      <c r="CZ1614" s="35">
        <v>3.8999999999999999E-5</v>
      </c>
    </row>
    <row r="1615" spans="103:104" x14ac:dyDescent="0.3">
      <c r="CY1615" s="34" t="s">
        <v>2542</v>
      </c>
      <c r="CZ1615" s="35">
        <v>3.8999999999999999E-5</v>
      </c>
    </row>
    <row r="1616" spans="103:104" x14ac:dyDescent="0.3">
      <c r="CY1616" s="34" t="s">
        <v>2543</v>
      </c>
      <c r="CZ1616" s="35">
        <v>3.8999999999999999E-5</v>
      </c>
    </row>
    <row r="1617" spans="40:104" x14ac:dyDescent="0.3">
      <c r="CY1617" s="34" t="s">
        <v>2544</v>
      </c>
      <c r="CZ1617" s="35">
        <v>3.8999999999999999E-5</v>
      </c>
    </row>
    <row r="1618" spans="40:104" x14ac:dyDescent="0.3">
      <c r="CY1618" s="34" t="s">
        <v>2545</v>
      </c>
      <c r="CZ1618" s="35">
        <v>3.8999999999999999E-5</v>
      </c>
    </row>
    <row r="1619" spans="40:104" x14ac:dyDescent="0.3">
      <c r="CY1619" s="34" t="s">
        <v>2546</v>
      </c>
      <c r="CZ1619" s="35">
        <v>3.8999999999999999E-5</v>
      </c>
    </row>
    <row r="1620" spans="40:104" x14ac:dyDescent="0.3">
      <c r="CY1620" s="34" t="s">
        <v>2547</v>
      </c>
      <c r="CZ1620" s="35">
        <v>3.8999999999999999E-5</v>
      </c>
    </row>
    <row r="1621" spans="40:104" x14ac:dyDescent="0.3">
      <c r="CY1621" s="34" t="s">
        <v>2548</v>
      </c>
      <c r="CZ1621" s="35">
        <v>3.8999999999999999E-5</v>
      </c>
    </row>
    <row r="1622" spans="40:104" x14ac:dyDescent="0.3">
      <c r="CY1622" s="34" t="s">
        <v>2549</v>
      </c>
      <c r="CZ1622" s="35">
        <v>1.4594964428799999E-2</v>
      </c>
    </row>
    <row r="1623" spans="40:104" x14ac:dyDescent="0.3">
      <c r="CY1623" s="34" t="s">
        <v>2550</v>
      </c>
      <c r="CZ1623" s="35">
        <v>5.2833132800000015E-4</v>
      </c>
    </row>
    <row r="1624" spans="40:104" x14ac:dyDescent="0.3">
      <c r="CY1624" s="34" t="s">
        <v>2551</v>
      </c>
      <c r="CZ1624" s="35">
        <v>2.5960330239999997E-3</v>
      </c>
    </row>
    <row r="1625" spans="40:104" x14ac:dyDescent="0.3">
      <c r="CY1625" s="34" t="s">
        <v>2552</v>
      </c>
      <c r="CZ1625" s="35">
        <v>7.0970224000000001E-4</v>
      </c>
    </row>
    <row r="1626" spans="40:104" x14ac:dyDescent="0.3">
      <c r="CY1626" s="34" t="s">
        <v>2553</v>
      </c>
      <c r="CZ1626" s="35">
        <v>9.0510466800189406E-3</v>
      </c>
    </row>
    <row r="1627" spans="40:104" x14ac:dyDescent="0.3">
      <c r="CY1627" s="34" t="s">
        <v>2554</v>
      </c>
      <c r="CZ1627" s="35">
        <v>3.5939187967999999E-3</v>
      </c>
    </row>
    <row r="1628" spans="40:104" x14ac:dyDescent="0.3">
      <c r="CY1628" s="34" t="s">
        <v>2555</v>
      </c>
      <c r="CZ1628" s="35">
        <v>3.5939187967999999E-3</v>
      </c>
    </row>
    <row r="1629" spans="40:104" x14ac:dyDescent="0.3">
      <c r="AN1629" s="349"/>
      <c r="AO1629" s="349"/>
      <c r="AP1629" s="349"/>
      <c r="AQ1629" s="349"/>
      <c r="CY1629" s="34" t="s">
        <v>2556</v>
      </c>
      <c r="CZ1629" s="35">
        <v>2.5310620127999999E-3</v>
      </c>
    </row>
    <row r="1630" spans="40:104" x14ac:dyDescent="0.3">
      <c r="AN1630" s="119"/>
      <c r="AO1630" s="119"/>
      <c r="AP1630" s="119"/>
      <c r="AQ1630" s="119"/>
      <c r="CY1630" s="34" t="s">
        <v>2557</v>
      </c>
      <c r="CZ1630" s="35">
        <v>1.3849280224000001E-2</v>
      </c>
    </row>
    <row r="1631" spans="40:104" x14ac:dyDescent="0.3">
      <c r="AN1631" s="119"/>
      <c r="AO1631" s="119"/>
      <c r="AP1631" s="119"/>
      <c r="AQ1631" s="119"/>
      <c r="CY1631" s="34" t="s">
        <v>2558</v>
      </c>
      <c r="CZ1631" s="35">
        <v>4.4414058016018524E-3</v>
      </c>
    </row>
    <row r="1632" spans="40:104" x14ac:dyDescent="0.3">
      <c r="AN1632" s="119"/>
      <c r="AO1632" s="119"/>
      <c r="AP1632" s="119"/>
      <c r="AQ1632" s="119"/>
      <c r="CY1632" s="34" t="s">
        <v>2559</v>
      </c>
      <c r="CZ1632" s="35">
        <v>1.3291845543824073E-2</v>
      </c>
    </row>
    <row r="1633" spans="40:104" x14ac:dyDescent="0.3">
      <c r="AN1633" s="119"/>
      <c r="AO1633" s="119"/>
      <c r="AP1633" s="119"/>
      <c r="AQ1633" s="119"/>
      <c r="CY1633" s="34" t="s">
        <v>2560</v>
      </c>
      <c r="CZ1633" s="35">
        <v>1.4124654822398148E-2</v>
      </c>
    </row>
    <row r="1634" spans="40:104" x14ac:dyDescent="0.3">
      <c r="AN1634" s="119"/>
      <c r="AO1634" s="119"/>
      <c r="AP1634" s="119"/>
      <c r="AQ1634" s="119"/>
      <c r="CY1634" s="34" t="s">
        <v>2561</v>
      </c>
      <c r="CZ1634" s="35">
        <v>8.5996308536000002E-3</v>
      </c>
    </row>
    <row r="1635" spans="40:104" x14ac:dyDescent="0.3">
      <c r="AN1635" s="119"/>
      <c r="AO1635" s="119"/>
      <c r="AP1635" s="119"/>
      <c r="AQ1635" s="119"/>
      <c r="CY1635" s="34" t="s">
        <v>2562</v>
      </c>
      <c r="CZ1635" s="35">
        <v>8.6341289020000003E-3</v>
      </c>
    </row>
    <row r="1636" spans="40:104" x14ac:dyDescent="0.3">
      <c r="AN1636" s="119"/>
      <c r="AO1636" s="119"/>
      <c r="AP1636" s="119"/>
      <c r="AQ1636" s="119"/>
      <c r="CY1636" s="34" t="s">
        <v>2563</v>
      </c>
      <c r="CZ1636" s="35">
        <v>6.6731820479999995E-3</v>
      </c>
    </row>
    <row r="1637" spans="40:104" x14ac:dyDescent="0.3">
      <c r="AN1637" s="119"/>
      <c r="AO1637" s="119"/>
      <c r="AP1637" s="119"/>
      <c r="AQ1637" s="119"/>
      <c r="CY1637" s="34" t="s">
        <v>2564</v>
      </c>
      <c r="CZ1637" s="35">
        <v>1.1315066879999999E-3</v>
      </c>
    </row>
    <row r="1638" spans="40:104" x14ac:dyDescent="0.3">
      <c r="AN1638" s="119"/>
      <c r="AO1638" s="119"/>
      <c r="AP1638" s="119"/>
      <c r="AQ1638" s="119"/>
      <c r="CY1638" s="34" t="s">
        <v>2565</v>
      </c>
      <c r="CZ1638" s="35">
        <v>2.3561147546666668E-2</v>
      </c>
    </row>
    <row r="1639" spans="40:104" x14ac:dyDescent="0.3">
      <c r="AN1639" s="119"/>
      <c r="AO1639" s="119"/>
      <c r="AP1639" s="119"/>
      <c r="AQ1639" s="119"/>
      <c r="CY1639" s="34" t="s">
        <v>2566</v>
      </c>
      <c r="CZ1639" s="35">
        <v>2.8115932624000001E-2</v>
      </c>
    </row>
    <row r="1640" spans="40:104" x14ac:dyDescent="0.3">
      <c r="AN1640" s="119"/>
      <c r="AO1640" s="119"/>
      <c r="AP1640" s="119"/>
      <c r="AQ1640" s="119"/>
      <c r="CY1640" s="34" t="s">
        <v>2567</v>
      </c>
      <c r="CZ1640" s="35">
        <v>3.6427943759999998E-3</v>
      </c>
    </row>
    <row r="1641" spans="40:104" x14ac:dyDescent="0.3">
      <c r="AN1641" s="119"/>
      <c r="AO1641" s="119"/>
      <c r="AP1641" s="119"/>
      <c r="AQ1641" s="119"/>
      <c r="CY1641" s="34" t="s">
        <v>2568</v>
      </c>
      <c r="CZ1641" s="35">
        <v>1.216468656E-3</v>
      </c>
    </row>
    <row r="1642" spans="40:104" x14ac:dyDescent="0.3">
      <c r="AN1642" s="119"/>
      <c r="AO1642" s="119"/>
      <c r="AP1642" s="119"/>
      <c r="AQ1642" s="119"/>
      <c r="CY1642" s="34" t="s">
        <v>2569</v>
      </c>
      <c r="CZ1642" s="35">
        <v>1.3891614879999999E-3</v>
      </c>
    </row>
    <row r="1643" spans="40:104" x14ac:dyDescent="0.3">
      <c r="AN1643" s="119"/>
      <c r="AO1643" s="119"/>
      <c r="AP1643" s="119"/>
      <c r="AQ1643" s="119"/>
      <c r="CY1643" s="34" t="s">
        <v>2570</v>
      </c>
      <c r="CZ1643" s="35">
        <v>2.1902287727999997E-2</v>
      </c>
    </row>
    <row r="1644" spans="40:104" x14ac:dyDescent="0.3">
      <c r="AN1644" s="119"/>
      <c r="AO1644" s="119"/>
      <c r="AP1644" s="119"/>
      <c r="AQ1644" s="119"/>
      <c r="CY1644" s="34" t="s">
        <v>2571</v>
      </c>
      <c r="CZ1644" s="35">
        <v>6.6719184025600009E-2</v>
      </c>
    </row>
    <row r="1645" spans="40:104" x14ac:dyDescent="0.3">
      <c r="AN1645" s="119"/>
      <c r="AO1645" s="119"/>
      <c r="AP1645" s="119"/>
      <c r="AQ1645" s="119"/>
      <c r="CY1645" s="34" t="s">
        <v>2572</v>
      </c>
      <c r="CZ1645" s="35">
        <v>9.4539192000000008E-2</v>
      </c>
    </row>
    <row r="1646" spans="40:104" x14ac:dyDescent="0.3">
      <c r="AN1646" s="119"/>
      <c r="AO1646" s="119"/>
      <c r="AP1646" s="119"/>
      <c r="AQ1646" s="119"/>
      <c r="CY1646" s="34" t="s">
        <v>2573</v>
      </c>
      <c r="CZ1646" s="35">
        <v>0.14928492000000002</v>
      </c>
    </row>
    <row r="1647" spans="40:104" x14ac:dyDescent="0.3">
      <c r="AN1647" s="119"/>
      <c r="AO1647" s="119"/>
      <c r="AP1647" s="119"/>
      <c r="AQ1647" s="119"/>
      <c r="CY1647" s="34" t="s">
        <v>2574</v>
      </c>
      <c r="CZ1647" s="35">
        <v>0.27207236000000001</v>
      </c>
    </row>
    <row r="1648" spans="40:104" x14ac:dyDescent="0.3">
      <c r="AN1648" s="119"/>
      <c r="AO1648" s="119"/>
      <c r="AP1648" s="119"/>
      <c r="AQ1648" s="119"/>
      <c r="CY1648" s="34" t="s">
        <v>2575</v>
      </c>
      <c r="CZ1648" s="35">
        <v>0.20095792000000004</v>
      </c>
    </row>
    <row r="1649" spans="40:104" x14ac:dyDescent="0.3">
      <c r="AN1649" s="119"/>
      <c r="AO1649" s="119"/>
      <c r="AP1649" s="119"/>
      <c r="AQ1649" s="119"/>
      <c r="CY1649" s="34" t="s">
        <v>2576</v>
      </c>
      <c r="CZ1649" s="35">
        <v>1.0799091773333335E-2</v>
      </c>
    </row>
    <row r="1650" spans="40:104" x14ac:dyDescent="0.3">
      <c r="AN1650" s="119"/>
      <c r="AO1650" s="119"/>
      <c r="AP1650" s="119"/>
      <c r="AQ1650" s="119"/>
      <c r="CY1650" s="34" t="s">
        <v>2577</v>
      </c>
      <c r="CZ1650" s="35">
        <v>3.8999999999999999E-5</v>
      </c>
    </row>
    <row r="1651" spans="40:104" x14ac:dyDescent="0.3">
      <c r="AN1651" s="119"/>
      <c r="AO1651" s="119"/>
      <c r="AP1651" s="119"/>
      <c r="AQ1651" s="119"/>
      <c r="CY1651" s="34" t="s">
        <v>2578</v>
      </c>
      <c r="CZ1651" s="35">
        <v>5.8582055999999996E-4</v>
      </c>
    </row>
    <row r="1652" spans="40:104" x14ac:dyDescent="0.3">
      <c r="AN1652" s="119"/>
      <c r="AO1652" s="119"/>
      <c r="AP1652" s="119"/>
      <c r="AQ1652" s="119"/>
      <c r="CY1652" s="34" t="s">
        <v>2579</v>
      </c>
      <c r="CZ1652" s="35">
        <v>1.092648128E-3</v>
      </c>
    </row>
    <row r="1653" spans="40:104" x14ac:dyDescent="0.3">
      <c r="AN1653" s="119"/>
      <c r="AO1653" s="119"/>
      <c r="AP1653" s="119"/>
      <c r="AQ1653" s="119"/>
      <c r="CY1653" s="34" t="s">
        <v>2580</v>
      </c>
      <c r="CZ1653" s="35">
        <v>2.5866233846153844E-2</v>
      </c>
    </row>
    <row r="1654" spans="40:104" x14ac:dyDescent="0.3">
      <c r="AN1654" s="119"/>
      <c r="AO1654" s="119"/>
      <c r="AP1654" s="119"/>
      <c r="AQ1654" s="119"/>
      <c r="CY1654" s="34" t="s">
        <v>2581</v>
      </c>
      <c r="CZ1654" s="35">
        <v>2.8813566850081254E-2</v>
      </c>
    </row>
    <row r="1655" spans="40:104" x14ac:dyDescent="0.3">
      <c r="AN1655" s="119"/>
      <c r="AO1655" s="119"/>
      <c r="AP1655" s="119"/>
      <c r="AQ1655" s="119"/>
      <c r="CY1655" s="34" t="s">
        <v>2582</v>
      </c>
      <c r="CZ1655" s="35">
        <v>1.1642848879999999E-3</v>
      </c>
    </row>
    <row r="1656" spans="40:104" x14ac:dyDescent="0.3">
      <c r="AN1656" s="119"/>
      <c r="AO1656" s="119"/>
      <c r="AP1656" s="119"/>
      <c r="AQ1656" s="119"/>
      <c r="CY1656" s="34" t="s">
        <v>2583</v>
      </c>
      <c r="CZ1656" s="35">
        <v>6.3555437504000008E-3</v>
      </c>
    </row>
    <row r="1657" spans="40:104" x14ac:dyDescent="0.3">
      <c r="AN1657" s="119"/>
      <c r="AO1657" s="119"/>
      <c r="AP1657" s="119"/>
      <c r="AQ1657" s="119"/>
      <c r="CY1657" s="34" t="s">
        <v>2584</v>
      </c>
      <c r="CZ1657" s="35">
        <v>2.6154022096000002E-2</v>
      </c>
    </row>
    <row r="1658" spans="40:104" x14ac:dyDescent="0.3">
      <c r="AN1658" s="119"/>
      <c r="AO1658" s="119"/>
      <c r="AP1658" s="119"/>
      <c r="AQ1658" s="119"/>
      <c r="CY1658" s="34" t="s">
        <v>2585</v>
      </c>
      <c r="CZ1658" s="35">
        <v>3.8999999999999999E-5</v>
      </c>
    </row>
    <row r="1659" spans="40:104" x14ac:dyDescent="0.3">
      <c r="AN1659" s="119"/>
      <c r="AO1659" s="119"/>
      <c r="AP1659" s="119"/>
      <c r="AQ1659" s="119"/>
      <c r="CY1659" s="34" t="s">
        <v>2586</v>
      </c>
      <c r="CZ1659" s="35">
        <v>3.8999999999999999E-5</v>
      </c>
    </row>
    <row r="1660" spans="40:104" x14ac:dyDescent="0.3">
      <c r="AN1660" s="119"/>
      <c r="AO1660" s="119"/>
      <c r="AP1660" s="119"/>
      <c r="AQ1660" s="119"/>
      <c r="CY1660" s="34" t="s">
        <v>2587</v>
      </c>
      <c r="CZ1660" s="35">
        <v>3.8999999999999999E-5</v>
      </c>
    </row>
    <row r="1661" spans="40:104" x14ac:dyDescent="0.3">
      <c r="AN1661" s="119"/>
      <c r="AO1661" s="119"/>
      <c r="AP1661" s="119"/>
      <c r="AQ1661" s="119"/>
      <c r="CY1661" s="34" t="s">
        <v>2588</v>
      </c>
      <c r="CZ1661" s="35">
        <v>3.8999999999999999E-5</v>
      </c>
    </row>
    <row r="1662" spans="40:104" x14ac:dyDescent="0.3">
      <c r="AN1662" s="119"/>
      <c r="AO1662" s="119"/>
      <c r="AP1662" s="119"/>
      <c r="AQ1662" s="119"/>
      <c r="CY1662" s="34" t="s">
        <v>2589</v>
      </c>
      <c r="CZ1662" s="35">
        <v>2.6945082309999997E-2</v>
      </c>
    </row>
    <row r="1663" spans="40:104" x14ac:dyDescent="0.3">
      <c r="AN1663" s="119"/>
      <c r="AO1663" s="119"/>
      <c r="AP1663" s="119"/>
      <c r="AQ1663" s="119"/>
      <c r="CY1663" s="34" t="s">
        <v>2590</v>
      </c>
      <c r="CZ1663" s="35">
        <v>2.44853856E-3</v>
      </c>
    </row>
    <row r="1664" spans="40:104" x14ac:dyDescent="0.3">
      <c r="AN1664" s="119"/>
      <c r="AO1664" s="119"/>
      <c r="AP1664" s="119"/>
      <c r="AQ1664" s="119"/>
      <c r="CY1664" s="34" t="s">
        <v>2591</v>
      </c>
      <c r="CZ1664" s="35">
        <v>2.6319920640000003E-3</v>
      </c>
    </row>
    <row r="1665" spans="40:104" x14ac:dyDescent="0.3">
      <c r="AN1665" s="119"/>
      <c r="AO1665" s="119"/>
      <c r="AP1665" s="119"/>
      <c r="AQ1665" s="119"/>
      <c r="CY1665" s="34" t="s">
        <v>2592</v>
      </c>
      <c r="CZ1665" s="35">
        <v>2.6319920640000003E-3</v>
      </c>
    </row>
    <row r="1666" spans="40:104" x14ac:dyDescent="0.3">
      <c r="AN1666" s="119"/>
      <c r="AO1666" s="119"/>
      <c r="AP1666" s="119"/>
      <c r="AQ1666" s="119"/>
      <c r="CY1666" s="34" t="s">
        <v>2593</v>
      </c>
      <c r="CZ1666" s="35">
        <v>2.7589260941399997E-2</v>
      </c>
    </row>
    <row r="1667" spans="40:104" x14ac:dyDescent="0.3">
      <c r="AN1667" s="119"/>
      <c r="AO1667" s="119"/>
      <c r="AP1667" s="119"/>
      <c r="AQ1667" s="119"/>
      <c r="CY1667" s="34" t="s">
        <v>2594</v>
      </c>
      <c r="CZ1667" s="35">
        <v>5.4668997440000004E-3</v>
      </c>
    </row>
    <row r="1668" spans="40:104" x14ac:dyDescent="0.3">
      <c r="AN1668" s="119"/>
      <c r="AO1668" s="119"/>
      <c r="AP1668" s="119"/>
      <c r="AQ1668" s="119"/>
      <c r="CY1668" s="34" t="s">
        <v>2595</v>
      </c>
      <c r="CZ1668" s="35">
        <v>1.5294862239999998E-3</v>
      </c>
    </row>
    <row r="1669" spans="40:104" x14ac:dyDescent="0.3">
      <c r="AN1669" s="119"/>
      <c r="AO1669" s="119"/>
      <c r="AP1669" s="119"/>
      <c r="AQ1669" s="119"/>
      <c r="CY1669" s="34" t="s">
        <v>2596</v>
      </c>
      <c r="CZ1669" s="35">
        <v>3.4912711872000001E-3</v>
      </c>
    </row>
    <row r="1670" spans="40:104" x14ac:dyDescent="0.3">
      <c r="AN1670" s="119"/>
      <c r="AO1670" s="119"/>
      <c r="AP1670" s="119"/>
      <c r="AQ1670" s="119"/>
      <c r="CY1670" s="34" t="s">
        <v>2597</v>
      </c>
      <c r="CZ1670" s="35">
        <v>1.1469046604800002E-2</v>
      </c>
    </row>
    <row r="1671" spans="40:104" x14ac:dyDescent="0.3">
      <c r="AN1671" s="119"/>
      <c r="AO1671" s="119"/>
      <c r="AP1671" s="119"/>
      <c r="AQ1671" s="119"/>
      <c r="CY1671" s="34" t="s">
        <v>2598</v>
      </c>
      <c r="CZ1671" s="35">
        <v>5.7175504746666663E-3</v>
      </c>
    </row>
    <row r="1672" spans="40:104" x14ac:dyDescent="0.3">
      <c r="AN1672" s="119"/>
      <c r="AO1672" s="119"/>
      <c r="AP1672" s="119"/>
      <c r="AQ1672" s="119"/>
      <c r="CY1672" s="34" t="s">
        <v>2599</v>
      </c>
      <c r="CZ1672" s="35">
        <v>2.4666979136000002E-2</v>
      </c>
    </row>
    <row r="1673" spans="40:104" x14ac:dyDescent="0.3">
      <c r="AN1673" s="119"/>
      <c r="AO1673" s="119"/>
      <c r="AP1673" s="119"/>
      <c r="AQ1673" s="119"/>
      <c r="CY1673" s="34" t="s">
        <v>2600</v>
      </c>
      <c r="CZ1673" s="35">
        <v>3.8999999999999999E-5</v>
      </c>
    </row>
    <row r="1674" spans="40:104" x14ac:dyDescent="0.3">
      <c r="AN1674" s="119"/>
      <c r="AO1674" s="119"/>
      <c r="AP1674" s="119"/>
      <c r="AQ1674" s="119"/>
      <c r="CY1674" s="34" t="s">
        <v>2601</v>
      </c>
      <c r="CZ1674" s="35">
        <v>3.8999999999999999E-5</v>
      </c>
    </row>
    <row r="1675" spans="40:104" x14ac:dyDescent="0.3">
      <c r="AN1675" s="119"/>
      <c r="AO1675" s="119"/>
      <c r="AP1675" s="119"/>
      <c r="AQ1675" s="119"/>
      <c r="CY1675" s="34" t="s">
        <v>2602</v>
      </c>
      <c r="CZ1675" s="35">
        <v>3.8999999999999999E-5</v>
      </c>
    </row>
    <row r="1676" spans="40:104" x14ac:dyDescent="0.3">
      <c r="AN1676" s="119"/>
      <c r="AO1676" s="119"/>
      <c r="AP1676" s="119"/>
      <c r="AQ1676" s="119"/>
      <c r="CY1676" s="34" t="s">
        <v>2603</v>
      </c>
      <c r="CZ1676" s="35">
        <v>3.8999999999999999E-5</v>
      </c>
    </row>
    <row r="1677" spans="40:104" x14ac:dyDescent="0.3">
      <c r="AN1677" s="119"/>
      <c r="AO1677" s="119"/>
      <c r="AP1677" s="119"/>
      <c r="AQ1677" s="119"/>
      <c r="CY1677" s="34" t="s">
        <v>2604</v>
      </c>
      <c r="CZ1677" s="35">
        <v>3.8999999999999999E-5</v>
      </c>
    </row>
    <row r="1678" spans="40:104" x14ac:dyDescent="0.3">
      <c r="AN1678" s="119"/>
      <c r="AO1678" s="119"/>
      <c r="AP1678" s="119"/>
      <c r="AQ1678" s="119"/>
      <c r="CY1678" s="34" t="s">
        <v>2605</v>
      </c>
      <c r="CZ1678" s="35">
        <v>5.5991714249999998E-2</v>
      </c>
    </row>
    <row r="1679" spans="40:104" x14ac:dyDescent="0.3">
      <c r="AN1679" s="119"/>
      <c r="AO1679" s="119"/>
      <c r="AP1679" s="119"/>
      <c r="AQ1679" s="119"/>
      <c r="CY1679" s="34" t="s">
        <v>2606</v>
      </c>
      <c r="CZ1679" s="35">
        <v>3.8999999999999999E-5</v>
      </c>
    </row>
    <row r="1680" spans="40:104" x14ac:dyDescent="0.3">
      <c r="AN1680" s="119"/>
      <c r="AO1680" s="119"/>
      <c r="AP1680" s="119"/>
      <c r="AQ1680" s="119"/>
      <c r="CY1680" s="34" t="s">
        <v>2607</v>
      </c>
      <c r="CZ1680" s="35">
        <v>3.8999999999999999E-5</v>
      </c>
    </row>
    <row r="1681" spans="40:104" x14ac:dyDescent="0.3">
      <c r="AN1681" s="119"/>
      <c r="AO1681" s="119"/>
      <c r="AP1681" s="119"/>
      <c r="AQ1681" s="119"/>
      <c r="CY1681" s="34" t="s">
        <v>2608</v>
      </c>
      <c r="CZ1681" s="35">
        <v>3.8999999999999999E-5</v>
      </c>
    </row>
    <row r="1682" spans="40:104" x14ac:dyDescent="0.3">
      <c r="AN1682" s="119"/>
      <c r="AO1682" s="119"/>
      <c r="AP1682" s="119"/>
      <c r="AQ1682" s="119"/>
      <c r="CY1682" s="34" t="s">
        <v>2609</v>
      </c>
      <c r="CZ1682" s="35">
        <v>3.8999999999999999E-5</v>
      </c>
    </row>
    <row r="1683" spans="40:104" x14ac:dyDescent="0.3">
      <c r="AN1683" s="119"/>
      <c r="AO1683" s="119"/>
      <c r="AP1683" s="119"/>
      <c r="AQ1683" s="119"/>
      <c r="CY1683" s="34" t="s">
        <v>2610</v>
      </c>
      <c r="CZ1683" s="35">
        <v>3.8999999999999999E-5</v>
      </c>
    </row>
    <row r="1684" spans="40:104" x14ac:dyDescent="0.3">
      <c r="AN1684" s="119"/>
      <c r="AO1684" s="119"/>
      <c r="AP1684" s="119"/>
      <c r="AQ1684" s="119"/>
      <c r="CY1684" s="34" t="s">
        <v>2611</v>
      </c>
      <c r="CZ1684" s="35">
        <v>5.3609759999999999E-2</v>
      </c>
    </row>
    <row r="1685" spans="40:104" x14ac:dyDescent="0.3">
      <c r="AN1685" s="119"/>
      <c r="AO1685" s="119"/>
      <c r="AP1685" s="119"/>
      <c r="AQ1685" s="119"/>
      <c r="CY1685" s="34" t="s">
        <v>2612</v>
      </c>
      <c r="CZ1685" s="35">
        <v>3.8999999999999999E-5</v>
      </c>
    </row>
    <row r="1686" spans="40:104" x14ac:dyDescent="0.3">
      <c r="AN1686" s="119"/>
      <c r="AO1686" s="119"/>
      <c r="AP1686" s="119"/>
      <c r="AQ1686" s="119"/>
      <c r="CY1686" s="34" t="s">
        <v>2613</v>
      </c>
      <c r="CZ1686" s="35">
        <v>3.8999999999999999E-5</v>
      </c>
    </row>
    <row r="1687" spans="40:104" x14ac:dyDescent="0.3">
      <c r="AN1687" s="119"/>
      <c r="AO1687" s="119"/>
      <c r="AP1687" s="119"/>
      <c r="AQ1687" s="119"/>
      <c r="CY1687" s="34" t="s">
        <v>2614</v>
      </c>
      <c r="CZ1687" s="35">
        <v>3.8999999999999999E-5</v>
      </c>
    </row>
    <row r="1688" spans="40:104" x14ac:dyDescent="0.3">
      <c r="AN1688" s="119"/>
      <c r="AO1688" s="119"/>
      <c r="AP1688" s="119"/>
      <c r="AQ1688" s="119"/>
      <c r="CY1688" s="34" t="s">
        <v>2615</v>
      </c>
      <c r="CZ1688" s="35">
        <v>3.8999999999999999E-5</v>
      </c>
    </row>
    <row r="1689" spans="40:104" x14ac:dyDescent="0.3">
      <c r="AN1689" s="119"/>
      <c r="AO1689" s="119"/>
      <c r="AP1689" s="119"/>
      <c r="AQ1689" s="119"/>
      <c r="CY1689" s="34" t="s">
        <v>2616</v>
      </c>
      <c r="CZ1689" s="35">
        <v>3.8999999999999999E-5</v>
      </c>
    </row>
    <row r="1690" spans="40:104" x14ac:dyDescent="0.3">
      <c r="AN1690" s="119"/>
      <c r="AO1690" s="119"/>
      <c r="AP1690" s="119"/>
      <c r="AQ1690" s="119"/>
      <c r="CY1690" s="34" t="s">
        <v>2617</v>
      </c>
      <c r="CZ1690" s="35">
        <v>3.8999999999999999E-5</v>
      </c>
    </row>
    <row r="1691" spans="40:104" x14ac:dyDescent="0.3">
      <c r="AN1691" s="119"/>
      <c r="AO1691" s="119"/>
      <c r="AP1691" s="119"/>
      <c r="AQ1691" s="119"/>
      <c r="CY1691" s="34" t="s">
        <v>2618</v>
      </c>
      <c r="CZ1691" s="35">
        <v>3.8999999999999999E-5</v>
      </c>
    </row>
    <row r="1692" spans="40:104" x14ac:dyDescent="0.3">
      <c r="AN1692" s="119"/>
      <c r="AO1692" s="119"/>
      <c r="AP1692" s="119"/>
      <c r="AQ1692" s="119"/>
      <c r="CY1692" s="34" t="s">
        <v>2619</v>
      </c>
      <c r="CZ1692" s="35">
        <v>3.8999999999999999E-5</v>
      </c>
    </row>
    <row r="1693" spans="40:104" x14ac:dyDescent="0.3">
      <c r="AN1693" s="119"/>
      <c r="AO1693" s="119"/>
      <c r="AP1693" s="119"/>
      <c r="AQ1693" s="119"/>
      <c r="CY1693" s="34" t="s">
        <v>2620</v>
      </c>
      <c r="CZ1693" s="35">
        <v>3.8999999999999999E-5</v>
      </c>
    </row>
    <row r="1694" spans="40:104" x14ac:dyDescent="0.3">
      <c r="AN1694" s="119"/>
      <c r="AO1694" s="119"/>
      <c r="AP1694" s="119"/>
      <c r="AQ1694" s="119"/>
      <c r="CY1694" s="34" t="s">
        <v>2621</v>
      </c>
      <c r="CZ1694" s="35">
        <v>3.8999999999999999E-5</v>
      </c>
    </row>
    <row r="1695" spans="40:104" x14ac:dyDescent="0.3">
      <c r="AN1695" s="119"/>
      <c r="AO1695" s="119"/>
      <c r="AP1695" s="119"/>
      <c r="AQ1695" s="119"/>
      <c r="CY1695" s="34" t="s">
        <v>2622</v>
      </c>
      <c r="CZ1695" s="35">
        <v>5.5435600000000002E-2</v>
      </c>
    </row>
    <row r="1696" spans="40:104" x14ac:dyDescent="0.3">
      <c r="AN1696" s="119"/>
      <c r="AO1696" s="119"/>
      <c r="AP1696" s="119"/>
      <c r="AQ1696" s="119"/>
      <c r="CY1696" s="34" t="s">
        <v>2623</v>
      </c>
      <c r="CZ1696" s="35">
        <v>3.8999999999999999E-5</v>
      </c>
    </row>
    <row r="1697" spans="40:104" x14ac:dyDescent="0.3">
      <c r="AN1697" s="119"/>
      <c r="AO1697" s="119"/>
      <c r="AP1697" s="119"/>
      <c r="AQ1697" s="119"/>
      <c r="CY1697" s="34" t="s">
        <v>2624</v>
      </c>
      <c r="CZ1697" s="35">
        <v>3.8999999999999999E-5</v>
      </c>
    </row>
    <row r="1698" spans="40:104" x14ac:dyDescent="0.3">
      <c r="AN1698" s="119"/>
      <c r="AO1698" s="119"/>
      <c r="AP1698" s="119"/>
      <c r="AQ1698" s="119"/>
      <c r="CY1698" s="34" t="s">
        <v>2625</v>
      </c>
      <c r="CZ1698" s="35">
        <v>3.8999999999999999E-5</v>
      </c>
    </row>
    <row r="1699" spans="40:104" x14ac:dyDescent="0.3">
      <c r="AN1699" s="119"/>
      <c r="AO1699" s="119"/>
      <c r="AP1699" s="119"/>
      <c r="AQ1699" s="119"/>
      <c r="CY1699" s="34" t="s">
        <v>2626</v>
      </c>
      <c r="CZ1699" s="35">
        <v>3.8999999999999999E-5</v>
      </c>
    </row>
    <row r="1700" spans="40:104" x14ac:dyDescent="0.3">
      <c r="AN1700" s="119"/>
      <c r="AO1700" s="119"/>
      <c r="AP1700" s="119"/>
      <c r="AQ1700" s="119"/>
      <c r="CY1700" s="34" t="s">
        <v>2627</v>
      </c>
      <c r="CZ1700" s="35">
        <v>3.8999999999999999E-5</v>
      </c>
    </row>
    <row r="1701" spans="40:104" x14ac:dyDescent="0.3">
      <c r="AN1701" s="119"/>
      <c r="AO1701" s="119"/>
      <c r="AP1701" s="119"/>
      <c r="AQ1701" s="119"/>
      <c r="CY1701" s="34" t="s">
        <v>2628</v>
      </c>
      <c r="CZ1701" s="35">
        <v>3.8999999999999999E-5</v>
      </c>
    </row>
    <row r="1702" spans="40:104" x14ac:dyDescent="0.3">
      <c r="AN1702" s="119"/>
      <c r="AO1702" s="119"/>
      <c r="AP1702" s="119"/>
      <c r="AQ1702" s="119"/>
      <c r="CY1702" s="34" t="s">
        <v>2629</v>
      </c>
      <c r="CZ1702" s="35">
        <v>3.1907096000000003E-2</v>
      </c>
    </row>
    <row r="1703" spans="40:104" x14ac:dyDescent="0.3">
      <c r="AN1703" s="119"/>
      <c r="AO1703" s="119"/>
      <c r="AP1703" s="119"/>
      <c r="AQ1703" s="119"/>
      <c r="CY1703" s="34" t="s">
        <v>2630</v>
      </c>
      <c r="CZ1703" s="35">
        <v>3.8999999999999999E-5</v>
      </c>
    </row>
    <row r="1704" spans="40:104" x14ac:dyDescent="0.3">
      <c r="AN1704" s="119"/>
      <c r="AO1704" s="119"/>
      <c r="AP1704" s="119"/>
      <c r="AQ1704" s="119"/>
      <c r="CY1704" s="34" t="s">
        <v>2631</v>
      </c>
      <c r="CZ1704" s="35">
        <v>3.8999999999999999E-5</v>
      </c>
    </row>
    <row r="1705" spans="40:104" x14ac:dyDescent="0.3">
      <c r="AN1705" s="119"/>
      <c r="AO1705" s="119"/>
      <c r="AP1705" s="119"/>
      <c r="AQ1705" s="119"/>
      <c r="CY1705" s="34" t="s">
        <v>2632</v>
      </c>
      <c r="CZ1705" s="35">
        <v>3.8999999999999999E-5</v>
      </c>
    </row>
    <row r="1706" spans="40:104" x14ac:dyDescent="0.3">
      <c r="AN1706" s="119"/>
      <c r="AO1706" s="119"/>
      <c r="AP1706" s="119"/>
      <c r="AQ1706" s="119"/>
      <c r="CY1706" s="34" t="s">
        <v>2633</v>
      </c>
      <c r="CZ1706" s="35">
        <v>3.8999999999999999E-5</v>
      </c>
    </row>
    <row r="1707" spans="40:104" x14ac:dyDescent="0.3">
      <c r="AN1707" s="119"/>
      <c r="AO1707" s="119"/>
      <c r="AP1707" s="119"/>
      <c r="AQ1707" s="119"/>
      <c r="CY1707" s="34" t="s">
        <v>2634</v>
      </c>
      <c r="CZ1707" s="35">
        <v>3.8999999999999999E-5</v>
      </c>
    </row>
    <row r="1708" spans="40:104" x14ac:dyDescent="0.3">
      <c r="AN1708" s="119"/>
      <c r="AO1708" s="119"/>
      <c r="AP1708" s="119"/>
      <c r="AQ1708" s="119"/>
      <c r="CY1708" s="34" t="s">
        <v>2635</v>
      </c>
      <c r="CZ1708" s="35">
        <v>3.8999999999999999E-5</v>
      </c>
    </row>
    <row r="1709" spans="40:104" x14ac:dyDescent="0.3">
      <c r="AN1709" s="119"/>
      <c r="AO1709" s="119"/>
      <c r="AP1709" s="119"/>
      <c r="AQ1709" s="119"/>
      <c r="CY1709" s="34" t="s">
        <v>2636</v>
      </c>
      <c r="CZ1709" s="35">
        <v>3.8999999999999999E-5</v>
      </c>
    </row>
    <row r="1710" spans="40:104" x14ac:dyDescent="0.3">
      <c r="AN1710" s="119"/>
      <c r="AO1710" s="119"/>
      <c r="AP1710" s="119"/>
      <c r="AQ1710" s="119"/>
      <c r="CY1710" s="34" t="s">
        <v>2637</v>
      </c>
      <c r="CZ1710" s="35">
        <v>3.8999999999999999E-5</v>
      </c>
    </row>
    <row r="1711" spans="40:104" x14ac:dyDescent="0.3">
      <c r="AN1711" s="119"/>
      <c r="AO1711" s="119"/>
      <c r="AP1711" s="119"/>
      <c r="AQ1711" s="119"/>
      <c r="CY1711" s="34" t="s">
        <v>2638</v>
      </c>
      <c r="CZ1711" s="35">
        <v>3.8999999999999999E-5</v>
      </c>
    </row>
    <row r="1712" spans="40:104" x14ac:dyDescent="0.3">
      <c r="AN1712" s="119"/>
      <c r="AO1712" s="119"/>
      <c r="AP1712" s="119"/>
      <c r="AQ1712" s="119"/>
      <c r="CY1712" s="34" t="s">
        <v>2639</v>
      </c>
      <c r="CZ1712" s="35">
        <v>3.8999999999999999E-5</v>
      </c>
    </row>
    <row r="1713" spans="40:104" x14ac:dyDescent="0.3">
      <c r="AN1713" s="119"/>
      <c r="AO1713" s="119"/>
      <c r="AP1713" s="119"/>
      <c r="AQ1713" s="119"/>
      <c r="CY1713" s="34" t="s">
        <v>2640</v>
      </c>
      <c r="CZ1713" s="35">
        <v>3.8999999999999999E-5</v>
      </c>
    </row>
    <row r="1714" spans="40:104" x14ac:dyDescent="0.3">
      <c r="AN1714" s="119"/>
      <c r="AO1714" s="119"/>
      <c r="AP1714" s="119"/>
      <c r="AQ1714" s="119"/>
      <c r="CY1714" s="34" t="s">
        <v>2641</v>
      </c>
      <c r="CZ1714" s="35">
        <v>3.8999999999999999E-5</v>
      </c>
    </row>
    <row r="1715" spans="40:104" x14ac:dyDescent="0.3">
      <c r="AN1715" s="119"/>
      <c r="AO1715" s="119"/>
      <c r="AP1715" s="119"/>
      <c r="AQ1715" s="119"/>
      <c r="CY1715" s="34" t="s">
        <v>2642</v>
      </c>
      <c r="CZ1715" s="35">
        <v>3.8999999999999999E-5</v>
      </c>
    </row>
    <row r="1716" spans="40:104" x14ac:dyDescent="0.3">
      <c r="AN1716" s="119"/>
      <c r="AO1716" s="119"/>
      <c r="AP1716" s="119"/>
      <c r="AQ1716" s="119"/>
      <c r="CY1716" s="34" t="s">
        <v>2643</v>
      </c>
      <c r="CZ1716" s="35">
        <v>3.8999999999999999E-5</v>
      </c>
    </row>
    <row r="1717" spans="40:104" x14ac:dyDescent="0.3">
      <c r="AN1717" s="119"/>
      <c r="AO1717" s="119"/>
      <c r="AP1717" s="119"/>
      <c r="AQ1717" s="119"/>
      <c r="CY1717" s="34" t="s">
        <v>2644</v>
      </c>
      <c r="CZ1717" s="35">
        <v>3.8999999999999999E-5</v>
      </c>
    </row>
    <row r="1718" spans="40:104" x14ac:dyDescent="0.3">
      <c r="AN1718" s="119"/>
      <c r="AO1718" s="119"/>
      <c r="AP1718" s="119"/>
      <c r="AQ1718" s="119"/>
      <c r="CY1718" s="34" t="s">
        <v>2645</v>
      </c>
      <c r="CZ1718" s="35">
        <v>3.8999999999999999E-5</v>
      </c>
    </row>
    <row r="1719" spans="40:104" x14ac:dyDescent="0.3">
      <c r="AN1719" s="119"/>
      <c r="AO1719" s="119"/>
      <c r="AP1719" s="119"/>
      <c r="AQ1719" s="119"/>
      <c r="CY1719" s="34" t="s">
        <v>2646</v>
      </c>
      <c r="CZ1719" s="35">
        <v>6.9128102719999999E-3</v>
      </c>
    </row>
    <row r="1720" spans="40:104" x14ac:dyDescent="0.3">
      <c r="AN1720" s="119"/>
      <c r="AO1720" s="119"/>
      <c r="AP1720" s="119"/>
      <c r="AQ1720" s="119"/>
      <c r="CY1720" s="34" t="s">
        <v>2647</v>
      </c>
      <c r="CZ1720" s="35">
        <v>4.1411579850799997E-3</v>
      </c>
    </row>
    <row r="1721" spans="40:104" x14ac:dyDescent="0.3">
      <c r="AN1721" s="119"/>
      <c r="AO1721" s="119"/>
      <c r="AP1721" s="119"/>
      <c r="AQ1721" s="119"/>
      <c r="CY1721" s="34" t="s">
        <v>2648</v>
      </c>
      <c r="CZ1721" s="35">
        <v>8.4262500528599987E-2</v>
      </c>
    </row>
    <row r="1722" spans="40:104" x14ac:dyDescent="0.3">
      <c r="AN1722" s="119"/>
      <c r="AO1722" s="119"/>
      <c r="AP1722" s="119"/>
      <c r="AQ1722" s="119"/>
      <c r="CY1722" s="34" t="s">
        <v>2649</v>
      </c>
      <c r="CZ1722" s="35">
        <v>5.2245600544761905E-3</v>
      </c>
    </row>
    <row r="1723" spans="40:104" x14ac:dyDescent="0.3">
      <c r="AN1723" s="119"/>
      <c r="AO1723" s="119"/>
      <c r="AP1723" s="119"/>
      <c r="AQ1723" s="119"/>
      <c r="CY1723" s="34" t="s">
        <v>2650</v>
      </c>
      <c r="CZ1723" s="35">
        <v>1.0690291000000002E-3</v>
      </c>
    </row>
    <row r="1724" spans="40:104" x14ac:dyDescent="0.3">
      <c r="AN1724" s="119"/>
      <c r="AO1724" s="119"/>
      <c r="AP1724" s="119"/>
      <c r="AQ1724" s="119"/>
      <c r="CY1724" s="34" t="s">
        <v>2651</v>
      </c>
      <c r="CZ1724" s="35">
        <v>4.5316043766666672E-4</v>
      </c>
    </row>
    <row r="1725" spans="40:104" x14ac:dyDescent="0.3">
      <c r="AN1725" s="119"/>
      <c r="AO1725" s="119"/>
      <c r="AP1725" s="119"/>
      <c r="AQ1725" s="119"/>
      <c r="CY1725" s="34" t="s">
        <v>2652</v>
      </c>
      <c r="CZ1725" s="35">
        <v>4.5424870399999998E-4</v>
      </c>
    </row>
    <row r="1726" spans="40:104" x14ac:dyDescent="0.3">
      <c r="AN1726" s="119"/>
      <c r="AO1726" s="119"/>
      <c r="AP1726" s="119"/>
      <c r="AQ1726" s="119"/>
      <c r="CY1726" s="34" t="s">
        <v>2653</v>
      </c>
      <c r="CZ1726" s="35">
        <v>7.95436096E-4</v>
      </c>
    </row>
    <row r="1727" spans="40:104" x14ac:dyDescent="0.3">
      <c r="AN1727" s="119"/>
      <c r="AO1727" s="119"/>
      <c r="AP1727" s="119"/>
      <c r="AQ1727" s="119"/>
      <c r="CY1727" s="34" t="s">
        <v>2654</v>
      </c>
      <c r="CZ1727" s="35">
        <v>1.0743740032000001E-2</v>
      </c>
    </row>
    <row r="1728" spans="40:104" x14ac:dyDescent="0.3">
      <c r="AN1728" s="119"/>
      <c r="AO1728" s="119"/>
      <c r="AP1728" s="119"/>
      <c r="AQ1728" s="119"/>
      <c r="CY1728" s="34" t="s">
        <v>2655</v>
      </c>
      <c r="CZ1728" s="35">
        <v>1.271172188E-2</v>
      </c>
    </row>
    <row r="1729" spans="40:104" x14ac:dyDescent="0.3">
      <c r="AN1729" s="119"/>
      <c r="AO1729" s="119"/>
      <c r="AP1729" s="119"/>
      <c r="AQ1729" s="119"/>
      <c r="CY1729" s="34" t="s">
        <v>2656</v>
      </c>
      <c r="CZ1729" s="35">
        <v>1.0481877048000002E-2</v>
      </c>
    </row>
    <row r="1730" spans="40:104" x14ac:dyDescent="0.3">
      <c r="AN1730" s="119"/>
      <c r="AO1730" s="119"/>
      <c r="AP1730" s="119"/>
      <c r="AQ1730" s="119"/>
      <c r="CY1730" s="34" t="s">
        <v>2657</v>
      </c>
      <c r="CZ1730" s="35">
        <v>6.2222360719999996E-3</v>
      </c>
    </row>
    <row r="1731" spans="40:104" x14ac:dyDescent="0.3">
      <c r="AN1731" s="119"/>
      <c r="AO1731" s="119"/>
      <c r="AP1731" s="119"/>
      <c r="AQ1731" s="119"/>
      <c r="CY1731" s="34" t="s">
        <v>2658</v>
      </c>
      <c r="CZ1731" s="35">
        <v>1.9392990239999999E-3</v>
      </c>
    </row>
    <row r="1732" spans="40:104" x14ac:dyDescent="0.3">
      <c r="AN1732" s="119"/>
      <c r="AO1732" s="119"/>
      <c r="AP1732" s="119"/>
      <c r="AQ1732" s="119"/>
      <c r="CY1732" s="34" t="s">
        <v>2659</v>
      </c>
      <c r="CZ1732" s="35">
        <v>6.7381766400000001E-4</v>
      </c>
    </row>
    <row r="1733" spans="40:104" x14ac:dyDescent="0.3">
      <c r="AN1733" s="119"/>
      <c r="AO1733" s="119"/>
      <c r="AP1733" s="119"/>
      <c r="AQ1733" s="119"/>
      <c r="CY1733" s="34" t="s">
        <v>2660</v>
      </c>
      <c r="CZ1733" s="35">
        <v>2.2251260176000001E-2</v>
      </c>
    </row>
    <row r="1734" spans="40:104" x14ac:dyDescent="0.3">
      <c r="AN1734" s="119"/>
      <c r="AO1734" s="119"/>
      <c r="AP1734" s="119"/>
      <c r="AQ1734" s="119"/>
      <c r="CY1734" s="34" t="s">
        <v>2661</v>
      </c>
      <c r="CZ1734" s="35">
        <v>2.6207428670000001E-3</v>
      </c>
    </row>
    <row r="1735" spans="40:104" x14ac:dyDescent="0.3">
      <c r="AN1735" s="119"/>
      <c r="AO1735" s="119"/>
      <c r="AP1735" s="119"/>
      <c r="AQ1735" s="119"/>
      <c r="CY1735" s="34" t="s">
        <v>2662</v>
      </c>
      <c r="CZ1735" s="35">
        <v>6.2630195264000002E-2</v>
      </c>
    </row>
    <row r="1736" spans="40:104" x14ac:dyDescent="0.3">
      <c r="AN1736" s="119"/>
      <c r="AO1736" s="119"/>
      <c r="AP1736" s="119"/>
      <c r="AQ1736" s="119"/>
      <c r="CY1736" s="34" t="s">
        <v>2663</v>
      </c>
      <c r="CZ1736" s="35">
        <v>5.0467494063999994E-2</v>
      </c>
    </row>
    <row r="1737" spans="40:104" x14ac:dyDescent="0.3">
      <c r="AN1737" s="119"/>
      <c r="AO1737" s="119"/>
      <c r="AP1737" s="119"/>
      <c r="AQ1737" s="119"/>
      <c r="CY1737" s="34" t="s">
        <v>2664</v>
      </c>
      <c r="CZ1737" s="35">
        <v>4.502022116E-3</v>
      </c>
    </row>
    <row r="1738" spans="40:104" x14ac:dyDescent="0.3">
      <c r="AN1738" s="119"/>
      <c r="AO1738" s="119"/>
      <c r="AP1738" s="119"/>
      <c r="AQ1738" s="119"/>
      <c r="CY1738" s="34" t="s">
        <v>2665</v>
      </c>
      <c r="CZ1738" s="35">
        <v>7.2119581599999999E-4</v>
      </c>
    </row>
    <row r="1739" spans="40:104" x14ac:dyDescent="0.3">
      <c r="AN1739" s="119"/>
      <c r="AO1739" s="119"/>
      <c r="AP1739" s="119"/>
      <c r="AQ1739" s="119"/>
      <c r="CY1739" s="34" t="s">
        <v>2666</v>
      </c>
      <c r="CZ1739" s="35">
        <v>7.5066960000000002E-4</v>
      </c>
    </row>
    <row r="1740" spans="40:104" x14ac:dyDescent="0.3">
      <c r="AN1740" s="119"/>
      <c r="AO1740" s="119"/>
      <c r="AP1740" s="119"/>
      <c r="AQ1740" s="119"/>
      <c r="CY1740" s="34" t="s">
        <v>2667</v>
      </c>
      <c r="CZ1740" s="35">
        <v>7.5701752720000004E-4</v>
      </c>
    </row>
    <row r="1741" spans="40:104" x14ac:dyDescent="0.3">
      <c r="AN1741" s="119"/>
      <c r="AO1741" s="119"/>
      <c r="AP1741" s="119"/>
      <c r="AQ1741" s="119"/>
      <c r="CY1741" s="34" t="s">
        <v>2668</v>
      </c>
      <c r="CZ1741" s="35">
        <v>7.5755871990000005E-4</v>
      </c>
    </row>
    <row r="1742" spans="40:104" x14ac:dyDescent="0.3">
      <c r="AN1742" s="119"/>
      <c r="AO1742" s="119"/>
      <c r="AP1742" s="119"/>
      <c r="AQ1742" s="119"/>
      <c r="CY1742" s="34" t="s">
        <v>2669</v>
      </c>
      <c r="CZ1742" s="35">
        <v>6.1894432735593225E-4</v>
      </c>
    </row>
    <row r="1743" spans="40:104" x14ac:dyDescent="0.3">
      <c r="AN1743" s="119"/>
      <c r="AO1743" s="119"/>
      <c r="AP1743" s="119"/>
      <c r="AQ1743" s="119"/>
      <c r="CY1743" s="34" t="s">
        <v>2670</v>
      </c>
      <c r="CZ1743" s="35">
        <v>3.841380374375E-4</v>
      </c>
    </row>
    <row r="1744" spans="40:104" x14ac:dyDescent="0.3">
      <c r="AN1744" s="119"/>
      <c r="AO1744" s="119"/>
      <c r="AP1744" s="119"/>
      <c r="AQ1744" s="119"/>
      <c r="CY1744" s="34" t="s">
        <v>2671</v>
      </c>
      <c r="CZ1744" s="35">
        <v>4.2469869936E-2</v>
      </c>
    </row>
    <row r="1745" spans="40:104" x14ac:dyDescent="0.3">
      <c r="AN1745" s="119"/>
      <c r="AO1745" s="119"/>
      <c r="AP1745" s="119"/>
      <c r="AQ1745" s="119"/>
      <c r="CY1745" s="34" t="s">
        <v>2672</v>
      </c>
      <c r="CZ1745" s="35">
        <v>1.8892137696000001E-3</v>
      </c>
    </row>
    <row r="1746" spans="40:104" x14ac:dyDescent="0.3">
      <c r="AN1746" s="119"/>
      <c r="AO1746" s="119"/>
      <c r="AP1746" s="119"/>
      <c r="AQ1746" s="119"/>
      <c r="CY1746" s="34" t="s">
        <v>2673</v>
      </c>
      <c r="CZ1746" s="35">
        <v>1.1509514639999999E-2</v>
      </c>
    </row>
    <row r="1747" spans="40:104" x14ac:dyDescent="0.3">
      <c r="AN1747" s="119"/>
      <c r="AO1747" s="119"/>
      <c r="AP1747" s="119"/>
      <c r="AQ1747" s="119"/>
      <c r="CY1747" s="34" t="s">
        <v>2674</v>
      </c>
      <c r="CZ1747" s="35">
        <v>1.2385721172799999E-2</v>
      </c>
    </row>
    <row r="1748" spans="40:104" x14ac:dyDescent="0.3">
      <c r="AN1748" s="119"/>
      <c r="AO1748" s="119"/>
      <c r="AP1748" s="119"/>
      <c r="AQ1748" s="119"/>
      <c r="CY1748" s="34" t="s">
        <v>2675</v>
      </c>
      <c r="CZ1748" s="35">
        <v>2.9908683839999996E-3</v>
      </c>
    </row>
    <row r="1749" spans="40:104" x14ac:dyDescent="0.3">
      <c r="AN1749" s="119"/>
      <c r="AO1749" s="119"/>
      <c r="AP1749" s="119"/>
      <c r="AQ1749" s="119"/>
      <c r="CY1749" s="34" t="s">
        <v>2676</v>
      </c>
      <c r="CZ1749" s="35">
        <v>4.7988511999999994E-4</v>
      </c>
    </row>
    <row r="1750" spans="40:104" x14ac:dyDescent="0.3">
      <c r="AN1750" s="119"/>
      <c r="AO1750" s="119"/>
      <c r="AP1750" s="119"/>
      <c r="AQ1750" s="119"/>
      <c r="CY1750" s="34" t="s">
        <v>2677</v>
      </c>
      <c r="CZ1750" s="35">
        <v>9.4216222506666673E-3</v>
      </c>
    </row>
    <row r="1751" spans="40:104" x14ac:dyDescent="0.3">
      <c r="AN1751" s="119"/>
      <c r="AO1751" s="119"/>
      <c r="AP1751" s="119"/>
      <c r="AQ1751" s="119"/>
      <c r="CY1751" s="34" t="s">
        <v>2678</v>
      </c>
      <c r="CZ1751" s="35">
        <v>1.7259058856000001E-2</v>
      </c>
    </row>
    <row r="1752" spans="40:104" x14ac:dyDescent="0.3">
      <c r="AN1752" s="119"/>
      <c r="AO1752" s="119"/>
      <c r="AP1752" s="119"/>
      <c r="AQ1752" s="119"/>
      <c r="CY1752" s="34" t="s">
        <v>2679</v>
      </c>
      <c r="CZ1752" s="35">
        <v>1.8054364224000002E-2</v>
      </c>
    </row>
    <row r="1753" spans="40:104" x14ac:dyDescent="0.3">
      <c r="AN1753" s="119"/>
      <c r="AO1753" s="119"/>
      <c r="AP1753" s="119"/>
      <c r="AQ1753" s="119"/>
      <c r="CY1753" s="34" t="s">
        <v>2680</v>
      </c>
      <c r="CZ1753" s="35">
        <v>0.28085088333333336</v>
      </c>
    </row>
    <row r="1754" spans="40:104" x14ac:dyDescent="0.3">
      <c r="AN1754" s="119"/>
      <c r="AO1754" s="119"/>
      <c r="AP1754" s="119"/>
      <c r="AQ1754" s="119"/>
      <c r="CY1754" s="34" t="s">
        <v>2681</v>
      </c>
      <c r="CZ1754" s="35">
        <v>0.30491352000000005</v>
      </c>
    </row>
    <row r="1755" spans="40:104" x14ac:dyDescent="0.3">
      <c r="AN1755" s="119"/>
      <c r="AO1755" s="119"/>
      <c r="AP1755" s="119"/>
      <c r="AQ1755" s="119"/>
      <c r="CY1755" s="34" t="s">
        <v>2682</v>
      </c>
      <c r="CZ1755" s="35">
        <v>0.1206006</v>
      </c>
    </row>
    <row r="1756" spans="40:104" x14ac:dyDescent="0.3">
      <c r="AN1756" s="119"/>
      <c r="AO1756" s="119"/>
      <c r="AP1756" s="119"/>
      <c r="AQ1756" s="119"/>
      <c r="CY1756" s="34" t="s">
        <v>2683</v>
      </c>
      <c r="CZ1756" s="35">
        <v>0.15559679999999998</v>
      </c>
    </row>
    <row r="1757" spans="40:104" x14ac:dyDescent="0.3">
      <c r="AN1757" s="119"/>
      <c r="AO1757" s="119"/>
      <c r="AP1757" s="119"/>
      <c r="AQ1757" s="119"/>
      <c r="CY1757" s="34" t="s">
        <v>2684</v>
      </c>
      <c r="CZ1757" s="35">
        <v>0.15161524800000001</v>
      </c>
    </row>
    <row r="1758" spans="40:104" x14ac:dyDescent="0.3">
      <c r="AN1758" s="119"/>
      <c r="AO1758" s="119"/>
      <c r="AP1758" s="119"/>
      <c r="AQ1758" s="119"/>
      <c r="CY1758" s="34" t="s">
        <v>2685</v>
      </c>
      <c r="CZ1758" s="35">
        <v>0.21523941120000001</v>
      </c>
    </row>
    <row r="1759" spans="40:104" x14ac:dyDescent="0.3">
      <c r="AN1759" s="119"/>
      <c r="AO1759" s="119"/>
      <c r="AP1759" s="119"/>
      <c r="AQ1759" s="119"/>
      <c r="CY1759" s="34" t="s">
        <v>2686</v>
      </c>
      <c r="CZ1759" s="35">
        <v>0.19251079500000001</v>
      </c>
    </row>
    <row r="1760" spans="40:104" x14ac:dyDescent="0.3">
      <c r="AN1760" s="119"/>
      <c r="AO1760" s="119"/>
      <c r="AP1760" s="119"/>
      <c r="AQ1760" s="119"/>
      <c r="CY1760" s="34" t="s">
        <v>2687</v>
      </c>
      <c r="CZ1760" s="35">
        <v>0.19845770400000001</v>
      </c>
    </row>
    <row r="1761" spans="40:104" x14ac:dyDescent="0.3">
      <c r="AN1761" s="119"/>
      <c r="AO1761" s="119"/>
      <c r="AP1761" s="119"/>
      <c r="AQ1761" s="119"/>
      <c r="CY1761" s="34" t="s">
        <v>2688</v>
      </c>
      <c r="CZ1761" s="35">
        <v>0.21784350000000002</v>
      </c>
    </row>
    <row r="1762" spans="40:104" x14ac:dyDescent="0.3">
      <c r="AN1762" s="119"/>
      <c r="AO1762" s="119"/>
      <c r="AP1762" s="119"/>
      <c r="AQ1762" s="119"/>
      <c r="CY1762" s="34" t="s">
        <v>2689</v>
      </c>
      <c r="CZ1762" s="35">
        <v>0.16220971200000001</v>
      </c>
    </row>
    <row r="1763" spans="40:104" x14ac:dyDescent="0.3">
      <c r="AN1763" s="119"/>
      <c r="AO1763" s="119"/>
      <c r="AP1763" s="119"/>
      <c r="AQ1763" s="119"/>
      <c r="CY1763" s="34" t="s">
        <v>2690</v>
      </c>
      <c r="CZ1763" s="35">
        <v>0.25686430639999996</v>
      </c>
    </row>
    <row r="1764" spans="40:104" x14ac:dyDescent="0.3">
      <c r="AN1764" s="119"/>
      <c r="AO1764" s="119"/>
      <c r="AP1764" s="119"/>
      <c r="AQ1764" s="119"/>
      <c r="CY1764" s="34" t="s">
        <v>2691</v>
      </c>
      <c r="CZ1764" s="35">
        <v>0.54008920000000005</v>
      </c>
    </row>
    <row r="1765" spans="40:104" x14ac:dyDescent="0.3">
      <c r="AN1765" s="119"/>
      <c r="AO1765" s="119"/>
      <c r="AP1765" s="119"/>
      <c r="AQ1765" s="119"/>
      <c r="CY1765" s="34" t="s">
        <v>2692</v>
      </c>
      <c r="CZ1765" s="35">
        <v>9.9542480000000006E-3</v>
      </c>
    </row>
    <row r="1766" spans="40:104" x14ac:dyDescent="0.3">
      <c r="AN1766" s="119"/>
      <c r="AO1766" s="119"/>
      <c r="AP1766" s="119"/>
      <c r="AQ1766" s="119"/>
      <c r="CY1766" s="34" t="s">
        <v>2693</v>
      </c>
      <c r="CZ1766" s="35">
        <v>7.7405449599999995E-2</v>
      </c>
    </row>
    <row r="1767" spans="40:104" x14ac:dyDescent="0.3">
      <c r="AN1767" s="119"/>
      <c r="AO1767" s="119"/>
      <c r="AP1767" s="119"/>
      <c r="AQ1767" s="119"/>
      <c r="CY1767" s="34" t="s">
        <v>2694</v>
      </c>
      <c r="CZ1767" s="35">
        <v>3.5520992000000001E-2</v>
      </c>
    </row>
    <row r="1768" spans="40:104" x14ac:dyDescent="0.3">
      <c r="AN1768" s="119"/>
      <c r="AO1768" s="119"/>
      <c r="AP1768" s="119"/>
      <c r="AQ1768" s="119"/>
      <c r="CY1768" s="34" t="s">
        <v>2695</v>
      </c>
      <c r="CZ1768" s="35">
        <v>2.2938473769E-2</v>
      </c>
    </row>
    <row r="1769" spans="40:104" x14ac:dyDescent="0.3">
      <c r="AN1769" s="119"/>
      <c r="AO1769" s="119"/>
      <c r="AP1769" s="119"/>
      <c r="AQ1769" s="119"/>
      <c r="CY1769" s="34" t="s">
        <v>2696</v>
      </c>
      <c r="CZ1769" s="35">
        <v>5.9657207999999996E-2</v>
      </c>
    </row>
    <row r="1770" spans="40:104" x14ac:dyDescent="0.3">
      <c r="AN1770" s="119"/>
      <c r="AO1770" s="119"/>
      <c r="AP1770" s="119"/>
      <c r="AQ1770" s="119"/>
      <c r="CY1770" s="34" t="s">
        <v>2697</v>
      </c>
      <c r="CZ1770" s="35">
        <v>5.9473605360000001E-2</v>
      </c>
    </row>
    <row r="1771" spans="40:104" x14ac:dyDescent="0.3">
      <c r="AN1771" s="119"/>
      <c r="AO1771" s="119"/>
      <c r="AP1771" s="119"/>
      <c r="AQ1771" s="119"/>
      <c r="CY1771" s="34" t="s">
        <v>2698</v>
      </c>
      <c r="CZ1771" s="35">
        <v>4.1770088070588237E-3</v>
      </c>
    </row>
    <row r="1772" spans="40:104" x14ac:dyDescent="0.3">
      <c r="AN1772" s="119"/>
      <c r="AO1772" s="119"/>
      <c r="AP1772" s="119"/>
      <c r="AQ1772" s="119"/>
      <c r="CY1772" s="34" t="s">
        <v>2699</v>
      </c>
      <c r="CZ1772" s="35">
        <v>5.4596650368000002E-2</v>
      </c>
    </row>
    <row r="1773" spans="40:104" x14ac:dyDescent="0.3">
      <c r="AN1773" s="119"/>
      <c r="AO1773" s="119"/>
      <c r="AP1773" s="119"/>
      <c r="AQ1773" s="119"/>
      <c r="CY1773" s="34" t="s">
        <v>2700</v>
      </c>
      <c r="CZ1773" s="35">
        <v>2.3369617688E-2</v>
      </c>
    </row>
    <row r="1774" spans="40:104" x14ac:dyDescent="0.3">
      <c r="AN1774" s="119"/>
      <c r="AO1774" s="119"/>
      <c r="AP1774" s="119"/>
      <c r="AQ1774" s="119"/>
      <c r="CY1774" s="34" t="s">
        <v>2701</v>
      </c>
      <c r="CZ1774" s="35">
        <v>2.3369617688E-2</v>
      </c>
    </row>
    <row r="1775" spans="40:104" x14ac:dyDescent="0.3">
      <c r="AN1775" s="119"/>
      <c r="AO1775" s="119"/>
      <c r="AP1775" s="119"/>
      <c r="AQ1775" s="119"/>
      <c r="CY1775" s="34" t="s">
        <v>2702</v>
      </c>
      <c r="CZ1775" s="35">
        <v>7.6869224328000002E-2</v>
      </c>
    </row>
    <row r="1776" spans="40:104" x14ac:dyDescent="0.3">
      <c r="AN1776" s="119"/>
      <c r="AO1776" s="119"/>
      <c r="AP1776" s="119"/>
      <c r="AQ1776" s="119"/>
      <c r="CY1776" s="34" t="s">
        <v>2703</v>
      </c>
      <c r="CZ1776" s="35">
        <v>8.0770032224000005E-2</v>
      </c>
    </row>
    <row r="1777" spans="40:104" x14ac:dyDescent="0.3">
      <c r="AN1777" s="119"/>
      <c r="AO1777" s="119"/>
      <c r="AP1777" s="119"/>
      <c r="AQ1777" s="119"/>
      <c r="CY1777" s="34" t="s">
        <v>2704</v>
      </c>
      <c r="CZ1777" s="35">
        <v>8.0710032224E-2</v>
      </c>
    </row>
    <row r="1778" spans="40:104" x14ac:dyDescent="0.3">
      <c r="AN1778" s="119"/>
      <c r="AO1778" s="119"/>
      <c r="AP1778" s="119"/>
      <c r="AQ1778" s="119"/>
      <c r="CY1778" s="34" t="s">
        <v>2705</v>
      </c>
      <c r="CZ1778" s="35">
        <v>2.9484328466600002E-2</v>
      </c>
    </row>
    <row r="1779" spans="40:104" x14ac:dyDescent="0.3">
      <c r="AN1779" s="119"/>
      <c r="AO1779" s="119"/>
      <c r="AP1779" s="119"/>
      <c r="AQ1779" s="119"/>
      <c r="CY1779" s="34" t="s">
        <v>2706</v>
      </c>
      <c r="CZ1779" s="35">
        <v>4.5981601980000002E-2</v>
      </c>
    </row>
    <row r="1780" spans="40:104" x14ac:dyDescent="0.3">
      <c r="AN1780" s="119"/>
      <c r="AO1780" s="119"/>
      <c r="AP1780" s="119"/>
      <c r="AQ1780" s="119"/>
      <c r="CY1780" s="34" t="s">
        <v>2707</v>
      </c>
      <c r="CZ1780" s="35">
        <v>2.5494424944000001E-2</v>
      </c>
    </row>
    <row r="1781" spans="40:104" x14ac:dyDescent="0.3">
      <c r="AN1781" s="119"/>
      <c r="AO1781" s="119"/>
      <c r="AP1781" s="119"/>
      <c r="AQ1781" s="119"/>
      <c r="CY1781" s="34" t="s">
        <v>2708</v>
      </c>
      <c r="CZ1781" s="35">
        <v>2.7561463800000002E-2</v>
      </c>
    </row>
    <row r="1782" spans="40:104" x14ac:dyDescent="0.3">
      <c r="AN1782" s="119"/>
      <c r="AO1782" s="119"/>
      <c r="AP1782" s="119"/>
      <c r="AQ1782" s="119"/>
      <c r="CY1782" s="34" t="s">
        <v>2709</v>
      </c>
      <c r="CZ1782" s="35">
        <v>3.0880838800000004E-2</v>
      </c>
    </row>
    <row r="1783" spans="40:104" x14ac:dyDescent="0.3">
      <c r="AN1783" s="119"/>
      <c r="AO1783" s="119"/>
      <c r="AP1783" s="119"/>
      <c r="AQ1783" s="119"/>
      <c r="CY1783" s="34" t="s">
        <v>2710</v>
      </c>
      <c r="CZ1783" s="35">
        <v>2.7058419999999996E-2</v>
      </c>
    </row>
    <row r="1784" spans="40:104" x14ac:dyDescent="0.3">
      <c r="AN1784" s="119"/>
      <c r="AO1784" s="119"/>
      <c r="AP1784" s="119"/>
      <c r="AQ1784" s="119"/>
      <c r="CY1784" s="34" t="s">
        <v>2711</v>
      </c>
      <c r="CZ1784" s="35">
        <v>5.1550076278571435E-3</v>
      </c>
    </row>
    <row r="1785" spans="40:104" x14ac:dyDescent="0.3">
      <c r="AN1785" s="119"/>
      <c r="AO1785" s="119"/>
      <c r="AP1785" s="119"/>
      <c r="AQ1785" s="119"/>
      <c r="CY1785" s="34" t="s">
        <v>2712</v>
      </c>
      <c r="CZ1785" s="35">
        <v>5.6307519999999993E-2</v>
      </c>
    </row>
    <row r="1786" spans="40:104" x14ac:dyDescent="0.3">
      <c r="AN1786" s="119"/>
      <c r="AO1786" s="119"/>
      <c r="AP1786" s="119"/>
      <c r="AQ1786" s="119"/>
      <c r="CY1786" s="34" t="s">
        <v>2713</v>
      </c>
      <c r="CZ1786" s="35">
        <v>5.2114124128000004E-2</v>
      </c>
    </row>
    <row r="1787" spans="40:104" x14ac:dyDescent="0.3">
      <c r="AN1787" s="119"/>
      <c r="AO1787" s="119"/>
      <c r="AP1787" s="119"/>
      <c r="AQ1787" s="119"/>
      <c r="CY1787" s="34" t="s">
        <v>2714</v>
      </c>
      <c r="CZ1787" s="35">
        <v>1.216156E-2</v>
      </c>
    </row>
    <row r="1788" spans="40:104" x14ac:dyDescent="0.3">
      <c r="AN1788" s="119"/>
      <c r="AO1788" s="119"/>
      <c r="AP1788" s="119"/>
      <c r="AQ1788" s="119"/>
      <c r="CY1788" s="34" t="s">
        <v>2715</v>
      </c>
      <c r="CZ1788" s="35">
        <v>1.170156E-2</v>
      </c>
    </row>
    <row r="1789" spans="40:104" x14ac:dyDescent="0.3">
      <c r="AN1789" s="119"/>
      <c r="AO1789" s="119"/>
      <c r="AP1789" s="119"/>
      <c r="AQ1789" s="119"/>
      <c r="CY1789" s="34" t="s">
        <v>2716</v>
      </c>
      <c r="CZ1789" s="35">
        <v>3.8999999999999999E-5</v>
      </c>
    </row>
    <row r="1790" spans="40:104" x14ac:dyDescent="0.3">
      <c r="AN1790" s="119"/>
      <c r="AO1790" s="119"/>
      <c r="AP1790" s="119"/>
      <c r="AQ1790" s="119"/>
      <c r="CY1790" s="34" t="s">
        <v>2717</v>
      </c>
      <c r="CZ1790" s="35">
        <v>3.8999999999999999E-5</v>
      </c>
    </row>
    <row r="1791" spans="40:104" x14ac:dyDescent="0.3">
      <c r="AN1791" s="119"/>
      <c r="AO1791" s="119"/>
      <c r="AP1791" s="119"/>
      <c r="AQ1791" s="119"/>
      <c r="CY1791" s="34" t="s">
        <v>2718</v>
      </c>
      <c r="CZ1791" s="35">
        <v>3.8999999999999999E-5</v>
      </c>
    </row>
    <row r="1792" spans="40:104" x14ac:dyDescent="0.3">
      <c r="AN1792" s="119"/>
      <c r="AO1792" s="119"/>
      <c r="AP1792" s="119"/>
      <c r="AQ1792" s="119"/>
      <c r="CY1792" s="34" t="s">
        <v>2719</v>
      </c>
      <c r="CZ1792" s="35">
        <v>3.8999999999999999E-5</v>
      </c>
    </row>
    <row r="1793" spans="40:104" x14ac:dyDescent="0.3">
      <c r="AN1793" s="119"/>
      <c r="AO1793" s="119"/>
      <c r="AP1793" s="119"/>
      <c r="AQ1793" s="119"/>
      <c r="CY1793" s="34" t="s">
        <v>2720</v>
      </c>
      <c r="CZ1793" s="35">
        <v>3.8999999999999999E-5</v>
      </c>
    </row>
    <row r="1794" spans="40:104" x14ac:dyDescent="0.3">
      <c r="AN1794" s="119"/>
      <c r="AO1794" s="119"/>
      <c r="AP1794" s="119"/>
      <c r="AQ1794" s="119"/>
      <c r="CY1794" s="34" t="s">
        <v>2721</v>
      </c>
      <c r="CZ1794" s="35">
        <v>3.8999999999999999E-5</v>
      </c>
    </row>
    <row r="1795" spans="40:104" x14ac:dyDescent="0.3">
      <c r="AN1795" s="119"/>
      <c r="AO1795" s="119"/>
      <c r="AP1795" s="119"/>
      <c r="AQ1795" s="119"/>
      <c r="CY1795" s="34" t="s">
        <v>2722</v>
      </c>
      <c r="CZ1795" s="35">
        <v>3.8999999999999999E-5</v>
      </c>
    </row>
    <row r="1796" spans="40:104" x14ac:dyDescent="0.3">
      <c r="AN1796" s="119"/>
      <c r="AO1796" s="119"/>
      <c r="AP1796" s="119"/>
      <c r="AQ1796" s="119"/>
      <c r="CY1796" s="34" t="s">
        <v>2723</v>
      </c>
      <c r="CZ1796" s="35">
        <v>3.8999999999999999E-5</v>
      </c>
    </row>
    <row r="1797" spans="40:104" x14ac:dyDescent="0.3">
      <c r="AN1797" s="119"/>
      <c r="AO1797" s="119"/>
      <c r="AP1797" s="119"/>
      <c r="AQ1797" s="119"/>
      <c r="CY1797" s="34" t="s">
        <v>2724</v>
      </c>
      <c r="CZ1797" s="35">
        <v>3.8999999999999999E-5</v>
      </c>
    </row>
    <row r="1798" spans="40:104" x14ac:dyDescent="0.3">
      <c r="AN1798" s="119"/>
      <c r="AO1798" s="119"/>
      <c r="AP1798" s="119"/>
      <c r="AQ1798" s="119"/>
      <c r="CY1798" s="34" t="s">
        <v>2725</v>
      </c>
      <c r="CZ1798" s="35">
        <v>3.8999999999999999E-5</v>
      </c>
    </row>
    <row r="1799" spans="40:104" x14ac:dyDescent="0.3">
      <c r="AN1799" s="119"/>
      <c r="AO1799" s="119"/>
      <c r="AP1799" s="119"/>
      <c r="AQ1799" s="119"/>
      <c r="CY1799" s="34" t="s">
        <v>2726</v>
      </c>
      <c r="CZ1799" s="35">
        <v>3.8999999999999999E-5</v>
      </c>
    </row>
    <row r="1800" spans="40:104" x14ac:dyDescent="0.3">
      <c r="AN1800" s="119"/>
      <c r="AO1800" s="119"/>
      <c r="AP1800" s="119"/>
      <c r="AQ1800" s="119"/>
      <c r="CY1800" s="34" t="s">
        <v>2727</v>
      </c>
      <c r="CZ1800" s="35">
        <v>3.8999999999999999E-5</v>
      </c>
    </row>
    <row r="1801" spans="40:104" x14ac:dyDescent="0.3">
      <c r="AN1801" s="119"/>
      <c r="AO1801" s="119"/>
      <c r="AP1801" s="119"/>
      <c r="AQ1801" s="119"/>
      <c r="CY1801" s="34" t="s">
        <v>2728</v>
      </c>
      <c r="CZ1801" s="35">
        <v>3.8999999999999999E-5</v>
      </c>
    </row>
    <row r="1802" spans="40:104" x14ac:dyDescent="0.3">
      <c r="AN1802" s="119"/>
      <c r="AO1802" s="119"/>
      <c r="AP1802" s="119"/>
      <c r="AQ1802" s="119"/>
      <c r="CY1802" s="34" t="s">
        <v>2729</v>
      </c>
      <c r="CZ1802" s="35">
        <v>3.8999999999999999E-5</v>
      </c>
    </row>
    <row r="1803" spans="40:104" x14ac:dyDescent="0.3">
      <c r="AN1803" s="119"/>
      <c r="AO1803" s="119"/>
      <c r="AP1803" s="119"/>
      <c r="AQ1803" s="119"/>
      <c r="CY1803" s="34" t="s">
        <v>2730</v>
      </c>
      <c r="CZ1803" s="35">
        <v>3.8999999999999999E-5</v>
      </c>
    </row>
    <row r="1804" spans="40:104" x14ac:dyDescent="0.3">
      <c r="AN1804" s="119"/>
      <c r="AO1804" s="119"/>
      <c r="AP1804" s="119"/>
      <c r="AQ1804" s="119"/>
      <c r="CY1804" s="34" t="s">
        <v>2731</v>
      </c>
      <c r="CZ1804" s="35">
        <v>3.8999999999999999E-5</v>
      </c>
    </row>
    <row r="1805" spans="40:104" x14ac:dyDescent="0.3">
      <c r="AN1805" s="119"/>
      <c r="AO1805" s="119"/>
      <c r="AP1805" s="119"/>
      <c r="AQ1805" s="119"/>
      <c r="CY1805" s="34" t="s">
        <v>2732</v>
      </c>
      <c r="CZ1805" s="35">
        <v>1.585992416E-2</v>
      </c>
    </row>
    <row r="1806" spans="40:104" x14ac:dyDescent="0.3">
      <c r="AN1806" s="119"/>
      <c r="AO1806" s="119"/>
      <c r="AP1806" s="119"/>
      <c r="AQ1806" s="119"/>
      <c r="CY1806" s="34" t="s">
        <v>2733</v>
      </c>
      <c r="CZ1806" s="35">
        <v>3.8215129136000003E-2</v>
      </c>
    </row>
    <row r="1807" spans="40:104" x14ac:dyDescent="0.3">
      <c r="AN1807" s="119"/>
      <c r="AO1807" s="119"/>
      <c r="AP1807" s="119"/>
      <c r="AQ1807" s="119"/>
      <c r="CY1807" s="34" t="s">
        <v>2734</v>
      </c>
      <c r="CZ1807" s="35">
        <v>1.7873469824000003E-2</v>
      </c>
    </row>
    <row r="1808" spans="40:104" x14ac:dyDescent="0.3">
      <c r="AN1808" s="119"/>
      <c r="AO1808" s="119"/>
      <c r="AP1808" s="119"/>
      <c r="AQ1808" s="119"/>
      <c r="CY1808" s="34" t="s">
        <v>2735</v>
      </c>
      <c r="CZ1808" s="35">
        <v>3.8999999999999999E-5</v>
      </c>
    </row>
    <row r="1809" spans="40:104" x14ac:dyDescent="0.3">
      <c r="AN1809" s="119"/>
      <c r="AO1809" s="119"/>
      <c r="AP1809" s="119"/>
      <c r="AQ1809" s="119"/>
      <c r="CY1809" s="34" t="s">
        <v>2736</v>
      </c>
      <c r="CZ1809" s="35">
        <v>2.2053004714666668E-3</v>
      </c>
    </row>
    <row r="1810" spans="40:104" x14ac:dyDescent="0.3">
      <c r="AN1810" s="119"/>
      <c r="AO1810" s="119"/>
      <c r="AP1810" s="119"/>
      <c r="AQ1810" s="119"/>
      <c r="CY1810" s="34" t="s">
        <v>2737</v>
      </c>
      <c r="CZ1810" s="35">
        <v>1.68544908272E-3</v>
      </c>
    </row>
    <row r="1811" spans="40:104" x14ac:dyDescent="0.3">
      <c r="AN1811" s="119"/>
      <c r="AO1811" s="119"/>
      <c r="AP1811" s="119"/>
      <c r="AQ1811" s="119"/>
      <c r="CY1811" s="34" t="s">
        <v>2738</v>
      </c>
      <c r="CZ1811" s="35">
        <v>8.4724779360000006E-3</v>
      </c>
    </row>
    <row r="1812" spans="40:104" x14ac:dyDescent="0.3">
      <c r="AN1812" s="119"/>
      <c r="AO1812" s="119"/>
      <c r="AP1812" s="119"/>
      <c r="AQ1812" s="119"/>
      <c r="CY1812" s="34" t="s">
        <v>2739</v>
      </c>
      <c r="CZ1812" s="35">
        <v>6.1419333672000004E-2</v>
      </c>
    </row>
    <row r="1813" spans="40:104" x14ac:dyDescent="0.3">
      <c r="AN1813" s="119"/>
      <c r="AO1813" s="119"/>
      <c r="AP1813" s="119"/>
      <c r="AQ1813" s="119"/>
      <c r="CY1813" s="34" t="s">
        <v>2740</v>
      </c>
      <c r="CZ1813" s="35">
        <v>4.5645974400000005E-4</v>
      </c>
    </row>
    <row r="1814" spans="40:104" x14ac:dyDescent="0.3">
      <c r="AN1814" s="119"/>
      <c r="AO1814" s="119"/>
      <c r="AP1814" s="119"/>
      <c r="AQ1814" s="119"/>
      <c r="CY1814" s="34" t="s">
        <v>2741</v>
      </c>
      <c r="CZ1814" s="35">
        <v>0.26699732400000004</v>
      </c>
    </row>
    <row r="1815" spans="40:104" x14ac:dyDescent="0.3">
      <c r="AN1815" s="119"/>
      <c r="AO1815" s="119"/>
      <c r="AP1815" s="119"/>
      <c r="AQ1815" s="119"/>
      <c r="CY1815" s="34" t="s">
        <v>2742</v>
      </c>
      <c r="CZ1815" s="35">
        <v>6.6823319039999982E-2</v>
      </c>
    </row>
    <row r="1816" spans="40:104" x14ac:dyDescent="0.3">
      <c r="AN1816" s="119"/>
      <c r="AO1816" s="119"/>
      <c r="AP1816" s="119"/>
      <c r="AQ1816" s="119"/>
      <c r="CY1816" s="34" t="s">
        <v>2743</v>
      </c>
      <c r="CZ1816" s="35">
        <v>0.17563836031999999</v>
      </c>
    </row>
    <row r="1817" spans="40:104" x14ac:dyDescent="0.3">
      <c r="AN1817" s="119"/>
      <c r="AO1817" s="119"/>
      <c r="AP1817" s="119"/>
      <c r="AQ1817" s="119"/>
      <c r="CY1817" s="34" t="s">
        <v>2744</v>
      </c>
      <c r="CZ1817" s="35">
        <v>1.0861818461000001E-2</v>
      </c>
    </row>
    <row r="1818" spans="40:104" x14ac:dyDescent="0.3">
      <c r="AN1818" s="119"/>
      <c r="AO1818" s="119"/>
      <c r="AP1818" s="119"/>
      <c r="AQ1818" s="119"/>
      <c r="CY1818" s="34" t="s">
        <v>2745</v>
      </c>
      <c r="CZ1818" s="35">
        <v>5.5846349136000001E-3</v>
      </c>
    </row>
    <row r="1819" spans="40:104" x14ac:dyDescent="0.3">
      <c r="AN1819" s="119"/>
      <c r="AO1819" s="119"/>
      <c r="AP1819" s="119"/>
      <c r="AQ1819" s="119"/>
      <c r="CY1819" s="34" t="s">
        <v>2746</v>
      </c>
      <c r="CZ1819" s="35">
        <v>9.6491249999999997E-3</v>
      </c>
    </row>
    <row r="1820" spans="40:104" x14ac:dyDescent="0.3">
      <c r="AN1820" s="119"/>
      <c r="AO1820" s="119"/>
      <c r="AP1820" s="119"/>
      <c r="AQ1820" s="119"/>
      <c r="CY1820" s="34" t="s">
        <v>2747</v>
      </c>
      <c r="CZ1820" s="35">
        <v>7.1791894E-3</v>
      </c>
    </row>
    <row r="1821" spans="40:104" x14ac:dyDescent="0.3">
      <c r="AN1821" s="119"/>
      <c r="AO1821" s="119"/>
      <c r="AP1821" s="119"/>
      <c r="AQ1821" s="119"/>
      <c r="CY1821" s="34" t="s">
        <v>2748</v>
      </c>
      <c r="CZ1821" s="35">
        <v>6.6734058559999995E-3</v>
      </c>
    </row>
    <row r="1822" spans="40:104" x14ac:dyDescent="0.3">
      <c r="AN1822" s="119"/>
      <c r="AO1822" s="119"/>
      <c r="AP1822" s="119"/>
      <c r="AQ1822" s="119"/>
      <c r="CY1822" s="34" t="s">
        <v>2749</v>
      </c>
      <c r="CZ1822" s="35">
        <v>8.3210691200000016E-3</v>
      </c>
    </row>
    <row r="1823" spans="40:104" x14ac:dyDescent="0.3">
      <c r="AN1823" s="119"/>
      <c r="AO1823" s="119"/>
      <c r="AP1823" s="119"/>
      <c r="AQ1823" s="119"/>
      <c r="CY1823" s="34" t="s">
        <v>2750</v>
      </c>
      <c r="CZ1823" s="35">
        <v>3.3546366828750003E-3</v>
      </c>
    </row>
    <row r="1824" spans="40:104" x14ac:dyDescent="0.3">
      <c r="AN1824" s="119"/>
      <c r="AO1824" s="119"/>
      <c r="AP1824" s="119"/>
      <c r="AQ1824" s="119"/>
      <c r="CY1824" s="34" t="s">
        <v>2751</v>
      </c>
      <c r="CZ1824" s="35">
        <v>1.7129158592E-2</v>
      </c>
    </row>
    <row r="1825" spans="40:104" x14ac:dyDescent="0.3">
      <c r="AN1825" s="119"/>
      <c r="AO1825" s="119"/>
      <c r="AP1825" s="119"/>
      <c r="AQ1825" s="119"/>
      <c r="CY1825" s="34" t="s">
        <v>2752</v>
      </c>
      <c r="CZ1825" s="35">
        <v>1.5140140732E-2</v>
      </c>
    </row>
    <row r="1826" spans="40:104" x14ac:dyDescent="0.3">
      <c r="AN1826" s="119"/>
      <c r="AO1826" s="119"/>
      <c r="AP1826" s="119"/>
      <c r="AQ1826" s="119"/>
      <c r="CY1826" s="34" t="s">
        <v>2753</v>
      </c>
      <c r="CZ1826" s="35">
        <v>1.80922175933E-2</v>
      </c>
    </row>
    <row r="1827" spans="40:104" x14ac:dyDescent="0.3">
      <c r="AN1827" s="119"/>
      <c r="AO1827" s="119"/>
      <c r="AP1827" s="119"/>
      <c r="AQ1827" s="119"/>
      <c r="CY1827" s="34" t="s">
        <v>2754</v>
      </c>
      <c r="CZ1827" s="35">
        <v>1.7544946674999999E-2</v>
      </c>
    </row>
    <row r="1828" spans="40:104" x14ac:dyDescent="0.3">
      <c r="AN1828" s="119"/>
      <c r="AO1828" s="119"/>
      <c r="AP1828" s="119"/>
      <c r="AQ1828" s="119"/>
      <c r="CY1828" s="34" t="s">
        <v>2755</v>
      </c>
      <c r="CZ1828" s="35">
        <v>1.7544946674999999E-2</v>
      </c>
    </row>
    <row r="1829" spans="40:104" x14ac:dyDescent="0.3">
      <c r="AN1829" s="119"/>
      <c r="AO1829" s="119"/>
      <c r="AP1829" s="119"/>
      <c r="AQ1829" s="119"/>
      <c r="CY1829" s="34" t="s">
        <v>2756</v>
      </c>
      <c r="CZ1829" s="35">
        <v>6.1317430223999997E-3</v>
      </c>
    </row>
    <row r="1830" spans="40:104" x14ac:dyDescent="0.3">
      <c r="AN1830" s="119"/>
      <c r="AO1830" s="119"/>
      <c r="AP1830" s="119"/>
      <c r="AQ1830" s="119"/>
      <c r="CY1830" s="34" t="s">
        <v>2757</v>
      </c>
      <c r="CZ1830" s="35">
        <v>4.6467878399999996E-3</v>
      </c>
    </row>
    <row r="1831" spans="40:104" x14ac:dyDescent="0.3">
      <c r="AN1831" s="119"/>
      <c r="AO1831" s="119"/>
      <c r="AP1831" s="119"/>
      <c r="AQ1831" s="119"/>
      <c r="CY1831" s="34" t="s">
        <v>2758</v>
      </c>
      <c r="CZ1831" s="35">
        <v>2.0569178079999999E-3</v>
      </c>
    </row>
    <row r="1832" spans="40:104" x14ac:dyDescent="0.3">
      <c r="AN1832" s="119"/>
      <c r="AO1832" s="119"/>
      <c r="AP1832" s="119"/>
      <c r="AQ1832" s="119"/>
      <c r="CY1832" s="34" t="s">
        <v>2759</v>
      </c>
      <c r="CZ1832" s="35">
        <v>2.6010550912E-2</v>
      </c>
    </row>
    <row r="1833" spans="40:104" x14ac:dyDescent="0.3">
      <c r="AN1833" s="119"/>
      <c r="AO1833" s="119"/>
      <c r="AP1833" s="119"/>
      <c r="AQ1833" s="119"/>
      <c r="CY1833" s="34" t="s">
        <v>2760</v>
      </c>
      <c r="CZ1833" s="35">
        <v>3.6173449999999996E-2</v>
      </c>
    </row>
    <row r="1834" spans="40:104" x14ac:dyDescent="0.3">
      <c r="AN1834" s="119"/>
      <c r="AO1834" s="119"/>
      <c r="AP1834" s="119"/>
      <c r="AQ1834" s="119"/>
      <c r="CY1834" s="34" t="s">
        <v>2761</v>
      </c>
      <c r="CZ1834" s="35">
        <v>7.7604227999999997E-4</v>
      </c>
    </row>
    <row r="1835" spans="40:104" x14ac:dyDescent="0.3">
      <c r="AN1835" s="119"/>
      <c r="AO1835" s="119"/>
      <c r="AP1835" s="119"/>
      <c r="AQ1835" s="119"/>
      <c r="CY1835" s="34" t="s">
        <v>2762</v>
      </c>
      <c r="CZ1835" s="35">
        <v>7.4905999999999996E-4</v>
      </c>
    </row>
    <row r="1836" spans="40:104" x14ac:dyDescent="0.3">
      <c r="AN1836" s="119"/>
      <c r="AO1836" s="119"/>
      <c r="AP1836" s="119"/>
      <c r="AQ1836" s="119"/>
      <c r="CY1836" s="34" t="s">
        <v>2763</v>
      </c>
      <c r="CZ1836" s="35">
        <v>6.8089423999999994E-4</v>
      </c>
    </row>
    <row r="1837" spans="40:104" x14ac:dyDescent="0.3">
      <c r="AN1837" s="119"/>
      <c r="AO1837" s="119"/>
      <c r="AP1837" s="119"/>
      <c r="AQ1837" s="119"/>
      <c r="CY1837" s="34" t="s">
        <v>2764</v>
      </c>
      <c r="CZ1837" s="35">
        <v>1.4591199999999999E-3</v>
      </c>
    </row>
    <row r="1838" spans="40:104" x14ac:dyDescent="0.3">
      <c r="AN1838" s="119"/>
      <c r="AO1838" s="119"/>
      <c r="AP1838" s="119"/>
      <c r="AQ1838" s="119"/>
      <c r="CY1838" s="34" t="s">
        <v>2765</v>
      </c>
      <c r="CZ1838" s="35">
        <v>1.2269212800000001E-3</v>
      </c>
    </row>
    <row r="1839" spans="40:104" x14ac:dyDescent="0.3">
      <c r="AN1839" s="119"/>
      <c r="AO1839" s="119"/>
      <c r="AP1839" s="119"/>
      <c r="AQ1839" s="119"/>
      <c r="CY1839" s="34" t="s">
        <v>2766</v>
      </c>
      <c r="CZ1839" s="35">
        <v>1.3767530399999999E-3</v>
      </c>
    </row>
    <row r="1840" spans="40:104" x14ac:dyDescent="0.3">
      <c r="AN1840" s="119"/>
      <c r="AO1840" s="119"/>
      <c r="AP1840" s="119"/>
      <c r="AQ1840" s="119"/>
      <c r="CY1840" s="34" t="s">
        <v>2767</v>
      </c>
      <c r="CZ1840" s="35">
        <v>1.56846924E-3</v>
      </c>
    </row>
    <row r="1841" spans="40:104" x14ac:dyDescent="0.3">
      <c r="AN1841" s="119"/>
      <c r="AO1841" s="119"/>
      <c r="AP1841" s="119"/>
      <c r="AQ1841" s="119"/>
      <c r="CY1841" s="34" t="s">
        <v>2768</v>
      </c>
      <c r="CZ1841" s="35">
        <v>1.2941930000000001E-3</v>
      </c>
    </row>
    <row r="1842" spans="40:104" x14ac:dyDescent="0.3">
      <c r="AN1842" s="119"/>
      <c r="AO1842" s="119"/>
      <c r="AP1842" s="119"/>
      <c r="AQ1842" s="119"/>
      <c r="CY1842" s="34" t="s">
        <v>2769</v>
      </c>
      <c r="CZ1842" s="35">
        <v>4.6305139513600005E-3</v>
      </c>
    </row>
    <row r="1843" spans="40:104" x14ac:dyDescent="0.3">
      <c r="AN1843" s="119"/>
      <c r="AO1843" s="119"/>
      <c r="AP1843" s="119"/>
      <c r="AQ1843" s="119"/>
      <c r="CY1843" s="34" t="s">
        <v>2770</v>
      </c>
      <c r="CZ1843" s="35">
        <v>7.6876973360000007E-3</v>
      </c>
    </row>
    <row r="1844" spans="40:104" x14ac:dyDescent="0.3">
      <c r="AN1844" s="119"/>
      <c r="AO1844" s="119"/>
      <c r="AP1844" s="119"/>
      <c r="AQ1844" s="119"/>
      <c r="CY1844" s="34" t="s">
        <v>2771</v>
      </c>
      <c r="CZ1844" s="35">
        <v>7.6876973360000007E-3</v>
      </c>
    </row>
    <row r="1845" spans="40:104" x14ac:dyDescent="0.3">
      <c r="AN1845" s="119"/>
      <c r="AO1845" s="119"/>
      <c r="AP1845" s="119"/>
      <c r="AQ1845" s="119"/>
      <c r="CY1845" s="34" t="s">
        <v>2772</v>
      </c>
      <c r="CZ1845" s="35">
        <v>0.11872325711999999</v>
      </c>
    </row>
    <row r="1846" spans="40:104" x14ac:dyDescent="0.3">
      <c r="AN1846" s="119"/>
      <c r="AO1846" s="119"/>
      <c r="AP1846" s="119"/>
      <c r="AQ1846" s="119"/>
      <c r="CY1846" s="34" t="s">
        <v>2773</v>
      </c>
      <c r="CZ1846" s="35">
        <v>7.6968479951999999E-2</v>
      </c>
    </row>
    <row r="1847" spans="40:104" x14ac:dyDescent="0.3">
      <c r="AN1847" s="119"/>
      <c r="AO1847" s="119"/>
      <c r="AP1847" s="119"/>
      <c r="AQ1847" s="119"/>
      <c r="CY1847" s="34" t="s">
        <v>2774</v>
      </c>
      <c r="CZ1847" s="35">
        <v>1.431715334E-2</v>
      </c>
    </row>
    <row r="1848" spans="40:104" x14ac:dyDescent="0.3">
      <c r="AN1848" s="119"/>
      <c r="AO1848" s="119"/>
      <c r="AP1848" s="119"/>
      <c r="AQ1848" s="119"/>
      <c r="CY1848" s="34" t="s">
        <v>2775</v>
      </c>
      <c r="CZ1848" s="35">
        <v>2.190083598E-3</v>
      </c>
    </row>
    <row r="1849" spans="40:104" x14ac:dyDescent="0.3">
      <c r="AN1849" s="119"/>
      <c r="AO1849" s="119"/>
      <c r="AP1849" s="119"/>
      <c r="AQ1849" s="119"/>
      <c r="CY1849" s="34" t="s">
        <v>2776</v>
      </c>
      <c r="CZ1849" s="35">
        <v>2.3330820832000002E-2</v>
      </c>
    </row>
    <row r="1850" spans="40:104" x14ac:dyDescent="0.3">
      <c r="AN1850" s="119"/>
      <c r="AO1850" s="119"/>
      <c r="AP1850" s="119"/>
      <c r="AQ1850" s="119"/>
      <c r="CY1850" s="34" t="s">
        <v>2777</v>
      </c>
      <c r="CZ1850" s="35">
        <v>2.3995138959999997E-3</v>
      </c>
    </row>
    <row r="1851" spans="40:104" x14ac:dyDescent="0.3">
      <c r="AN1851" s="119"/>
      <c r="AO1851" s="119"/>
      <c r="AP1851" s="119"/>
      <c r="AQ1851" s="119"/>
      <c r="CY1851" s="34" t="s">
        <v>2778</v>
      </c>
      <c r="CZ1851" s="35">
        <v>0.13029732167999999</v>
      </c>
    </row>
    <row r="1852" spans="40:104" x14ac:dyDescent="0.3">
      <c r="AN1852" s="119"/>
      <c r="AO1852" s="119"/>
      <c r="AP1852" s="119"/>
      <c r="AQ1852" s="119"/>
      <c r="CY1852" s="34" t="s">
        <v>2779</v>
      </c>
      <c r="CZ1852" s="35">
        <v>5.8362477150000001E-2</v>
      </c>
    </row>
    <row r="1853" spans="40:104" x14ac:dyDescent="0.3">
      <c r="AN1853" s="119"/>
      <c r="AO1853" s="119"/>
      <c r="AP1853" s="119"/>
      <c r="AQ1853" s="119"/>
      <c r="CY1853" s="34" t="s">
        <v>2780</v>
      </c>
      <c r="CZ1853" s="35">
        <v>1.8392757823999999E-2</v>
      </c>
    </row>
    <row r="1854" spans="40:104" x14ac:dyDescent="0.3">
      <c r="AN1854" s="119"/>
      <c r="AO1854" s="119"/>
      <c r="AP1854" s="119"/>
      <c r="AQ1854" s="119"/>
      <c r="CY1854" s="34" t="s">
        <v>2781</v>
      </c>
      <c r="CZ1854" s="35">
        <v>0.12670026304000001</v>
      </c>
    </row>
    <row r="1855" spans="40:104" x14ac:dyDescent="0.3">
      <c r="AN1855" s="119"/>
      <c r="AO1855" s="119"/>
      <c r="AP1855" s="119"/>
      <c r="AQ1855" s="119"/>
      <c r="CY1855" s="34" t="s">
        <v>2782</v>
      </c>
      <c r="CZ1855" s="35">
        <v>8.1528799200000009E-4</v>
      </c>
    </row>
    <row r="1856" spans="40:104" x14ac:dyDescent="0.3">
      <c r="AN1856" s="119"/>
      <c r="AO1856" s="119"/>
      <c r="AP1856" s="119"/>
      <c r="AQ1856" s="119"/>
      <c r="CY1856" s="34" t="s">
        <v>2783</v>
      </c>
      <c r="CZ1856" s="35">
        <v>0.14608358100800001</v>
      </c>
    </row>
    <row r="1857" spans="40:104" x14ac:dyDescent="0.3">
      <c r="AN1857" s="119"/>
      <c r="AO1857" s="119"/>
      <c r="AP1857" s="119"/>
      <c r="AQ1857" s="119"/>
      <c r="CY1857" s="34" t="s">
        <v>2784</v>
      </c>
      <c r="CZ1857" s="35">
        <v>8.2896473313350011E-2</v>
      </c>
    </row>
    <row r="1858" spans="40:104" x14ac:dyDescent="0.3">
      <c r="AN1858" s="119"/>
      <c r="AO1858" s="119"/>
      <c r="AP1858" s="119"/>
      <c r="AQ1858" s="119"/>
      <c r="CY1858" s="34" t="s">
        <v>2785</v>
      </c>
      <c r="CZ1858" s="35">
        <v>8.2896473313349997E-2</v>
      </c>
    </row>
    <row r="1859" spans="40:104" x14ac:dyDescent="0.3">
      <c r="AN1859" s="119"/>
      <c r="AO1859" s="119"/>
      <c r="AP1859" s="119"/>
      <c r="AQ1859" s="119"/>
      <c r="CY1859" s="34" t="s">
        <v>2786</v>
      </c>
      <c r="CZ1859" s="35">
        <v>3.9444170599999993E-4</v>
      </c>
    </row>
    <row r="1860" spans="40:104" x14ac:dyDescent="0.3">
      <c r="AN1860" s="119"/>
      <c r="AO1860" s="119"/>
      <c r="AP1860" s="119"/>
      <c r="AQ1860" s="119"/>
      <c r="CY1860" s="34" t="s">
        <v>2787</v>
      </c>
      <c r="CZ1860" s="35">
        <v>0.15466654984</v>
      </c>
    </row>
    <row r="1861" spans="40:104" x14ac:dyDescent="0.3">
      <c r="AN1861" s="119"/>
      <c r="AO1861" s="119"/>
      <c r="AP1861" s="119"/>
      <c r="AQ1861" s="119"/>
      <c r="CY1861" s="34" t="s">
        <v>2788</v>
      </c>
      <c r="CZ1861" s="35">
        <v>1.8759068992E-2</v>
      </c>
    </row>
    <row r="1862" spans="40:104" x14ac:dyDescent="0.3">
      <c r="AN1862" s="119"/>
      <c r="AO1862" s="119"/>
      <c r="AP1862" s="119"/>
      <c r="AQ1862" s="119"/>
      <c r="CY1862" s="34" t="s">
        <v>2789</v>
      </c>
      <c r="CZ1862" s="35">
        <v>1.8759068992E-2</v>
      </c>
    </row>
    <row r="1863" spans="40:104" x14ac:dyDescent="0.3">
      <c r="AN1863" s="119"/>
      <c r="AO1863" s="119"/>
      <c r="AP1863" s="119"/>
      <c r="AQ1863" s="119"/>
      <c r="CY1863" s="34" t="s">
        <v>2790</v>
      </c>
      <c r="CZ1863" s="35">
        <v>1.6313608447999998E-2</v>
      </c>
    </row>
    <row r="1864" spans="40:104" x14ac:dyDescent="0.3">
      <c r="AN1864" s="119"/>
      <c r="AO1864" s="119"/>
      <c r="AP1864" s="119"/>
      <c r="AQ1864" s="119"/>
      <c r="CY1864" s="34" t="s">
        <v>2791</v>
      </c>
      <c r="CZ1864" s="35">
        <v>1.6313608447999998E-2</v>
      </c>
    </row>
    <row r="1865" spans="40:104" x14ac:dyDescent="0.3">
      <c r="AN1865" s="119"/>
      <c r="AO1865" s="119"/>
      <c r="AP1865" s="119"/>
      <c r="AQ1865" s="119"/>
      <c r="CY1865" s="34" t="s">
        <v>2792</v>
      </c>
      <c r="CZ1865" s="35">
        <v>9.9722759999999994E-2</v>
      </c>
    </row>
    <row r="1866" spans="40:104" x14ac:dyDescent="0.3">
      <c r="AN1866" s="119"/>
      <c r="AO1866" s="119"/>
      <c r="AP1866" s="119"/>
      <c r="AQ1866" s="119"/>
      <c r="CY1866" s="34" t="s">
        <v>2793</v>
      </c>
      <c r="CZ1866" s="35">
        <v>2.7270921600000002E-3</v>
      </c>
    </row>
    <row r="1867" spans="40:104" x14ac:dyDescent="0.3">
      <c r="AN1867" s="119"/>
      <c r="AO1867" s="119"/>
      <c r="AP1867" s="119"/>
      <c r="AQ1867" s="119"/>
      <c r="CY1867" s="34" t="s">
        <v>2794</v>
      </c>
      <c r="CZ1867" s="35">
        <v>1.8594098536000005E-2</v>
      </c>
    </row>
    <row r="1868" spans="40:104" x14ac:dyDescent="0.3">
      <c r="AN1868" s="119"/>
      <c r="AO1868" s="119"/>
      <c r="AP1868" s="119"/>
      <c r="AQ1868" s="119"/>
      <c r="CY1868" s="34" t="s">
        <v>2795</v>
      </c>
      <c r="CZ1868" s="35">
        <v>5.9240182560000004E-3</v>
      </c>
    </row>
    <row r="1869" spans="40:104" x14ac:dyDescent="0.3">
      <c r="AN1869" s="119"/>
      <c r="AO1869" s="119"/>
      <c r="AP1869" s="119"/>
      <c r="AQ1869" s="119"/>
      <c r="CY1869" s="34" t="s">
        <v>2796</v>
      </c>
      <c r="CZ1869" s="35">
        <v>2.625966662E-2</v>
      </c>
    </row>
    <row r="1870" spans="40:104" x14ac:dyDescent="0.3">
      <c r="AN1870" s="119"/>
      <c r="AO1870" s="119"/>
      <c r="AP1870" s="119"/>
      <c r="AQ1870" s="119"/>
      <c r="CY1870" s="34" t="s">
        <v>2797</v>
      </c>
      <c r="CZ1870" s="35">
        <v>0.27969583329999997</v>
      </c>
    </row>
    <row r="1871" spans="40:104" x14ac:dyDescent="0.3">
      <c r="AN1871" s="119"/>
      <c r="AO1871" s="119"/>
      <c r="AP1871" s="119"/>
      <c r="AQ1871" s="119"/>
      <c r="CY1871" s="34" t="s">
        <v>2798</v>
      </c>
      <c r="CZ1871" s="35">
        <v>5.9258500000000007E-3</v>
      </c>
    </row>
    <row r="1872" spans="40:104" x14ac:dyDescent="0.3">
      <c r="AN1872" s="119"/>
      <c r="AO1872" s="119"/>
      <c r="AP1872" s="119"/>
      <c r="AQ1872" s="119"/>
      <c r="CY1872" s="34" t="s">
        <v>2799</v>
      </c>
      <c r="CZ1872" s="35">
        <v>5.9567428500000002E-3</v>
      </c>
    </row>
    <row r="1873" spans="40:104" x14ac:dyDescent="0.3">
      <c r="AN1873" s="119"/>
      <c r="AO1873" s="119"/>
      <c r="AP1873" s="119"/>
      <c r="AQ1873" s="119"/>
      <c r="CY1873" s="34" t="s">
        <v>2800</v>
      </c>
      <c r="CZ1873" s="35">
        <v>2.3282599239999997E-2</v>
      </c>
    </row>
    <row r="1874" spans="40:104" x14ac:dyDescent="0.3">
      <c r="AN1874" s="119"/>
      <c r="AO1874" s="119"/>
      <c r="AP1874" s="119"/>
      <c r="AQ1874" s="119"/>
      <c r="CY1874" s="34" t="s">
        <v>2801</v>
      </c>
      <c r="CZ1874" s="35">
        <v>1.2594957327999999E-2</v>
      </c>
    </row>
    <row r="1875" spans="40:104" x14ac:dyDescent="0.3">
      <c r="AN1875" s="119"/>
      <c r="AO1875" s="119"/>
      <c r="AP1875" s="119"/>
      <c r="AQ1875" s="119"/>
      <c r="CY1875" s="34" t="s">
        <v>2802</v>
      </c>
      <c r="CZ1875" s="35">
        <v>1.2551707327999999E-2</v>
      </c>
    </row>
    <row r="1876" spans="40:104" x14ac:dyDescent="0.3">
      <c r="AN1876" s="119"/>
      <c r="AO1876" s="119"/>
      <c r="AP1876" s="119"/>
      <c r="AQ1876" s="119"/>
      <c r="CY1876" s="34" t="s">
        <v>2803</v>
      </c>
      <c r="CZ1876" s="35">
        <v>0.18180143654399999</v>
      </c>
    </row>
    <row r="1877" spans="40:104" x14ac:dyDescent="0.3">
      <c r="AN1877" s="119"/>
      <c r="AO1877" s="119"/>
      <c r="AP1877" s="119"/>
      <c r="AQ1877" s="119"/>
      <c r="CY1877" s="34" t="s">
        <v>2804</v>
      </c>
      <c r="CZ1877" s="35">
        <v>5.5174130441624997E-3</v>
      </c>
    </row>
    <row r="1878" spans="40:104" x14ac:dyDescent="0.3">
      <c r="AN1878" s="119"/>
      <c r="AO1878" s="119"/>
      <c r="AP1878" s="119"/>
      <c r="AQ1878" s="119"/>
      <c r="CY1878" s="34" t="s">
        <v>2805</v>
      </c>
      <c r="CZ1878" s="35">
        <v>4.3256503679999997E-3</v>
      </c>
    </row>
    <row r="1879" spans="40:104" x14ac:dyDescent="0.3">
      <c r="AN1879" s="119"/>
      <c r="AO1879" s="119"/>
      <c r="AP1879" s="119"/>
      <c r="AQ1879" s="119"/>
      <c r="CY1879" s="34" t="s">
        <v>2806</v>
      </c>
      <c r="CZ1879" s="35">
        <v>3.8999999999999999E-5</v>
      </c>
    </row>
    <row r="1880" spans="40:104" x14ac:dyDescent="0.3">
      <c r="AN1880" s="119"/>
      <c r="AO1880" s="119"/>
      <c r="AP1880" s="119"/>
      <c r="AQ1880" s="119"/>
      <c r="CY1880" s="34" t="s">
        <v>2807</v>
      </c>
      <c r="CZ1880" s="35">
        <v>3.8999999999999999E-5</v>
      </c>
    </row>
    <row r="1881" spans="40:104" x14ac:dyDescent="0.3">
      <c r="AN1881" s="119"/>
      <c r="AO1881" s="119"/>
      <c r="AP1881" s="119"/>
      <c r="AQ1881" s="119"/>
      <c r="CY1881" s="34" t="s">
        <v>2808</v>
      </c>
      <c r="CZ1881" s="35">
        <v>3.8999999999999999E-5</v>
      </c>
    </row>
    <row r="1882" spans="40:104" x14ac:dyDescent="0.3">
      <c r="AN1882" s="119"/>
      <c r="AO1882" s="119"/>
      <c r="AP1882" s="119"/>
      <c r="AQ1882" s="119"/>
      <c r="CY1882" s="34" t="s">
        <v>2809</v>
      </c>
      <c r="CZ1882" s="35">
        <v>3.8999999999999999E-5</v>
      </c>
    </row>
    <row r="1883" spans="40:104" x14ac:dyDescent="0.3">
      <c r="AN1883" s="119"/>
      <c r="AO1883" s="119"/>
      <c r="AP1883" s="119"/>
      <c r="AQ1883" s="119"/>
      <c r="CY1883" s="34" t="s">
        <v>2810</v>
      </c>
      <c r="CZ1883" s="35">
        <v>1.2268940800000001E-2</v>
      </c>
    </row>
    <row r="1884" spans="40:104" x14ac:dyDescent="0.3">
      <c r="AN1884" s="119"/>
      <c r="AO1884" s="119"/>
      <c r="AP1884" s="119"/>
      <c r="AQ1884" s="119"/>
      <c r="CY1884" s="34" t="s">
        <v>2811</v>
      </c>
      <c r="CZ1884" s="35">
        <v>3.8999999999999999E-5</v>
      </c>
    </row>
    <row r="1885" spans="40:104" x14ac:dyDescent="0.3">
      <c r="AN1885" s="119"/>
      <c r="AO1885" s="119"/>
      <c r="AP1885" s="119"/>
      <c r="AQ1885" s="119"/>
      <c r="CY1885" s="34" t="s">
        <v>2812</v>
      </c>
      <c r="CZ1885" s="35">
        <v>3.8999999999999999E-5</v>
      </c>
    </row>
    <row r="1886" spans="40:104" x14ac:dyDescent="0.3">
      <c r="AN1886" s="119"/>
      <c r="AO1886" s="119"/>
      <c r="AP1886" s="119"/>
      <c r="AQ1886" s="119"/>
      <c r="CY1886" s="34" t="s">
        <v>2813</v>
      </c>
      <c r="CZ1886" s="35">
        <v>3.8999999999999999E-5</v>
      </c>
    </row>
    <row r="1887" spans="40:104" x14ac:dyDescent="0.3">
      <c r="AN1887" s="119"/>
      <c r="AO1887" s="119"/>
      <c r="AP1887" s="119"/>
      <c r="AQ1887" s="119"/>
      <c r="CY1887" s="34" t="s">
        <v>2814</v>
      </c>
      <c r="CZ1887" s="35">
        <v>3.8999999999999999E-5</v>
      </c>
    </row>
    <row r="1888" spans="40:104" x14ac:dyDescent="0.3">
      <c r="AN1888" s="119"/>
      <c r="AO1888" s="119"/>
      <c r="AP1888" s="119"/>
      <c r="AQ1888" s="119"/>
      <c r="CY1888" s="34" t="s">
        <v>2815</v>
      </c>
      <c r="CZ1888" s="35">
        <v>2.8465291919999998</v>
      </c>
    </row>
    <row r="1889" spans="40:104" x14ac:dyDescent="0.3">
      <c r="AN1889" s="119"/>
      <c r="AO1889" s="119"/>
      <c r="AP1889" s="119"/>
      <c r="AQ1889" s="119"/>
      <c r="CY1889" s="34" t="s">
        <v>2816</v>
      </c>
      <c r="CZ1889" s="35">
        <v>4.5629109360000004E-4</v>
      </c>
    </row>
    <row r="1890" spans="40:104" x14ac:dyDescent="0.3">
      <c r="AN1890" s="119"/>
      <c r="AO1890" s="119"/>
      <c r="AP1890" s="119"/>
      <c r="AQ1890" s="119"/>
      <c r="CY1890" s="34" t="s">
        <v>2817</v>
      </c>
      <c r="CZ1890" s="35">
        <v>2.2343012680000003E-2</v>
      </c>
    </row>
    <row r="1891" spans="40:104" x14ac:dyDescent="0.3">
      <c r="AN1891" s="119"/>
      <c r="AO1891" s="119"/>
      <c r="AP1891" s="119"/>
      <c r="AQ1891" s="119"/>
      <c r="CY1891" s="34" t="s">
        <v>2818</v>
      </c>
      <c r="CZ1891" s="35">
        <v>2.3965904640000004E-2</v>
      </c>
    </row>
    <row r="1892" spans="40:104" x14ac:dyDescent="0.3">
      <c r="AN1892" s="119"/>
      <c r="AO1892" s="119"/>
      <c r="AP1892" s="119"/>
      <c r="AQ1892" s="119"/>
      <c r="CY1892" s="34" t="s">
        <v>2819</v>
      </c>
      <c r="CZ1892" s="35">
        <v>2.3965904640000004E-2</v>
      </c>
    </row>
    <row r="1893" spans="40:104" x14ac:dyDescent="0.3">
      <c r="AN1893" s="119"/>
      <c r="AO1893" s="119"/>
      <c r="AP1893" s="119"/>
      <c r="AQ1893" s="119"/>
      <c r="CY1893" s="34" t="s">
        <v>2820</v>
      </c>
      <c r="CZ1893" s="35">
        <v>2.7064926039999998E-3</v>
      </c>
    </row>
    <row r="1894" spans="40:104" x14ac:dyDescent="0.3">
      <c r="AN1894" s="119"/>
      <c r="AO1894" s="119"/>
      <c r="AP1894" s="119"/>
      <c r="AQ1894" s="119"/>
      <c r="CY1894" s="34" t="s">
        <v>2821</v>
      </c>
      <c r="CZ1894" s="35">
        <v>1.6478131825299999E-2</v>
      </c>
    </row>
    <row r="1895" spans="40:104" x14ac:dyDescent="0.3">
      <c r="AN1895" s="119"/>
      <c r="AO1895" s="119"/>
      <c r="AP1895" s="119"/>
      <c r="AQ1895" s="119"/>
      <c r="CY1895" s="34" t="s">
        <v>2822</v>
      </c>
      <c r="CZ1895" s="35">
        <v>3.1564350480000003E-2</v>
      </c>
    </row>
    <row r="1896" spans="40:104" x14ac:dyDescent="0.3">
      <c r="AN1896" s="119"/>
      <c r="AO1896" s="119"/>
      <c r="AP1896" s="119"/>
      <c r="AQ1896" s="119"/>
      <c r="CY1896" s="34" t="s">
        <v>2823</v>
      </c>
      <c r="CZ1896" s="35">
        <v>3.064432846652174E-2</v>
      </c>
    </row>
    <row r="1897" spans="40:104" x14ac:dyDescent="0.3">
      <c r="AN1897" s="119"/>
      <c r="AO1897" s="119"/>
      <c r="AP1897" s="119"/>
      <c r="AQ1897" s="119"/>
      <c r="CY1897" s="34" t="s">
        <v>2824</v>
      </c>
      <c r="CZ1897" s="35">
        <v>1.6489643581399999E-2</v>
      </c>
    </row>
    <row r="1898" spans="40:104" x14ac:dyDescent="0.3">
      <c r="AN1898" s="119"/>
      <c r="AO1898" s="119"/>
      <c r="AP1898" s="119"/>
      <c r="AQ1898" s="119"/>
      <c r="CY1898" s="34" t="s">
        <v>2825</v>
      </c>
      <c r="CZ1898" s="35">
        <v>1.5650492614E-3</v>
      </c>
    </row>
    <row r="1899" spans="40:104" x14ac:dyDescent="0.3">
      <c r="AN1899" s="119"/>
      <c r="AO1899" s="119"/>
      <c r="AP1899" s="119"/>
      <c r="AQ1899" s="119"/>
      <c r="CY1899" s="34" t="s">
        <v>2826</v>
      </c>
      <c r="CZ1899" s="35">
        <v>4.3801528994450001E-2</v>
      </c>
    </row>
    <row r="1900" spans="40:104" x14ac:dyDescent="0.3">
      <c r="AN1900" s="119"/>
      <c r="AO1900" s="119"/>
      <c r="AP1900" s="119"/>
      <c r="AQ1900" s="119"/>
      <c r="CY1900" s="34" t="s">
        <v>2827</v>
      </c>
      <c r="CZ1900" s="35">
        <v>4.3801528994450001E-2</v>
      </c>
    </row>
    <row r="1901" spans="40:104" x14ac:dyDescent="0.3">
      <c r="AN1901" s="119"/>
      <c r="AO1901" s="119"/>
      <c r="AP1901" s="119"/>
      <c r="AQ1901" s="119"/>
      <c r="CY1901" s="34" t="s">
        <v>2828</v>
      </c>
      <c r="CZ1901" s="35">
        <v>7.16393362865E-3</v>
      </c>
    </row>
    <row r="1902" spans="40:104" x14ac:dyDescent="0.3">
      <c r="AN1902" s="119"/>
      <c r="AO1902" s="119"/>
      <c r="AP1902" s="119"/>
      <c r="AQ1902" s="119"/>
      <c r="CY1902" s="34" t="s">
        <v>2829</v>
      </c>
      <c r="CZ1902" s="35">
        <v>5.0563539200000011E-4</v>
      </c>
    </row>
    <row r="1903" spans="40:104" x14ac:dyDescent="0.3">
      <c r="AN1903" s="119"/>
      <c r="AO1903" s="119"/>
      <c r="AP1903" s="119"/>
      <c r="AQ1903" s="119"/>
      <c r="CY1903" s="34" t="s">
        <v>2830</v>
      </c>
      <c r="CZ1903" s="35">
        <v>4.4518561759999996E-4</v>
      </c>
    </row>
    <row r="1904" spans="40:104" x14ac:dyDescent="0.3">
      <c r="AN1904" s="119"/>
      <c r="AO1904" s="119"/>
      <c r="AP1904" s="119"/>
      <c r="AQ1904" s="119"/>
      <c r="CY1904" s="34" t="s">
        <v>2831</v>
      </c>
      <c r="CZ1904" s="35">
        <v>0.193755552</v>
      </c>
    </row>
    <row r="1905" spans="40:104" x14ac:dyDescent="0.3">
      <c r="AN1905" s="119"/>
      <c r="AO1905" s="119"/>
      <c r="AP1905" s="119"/>
      <c r="AQ1905" s="119"/>
      <c r="CY1905" s="34" t="s">
        <v>2832</v>
      </c>
      <c r="CZ1905" s="35">
        <v>0.10040089716799999</v>
      </c>
    </row>
    <row r="1906" spans="40:104" x14ac:dyDescent="0.3">
      <c r="AN1906" s="119"/>
      <c r="AO1906" s="119"/>
      <c r="AP1906" s="119"/>
      <c r="AQ1906" s="119"/>
      <c r="CY1906" s="34" t="s">
        <v>2833</v>
      </c>
      <c r="CZ1906" s="35">
        <v>2.4020688639999998E-3</v>
      </c>
    </row>
    <row r="1907" spans="40:104" x14ac:dyDescent="0.3">
      <c r="AN1907" s="119"/>
      <c r="AO1907" s="119"/>
      <c r="AP1907" s="119"/>
      <c r="AQ1907" s="119"/>
      <c r="CY1907" s="34" t="s">
        <v>2834</v>
      </c>
      <c r="CZ1907" s="35">
        <v>2.2368137599999998E-3</v>
      </c>
    </row>
    <row r="1908" spans="40:104" x14ac:dyDescent="0.3">
      <c r="AN1908" s="119"/>
      <c r="AO1908" s="119"/>
      <c r="AP1908" s="119"/>
      <c r="AQ1908" s="119"/>
      <c r="CY1908" s="34" t="s">
        <v>2835</v>
      </c>
      <c r="CZ1908" s="35">
        <v>1.233592408E-3</v>
      </c>
    </row>
    <row r="1909" spans="40:104" x14ac:dyDescent="0.3">
      <c r="AN1909" s="119"/>
      <c r="AO1909" s="119"/>
      <c r="AP1909" s="119"/>
      <c r="AQ1909" s="119"/>
      <c r="CY1909" s="34" t="s">
        <v>2836</v>
      </c>
      <c r="CZ1909" s="35">
        <v>4.3821921440000003E-3</v>
      </c>
    </row>
    <row r="1910" spans="40:104" x14ac:dyDescent="0.3">
      <c r="AN1910" s="119"/>
      <c r="AO1910" s="119"/>
      <c r="AP1910" s="119"/>
      <c r="AQ1910" s="119"/>
      <c r="CY1910" s="34" t="s">
        <v>2837</v>
      </c>
      <c r="CZ1910" s="35">
        <v>4.5222009157100005E-3</v>
      </c>
    </row>
    <row r="1911" spans="40:104" x14ac:dyDescent="0.3">
      <c r="AN1911" s="119"/>
      <c r="AO1911" s="119"/>
      <c r="AP1911" s="119"/>
      <c r="AQ1911" s="119"/>
      <c r="CY1911" s="34" t="s">
        <v>2838</v>
      </c>
      <c r="CZ1911" s="35">
        <v>3.149891296E-2</v>
      </c>
    </row>
    <row r="1912" spans="40:104" x14ac:dyDescent="0.3">
      <c r="AN1912" s="119"/>
      <c r="AO1912" s="119"/>
      <c r="AP1912" s="119"/>
      <c r="AQ1912" s="119"/>
      <c r="CY1912" s="34" t="s">
        <v>2839</v>
      </c>
      <c r="CZ1912" s="35">
        <v>6.6669304000000005E-4</v>
      </c>
    </row>
    <row r="1913" spans="40:104" x14ac:dyDescent="0.3">
      <c r="AN1913" s="119"/>
      <c r="AO1913" s="119"/>
      <c r="AP1913" s="119"/>
      <c r="AQ1913" s="119"/>
      <c r="CY1913" s="34" t="s">
        <v>2840</v>
      </c>
      <c r="CZ1913" s="35">
        <v>6.2550955999999993E-4</v>
      </c>
    </row>
    <row r="1914" spans="40:104" x14ac:dyDescent="0.3">
      <c r="AN1914" s="119"/>
      <c r="AO1914" s="119"/>
      <c r="AP1914" s="119"/>
      <c r="AQ1914" s="119"/>
      <c r="CY1914" s="34" t="s">
        <v>2841</v>
      </c>
      <c r="CZ1914" s="35">
        <v>6.2550955999999993E-4</v>
      </c>
    </row>
    <row r="1915" spans="40:104" x14ac:dyDescent="0.3">
      <c r="AN1915" s="119"/>
      <c r="AO1915" s="119"/>
      <c r="AP1915" s="119"/>
      <c r="AQ1915" s="119"/>
      <c r="CY1915" s="34" t="s">
        <v>2842</v>
      </c>
      <c r="CZ1915" s="35">
        <v>1.2134392399999999E-3</v>
      </c>
    </row>
    <row r="1916" spans="40:104" x14ac:dyDescent="0.3">
      <c r="AN1916" s="119"/>
      <c r="AO1916" s="119"/>
      <c r="AP1916" s="119"/>
      <c r="AQ1916" s="119"/>
      <c r="CY1916" s="34" t="s">
        <v>2843</v>
      </c>
      <c r="CZ1916" s="35">
        <v>2.1298123599999999E-3</v>
      </c>
    </row>
    <row r="1917" spans="40:104" x14ac:dyDescent="0.3">
      <c r="AN1917" s="119"/>
      <c r="AO1917" s="119"/>
      <c r="AP1917" s="119"/>
      <c r="AQ1917" s="119"/>
      <c r="CY1917" s="34" t="s">
        <v>2844</v>
      </c>
      <c r="CZ1917" s="35">
        <v>1.03592424E-3</v>
      </c>
    </row>
    <row r="1918" spans="40:104" x14ac:dyDescent="0.3">
      <c r="AN1918" s="119"/>
      <c r="AO1918" s="119"/>
      <c r="AP1918" s="119"/>
      <c r="AQ1918" s="119"/>
      <c r="CY1918" s="34" t="s">
        <v>2845</v>
      </c>
      <c r="CZ1918" s="35">
        <v>1.70820956E-3</v>
      </c>
    </row>
    <row r="1919" spans="40:104" x14ac:dyDescent="0.3">
      <c r="AN1919" s="119"/>
      <c r="AO1919" s="119"/>
      <c r="AP1919" s="119"/>
      <c r="AQ1919" s="119"/>
      <c r="CY1919" s="34" t="s">
        <v>2846</v>
      </c>
      <c r="CZ1919" s="35">
        <v>1.4713478560000002E-2</v>
      </c>
    </row>
    <row r="1920" spans="40:104" x14ac:dyDescent="0.3">
      <c r="AN1920" s="119"/>
      <c r="AO1920" s="119"/>
      <c r="AP1920" s="119"/>
      <c r="AQ1920" s="119"/>
      <c r="CY1920" s="34" t="s">
        <v>2847</v>
      </c>
      <c r="CZ1920" s="35">
        <v>7.2165397000000006E-2</v>
      </c>
    </row>
    <row r="1921" spans="40:104" x14ac:dyDescent="0.3">
      <c r="AN1921" s="119"/>
      <c r="AO1921" s="119"/>
      <c r="AP1921" s="119"/>
      <c r="AQ1921" s="119"/>
      <c r="CY1921" s="34" t="s">
        <v>2848</v>
      </c>
      <c r="CZ1921" s="35">
        <v>2.4186886666666668E-3</v>
      </c>
    </row>
    <row r="1922" spans="40:104" x14ac:dyDescent="0.3">
      <c r="AN1922" s="119"/>
      <c r="AO1922" s="119"/>
      <c r="AP1922" s="119"/>
      <c r="AQ1922" s="119"/>
      <c r="CY1922" s="34" t="s">
        <v>2849</v>
      </c>
      <c r="CZ1922" s="35">
        <v>9.8194140906666671E-3</v>
      </c>
    </row>
    <row r="1923" spans="40:104" x14ac:dyDescent="0.3">
      <c r="AN1923" s="119"/>
      <c r="AO1923" s="119"/>
      <c r="AP1923" s="119"/>
      <c r="AQ1923" s="119"/>
      <c r="CY1923" s="34" t="s">
        <v>2850</v>
      </c>
      <c r="CZ1923" s="35">
        <v>3.5730167200000002E-3</v>
      </c>
    </row>
    <row r="1924" spans="40:104" x14ac:dyDescent="0.3">
      <c r="AN1924" s="119"/>
      <c r="AO1924" s="119"/>
      <c r="AP1924" s="119"/>
      <c r="AQ1924" s="119"/>
      <c r="CY1924" s="34" t="s">
        <v>2851</v>
      </c>
      <c r="CZ1924" s="35">
        <v>1.1269158830000001E-2</v>
      </c>
    </row>
    <row r="1925" spans="40:104" x14ac:dyDescent="0.3">
      <c r="AN1925" s="119"/>
      <c r="AO1925" s="119"/>
      <c r="AP1925" s="119"/>
      <c r="AQ1925" s="119"/>
      <c r="CY1925" s="34" t="s">
        <v>2852</v>
      </c>
      <c r="CZ1925" s="35">
        <v>1.6484907575999998E-2</v>
      </c>
    </row>
    <row r="1926" spans="40:104" x14ac:dyDescent="0.3">
      <c r="AN1926" s="119"/>
      <c r="AO1926" s="119"/>
      <c r="AP1926" s="119"/>
      <c r="AQ1926" s="119"/>
      <c r="CY1926" s="34" t="s">
        <v>2853</v>
      </c>
      <c r="CZ1926" s="35">
        <v>3.7508898496052636E-3</v>
      </c>
    </row>
    <row r="1927" spans="40:104" x14ac:dyDescent="0.3">
      <c r="AN1927" s="119"/>
      <c r="AO1927" s="119"/>
      <c r="AP1927" s="119"/>
      <c r="AQ1927" s="119"/>
      <c r="CY1927" s="34" t="s">
        <v>2854</v>
      </c>
      <c r="CZ1927" s="35">
        <v>1.6327348686600001E-3</v>
      </c>
    </row>
    <row r="1928" spans="40:104" x14ac:dyDescent="0.3">
      <c r="AN1928" s="119"/>
      <c r="AO1928" s="119"/>
      <c r="AP1928" s="119"/>
      <c r="AQ1928" s="119"/>
      <c r="CY1928" s="34" t="s">
        <v>2855</v>
      </c>
      <c r="CZ1928" s="35">
        <v>1.2201784352000001E-3</v>
      </c>
    </row>
    <row r="1929" spans="40:104" x14ac:dyDescent="0.3">
      <c r="AN1929" s="119"/>
      <c r="AO1929" s="119"/>
      <c r="AP1929" s="119"/>
      <c r="AQ1929" s="119"/>
      <c r="CY1929" s="34" t="s">
        <v>2856</v>
      </c>
      <c r="CZ1929" s="35">
        <v>2.1497707998260869E-3</v>
      </c>
    </row>
    <row r="1930" spans="40:104" x14ac:dyDescent="0.3">
      <c r="AN1930" s="119"/>
      <c r="AO1930" s="119"/>
      <c r="AP1930" s="119"/>
      <c r="AQ1930" s="119"/>
      <c r="CY1930" s="34" t="s">
        <v>2857</v>
      </c>
      <c r="CZ1930" s="35">
        <v>4.4597949600000002E-4</v>
      </c>
    </row>
    <row r="1931" spans="40:104" x14ac:dyDescent="0.3">
      <c r="AN1931" s="119"/>
      <c r="AO1931" s="119"/>
      <c r="AP1931" s="119"/>
      <c r="AQ1931" s="119"/>
      <c r="CY1931" s="34" t="s">
        <v>2858</v>
      </c>
      <c r="CZ1931" s="35">
        <v>1.3525807404799999E-3</v>
      </c>
    </row>
    <row r="1932" spans="40:104" x14ac:dyDescent="0.3">
      <c r="AN1932" s="119"/>
      <c r="AO1932" s="119"/>
      <c r="AP1932" s="119"/>
      <c r="AQ1932" s="119"/>
      <c r="CY1932" s="34" t="s">
        <v>2859</v>
      </c>
      <c r="CZ1932" s="35">
        <v>4.6255608000000002E-3</v>
      </c>
    </row>
    <row r="1933" spans="40:104" x14ac:dyDescent="0.3">
      <c r="AN1933" s="119"/>
      <c r="AO1933" s="119"/>
      <c r="AP1933" s="119"/>
      <c r="AQ1933" s="119"/>
      <c r="CY1933" s="34" t="s">
        <v>2860</v>
      </c>
      <c r="CZ1933" s="35">
        <v>3.6496600000000004E-2</v>
      </c>
    </row>
    <row r="1934" spans="40:104" x14ac:dyDescent="0.3">
      <c r="AN1934" s="119"/>
      <c r="AO1934" s="119"/>
      <c r="AP1934" s="119"/>
      <c r="AQ1934" s="119"/>
      <c r="CY1934" s="34" t="s">
        <v>2861</v>
      </c>
      <c r="CZ1934" s="35">
        <v>5.4287175679999999E-3</v>
      </c>
    </row>
    <row r="1935" spans="40:104" x14ac:dyDescent="0.3">
      <c r="AN1935" s="119"/>
      <c r="AO1935" s="119"/>
      <c r="AP1935" s="119"/>
      <c r="AQ1935" s="119"/>
      <c r="CY1935" s="34" t="s">
        <v>2862</v>
      </c>
      <c r="CZ1935" s="35">
        <v>1.1531078784E-2</v>
      </c>
    </row>
    <row r="1936" spans="40:104" x14ac:dyDescent="0.3">
      <c r="AN1936" s="119"/>
      <c r="AO1936" s="119"/>
      <c r="AP1936" s="119"/>
      <c r="AQ1936" s="119"/>
      <c r="CY1936" s="34" t="s">
        <v>2863</v>
      </c>
      <c r="CZ1936" s="35">
        <v>1.1408382786600002E-2</v>
      </c>
    </row>
    <row r="1937" spans="40:104" x14ac:dyDescent="0.3">
      <c r="AN1937" s="119"/>
      <c r="AO1937" s="119"/>
      <c r="AP1937" s="119"/>
      <c r="AQ1937" s="119"/>
      <c r="CY1937" s="34" t="s">
        <v>2864</v>
      </c>
      <c r="CZ1937" s="35">
        <v>1.77482457786E-2</v>
      </c>
    </row>
    <row r="1938" spans="40:104" x14ac:dyDescent="0.3">
      <c r="AN1938" s="119"/>
      <c r="AO1938" s="119"/>
      <c r="AP1938" s="119"/>
      <c r="AQ1938" s="119"/>
      <c r="CY1938" s="34" t="s">
        <v>2865</v>
      </c>
      <c r="CZ1938" s="35">
        <v>3.0611206880000005E-2</v>
      </c>
    </row>
    <row r="1939" spans="40:104" x14ac:dyDescent="0.3">
      <c r="AN1939" s="119"/>
      <c r="AO1939" s="119"/>
      <c r="AP1939" s="119"/>
      <c r="AQ1939" s="119"/>
      <c r="CY1939" s="34" t="s">
        <v>2866</v>
      </c>
      <c r="CZ1939" s="35">
        <v>3.2274453711999995E-2</v>
      </c>
    </row>
    <row r="1940" spans="40:104" x14ac:dyDescent="0.3">
      <c r="AN1940" s="119"/>
      <c r="AO1940" s="119"/>
      <c r="AP1940" s="119"/>
      <c r="AQ1940" s="119"/>
      <c r="CY1940" s="34" t="s">
        <v>2867</v>
      </c>
      <c r="CZ1940" s="35">
        <v>1.1989676272E-2</v>
      </c>
    </row>
    <row r="1941" spans="40:104" x14ac:dyDescent="0.3">
      <c r="AN1941" s="119"/>
      <c r="AO1941" s="119"/>
      <c r="AP1941" s="119"/>
      <c r="AQ1941" s="119"/>
      <c r="CY1941" s="34" t="s">
        <v>2868</v>
      </c>
      <c r="CZ1941" s="35">
        <v>1.2051028184000001E-2</v>
      </c>
    </row>
    <row r="1942" spans="40:104" x14ac:dyDescent="0.3">
      <c r="AN1942" s="119"/>
      <c r="AO1942" s="119"/>
      <c r="AP1942" s="119"/>
      <c r="AQ1942" s="119"/>
      <c r="CY1942" s="34" t="s">
        <v>2869</v>
      </c>
      <c r="CZ1942" s="35">
        <v>1.8840346623999998E-2</v>
      </c>
    </row>
    <row r="1943" spans="40:104" x14ac:dyDescent="0.3">
      <c r="AN1943" s="119"/>
      <c r="AO1943" s="119"/>
      <c r="AP1943" s="119"/>
      <c r="AQ1943" s="119"/>
      <c r="CY1943" s="34" t="s">
        <v>2870</v>
      </c>
      <c r="CZ1943" s="35">
        <v>7.4345250000000002E-2</v>
      </c>
    </row>
    <row r="1944" spans="40:104" x14ac:dyDescent="0.3">
      <c r="AN1944" s="119"/>
      <c r="AO1944" s="119"/>
      <c r="AP1944" s="119"/>
      <c r="AQ1944" s="119"/>
      <c r="CY1944" s="34" t="s">
        <v>2871</v>
      </c>
      <c r="CZ1944" s="35">
        <v>2.4290561300000003E-2</v>
      </c>
    </row>
    <row r="1945" spans="40:104" x14ac:dyDescent="0.3">
      <c r="AN1945" s="119"/>
      <c r="AO1945" s="119"/>
      <c r="AP1945" s="119"/>
      <c r="AQ1945" s="119"/>
      <c r="CY1945" s="34" t="s">
        <v>2872</v>
      </c>
      <c r="CZ1945" s="35">
        <v>5.0906373333333334E-3</v>
      </c>
    </row>
    <row r="1946" spans="40:104" x14ac:dyDescent="0.3">
      <c r="AN1946" s="119"/>
      <c r="AO1946" s="119"/>
      <c r="AP1946" s="119"/>
      <c r="AQ1946" s="119"/>
      <c r="CY1946" s="34" t="s">
        <v>2873</v>
      </c>
      <c r="CZ1946" s="35">
        <v>4.7109306800000011E-3</v>
      </c>
    </row>
    <row r="1947" spans="40:104" x14ac:dyDescent="0.3">
      <c r="AN1947" s="119"/>
      <c r="AO1947" s="119"/>
      <c r="AP1947" s="119"/>
      <c r="AQ1947" s="119"/>
      <c r="CY1947" s="34" t="s">
        <v>2874</v>
      </c>
      <c r="CZ1947" s="35">
        <v>1.4420828751999999E-2</v>
      </c>
    </row>
    <row r="1948" spans="40:104" x14ac:dyDescent="0.3">
      <c r="AN1948" s="119"/>
      <c r="AO1948" s="119"/>
      <c r="AP1948" s="119"/>
      <c r="AQ1948" s="119"/>
      <c r="CY1948" s="34" t="s">
        <v>2875</v>
      </c>
      <c r="CZ1948" s="35">
        <v>3.2036130000000006E-3</v>
      </c>
    </row>
    <row r="1949" spans="40:104" x14ac:dyDescent="0.3">
      <c r="AN1949" s="119"/>
      <c r="AO1949" s="119"/>
      <c r="AP1949" s="119"/>
      <c r="AQ1949" s="119"/>
      <c r="CY1949" s="34" t="s">
        <v>2876</v>
      </c>
      <c r="CZ1949" s="35">
        <v>1.215984E-3</v>
      </c>
    </row>
    <row r="1950" spans="40:104" x14ac:dyDescent="0.3">
      <c r="AN1950" s="119"/>
      <c r="AO1950" s="119"/>
      <c r="AP1950" s="119"/>
      <c r="AQ1950" s="119"/>
      <c r="CY1950" s="34" t="s">
        <v>2877</v>
      </c>
      <c r="CZ1950" s="35">
        <v>1.0052550399999999E-3</v>
      </c>
    </row>
    <row r="1951" spans="40:104" x14ac:dyDescent="0.3">
      <c r="AN1951" s="119"/>
      <c r="AO1951" s="119"/>
      <c r="AP1951" s="119"/>
      <c r="AQ1951" s="119"/>
      <c r="CY1951" s="34" t="s">
        <v>2878</v>
      </c>
      <c r="CZ1951" s="35">
        <v>1.0075520000000001E-3</v>
      </c>
    </row>
    <row r="1952" spans="40:104" x14ac:dyDescent="0.3">
      <c r="AN1952" s="119"/>
      <c r="AO1952" s="119"/>
      <c r="AP1952" s="119"/>
      <c r="AQ1952" s="119"/>
      <c r="CY1952" s="34" t="s">
        <v>2879</v>
      </c>
      <c r="CZ1952" s="35">
        <v>3.8999999999999999E-5</v>
      </c>
    </row>
    <row r="1953" spans="40:104" x14ac:dyDescent="0.3">
      <c r="AN1953" s="119"/>
      <c r="AO1953" s="119"/>
      <c r="AP1953" s="119"/>
      <c r="AQ1953" s="119"/>
      <c r="CY1953" s="34" t="s">
        <v>2880</v>
      </c>
      <c r="CZ1953" s="35">
        <v>1.2828240000000001E-3</v>
      </c>
    </row>
    <row r="1954" spans="40:104" x14ac:dyDescent="0.3">
      <c r="AN1954" s="119"/>
      <c r="AO1954" s="119"/>
      <c r="AP1954" s="119"/>
      <c r="AQ1954" s="119"/>
      <c r="CY1954" s="34" t="s">
        <v>2881</v>
      </c>
      <c r="CZ1954" s="35">
        <v>4.5589814240000002E-3</v>
      </c>
    </row>
    <row r="1955" spans="40:104" x14ac:dyDescent="0.3">
      <c r="AN1955" s="119"/>
      <c r="AO1955" s="119"/>
      <c r="AP1955" s="119"/>
      <c r="AQ1955" s="119"/>
      <c r="CY1955" s="34" t="s">
        <v>2882</v>
      </c>
      <c r="CZ1955" s="35">
        <v>8.6478132000000004E-4</v>
      </c>
    </row>
    <row r="1956" spans="40:104" x14ac:dyDescent="0.3">
      <c r="AN1956" s="119"/>
      <c r="AO1956" s="119"/>
      <c r="AP1956" s="119"/>
      <c r="AQ1956" s="119"/>
      <c r="CY1956" s="34" t="s">
        <v>2883</v>
      </c>
      <c r="CZ1956" s="35">
        <v>1.173393E-3</v>
      </c>
    </row>
    <row r="1957" spans="40:104" x14ac:dyDescent="0.3">
      <c r="AN1957" s="119"/>
      <c r="AO1957" s="119"/>
      <c r="AP1957" s="119"/>
      <c r="AQ1957" s="119"/>
      <c r="CY1957" s="34" t="s">
        <v>2884</v>
      </c>
      <c r="CZ1957" s="35">
        <v>1.5773241600000001E-2</v>
      </c>
    </row>
    <row r="1958" spans="40:104" x14ac:dyDescent="0.3">
      <c r="AN1958" s="119"/>
      <c r="AO1958" s="119"/>
      <c r="AP1958" s="119"/>
      <c r="AQ1958" s="119"/>
      <c r="CY1958" s="34" t="s">
        <v>2885</v>
      </c>
      <c r="CZ1958" s="35">
        <v>1.5773241599999998E-2</v>
      </c>
    </row>
    <row r="1959" spans="40:104" x14ac:dyDescent="0.3">
      <c r="AN1959" s="119"/>
      <c r="AO1959" s="119"/>
      <c r="AP1959" s="119"/>
      <c r="AQ1959" s="119"/>
      <c r="CY1959" s="34" t="s">
        <v>2886</v>
      </c>
      <c r="CZ1959" s="35">
        <v>3.8279174031999999E-2</v>
      </c>
    </row>
    <row r="1960" spans="40:104" x14ac:dyDescent="0.3">
      <c r="AN1960" s="119"/>
      <c r="AO1960" s="119"/>
      <c r="AP1960" s="119"/>
      <c r="AQ1960" s="119"/>
      <c r="CY1960" s="34" t="s">
        <v>2887</v>
      </c>
      <c r="CZ1960" s="35">
        <v>6.5725359999999997E-2</v>
      </c>
    </row>
    <row r="1961" spans="40:104" x14ac:dyDescent="0.3">
      <c r="AN1961" s="119"/>
      <c r="AO1961" s="119"/>
      <c r="AP1961" s="119"/>
      <c r="AQ1961" s="119"/>
      <c r="CY1961" s="34" t="s">
        <v>2888</v>
      </c>
      <c r="CZ1961" s="35">
        <v>4.4462158528E-2</v>
      </c>
    </row>
    <row r="1962" spans="40:104" x14ac:dyDescent="0.3">
      <c r="AN1962" s="119"/>
      <c r="AO1962" s="119"/>
      <c r="AP1962" s="119"/>
      <c r="AQ1962" s="119"/>
      <c r="CY1962" s="34" t="s">
        <v>2889</v>
      </c>
      <c r="CZ1962" s="35">
        <v>2.9197205343999999E-2</v>
      </c>
    </row>
    <row r="1963" spans="40:104" x14ac:dyDescent="0.3">
      <c r="AN1963" s="119"/>
      <c r="AO1963" s="119"/>
      <c r="AP1963" s="119"/>
      <c r="AQ1963" s="119"/>
      <c r="CY1963" s="34" t="s">
        <v>2890</v>
      </c>
      <c r="CZ1963" s="35">
        <v>4.9066660000000006E-5</v>
      </c>
    </row>
    <row r="1964" spans="40:104" x14ac:dyDescent="0.3">
      <c r="AN1964" s="119"/>
      <c r="AO1964" s="119"/>
      <c r="AP1964" s="119"/>
      <c r="AQ1964" s="119"/>
      <c r="CY1964" s="34" t="s">
        <v>2891</v>
      </c>
      <c r="CZ1964" s="35">
        <v>7.1536296000000005E-4</v>
      </c>
    </row>
    <row r="1965" spans="40:104" x14ac:dyDescent="0.3">
      <c r="AN1965" s="119"/>
      <c r="AO1965" s="119"/>
      <c r="AP1965" s="119"/>
      <c r="AQ1965" s="119"/>
      <c r="CY1965" s="34" t="s">
        <v>2892</v>
      </c>
      <c r="CZ1965" s="35">
        <v>4.4100056000000002E-4</v>
      </c>
    </row>
    <row r="1966" spans="40:104" x14ac:dyDescent="0.3">
      <c r="AN1966" s="119"/>
      <c r="AO1966" s="119"/>
      <c r="AP1966" s="119"/>
      <c r="AQ1966" s="119"/>
      <c r="CY1966" s="34" t="s">
        <v>2893</v>
      </c>
      <c r="CZ1966" s="35">
        <v>6.6474199999999996E-4</v>
      </c>
    </row>
    <row r="1967" spans="40:104" x14ac:dyDescent="0.3">
      <c r="AN1967" s="119"/>
      <c r="AO1967" s="119"/>
      <c r="AP1967" s="119"/>
      <c r="AQ1967" s="119"/>
      <c r="CY1967" s="34" t="s">
        <v>2894</v>
      </c>
      <c r="CZ1967" s="35">
        <v>1.1177867440000001E-2</v>
      </c>
    </row>
    <row r="1968" spans="40:104" x14ac:dyDescent="0.3">
      <c r="AN1968" s="119"/>
      <c r="AO1968" s="119"/>
      <c r="AP1968" s="119"/>
      <c r="AQ1968" s="119"/>
      <c r="CY1968" s="34" t="s">
        <v>2895</v>
      </c>
      <c r="CZ1968" s="35">
        <v>1.24643168E-3</v>
      </c>
    </row>
    <row r="1969" spans="40:104" x14ac:dyDescent="0.3">
      <c r="AN1969" s="119"/>
      <c r="AO1969" s="119"/>
      <c r="AP1969" s="119"/>
      <c r="AQ1969" s="119"/>
      <c r="CY1969" s="34" t="s">
        <v>2896</v>
      </c>
      <c r="CZ1969" s="35">
        <v>8.8540607999999994E-4</v>
      </c>
    </row>
    <row r="1970" spans="40:104" x14ac:dyDescent="0.3">
      <c r="AN1970" s="119"/>
      <c r="AO1970" s="119"/>
      <c r="AP1970" s="119"/>
      <c r="AQ1970" s="119"/>
      <c r="CY1970" s="34" t="s">
        <v>2897</v>
      </c>
      <c r="CZ1970" s="35">
        <v>6.1625699199999997E-4</v>
      </c>
    </row>
    <row r="1971" spans="40:104" x14ac:dyDescent="0.3">
      <c r="AN1971" s="119"/>
      <c r="AO1971" s="119"/>
      <c r="AP1971" s="119"/>
      <c r="AQ1971" s="119"/>
      <c r="CY1971" s="34" t="s">
        <v>2898</v>
      </c>
      <c r="CZ1971" s="35">
        <v>5.1017200000000003E-4</v>
      </c>
    </row>
    <row r="1972" spans="40:104" x14ac:dyDescent="0.3">
      <c r="AN1972" s="119"/>
      <c r="AO1972" s="119"/>
      <c r="AP1972" s="119"/>
      <c r="AQ1972" s="119"/>
      <c r="CY1972" s="34" t="s">
        <v>2899</v>
      </c>
      <c r="CZ1972" s="35">
        <v>1.9971580374333335E-3</v>
      </c>
    </row>
    <row r="1973" spans="40:104" x14ac:dyDescent="0.3">
      <c r="AN1973" s="119"/>
      <c r="AO1973" s="119"/>
      <c r="AP1973" s="119"/>
      <c r="AQ1973" s="119"/>
      <c r="CY1973" s="34" t="s">
        <v>2900</v>
      </c>
      <c r="CZ1973" s="35">
        <v>5.070968E-2</v>
      </c>
    </row>
    <row r="1974" spans="40:104" x14ac:dyDescent="0.3">
      <c r="AN1974" s="119"/>
      <c r="AO1974" s="119"/>
      <c r="AP1974" s="119"/>
      <c r="AQ1974" s="119"/>
      <c r="CY1974" s="34" t="s">
        <v>2901</v>
      </c>
      <c r="CZ1974" s="35">
        <v>8.2306310879999997E-2</v>
      </c>
    </row>
    <row r="1975" spans="40:104" x14ac:dyDescent="0.3">
      <c r="AN1975" s="119"/>
      <c r="AO1975" s="119"/>
      <c r="AP1975" s="119"/>
      <c r="AQ1975" s="119"/>
      <c r="CY1975" s="34" t="s">
        <v>2902</v>
      </c>
      <c r="CZ1975" s="35">
        <v>5.6888601599999983E-4</v>
      </c>
    </row>
    <row r="1976" spans="40:104" x14ac:dyDescent="0.3">
      <c r="AN1976" s="119"/>
      <c r="AO1976" s="119"/>
      <c r="AP1976" s="119"/>
      <c r="AQ1976" s="119"/>
      <c r="CY1976" s="34" t="s">
        <v>2903</v>
      </c>
      <c r="CZ1976" s="35">
        <v>9.0846329599999999E-4</v>
      </c>
    </row>
    <row r="1977" spans="40:104" x14ac:dyDescent="0.3">
      <c r="AN1977" s="119"/>
      <c r="AO1977" s="119"/>
      <c r="AP1977" s="119"/>
      <c r="AQ1977" s="119"/>
      <c r="CY1977" s="34" t="s">
        <v>2904</v>
      </c>
      <c r="CZ1977" s="35">
        <v>6.3162771920000004E-3</v>
      </c>
    </row>
    <row r="1978" spans="40:104" x14ac:dyDescent="0.3">
      <c r="AN1978" s="119"/>
      <c r="AO1978" s="119"/>
      <c r="AP1978" s="119"/>
      <c r="AQ1978" s="119"/>
      <c r="CY1978" s="34" t="s">
        <v>2905</v>
      </c>
      <c r="CZ1978" s="35">
        <v>2.4978221599999999E-2</v>
      </c>
    </row>
    <row r="1979" spans="40:104" x14ac:dyDescent="0.3">
      <c r="AN1979" s="119"/>
      <c r="AO1979" s="119"/>
      <c r="AP1979" s="119"/>
      <c r="AQ1979" s="119"/>
      <c r="CY1979" s="34" t="s">
        <v>2906</v>
      </c>
      <c r="CZ1979" s="35">
        <v>3.4756338400000002E-3</v>
      </c>
    </row>
    <row r="1980" spans="40:104" x14ac:dyDescent="0.3">
      <c r="AN1980" s="119"/>
      <c r="AO1980" s="119"/>
      <c r="AP1980" s="119"/>
      <c r="AQ1980" s="119"/>
      <c r="CY1980" s="34" t="s">
        <v>2907</v>
      </c>
      <c r="CZ1980" s="35">
        <v>1.4406076568000001E-2</v>
      </c>
    </row>
    <row r="1981" spans="40:104" x14ac:dyDescent="0.3">
      <c r="AN1981" s="119"/>
      <c r="AO1981" s="119"/>
      <c r="AP1981" s="119"/>
      <c r="AQ1981" s="119"/>
      <c r="CY1981" s="34" t="s">
        <v>2908</v>
      </c>
      <c r="CZ1981" s="35">
        <v>2.2051971048000003E-2</v>
      </c>
    </row>
    <row r="1982" spans="40:104" x14ac:dyDescent="0.3">
      <c r="AN1982" s="119"/>
      <c r="AO1982" s="119"/>
      <c r="AP1982" s="119"/>
      <c r="AQ1982" s="119"/>
      <c r="CY1982" s="34" t="s">
        <v>2909</v>
      </c>
      <c r="CZ1982" s="35">
        <v>3.6092459520000002E-3</v>
      </c>
    </row>
    <row r="1983" spans="40:104" x14ac:dyDescent="0.3">
      <c r="AN1983" s="119"/>
      <c r="AO1983" s="119"/>
      <c r="AP1983" s="119"/>
      <c r="AQ1983" s="119"/>
      <c r="CY1983" s="34" t="s">
        <v>2910</v>
      </c>
      <c r="CZ1983" s="35">
        <v>1.2757082524000001E-2</v>
      </c>
    </row>
    <row r="1984" spans="40:104" x14ac:dyDescent="0.3">
      <c r="AN1984" s="119"/>
      <c r="AO1984" s="119"/>
      <c r="AP1984" s="119"/>
      <c r="AQ1984" s="119"/>
      <c r="CY1984" s="34" t="s">
        <v>2911</v>
      </c>
      <c r="CZ1984" s="35">
        <v>2.03642692986E-2</v>
      </c>
    </row>
    <row r="1985" spans="40:104" x14ac:dyDescent="0.3">
      <c r="AN1985" s="119"/>
      <c r="AO1985" s="119"/>
      <c r="AP1985" s="119"/>
      <c r="AQ1985" s="119"/>
      <c r="CY1985" s="34" t="s">
        <v>2912</v>
      </c>
      <c r="CZ1985" s="35">
        <v>1.7874607712000001E-2</v>
      </c>
    </row>
    <row r="1986" spans="40:104" x14ac:dyDescent="0.3">
      <c r="AN1986" s="119"/>
      <c r="AO1986" s="119"/>
      <c r="AP1986" s="119"/>
      <c r="AQ1986" s="119"/>
      <c r="CY1986" s="34" t="s">
        <v>2913</v>
      </c>
      <c r="CZ1986" s="35">
        <v>8.020532159999999E-2</v>
      </c>
    </row>
    <row r="1987" spans="40:104" x14ac:dyDescent="0.3">
      <c r="AN1987" s="119"/>
      <c r="AO1987" s="119"/>
      <c r="AP1987" s="119"/>
      <c r="AQ1987" s="119"/>
      <c r="CY1987" s="34" t="s">
        <v>2914</v>
      </c>
      <c r="CZ1987" s="35">
        <v>1.9504815199999999E-3</v>
      </c>
    </row>
    <row r="1988" spans="40:104" x14ac:dyDescent="0.3">
      <c r="AN1988" s="119"/>
      <c r="AO1988" s="119"/>
      <c r="AP1988" s="119"/>
      <c r="AQ1988" s="119"/>
      <c r="CY1988" s="34" t="s">
        <v>2915</v>
      </c>
      <c r="CZ1988" s="35">
        <v>2.3876931221333332E-4</v>
      </c>
    </row>
    <row r="1989" spans="40:104" x14ac:dyDescent="0.3">
      <c r="AN1989" s="119"/>
      <c r="AO1989" s="119"/>
      <c r="AP1989" s="119"/>
      <c r="AQ1989" s="119"/>
      <c r="CY1989" s="34" t="s">
        <v>2916</v>
      </c>
      <c r="CZ1989" s="35">
        <v>1.8907939626666665E-4</v>
      </c>
    </row>
    <row r="1990" spans="40:104" x14ac:dyDescent="0.3">
      <c r="AN1990" s="119"/>
      <c r="AO1990" s="119"/>
      <c r="AP1990" s="119"/>
      <c r="AQ1990" s="119"/>
      <c r="CY1990" s="34" t="s">
        <v>2917</v>
      </c>
      <c r="CZ1990" s="35">
        <v>2.4166937600000001E-4</v>
      </c>
    </row>
    <row r="1991" spans="40:104" x14ac:dyDescent="0.3">
      <c r="AN1991" s="119"/>
      <c r="AO1991" s="119"/>
      <c r="AP1991" s="119"/>
      <c r="AQ1991" s="119"/>
      <c r="CY1991" s="34" t="s">
        <v>2918</v>
      </c>
      <c r="CZ1991" s="35">
        <v>2.8535722358400003E-3</v>
      </c>
    </row>
    <row r="1992" spans="40:104" x14ac:dyDescent="0.3">
      <c r="AN1992" s="119"/>
      <c r="AO1992" s="119"/>
      <c r="AP1992" s="119"/>
      <c r="AQ1992" s="119"/>
      <c r="CY1992" s="34" t="s">
        <v>2919</v>
      </c>
      <c r="CZ1992" s="35">
        <v>6.18137744E-4</v>
      </c>
    </row>
    <row r="1993" spans="40:104" x14ac:dyDescent="0.3">
      <c r="AN1993" s="119"/>
      <c r="AO1993" s="119"/>
      <c r="AP1993" s="119"/>
      <c r="AQ1993" s="119"/>
      <c r="CY1993" s="34" t="s">
        <v>2920</v>
      </c>
      <c r="CZ1993" s="35">
        <v>9.2291721599999999E-4</v>
      </c>
    </row>
    <row r="1994" spans="40:104" x14ac:dyDescent="0.3">
      <c r="AN1994" s="119"/>
      <c r="AO1994" s="119"/>
      <c r="AP1994" s="119"/>
      <c r="AQ1994" s="119"/>
      <c r="CY1994" s="34" t="s">
        <v>2921</v>
      </c>
      <c r="CZ1994" s="35">
        <v>0.10750420305066666</v>
      </c>
    </row>
    <row r="1995" spans="40:104" x14ac:dyDescent="0.3">
      <c r="AN1995" s="119"/>
      <c r="AO1995" s="119"/>
      <c r="AP1995" s="119"/>
      <c r="AQ1995" s="119"/>
      <c r="CY1995" s="34" t="s">
        <v>2922</v>
      </c>
      <c r="CZ1995" s="35">
        <v>3.8999999999999999E-5</v>
      </c>
    </row>
    <row r="1996" spans="40:104" x14ac:dyDescent="0.3">
      <c r="AN1996" s="119"/>
      <c r="AO1996" s="119"/>
      <c r="AP1996" s="119"/>
      <c r="AQ1996" s="119"/>
      <c r="CY1996" s="34" t="s">
        <v>2923</v>
      </c>
      <c r="CZ1996" s="35">
        <v>3.8999999999999999E-5</v>
      </c>
    </row>
    <row r="1997" spans="40:104" x14ac:dyDescent="0.3">
      <c r="AN1997" s="119"/>
      <c r="AO1997" s="119"/>
      <c r="AP1997" s="119"/>
      <c r="AQ1997" s="119"/>
      <c r="CY1997" s="34" t="s">
        <v>2924</v>
      </c>
      <c r="CZ1997" s="35">
        <v>3.8999999999999999E-5</v>
      </c>
    </row>
    <row r="1998" spans="40:104" x14ac:dyDescent="0.3">
      <c r="AN1998" s="119"/>
      <c r="AO1998" s="119"/>
      <c r="AP1998" s="119"/>
      <c r="AQ1998" s="119"/>
      <c r="CY1998" s="34" t="s">
        <v>2925</v>
      </c>
      <c r="CZ1998" s="35">
        <v>3.8999999999999999E-5</v>
      </c>
    </row>
    <row r="1999" spans="40:104" x14ac:dyDescent="0.3">
      <c r="AN1999" s="119"/>
      <c r="AO1999" s="119"/>
      <c r="AP1999" s="119"/>
      <c r="AQ1999" s="119"/>
      <c r="CY1999" s="34" t="s">
        <v>2926</v>
      </c>
      <c r="CZ1999" s="35">
        <v>3.8999999999999999E-5</v>
      </c>
    </row>
    <row r="2000" spans="40:104" x14ac:dyDescent="0.3">
      <c r="AN2000" s="119"/>
      <c r="AO2000" s="119"/>
      <c r="AP2000" s="119"/>
      <c r="AQ2000" s="119"/>
      <c r="CY2000" s="34" t="s">
        <v>2927</v>
      </c>
      <c r="CZ2000" s="35">
        <v>3.8999999999999999E-5</v>
      </c>
    </row>
    <row r="2001" spans="103:104" x14ac:dyDescent="0.3">
      <c r="CY2001" s="34" t="s">
        <v>2928</v>
      </c>
      <c r="CZ2001" s="35">
        <v>9.4362672848000012E-2</v>
      </c>
    </row>
    <row r="2002" spans="103:104" x14ac:dyDescent="0.3">
      <c r="CY2002" s="34" t="s">
        <v>2929</v>
      </c>
      <c r="CZ2002" s="35">
        <v>3.7400815999999996E-2</v>
      </c>
    </row>
    <row r="2003" spans="103:104" x14ac:dyDescent="0.3">
      <c r="CY2003" s="34" t="s">
        <v>2930</v>
      </c>
      <c r="CZ2003" s="35">
        <v>6.850237612E-2</v>
      </c>
    </row>
    <row r="2004" spans="103:104" x14ac:dyDescent="0.3">
      <c r="CY2004" s="34" t="s">
        <v>2931</v>
      </c>
      <c r="CZ2004" s="35">
        <v>5.5206586599999996E-2</v>
      </c>
    </row>
    <row r="2005" spans="103:104" x14ac:dyDescent="0.3">
      <c r="CY2005" s="34" t="s">
        <v>2932</v>
      </c>
      <c r="CZ2005" s="35">
        <v>1.61448592E-2</v>
      </c>
    </row>
    <row r="2006" spans="103:104" x14ac:dyDescent="0.3">
      <c r="CY2006" s="34" t="s">
        <v>2933</v>
      </c>
      <c r="CZ2006" s="35">
        <v>3.8999999999999999E-5</v>
      </c>
    </row>
    <row r="2007" spans="103:104" x14ac:dyDescent="0.3">
      <c r="CY2007" s="34" t="s">
        <v>2934</v>
      </c>
      <c r="CZ2007" s="35">
        <v>2.7500000000000002E-4</v>
      </c>
    </row>
    <row r="2008" spans="103:104" x14ac:dyDescent="0.3">
      <c r="CY2008" s="34" t="s">
        <v>2935</v>
      </c>
      <c r="CZ2008" s="35">
        <v>1.95E-5</v>
      </c>
    </row>
    <row r="2009" spans="103:104" x14ac:dyDescent="0.3">
      <c r="CY2009" s="34" t="s">
        <v>2936</v>
      </c>
      <c r="CZ2009" s="35">
        <v>1.8463469824000003E-2</v>
      </c>
    </row>
    <row r="2010" spans="103:104" x14ac:dyDescent="0.3">
      <c r="CY2010" s="34" t="s">
        <v>2937</v>
      </c>
      <c r="CZ2010" s="35">
        <v>8.3045462963289469E-3</v>
      </c>
    </row>
    <row r="2011" spans="103:104" x14ac:dyDescent="0.3">
      <c r="CY2011" s="34" t="s">
        <v>2938</v>
      </c>
      <c r="CZ2011" s="35">
        <v>2.7852913228000001E-2</v>
      </c>
    </row>
    <row r="2012" spans="103:104" x14ac:dyDescent="0.3">
      <c r="CY2012" s="34" t="s">
        <v>2939</v>
      </c>
      <c r="CZ2012" s="35">
        <v>3.8999999999999999E-5</v>
      </c>
    </row>
    <row r="2013" spans="103:104" x14ac:dyDescent="0.3">
      <c r="CY2013" s="34" t="s">
        <v>2940</v>
      </c>
      <c r="CZ2013" s="35">
        <v>3.9463035199999996E-2</v>
      </c>
    </row>
    <row r="2014" spans="103:104" x14ac:dyDescent="0.3">
      <c r="CY2014" s="34" t="s">
        <v>2941</v>
      </c>
      <c r="CZ2014" s="35">
        <v>9.6916879439999989E-3</v>
      </c>
    </row>
    <row r="2015" spans="103:104" x14ac:dyDescent="0.3">
      <c r="CY2015" s="34" t="s">
        <v>2942</v>
      </c>
      <c r="CZ2015" s="35">
        <v>1.7885779999999997E-2</v>
      </c>
    </row>
    <row r="2016" spans="103:104" x14ac:dyDescent="0.3">
      <c r="CY2016" s="34" t="s">
        <v>2943</v>
      </c>
      <c r="CZ2016" s="35">
        <v>3.8999999999999999E-5</v>
      </c>
    </row>
    <row r="2017" spans="103:104" x14ac:dyDescent="0.3">
      <c r="CY2017" s="34" t="s">
        <v>2944</v>
      </c>
      <c r="CZ2017" s="35">
        <v>2.43642464E-3</v>
      </c>
    </row>
    <row r="2018" spans="103:104" x14ac:dyDescent="0.3">
      <c r="CY2018" s="34" t="s">
        <v>2945</v>
      </c>
      <c r="CZ2018" s="35">
        <v>1.0875537732E-2</v>
      </c>
    </row>
    <row r="2019" spans="103:104" x14ac:dyDescent="0.3">
      <c r="CY2019" s="34" t="s">
        <v>2946</v>
      </c>
      <c r="CZ2019" s="35">
        <v>7.2777169279999989E-3</v>
      </c>
    </row>
    <row r="2020" spans="103:104" x14ac:dyDescent="0.3">
      <c r="CY2020" s="34" t="s">
        <v>2947</v>
      </c>
      <c r="CZ2020" s="35">
        <v>5.5275820000000005E-3</v>
      </c>
    </row>
    <row r="2021" spans="103:104" x14ac:dyDescent="0.3">
      <c r="CY2021" s="34" t="s">
        <v>2948</v>
      </c>
      <c r="CZ2021" s="35">
        <v>1.3090042784E-2</v>
      </c>
    </row>
    <row r="2022" spans="103:104" x14ac:dyDescent="0.3">
      <c r="CY2022" s="34" t="s">
        <v>2949</v>
      </c>
      <c r="CZ2022" s="35">
        <v>1.0263150536E-3</v>
      </c>
    </row>
    <row r="2023" spans="103:104" x14ac:dyDescent="0.3">
      <c r="CY2023" s="34" t="s">
        <v>2950</v>
      </c>
      <c r="CZ2023" s="35">
        <v>7.4084150399999994E-4</v>
      </c>
    </row>
    <row r="2024" spans="103:104" x14ac:dyDescent="0.3">
      <c r="CY2024" s="34" t="s">
        <v>2951</v>
      </c>
      <c r="CZ2024" s="35">
        <v>8.6726016000000003E-4</v>
      </c>
    </row>
    <row r="2025" spans="103:104" x14ac:dyDescent="0.3">
      <c r="CY2025" s="34" t="s">
        <v>2952</v>
      </c>
      <c r="CZ2025" s="35">
        <v>9.8169084000000002E-4</v>
      </c>
    </row>
    <row r="2026" spans="103:104" x14ac:dyDescent="0.3">
      <c r="CY2026" s="34" t="s">
        <v>2953</v>
      </c>
      <c r="CZ2026" s="35">
        <v>1.1081094960000001E-3</v>
      </c>
    </row>
    <row r="2027" spans="103:104" x14ac:dyDescent="0.3">
      <c r="CY2027" s="34" t="s">
        <v>2954</v>
      </c>
      <c r="CZ2027" s="35">
        <v>1.1397141599999998E-3</v>
      </c>
    </row>
    <row r="2028" spans="103:104" x14ac:dyDescent="0.3">
      <c r="CY2028" s="34" t="s">
        <v>2955</v>
      </c>
      <c r="CZ2028" s="35">
        <v>1.5060876880000001E-2</v>
      </c>
    </row>
    <row r="2029" spans="103:104" x14ac:dyDescent="0.3">
      <c r="CY2029" s="34" t="s">
        <v>2956</v>
      </c>
      <c r="CZ2029" s="35">
        <v>3.8999999999999999E-5</v>
      </c>
    </row>
    <row r="2030" spans="103:104" x14ac:dyDescent="0.3">
      <c r="CY2030" s="34" t="s">
        <v>2957</v>
      </c>
      <c r="CZ2030" s="35">
        <v>1.6249999999999999E-5</v>
      </c>
    </row>
    <row r="2031" spans="103:104" x14ac:dyDescent="0.3">
      <c r="CY2031" s="34" t="s">
        <v>2958</v>
      </c>
      <c r="CZ2031" s="35">
        <v>2.2982079999999999E-3</v>
      </c>
    </row>
    <row r="2032" spans="103:104" x14ac:dyDescent="0.3">
      <c r="CY2032" s="34" t="s">
        <v>2959</v>
      </c>
      <c r="CZ2032" s="35">
        <v>3.8999999999999999E-5</v>
      </c>
    </row>
    <row r="2033" spans="103:104" x14ac:dyDescent="0.3">
      <c r="CY2033" s="34" t="s">
        <v>2960</v>
      </c>
      <c r="CZ2033" s="35">
        <v>2.5287178239999999E-2</v>
      </c>
    </row>
    <row r="2034" spans="103:104" x14ac:dyDescent="0.3">
      <c r="CY2034" s="34" t="s">
        <v>2961</v>
      </c>
      <c r="CZ2034" s="35">
        <v>3.8999999999999999E-5</v>
      </c>
    </row>
    <row r="2035" spans="103:104" x14ac:dyDescent="0.3">
      <c r="CY2035" s="34" t="s">
        <v>2962</v>
      </c>
      <c r="CZ2035" s="35">
        <v>1.2241416000000001E-2</v>
      </c>
    </row>
    <row r="2036" spans="103:104" x14ac:dyDescent="0.3">
      <c r="CY2036" s="34" t="s">
        <v>2963</v>
      </c>
      <c r="CZ2036" s="35">
        <v>3.8999999999999999E-5</v>
      </c>
    </row>
    <row r="2037" spans="103:104" x14ac:dyDescent="0.3">
      <c r="CY2037" s="34" t="s">
        <v>2964</v>
      </c>
      <c r="CZ2037" s="35">
        <v>5.7874350400000003E-3</v>
      </c>
    </row>
    <row r="2038" spans="103:104" x14ac:dyDescent="0.3">
      <c r="CY2038" s="34" t="s">
        <v>2965</v>
      </c>
      <c r="CZ2038" s="35">
        <v>5.5057050368000002E-2</v>
      </c>
    </row>
    <row r="2039" spans="103:104" x14ac:dyDescent="0.3">
      <c r="CY2039" s="34" t="s">
        <v>2966</v>
      </c>
      <c r="CZ2039" s="35">
        <v>3.8999999999999999E-5</v>
      </c>
    </row>
    <row r="2040" spans="103:104" x14ac:dyDescent="0.3">
      <c r="CY2040" s="34" t="s">
        <v>2967</v>
      </c>
      <c r="CZ2040" s="35">
        <v>3.8999999999999999E-5</v>
      </c>
    </row>
    <row r="2041" spans="103:104" x14ac:dyDescent="0.3">
      <c r="CY2041" s="34" t="s">
        <v>2968</v>
      </c>
      <c r="CZ2041" s="35">
        <v>3.7037785199999999E-2</v>
      </c>
    </row>
    <row r="2042" spans="103:104" x14ac:dyDescent="0.3">
      <c r="CY2042" s="34" t="s">
        <v>2969</v>
      </c>
      <c r="CZ2042" s="35">
        <v>5.20980864E-2</v>
      </c>
    </row>
    <row r="2043" spans="103:104" x14ac:dyDescent="0.3">
      <c r="CY2043" s="34" t="s">
        <v>2970</v>
      </c>
      <c r="CZ2043" s="35">
        <v>5.20980864E-2</v>
      </c>
    </row>
    <row r="2044" spans="103:104" x14ac:dyDescent="0.3">
      <c r="CY2044" s="34" t="s">
        <v>2971</v>
      </c>
      <c r="CZ2044" s="35">
        <v>3.8999999999999999E-5</v>
      </c>
    </row>
    <row r="2045" spans="103:104" x14ac:dyDescent="0.3">
      <c r="CY2045" s="34" t="s">
        <v>2972</v>
      </c>
      <c r="CZ2045" s="35">
        <v>3.8999999999999999E-5</v>
      </c>
    </row>
    <row r="2046" spans="103:104" x14ac:dyDescent="0.3">
      <c r="CY2046" s="34" t="s">
        <v>2973</v>
      </c>
      <c r="CZ2046" s="35">
        <v>3.8999999999999999E-5</v>
      </c>
    </row>
    <row r="2047" spans="103:104" x14ac:dyDescent="0.3">
      <c r="CY2047" s="34" t="s">
        <v>2974</v>
      </c>
      <c r="CZ2047" s="35">
        <v>3.8999999999999999E-5</v>
      </c>
    </row>
    <row r="2048" spans="103:104" x14ac:dyDescent="0.3">
      <c r="CY2048" s="34" t="s">
        <v>2975</v>
      </c>
      <c r="CZ2048" s="35">
        <v>3.8999999999999999E-5</v>
      </c>
    </row>
    <row r="2049" spans="103:104" x14ac:dyDescent="0.3">
      <c r="CY2049" s="34" t="s">
        <v>2976</v>
      </c>
      <c r="CZ2049" s="35">
        <v>3.8999999999999999E-5</v>
      </c>
    </row>
    <row r="2050" spans="103:104" x14ac:dyDescent="0.3">
      <c r="CY2050" s="34" t="s">
        <v>2977</v>
      </c>
      <c r="CZ2050" s="35">
        <v>1.9456817695999998E-2</v>
      </c>
    </row>
    <row r="2051" spans="103:104" x14ac:dyDescent="0.3">
      <c r="CY2051" s="34" t="s">
        <v>2978</v>
      </c>
      <c r="CZ2051" s="35">
        <v>1.547588292E-3</v>
      </c>
    </row>
    <row r="2052" spans="103:104" x14ac:dyDescent="0.3">
      <c r="CY2052" s="34" t="s">
        <v>2979</v>
      </c>
      <c r="CZ2052" s="35">
        <v>6.0120319999999996E-3</v>
      </c>
    </row>
    <row r="2053" spans="103:104" x14ac:dyDescent="0.3">
      <c r="CY2053" s="34" t="s">
        <v>2980</v>
      </c>
      <c r="CZ2053" s="35">
        <v>2.0237737727999999E-2</v>
      </c>
    </row>
    <row r="2054" spans="103:104" x14ac:dyDescent="0.3">
      <c r="CY2054" s="34" t="s">
        <v>2981</v>
      </c>
      <c r="CZ2054" s="35">
        <v>0.106275245</v>
      </c>
    </row>
    <row r="2055" spans="103:104" x14ac:dyDescent="0.3">
      <c r="CY2055" s="34" t="s">
        <v>2982</v>
      </c>
      <c r="CZ2055" s="35">
        <v>0.13146698884800001</v>
      </c>
    </row>
    <row r="2056" spans="103:104" x14ac:dyDescent="0.3">
      <c r="CY2056" s="34" t="s">
        <v>2983</v>
      </c>
      <c r="CZ2056" s="35">
        <v>1.461127813E-3</v>
      </c>
    </row>
    <row r="2057" spans="103:104" x14ac:dyDescent="0.3">
      <c r="CY2057" s="34" t="s">
        <v>2984</v>
      </c>
      <c r="CZ2057" s="35">
        <v>8.9034143999999987E-4</v>
      </c>
    </row>
    <row r="2058" spans="103:104" x14ac:dyDescent="0.3">
      <c r="CY2058" s="34" t="s">
        <v>2985</v>
      </c>
      <c r="CZ2058" s="35">
        <v>3.8999999999999999E-5</v>
      </c>
    </row>
    <row r="2059" spans="103:104" x14ac:dyDescent="0.3">
      <c r="CY2059" s="34" t="s">
        <v>2986</v>
      </c>
      <c r="CZ2059" s="35">
        <v>2.3491439999999999E-2</v>
      </c>
    </row>
    <row r="2060" spans="103:104" x14ac:dyDescent="0.3">
      <c r="CY2060" s="34" t="s">
        <v>2987</v>
      </c>
      <c r="CZ2060" s="35">
        <v>1.7851840447999999E-2</v>
      </c>
    </row>
    <row r="2061" spans="103:104" x14ac:dyDescent="0.3">
      <c r="CY2061" s="34" t="s">
        <v>2988</v>
      </c>
      <c r="CZ2061" s="35">
        <v>2.8928382911999999E-2</v>
      </c>
    </row>
    <row r="2062" spans="103:104" x14ac:dyDescent="0.3">
      <c r="CY2062" s="34" t="s">
        <v>2989</v>
      </c>
      <c r="CZ2062" s="35">
        <v>3.7465999999999997E-4</v>
      </c>
    </row>
    <row r="2063" spans="103:104" x14ac:dyDescent="0.3">
      <c r="CY2063" s="34" t="s">
        <v>2990</v>
      </c>
      <c r="CZ2063" s="35">
        <v>9.6825352000000006E-4</v>
      </c>
    </row>
    <row r="2064" spans="103:104" x14ac:dyDescent="0.3">
      <c r="CY2064" s="34" t="s">
        <v>2991</v>
      </c>
      <c r="CZ2064" s="35">
        <v>1.09276128E-3</v>
      </c>
    </row>
    <row r="2065" spans="103:104" x14ac:dyDescent="0.3">
      <c r="CY2065" s="34" t="s">
        <v>2992</v>
      </c>
      <c r="CZ2065" s="35">
        <v>2.4966443327999999E-3</v>
      </c>
    </row>
    <row r="2066" spans="103:104" x14ac:dyDescent="0.3">
      <c r="CY2066" s="34" t="s">
        <v>2993</v>
      </c>
      <c r="CZ2066" s="35">
        <v>6.6303948495999993E-3</v>
      </c>
    </row>
    <row r="2067" spans="103:104" x14ac:dyDescent="0.3">
      <c r="CY2067" s="34" t="s">
        <v>2994</v>
      </c>
      <c r="CZ2067" s="35">
        <v>1.1082074704E-2</v>
      </c>
    </row>
    <row r="2068" spans="103:104" x14ac:dyDescent="0.3">
      <c r="CY2068" s="34" t="s">
        <v>2995</v>
      </c>
      <c r="CZ2068" s="35">
        <v>2.0819604000000002E-2</v>
      </c>
    </row>
    <row r="2069" spans="103:104" x14ac:dyDescent="0.3">
      <c r="CY2069" s="34" t="s">
        <v>2996</v>
      </c>
      <c r="CZ2069" s="35">
        <v>1.3909257440000001E-2</v>
      </c>
    </row>
    <row r="2070" spans="103:104" x14ac:dyDescent="0.3">
      <c r="CY2070" s="34" t="s">
        <v>2997</v>
      </c>
      <c r="CZ2070" s="35">
        <v>0.11890239399999999</v>
      </c>
    </row>
    <row r="2071" spans="103:104" x14ac:dyDescent="0.3">
      <c r="CY2071" s="34" t="s">
        <v>2998</v>
      </c>
      <c r="CZ2071" s="35">
        <v>1.3431112895E-2</v>
      </c>
    </row>
    <row r="2072" spans="103:104" x14ac:dyDescent="0.3">
      <c r="CY2072" s="34" t="s">
        <v>2999</v>
      </c>
      <c r="CZ2072" s="35">
        <v>3.5730419919999999E-2</v>
      </c>
    </row>
    <row r="2073" spans="103:104" x14ac:dyDescent="0.3">
      <c r="CY2073" s="34" t="s">
        <v>3000</v>
      </c>
      <c r="CZ2073" s="35">
        <v>4.0945882639999993E-2</v>
      </c>
    </row>
    <row r="2074" spans="103:104" x14ac:dyDescent="0.3">
      <c r="CY2074" s="34" t="s">
        <v>3001</v>
      </c>
      <c r="CZ2074" s="35">
        <v>0.12758382020799999</v>
      </c>
    </row>
    <row r="2075" spans="103:104" x14ac:dyDescent="0.3">
      <c r="CY2075" s="34" t="s">
        <v>3002</v>
      </c>
      <c r="CZ2075" s="35">
        <v>1.1966991820799999E-2</v>
      </c>
    </row>
    <row r="2076" spans="103:104" x14ac:dyDescent="0.3">
      <c r="CY2076" s="34" t="s">
        <v>3003</v>
      </c>
      <c r="CZ2076" s="35">
        <v>5.7360203552000007E-2</v>
      </c>
    </row>
    <row r="2077" spans="103:104" x14ac:dyDescent="0.3">
      <c r="CY2077" s="34" t="s">
        <v>3004</v>
      </c>
      <c r="CZ2077" s="35">
        <v>1.1236553199999999E-3</v>
      </c>
    </row>
    <row r="2078" spans="103:104" x14ac:dyDescent="0.3">
      <c r="CY2078" s="34" t="s">
        <v>3005</v>
      </c>
      <c r="CZ2078" s="35">
        <v>4.6709998399999998E-4</v>
      </c>
    </row>
    <row r="2079" spans="103:104" x14ac:dyDescent="0.3">
      <c r="CY2079" s="34" t="s">
        <v>3006</v>
      </c>
      <c r="CZ2079" s="35">
        <v>1.6413658560000002E-2</v>
      </c>
    </row>
    <row r="2080" spans="103:104" x14ac:dyDescent="0.3">
      <c r="CY2080" s="34" t="s">
        <v>3007</v>
      </c>
      <c r="CZ2080" s="35">
        <v>8.1888249007999996E-4</v>
      </c>
    </row>
    <row r="2081" spans="103:104" x14ac:dyDescent="0.3">
      <c r="CY2081" s="34" t="s">
        <v>3008</v>
      </c>
      <c r="CZ2081" s="35">
        <v>8.5830943893333324E-3</v>
      </c>
    </row>
    <row r="2082" spans="103:104" x14ac:dyDescent="0.3">
      <c r="CY2082" s="34" t="s">
        <v>3009</v>
      </c>
      <c r="CZ2082" s="35">
        <v>2.8800836799999997E-3</v>
      </c>
    </row>
    <row r="2083" spans="103:104" x14ac:dyDescent="0.3">
      <c r="CY2083" s="34" t="s">
        <v>3010</v>
      </c>
      <c r="CZ2083" s="35">
        <v>8.1779755017205892E-3</v>
      </c>
    </row>
    <row r="2084" spans="103:104" x14ac:dyDescent="0.3">
      <c r="CY2084" s="34" t="s">
        <v>3011</v>
      </c>
      <c r="CZ2084" s="35">
        <v>1.826596345597561E-3</v>
      </c>
    </row>
    <row r="2085" spans="103:104" x14ac:dyDescent="0.3">
      <c r="CY2085" s="34" t="s">
        <v>3012</v>
      </c>
      <c r="CZ2085" s="35">
        <v>9.1803074279999994E-2</v>
      </c>
    </row>
    <row r="2086" spans="103:104" x14ac:dyDescent="0.3">
      <c r="CY2086" s="34" t="s">
        <v>3013</v>
      </c>
      <c r="CZ2086" s="35">
        <v>0.14939727999999999</v>
      </c>
    </row>
    <row r="2087" spans="103:104" x14ac:dyDescent="0.3">
      <c r="CY2087" s="34" t="s">
        <v>3014</v>
      </c>
      <c r="CZ2087" s="35">
        <v>6.8282938048000008E-2</v>
      </c>
    </row>
    <row r="2088" spans="103:104" x14ac:dyDescent="0.3">
      <c r="CY2088" s="34" t="s">
        <v>3015</v>
      </c>
      <c r="CZ2088" s="35">
        <v>9.2562118400000004E-2</v>
      </c>
    </row>
    <row r="2089" spans="103:104" x14ac:dyDescent="0.3">
      <c r="CY2089" s="34" t="s">
        <v>3016</v>
      </c>
      <c r="CZ2089" s="35">
        <v>3.1087596799999999E-3</v>
      </c>
    </row>
    <row r="2090" spans="103:104" x14ac:dyDescent="0.3">
      <c r="CY2090" s="34" t="s">
        <v>3017</v>
      </c>
      <c r="CZ2090" s="35">
        <v>0.115380147376</v>
      </c>
    </row>
    <row r="2091" spans="103:104" x14ac:dyDescent="0.3">
      <c r="CY2091" s="34" t="s">
        <v>3018</v>
      </c>
      <c r="CZ2091" s="35">
        <v>4.2622757599999998E-3</v>
      </c>
    </row>
    <row r="2092" spans="103:104" x14ac:dyDescent="0.3">
      <c r="CY2092" s="34" t="s">
        <v>3019</v>
      </c>
      <c r="CZ2092" s="35">
        <v>7.6082698400000001E-3</v>
      </c>
    </row>
    <row r="2093" spans="103:104" x14ac:dyDescent="0.3">
      <c r="CY2093" s="34" t="s">
        <v>3020</v>
      </c>
      <c r="CZ2093" s="35">
        <v>9.077097919999999E-4</v>
      </c>
    </row>
    <row r="2094" spans="103:104" x14ac:dyDescent="0.3">
      <c r="CY2094" s="34" t="s">
        <v>3021</v>
      </c>
      <c r="CZ2094" s="35">
        <v>4.508271744E-3</v>
      </c>
    </row>
    <row r="2095" spans="103:104" x14ac:dyDescent="0.3">
      <c r="CY2095" s="34" t="s">
        <v>3022</v>
      </c>
      <c r="CZ2095" s="35">
        <v>2.3604976511500002E-2</v>
      </c>
    </row>
    <row r="2096" spans="103:104" x14ac:dyDescent="0.3">
      <c r="CY2096" s="34" t="s">
        <v>3023</v>
      </c>
      <c r="CZ2096" s="35">
        <v>1.3425920000000003E-2</v>
      </c>
    </row>
    <row r="2097" spans="103:104" x14ac:dyDescent="0.3">
      <c r="CY2097" s="34" t="s">
        <v>3024</v>
      </c>
      <c r="CZ2097" s="35">
        <v>1.4023412944000001E-3</v>
      </c>
    </row>
    <row r="2098" spans="103:104" x14ac:dyDescent="0.3">
      <c r="CY2098" s="34" t="s">
        <v>3025</v>
      </c>
      <c r="CZ2098" s="35">
        <v>1.6145177536000001E-2</v>
      </c>
    </row>
    <row r="2099" spans="103:104" x14ac:dyDescent="0.3">
      <c r="CY2099" s="34" t="s">
        <v>3026</v>
      </c>
      <c r="CZ2099" s="35">
        <v>5.4864999999999997E-2</v>
      </c>
    </row>
    <row r="2100" spans="103:104" x14ac:dyDescent="0.3">
      <c r="CY2100" s="34" t="s">
        <v>3027</v>
      </c>
      <c r="CZ2100" s="35">
        <v>4.063678272E-3</v>
      </c>
    </row>
    <row r="2101" spans="103:104" x14ac:dyDescent="0.3">
      <c r="CY2101" s="34" t="s">
        <v>3028</v>
      </c>
      <c r="CZ2101" s="35">
        <v>3.715380192E-2</v>
      </c>
    </row>
    <row r="2102" spans="103:104" x14ac:dyDescent="0.3">
      <c r="CY2102" s="34" t="s">
        <v>3029</v>
      </c>
      <c r="CZ2102" s="35">
        <v>0.25172999999999995</v>
      </c>
    </row>
    <row r="2103" spans="103:104" x14ac:dyDescent="0.3">
      <c r="CY2103" s="34" t="s">
        <v>3030</v>
      </c>
      <c r="CZ2103" s="35">
        <v>8.3672839999999984E-2</v>
      </c>
    </row>
    <row r="2104" spans="103:104" x14ac:dyDescent="0.3">
      <c r="CY2104" s="34" t="s">
        <v>3031</v>
      </c>
      <c r="CZ2104" s="35">
        <v>4.3249999999999999E-3</v>
      </c>
    </row>
    <row r="2105" spans="103:104" x14ac:dyDescent="0.3">
      <c r="CY2105" s="34" t="s">
        <v>3032</v>
      </c>
      <c r="CZ2105" s="35">
        <v>8.3339544639999992E-3</v>
      </c>
    </row>
    <row r="2106" spans="103:104" x14ac:dyDescent="0.3">
      <c r="CY2106" s="34" t="s">
        <v>3033</v>
      </c>
      <c r="CZ2106" s="35">
        <v>1.6841339840000004E-2</v>
      </c>
    </row>
    <row r="2107" spans="103:104" x14ac:dyDescent="0.3">
      <c r="CY2107" s="34" t="s">
        <v>3034</v>
      </c>
      <c r="CZ2107" s="35">
        <v>5.3154566399999997E-4</v>
      </c>
    </row>
    <row r="2108" spans="103:104" x14ac:dyDescent="0.3">
      <c r="CY2108" s="34" t="s">
        <v>3035</v>
      </c>
      <c r="CZ2108" s="35">
        <v>2.5186626400000003E-4</v>
      </c>
    </row>
    <row r="2109" spans="103:104" x14ac:dyDescent="0.3">
      <c r="CY2109" s="34" t="s">
        <v>3036</v>
      </c>
      <c r="CZ2109" s="35">
        <v>1.1913210400000002E-4</v>
      </c>
    </row>
    <row r="2110" spans="103:104" x14ac:dyDescent="0.3">
      <c r="CY2110" s="34" t="s">
        <v>3037</v>
      </c>
      <c r="CZ2110" s="35">
        <v>1.753880532E-3</v>
      </c>
    </row>
    <row r="2111" spans="103:104" x14ac:dyDescent="0.3">
      <c r="CY2111" s="34" t="s">
        <v>3038</v>
      </c>
      <c r="CZ2111" s="35">
        <v>1.1390578111904762E-4</v>
      </c>
    </row>
    <row r="2112" spans="103:104" x14ac:dyDescent="0.3">
      <c r="CY2112" s="34" t="s">
        <v>3039</v>
      </c>
      <c r="CZ2112" s="35">
        <v>6.7423745024657532E-4</v>
      </c>
    </row>
    <row r="2113" spans="103:104" x14ac:dyDescent="0.3">
      <c r="CY2113" s="34" t="s">
        <v>3040</v>
      </c>
      <c r="CZ2113" s="35">
        <v>3.114618E-3</v>
      </c>
    </row>
    <row r="2114" spans="103:104" x14ac:dyDescent="0.3">
      <c r="CY2114" s="34" t="s">
        <v>3041</v>
      </c>
      <c r="CZ2114" s="35">
        <v>8.4846008E-4</v>
      </c>
    </row>
    <row r="2115" spans="103:104" x14ac:dyDescent="0.3">
      <c r="CY2115" s="34" t="s">
        <v>3042</v>
      </c>
      <c r="CZ2115" s="35">
        <v>5.4430663999999998E-4</v>
      </c>
    </row>
    <row r="2116" spans="103:104" x14ac:dyDescent="0.3">
      <c r="CY2116" s="34" t="s">
        <v>3043</v>
      </c>
      <c r="CZ2116" s="35">
        <v>1.0025204159999999E-3</v>
      </c>
    </row>
    <row r="2117" spans="103:104" x14ac:dyDescent="0.3">
      <c r="CY2117" s="34" t="s">
        <v>3044</v>
      </c>
      <c r="CZ2117" s="35">
        <v>7.6889672000000008E-4</v>
      </c>
    </row>
    <row r="2118" spans="103:104" x14ac:dyDescent="0.3">
      <c r="CY2118" s="34" t="s">
        <v>3045</v>
      </c>
      <c r="CZ2118" s="35">
        <v>1.019710016E-3</v>
      </c>
    </row>
    <row r="2119" spans="103:104" x14ac:dyDescent="0.3">
      <c r="CY2119" s="34" t="s">
        <v>3046</v>
      </c>
      <c r="CZ2119" s="35">
        <v>1.0390163039999999E-3</v>
      </c>
    </row>
    <row r="2120" spans="103:104" x14ac:dyDescent="0.3">
      <c r="CY2120" s="34" t="s">
        <v>3047</v>
      </c>
      <c r="CZ2120" s="35">
        <v>7.7640409600000001E-4</v>
      </c>
    </row>
    <row r="2121" spans="103:104" x14ac:dyDescent="0.3">
      <c r="CY2121" s="34" t="s">
        <v>3048</v>
      </c>
      <c r="CZ2121" s="35">
        <v>2.0430839999999997E-3</v>
      </c>
    </row>
    <row r="2122" spans="103:104" x14ac:dyDescent="0.3">
      <c r="CY2122" s="34" t="s">
        <v>3049</v>
      </c>
      <c r="CZ2122" s="35">
        <v>1.154464064E-3</v>
      </c>
    </row>
    <row r="2123" spans="103:104" x14ac:dyDescent="0.3">
      <c r="CY2123" s="34" t="s">
        <v>3050</v>
      </c>
      <c r="CZ2123" s="35">
        <v>5.7486347200000007E-4</v>
      </c>
    </row>
    <row r="2124" spans="103:104" x14ac:dyDescent="0.3">
      <c r="CY2124" s="34" t="s">
        <v>3051</v>
      </c>
      <c r="CZ2124" s="35">
        <v>3.4500398400000006E-4</v>
      </c>
    </row>
    <row r="2125" spans="103:104" x14ac:dyDescent="0.3">
      <c r="CY2125" s="34" t="s">
        <v>3052</v>
      </c>
      <c r="CZ2125" s="35">
        <v>5.0389120000000009E-4</v>
      </c>
    </row>
    <row r="2126" spans="103:104" x14ac:dyDescent="0.3">
      <c r="CY2126" s="34" t="s">
        <v>3053</v>
      </c>
      <c r="CZ2126" s="35">
        <v>3.3564606399999995E-4</v>
      </c>
    </row>
    <row r="2127" spans="103:104" x14ac:dyDescent="0.3">
      <c r="CY2127" s="34" t="s">
        <v>3054</v>
      </c>
      <c r="CZ2127" s="35">
        <v>3.9718347000000003E-4</v>
      </c>
    </row>
    <row r="2128" spans="103:104" x14ac:dyDescent="0.3">
      <c r="CY2128" s="34" t="s">
        <v>3055</v>
      </c>
      <c r="CZ2128" s="35">
        <v>2.67108312E-4</v>
      </c>
    </row>
    <row r="2129" spans="103:104" x14ac:dyDescent="0.3">
      <c r="CY2129" s="34" t="s">
        <v>3056</v>
      </c>
      <c r="CZ2129" s="35">
        <v>3.4103597999999999E-4</v>
      </c>
    </row>
    <row r="2130" spans="103:104" x14ac:dyDescent="0.3">
      <c r="CY2130" s="34" t="s">
        <v>3057</v>
      </c>
      <c r="CZ2130" s="35">
        <v>3.5039387499999998E-4</v>
      </c>
    </row>
    <row r="2131" spans="103:104" x14ac:dyDescent="0.3">
      <c r="CY2131" s="34" t="s">
        <v>3058</v>
      </c>
      <c r="CZ2131" s="35">
        <v>3.7098129066666667E-4</v>
      </c>
    </row>
    <row r="2132" spans="103:104" x14ac:dyDescent="0.3">
      <c r="CY2132" s="34" t="s">
        <v>3059</v>
      </c>
      <c r="CZ2132" s="35">
        <v>3.899219999999999E-4</v>
      </c>
    </row>
    <row r="2133" spans="103:104" x14ac:dyDescent="0.3">
      <c r="CY2133" s="34" t="s">
        <v>3060</v>
      </c>
      <c r="CZ2133" s="35">
        <v>3.0360426666666663E-4</v>
      </c>
    </row>
    <row r="2134" spans="103:104" x14ac:dyDescent="0.3">
      <c r="CY2134" s="34" t="s">
        <v>3061</v>
      </c>
      <c r="CZ2134" s="35">
        <v>5.6633634999999998E-4</v>
      </c>
    </row>
    <row r="2135" spans="103:104" x14ac:dyDescent="0.3">
      <c r="CY2135" s="34" t="s">
        <v>3062</v>
      </c>
      <c r="CZ2135" s="35">
        <v>4.7164739999999998E-4</v>
      </c>
    </row>
    <row r="2136" spans="103:104" x14ac:dyDescent="0.3">
      <c r="CY2136" s="34" t="s">
        <v>3063</v>
      </c>
      <c r="CZ2136" s="35">
        <v>4.52620064E-4</v>
      </c>
    </row>
    <row r="2137" spans="103:104" x14ac:dyDescent="0.3">
      <c r="CY2137" s="34" t="s">
        <v>3064</v>
      </c>
      <c r="CZ2137" s="35">
        <v>1.3624228000000001E-3</v>
      </c>
    </row>
    <row r="2138" spans="103:104" x14ac:dyDescent="0.3">
      <c r="CY2138" s="34" t="s">
        <v>3065</v>
      </c>
      <c r="CZ2138" s="35">
        <v>7.7640409600000001E-4</v>
      </c>
    </row>
    <row r="2139" spans="103:104" x14ac:dyDescent="0.3">
      <c r="CY2139" s="34" t="s">
        <v>3066</v>
      </c>
      <c r="CZ2139" s="35">
        <v>9.7631824000000002E-4</v>
      </c>
    </row>
    <row r="2140" spans="103:104" x14ac:dyDescent="0.3">
      <c r="CY2140" s="34" t="s">
        <v>3067</v>
      </c>
      <c r="CZ2140" s="35">
        <v>1.0060691584E-3</v>
      </c>
    </row>
    <row r="2141" spans="103:104" x14ac:dyDescent="0.3">
      <c r="CY2141" s="34" t="s">
        <v>3068</v>
      </c>
      <c r="CZ2141" s="35">
        <v>1.7860585472E-2</v>
      </c>
    </row>
    <row r="2142" spans="103:104" x14ac:dyDescent="0.3">
      <c r="CY2142" s="34" t="s">
        <v>3069</v>
      </c>
      <c r="CZ2142" s="35">
        <v>1.7860585472E-2</v>
      </c>
    </row>
    <row r="2143" spans="103:104" x14ac:dyDescent="0.3">
      <c r="CY2143" s="34" t="s">
        <v>3070</v>
      </c>
      <c r="CZ2143" s="35">
        <v>1.3850635024E-2</v>
      </c>
    </row>
    <row r="2144" spans="103:104" x14ac:dyDescent="0.3">
      <c r="CY2144" s="34" t="s">
        <v>3071</v>
      </c>
      <c r="CZ2144" s="35">
        <v>7.2853219375999978E-2</v>
      </c>
    </row>
    <row r="2145" spans="103:104" x14ac:dyDescent="0.3">
      <c r="CY2145" s="34" t="s">
        <v>3072</v>
      </c>
      <c r="CZ2145" s="35">
        <v>1.0328685120000001E-3</v>
      </c>
    </row>
    <row r="2146" spans="103:104" x14ac:dyDescent="0.3">
      <c r="CY2146" s="34" t="s">
        <v>3073</v>
      </c>
      <c r="CZ2146" s="35">
        <v>4.2831942400000007E-4</v>
      </c>
    </row>
    <row r="2147" spans="103:104" x14ac:dyDescent="0.3">
      <c r="CY2147" s="34" t="s">
        <v>3074</v>
      </c>
      <c r="CZ2147" s="35">
        <v>1.2824940492799999E-2</v>
      </c>
    </row>
    <row r="2148" spans="103:104" x14ac:dyDescent="0.3">
      <c r="CY2148" s="34" t="s">
        <v>3075</v>
      </c>
      <c r="CZ2148" s="35">
        <v>1.2824940492799999E-2</v>
      </c>
    </row>
    <row r="2149" spans="103:104" x14ac:dyDescent="0.3">
      <c r="CY2149" s="34" t="s">
        <v>3076</v>
      </c>
      <c r="CZ2149" s="35">
        <v>4.2923119199999996E-4</v>
      </c>
    </row>
    <row r="2150" spans="103:104" x14ac:dyDescent="0.3">
      <c r="CY2150" s="34" t="s">
        <v>3077</v>
      </c>
      <c r="CZ2150" s="35">
        <v>1.4056354400000001E-3</v>
      </c>
    </row>
    <row r="2151" spans="103:104" x14ac:dyDescent="0.3">
      <c r="CY2151" s="34" t="s">
        <v>3078</v>
      </c>
      <c r="CZ2151" s="35">
        <v>1.9044191565333334E-2</v>
      </c>
    </row>
    <row r="2152" spans="103:104" x14ac:dyDescent="0.3">
      <c r="CY2152" s="34" t="s">
        <v>3079</v>
      </c>
      <c r="CZ2152" s="35">
        <v>2.6019912225999999E-2</v>
      </c>
    </row>
    <row r="2153" spans="103:104" x14ac:dyDescent="0.3">
      <c r="CY2153" s="34" t="s">
        <v>3080</v>
      </c>
      <c r="CZ2153" s="35">
        <v>5.9566625631999999E-2</v>
      </c>
    </row>
    <row r="2154" spans="103:104" x14ac:dyDescent="0.3">
      <c r="CY2154" s="34" t="s">
        <v>3081</v>
      </c>
      <c r="CZ2154" s="35">
        <v>4.7683485999999997E-2</v>
      </c>
    </row>
    <row r="2155" spans="103:104" x14ac:dyDescent="0.3">
      <c r="CY2155" s="34" t="s">
        <v>3082</v>
      </c>
      <c r="CZ2155" s="35">
        <v>9.4597541167999982E-2</v>
      </c>
    </row>
    <row r="2156" spans="103:104" x14ac:dyDescent="0.3">
      <c r="CY2156" s="34" t="s">
        <v>3083</v>
      </c>
      <c r="CZ2156" s="35">
        <v>2.5544163839999997E-3</v>
      </c>
    </row>
    <row r="2157" spans="103:104" x14ac:dyDescent="0.3">
      <c r="CY2157" s="34" t="s">
        <v>3084</v>
      </c>
      <c r="CZ2157" s="35">
        <v>2.6182539760000001E-3</v>
      </c>
    </row>
    <row r="2158" spans="103:104" x14ac:dyDescent="0.3">
      <c r="CY2158" s="34" t="s">
        <v>3085</v>
      </c>
      <c r="CZ2158" s="35">
        <v>1.084438056</v>
      </c>
    </row>
    <row r="2159" spans="103:104" x14ac:dyDescent="0.3">
      <c r="CY2159" s="34" t="s">
        <v>3086</v>
      </c>
      <c r="CZ2159" s="35">
        <v>7.9886949999999998E-2</v>
      </c>
    </row>
    <row r="2160" spans="103:104" x14ac:dyDescent="0.3">
      <c r="CY2160" s="34" t="s">
        <v>3087</v>
      </c>
      <c r="CZ2160" s="35">
        <v>0.10387632695714284</v>
      </c>
    </row>
    <row r="2161" spans="103:104" x14ac:dyDescent="0.3">
      <c r="CY2161" s="34" t="s">
        <v>3088</v>
      </c>
      <c r="CZ2161" s="35">
        <v>4.4056396799999994E-2</v>
      </c>
    </row>
    <row r="2162" spans="103:104" x14ac:dyDescent="0.3">
      <c r="CY2162" s="34" t="s">
        <v>3089</v>
      </c>
      <c r="CZ2162" s="35">
        <v>0.11039752039714283</v>
      </c>
    </row>
    <row r="2163" spans="103:104" x14ac:dyDescent="0.3">
      <c r="CY2163" s="34" t="s">
        <v>3090</v>
      </c>
      <c r="CZ2163" s="35">
        <v>4.7741993519999998E-2</v>
      </c>
    </row>
    <row r="2164" spans="103:104" x14ac:dyDescent="0.3">
      <c r="CY2164" s="34" t="s">
        <v>3091</v>
      </c>
      <c r="CZ2164" s="35">
        <v>5.6230880029999999E-2</v>
      </c>
    </row>
    <row r="2165" spans="103:104" x14ac:dyDescent="0.3">
      <c r="CY2165" s="34" t="s">
        <v>3092</v>
      </c>
      <c r="CZ2165" s="35">
        <v>1.564161456E-3</v>
      </c>
    </row>
    <row r="2166" spans="103:104" x14ac:dyDescent="0.3">
      <c r="CY2166" s="34" t="s">
        <v>3093</v>
      </c>
      <c r="CZ2166" s="35">
        <v>2.3690893823999998E-2</v>
      </c>
    </row>
    <row r="2167" spans="103:104" x14ac:dyDescent="0.3">
      <c r="CY2167" s="34" t="s">
        <v>3094</v>
      </c>
      <c r="CZ2167" s="35">
        <v>1.9631975983999999E-2</v>
      </c>
    </row>
    <row r="2168" spans="103:104" x14ac:dyDescent="0.3">
      <c r="CY2168" s="34" t="s">
        <v>3095</v>
      </c>
      <c r="CZ2168" s="35">
        <v>2.5743064234666668E-2</v>
      </c>
    </row>
    <row r="2169" spans="103:104" x14ac:dyDescent="0.3">
      <c r="CY2169" s="34" t="s">
        <v>3096</v>
      </c>
      <c r="CZ2169" s="35">
        <v>1.6323268000000002E-2</v>
      </c>
    </row>
    <row r="2170" spans="103:104" x14ac:dyDescent="0.3">
      <c r="CY2170" s="34" t="s">
        <v>3097</v>
      </c>
      <c r="CZ2170" s="35">
        <v>2.0390722560000001E-2</v>
      </c>
    </row>
    <row r="2171" spans="103:104" x14ac:dyDescent="0.3">
      <c r="CY2171" s="34" t="s">
        <v>3098</v>
      </c>
      <c r="CZ2171" s="35">
        <v>3.8999999999999999E-5</v>
      </c>
    </row>
    <row r="2172" spans="103:104" x14ac:dyDescent="0.3">
      <c r="CY2172" s="34" t="s">
        <v>3099</v>
      </c>
      <c r="CZ2172" s="35">
        <v>3.8999999999999999E-5</v>
      </c>
    </row>
    <row r="2173" spans="103:104" x14ac:dyDescent="0.3">
      <c r="CY2173" s="34" t="s">
        <v>3100</v>
      </c>
      <c r="CZ2173" s="35">
        <v>1.2786828133333334E-2</v>
      </c>
    </row>
    <row r="2174" spans="103:104" x14ac:dyDescent="0.3">
      <c r="CY2174" s="34" t="s">
        <v>3101</v>
      </c>
      <c r="CZ2174" s="35">
        <v>1.3930161466666667E-2</v>
      </c>
    </row>
    <row r="2175" spans="103:104" x14ac:dyDescent="0.3">
      <c r="CY2175" s="34" t="s">
        <v>3102</v>
      </c>
      <c r="CZ2175" s="35">
        <v>2.9269714986666664E-2</v>
      </c>
    </row>
    <row r="2176" spans="103:104" x14ac:dyDescent="0.3">
      <c r="CY2176" s="34" t="s">
        <v>3103</v>
      </c>
      <c r="CZ2176" s="35">
        <v>2.9823981599999997E-2</v>
      </c>
    </row>
    <row r="2177" spans="103:104" x14ac:dyDescent="0.3">
      <c r="CY2177" s="34" t="s">
        <v>3104</v>
      </c>
      <c r="CZ2177" s="35">
        <v>1.2254432000000001E-2</v>
      </c>
    </row>
    <row r="2178" spans="103:104" x14ac:dyDescent="0.3">
      <c r="CY2178" s="34" t="s">
        <v>3105</v>
      </c>
      <c r="CZ2178" s="35">
        <v>1.3262356966666666E-2</v>
      </c>
    </row>
    <row r="2179" spans="103:104" x14ac:dyDescent="0.3">
      <c r="CY2179" s="34" t="s">
        <v>3106</v>
      </c>
      <c r="CZ2179" s="35">
        <v>1.7517490367999998E-3</v>
      </c>
    </row>
    <row r="2180" spans="103:104" x14ac:dyDescent="0.3">
      <c r="CY2180" s="34" t="s">
        <v>3107</v>
      </c>
      <c r="CZ2180" s="35">
        <v>2.0496124108000002E-2</v>
      </c>
    </row>
    <row r="2181" spans="103:104" x14ac:dyDescent="0.3">
      <c r="CY2181" s="34" t="s">
        <v>3108</v>
      </c>
      <c r="CZ2181" s="35">
        <v>4.9528160800000002E-3</v>
      </c>
    </row>
    <row r="2182" spans="103:104" x14ac:dyDescent="0.3">
      <c r="CY2182" s="34" t="s">
        <v>3109</v>
      </c>
      <c r="CZ2182" s="35">
        <v>3.9674652159999999E-3</v>
      </c>
    </row>
    <row r="2183" spans="103:104" x14ac:dyDescent="0.3">
      <c r="CY2183" s="34" t="s">
        <v>3110</v>
      </c>
      <c r="CZ2183" s="35">
        <v>1.6085443608000002E-2</v>
      </c>
    </row>
    <row r="2184" spans="103:104" x14ac:dyDescent="0.3">
      <c r="CY2184" s="34" t="s">
        <v>3111</v>
      </c>
      <c r="CZ2184" s="35">
        <v>9.7375568783999999E-2</v>
      </c>
    </row>
    <row r="2185" spans="103:104" x14ac:dyDescent="0.3">
      <c r="CY2185" s="34" t="s">
        <v>3112</v>
      </c>
      <c r="CZ2185" s="35">
        <v>9.8817243200000002E-3</v>
      </c>
    </row>
    <row r="2186" spans="103:104" x14ac:dyDescent="0.3">
      <c r="CY2186" s="34" t="s">
        <v>3113</v>
      </c>
      <c r="CZ2186" s="35">
        <v>4.3406182559999991E-3</v>
      </c>
    </row>
    <row r="2187" spans="103:104" x14ac:dyDescent="0.3">
      <c r="CY2187" s="34" t="s">
        <v>3114</v>
      </c>
      <c r="CZ2187" s="35">
        <v>0.108683003</v>
      </c>
    </row>
    <row r="2188" spans="103:104" x14ac:dyDescent="0.3">
      <c r="CY2188" s="34" t="s">
        <v>3115</v>
      </c>
      <c r="CZ2188" s="35">
        <v>3.3363292455999997E-2</v>
      </c>
    </row>
    <row r="2189" spans="103:104" x14ac:dyDescent="0.3">
      <c r="CY2189" s="34" t="s">
        <v>3116</v>
      </c>
      <c r="CZ2189" s="35">
        <v>1.242792408E-3</v>
      </c>
    </row>
    <row r="2190" spans="103:104" x14ac:dyDescent="0.3">
      <c r="CY2190" s="34" t="s">
        <v>3117</v>
      </c>
      <c r="CZ2190" s="35">
        <v>3.7465999999999997E-4</v>
      </c>
    </row>
    <row r="2191" spans="103:104" x14ac:dyDescent="0.3">
      <c r="CY2191" s="34" t="s">
        <v>3118</v>
      </c>
      <c r="CZ2191" s="35">
        <v>1.2826054694000002E-3</v>
      </c>
    </row>
    <row r="2192" spans="103:104" x14ac:dyDescent="0.3">
      <c r="CY2192" s="34" t="s">
        <v>3119</v>
      </c>
      <c r="CZ2192" s="35">
        <v>1.3109024790123457E-2</v>
      </c>
    </row>
    <row r="2193" spans="103:104" x14ac:dyDescent="0.3">
      <c r="CY2193" s="34" t="s">
        <v>3120</v>
      </c>
      <c r="CZ2193" s="35">
        <v>2.1094816306600001E-2</v>
      </c>
    </row>
    <row r="2194" spans="103:104" x14ac:dyDescent="0.3">
      <c r="CY2194" s="34" t="s">
        <v>3121</v>
      </c>
      <c r="CZ2194" s="35">
        <v>6.9956692000000001E-2</v>
      </c>
    </row>
    <row r="2195" spans="103:104" x14ac:dyDescent="0.3">
      <c r="CY2195" s="34" t="s">
        <v>3122</v>
      </c>
      <c r="CZ2195" s="35">
        <v>0.2175350025866</v>
      </c>
    </row>
    <row r="2196" spans="103:104" x14ac:dyDescent="0.3">
      <c r="CY2196" s="34" t="s">
        <v>3123</v>
      </c>
      <c r="CZ2196" s="35">
        <v>6.3809801504000008E-2</v>
      </c>
    </row>
    <row r="2197" spans="103:104" x14ac:dyDescent="0.3">
      <c r="CY2197" s="34" t="s">
        <v>3124</v>
      </c>
      <c r="CZ2197" s="35">
        <v>1.3164780208E-2</v>
      </c>
    </row>
    <row r="2198" spans="103:104" x14ac:dyDescent="0.3">
      <c r="CY2198" s="34" t="s">
        <v>3125</v>
      </c>
      <c r="CZ2198" s="35">
        <v>1.2805693525333334E-2</v>
      </c>
    </row>
    <row r="2199" spans="103:104" x14ac:dyDescent="0.3">
      <c r="CY2199" s="34" t="s">
        <v>3126</v>
      </c>
      <c r="CZ2199" s="35">
        <v>1.0601133355999999E-2</v>
      </c>
    </row>
    <row r="2200" spans="103:104" x14ac:dyDescent="0.3">
      <c r="CY2200" s="34" t="s">
        <v>3127</v>
      </c>
      <c r="CZ2200" s="35">
        <v>1.0601133355999999E-2</v>
      </c>
    </row>
    <row r="2201" spans="103:104" x14ac:dyDescent="0.3">
      <c r="CY2201" s="34" t="s">
        <v>3128</v>
      </c>
      <c r="CZ2201" s="35">
        <v>3.3967713663999997E-2</v>
      </c>
    </row>
    <row r="2202" spans="103:104" x14ac:dyDescent="0.3">
      <c r="CY2202" s="34" t="s">
        <v>3129</v>
      </c>
      <c r="CZ2202" s="35">
        <v>7.0064624880000004E-3</v>
      </c>
    </row>
    <row r="2203" spans="103:104" x14ac:dyDescent="0.3">
      <c r="CY2203" s="34" t="s">
        <v>3130</v>
      </c>
      <c r="CZ2203" s="35">
        <v>7.1752836400000011E-3</v>
      </c>
    </row>
    <row r="2204" spans="103:104" x14ac:dyDescent="0.3">
      <c r="CY2204" s="34" t="s">
        <v>3131</v>
      </c>
      <c r="CZ2204" s="35">
        <v>2.2314939359999999E-3</v>
      </c>
    </row>
    <row r="2205" spans="103:104" x14ac:dyDescent="0.3">
      <c r="CY2205" s="34" t="s">
        <v>3132</v>
      </c>
      <c r="CZ2205" s="35">
        <v>1.2610903136000003E-2</v>
      </c>
    </row>
    <row r="2206" spans="103:104" x14ac:dyDescent="0.3">
      <c r="CY2206" s="34" t="s">
        <v>3133</v>
      </c>
      <c r="CZ2206" s="35">
        <v>2.0351650651999998E-2</v>
      </c>
    </row>
    <row r="2207" spans="103:104" x14ac:dyDescent="0.3">
      <c r="CY2207" s="34" t="s">
        <v>3134</v>
      </c>
      <c r="CZ2207" s="35">
        <v>1.148220982858E-2</v>
      </c>
    </row>
    <row r="2208" spans="103:104" x14ac:dyDescent="0.3">
      <c r="CY2208" s="34" t="s">
        <v>3135</v>
      </c>
      <c r="CZ2208" s="35">
        <v>1.0573551456E-2</v>
      </c>
    </row>
    <row r="2209" spans="103:104" x14ac:dyDescent="0.3">
      <c r="CY2209" s="34" t="s">
        <v>3136</v>
      </c>
      <c r="CZ2209" s="35">
        <v>5.9474002560000003E-2</v>
      </c>
    </row>
    <row r="2210" spans="103:104" x14ac:dyDescent="0.3">
      <c r="CY2210" s="34" t="s">
        <v>3137</v>
      </c>
      <c r="CZ2210" s="35">
        <v>7.8722201920000012E-2</v>
      </c>
    </row>
    <row r="2211" spans="103:104" x14ac:dyDescent="0.3">
      <c r="CY2211" s="34" t="s">
        <v>3138</v>
      </c>
      <c r="CZ2211" s="35">
        <v>4.673253748669999E-2</v>
      </c>
    </row>
    <row r="2212" spans="103:104" x14ac:dyDescent="0.3">
      <c r="CY2212" s="34" t="s">
        <v>3139</v>
      </c>
      <c r="CZ2212" s="35">
        <v>6.3835153439999986E-2</v>
      </c>
    </row>
    <row r="2213" spans="103:104" x14ac:dyDescent="0.3">
      <c r="CY2213" s="34" t="s">
        <v>3140</v>
      </c>
      <c r="CZ2213" s="35">
        <v>3.8999999999999999E-5</v>
      </c>
    </row>
    <row r="2214" spans="103:104" x14ac:dyDescent="0.3">
      <c r="CY2214" s="34" t="s">
        <v>3141</v>
      </c>
      <c r="CZ2214" s="35">
        <v>3.8999999999999999E-5</v>
      </c>
    </row>
    <row r="2215" spans="103:104" x14ac:dyDescent="0.3">
      <c r="CY2215" s="34" t="s">
        <v>3142</v>
      </c>
      <c r="CZ2215" s="35">
        <v>3.8999999999999999E-5</v>
      </c>
    </row>
    <row r="2216" spans="103:104" x14ac:dyDescent="0.3">
      <c r="CY2216" s="34" t="s">
        <v>3143</v>
      </c>
      <c r="CZ2216" s="35">
        <v>3.8999999999999999E-5</v>
      </c>
    </row>
    <row r="2217" spans="103:104" x14ac:dyDescent="0.3">
      <c r="CY2217" s="34" t="s">
        <v>3144</v>
      </c>
      <c r="CZ2217" s="35">
        <v>3.8999999999999999E-5</v>
      </c>
    </row>
    <row r="2218" spans="103:104" x14ac:dyDescent="0.3">
      <c r="CY2218" s="34" t="s">
        <v>3145</v>
      </c>
      <c r="CZ2218" s="35">
        <v>3.8999999999999999E-5</v>
      </c>
    </row>
    <row r="2219" spans="103:104" x14ac:dyDescent="0.3">
      <c r="CY2219" s="34" t="s">
        <v>3146</v>
      </c>
      <c r="CZ2219" s="35">
        <v>3.8999999999999999E-5</v>
      </c>
    </row>
    <row r="2220" spans="103:104" x14ac:dyDescent="0.3">
      <c r="CY2220" s="34" t="s">
        <v>3147</v>
      </c>
      <c r="CZ2220" s="35">
        <v>3.9000000000000006E-5</v>
      </c>
    </row>
    <row r="2221" spans="103:104" x14ac:dyDescent="0.3">
      <c r="CY2221" s="34" t="s">
        <v>3148</v>
      </c>
      <c r="CZ2221" s="35">
        <v>3.8999999999999999E-5</v>
      </c>
    </row>
    <row r="2222" spans="103:104" x14ac:dyDescent="0.3">
      <c r="CY2222" s="34" t="s">
        <v>3149</v>
      </c>
      <c r="CZ2222" s="35">
        <v>3.8999999999999999E-5</v>
      </c>
    </row>
    <row r="2223" spans="103:104" x14ac:dyDescent="0.3">
      <c r="CY2223" s="34" t="s">
        <v>3150</v>
      </c>
      <c r="CZ2223" s="35">
        <v>3.8999999999999999E-5</v>
      </c>
    </row>
    <row r="2224" spans="103:104" x14ac:dyDescent="0.3">
      <c r="CY2224" s="34" t="s">
        <v>3151</v>
      </c>
      <c r="CZ2224" s="35">
        <v>3.6963758912000003E-2</v>
      </c>
    </row>
    <row r="2225" spans="103:104" x14ac:dyDescent="0.3">
      <c r="CY2225" s="34" t="s">
        <v>3152</v>
      </c>
      <c r="CZ2225" s="35">
        <v>3.8999999999999999E-5</v>
      </c>
    </row>
    <row r="2226" spans="103:104" x14ac:dyDescent="0.3">
      <c r="CY2226" s="34" t="s">
        <v>3153</v>
      </c>
      <c r="CZ2226" s="35">
        <v>8.8756400000000013E-2</v>
      </c>
    </row>
    <row r="2227" spans="103:104" x14ac:dyDescent="0.3">
      <c r="CY2227" s="34" t="s">
        <v>3154</v>
      </c>
      <c r="CZ2227" s="35">
        <v>3.4968795887999997E-2</v>
      </c>
    </row>
    <row r="2228" spans="103:104" x14ac:dyDescent="0.3">
      <c r="CY2228" s="34" t="s">
        <v>3155</v>
      </c>
      <c r="CZ2228" s="35">
        <v>3.4968795887999997E-2</v>
      </c>
    </row>
    <row r="2229" spans="103:104" x14ac:dyDescent="0.3">
      <c r="CY2229" s="34" t="s">
        <v>3156</v>
      </c>
      <c r="CZ2229" s="35">
        <v>2.7178335886285715E-3</v>
      </c>
    </row>
    <row r="2230" spans="103:104" x14ac:dyDescent="0.3">
      <c r="CY2230" s="34" t="s">
        <v>3157</v>
      </c>
      <c r="CZ2230" s="35">
        <v>8.6190232960000005E-3</v>
      </c>
    </row>
    <row r="2231" spans="103:104" x14ac:dyDescent="0.3">
      <c r="CY2231" s="34" t="s">
        <v>3158</v>
      </c>
      <c r="CZ2231" s="35">
        <v>4.9679385671999997E-2</v>
      </c>
    </row>
    <row r="2232" spans="103:104" x14ac:dyDescent="0.3">
      <c r="CY2232" s="34" t="s">
        <v>3159</v>
      </c>
      <c r="CZ2232" s="35">
        <v>5.3511288301319994E-2</v>
      </c>
    </row>
    <row r="2233" spans="103:104" x14ac:dyDescent="0.3">
      <c r="CY2233" s="34" t="s">
        <v>3160</v>
      </c>
      <c r="CZ2233" s="35">
        <v>1.4516884249600002E-3</v>
      </c>
    </row>
    <row r="2234" spans="103:104" x14ac:dyDescent="0.3">
      <c r="CY2234" s="34" t="s">
        <v>3161</v>
      </c>
      <c r="CZ2234" s="35">
        <v>8.8709555840000009E-3</v>
      </c>
    </row>
    <row r="2235" spans="103:104" x14ac:dyDescent="0.3">
      <c r="CY2235" s="34" t="s">
        <v>3162</v>
      </c>
      <c r="CZ2235" s="35">
        <v>4.5480746079999993E-3</v>
      </c>
    </row>
    <row r="2236" spans="103:104" x14ac:dyDescent="0.3">
      <c r="CY2236" s="34" t="s">
        <v>3163</v>
      </c>
      <c r="CZ2236" s="35">
        <v>0.54023592970666656</v>
      </c>
    </row>
    <row r="2237" spans="103:104" x14ac:dyDescent="0.3">
      <c r="CY2237" s="34" t="s">
        <v>3164</v>
      </c>
      <c r="CZ2237" s="35">
        <v>1.1174156648000002E-2</v>
      </c>
    </row>
    <row r="2238" spans="103:104" x14ac:dyDescent="0.3">
      <c r="CY2238" s="34" t="s">
        <v>3165</v>
      </c>
      <c r="CZ2238" s="35">
        <v>1.0135929391999999E-2</v>
      </c>
    </row>
    <row r="2239" spans="103:104" x14ac:dyDescent="0.3">
      <c r="CY2239" s="34" t="s">
        <v>3166</v>
      </c>
      <c r="CZ2239" s="35">
        <v>6.8171529279999997E-3</v>
      </c>
    </row>
    <row r="2240" spans="103:104" x14ac:dyDescent="0.3">
      <c r="CY2240" s="34" t="s">
        <v>3167</v>
      </c>
      <c r="CZ2240" s="35">
        <v>3.8999999999999999E-5</v>
      </c>
    </row>
    <row r="2241" spans="103:104" x14ac:dyDescent="0.3">
      <c r="CY2241" s="34" t="s">
        <v>3168</v>
      </c>
      <c r="CZ2241" s="35">
        <v>3.8999999999999999E-5</v>
      </c>
    </row>
    <row r="2242" spans="103:104" x14ac:dyDescent="0.3">
      <c r="CY2242" s="34" t="s">
        <v>3169</v>
      </c>
      <c r="CZ2242" s="35">
        <v>3.6960533375999999E-2</v>
      </c>
    </row>
    <row r="2243" spans="103:104" x14ac:dyDescent="0.3">
      <c r="CY2243" s="34" t="s">
        <v>3170</v>
      </c>
      <c r="CZ2243" s="35">
        <v>1.0512393839999998E-3</v>
      </c>
    </row>
    <row r="2244" spans="103:104" x14ac:dyDescent="0.3">
      <c r="CY2244" s="34" t="s">
        <v>3171</v>
      </c>
      <c r="CZ2244" s="35">
        <v>1.255603128E-3</v>
      </c>
    </row>
    <row r="2245" spans="103:104" x14ac:dyDescent="0.3">
      <c r="CY2245" s="34" t="s">
        <v>3172</v>
      </c>
      <c r="CZ2245" s="35">
        <v>1.3086094959999998E-3</v>
      </c>
    </row>
    <row r="2246" spans="103:104" x14ac:dyDescent="0.3">
      <c r="CY2246" s="34" t="s">
        <v>3173</v>
      </c>
      <c r="CZ2246" s="35">
        <v>1.3544598080000002E-3</v>
      </c>
    </row>
    <row r="2247" spans="103:104" x14ac:dyDescent="0.3">
      <c r="CY2247" s="34" t="s">
        <v>3174</v>
      </c>
      <c r="CZ2247" s="35">
        <v>8.7327248426333007E-2</v>
      </c>
    </row>
    <row r="2248" spans="103:104" x14ac:dyDescent="0.3">
      <c r="CY2248" s="34" t="s">
        <v>3175</v>
      </c>
      <c r="CZ2248" s="35">
        <v>9.4717237961665007E-2</v>
      </c>
    </row>
    <row r="2249" spans="103:104" x14ac:dyDescent="0.3">
      <c r="CY2249" s="34" t="s">
        <v>3176</v>
      </c>
      <c r="CZ2249" s="35">
        <v>9.9280000000000011E-3</v>
      </c>
    </row>
    <row r="2250" spans="103:104" x14ac:dyDescent="0.3">
      <c r="CY2250" s="34" t="s">
        <v>3177</v>
      </c>
      <c r="CZ2250" s="35">
        <v>1.9663161974666668E-3</v>
      </c>
    </row>
    <row r="2251" spans="103:104" x14ac:dyDescent="0.3">
      <c r="CY2251" s="34" t="s">
        <v>3178</v>
      </c>
      <c r="CZ2251" s="35">
        <v>2.8941732044000003E-2</v>
      </c>
    </row>
    <row r="2252" spans="103:104" x14ac:dyDescent="0.3">
      <c r="CY2252" s="34" t="s">
        <v>3179</v>
      </c>
      <c r="CZ2252" s="35">
        <v>4.0719323839999995E-2</v>
      </c>
    </row>
    <row r="2253" spans="103:104" x14ac:dyDescent="0.3">
      <c r="CY2253" s="34" t="s">
        <v>3180</v>
      </c>
      <c r="CZ2253" s="35">
        <v>4.4964357567999998E-2</v>
      </c>
    </row>
    <row r="2254" spans="103:104" x14ac:dyDescent="0.3">
      <c r="CY2254" s="34" t="s">
        <v>3181</v>
      </c>
      <c r="CZ2254" s="35">
        <v>8.3039037013333348E-3</v>
      </c>
    </row>
    <row r="2255" spans="103:104" x14ac:dyDescent="0.3">
      <c r="CY2255" s="34" t="s">
        <v>3182</v>
      </c>
      <c r="CZ2255" s="35">
        <v>8.1835783679999996E-2</v>
      </c>
    </row>
    <row r="2256" spans="103:104" x14ac:dyDescent="0.3">
      <c r="CY2256" s="34" t="s">
        <v>3183</v>
      </c>
      <c r="CZ2256" s="35">
        <v>2.2414613162666668E-2</v>
      </c>
    </row>
    <row r="2257" spans="103:104" x14ac:dyDescent="0.3">
      <c r="CY2257" s="34" t="s">
        <v>3184</v>
      </c>
      <c r="CZ2257" s="35">
        <v>2.2531891968000001E-2</v>
      </c>
    </row>
    <row r="2258" spans="103:104" x14ac:dyDescent="0.3">
      <c r="CY2258" s="34" t="s">
        <v>3185</v>
      </c>
      <c r="CZ2258" s="35">
        <v>5.9559073600000002E-3</v>
      </c>
    </row>
    <row r="2259" spans="103:104" x14ac:dyDescent="0.3">
      <c r="CY2259" s="34" t="s">
        <v>3186</v>
      </c>
      <c r="CZ2259" s="35">
        <v>1.0738311351999999E-2</v>
      </c>
    </row>
    <row r="2260" spans="103:104" x14ac:dyDescent="0.3">
      <c r="CY2260" s="34" t="s">
        <v>3187</v>
      </c>
      <c r="CZ2260" s="35">
        <v>7.9045567487999995E-3</v>
      </c>
    </row>
    <row r="2261" spans="103:104" x14ac:dyDescent="0.3">
      <c r="CY2261" s="34" t="s">
        <v>3188</v>
      </c>
      <c r="CZ2261" s="35">
        <v>2.4479999999999999E-4</v>
      </c>
    </row>
    <row r="2262" spans="103:104" x14ac:dyDescent="0.3">
      <c r="CY2262" s="34" t="s">
        <v>3189</v>
      </c>
      <c r="CZ2262" s="35">
        <v>5.5502319999999996E-3</v>
      </c>
    </row>
    <row r="2263" spans="103:104" x14ac:dyDescent="0.3">
      <c r="CY2263" s="34" t="s">
        <v>3190</v>
      </c>
      <c r="CZ2263" s="35">
        <v>2.1319418982399998E-2</v>
      </c>
    </row>
    <row r="2264" spans="103:104" x14ac:dyDescent="0.3">
      <c r="CY2264" s="34" t="s">
        <v>3191</v>
      </c>
      <c r="CZ2264" s="35">
        <v>3.8999999999999999E-5</v>
      </c>
    </row>
    <row r="2265" spans="103:104" x14ac:dyDescent="0.3">
      <c r="CY2265" s="34" t="s">
        <v>3192</v>
      </c>
      <c r="CZ2265" s="35">
        <v>3.8896516800000005E-4</v>
      </c>
    </row>
    <row r="2266" spans="103:104" x14ac:dyDescent="0.3">
      <c r="CY2266" s="34" t="s">
        <v>3193</v>
      </c>
      <c r="CZ2266" s="35">
        <v>4.1984630400000001E-4</v>
      </c>
    </row>
    <row r="2267" spans="103:104" x14ac:dyDescent="0.3">
      <c r="CY2267" s="34" t="s">
        <v>3194</v>
      </c>
      <c r="CZ2267" s="35">
        <v>8.7899587200000002E-4</v>
      </c>
    </row>
    <row r="2268" spans="103:104" x14ac:dyDescent="0.3">
      <c r="CY2268" s="34" t="s">
        <v>3195</v>
      </c>
      <c r="CZ2268" s="35">
        <v>5.5834351999999997E-4</v>
      </c>
    </row>
    <row r="2269" spans="103:104" x14ac:dyDescent="0.3">
      <c r="CY2269" s="34" t="s">
        <v>3196</v>
      </c>
      <c r="CZ2269" s="35">
        <v>1.2336610399999999E-3</v>
      </c>
    </row>
    <row r="2270" spans="103:104" x14ac:dyDescent="0.3">
      <c r="CY2270" s="34" t="s">
        <v>3197</v>
      </c>
      <c r="CZ2270" s="35">
        <v>5.5011404959999996E-3</v>
      </c>
    </row>
    <row r="2271" spans="103:104" x14ac:dyDescent="0.3">
      <c r="CY2271" s="34" t="s">
        <v>3198</v>
      </c>
      <c r="CZ2271" s="35">
        <v>7.0897061941349995E-2</v>
      </c>
    </row>
    <row r="2272" spans="103:104" x14ac:dyDescent="0.3">
      <c r="CY2272" s="34" t="s">
        <v>3199</v>
      </c>
      <c r="CZ2272" s="35">
        <v>6.8343393759999992E-4</v>
      </c>
    </row>
    <row r="2273" spans="103:104" x14ac:dyDescent="0.3">
      <c r="CY2273" s="34" t="s">
        <v>3200</v>
      </c>
      <c r="CZ2273" s="35">
        <v>3.9091423720000004E-2</v>
      </c>
    </row>
    <row r="2274" spans="103:104" x14ac:dyDescent="0.3">
      <c r="CY2274" s="34" t="s">
        <v>3201</v>
      </c>
      <c r="CZ2274" s="35">
        <v>4.1362933039999994E-2</v>
      </c>
    </row>
    <row r="2275" spans="103:104" x14ac:dyDescent="0.3">
      <c r="CY2275" s="34" t="s">
        <v>3202</v>
      </c>
      <c r="CZ2275" s="35">
        <v>4.0912976000000004E-2</v>
      </c>
    </row>
    <row r="2276" spans="103:104" x14ac:dyDescent="0.3">
      <c r="CY2276" s="34" t="s">
        <v>3203</v>
      </c>
      <c r="CZ2276" s="35">
        <v>5.7200000000000003E-4</v>
      </c>
    </row>
    <row r="2277" spans="103:104" x14ac:dyDescent="0.3">
      <c r="CY2277" s="34" t="s">
        <v>3204</v>
      </c>
      <c r="CZ2277" s="35">
        <v>1.1503523776000002E-2</v>
      </c>
    </row>
    <row r="2278" spans="103:104" x14ac:dyDescent="0.3">
      <c r="CY2278" s="34" t="s">
        <v>3205</v>
      </c>
      <c r="CZ2278" s="35">
        <v>1.1135523776000002E-2</v>
      </c>
    </row>
    <row r="2279" spans="103:104" x14ac:dyDescent="0.3">
      <c r="CY2279" s="34" t="s">
        <v>3206</v>
      </c>
      <c r="CZ2279" s="35">
        <v>1.0241174528000002E-2</v>
      </c>
    </row>
    <row r="2280" spans="103:104" x14ac:dyDescent="0.3">
      <c r="CY2280" s="34" t="s">
        <v>3207</v>
      </c>
      <c r="CZ2280" s="35">
        <v>2.9857073573500005E-3</v>
      </c>
    </row>
    <row r="2281" spans="103:104" x14ac:dyDescent="0.3">
      <c r="CY2281" s="34" t="s">
        <v>3208</v>
      </c>
      <c r="CZ2281" s="35">
        <v>5.1201119149999995E-3</v>
      </c>
    </row>
    <row r="2282" spans="103:104" x14ac:dyDescent="0.3">
      <c r="CY2282" s="34" t="s">
        <v>3209</v>
      </c>
      <c r="CZ2282" s="35">
        <v>8.752648777777778E-3</v>
      </c>
    </row>
    <row r="2283" spans="103:104" x14ac:dyDescent="0.3">
      <c r="CY2283" s="34" t="s">
        <v>3210</v>
      </c>
      <c r="CZ2283" s="35">
        <v>2.3258360051208335E-2</v>
      </c>
    </row>
    <row r="2284" spans="103:104" x14ac:dyDescent="0.3">
      <c r="CY2284" s="34" t="s">
        <v>3211</v>
      </c>
      <c r="CZ2284" s="35">
        <v>2.3386068159999999E-2</v>
      </c>
    </row>
    <row r="2285" spans="103:104" x14ac:dyDescent="0.3">
      <c r="CY2285" s="34" t="s">
        <v>3212</v>
      </c>
      <c r="CZ2285" s="35">
        <v>2.2853415841428575E-2</v>
      </c>
    </row>
    <row r="2286" spans="103:104" x14ac:dyDescent="0.3">
      <c r="CY2286" s="34" t="s">
        <v>3213</v>
      </c>
      <c r="CZ2286" s="35">
        <v>4.4212143920000001E-4</v>
      </c>
    </row>
    <row r="2287" spans="103:104" x14ac:dyDescent="0.3">
      <c r="CY2287" s="34" t="s">
        <v>3214</v>
      </c>
      <c r="CZ2287" s="35">
        <v>3.8999999999999999E-5</v>
      </c>
    </row>
    <row r="2288" spans="103:104" x14ac:dyDescent="0.3">
      <c r="CY2288" s="34" t="s">
        <v>3215</v>
      </c>
      <c r="CZ2288" s="35">
        <v>200.14988738208001</v>
      </c>
    </row>
    <row r="2289" spans="103:104" x14ac:dyDescent="0.3">
      <c r="CY2289" s="34" t="s">
        <v>3216</v>
      </c>
      <c r="CZ2289" s="35">
        <v>200</v>
      </c>
    </row>
    <row r="2290" spans="103:104" x14ac:dyDescent="0.3">
      <c r="CY2290" s="34" t="s">
        <v>3217</v>
      </c>
      <c r="CZ2290" s="35">
        <v>0.14050738208000002</v>
      </c>
    </row>
    <row r="2291" spans="103:104" x14ac:dyDescent="0.3">
      <c r="CY2291" s="34" t="s">
        <v>3218</v>
      </c>
      <c r="CZ2291" s="35">
        <v>0.76834000000000002</v>
      </c>
    </row>
    <row r="2292" spans="103:104" x14ac:dyDescent="0.3">
      <c r="CY2292" s="34" t="s">
        <v>3219</v>
      </c>
      <c r="CZ2292" s="35">
        <v>3.8999999999999999E-5</v>
      </c>
    </row>
    <row r="2293" spans="103:104" x14ac:dyDescent="0.3">
      <c r="CY2293" s="34" t="s">
        <v>3220</v>
      </c>
      <c r="CZ2293" s="35">
        <v>3.8999999999999999E-5</v>
      </c>
    </row>
    <row r="2294" spans="103:104" x14ac:dyDescent="0.3">
      <c r="CY2294" s="34" t="s">
        <v>3221</v>
      </c>
      <c r="CZ2294" s="35">
        <v>3.8999999999999999E-5</v>
      </c>
    </row>
    <row r="2295" spans="103:104" x14ac:dyDescent="0.3">
      <c r="CY2295" s="34" t="s">
        <v>3222</v>
      </c>
      <c r="CZ2295" s="35">
        <v>3.8999999999999999E-5</v>
      </c>
    </row>
    <row r="2296" spans="103:104" x14ac:dyDescent="0.3">
      <c r="CY2296" s="34" t="s">
        <v>3223</v>
      </c>
      <c r="CZ2296" s="35">
        <v>3.8999999999999999E-5</v>
      </c>
    </row>
    <row r="2297" spans="103:104" x14ac:dyDescent="0.3">
      <c r="CY2297" s="34" t="s">
        <v>3224</v>
      </c>
      <c r="CZ2297" s="35">
        <v>3.8999999999999999E-5</v>
      </c>
    </row>
    <row r="2298" spans="103:104" x14ac:dyDescent="0.3">
      <c r="CY2298" s="34" t="s">
        <v>3225</v>
      </c>
      <c r="CZ2298" s="35">
        <v>3.8999999999999999E-5</v>
      </c>
    </row>
    <row r="2299" spans="103:104" x14ac:dyDescent="0.3">
      <c r="CY2299" s="34" t="s">
        <v>3226</v>
      </c>
      <c r="CZ2299" s="35">
        <v>3.8999999999999999E-5</v>
      </c>
    </row>
    <row r="2300" spans="103:104" x14ac:dyDescent="0.3">
      <c r="CY2300" s="34" t="s">
        <v>3227</v>
      </c>
      <c r="CZ2300" s="35">
        <v>3.8999999999999999E-5</v>
      </c>
    </row>
    <row r="2301" spans="103:104" x14ac:dyDescent="0.3">
      <c r="CY2301" s="34" t="s">
        <v>3228</v>
      </c>
      <c r="CZ2301" s="35">
        <v>3.8999999999999999E-5</v>
      </c>
    </row>
    <row r="2302" spans="103:104" x14ac:dyDescent="0.3">
      <c r="CY2302" s="34" t="s">
        <v>3229</v>
      </c>
      <c r="CZ2302" s="35">
        <v>3.8999999999999999E-5</v>
      </c>
    </row>
    <row r="2303" spans="103:104" x14ac:dyDescent="0.3">
      <c r="CY2303" s="34" t="s">
        <v>3230</v>
      </c>
      <c r="CZ2303" s="35">
        <v>3.8999999999999999E-5</v>
      </c>
    </row>
    <row r="2304" spans="103:104" x14ac:dyDescent="0.3">
      <c r="CY2304" s="34" t="s">
        <v>3231</v>
      </c>
      <c r="CZ2304" s="35">
        <v>3.8999999999999999E-5</v>
      </c>
    </row>
    <row r="2305" spans="103:104" x14ac:dyDescent="0.3">
      <c r="CY2305" s="34" t="s">
        <v>3232</v>
      </c>
      <c r="CZ2305" s="35">
        <v>3.8999999999999999E-5</v>
      </c>
    </row>
    <row r="2306" spans="103:104" x14ac:dyDescent="0.3">
      <c r="CY2306" s="34" t="s">
        <v>3233</v>
      </c>
      <c r="CZ2306" s="35">
        <v>6.1527355199999991E-4</v>
      </c>
    </row>
    <row r="2307" spans="103:104" x14ac:dyDescent="0.3">
      <c r="CY2307" s="34" t="s">
        <v>3234</v>
      </c>
      <c r="CZ2307" s="35">
        <v>0.1421762857142857</v>
      </c>
    </row>
    <row r="2308" spans="103:104" x14ac:dyDescent="0.3">
      <c r="CY2308" s="34" t="s">
        <v>3235</v>
      </c>
      <c r="CZ2308" s="35">
        <v>1.3746915519999999E-3</v>
      </c>
    </row>
    <row r="2309" spans="103:104" x14ac:dyDescent="0.3">
      <c r="CY2309" s="34" t="s">
        <v>3236</v>
      </c>
      <c r="CZ2309" s="35">
        <v>0.10899502992</v>
      </c>
    </row>
    <row r="2310" spans="103:104" x14ac:dyDescent="0.3">
      <c r="CY2310" s="34" t="s">
        <v>3237</v>
      </c>
      <c r="CZ2310" s="35">
        <v>4.0414004800000001E-4</v>
      </c>
    </row>
    <row r="2311" spans="103:104" x14ac:dyDescent="0.3">
      <c r="CY2311" s="34" t="s">
        <v>3238</v>
      </c>
      <c r="CZ2311" s="35">
        <v>5.3204355359999997E-3</v>
      </c>
    </row>
    <row r="2312" spans="103:104" x14ac:dyDescent="0.3">
      <c r="CY2312" s="34" t="s">
        <v>3239</v>
      </c>
      <c r="CZ2312" s="35">
        <v>2.6816895424000002E-2</v>
      </c>
    </row>
    <row r="2313" spans="103:104" x14ac:dyDescent="0.3">
      <c r="CY2313" s="34" t="s">
        <v>3240</v>
      </c>
      <c r="CZ2313" s="35">
        <v>4.7678550400000002E-4</v>
      </c>
    </row>
    <row r="2314" spans="103:104" x14ac:dyDescent="0.3">
      <c r="CY2314" s="34" t="s">
        <v>3241</v>
      </c>
      <c r="CZ2314" s="35">
        <v>4.1437286800000001E-3</v>
      </c>
    </row>
    <row r="2315" spans="103:104" x14ac:dyDescent="0.3">
      <c r="CY2315" s="34" t="s">
        <v>3242</v>
      </c>
      <c r="CZ2315" s="35">
        <v>5.3273459200000001E-4</v>
      </c>
    </row>
    <row r="2316" spans="103:104" x14ac:dyDescent="0.3">
      <c r="CY2316" s="34" t="s">
        <v>3243</v>
      </c>
      <c r="CZ2316" s="35">
        <v>3.5999999999999997E-4</v>
      </c>
    </row>
    <row r="2317" spans="103:104" x14ac:dyDescent="0.3">
      <c r="CY2317" s="34" t="s">
        <v>3244</v>
      </c>
      <c r="CZ2317" s="35">
        <v>3.5999999999999997E-4</v>
      </c>
    </row>
    <row r="2318" spans="103:104" x14ac:dyDescent="0.3">
      <c r="CY2318" s="34" t="s">
        <v>3245</v>
      </c>
      <c r="CZ2318" s="35">
        <v>1.1845685280000001E-3</v>
      </c>
    </row>
    <row r="2319" spans="103:104" x14ac:dyDescent="0.3">
      <c r="CY2319" s="34" t="s">
        <v>3246</v>
      </c>
      <c r="CZ2319" s="35">
        <v>1.2814641338999998E-2</v>
      </c>
    </row>
    <row r="2320" spans="103:104" x14ac:dyDescent="0.3">
      <c r="CY2320" s="34" t="s">
        <v>3247</v>
      </c>
      <c r="CZ2320" s="35">
        <v>3.939625310222223E-2</v>
      </c>
    </row>
    <row r="2321" spans="103:104" x14ac:dyDescent="0.3">
      <c r="CY2321" s="34" t="s">
        <v>3248</v>
      </c>
      <c r="CZ2321" s="35">
        <v>6.8554143999999999E-3</v>
      </c>
    </row>
    <row r="2322" spans="103:104" x14ac:dyDescent="0.3">
      <c r="CY2322" s="34" t="s">
        <v>3249</v>
      </c>
      <c r="CZ2322" s="35">
        <v>1.3028277079999999E-2</v>
      </c>
    </row>
    <row r="2323" spans="103:104" x14ac:dyDescent="0.3">
      <c r="CY2323" s="34" t="s">
        <v>3250</v>
      </c>
      <c r="CZ2323" s="35">
        <v>0.208674152</v>
      </c>
    </row>
    <row r="2324" spans="103:104" x14ac:dyDescent="0.3">
      <c r="CY2324" s="34" t="s">
        <v>3251</v>
      </c>
      <c r="CZ2324" s="35">
        <v>4.0435657280000001E-4</v>
      </c>
    </row>
    <row r="2325" spans="103:104" x14ac:dyDescent="0.3">
      <c r="CY2325" s="34" t="s">
        <v>3252</v>
      </c>
      <c r="CZ2325" s="35">
        <v>0.11495664611200002</v>
      </c>
    </row>
    <row r="2326" spans="103:104" x14ac:dyDescent="0.3">
      <c r="CY2326" s="34" t="s">
        <v>3253</v>
      </c>
      <c r="CZ2326" s="35">
        <v>4.0640704000000007E-4</v>
      </c>
    </row>
    <row r="2327" spans="103:104" x14ac:dyDescent="0.3">
      <c r="CY2327" s="34" t="s">
        <v>3254</v>
      </c>
      <c r="CZ2327" s="35">
        <v>2.6816895424000002E-2</v>
      </c>
    </row>
    <row r="2328" spans="103:104" x14ac:dyDescent="0.3">
      <c r="CY2328" s="34" t="s">
        <v>3255</v>
      </c>
      <c r="CZ2328" s="35">
        <v>6.7251529279999996E-3</v>
      </c>
    </row>
    <row r="2329" spans="103:104" x14ac:dyDescent="0.3">
      <c r="CY2329" s="34" t="s">
        <v>3256</v>
      </c>
      <c r="CZ2329" s="35">
        <v>2.9427179264E-2</v>
      </c>
    </row>
    <row r="2330" spans="103:104" x14ac:dyDescent="0.3">
      <c r="CY2330" s="34" t="s">
        <v>3257</v>
      </c>
      <c r="CZ2330" s="35">
        <v>1.7245468736E-2</v>
      </c>
    </row>
    <row r="2331" spans="103:104" x14ac:dyDescent="0.3">
      <c r="CY2331" s="34" t="s">
        <v>3258</v>
      </c>
      <c r="CZ2331" s="35">
        <v>1.7245468736E-2</v>
      </c>
    </row>
    <row r="2332" spans="103:104" x14ac:dyDescent="0.3">
      <c r="CY2332" s="34" t="s">
        <v>3259</v>
      </c>
      <c r="CZ2332" s="35">
        <v>4.0788720000000001E-2</v>
      </c>
    </row>
    <row r="2333" spans="103:104" x14ac:dyDescent="0.3">
      <c r="CY2333" s="34" t="s">
        <v>3260</v>
      </c>
      <c r="CZ2333" s="35">
        <v>2.6436030400000003E-3</v>
      </c>
    </row>
    <row r="2334" spans="103:104" x14ac:dyDescent="0.3">
      <c r="CY2334" s="34" t="s">
        <v>3261</v>
      </c>
      <c r="CZ2334" s="35">
        <v>1.3678910016000001E-2</v>
      </c>
    </row>
    <row r="2335" spans="103:104" x14ac:dyDescent="0.3">
      <c r="CY2335" s="34" t="s">
        <v>3262</v>
      </c>
      <c r="CZ2335" s="35">
        <v>1.8647205199999999E-3</v>
      </c>
    </row>
    <row r="2336" spans="103:104" x14ac:dyDescent="0.3">
      <c r="CY2336" s="34" t="s">
        <v>3263</v>
      </c>
      <c r="CZ2336" s="35">
        <v>6.0631695840000005E-3</v>
      </c>
    </row>
    <row r="2337" spans="103:104" x14ac:dyDescent="0.3">
      <c r="CY2337" s="34" t="s">
        <v>3264</v>
      </c>
      <c r="CZ2337" s="35">
        <v>2.4616640256000001E-2</v>
      </c>
    </row>
    <row r="2338" spans="103:104" x14ac:dyDescent="0.3">
      <c r="CY2338" s="34" t="s">
        <v>3265</v>
      </c>
      <c r="CZ2338" s="35">
        <v>7.9603433087999984E-2</v>
      </c>
    </row>
    <row r="2339" spans="103:104" x14ac:dyDescent="0.3">
      <c r="CY2339" s="34" t="s">
        <v>3266</v>
      </c>
      <c r="CZ2339" s="35">
        <v>0.12055005491199999</v>
      </c>
    </row>
    <row r="2340" spans="103:104" x14ac:dyDescent="0.3">
      <c r="CY2340" s="34" t="s">
        <v>3267</v>
      </c>
      <c r="CZ2340" s="35">
        <v>3.8380451199999997E-4</v>
      </c>
    </row>
    <row r="2341" spans="103:104" x14ac:dyDescent="0.3">
      <c r="CY2341" s="34" t="s">
        <v>3268</v>
      </c>
      <c r="CZ2341" s="35">
        <v>5.2083199999999994E-4</v>
      </c>
    </row>
    <row r="2342" spans="103:104" x14ac:dyDescent="0.3">
      <c r="CY2342" s="34" t="s">
        <v>3269</v>
      </c>
      <c r="CZ2342" s="35">
        <v>3.401216192E-3</v>
      </c>
    </row>
    <row r="2343" spans="103:104" x14ac:dyDescent="0.3">
      <c r="CY2343" s="34" t="s">
        <v>3270</v>
      </c>
      <c r="CZ2343" s="35">
        <v>2.417094208E-2</v>
      </c>
    </row>
    <row r="2344" spans="103:104" x14ac:dyDescent="0.3">
      <c r="CY2344" s="34" t="s">
        <v>3271</v>
      </c>
      <c r="CZ2344" s="35">
        <v>8.7369334231999999E-3</v>
      </c>
    </row>
    <row r="2345" spans="103:104" x14ac:dyDescent="0.3">
      <c r="CY2345" s="34" t="s">
        <v>3272</v>
      </c>
      <c r="CZ2345" s="35">
        <v>0.13852391039999998</v>
      </c>
    </row>
    <row r="2346" spans="103:104" x14ac:dyDescent="0.3">
      <c r="CY2346" s="34" t="s">
        <v>3273</v>
      </c>
      <c r="CZ2346" s="35">
        <v>2.7819307559999999E-4</v>
      </c>
    </row>
    <row r="2347" spans="103:104" x14ac:dyDescent="0.3">
      <c r="CY2347" s="34" t="s">
        <v>3274</v>
      </c>
      <c r="CZ2347" s="35">
        <v>7.4799186220000008E-2</v>
      </c>
    </row>
    <row r="2348" spans="103:104" x14ac:dyDescent="0.3">
      <c r="CY2348" s="34" t="s">
        <v>3275</v>
      </c>
      <c r="CZ2348" s="35">
        <v>3.8999999999999999E-5</v>
      </c>
    </row>
    <row r="2349" spans="103:104" x14ac:dyDescent="0.3">
      <c r="CY2349" s="34" t="s">
        <v>3276</v>
      </c>
      <c r="CZ2349" s="35">
        <v>3.8999999999999999E-5</v>
      </c>
    </row>
    <row r="2350" spans="103:104" x14ac:dyDescent="0.3">
      <c r="CY2350" s="34" t="s">
        <v>3277</v>
      </c>
      <c r="CZ2350" s="35">
        <v>3.8999999999999999E-5</v>
      </c>
    </row>
    <row r="2351" spans="103:104" x14ac:dyDescent="0.3">
      <c r="CY2351" s="34" t="s">
        <v>3278</v>
      </c>
      <c r="CZ2351" s="35">
        <v>3.7938139200000003E-3</v>
      </c>
    </row>
    <row r="2352" spans="103:104" x14ac:dyDescent="0.3">
      <c r="CY2352" s="34" t="s">
        <v>3279</v>
      </c>
      <c r="CZ2352" s="35">
        <v>8.36398E-3</v>
      </c>
    </row>
    <row r="2353" spans="103:104" x14ac:dyDescent="0.3">
      <c r="CY2353" s="34" t="s">
        <v>3280</v>
      </c>
      <c r="CZ2353" s="35">
        <v>1.7713120575999997E-2</v>
      </c>
    </row>
    <row r="2354" spans="103:104" x14ac:dyDescent="0.3">
      <c r="CY2354" s="34" t="s">
        <v>3281</v>
      </c>
      <c r="CZ2354" s="35">
        <v>2.4871237247272725E-3</v>
      </c>
    </row>
    <row r="2355" spans="103:104" x14ac:dyDescent="0.3">
      <c r="CY2355" s="34" t="s">
        <v>3282</v>
      </c>
      <c r="CZ2355" s="35">
        <v>1.408625837E-2</v>
      </c>
    </row>
    <row r="2356" spans="103:104" x14ac:dyDescent="0.3">
      <c r="CY2356" s="34" t="s">
        <v>3283</v>
      </c>
      <c r="CZ2356" s="35">
        <v>6.7837362679999999E-2</v>
      </c>
    </row>
    <row r="2357" spans="103:104" x14ac:dyDescent="0.3">
      <c r="CY2357" s="34" t="s">
        <v>3284</v>
      </c>
      <c r="CZ2357" s="35">
        <v>1.7796306703999999E-2</v>
      </c>
    </row>
    <row r="2358" spans="103:104" x14ac:dyDescent="0.3">
      <c r="CY2358" s="34" t="s">
        <v>3285</v>
      </c>
      <c r="CZ2358" s="35">
        <v>1.8838732223999999E-2</v>
      </c>
    </row>
    <row r="2359" spans="103:104" x14ac:dyDescent="0.3">
      <c r="CY2359" s="34" t="s">
        <v>3286</v>
      </c>
      <c r="CZ2359" s="35">
        <v>1.1804451464E-2</v>
      </c>
    </row>
    <row r="2360" spans="103:104" x14ac:dyDescent="0.3">
      <c r="CY2360" s="34" t="s">
        <v>3287</v>
      </c>
      <c r="CZ2360" s="35">
        <v>3.8999999999999999E-5</v>
      </c>
    </row>
    <row r="2361" spans="103:104" x14ac:dyDescent="0.3">
      <c r="CY2361" s="34" t="s">
        <v>3288</v>
      </c>
      <c r="CZ2361" s="35">
        <v>2.3979139592000001E-2</v>
      </c>
    </row>
    <row r="2362" spans="103:104" x14ac:dyDescent="0.3">
      <c r="CY2362" s="34" t="s">
        <v>3289</v>
      </c>
      <c r="CZ2362" s="35">
        <v>0.18903666669999999</v>
      </c>
    </row>
    <row r="2363" spans="103:104" x14ac:dyDescent="0.3">
      <c r="CY2363" s="34" t="s">
        <v>3290</v>
      </c>
      <c r="CZ2363" s="35">
        <v>3.1964325712000002E-2</v>
      </c>
    </row>
    <row r="2364" spans="103:104" x14ac:dyDescent="0.3">
      <c r="CY2364" s="34" t="s">
        <v>3291</v>
      </c>
      <c r="CZ2364" s="35">
        <v>3.1964325711999995E-2</v>
      </c>
    </row>
    <row r="2365" spans="103:104" x14ac:dyDescent="0.3">
      <c r="CY2365" s="34" t="s">
        <v>3292</v>
      </c>
      <c r="CZ2365" s="35">
        <v>2.2093759999999999E-3</v>
      </c>
    </row>
    <row r="2366" spans="103:104" x14ac:dyDescent="0.3">
      <c r="CY2366" s="34" t="s">
        <v>3293</v>
      </c>
      <c r="CZ2366" s="35">
        <v>4.8895994866666667E-3</v>
      </c>
    </row>
    <row r="2367" spans="103:104" x14ac:dyDescent="0.3">
      <c r="CY2367" s="34" t="s">
        <v>3294</v>
      </c>
      <c r="CZ2367" s="35">
        <v>3.8999999999999999E-5</v>
      </c>
    </row>
    <row r="2368" spans="103:104" x14ac:dyDescent="0.3">
      <c r="CY2368" s="34" t="s">
        <v>3295</v>
      </c>
      <c r="CZ2368" s="35">
        <v>3.8999999999999999E-5</v>
      </c>
    </row>
    <row r="2369" spans="103:104" x14ac:dyDescent="0.3">
      <c r="CY2369" s="34" t="s">
        <v>3296</v>
      </c>
      <c r="CZ2369" s="35">
        <v>3.8999999999999999E-5</v>
      </c>
    </row>
    <row r="2370" spans="103:104" x14ac:dyDescent="0.3">
      <c r="CY2370" s="34" t="s">
        <v>3297</v>
      </c>
      <c r="CZ2370" s="35">
        <v>3.8999999999999999E-5</v>
      </c>
    </row>
    <row r="2371" spans="103:104" x14ac:dyDescent="0.3">
      <c r="CY2371" s="34" t="s">
        <v>3298</v>
      </c>
      <c r="CZ2371" s="35">
        <v>3.8999999999999999E-5</v>
      </c>
    </row>
    <row r="2372" spans="103:104" x14ac:dyDescent="0.3">
      <c r="CY2372" s="34" t="s">
        <v>3299</v>
      </c>
      <c r="CZ2372" s="35">
        <v>1.4271050560000001E-3</v>
      </c>
    </row>
    <row r="2373" spans="103:104" x14ac:dyDescent="0.3">
      <c r="CY2373" s="34" t="s">
        <v>3300</v>
      </c>
      <c r="CZ2373" s="35">
        <v>1.0075520000000001E-3</v>
      </c>
    </row>
    <row r="2374" spans="103:104" x14ac:dyDescent="0.3">
      <c r="CY2374" s="34" t="s">
        <v>3301</v>
      </c>
      <c r="CZ2374" s="35">
        <v>4.8902879999999996E-3</v>
      </c>
    </row>
    <row r="2375" spans="103:104" x14ac:dyDescent="0.3">
      <c r="CY2375" s="34" t="s">
        <v>3302</v>
      </c>
      <c r="CZ2375" s="35">
        <v>3.9000000000000006E-5</v>
      </c>
    </row>
    <row r="2376" spans="103:104" x14ac:dyDescent="0.3">
      <c r="CY2376" s="34" t="s">
        <v>3303</v>
      </c>
      <c r="CZ2376" s="35">
        <v>2.7341599999999998E-3</v>
      </c>
    </row>
    <row r="2377" spans="103:104" x14ac:dyDescent="0.3">
      <c r="CY2377" s="34" t="s">
        <v>3304</v>
      </c>
      <c r="CZ2377" s="35">
        <v>8.2518653440000009E-3</v>
      </c>
    </row>
    <row r="2378" spans="103:104" x14ac:dyDescent="0.3">
      <c r="CY2378" s="34" t="s">
        <v>3305</v>
      </c>
      <c r="CZ2378" s="35">
        <v>8.2518653440000009E-3</v>
      </c>
    </row>
    <row r="2379" spans="103:104" x14ac:dyDescent="0.3">
      <c r="CY2379" s="34" t="s">
        <v>3306</v>
      </c>
      <c r="CZ2379" s="35">
        <v>3.8999999999999999E-5</v>
      </c>
    </row>
    <row r="2380" spans="103:104" x14ac:dyDescent="0.3">
      <c r="CY2380" s="34" t="s">
        <v>3307</v>
      </c>
      <c r="CZ2380" s="35">
        <v>6.7960879999999996E-3</v>
      </c>
    </row>
    <row r="2381" spans="103:104" x14ac:dyDescent="0.3">
      <c r="CY2381" s="34" t="s">
        <v>3308</v>
      </c>
      <c r="CZ2381" s="35">
        <v>1.5814344728000002E-2</v>
      </c>
    </row>
    <row r="2382" spans="103:104" x14ac:dyDescent="0.3">
      <c r="CY2382" s="34" t="s">
        <v>3309</v>
      </c>
      <c r="CZ2382" s="35">
        <v>3.9553034560000002E-3</v>
      </c>
    </row>
    <row r="2383" spans="103:104" x14ac:dyDescent="0.3">
      <c r="CY2383" s="34" t="s">
        <v>3310</v>
      </c>
      <c r="CZ2383" s="35">
        <v>8.6808051200000004E-4</v>
      </c>
    </row>
    <row r="2384" spans="103:104" x14ac:dyDescent="0.3">
      <c r="CY2384" s="34" t="s">
        <v>3311</v>
      </c>
      <c r="CZ2384" s="35">
        <v>3.2859877440000003E-3</v>
      </c>
    </row>
    <row r="2385" spans="103:104" x14ac:dyDescent="0.3">
      <c r="CY2385" s="34" t="s">
        <v>3312</v>
      </c>
      <c r="CZ2385" s="35">
        <v>2.949590592E-3</v>
      </c>
    </row>
    <row r="2386" spans="103:104" x14ac:dyDescent="0.3">
      <c r="CY2386" s="34" t="s">
        <v>3313</v>
      </c>
      <c r="CZ2386" s="35">
        <v>5.4001346879999999E-3</v>
      </c>
    </row>
    <row r="2387" spans="103:104" x14ac:dyDescent="0.3">
      <c r="CY2387" s="34" t="s">
        <v>3314</v>
      </c>
      <c r="CZ2387" s="35">
        <v>5.3147317600000001E-3</v>
      </c>
    </row>
    <row r="2388" spans="103:104" x14ac:dyDescent="0.3">
      <c r="CY2388" s="34" t="s">
        <v>3315</v>
      </c>
      <c r="CZ2388" s="35">
        <v>9.2338078560000002E-3</v>
      </c>
    </row>
    <row r="2389" spans="103:104" x14ac:dyDescent="0.3">
      <c r="CY2389" s="34" t="s">
        <v>3316</v>
      </c>
      <c r="CZ2389" s="35">
        <v>3.3358562847999998E-2</v>
      </c>
    </row>
    <row r="2390" spans="103:104" x14ac:dyDescent="0.3">
      <c r="CY2390" s="34" t="s">
        <v>3317</v>
      </c>
      <c r="CZ2390" s="35">
        <v>4.2034051280000007E-3</v>
      </c>
    </row>
    <row r="2391" spans="103:104" x14ac:dyDescent="0.3">
      <c r="CY2391" s="34" t="s">
        <v>3318</v>
      </c>
      <c r="CZ2391" s="35">
        <v>3.9533519999999994E-3</v>
      </c>
    </row>
    <row r="2392" spans="103:104" x14ac:dyDescent="0.3">
      <c r="CY2392" s="34" t="s">
        <v>3319</v>
      </c>
      <c r="CZ2392" s="35">
        <v>2.5544163839999997E-3</v>
      </c>
    </row>
    <row r="2393" spans="103:104" x14ac:dyDescent="0.3">
      <c r="CY2393" s="34" t="s">
        <v>3320</v>
      </c>
      <c r="CZ2393" s="35">
        <v>1.6228973696000005E-2</v>
      </c>
    </row>
    <row r="2394" spans="103:104" x14ac:dyDescent="0.3">
      <c r="CY2394" s="34" t="s">
        <v>3321</v>
      </c>
      <c r="CZ2394" s="35">
        <v>4.2086441279999996E-3</v>
      </c>
    </row>
    <row r="2395" spans="103:104" x14ac:dyDescent="0.3">
      <c r="CY2395" s="34" t="s">
        <v>3322</v>
      </c>
      <c r="CZ2395" s="35">
        <v>9.8914951200000005E-4</v>
      </c>
    </row>
    <row r="2396" spans="103:104" x14ac:dyDescent="0.3">
      <c r="CY2396" s="34" t="s">
        <v>3323</v>
      </c>
      <c r="CZ2396" s="35">
        <v>2.8498219359999999E-3</v>
      </c>
    </row>
    <row r="2397" spans="103:104" x14ac:dyDescent="0.3">
      <c r="CY2397" s="34" t="s">
        <v>3324</v>
      </c>
      <c r="CZ2397" s="35">
        <v>1.6100713199999998E-3</v>
      </c>
    </row>
    <row r="2398" spans="103:104" x14ac:dyDescent="0.3">
      <c r="CY2398" s="34" t="s">
        <v>3325</v>
      </c>
      <c r="CZ2398" s="35">
        <v>1.472341728E-3</v>
      </c>
    </row>
    <row r="2399" spans="103:104" x14ac:dyDescent="0.3">
      <c r="CY2399" s="34" t="s">
        <v>3326</v>
      </c>
      <c r="CZ2399" s="35">
        <v>1.7931145439999999E-3</v>
      </c>
    </row>
    <row r="2400" spans="103:104" x14ac:dyDescent="0.3">
      <c r="CY2400" s="34" t="s">
        <v>3327</v>
      </c>
      <c r="CZ2400" s="35">
        <v>5.1695132159999997E-3</v>
      </c>
    </row>
    <row r="2401" spans="103:104" x14ac:dyDescent="0.3">
      <c r="CY2401" s="34" t="s">
        <v>3328</v>
      </c>
      <c r="CZ2401" s="35">
        <v>1.3901711999999998E-2</v>
      </c>
    </row>
    <row r="2402" spans="103:104" x14ac:dyDescent="0.3">
      <c r="CY2402" s="34" t="s">
        <v>3329</v>
      </c>
      <c r="CZ2402" s="35">
        <v>1.5187934423999998E-2</v>
      </c>
    </row>
    <row r="2403" spans="103:104" x14ac:dyDescent="0.3">
      <c r="CY2403" s="34" t="s">
        <v>3330</v>
      </c>
      <c r="CZ2403" s="35">
        <v>5.8266000000000004E-4</v>
      </c>
    </row>
    <row r="2404" spans="103:104" x14ac:dyDescent="0.3">
      <c r="CY2404" s="34" t="s">
        <v>3331</v>
      </c>
      <c r="CZ2404" s="35">
        <v>1.8390244079999998E-3</v>
      </c>
    </row>
    <row r="2405" spans="103:104" x14ac:dyDescent="0.3">
      <c r="CY2405" s="34" t="s">
        <v>3332</v>
      </c>
      <c r="CZ2405" s="35">
        <v>2.0324795862857142E-3</v>
      </c>
    </row>
    <row r="2406" spans="103:104" x14ac:dyDescent="0.3">
      <c r="CY2406" s="34" t="s">
        <v>3333</v>
      </c>
      <c r="CZ2406" s="35">
        <v>4.9337988666666669E-3</v>
      </c>
    </row>
    <row r="2407" spans="103:104" x14ac:dyDescent="0.3">
      <c r="CY2407" s="34" t="s">
        <v>3334</v>
      </c>
      <c r="CZ2407" s="35">
        <v>1.5599679679999998E-3</v>
      </c>
    </row>
    <row r="2408" spans="103:104" x14ac:dyDescent="0.3">
      <c r="CY2408" s="34" t="s">
        <v>3335</v>
      </c>
      <c r="CZ2408" s="35">
        <v>6.5474661200000004E-3</v>
      </c>
    </row>
    <row r="2409" spans="103:104" x14ac:dyDescent="0.3">
      <c r="CY2409" s="34" t="s">
        <v>3336</v>
      </c>
      <c r="CZ2409" s="35">
        <v>2.4940042400000001E-3</v>
      </c>
    </row>
    <row r="2410" spans="103:104" x14ac:dyDescent="0.3">
      <c r="CY2410" s="34" t="s">
        <v>3337</v>
      </c>
      <c r="CZ2410" s="35">
        <v>1.0570607216000002E-2</v>
      </c>
    </row>
    <row r="2411" spans="103:104" x14ac:dyDescent="0.3">
      <c r="CY2411" s="34" t="s">
        <v>3338</v>
      </c>
      <c r="CZ2411" s="35">
        <v>2.5762952719999999E-3</v>
      </c>
    </row>
    <row r="2412" spans="103:104" x14ac:dyDescent="0.3">
      <c r="CY2412" s="34" t="s">
        <v>3339</v>
      </c>
      <c r="CZ2412" s="35">
        <v>1.6903220000000002E-3</v>
      </c>
    </row>
    <row r="2413" spans="103:104" x14ac:dyDescent="0.3">
      <c r="CY2413" s="34" t="s">
        <v>3340</v>
      </c>
      <c r="CZ2413" s="35">
        <v>4.1312999999999994E-4</v>
      </c>
    </row>
    <row r="2414" spans="103:104" x14ac:dyDescent="0.3">
      <c r="CY2414" s="34" t="s">
        <v>3341</v>
      </c>
      <c r="CZ2414" s="35">
        <v>1.0821305039999999E-3</v>
      </c>
    </row>
    <row r="2415" spans="103:104" x14ac:dyDescent="0.3">
      <c r="CY2415" s="34" t="s">
        <v>3342</v>
      </c>
      <c r="CZ2415" s="35">
        <v>4.7184300799999997E-4</v>
      </c>
    </row>
    <row r="2416" spans="103:104" x14ac:dyDescent="0.3">
      <c r="CY2416" s="34" t="s">
        <v>3343</v>
      </c>
      <c r="CZ2416" s="35">
        <v>6.4721474666666664E-3</v>
      </c>
    </row>
    <row r="2417" spans="103:104" x14ac:dyDescent="0.3">
      <c r="CY2417" s="34" t="s">
        <v>3344</v>
      </c>
      <c r="CZ2417" s="35">
        <v>4.7373164800000003E-4</v>
      </c>
    </row>
    <row r="2418" spans="103:104" x14ac:dyDescent="0.3">
      <c r="CY2418" s="34" t="s">
        <v>3345</v>
      </c>
      <c r="CZ2418" s="35">
        <v>3.0564059480000003E-2</v>
      </c>
    </row>
    <row r="2419" spans="103:104" x14ac:dyDescent="0.3">
      <c r="CY2419" s="34" t="s">
        <v>3346</v>
      </c>
      <c r="CZ2419" s="35">
        <v>5.9724369264705876E-4</v>
      </c>
    </row>
    <row r="2420" spans="103:104" x14ac:dyDescent="0.3">
      <c r="CY2420" s="34" t="s">
        <v>3347</v>
      </c>
      <c r="CZ2420" s="35">
        <v>2.3539089600000001E-3</v>
      </c>
    </row>
    <row r="2421" spans="103:104" x14ac:dyDescent="0.3">
      <c r="CY2421" s="34" t="s">
        <v>3348</v>
      </c>
      <c r="CZ2421" s="35">
        <v>3.0656347475185183E-2</v>
      </c>
    </row>
    <row r="2422" spans="103:104" x14ac:dyDescent="0.3">
      <c r="CY2422" s="34" t="s">
        <v>3349</v>
      </c>
      <c r="CZ2422" s="35">
        <v>0.64580266608000003</v>
      </c>
    </row>
    <row r="2423" spans="103:104" x14ac:dyDescent="0.3">
      <c r="CY2423" s="34" t="s">
        <v>3350</v>
      </c>
      <c r="CZ2423" s="35">
        <v>6.2671051919999999E-4</v>
      </c>
    </row>
    <row r="2424" spans="103:104" x14ac:dyDescent="0.3">
      <c r="CY2424" s="34" t="s">
        <v>3351</v>
      </c>
      <c r="CZ2424" s="35">
        <v>1.8206618144E-2</v>
      </c>
    </row>
    <row r="2425" spans="103:104" x14ac:dyDescent="0.3">
      <c r="CY2425" s="34" t="s">
        <v>3352</v>
      </c>
      <c r="CZ2425" s="35">
        <v>0.44123000000000001</v>
      </c>
    </row>
    <row r="2426" spans="103:104" x14ac:dyDescent="0.3">
      <c r="CY2426" s="34" t="s">
        <v>3353</v>
      </c>
      <c r="CZ2426" s="35">
        <v>4.5210783540000007E-2</v>
      </c>
    </row>
    <row r="2427" spans="103:104" x14ac:dyDescent="0.3">
      <c r="CY2427" s="34" t="s">
        <v>3354</v>
      </c>
      <c r="CZ2427" s="35">
        <v>1.9768570673340001E-2</v>
      </c>
    </row>
    <row r="2428" spans="103:104" x14ac:dyDescent="0.3">
      <c r="CY2428" s="34" t="s">
        <v>3355</v>
      </c>
      <c r="CZ2428" s="35">
        <v>8.7265799519999993E-2</v>
      </c>
    </row>
    <row r="2429" spans="103:104" x14ac:dyDescent="0.3">
      <c r="CY2429" s="34" t="s">
        <v>3356</v>
      </c>
      <c r="CZ2429" s="35">
        <v>5.0581900055937492E-3</v>
      </c>
    </row>
    <row r="2430" spans="103:104" x14ac:dyDescent="0.3">
      <c r="CY2430" s="34" t="s">
        <v>3357</v>
      </c>
      <c r="CZ2430" s="35">
        <v>2.4214563775999998E-2</v>
      </c>
    </row>
    <row r="2431" spans="103:104" x14ac:dyDescent="0.3">
      <c r="CY2431" s="34" t="s">
        <v>3358</v>
      </c>
      <c r="CZ2431" s="35">
        <v>2.119872976E-2</v>
      </c>
    </row>
    <row r="2432" spans="103:104" x14ac:dyDescent="0.3">
      <c r="CY2432" s="34" t="s">
        <v>3359</v>
      </c>
      <c r="CZ2432" s="35">
        <v>2.4930025226308643E-2</v>
      </c>
    </row>
    <row r="2433" spans="103:104" x14ac:dyDescent="0.3">
      <c r="CY2433" s="34" t="s">
        <v>3360</v>
      </c>
      <c r="CZ2433" s="35">
        <v>2.4996867903999999E-2</v>
      </c>
    </row>
    <row r="2434" spans="103:104" x14ac:dyDescent="0.3">
      <c r="CY2434" s="34" t="s">
        <v>3361</v>
      </c>
      <c r="CZ2434" s="35">
        <v>3.4288845199999998E-3</v>
      </c>
    </row>
    <row r="2435" spans="103:104" x14ac:dyDescent="0.3">
      <c r="CY2435" s="34" t="s">
        <v>3362</v>
      </c>
      <c r="CZ2435" s="35">
        <v>2.7301278786450002E-3</v>
      </c>
    </row>
    <row r="2436" spans="103:104" x14ac:dyDescent="0.3">
      <c r="CY2436" s="34" t="s">
        <v>3363</v>
      </c>
      <c r="CZ2436" s="35">
        <v>4.2295527039999996E-2</v>
      </c>
    </row>
    <row r="2437" spans="103:104" x14ac:dyDescent="0.3">
      <c r="CY2437" s="34" t="s">
        <v>3364</v>
      </c>
      <c r="CZ2437" s="35">
        <v>4.6857485999999997E-2</v>
      </c>
    </row>
    <row r="2438" spans="103:104" x14ac:dyDescent="0.3">
      <c r="CY2438" s="34" t="s">
        <v>3365</v>
      </c>
      <c r="CZ2438" s="35">
        <v>4.6857485999999997E-2</v>
      </c>
    </row>
    <row r="2439" spans="103:104" x14ac:dyDescent="0.3">
      <c r="CY2439" s="34" t="s">
        <v>3366</v>
      </c>
      <c r="CZ2439" s="35">
        <v>5.7303694344000004E-2</v>
      </c>
    </row>
    <row r="2440" spans="103:104" x14ac:dyDescent="0.3">
      <c r="CY2440" s="34" t="s">
        <v>3367</v>
      </c>
      <c r="CZ2440" s="35">
        <v>1.2886254826730771E-3</v>
      </c>
    </row>
    <row r="2441" spans="103:104" x14ac:dyDescent="0.3">
      <c r="CY2441" s="34" t="s">
        <v>3368</v>
      </c>
      <c r="CZ2441" s="35">
        <v>1.5030774136E-3</v>
      </c>
    </row>
    <row r="2442" spans="103:104" x14ac:dyDescent="0.3">
      <c r="CY2442" s="34" t="s">
        <v>3369</v>
      </c>
      <c r="CZ2442" s="35">
        <v>1.5920874623999999E-3</v>
      </c>
    </row>
    <row r="2443" spans="103:104" x14ac:dyDescent="0.3">
      <c r="CY2443" s="34" t="s">
        <v>3370</v>
      </c>
      <c r="CZ2443" s="35">
        <v>2.9770998590000004E-3</v>
      </c>
    </row>
    <row r="2444" spans="103:104" x14ac:dyDescent="0.3">
      <c r="CY2444" s="34" t="s">
        <v>3371</v>
      </c>
      <c r="CZ2444" s="35">
        <v>4.8608067071764707E-3</v>
      </c>
    </row>
    <row r="2445" spans="103:104" x14ac:dyDescent="0.3">
      <c r="CY2445" s="34" t="s">
        <v>3372</v>
      </c>
      <c r="CZ2445" s="35">
        <v>1.70863552E-2</v>
      </c>
    </row>
    <row r="2446" spans="103:104" x14ac:dyDescent="0.3">
      <c r="CY2446" s="34" t="s">
        <v>3373</v>
      </c>
      <c r="CZ2446" s="35">
        <v>0.34258447184000002</v>
      </c>
    </row>
    <row r="2447" spans="103:104" x14ac:dyDescent="0.3">
      <c r="CY2447" s="34" t="s">
        <v>3374</v>
      </c>
      <c r="CZ2447" s="35">
        <v>0.49381234623999998</v>
      </c>
    </row>
    <row r="2448" spans="103:104" x14ac:dyDescent="0.3">
      <c r="CY2448" s="34" t="s">
        <v>3375</v>
      </c>
      <c r="CZ2448" s="35">
        <v>3.8999999999999999E-5</v>
      </c>
    </row>
    <row r="2449" spans="103:104" x14ac:dyDescent="0.3">
      <c r="CY2449" s="34" t="s">
        <v>3376</v>
      </c>
      <c r="CZ2449" s="35">
        <v>3.8999999999999999E-5</v>
      </c>
    </row>
    <row r="2450" spans="103:104" x14ac:dyDescent="0.3">
      <c r="CY2450" s="34" t="s">
        <v>3377</v>
      </c>
      <c r="CZ2450" s="35">
        <v>3.8999999999999999E-5</v>
      </c>
    </row>
    <row r="2451" spans="103:104" x14ac:dyDescent="0.3">
      <c r="CY2451" s="34" t="s">
        <v>3378</v>
      </c>
      <c r="CZ2451" s="35">
        <v>3.9000000000000006E-5</v>
      </c>
    </row>
    <row r="2452" spans="103:104" x14ac:dyDescent="0.3">
      <c r="CY2452" s="34" t="s">
        <v>3379</v>
      </c>
      <c r="CZ2452" s="35">
        <v>3.8999999999999999E-5</v>
      </c>
    </row>
    <row r="2453" spans="103:104" x14ac:dyDescent="0.3">
      <c r="CY2453" s="34" t="s">
        <v>3380</v>
      </c>
      <c r="CZ2453" s="35">
        <v>2.0036736000000003E-2</v>
      </c>
    </row>
    <row r="2454" spans="103:104" x14ac:dyDescent="0.3">
      <c r="CY2454" s="34" t="s">
        <v>3381</v>
      </c>
      <c r="CZ2454" s="35">
        <v>4.9687483247999993E-2</v>
      </c>
    </row>
    <row r="2455" spans="103:104" x14ac:dyDescent="0.3">
      <c r="CY2455" s="34" t="s">
        <v>3382</v>
      </c>
      <c r="CZ2455" s="35">
        <v>3.879308576E-3</v>
      </c>
    </row>
    <row r="2456" spans="103:104" x14ac:dyDescent="0.3">
      <c r="CY2456" s="34" t="s">
        <v>3383</v>
      </c>
      <c r="CZ2456" s="35">
        <v>7.1146441600000001E-3</v>
      </c>
    </row>
    <row r="2457" spans="103:104" x14ac:dyDescent="0.3">
      <c r="CY2457" s="34" t="s">
        <v>3384</v>
      </c>
      <c r="CZ2457" s="35">
        <v>6.9270753333333331E-4</v>
      </c>
    </row>
    <row r="2458" spans="103:104" x14ac:dyDescent="0.3">
      <c r="CY2458" s="34" t="s">
        <v>3385</v>
      </c>
      <c r="CZ2458" s="35">
        <v>4.77059232E-4</v>
      </c>
    </row>
    <row r="2459" spans="103:104" x14ac:dyDescent="0.3">
      <c r="CY2459" s="34" t="s">
        <v>3386</v>
      </c>
      <c r="CZ2459" s="35">
        <v>4.8407575180000002E-2</v>
      </c>
    </row>
    <row r="2460" spans="103:104" x14ac:dyDescent="0.3">
      <c r="CY2460" s="34" t="s">
        <v>3387</v>
      </c>
      <c r="CZ2460" s="35">
        <v>9.1638104584036137E-2</v>
      </c>
    </row>
    <row r="2461" spans="103:104" x14ac:dyDescent="0.3">
      <c r="CY2461" s="34" t="s">
        <v>3388</v>
      </c>
      <c r="CZ2461" s="35">
        <v>6.1700328767999996E-2</v>
      </c>
    </row>
    <row r="2462" spans="103:104" x14ac:dyDescent="0.3">
      <c r="CY2462" s="34" t="s">
        <v>3389</v>
      </c>
      <c r="CZ2462" s="35">
        <v>2.9465386080000005E-3</v>
      </c>
    </row>
    <row r="2463" spans="103:104" x14ac:dyDescent="0.3">
      <c r="CY2463" s="34" t="s">
        <v>3390</v>
      </c>
      <c r="CZ2463" s="35">
        <v>6.3822485999999998E-2</v>
      </c>
    </row>
    <row r="2464" spans="103:104" x14ac:dyDescent="0.3">
      <c r="CY2464" s="34" t="s">
        <v>3391</v>
      </c>
      <c r="CZ2464" s="35">
        <v>8.8969128560000017E-3</v>
      </c>
    </row>
    <row r="2465" spans="103:104" x14ac:dyDescent="0.3">
      <c r="CY2465" s="34" t="s">
        <v>3392</v>
      </c>
      <c r="CZ2465" s="35">
        <v>2.0467189600000002E-4</v>
      </c>
    </row>
    <row r="2466" spans="103:104" x14ac:dyDescent="0.3">
      <c r="CY2466" s="34" t="s">
        <v>3393</v>
      </c>
      <c r="CZ2466" s="35">
        <v>3.8750279359999998E-3</v>
      </c>
    </row>
    <row r="2467" spans="103:104" x14ac:dyDescent="0.3">
      <c r="CY2467" s="34" t="s">
        <v>3394</v>
      </c>
      <c r="CZ2467" s="35">
        <v>5.387814536190476E-3</v>
      </c>
    </row>
    <row r="2468" spans="103:104" x14ac:dyDescent="0.3">
      <c r="CY2468" s="34" t="s">
        <v>3395</v>
      </c>
      <c r="CZ2468" s="35">
        <v>4.0273442560000003E-3</v>
      </c>
    </row>
    <row r="2469" spans="103:104" x14ac:dyDescent="0.3">
      <c r="CY2469" s="34" t="s">
        <v>3396</v>
      </c>
      <c r="CZ2469" s="35">
        <v>3.0704044800000001E-4</v>
      </c>
    </row>
    <row r="2470" spans="103:104" x14ac:dyDescent="0.3">
      <c r="CY2470" s="34" t="s">
        <v>3397</v>
      </c>
      <c r="CZ2470" s="35">
        <v>4.0326167439999998E-3</v>
      </c>
    </row>
    <row r="2471" spans="103:104" x14ac:dyDescent="0.3">
      <c r="CY2471" s="34" t="s">
        <v>3398</v>
      </c>
      <c r="CZ2471" s="35">
        <v>1.31380736E-3</v>
      </c>
    </row>
    <row r="2472" spans="103:104" x14ac:dyDescent="0.3">
      <c r="CY2472" s="34" t="s">
        <v>3399</v>
      </c>
      <c r="CZ2472" s="35">
        <v>2.8054432E-3</v>
      </c>
    </row>
    <row r="2473" spans="103:104" x14ac:dyDescent="0.3">
      <c r="CY2473" s="34" t="s">
        <v>3400</v>
      </c>
      <c r="CZ2473" s="35">
        <v>1.5689540679999997E-3</v>
      </c>
    </row>
    <row r="2474" spans="103:104" x14ac:dyDescent="0.3">
      <c r="CY2474" s="34" t="s">
        <v>3401</v>
      </c>
      <c r="CZ2474" s="35">
        <v>1.9833067468181817E-3</v>
      </c>
    </row>
    <row r="2475" spans="103:104" x14ac:dyDescent="0.3">
      <c r="CY2475" s="34" t="s">
        <v>3402</v>
      </c>
      <c r="CZ2475" s="35">
        <v>0.61935157439999999</v>
      </c>
    </row>
    <row r="2476" spans="103:104" x14ac:dyDescent="0.3">
      <c r="CY2476" s="34" t="s">
        <v>3403</v>
      </c>
      <c r="CZ2476" s="35">
        <v>3.8330160959999999E-3</v>
      </c>
    </row>
    <row r="2477" spans="103:104" x14ac:dyDescent="0.3">
      <c r="CY2477" s="34" t="s">
        <v>3404</v>
      </c>
      <c r="CZ2477" s="35">
        <v>0.23658297473684212</v>
      </c>
    </row>
    <row r="2478" spans="103:104" x14ac:dyDescent="0.3">
      <c r="CY2478" s="34" t="s">
        <v>3405</v>
      </c>
      <c r="CZ2478" s="35">
        <v>3.8999999999999999E-5</v>
      </c>
    </row>
    <row r="2479" spans="103:104" x14ac:dyDescent="0.3">
      <c r="CY2479" s="34" t="s">
        <v>3406</v>
      </c>
      <c r="CZ2479" s="35">
        <v>3.8999999999999999E-5</v>
      </c>
    </row>
    <row r="2480" spans="103:104" x14ac:dyDescent="0.3">
      <c r="CY2480" s="34" t="s">
        <v>3407</v>
      </c>
      <c r="CZ2480" s="35">
        <v>1.7010909759999999E-3</v>
      </c>
    </row>
    <row r="2481" spans="103:104" x14ac:dyDescent="0.3">
      <c r="CY2481" s="34" t="s">
        <v>3408</v>
      </c>
      <c r="CZ2481" s="35">
        <v>0.14900176401599999</v>
      </c>
    </row>
    <row r="2482" spans="103:104" x14ac:dyDescent="0.3">
      <c r="CY2482" s="34" t="s">
        <v>3409</v>
      </c>
      <c r="CZ2482" s="35">
        <v>5.3751075987586215E-4</v>
      </c>
    </row>
    <row r="2483" spans="103:104" x14ac:dyDescent="0.3">
      <c r="CY2483" s="34" t="s">
        <v>3410</v>
      </c>
      <c r="CZ2483" s="35">
        <v>2.4900928461052633E-3</v>
      </c>
    </row>
    <row r="2484" spans="103:104" x14ac:dyDescent="0.3">
      <c r="CY2484" s="34" t="s">
        <v>3411</v>
      </c>
      <c r="CZ2484" s="35">
        <v>3.2838306591999995E-2</v>
      </c>
    </row>
    <row r="2485" spans="103:104" x14ac:dyDescent="0.3">
      <c r="CY2485" s="34" t="s">
        <v>3412</v>
      </c>
      <c r="CZ2485" s="35">
        <v>2.0339844533999998E-3</v>
      </c>
    </row>
    <row r="2486" spans="103:104" x14ac:dyDescent="0.3">
      <c r="CY2486" s="34" t="s">
        <v>3413</v>
      </c>
      <c r="CZ2486" s="35">
        <v>5.0769536000000004E-2</v>
      </c>
    </row>
    <row r="2487" spans="103:104" x14ac:dyDescent="0.3">
      <c r="CY2487" s="34" t="s">
        <v>3414</v>
      </c>
      <c r="CZ2487" s="35">
        <v>2.4262279999999999E-3</v>
      </c>
    </row>
    <row r="2488" spans="103:104" x14ac:dyDescent="0.3">
      <c r="CY2488" s="34" t="s">
        <v>3415</v>
      </c>
      <c r="CZ2488" s="35">
        <v>8.3179222464000002E-2</v>
      </c>
    </row>
    <row r="2489" spans="103:104" x14ac:dyDescent="0.3">
      <c r="CY2489" s="34" t="s">
        <v>3416</v>
      </c>
      <c r="CZ2489" s="35">
        <v>0.39527745503999995</v>
      </c>
    </row>
    <row r="2490" spans="103:104" x14ac:dyDescent="0.3">
      <c r="CY2490" s="34" t="s">
        <v>3417</v>
      </c>
      <c r="CZ2490" s="35">
        <v>1.9769439999999999E-2</v>
      </c>
    </row>
    <row r="2491" spans="103:104" x14ac:dyDescent="0.3">
      <c r="CY2491" s="34" t="s">
        <v>3418</v>
      </c>
      <c r="CZ2491" s="35">
        <v>1.9769439999999999E-2</v>
      </c>
    </row>
    <row r="2492" spans="103:104" x14ac:dyDescent="0.3">
      <c r="CY2492" s="34" t="s">
        <v>3419</v>
      </c>
      <c r="CZ2492" s="35">
        <v>2.8271799648000001E-2</v>
      </c>
    </row>
    <row r="2493" spans="103:104" x14ac:dyDescent="0.3">
      <c r="CY2493" s="34" t="s">
        <v>3420</v>
      </c>
      <c r="CZ2493" s="35">
        <v>2.2514681280000003E-3</v>
      </c>
    </row>
    <row r="2494" spans="103:104" x14ac:dyDescent="0.3">
      <c r="CY2494" s="34" t="s">
        <v>3421</v>
      </c>
      <c r="CZ2494" s="35">
        <v>6.9452305103999995E-2</v>
      </c>
    </row>
    <row r="2495" spans="103:104" x14ac:dyDescent="0.3">
      <c r="CY2495" s="34" t="s">
        <v>3422</v>
      </c>
      <c r="CZ2495" s="35">
        <v>0.25832703000000001</v>
      </c>
    </row>
    <row r="2496" spans="103:104" x14ac:dyDescent="0.3">
      <c r="CY2496" s="34" t="s">
        <v>3423</v>
      </c>
      <c r="CZ2496" s="35">
        <v>1.1983256799999998E-3</v>
      </c>
    </row>
    <row r="2497" spans="103:104" x14ac:dyDescent="0.3">
      <c r="CY2497" s="34" t="s">
        <v>3424</v>
      </c>
      <c r="CZ2497" s="35">
        <v>2.6497083392000003E-2</v>
      </c>
    </row>
    <row r="2498" spans="103:104" x14ac:dyDescent="0.3">
      <c r="CY2498" s="34" t="s">
        <v>3425</v>
      </c>
      <c r="CZ2498" s="35">
        <v>5.6399389920000001E-3</v>
      </c>
    </row>
    <row r="2499" spans="103:104" x14ac:dyDescent="0.3">
      <c r="CY2499" s="34" t="s">
        <v>3426</v>
      </c>
      <c r="CZ2499" s="35">
        <v>0.11047433701120001</v>
      </c>
    </row>
    <row r="2500" spans="103:104" x14ac:dyDescent="0.3">
      <c r="CY2500" s="34" t="s">
        <v>3427</v>
      </c>
      <c r="CZ2500" s="35">
        <v>1.4079705535999999E-2</v>
      </c>
    </row>
    <row r="2501" spans="103:104" x14ac:dyDescent="0.3">
      <c r="CY2501" s="34" t="s">
        <v>3428</v>
      </c>
      <c r="CZ2501" s="35">
        <v>3.9043680000000001E-3</v>
      </c>
    </row>
    <row r="2502" spans="103:104" x14ac:dyDescent="0.3">
      <c r="CY2502" s="34" t="s">
        <v>3429</v>
      </c>
      <c r="CZ2502" s="35">
        <v>5.2638861600000006E-4</v>
      </c>
    </row>
    <row r="2503" spans="103:104" x14ac:dyDescent="0.3">
      <c r="CY2503" s="34" t="s">
        <v>3430</v>
      </c>
      <c r="CZ2503" s="35">
        <v>1.255603128E-3</v>
      </c>
    </row>
    <row r="2504" spans="103:104" x14ac:dyDescent="0.3">
      <c r="CY2504" s="34" t="s">
        <v>3431</v>
      </c>
      <c r="CZ2504" s="35">
        <v>3.2008869359999997E-3</v>
      </c>
    </row>
    <row r="2505" spans="103:104" x14ac:dyDescent="0.3">
      <c r="CY2505" s="34" t="s">
        <v>3432</v>
      </c>
      <c r="CZ2505" s="35">
        <v>2.6955619128000003E-2</v>
      </c>
    </row>
    <row r="2506" spans="103:104" x14ac:dyDescent="0.3">
      <c r="CY2506" s="34" t="s">
        <v>3433</v>
      </c>
      <c r="CZ2506" s="35">
        <v>1.0249693376000001E-2</v>
      </c>
    </row>
    <row r="2507" spans="103:104" x14ac:dyDescent="0.3">
      <c r="CY2507" s="34" t="s">
        <v>3434</v>
      </c>
      <c r="CZ2507" s="35">
        <v>1.9040770027999997E-2</v>
      </c>
    </row>
    <row r="2508" spans="103:104" x14ac:dyDescent="0.3">
      <c r="CY2508" s="34" t="s">
        <v>3435</v>
      </c>
      <c r="CZ2508" s="35">
        <v>4.6406436751999999E-2</v>
      </c>
    </row>
    <row r="2509" spans="103:104" x14ac:dyDescent="0.3">
      <c r="CY2509" s="34" t="s">
        <v>3436</v>
      </c>
      <c r="CZ2509" s="35">
        <v>4.2118955175000005E-3</v>
      </c>
    </row>
    <row r="2510" spans="103:104" x14ac:dyDescent="0.3">
      <c r="CY2510" s="34" t="s">
        <v>3437</v>
      </c>
      <c r="CZ2510" s="35">
        <v>1.584842112E-4</v>
      </c>
    </row>
    <row r="2511" spans="103:104" x14ac:dyDescent="0.3">
      <c r="CY2511" s="34" t="s">
        <v>3438</v>
      </c>
      <c r="CZ2511" s="35">
        <v>7.9372797039999991E-3</v>
      </c>
    </row>
    <row r="2512" spans="103:104" x14ac:dyDescent="0.3">
      <c r="CY2512" s="34" t="s">
        <v>3439</v>
      </c>
      <c r="CZ2512" s="35">
        <v>6.9452305103999995E-2</v>
      </c>
    </row>
    <row r="2513" spans="103:104" x14ac:dyDescent="0.3">
      <c r="CY2513" s="34" t="s">
        <v>3440</v>
      </c>
      <c r="CZ2513" s="35">
        <v>8.960094362076924E-3</v>
      </c>
    </row>
    <row r="2514" spans="103:104" x14ac:dyDescent="0.3">
      <c r="CY2514" s="34" t="s">
        <v>3441</v>
      </c>
      <c r="CZ2514" s="35">
        <v>0.35561240208000006</v>
      </c>
    </row>
    <row r="2515" spans="103:104" x14ac:dyDescent="0.3">
      <c r="CY2515" s="34" t="s">
        <v>3442</v>
      </c>
      <c r="CZ2515" s="35">
        <v>3.1573668800000004E-3</v>
      </c>
    </row>
    <row r="2516" spans="103:104" x14ac:dyDescent="0.3">
      <c r="CY2516" s="34" t="s">
        <v>3443</v>
      </c>
      <c r="CZ2516" s="35">
        <v>4.3316796340000006E-4</v>
      </c>
    </row>
    <row r="2517" spans="103:104" x14ac:dyDescent="0.3">
      <c r="CY2517" s="34" t="s">
        <v>3444</v>
      </c>
      <c r="CZ2517" s="35">
        <v>2.6537804528000003E-2</v>
      </c>
    </row>
    <row r="2518" spans="103:104" x14ac:dyDescent="0.3">
      <c r="CY2518" s="34" t="s">
        <v>3445</v>
      </c>
      <c r="CZ2518" s="35">
        <v>2.0794597408E-2</v>
      </c>
    </row>
    <row r="2519" spans="103:104" x14ac:dyDescent="0.3">
      <c r="CY2519" s="34" t="s">
        <v>3446</v>
      </c>
      <c r="CZ2519" s="35">
        <v>5.7591981199999996E-3</v>
      </c>
    </row>
    <row r="2520" spans="103:104" x14ac:dyDescent="0.3">
      <c r="CY2520" s="34" t="s">
        <v>3447</v>
      </c>
      <c r="CZ2520" s="35">
        <v>1.2961230450599999E-2</v>
      </c>
    </row>
    <row r="2521" spans="103:104" x14ac:dyDescent="0.3">
      <c r="CY2521" s="34" t="s">
        <v>3448</v>
      </c>
      <c r="CZ2521" s="35">
        <v>1.0220693600000001E-3</v>
      </c>
    </row>
    <row r="2522" spans="103:104" x14ac:dyDescent="0.3">
      <c r="CY2522" s="34" t="s">
        <v>3449</v>
      </c>
      <c r="CZ2522" s="35">
        <v>5.9535037310344836E-3</v>
      </c>
    </row>
    <row r="2523" spans="103:104" x14ac:dyDescent="0.3">
      <c r="CY2523" s="34" t="s">
        <v>3450</v>
      </c>
      <c r="CZ2523" s="35">
        <v>3.8999999999999999E-5</v>
      </c>
    </row>
    <row r="2524" spans="103:104" x14ac:dyDescent="0.3">
      <c r="CY2524" s="34" t="s">
        <v>3451</v>
      </c>
      <c r="CZ2524" s="35">
        <v>5.1875262400000004E-4</v>
      </c>
    </row>
    <row r="2525" spans="103:104" x14ac:dyDescent="0.3">
      <c r="CY2525" s="34" t="s">
        <v>3452</v>
      </c>
      <c r="CZ2525" s="35">
        <v>5.6909288840000004E-3</v>
      </c>
    </row>
    <row r="2526" spans="103:104" x14ac:dyDescent="0.3">
      <c r="CY2526" s="34" t="s">
        <v>3453</v>
      </c>
      <c r="CZ2526" s="35">
        <v>3.8999999999999999E-5</v>
      </c>
    </row>
    <row r="2527" spans="103:104" x14ac:dyDescent="0.3">
      <c r="CY2527" s="34" t="s">
        <v>3454</v>
      </c>
      <c r="CZ2527" s="35">
        <v>3.8999999999999999E-5</v>
      </c>
    </row>
    <row r="2528" spans="103:104" x14ac:dyDescent="0.3">
      <c r="CY2528" s="34" t="s">
        <v>3455</v>
      </c>
      <c r="CZ2528" s="35">
        <v>4.6505440000000004E-4</v>
      </c>
    </row>
    <row r="2529" spans="103:104" x14ac:dyDescent="0.3">
      <c r="CY2529" s="34" t="s">
        <v>3456</v>
      </c>
      <c r="CZ2529" s="35">
        <v>6.2943457771428577E-3</v>
      </c>
    </row>
    <row r="2530" spans="103:104" x14ac:dyDescent="0.3">
      <c r="CY2530" s="34" t="s">
        <v>3457</v>
      </c>
      <c r="CZ2530" s="35">
        <v>3.8999999999999999E-5</v>
      </c>
    </row>
    <row r="2531" spans="103:104" x14ac:dyDescent="0.3">
      <c r="CY2531" s="34" t="s">
        <v>3458</v>
      </c>
      <c r="CZ2531" s="35">
        <v>3.9000000000000006E-5</v>
      </c>
    </row>
    <row r="2532" spans="103:104" x14ac:dyDescent="0.3">
      <c r="CY2532" s="34" t="s">
        <v>3459</v>
      </c>
      <c r="CZ2532" s="35">
        <v>3.8999999999999999E-5</v>
      </c>
    </row>
    <row r="2533" spans="103:104" x14ac:dyDescent="0.3">
      <c r="CY2533" s="34" t="s">
        <v>3460</v>
      </c>
      <c r="CZ2533" s="35">
        <v>2.3519999999999998E-5</v>
      </c>
    </row>
    <row r="2534" spans="103:104" x14ac:dyDescent="0.3">
      <c r="CY2534" s="34" t="s">
        <v>3461</v>
      </c>
      <c r="CZ2534" s="35">
        <v>3.8999999999999999E-5</v>
      </c>
    </row>
    <row r="2535" spans="103:104" x14ac:dyDescent="0.3">
      <c r="CY2535" s="34" t="s">
        <v>3462</v>
      </c>
      <c r="CZ2535" s="35">
        <v>3.8999999999999999E-5</v>
      </c>
    </row>
    <row r="2536" spans="103:104" x14ac:dyDescent="0.3">
      <c r="CY2536" s="34" t="s">
        <v>3463</v>
      </c>
      <c r="CZ2536" s="35">
        <v>3.8999999999999999E-5</v>
      </c>
    </row>
    <row r="2537" spans="103:104" x14ac:dyDescent="0.3">
      <c r="CY2537" s="34" t="s">
        <v>3464</v>
      </c>
      <c r="CZ2537" s="35">
        <v>3.8999999999999999E-5</v>
      </c>
    </row>
    <row r="2538" spans="103:104" x14ac:dyDescent="0.3">
      <c r="CY2538" s="34" t="s">
        <v>3465</v>
      </c>
      <c r="CZ2538" s="35">
        <v>3.8999999999999999E-5</v>
      </c>
    </row>
    <row r="2539" spans="103:104" x14ac:dyDescent="0.3">
      <c r="CY2539" s="34" t="s">
        <v>3466</v>
      </c>
      <c r="CZ2539" s="35">
        <v>1.1050000000000001E-3</v>
      </c>
    </row>
    <row r="2540" spans="103:104" x14ac:dyDescent="0.3">
      <c r="CY2540" s="34" t="s">
        <v>3467</v>
      </c>
      <c r="CZ2540" s="35">
        <v>3.8999999999999999E-5</v>
      </c>
    </row>
    <row r="2541" spans="103:104" x14ac:dyDescent="0.3">
      <c r="CY2541" s="34" t="s">
        <v>3468</v>
      </c>
      <c r="CZ2541" s="35">
        <v>3.8999999999999999E-5</v>
      </c>
    </row>
    <row r="2542" spans="103:104" x14ac:dyDescent="0.3">
      <c r="CY2542" s="34" t="s">
        <v>3469</v>
      </c>
      <c r="CZ2542" s="35">
        <v>3.8999999999999999E-5</v>
      </c>
    </row>
    <row r="2543" spans="103:104" x14ac:dyDescent="0.3">
      <c r="CY2543" s="34" t="s">
        <v>3470</v>
      </c>
      <c r="CZ2543" s="35">
        <v>3.8999999999999999E-5</v>
      </c>
    </row>
    <row r="2544" spans="103:104" x14ac:dyDescent="0.3">
      <c r="CY2544" s="34" t="s">
        <v>3471</v>
      </c>
      <c r="CZ2544" s="35">
        <v>3.8999999999999999E-5</v>
      </c>
    </row>
    <row r="2545" spans="103:104" x14ac:dyDescent="0.3">
      <c r="CY2545" s="34" t="s">
        <v>3472</v>
      </c>
      <c r="CZ2545" s="35">
        <v>3.8999999999999999E-5</v>
      </c>
    </row>
    <row r="2546" spans="103:104" x14ac:dyDescent="0.3">
      <c r="CY2546" s="34" t="s">
        <v>3473</v>
      </c>
      <c r="CZ2546" s="35">
        <v>3.8999999999999999E-5</v>
      </c>
    </row>
    <row r="2547" spans="103:104" x14ac:dyDescent="0.3">
      <c r="CY2547" s="34" t="s">
        <v>3474</v>
      </c>
      <c r="CZ2547" s="35">
        <v>3.8999999999999999E-5</v>
      </c>
    </row>
    <row r="2548" spans="103:104" x14ac:dyDescent="0.3">
      <c r="CY2548" s="34" t="s">
        <v>3475</v>
      </c>
      <c r="CZ2548" s="35">
        <v>3.8999999999999999E-5</v>
      </c>
    </row>
    <row r="2549" spans="103:104" x14ac:dyDescent="0.3">
      <c r="CY2549" s="34" t="s">
        <v>3476</v>
      </c>
      <c r="CZ2549" s="35">
        <v>3.8999999999999999E-5</v>
      </c>
    </row>
    <row r="2550" spans="103:104" x14ac:dyDescent="0.3">
      <c r="CY2550" s="34" t="s">
        <v>3477</v>
      </c>
      <c r="CZ2550" s="35">
        <v>3.8999999999999999E-5</v>
      </c>
    </row>
    <row r="2551" spans="103:104" x14ac:dyDescent="0.3">
      <c r="CY2551" s="34" t="s">
        <v>3478</v>
      </c>
      <c r="CZ2551" s="35">
        <v>3.8999999999999999E-5</v>
      </c>
    </row>
    <row r="2552" spans="103:104" x14ac:dyDescent="0.3">
      <c r="CY2552" s="34" t="s">
        <v>3479</v>
      </c>
      <c r="CZ2552" s="35">
        <v>3.8999999999999999E-5</v>
      </c>
    </row>
    <row r="2553" spans="103:104" x14ac:dyDescent="0.3">
      <c r="CY2553" s="34" t="s">
        <v>3480</v>
      </c>
      <c r="CZ2553" s="35">
        <v>3.8999999999999999E-5</v>
      </c>
    </row>
    <row r="2554" spans="103:104" x14ac:dyDescent="0.3">
      <c r="CY2554" s="34" t="s">
        <v>3481</v>
      </c>
      <c r="CZ2554" s="35">
        <v>3.8999999999999999E-5</v>
      </c>
    </row>
    <row r="2555" spans="103:104" x14ac:dyDescent="0.3">
      <c r="CY2555" s="34" t="s">
        <v>3482</v>
      </c>
      <c r="CZ2555" s="35">
        <v>2.9818141184000002E-2</v>
      </c>
    </row>
    <row r="2556" spans="103:104" x14ac:dyDescent="0.3">
      <c r="CY2556" s="34" t="s">
        <v>3483</v>
      </c>
      <c r="CZ2556" s="35">
        <v>2.0512830000000001E-3</v>
      </c>
    </row>
    <row r="2557" spans="103:104" x14ac:dyDescent="0.3">
      <c r="CY2557" s="34" t="s">
        <v>3484</v>
      </c>
      <c r="CZ2557" s="35">
        <v>3.0564059487999996E-2</v>
      </c>
    </row>
    <row r="2558" spans="103:104" x14ac:dyDescent="0.3">
      <c r="CY2558" s="34" t="s">
        <v>3485</v>
      </c>
      <c r="CZ2558" s="35">
        <v>1.0584935839999999E-2</v>
      </c>
    </row>
    <row r="2559" spans="103:104" x14ac:dyDescent="0.3">
      <c r="CY2559" s="34" t="s">
        <v>3486</v>
      </c>
      <c r="CZ2559" s="35">
        <v>3.9595999999999999E-2</v>
      </c>
    </row>
    <row r="2560" spans="103:104" x14ac:dyDescent="0.3">
      <c r="CY2560" s="34" t="s">
        <v>3487</v>
      </c>
      <c r="CZ2560" s="35">
        <v>1.946576736E-2</v>
      </c>
    </row>
    <row r="2561" spans="103:104" x14ac:dyDescent="0.3">
      <c r="CY2561" s="34" t="s">
        <v>3488</v>
      </c>
      <c r="CZ2561" s="35">
        <v>1.946576736E-2</v>
      </c>
    </row>
    <row r="2562" spans="103:104" x14ac:dyDescent="0.3">
      <c r="CY2562" s="34" t="s">
        <v>3489</v>
      </c>
      <c r="CZ2562" s="35">
        <v>0.45402471296000002</v>
      </c>
    </row>
    <row r="2563" spans="103:104" x14ac:dyDescent="0.3">
      <c r="CY2563" s="34" t="s">
        <v>3490</v>
      </c>
      <c r="CZ2563" s="35">
        <v>0.79977252576000002</v>
      </c>
    </row>
    <row r="2564" spans="103:104" x14ac:dyDescent="0.3">
      <c r="CY2564" s="34" t="s">
        <v>3491</v>
      </c>
      <c r="CZ2564" s="35">
        <v>0.94048107920000013</v>
      </c>
    </row>
    <row r="2565" spans="103:104" x14ac:dyDescent="0.3">
      <c r="CY2565" s="34" t="s">
        <v>3492</v>
      </c>
      <c r="CZ2565" s="35">
        <v>1.0625688696000001E-3</v>
      </c>
    </row>
    <row r="2566" spans="103:104" x14ac:dyDescent="0.3">
      <c r="CY2566" s="34" t="s">
        <v>3493</v>
      </c>
      <c r="CZ2566" s="35">
        <v>3.7514569040000001E-2</v>
      </c>
    </row>
    <row r="2567" spans="103:104" x14ac:dyDescent="0.3">
      <c r="CY2567" s="34" t="s">
        <v>3494</v>
      </c>
      <c r="CZ2567" s="35">
        <v>3.9217462959999998E-2</v>
      </c>
    </row>
    <row r="2568" spans="103:104" x14ac:dyDescent="0.3">
      <c r="CY2568" s="34" t="s">
        <v>3495</v>
      </c>
      <c r="CZ2568" s="35">
        <v>3.8999999999999999E-5</v>
      </c>
    </row>
    <row r="2569" spans="103:104" x14ac:dyDescent="0.3">
      <c r="CY2569" s="34" t="s">
        <v>3496</v>
      </c>
      <c r="CZ2569" s="35">
        <v>9.1722305152E-2</v>
      </c>
    </row>
    <row r="2570" spans="103:104" x14ac:dyDescent="0.3">
      <c r="CY2570" s="34" t="s">
        <v>3497</v>
      </c>
      <c r="CZ2570" s="35">
        <v>0.1274110443097643</v>
      </c>
    </row>
    <row r="2571" spans="103:104" x14ac:dyDescent="0.3">
      <c r="CY2571" s="34" t="s">
        <v>3498</v>
      </c>
      <c r="CZ2571" s="35">
        <v>9.0567666880000015E-3</v>
      </c>
    </row>
    <row r="2572" spans="103:104" x14ac:dyDescent="0.3">
      <c r="CY2572" s="34" t="s">
        <v>3499</v>
      </c>
      <c r="CZ2572" s="35">
        <v>7.6032465599999996E-3</v>
      </c>
    </row>
    <row r="2573" spans="103:104" x14ac:dyDescent="0.3">
      <c r="CY2573" s="34" t="s">
        <v>3500</v>
      </c>
      <c r="CZ2573" s="35">
        <v>3.9388744416000002E-2</v>
      </c>
    </row>
    <row r="2574" spans="103:104" x14ac:dyDescent="0.3">
      <c r="CY2574" s="34" t="s">
        <v>3501</v>
      </c>
      <c r="CZ2574" s="35">
        <v>3.1346435127999998E-2</v>
      </c>
    </row>
    <row r="2575" spans="103:104" x14ac:dyDescent="0.3">
      <c r="CY2575" s="34" t="s">
        <v>3502</v>
      </c>
      <c r="CZ2575" s="35">
        <v>1.1360053520000002E-3</v>
      </c>
    </row>
    <row r="2576" spans="103:104" x14ac:dyDescent="0.3">
      <c r="CY2576" s="34" t="s">
        <v>3503</v>
      </c>
      <c r="CZ2576" s="35">
        <v>2.1186781408E-2</v>
      </c>
    </row>
    <row r="2577" spans="103:104" x14ac:dyDescent="0.3">
      <c r="CY2577" s="34" t="s">
        <v>3504</v>
      </c>
      <c r="CZ2577" s="35">
        <v>5.9494967999999999E-4</v>
      </c>
    </row>
    <row r="2578" spans="103:104" x14ac:dyDescent="0.3">
      <c r="CY2578" s="34" t="s">
        <v>3505</v>
      </c>
      <c r="CZ2578" s="35">
        <v>8.7019660000000019E-3</v>
      </c>
    </row>
    <row r="2579" spans="103:104" x14ac:dyDescent="0.3">
      <c r="CY2579" s="34" t="s">
        <v>3506</v>
      </c>
      <c r="CZ2579" s="35">
        <v>1.5527905237333332E-2</v>
      </c>
    </row>
    <row r="2580" spans="103:104" x14ac:dyDescent="0.3">
      <c r="CY2580" s="34" t="s">
        <v>3507</v>
      </c>
      <c r="CZ2580" s="35">
        <v>1.1793711072000002E-2</v>
      </c>
    </row>
    <row r="2581" spans="103:104" x14ac:dyDescent="0.3">
      <c r="CY2581" s="34" t="s">
        <v>3508</v>
      </c>
      <c r="CZ2581" s="35">
        <v>1.3837427552000002E-2</v>
      </c>
    </row>
    <row r="2582" spans="103:104" x14ac:dyDescent="0.3">
      <c r="CY2582" s="34" t="s">
        <v>3509</v>
      </c>
      <c r="CZ2582" s="35">
        <v>1.5027400960000003E-2</v>
      </c>
    </row>
    <row r="2583" spans="103:104" x14ac:dyDescent="0.3">
      <c r="CY2583" s="34" t="s">
        <v>3510</v>
      </c>
      <c r="CZ2583" s="35">
        <v>5.0137659360000005E-3</v>
      </c>
    </row>
    <row r="2584" spans="103:104" x14ac:dyDescent="0.3">
      <c r="CY2584" s="34" t="s">
        <v>3511</v>
      </c>
      <c r="CZ2584" s="35">
        <v>5.0355712519999998E-3</v>
      </c>
    </row>
    <row r="2585" spans="103:104" x14ac:dyDescent="0.3">
      <c r="CY2585" s="34" t="s">
        <v>3512</v>
      </c>
      <c r="CZ2585" s="35">
        <v>3.6868657179999998E-3</v>
      </c>
    </row>
    <row r="2586" spans="103:104" x14ac:dyDescent="0.3">
      <c r="CY2586" s="34" t="s">
        <v>3513</v>
      </c>
      <c r="CZ2586" s="35">
        <v>5.1390868880000003E-2</v>
      </c>
    </row>
    <row r="2587" spans="103:104" x14ac:dyDescent="0.3">
      <c r="CY2587" s="34" t="s">
        <v>3514</v>
      </c>
      <c r="CZ2587" s="35">
        <v>2.1495220000000001E-3</v>
      </c>
    </row>
    <row r="2588" spans="103:104" x14ac:dyDescent="0.3">
      <c r="CY2588" s="34" t="s">
        <v>3515</v>
      </c>
      <c r="CZ2588" s="35">
        <v>5.2190567E-2</v>
      </c>
    </row>
    <row r="2589" spans="103:104" x14ac:dyDescent="0.3">
      <c r="CY2589" s="34" t="s">
        <v>3516</v>
      </c>
      <c r="CZ2589" s="35">
        <v>5.8948838613636365E-4</v>
      </c>
    </row>
    <row r="2590" spans="103:104" x14ac:dyDescent="0.3">
      <c r="CY2590" s="34" t="s">
        <v>3517</v>
      </c>
      <c r="CZ2590" s="35">
        <v>1.0470740936E-3</v>
      </c>
    </row>
    <row r="2591" spans="103:104" x14ac:dyDescent="0.3">
      <c r="CY2591" s="34" t="s">
        <v>3518</v>
      </c>
      <c r="CZ2591" s="35">
        <v>1.30476843776E-2</v>
      </c>
    </row>
    <row r="2592" spans="103:104" x14ac:dyDescent="0.3">
      <c r="CY2592" s="34" t="s">
        <v>3519</v>
      </c>
      <c r="CZ2592" s="35">
        <v>3.1442387263999998E-3</v>
      </c>
    </row>
    <row r="2593" spans="103:104" x14ac:dyDescent="0.3">
      <c r="CY2593" s="34" t="s">
        <v>3520</v>
      </c>
      <c r="CZ2593" s="35">
        <v>6.6339431999999999E-3</v>
      </c>
    </row>
    <row r="2594" spans="103:104" x14ac:dyDescent="0.3">
      <c r="CY2594" s="34" t="s">
        <v>3521</v>
      </c>
      <c r="CZ2594" s="35">
        <v>1.1093031573333335E-3</v>
      </c>
    </row>
    <row r="2595" spans="103:104" x14ac:dyDescent="0.3">
      <c r="CY2595" s="34" t="s">
        <v>3522</v>
      </c>
      <c r="CZ2595" s="35">
        <v>1.1093032239999998E-3</v>
      </c>
    </row>
    <row r="2596" spans="103:104" x14ac:dyDescent="0.3">
      <c r="CY2596" s="34" t="s">
        <v>3523</v>
      </c>
      <c r="CZ2596" s="35">
        <v>6.1134363199999995E-4</v>
      </c>
    </row>
    <row r="2597" spans="103:104" x14ac:dyDescent="0.3">
      <c r="CY2597" s="34" t="s">
        <v>3524</v>
      </c>
      <c r="CZ2597" s="35">
        <v>5.1493607485000009E-2</v>
      </c>
    </row>
    <row r="2598" spans="103:104" x14ac:dyDescent="0.3">
      <c r="CY2598" s="34" t="s">
        <v>3525</v>
      </c>
      <c r="CZ2598" s="35">
        <v>2.0551847826054549E-2</v>
      </c>
    </row>
    <row r="2599" spans="103:104" x14ac:dyDescent="0.3">
      <c r="CY2599" s="34" t="s">
        <v>3526</v>
      </c>
      <c r="CZ2599" s="35">
        <v>8.2095992160000023E-3</v>
      </c>
    </row>
    <row r="2600" spans="103:104" x14ac:dyDescent="0.3">
      <c r="CY2600" s="34" t="s">
        <v>3527</v>
      </c>
      <c r="CZ2600" s="35">
        <v>1.0497962466666668E-2</v>
      </c>
    </row>
    <row r="2601" spans="103:104" x14ac:dyDescent="0.3">
      <c r="CY2601" s="34" t="s">
        <v>3528</v>
      </c>
      <c r="CZ2601" s="35">
        <v>4.7457536879999998E-2</v>
      </c>
    </row>
    <row r="2602" spans="103:104" x14ac:dyDescent="0.3">
      <c r="CY2602" s="34" t="s">
        <v>3529</v>
      </c>
      <c r="CZ2602" s="35">
        <v>1.5440460568000001E-2</v>
      </c>
    </row>
    <row r="2603" spans="103:104" x14ac:dyDescent="0.3">
      <c r="CY2603" s="34" t="s">
        <v>3530</v>
      </c>
      <c r="CZ2603" s="35">
        <v>6.2438441623999995E-2</v>
      </c>
    </row>
    <row r="2604" spans="103:104" x14ac:dyDescent="0.3">
      <c r="CY2604" s="34" t="s">
        <v>3531</v>
      </c>
      <c r="CZ2604" s="35">
        <v>1.4362479040000002E-3</v>
      </c>
    </row>
    <row r="2605" spans="103:104" x14ac:dyDescent="0.3">
      <c r="CY2605" s="34" t="s">
        <v>3532</v>
      </c>
      <c r="CZ2605" s="35">
        <v>1.8820760512E-2</v>
      </c>
    </row>
    <row r="2606" spans="103:104" x14ac:dyDescent="0.3">
      <c r="CY2606" s="34" t="s">
        <v>3533</v>
      </c>
      <c r="CZ2606" s="35">
        <v>2.248008256E-3</v>
      </c>
    </row>
    <row r="2607" spans="103:104" x14ac:dyDescent="0.3">
      <c r="CY2607" s="34" t="s">
        <v>3534</v>
      </c>
      <c r="CZ2607" s="35">
        <v>2.5960330239999997E-3</v>
      </c>
    </row>
    <row r="2608" spans="103:104" x14ac:dyDescent="0.3">
      <c r="CY2608" s="34" t="s">
        <v>3535</v>
      </c>
      <c r="CZ2608" s="35">
        <v>1.6439539064000001E-3</v>
      </c>
    </row>
    <row r="2609" spans="103:104" x14ac:dyDescent="0.3">
      <c r="CY2609" s="34" t="s">
        <v>3536</v>
      </c>
      <c r="CZ2609" s="35">
        <v>1.8270017999999999E-2</v>
      </c>
    </row>
    <row r="2610" spans="103:104" x14ac:dyDescent="0.3">
      <c r="CY2610" s="34" t="s">
        <v>3537</v>
      </c>
      <c r="CZ2610" s="35">
        <v>3.3105177777777774E-4</v>
      </c>
    </row>
    <row r="2611" spans="103:104" x14ac:dyDescent="0.3">
      <c r="CY2611" s="34" t="s">
        <v>3538</v>
      </c>
      <c r="CZ2611" s="35">
        <v>9.534291329999999E-4</v>
      </c>
    </row>
    <row r="2612" spans="103:104" x14ac:dyDescent="0.3">
      <c r="CY2612" s="34" t="s">
        <v>3539</v>
      </c>
      <c r="CZ2612" s="35">
        <v>1.0412837136000001E-2</v>
      </c>
    </row>
    <row r="2613" spans="103:104" x14ac:dyDescent="0.3">
      <c r="CY2613" s="34" t="s">
        <v>3540</v>
      </c>
      <c r="CZ2613" s="35">
        <v>8.0063031360000023E-3</v>
      </c>
    </row>
    <row r="2614" spans="103:104" x14ac:dyDescent="0.3">
      <c r="CY2614" s="34" t="s">
        <v>3541</v>
      </c>
      <c r="CZ2614" s="35">
        <v>2.9446142630322582E-3</v>
      </c>
    </row>
    <row r="2615" spans="103:104" x14ac:dyDescent="0.3">
      <c r="CY2615" s="34" t="s">
        <v>3542</v>
      </c>
      <c r="CZ2615" s="35">
        <v>2.1368151999999997E-4</v>
      </c>
    </row>
    <row r="2616" spans="103:104" x14ac:dyDescent="0.3">
      <c r="CY2616" s="34" t="s">
        <v>3543</v>
      </c>
      <c r="CZ2616" s="35">
        <v>2.2846888027040813E-2</v>
      </c>
    </row>
    <row r="2617" spans="103:104" x14ac:dyDescent="0.3">
      <c r="CY2617" s="34" t="s">
        <v>3544</v>
      </c>
      <c r="CZ2617" s="35">
        <v>4.5794236406043951E-3</v>
      </c>
    </row>
    <row r="2618" spans="103:104" x14ac:dyDescent="0.3">
      <c r="CY2618" s="34" t="s">
        <v>3545</v>
      </c>
      <c r="CZ2618" s="35">
        <v>7.4923099679999995E-3</v>
      </c>
    </row>
    <row r="2619" spans="103:104" x14ac:dyDescent="0.3">
      <c r="CY2619" s="34" t="s">
        <v>3546</v>
      </c>
      <c r="CZ2619" s="35">
        <v>7.61674038133E-3</v>
      </c>
    </row>
    <row r="2620" spans="103:104" x14ac:dyDescent="0.3">
      <c r="CY2620" s="34" t="s">
        <v>3547</v>
      </c>
      <c r="CZ2620" s="35">
        <v>4.1164499999999998E-4</v>
      </c>
    </row>
    <row r="2621" spans="103:104" x14ac:dyDescent="0.3">
      <c r="CY2621" s="34" t="s">
        <v>3548</v>
      </c>
      <c r="CZ2621" s="35">
        <v>2.8234585039999999E-2</v>
      </c>
    </row>
    <row r="2622" spans="103:104" x14ac:dyDescent="0.3">
      <c r="CY2622" s="34" t="s">
        <v>3549</v>
      </c>
      <c r="CZ2622" s="35">
        <v>1.292506304888889E-3</v>
      </c>
    </row>
    <row r="2623" spans="103:104" x14ac:dyDescent="0.3">
      <c r="CY2623" s="34" t="s">
        <v>3550</v>
      </c>
      <c r="CZ2623" s="35">
        <v>5.8004219520000006E-3</v>
      </c>
    </row>
    <row r="2624" spans="103:104" x14ac:dyDescent="0.3">
      <c r="CY2624" s="34" t="s">
        <v>3551</v>
      </c>
      <c r="CZ2624" s="35">
        <v>1.1268829332E-2</v>
      </c>
    </row>
    <row r="2625" spans="103:104" x14ac:dyDescent="0.3">
      <c r="CY2625" s="34" t="s">
        <v>3552</v>
      </c>
      <c r="CZ2625" s="35">
        <v>5.2731744E-4</v>
      </c>
    </row>
    <row r="2626" spans="103:104" x14ac:dyDescent="0.3">
      <c r="CY2626" s="34" t="s">
        <v>3553</v>
      </c>
      <c r="CZ2626" s="35">
        <v>4.6874043775999995E-4</v>
      </c>
    </row>
    <row r="2627" spans="103:104" x14ac:dyDescent="0.3">
      <c r="CY2627" s="34" t="s">
        <v>3554</v>
      </c>
      <c r="CZ2627" s="35">
        <v>1.5017299999999999E-2</v>
      </c>
    </row>
    <row r="2628" spans="103:104" x14ac:dyDescent="0.3">
      <c r="CY2628" s="34" t="s">
        <v>3555</v>
      </c>
      <c r="CZ2628" s="35">
        <v>6.7390793600000001E-4</v>
      </c>
    </row>
    <row r="2629" spans="103:104" x14ac:dyDescent="0.3">
      <c r="CY2629" s="34" t="s">
        <v>3556</v>
      </c>
      <c r="CZ2629" s="35">
        <v>5.7612356800000001E-4</v>
      </c>
    </row>
    <row r="2630" spans="103:104" x14ac:dyDescent="0.3">
      <c r="CY2630" s="34" t="s">
        <v>3557</v>
      </c>
      <c r="CZ2630" s="35">
        <v>3.6082975551999998E-2</v>
      </c>
    </row>
    <row r="2631" spans="103:104" x14ac:dyDescent="0.3">
      <c r="CY2631" s="34" t="s">
        <v>3558</v>
      </c>
      <c r="CZ2631" s="35">
        <v>2.958488E-3</v>
      </c>
    </row>
    <row r="2632" spans="103:104" x14ac:dyDescent="0.3">
      <c r="CY2632" s="34" t="s">
        <v>3559</v>
      </c>
      <c r="CZ2632" s="35">
        <v>3.4526914135999995E-2</v>
      </c>
    </row>
    <row r="2633" spans="103:104" x14ac:dyDescent="0.3">
      <c r="CY2633" s="34" t="s">
        <v>3560</v>
      </c>
      <c r="CZ2633" s="35">
        <v>2.9763497087999996E-2</v>
      </c>
    </row>
    <row r="2634" spans="103:104" x14ac:dyDescent="0.3">
      <c r="CY2634" s="34" t="s">
        <v>3561</v>
      </c>
      <c r="CZ2634" s="35">
        <v>2.9763497087999996E-2</v>
      </c>
    </row>
    <row r="2635" spans="103:104" x14ac:dyDescent="0.3">
      <c r="CY2635" s="34" t="s">
        <v>3562</v>
      </c>
      <c r="CZ2635" s="35">
        <v>9.8423908140000002E-2</v>
      </c>
    </row>
    <row r="2636" spans="103:104" x14ac:dyDescent="0.3">
      <c r="CY2636" s="34" t="s">
        <v>3563</v>
      </c>
      <c r="CZ2636" s="35">
        <v>3.0611206880000005E-2</v>
      </c>
    </row>
    <row r="2637" spans="103:104" x14ac:dyDescent="0.3">
      <c r="CY2637" s="34" t="s">
        <v>3564</v>
      </c>
      <c r="CZ2637" s="35">
        <v>6.6086706666666668E-3</v>
      </c>
    </row>
    <row r="2638" spans="103:104" x14ac:dyDescent="0.3">
      <c r="CY2638" s="34" t="s">
        <v>3565</v>
      </c>
      <c r="CZ2638" s="35">
        <v>0.29812871966660009</v>
      </c>
    </row>
    <row r="2639" spans="103:104" x14ac:dyDescent="0.3">
      <c r="CY2639" s="34" t="s">
        <v>3566</v>
      </c>
      <c r="CZ2639" s="35">
        <v>3.0975773088000005E-2</v>
      </c>
    </row>
    <row r="2640" spans="103:104" x14ac:dyDescent="0.3">
      <c r="CY2640" s="34" t="s">
        <v>3567</v>
      </c>
      <c r="CZ2640" s="35">
        <v>3.3958781792000001E-2</v>
      </c>
    </row>
    <row r="2641" spans="103:104" x14ac:dyDescent="0.3">
      <c r="CY2641" s="34" t="s">
        <v>3568</v>
      </c>
      <c r="CZ2641" s="35">
        <v>1.7363472720000003E-3</v>
      </c>
    </row>
    <row r="2642" spans="103:104" x14ac:dyDescent="0.3">
      <c r="CY2642" s="34" t="s">
        <v>3569</v>
      </c>
      <c r="CZ2642" s="35">
        <v>1.0103606879999999E-3</v>
      </c>
    </row>
    <row r="2643" spans="103:104" x14ac:dyDescent="0.3">
      <c r="CY2643" s="34" t="s">
        <v>3570</v>
      </c>
      <c r="CZ2643" s="35">
        <v>8.2225790399999992E-4</v>
      </c>
    </row>
    <row r="2644" spans="103:104" x14ac:dyDescent="0.3">
      <c r="CY2644" s="34" t="s">
        <v>3571</v>
      </c>
      <c r="CZ2644" s="35">
        <v>6.1451208000000001E-4</v>
      </c>
    </row>
    <row r="2645" spans="103:104" x14ac:dyDescent="0.3">
      <c r="CY2645" s="34" t="s">
        <v>3572</v>
      </c>
      <c r="CZ2645" s="35">
        <v>7.8576201600000001E-4</v>
      </c>
    </row>
    <row r="2646" spans="103:104" x14ac:dyDescent="0.3">
      <c r="CY2646" s="34" t="s">
        <v>3573</v>
      </c>
      <c r="CZ2646" s="35">
        <v>8.8495596799999991E-4</v>
      </c>
    </row>
    <row r="2647" spans="103:104" x14ac:dyDescent="0.3">
      <c r="CY2647" s="34" t="s">
        <v>3574</v>
      </c>
      <c r="CZ2647" s="35">
        <v>6.6878801599999996E-4</v>
      </c>
    </row>
    <row r="2648" spans="103:104" x14ac:dyDescent="0.3">
      <c r="CY2648" s="34" t="s">
        <v>3575</v>
      </c>
      <c r="CZ2648" s="35">
        <v>6.6878801599999996E-4</v>
      </c>
    </row>
    <row r="2649" spans="103:104" x14ac:dyDescent="0.3">
      <c r="CY2649" s="34" t="s">
        <v>3576</v>
      </c>
      <c r="CZ2649" s="35">
        <v>1.0917660000000001E-3</v>
      </c>
    </row>
    <row r="2650" spans="103:104" x14ac:dyDescent="0.3">
      <c r="CY2650" s="34" t="s">
        <v>3577</v>
      </c>
      <c r="CZ2650" s="35">
        <v>6.3322792E-4</v>
      </c>
    </row>
    <row r="2651" spans="103:104" x14ac:dyDescent="0.3">
      <c r="CY2651" s="34" t="s">
        <v>3578</v>
      </c>
      <c r="CZ2651" s="35">
        <v>1.8113900479999998E-3</v>
      </c>
    </row>
    <row r="2652" spans="103:104" x14ac:dyDescent="0.3">
      <c r="CY2652" s="34" t="s">
        <v>3579</v>
      </c>
      <c r="CZ2652" s="35">
        <v>1.1962392000000001E-3</v>
      </c>
    </row>
    <row r="2653" spans="103:104" x14ac:dyDescent="0.3">
      <c r="CY2653" s="34" t="s">
        <v>3580</v>
      </c>
      <c r="CZ2653" s="35">
        <v>6.7416959999999995E-4</v>
      </c>
    </row>
    <row r="2654" spans="103:104" x14ac:dyDescent="0.3">
      <c r="CY2654" s="34" t="s">
        <v>3581</v>
      </c>
      <c r="CZ2654" s="35">
        <v>3.9968066216000006E-2</v>
      </c>
    </row>
    <row r="2655" spans="103:104" x14ac:dyDescent="0.3">
      <c r="CY2655" s="34" t="s">
        <v>3582</v>
      </c>
      <c r="CZ2655" s="35">
        <v>3.8999999999999999E-5</v>
      </c>
    </row>
    <row r="2656" spans="103:104" x14ac:dyDescent="0.3">
      <c r="CY2656" s="34" t="s">
        <v>3583</v>
      </c>
      <c r="CZ2656" s="35">
        <v>3.8999999999999999E-5</v>
      </c>
    </row>
    <row r="2657" spans="103:104" x14ac:dyDescent="0.3">
      <c r="CY2657" s="34" t="s">
        <v>3584</v>
      </c>
      <c r="CZ2657" s="35">
        <v>8.8990880000000007E-4</v>
      </c>
    </row>
    <row r="2658" spans="103:104" x14ac:dyDescent="0.3">
      <c r="CY2658" s="34" t="s">
        <v>3585</v>
      </c>
      <c r="CZ2658" s="35">
        <v>3.8999999999999999E-5</v>
      </c>
    </row>
    <row r="2659" spans="103:104" x14ac:dyDescent="0.3">
      <c r="CY2659" s="34" t="s">
        <v>3586</v>
      </c>
      <c r="CZ2659" s="35">
        <v>3.8999999999999999E-5</v>
      </c>
    </row>
    <row r="2660" spans="103:104" x14ac:dyDescent="0.3">
      <c r="CY2660" s="34" t="s">
        <v>3587</v>
      </c>
      <c r="CZ2660" s="35">
        <v>3.8999999999999999E-5</v>
      </c>
    </row>
    <row r="2661" spans="103:104" x14ac:dyDescent="0.3">
      <c r="CY2661" s="34" t="s">
        <v>3588</v>
      </c>
      <c r="CZ2661" s="35">
        <v>9.7290799999999987E-4</v>
      </c>
    </row>
    <row r="2662" spans="103:104" x14ac:dyDescent="0.3">
      <c r="CY2662" s="34" t="s">
        <v>3589</v>
      </c>
      <c r="CZ2662" s="35">
        <v>3.8999999999999999E-5</v>
      </c>
    </row>
    <row r="2663" spans="103:104" x14ac:dyDescent="0.3">
      <c r="CY2663" s="34" t="s">
        <v>3590</v>
      </c>
      <c r="CZ2663" s="35">
        <v>3.8999999999999999E-5</v>
      </c>
    </row>
    <row r="2664" spans="103:104" x14ac:dyDescent="0.3">
      <c r="CY2664" s="34" t="s">
        <v>3591</v>
      </c>
      <c r="CZ2664" s="35">
        <v>0.113158557824</v>
      </c>
    </row>
    <row r="2665" spans="103:104" x14ac:dyDescent="0.3">
      <c r="CY2665" s="34" t="s">
        <v>3592</v>
      </c>
      <c r="CZ2665" s="35">
        <v>8.6737236352000008E-2</v>
      </c>
    </row>
    <row r="2666" spans="103:104" x14ac:dyDescent="0.3">
      <c r="CY2666" s="34" t="s">
        <v>3593</v>
      </c>
      <c r="CZ2666" s="35">
        <v>1.0951503224E-2</v>
      </c>
    </row>
    <row r="2667" spans="103:104" x14ac:dyDescent="0.3">
      <c r="CY2667" s="34" t="s">
        <v>3594</v>
      </c>
      <c r="CZ2667" s="35">
        <v>2.719793752E-2</v>
      </c>
    </row>
    <row r="2668" spans="103:104" x14ac:dyDescent="0.3">
      <c r="CY2668" s="34" t="s">
        <v>3595</v>
      </c>
      <c r="CZ2668" s="35">
        <v>5.8476008768023257E-3</v>
      </c>
    </row>
    <row r="2669" spans="103:104" x14ac:dyDescent="0.3">
      <c r="CY2669" s="34" t="s">
        <v>3596</v>
      </c>
      <c r="CZ2669" s="35">
        <v>3.6250876362318184E-2</v>
      </c>
    </row>
    <row r="2670" spans="103:104" x14ac:dyDescent="0.3">
      <c r="CY2670" s="34" t="s">
        <v>3597</v>
      </c>
      <c r="CZ2670" s="35">
        <v>7.9707128257099996E-2</v>
      </c>
    </row>
    <row r="2671" spans="103:104" x14ac:dyDescent="0.3">
      <c r="CY2671" s="34" t="s">
        <v>3598</v>
      </c>
      <c r="CZ2671" s="35">
        <v>9.6657216000000008E-4</v>
      </c>
    </row>
    <row r="2672" spans="103:104" x14ac:dyDescent="0.3">
      <c r="CY2672" s="34" t="s">
        <v>3599</v>
      </c>
      <c r="CZ2672" s="35">
        <v>6.6351980000000006E-4</v>
      </c>
    </row>
    <row r="2673" spans="103:104" x14ac:dyDescent="0.3">
      <c r="CY2673" s="34" t="s">
        <v>3600</v>
      </c>
      <c r="CZ2673" s="35">
        <v>1.246982E-2</v>
      </c>
    </row>
    <row r="2674" spans="103:104" x14ac:dyDescent="0.3">
      <c r="CY2674" s="34" t="s">
        <v>3601</v>
      </c>
      <c r="CZ2674" s="35">
        <v>1.2663773759999998E-2</v>
      </c>
    </row>
    <row r="2675" spans="103:104" x14ac:dyDescent="0.3">
      <c r="CY2675" s="34" t="s">
        <v>3602</v>
      </c>
      <c r="CZ2675" s="35">
        <v>1.4885642426666668E-2</v>
      </c>
    </row>
    <row r="2676" spans="103:104" x14ac:dyDescent="0.3">
      <c r="CY2676" s="34" t="s">
        <v>3603</v>
      </c>
      <c r="CZ2676" s="35">
        <v>3.3270785560000002E-2</v>
      </c>
    </row>
    <row r="2677" spans="103:104" x14ac:dyDescent="0.3">
      <c r="CY2677" s="34" t="s">
        <v>3604</v>
      </c>
      <c r="CZ2677" s="35">
        <v>3.8869583792E-2</v>
      </c>
    </row>
    <row r="2678" spans="103:104" x14ac:dyDescent="0.3">
      <c r="CY2678" s="34" t="s">
        <v>3605</v>
      </c>
      <c r="CZ2678" s="35">
        <v>1.422324E-3</v>
      </c>
    </row>
    <row r="2679" spans="103:104" x14ac:dyDescent="0.3">
      <c r="CY2679" s="34" t="s">
        <v>3606</v>
      </c>
      <c r="CZ2679" s="35">
        <v>5.6718480000000002E-3</v>
      </c>
    </row>
    <row r="2680" spans="103:104" x14ac:dyDescent="0.3">
      <c r="CY2680" s="34" t="s">
        <v>3607</v>
      </c>
      <c r="CZ2680" s="35">
        <v>9.0021828831989489E-2</v>
      </c>
    </row>
    <row r="2681" spans="103:104" x14ac:dyDescent="0.3">
      <c r="CY2681" s="34" t="s">
        <v>3608</v>
      </c>
      <c r="CZ2681" s="35">
        <v>3.485801862400318E-2</v>
      </c>
    </row>
    <row r="2682" spans="103:104" x14ac:dyDescent="0.3">
      <c r="CY2682" s="34" t="s">
        <v>3609</v>
      </c>
      <c r="CZ2682" s="35">
        <v>4.5809868416009848E-2</v>
      </c>
    </row>
    <row r="2683" spans="103:104" x14ac:dyDescent="0.3">
      <c r="CY2683" s="34" t="s">
        <v>3610</v>
      </c>
      <c r="CZ2683" s="35">
        <v>6.0824208224011037E-2</v>
      </c>
    </row>
    <row r="2684" spans="103:104" x14ac:dyDescent="0.3">
      <c r="CY2684" s="34" t="s">
        <v>3611</v>
      </c>
      <c r="CZ2684" s="35">
        <v>9.4691004160000009E-2</v>
      </c>
    </row>
    <row r="2685" spans="103:104" x14ac:dyDescent="0.3">
      <c r="CY2685" s="34" t="s">
        <v>3612</v>
      </c>
      <c r="CZ2685" s="35">
        <v>5.9498758199999995E-2</v>
      </c>
    </row>
    <row r="2686" spans="103:104" x14ac:dyDescent="0.3">
      <c r="CY2686" s="34" t="s">
        <v>3613</v>
      </c>
      <c r="CZ2686" s="35">
        <v>3.8999999999999999E-5</v>
      </c>
    </row>
    <row r="2687" spans="103:104" x14ac:dyDescent="0.3">
      <c r="CY2687" s="34" t="s">
        <v>3614</v>
      </c>
      <c r="CZ2687" s="35">
        <v>3.8999999999999999E-5</v>
      </c>
    </row>
    <row r="2688" spans="103:104" x14ac:dyDescent="0.3">
      <c r="CY2688" s="34" t="s">
        <v>3615</v>
      </c>
      <c r="CZ2688" s="35">
        <v>3.8999999999999999E-5</v>
      </c>
    </row>
    <row r="2689" spans="103:104" x14ac:dyDescent="0.3">
      <c r="CY2689" s="34" t="s">
        <v>3616</v>
      </c>
      <c r="CZ2689" s="35">
        <v>3.8999999999999999E-5</v>
      </c>
    </row>
    <row r="2690" spans="103:104" x14ac:dyDescent="0.3">
      <c r="CY2690" s="34" t="s">
        <v>3617</v>
      </c>
      <c r="CZ2690" s="35">
        <v>3.8999999999999999E-5</v>
      </c>
    </row>
    <row r="2691" spans="103:104" x14ac:dyDescent="0.3">
      <c r="CY2691" s="34" t="s">
        <v>3618</v>
      </c>
      <c r="CZ2691" s="35">
        <v>3.8999999999999999E-5</v>
      </c>
    </row>
    <row r="2692" spans="103:104" x14ac:dyDescent="0.3">
      <c r="CY2692" s="34" t="s">
        <v>3619</v>
      </c>
      <c r="CZ2692" s="35">
        <v>3.8999999999999999E-5</v>
      </c>
    </row>
    <row r="2693" spans="103:104" x14ac:dyDescent="0.3">
      <c r="CY2693" s="34" t="s">
        <v>3620</v>
      </c>
      <c r="CZ2693" s="35">
        <v>3.8999999999999999E-5</v>
      </c>
    </row>
    <row r="2694" spans="103:104" x14ac:dyDescent="0.3">
      <c r="CY2694" s="34" t="s">
        <v>3621</v>
      </c>
      <c r="CZ2694" s="35">
        <v>7.2910281599754831E-3</v>
      </c>
    </row>
    <row r="2695" spans="103:104" x14ac:dyDescent="0.3">
      <c r="CY2695" s="34" t="s">
        <v>3622</v>
      </c>
      <c r="CZ2695" s="35">
        <v>5.2327600000000004E-4</v>
      </c>
    </row>
    <row r="2696" spans="103:104" x14ac:dyDescent="0.3">
      <c r="CY2696" s="34" t="s">
        <v>3623</v>
      </c>
      <c r="CZ2696" s="35">
        <v>3.0079967843990249E-4</v>
      </c>
    </row>
    <row r="2697" spans="103:104" x14ac:dyDescent="0.3">
      <c r="CY2697" s="34" t="s">
        <v>3624</v>
      </c>
      <c r="CZ2697" s="35">
        <v>4.2568031999784843E-4</v>
      </c>
    </row>
    <row r="2698" spans="103:104" x14ac:dyDescent="0.3">
      <c r="CY2698" s="34" t="s">
        <v>3625</v>
      </c>
      <c r="CZ2698" s="35">
        <v>2.8773847439982625E-3</v>
      </c>
    </row>
    <row r="2699" spans="103:104" x14ac:dyDescent="0.3">
      <c r="CY2699" s="34" t="s">
        <v>3626</v>
      </c>
      <c r="CZ2699" s="35">
        <v>1.0204698400014401E-3</v>
      </c>
    </row>
    <row r="2700" spans="103:104" x14ac:dyDescent="0.3">
      <c r="CY2700" s="34" t="s">
        <v>3627</v>
      </c>
      <c r="CZ2700" s="35">
        <v>8.7750000000000002E-4</v>
      </c>
    </row>
    <row r="2701" spans="103:104" x14ac:dyDescent="0.3">
      <c r="CY2701" s="34" t="s">
        <v>3628</v>
      </c>
      <c r="CZ2701" s="35">
        <v>3.6065992560119775E-3</v>
      </c>
    </row>
    <row r="2702" spans="103:104" x14ac:dyDescent="0.3">
      <c r="CY2702" s="34" t="s">
        <v>3629</v>
      </c>
      <c r="CZ2702" s="35">
        <v>1.5421702400043086E-3</v>
      </c>
    </row>
    <row r="2703" spans="103:104" x14ac:dyDescent="0.3">
      <c r="CY2703" s="34" t="s">
        <v>3630</v>
      </c>
      <c r="CZ2703" s="35">
        <v>6.5072279999999995E-3</v>
      </c>
    </row>
    <row r="2704" spans="103:104" x14ac:dyDescent="0.3">
      <c r="CY2704" s="34" t="s">
        <v>3631</v>
      </c>
      <c r="CZ2704" s="35">
        <v>4.2907176000294258E-4</v>
      </c>
    </row>
    <row r="2705" spans="103:104" x14ac:dyDescent="0.3">
      <c r="CY2705" s="34" t="s">
        <v>3632</v>
      </c>
      <c r="CZ2705" s="35">
        <v>1.7615968031876608E-2</v>
      </c>
    </row>
    <row r="2706" spans="103:104" x14ac:dyDescent="0.3">
      <c r="CY2706" s="34" t="s">
        <v>3633</v>
      </c>
      <c r="CZ2706" s="35">
        <v>5.794520160327198E-4</v>
      </c>
    </row>
    <row r="2707" spans="103:104" x14ac:dyDescent="0.3">
      <c r="CY2707" s="34" t="s">
        <v>3634</v>
      </c>
      <c r="CZ2707" s="35">
        <v>9.2300894399491105E-3</v>
      </c>
    </row>
    <row r="2708" spans="103:104" x14ac:dyDescent="0.3">
      <c r="CY2708" s="34" t="s">
        <v>3635</v>
      </c>
      <c r="CZ2708" s="35">
        <v>1.120027168030303E-3</v>
      </c>
    </row>
    <row r="2709" spans="103:104" x14ac:dyDescent="0.3">
      <c r="CY2709" s="34" t="s">
        <v>3636</v>
      </c>
      <c r="CZ2709" s="35">
        <v>4.0411537919696969E-3</v>
      </c>
    </row>
    <row r="2710" spans="103:104" x14ac:dyDescent="0.3">
      <c r="CY2710" s="34" t="s">
        <v>3637</v>
      </c>
      <c r="CZ2710" s="35">
        <v>2.2540787199999998E-3</v>
      </c>
    </row>
    <row r="2711" spans="103:104" x14ac:dyDescent="0.3">
      <c r="CY2711" s="34" t="s">
        <v>3638</v>
      </c>
      <c r="CZ2711" s="35">
        <v>4.5907661280193239E-3</v>
      </c>
    </row>
    <row r="2712" spans="103:104" x14ac:dyDescent="0.3">
      <c r="CY2712" s="34" t="s">
        <v>3639</v>
      </c>
      <c r="CZ2712" s="35">
        <v>4.3376380320048315E-3</v>
      </c>
    </row>
    <row r="2713" spans="103:104" x14ac:dyDescent="0.3">
      <c r="CY2713" s="34" t="s">
        <v>3640</v>
      </c>
      <c r="CZ2713" s="35">
        <v>4.0994204160330573E-3</v>
      </c>
    </row>
    <row r="2714" spans="103:104" x14ac:dyDescent="0.3">
      <c r="CY2714" s="34" t="s">
        <v>3641</v>
      </c>
      <c r="CZ2714" s="35">
        <v>1.9030843520202018E-3</v>
      </c>
    </row>
    <row r="2715" spans="103:104" x14ac:dyDescent="0.3">
      <c r="CY2715" s="34" t="s">
        <v>3642</v>
      </c>
      <c r="CZ2715" s="35">
        <v>3.3721999999999995E-4</v>
      </c>
    </row>
    <row r="2716" spans="103:104" x14ac:dyDescent="0.3">
      <c r="CY2716" s="34" t="s">
        <v>3643</v>
      </c>
      <c r="CZ2716" s="35">
        <v>2.2720192559661802E-3</v>
      </c>
    </row>
    <row r="2717" spans="103:104" x14ac:dyDescent="0.3">
      <c r="CY2717" s="34" t="s">
        <v>3644</v>
      </c>
      <c r="CZ2717" s="35">
        <v>9.8562963201793735E-4</v>
      </c>
    </row>
    <row r="2718" spans="103:104" x14ac:dyDescent="0.3">
      <c r="CY2718" s="34" t="s">
        <v>3645</v>
      </c>
      <c r="CZ2718" s="35">
        <v>5.5774380480712168E-3</v>
      </c>
    </row>
    <row r="2719" spans="103:104" x14ac:dyDescent="0.3">
      <c r="CY2719" s="34" t="s">
        <v>3646</v>
      </c>
      <c r="CZ2719" s="35">
        <v>6.7270694388185648E-4</v>
      </c>
    </row>
    <row r="2720" spans="103:104" x14ac:dyDescent="0.3">
      <c r="CY2720" s="34" t="s">
        <v>3647</v>
      </c>
      <c r="CZ2720" s="35">
        <v>8.0379062394930821E-4</v>
      </c>
    </row>
    <row r="2721" spans="103:104" x14ac:dyDescent="0.3">
      <c r="CY2721" s="34" t="s">
        <v>3648</v>
      </c>
      <c r="CZ2721" s="35">
        <v>8.5689385598870065E-3</v>
      </c>
    </row>
    <row r="2722" spans="103:104" x14ac:dyDescent="0.3">
      <c r="CY2722" s="34" t="s">
        <v>3649</v>
      </c>
      <c r="CZ2722" s="35">
        <v>8.0027687999999989E-4</v>
      </c>
    </row>
    <row r="2723" spans="103:104" x14ac:dyDescent="0.3">
      <c r="CY2723" s="34" t="s">
        <v>3650</v>
      </c>
      <c r="CZ2723" s="35">
        <v>3.825494398530762E-4</v>
      </c>
    </row>
    <row r="2724" spans="103:104" x14ac:dyDescent="0.3">
      <c r="CY2724" s="34" t="s">
        <v>3651</v>
      </c>
      <c r="CZ2724" s="35">
        <v>3.6260124162508906E-3</v>
      </c>
    </row>
    <row r="2725" spans="103:104" x14ac:dyDescent="0.3">
      <c r="CY2725" s="34" t="s">
        <v>3652</v>
      </c>
      <c r="CZ2725" s="35">
        <v>9.9786648018867921E-4</v>
      </c>
    </row>
    <row r="2726" spans="103:104" x14ac:dyDescent="0.3">
      <c r="CY2726" s="34" t="s">
        <v>3653</v>
      </c>
      <c r="CZ2726" s="35">
        <v>3.6757988799999996E-4</v>
      </c>
    </row>
    <row r="2727" spans="103:104" x14ac:dyDescent="0.3">
      <c r="CY2727" s="34" t="s">
        <v>3654</v>
      </c>
      <c r="CZ2727" s="35">
        <v>7.3732599206545999E-4</v>
      </c>
    </row>
    <row r="2728" spans="103:104" x14ac:dyDescent="0.3">
      <c r="CY2728" s="34" t="s">
        <v>3655</v>
      </c>
      <c r="CZ2728" s="35">
        <v>1.4356519841208367E-3</v>
      </c>
    </row>
    <row r="2729" spans="103:104" x14ac:dyDescent="0.3">
      <c r="CY2729" s="34" t="s">
        <v>3656</v>
      </c>
      <c r="CZ2729" s="35">
        <v>1.1804451464E-2</v>
      </c>
    </row>
    <row r="2730" spans="103:104" x14ac:dyDescent="0.3">
      <c r="CY2730" s="34" t="s">
        <v>3657</v>
      </c>
      <c r="CZ2730" s="35">
        <v>6.6274748799999999E-4</v>
      </c>
    </row>
    <row r="2731" spans="103:104" x14ac:dyDescent="0.3">
      <c r="CY2731" s="34" t="s">
        <v>3658</v>
      </c>
      <c r="CZ2731" s="35">
        <v>7.7509952E-4</v>
      </c>
    </row>
    <row r="2732" spans="103:104" x14ac:dyDescent="0.3">
      <c r="CY2732" s="34" t="s">
        <v>3659</v>
      </c>
      <c r="CZ2732" s="35">
        <v>8.4926388560000021E-3</v>
      </c>
    </row>
    <row r="2733" spans="103:104" x14ac:dyDescent="0.3">
      <c r="CY2733" s="34" t="s">
        <v>3660</v>
      </c>
      <c r="CZ2733" s="35">
        <v>7.7509952E-4</v>
      </c>
    </row>
    <row r="2734" spans="103:104" x14ac:dyDescent="0.3">
      <c r="CY2734" s="34" t="s">
        <v>3661</v>
      </c>
      <c r="CZ2734" s="35">
        <v>1.8734374879999999E-3</v>
      </c>
    </row>
    <row r="2735" spans="103:104" x14ac:dyDescent="0.3">
      <c r="CY2735" s="34" t="s">
        <v>3662</v>
      </c>
      <c r="CZ2735" s="35">
        <v>1.6638794432E-2</v>
      </c>
    </row>
    <row r="2736" spans="103:104" x14ac:dyDescent="0.3">
      <c r="CY2736" s="34" t="s">
        <v>3663</v>
      </c>
      <c r="CZ2736" s="35">
        <v>4.7804328000000001E-4</v>
      </c>
    </row>
    <row r="2737" spans="103:104" x14ac:dyDescent="0.3">
      <c r="CY2737" s="34" t="s">
        <v>3664</v>
      </c>
      <c r="CZ2737" s="35">
        <v>9.9786648000000006E-4</v>
      </c>
    </row>
    <row r="2738" spans="103:104" x14ac:dyDescent="0.3">
      <c r="CY2738" s="34" t="s">
        <v>3665</v>
      </c>
      <c r="CZ2738" s="35">
        <v>7.68679808E-4</v>
      </c>
    </row>
    <row r="2739" spans="103:104" x14ac:dyDescent="0.3">
      <c r="CY2739" s="34" t="s">
        <v>3666</v>
      </c>
      <c r="CZ2739" s="35">
        <v>5.6969515209302313E-4</v>
      </c>
    </row>
    <row r="2740" spans="103:104" x14ac:dyDescent="0.3">
      <c r="CY2740" s="34" t="s">
        <v>3667</v>
      </c>
      <c r="CZ2740" s="35">
        <v>7.0948799999999998E-4</v>
      </c>
    </row>
    <row r="2741" spans="103:104" x14ac:dyDescent="0.3">
      <c r="CY2741" s="34" t="s">
        <v>3668</v>
      </c>
      <c r="CZ2741" s="35">
        <v>3.6757988799999996E-4</v>
      </c>
    </row>
    <row r="2742" spans="103:104" x14ac:dyDescent="0.3">
      <c r="CY2742" s="34" t="s">
        <v>3669</v>
      </c>
      <c r="CZ2742" s="35">
        <v>5.5625127999999998E-4</v>
      </c>
    </row>
    <row r="2743" spans="103:104" x14ac:dyDescent="0.3">
      <c r="CY2743" s="34" t="s">
        <v>3670</v>
      </c>
      <c r="CZ2743" s="35">
        <v>4.5406400000000001E-4</v>
      </c>
    </row>
    <row r="2744" spans="103:104" x14ac:dyDescent="0.3">
      <c r="CY2744" s="34" t="s">
        <v>3671</v>
      </c>
      <c r="CZ2744" s="35">
        <v>3.9714207999999997E-4</v>
      </c>
    </row>
    <row r="2745" spans="103:104" x14ac:dyDescent="0.3">
      <c r="CY2745" s="34" t="s">
        <v>3672</v>
      </c>
      <c r="CZ2745" s="35">
        <v>1.0677155839999999E-3</v>
      </c>
    </row>
    <row r="2746" spans="103:104" x14ac:dyDescent="0.3">
      <c r="CY2746" s="34" t="s">
        <v>3673</v>
      </c>
      <c r="CZ2746" s="35">
        <v>1.3346121360000001E-3</v>
      </c>
    </row>
    <row r="2747" spans="103:104" x14ac:dyDescent="0.3">
      <c r="CY2747" s="34" t="s">
        <v>3674</v>
      </c>
      <c r="CZ2747" s="35">
        <v>6.3465947996209045E-4</v>
      </c>
    </row>
    <row r="2748" spans="103:104" x14ac:dyDescent="0.3">
      <c r="CY2748" s="34" t="s">
        <v>3675</v>
      </c>
      <c r="CZ2748" s="35">
        <v>1.9371293760000001E-3</v>
      </c>
    </row>
    <row r="2749" spans="103:104" x14ac:dyDescent="0.3">
      <c r="CY2749" s="34" t="s">
        <v>3676</v>
      </c>
      <c r="CZ2749" s="35">
        <v>5.910528E-3</v>
      </c>
    </row>
    <row r="2750" spans="103:104" x14ac:dyDescent="0.3">
      <c r="CY2750" s="34" t="s">
        <v>3677</v>
      </c>
      <c r="CZ2750" s="35">
        <v>8.9747973120000001E-3</v>
      </c>
    </row>
    <row r="2751" spans="103:104" x14ac:dyDescent="0.3">
      <c r="CY2751" s="34" t="s">
        <v>3678</v>
      </c>
      <c r="CZ2751" s="35">
        <v>2.3493989999999998E-3</v>
      </c>
    </row>
    <row r="2752" spans="103:104" x14ac:dyDescent="0.3">
      <c r="CY2752" s="34" t="s">
        <v>3679</v>
      </c>
      <c r="CZ2752" s="35">
        <v>1.5812501119311193E-3</v>
      </c>
    </row>
    <row r="2753" spans="103:104" x14ac:dyDescent="0.3">
      <c r="CY2753" s="34" t="s">
        <v>3680</v>
      </c>
      <c r="CZ2753" s="35">
        <v>1.7616259682640433E-3</v>
      </c>
    </row>
    <row r="2754" spans="103:104" x14ac:dyDescent="0.3">
      <c r="CY2754" s="34" t="s">
        <v>3681</v>
      </c>
      <c r="CZ2754" s="35">
        <v>1.7550259999999998E-3</v>
      </c>
    </row>
    <row r="2755" spans="103:104" x14ac:dyDescent="0.3">
      <c r="CY2755" s="34" t="s">
        <v>3682</v>
      </c>
      <c r="CZ2755" s="35">
        <v>1.0078770000000001E-3</v>
      </c>
    </row>
    <row r="2756" spans="103:104" x14ac:dyDescent="0.3">
      <c r="CY2756" s="34" t="s">
        <v>3683</v>
      </c>
      <c r="CZ2756" s="35">
        <v>1.2538918079907215E-3</v>
      </c>
    </row>
    <row r="2757" spans="103:104" x14ac:dyDescent="0.3">
      <c r="CY2757" s="34" t="s">
        <v>3684</v>
      </c>
      <c r="CZ2757" s="35">
        <v>7.0106961603438054E-4</v>
      </c>
    </row>
    <row r="2758" spans="103:104" x14ac:dyDescent="0.3">
      <c r="CY2758" s="34" t="s">
        <v>3685</v>
      </c>
      <c r="CZ2758" s="35">
        <v>6.0754002407407395E-4</v>
      </c>
    </row>
    <row r="2759" spans="103:104" x14ac:dyDescent="0.3">
      <c r="CY2759" s="34" t="s">
        <v>3686</v>
      </c>
      <c r="CZ2759" s="35">
        <v>6.6274748780487797E-4</v>
      </c>
    </row>
    <row r="2760" spans="103:104" x14ac:dyDescent="0.3">
      <c r="CY2760" s="34" t="s">
        <v>3687</v>
      </c>
      <c r="CZ2760" s="35">
        <v>7.9350200804347818E-4</v>
      </c>
    </row>
    <row r="2761" spans="103:104" x14ac:dyDescent="0.3">
      <c r="CY2761" s="34" t="s">
        <v>3688</v>
      </c>
      <c r="CZ2761" s="35">
        <v>8.8648299999999998E-4</v>
      </c>
    </row>
    <row r="2762" spans="103:104" x14ac:dyDescent="0.3">
      <c r="CY2762" s="34" t="s">
        <v>3689</v>
      </c>
      <c r="CZ2762" s="35">
        <v>1.7339660000000002E-3</v>
      </c>
    </row>
    <row r="2763" spans="103:104" x14ac:dyDescent="0.3">
      <c r="CY2763" s="34" t="s">
        <v>3690</v>
      </c>
      <c r="CZ2763" s="35">
        <v>3.3409328159999998E-3</v>
      </c>
    </row>
    <row r="2764" spans="103:104" x14ac:dyDescent="0.3">
      <c r="CY2764" s="34" t="s">
        <v>3691</v>
      </c>
      <c r="CZ2764" s="35">
        <v>2.1916829999999998E-3</v>
      </c>
    </row>
    <row r="2765" spans="103:104" x14ac:dyDescent="0.3">
      <c r="CY2765" s="34" t="s">
        <v>3692</v>
      </c>
      <c r="CZ2765" s="35">
        <v>2.7220439999999999E-3</v>
      </c>
    </row>
    <row r="2766" spans="103:104" x14ac:dyDescent="0.3">
      <c r="CY2766" s="34" t="s">
        <v>3693</v>
      </c>
      <c r="CZ2766" s="35">
        <v>5.7959710640000002E-3</v>
      </c>
    </row>
    <row r="2767" spans="103:104" x14ac:dyDescent="0.3">
      <c r="CY2767" s="34" t="s">
        <v>3694</v>
      </c>
      <c r="CZ2767" s="35">
        <v>1.4313872560514371E-3</v>
      </c>
    </row>
    <row r="2768" spans="103:104" x14ac:dyDescent="0.3">
      <c r="CY2768" s="34" t="s">
        <v>3695</v>
      </c>
      <c r="CZ2768" s="35">
        <v>5.06371008E-4</v>
      </c>
    </row>
    <row r="2769" spans="103:104" x14ac:dyDescent="0.3">
      <c r="CY2769" s="34" t="s">
        <v>3696</v>
      </c>
      <c r="CZ2769" s="35">
        <v>1.3748200855799373E-2</v>
      </c>
    </row>
    <row r="2770" spans="103:104" x14ac:dyDescent="0.3">
      <c r="CY2770" s="34" t="s">
        <v>3697</v>
      </c>
      <c r="CZ2770" s="35">
        <v>2.3093141344012285E-2</v>
      </c>
    </row>
    <row r="2771" spans="103:104" x14ac:dyDescent="0.3">
      <c r="CY2771" s="34" t="s">
        <v>3698</v>
      </c>
      <c r="CZ2771" s="35">
        <v>1.8106068135981746E-2</v>
      </c>
    </row>
    <row r="2772" spans="103:104" x14ac:dyDescent="0.3">
      <c r="CY2772" s="34" t="s">
        <v>3699</v>
      </c>
      <c r="CZ2772" s="35">
        <v>8.6691549256009984E-2</v>
      </c>
    </row>
    <row r="2773" spans="103:104" x14ac:dyDescent="0.3">
      <c r="CY2773" s="34" t="s">
        <v>3700</v>
      </c>
      <c r="CZ2773" s="35">
        <v>2.7603527560000002E-3</v>
      </c>
    </row>
    <row r="2774" spans="103:104" x14ac:dyDescent="0.3">
      <c r="CY2774" s="34" t="s">
        <v>3701</v>
      </c>
      <c r="CZ2774" s="35">
        <v>0.11076728383999999</v>
      </c>
    </row>
    <row r="2775" spans="103:104" x14ac:dyDescent="0.3">
      <c r="CY2775" s="34" t="s">
        <v>3702</v>
      </c>
      <c r="CZ2775" s="35">
        <v>4.0074524128000007E-3</v>
      </c>
    </row>
    <row r="2776" spans="103:104" x14ac:dyDescent="0.3">
      <c r="CY2776" s="34" t="s">
        <v>3703</v>
      </c>
      <c r="CZ2776" s="35">
        <v>2.9480990930434779E-3</v>
      </c>
    </row>
    <row r="2777" spans="103:104" x14ac:dyDescent="0.3">
      <c r="CY2777" s="34" t="s">
        <v>3704</v>
      </c>
      <c r="CZ2777" s="35">
        <v>3.0004249984000003E-2</v>
      </c>
    </row>
    <row r="2778" spans="103:104" x14ac:dyDescent="0.3">
      <c r="CY2778" s="34" t="s">
        <v>3705</v>
      </c>
      <c r="CZ2778" s="35">
        <v>3.6278403199999998E-4</v>
      </c>
    </row>
    <row r="2779" spans="103:104" x14ac:dyDescent="0.3">
      <c r="CY2779" s="34" t="s">
        <v>3706</v>
      </c>
      <c r="CZ2779" s="35">
        <v>3.899219999999999E-4</v>
      </c>
    </row>
    <row r="2780" spans="103:104" x14ac:dyDescent="0.3">
      <c r="CY2780" s="34" t="s">
        <v>3707</v>
      </c>
      <c r="CZ2780" s="35">
        <v>4.5472645279999994E-2</v>
      </c>
    </row>
    <row r="2781" spans="103:104" x14ac:dyDescent="0.3">
      <c r="CY2781" s="34" t="s">
        <v>3708</v>
      </c>
      <c r="CZ2781" s="35">
        <v>4.5472645279999994E-2</v>
      </c>
    </row>
    <row r="2782" spans="103:104" x14ac:dyDescent="0.3">
      <c r="CY2782" s="34" t="s">
        <v>3709</v>
      </c>
      <c r="CZ2782" s="35">
        <v>4.1006123887999998E-2</v>
      </c>
    </row>
    <row r="2783" spans="103:104" x14ac:dyDescent="0.3">
      <c r="CY2783" s="34" t="s">
        <v>3710</v>
      </c>
      <c r="CZ2783" s="35">
        <v>1.8359760512000001E-2</v>
      </c>
    </row>
    <row r="2784" spans="103:104" x14ac:dyDescent="0.3">
      <c r="CY2784" s="34" t="s">
        <v>3711</v>
      </c>
      <c r="CZ2784" s="35">
        <v>2.4751492352000002E-2</v>
      </c>
    </row>
    <row r="2785" spans="103:104" x14ac:dyDescent="0.3">
      <c r="CY2785" s="34" t="s">
        <v>3712</v>
      </c>
      <c r="CZ2785" s="35">
        <v>2.4325266240000001E-2</v>
      </c>
    </row>
    <row r="2786" spans="103:104" x14ac:dyDescent="0.3">
      <c r="CY2786" s="34" t="s">
        <v>3713</v>
      </c>
      <c r="CZ2786" s="35">
        <v>4.9776902528000003E-2</v>
      </c>
    </row>
    <row r="2787" spans="103:104" x14ac:dyDescent="0.3">
      <c r="CY2787" s="34" t="s">
        <v>3714</v>
      </c>
      <c r="CZ2787" s="35">
        <v>2.9805658872000002E-2</v>
      </c>
    </row>
    <row r="2788" spans="103:104" x14ac:dyDescent="0.3">
      <c r="CY2788" s="34" t="s">
        <v>3715</v>
      </c>
      <c r="CZ2788" s="35">
        <v>1.7440912478699999E-2</v>
      </c>
    </row>
    <row r="2789" spans="103:104" x14ac:dyDescent="0.3">
      <c r="CY2789" s="34" t="s">
        <v>3716</v>
      </c>
      <c r="CZ2789" s="35">
        <v>6.0918709024000005E-2</v>
      </c>
    </row>
    <row r="2790" spans="103:104" x14ac:dyDescent="0.3">
      <c r="CY2790" s="34" t="s">
        <v>3717</v>
      </c>
      <c r="CZ2790" s="35">
        <v>2.4747951640000002E-2</v>
      </c>
    </row>
    <row r="2791" spans="103:104" x14ac:dyDescent="0.3">
      <c r="CY2791" s="34" t="s">
        <v>3718</v>
      </c>
      <c r="CZ2791" s="35">
        <v>3.6406872939999994E-2</v>
      </c>
    </row>
    <row r="2792" spans="103:104" x14ac:dyDescent="0.3">
      <c r="CY2792" s="34" t="s">
        <v>3719</v>
      </c>
      <c r="CZ2792" s="35">
        <v>4.1017054359999992E-2</v>
      </c>
    </row>
    <row r="2793" spans="103:104" x14ac:dyDescent="0.3">
      <c r="CY2793" s="34" t="s">
        <v>3720</v>
      </c>
      <c r="CZ2793" s="35">
        <v>2.4299762599999997E-2</v>
      </c>
    </row>
    <row r="2794" spans="103:104" x14ac:dyDescent="0.3">
      <c r="CY2794" s="34" t="s">
        <v>3721</v>
      </c>
      <c r="CZ2794" s="35">
        <v>3.2463478688000001E-2</v>
      </c>
    </row>
    <row r="2795" spans="103:104" x14ac:dyDescent="0.3">
      <c r="CY2795" s="34" t="s">
        <v>3722</v>
      </c>
      <c r="CZ2795" s="35">
        <v>3.2463478688000001E-2</v>
      </c>
    </row>
    <row r="2796" spans="103:104" x14ac:dyDescent="0.3">
      <c r="CY2796" s="34" t="s">
        <v>3723</v>
      </c>
      <c r="CZ2796" s="35">
        <v>1.5308384703999998E-2</v>
      </c>
    </row>
    <row r="2797" spans="103:104" x14ac:dyDescent="0.3">
      <c r="CY2797" s="34" t="s">
        <v>3724</v>
      </c>
      <c r="CZ2797" s="35">
        <v>1.5308384703999998E-2</v>
      </c>
    </row>
    <row r="2798" spans="103:104" x14ac:dyDescent="0.3">
      <c r="CY2798" s="34" t="s">
        <v>3725</v>
      </c>
      <c r="CZ2798" s="35">
        <v>2.0278622912000003E-2</v>
      </c>
    </row>
    <row r="2799" spans="103:104" x14ac:dyDescent="0.3">
      <c r="CY2799" s="34" t="s">
        <v>3726</v>
      </c>
      <c r="CZ2799" s="35">
        <v>2.0278622912000003E-2</v>
      </c>
    </row>
    <row r="2800" spans="103:104" x14ac:dyDescent="0.3">
      <c r="CY2800" s="34" t="s">
        <v>3727</v>
      </c>
      <c r="CZ2800" s="35">
        <v>1.7487439088E-2</v>
      </c>
    </row>
    <row r="2801" spans="103:104" x14ac:dyDescent="0.3">
      <c r="CY2801" s="34" t="s">
        <v>3728</v>
      </c>
      <c r="CZ2801" s="35">
        <v>1.7487439088E-2</v>
      </c>
    </row>
    <row r="2802" spans="103:104" x14ac:dyDescent="0.3">
      <c r="CY2802" s="34" t="s">
        <v>3729</v>
      </c>
      <c r="CZ2802" s="35">
        <v>5.1737400000000002E-4</v>
      </c>
    </row>
    <row r="2803" spans="103:104" x14ac:dyDescent="0.3">
      <c r="CY2803" s="34" t="s">
        <v>3730</v>
      </c>
      <c r="CZ2803" s="35">
        <v>6.0754002400528794E-4</v>
      </c>
    </row>
    <row r="2804" spans="103:104" x14ac:dyDescent="0.3">
      <c r="CY2804" s="34" t="s">
        <v>3731</v>
      </c>
      <c r="CZ2804" s="35">
        <v>5.7860587185628741E-4</v>
      </c>
    </row>
    <row r="2805" spans="103:104" x14ac:dyDescent="0.3">
      <c r="CY2805" s="34" t="s">
        <v>3732</v>
      </c>
      <c r="CZ2805" s="35">
        <v>7.8733199999999996E-4</v>
      </c>
    </row>
    <row r="2806" spans="103:104" x14ac:dyDescent="0.3">
      <c r="CY2806" s="34" t="s">
        <v>3733</v>
      </c>
      <c r="CZ2806" s="35">
        <v>4.3097995200000005E-4</v>
      </c>
    </row>
    <row r="2807" spans="103:104" x14ac:dyDescent="0.3">
      <c r="CY2807" s="34" t="s">
        <v>3734</v>
      </c>
      <c r="CZ2807" s="35">
        <v>3.6679899360000001E-3</v>
      </c>
    </row>
    <row r="2808" spans="103:104" x14ac:dyDescent="0.3">
      <c r="CY2808" s="34" t="s">
        <v>3735</v>
      </c>
      <c r="CZ2808" s="35">
        <v>3.2524519040000002E-3</v>
      </c>
    </row>
    <row r="2809" spans="103:104" x14ac:dyDescent="0.3">
      <c r="CY2809" s="34" t="s">
        <v>3736</v>
      </c>
      <c r="CZ2809" s="35">
        <v>1.2776697439999998E-3</v>
      </c>
    </row>
    <row r="2810" spans="103:104" x14ac:dyDescent="0.3">
      <c r="CY2810" s="34" t="s">
        <v>3737</v>
      </c>
      <c r="CZ2810" s="35">
        <v>9.5875374393779647E-4</v>
      </c>
    </row>
    <row r="2811" spans="103:104" x14ac:dyDescent="0.3">
      <c r="CY2811" s="34" t="s">
        <v>3738</v>
      </c>
      <c r="CZ2811" s="35">
        <v>1.5102304880165289E-3</v>
      </c>
    </row>
    <row r="2812" spans="103:104" x14ac:dyDescent="0.3">
      <c r="CY2812" s="34" t="s">
        <v>3739</v>
      </c>
      <c r="CZ2812" s="35">
        <v>1.1996932479927738E-3</v>
      </c>
    </row>
    <row r="2813" spans="103:104" x14ac:dyDescent="0.3">
      <c r="CY2813" s="34" t="s">
        <v>3740</v>
      </c>
      <c r="CZ2813" s="35">
        <v>3.4041334080000003E-3</v>
      </c>
    </row>
    <row r="2814" spans="103:104" x14ac:dyDescent="0.3">
      <c r="CY2814" s="34" t="s">
        <v>3741</v>
      </c>
      <c r="CZ2814" s="35">
        <v>2.1966192560119043E-3</v>
      </c>
    </row>
    <row r="2815" spans="103:104" x14ac:dyDescent="0.3">
      <c r="CY2815" s="34" t="s">
        <v>3742</v>
      </c>
      <c r="CZ2815" s="35">
        <v>6.8676479040050645E-3</v>
      </c>
    </row>
    <row r="2816" spans="103:104" x14ac:dyDescent="0.3">
      <c r="CY2816" s="34" t="s">
        <v>3743</v>
      </c>
      <c r="CZ2816" s="35">
        <v>4.4941000000000002E-4</v>
      </c>
    </row>
    <row r="2817" spans="103:104" x14ac:dyDescent="0.3">
      <c r="CY2817" s="34" t="s">
        <v>3744</v>
      </c>
      <c r="CZ2817" s="35">
        <v>6.5225253599921788E-3</v>
      </c>
    </row>
    <row r="2818" spans="103:104" x14ac:dyDescent="0.3">
      <c r="CY2818" s="34" t="s">
        <v>3745</v>
      </c>
      <c r="CZ2818" s="35">
        <v>4.3500579200000001E-4</v>
      </c>
    </row>
    <row r="2819" spans="103:104" x14ac:dyDescent="0.3">
      <c r="CY2819" s="34" t="s">
        <v>3746</v>
      </c>
      <c r="CZ2819" s="35">
        <v>8.8459904000000008E-4</v>
      </c>
    </row>
    <row r="2820" spans="103:104" x14ac:dyDescent="0.3">
      <c r="CY2820" s="34" t="s">
        <v>3747</v>
      </c>
      <c r="CZ2820" s="35">
        <v>5.1099567999999998E-4</v>
      </c>
    </row>
    <row r="2821" spans="103:104" x14ac:dyDescent="0.3">
      <c r="CY2821" s="34" t="s">
        <v>3748</v>
      </c>
      <c r="CZ2821" s="35">
        <v>2.4616799999999995E-4</v>
      </c>
    </row>
    <row r="2822" spans="103:104" x14ac:dyDescent="0.3">
      <c r="CY2822" s="34" t="s">
        <v>3749</v>
      </c>
      <c r="CZ2822" s="35">
        <v>1.7429917439999998E-3</v>
      </c>
    </row>
    <row r="2823" spans="103:104" x14ac:dyDescent="0.3">
      <c r="CY2823" s="34" t="s">
        <v>3750</v>
      </c>
      <c r="CZ2823" s="35">
        <v>8.7679747999999994E-4</v>
      </c>
    </row>
    <row r="2824" spans="103:104" x14ac:dyDescent="0.3">
      <c r="CY2824" s="34" t="s">
        <v>3751</v>
      </c>
      <c r="CZ2824" s="35">
        <v>1.3346121359999999E-3</v>
      </c>
    </row>
    <row r="2825" spans="103:104" x14ac:dyDescent="0.3">
      <c r="CY2825" s="34" t="s">
        <v>3752</v>
      </c>
      <c r="CZ2825" s="35">
        <v>4.7678550400000002E-4</v>
      </c>
    </row>
    <row r="2826" spans="103:104" x14ac:dyDescent="0.3">
      <c r="CY2826" s="34" t="s">
        <v>3753</v>
      </c>
      <c r="CZ2826" s="35">
        <v>2.3602949760000002E-3</v>
      </c>
    </row>
    <row r="2827" spans="103:104" x14ac:dyDescent="0.3">
      <c r="CY2827" s="34" t="s">
        <v>3754</v>
      </c>
      <c r="CZ2827" s="35">
        <v>3.2193724162844039E-3</v>
      </c>
    </row>
    <row r="2828" spans="103:104" x14ac:dyDescent="0.3">
      <c r="CY2828" s="34" t="s">
        <v>3755</v>
      </c>
      <c r="CZ2828" s="35">
        <v>3.4613716800000003E-3</v>
      </c>
    </row>
    <row r="2829" spans="103:104" x14ac:dyDescent="0.3">
      <c r="CY2829" s="34" t="s">
        <v>3756</v>
      </c>
      <c r="CZ2829" s="35">
        <v>1.483377792E-3</v>
      </c>
    </row>
    <row r="2830" spans="103:104" x14ac:dyDescent="0.3">
      <c r="CY2830" s="34" t="s">
        <v>3757</v>
      </c>
      <c r="CZ2830" s="35">
        <v>8.0063031360000023E-3</v>
      </c>
    </row>
    <row r="2831" spans="103:104" x14ac:dyDescent="0.3">
      <c r="CY2831" s="34" t="s">
        <v>3758</v>
      </c>
      <c r="CZ2831" s="35">
        <v>3.034939856060606E-3</v>
      </c>
    </row>
    <row r="2832" spans="103:104" x14ac:dyDescent="0.3">
      <c r="CY2832" s="34" t="s">
        <v>3759</v>
      </c>
      <c r="CZ2832" s="35">
        <v>3.9652460640000001E-3</v>
      </c>
    </row>
    <row r="2833" spans="103:104" x14ac:dyDescent="0.3">
      <c r="CY2833" s="34" t="s">
        <v>3760</v>
      </c>
      <c r="CZ2833" s="35">
        <v>1.1073524072000001E-2</v>
      </c>
    </row>
    <row r="2834" spans="103:104" x14ac:dyDescent="0.3">
      <c r="CY2834" s="34" t="s">
        <v>3761</v>
      </c>
      <c r="CZ2834" s="35">
        <v>4.4313561599999994E-3</v>
      </c>
    </row>
    <row r="2835" spans="103:104" x14ac:dyDescent="0.3">
      <c r="CY2835" s="34" t="s">
        <v>3762</v>
      </c>
      <c r="CZ2835" s="35">
        <v>4.4313561599999994E-3</v>
      </c>
    </row>
    <row r="2836" spans="103:104" x14ac:dyDescent="0.3">
      <c r="CY2836" s="34" t="s">
        <v>3763</v>
      </c>
      <c r="CZ2836" s="35">
        <v>3.6312527680074837E-3</v>
      </c>
    </row>
    <row r="2837" spans="103:104" x14ac:dyDescent="0.3">
      <c r="CY2837" s="34" t="s">
        <v>3764</v>
      </c>
      <c r="CZ2837" s="35">
        <v>1.3805219999999999E-3</v>
      </c>
    </row>
    <row r="2838" spans="103:104" x14ac:dyDescent="0.3">
      <c r="CY2838" s="34" t="s">
        <v>3765</v>
      </c>
      <c r="CZ2838" s="35">
        <v>6.8027735360193754E-3</v>
      </c>
    </row>
    <row r="2839" spans="103:104" x14ac:dyDescent="0.3">
      <c r="CY2839" s="34" t="s">
        <v>3766</v>
      </c>
      <c r="CZ2839" s="35">
        <v>6.030340679860303E-3</v>
      </c>
    </row>
    <row r="2840" spans="103:104" x14ac:dyDescent="0.3">
      <c r="CY2840" s="34" t="s">
        <v>3767</v>
      </c>
      <c r="CZ2840" s="35">
        <v>3.962613928E-3</v>
      </c>
    </row>
    <row r="2841" spans="103:104" x14ac:dyDescent="0.3">
      <c r="CY2841" s="34" t="s">
        <v>3768</v>
      </c>
      <c r="CZ2841" s="35">
        <v>3.962613928E-3</v>
      </c>
    </row>
    <row r="2842" spans="103:104" x14ac:dyDescent="0.3">
      <c r="CY2842" s="34" t="s">
        <v>3769</v>
      </c>
      <c r="CZ2842" s="35">
        <v>5.0509195360000005E-3</v>
      </c>
    </row>
    <row r="2843" spans="103:104" x14ac:dyDescent="0.3">
      <c r="CY2843" s="34" t="s">
        <v>3770</v>
      </c>
      <c r="CZ2843" s="35">
        <v>6.4400050000000004E-3</v>
      </c>
    </row>
    <row r="2844" spans="103:104" x14ac:dyDescent="0.3">
      <c r="CY2844" s="34" t="s">
        <v>3771</v>
      </c>
      <c r="CZ2844" s="35">
        <v>1.9158754368075119E-2</v>
      </c>
    </row>
    <row r="2845" spans="103:104" x14ac:dyDescent="0.3">
      <c r="CY2845" s="34" t="s">
        <v>3772</v>
      </c>
      <c r="CZ2845" s="35">
        <v>1.1692342271915587E-2</v>
      </c>
    </row>
    <row r="2846" spans="103:104" x14ac:dyDescent="0.3">
      <c r="CY2846" s="34" t="s">
        <v>3773</v>
      </c>
      <c r="CZ2846" s="35">
        <v>3.6949498559519837E-3</v>
      </c>
    </row>
    <row r="2847" spans="103:104" x14ac:dyDescent="0.3">
      <c r="CY2847" s="34" t="s">
        <v>3774</v>
      </c>
      <c r="CZ2847" s="35">
        <v>5.577328847785978E-3</v>
      </c>
    </row>
    <row r="2848" spans="103:104" x14ac:dyDescent="0.3">
      <c r="CY2848" s="34" t="s">
        <v>3775</v>
      </c>
      <c r="CZ2848" s="35">
        <v>2.0923066111623617E-2</v>
      </c>
    </row>
    <row r="2849" spans="103:104" x14ac:dyDescent="0.3">
      <c r="CY2849" s="34" t="s">
        <v>3776</v>
      </c>
      <c r="CZ2849" s="35">
        <v>5.278930072E-3</v>
      </c>
    </row>
    <row r="2850" spans="103:104" x14ac:dyDescent="0.3">
      <c r="CY2850" s="34" t="s">
        <v>3777</v>
      </c>
      <c r="CZ2850" s="35">
        <v>4.2241838080357141E-3</v>
      </c>
    </row>
    <row r="2851" spans="103:104" x14ac:dyDescent="0.3">
      <c r="CY2851" s="34" t="s">
        <v>3778</v>
      </c>
      <c r="CZ2851" s="35">
        <v>8.5859529600805268E-4</v>
      </c>
    </row>
    <row r="2852" spans="103:104" x14ac:dyDescent="0.3">
      <c r="CY2852" s="34" t="s">
        <v>3779</v>
      </c>
      <c r="CZ2852" s="35">
        <v>4.0688281918819192E-3</v>
      </c>
    </row>
    <row r="2853" spans="103:104" x14ac:dyDescent="0.3">
      <c r="CY2853" s="34" t="s">
        <v>3780</v>
      </c>
      <c r="CZ2853" s="35">
        <v>7.5283106079335792E-3</v>
      </c>
    </row>
    <row r="2854" spans="103:104" x14ac:dyDescent="0.3">
      <c r="CY2854" s="34" t="s">
        <v>3781</v>
      </c>
      <c r="CZ2854" s="35">
        <v>1.3288167360023041E-2</v>
      </c>
    </row>
    <row r="2855" spans="103:104" x14ac:dyDescent="0.3">
      <c r="CY2855" s="34" t="s">
        <v>3782</v>
      </c>
      <c r="CZ2855" s="35">
        <v>4.2947598717712181E-3</v>
      </c>
    </row>
    <row r="2856" spans="103:104" x14ac:dyDescent="0.3">
      <c r="CY2856" s="34" t="s">
        <v>3783</v>
      </c>
      <c r="CZ2856" s="35">
        <v>6.9067581439114381E-3</v>
      </c>
    </row>
    <row r="2857" spans="103:104" x14ac:dyDescent="0.3">
      <c r="CY2857" s="34" t="s">
        <v>3784</v>
      </c>
      <c r="CZ2857" s="35">
        <v>3.8999999999999999E-5</v>
      </c>
    </row>
    <row r="2858" spans="103:104" x14ac:dyDescent="0.3">
      <c r="CY2858" s="34" t="s">
        <v>3785</v>
      </c>
      <c r="CZ2858" s="35">
        <v>3.5131199999999994E-2</v>
      </c>
    </row>
    <row r="2859" spans="103:104" x14ac:dyDescent="0.3">
      <c r="CY2859" s="34" t="s">
        <v>3786</v>
      </c>
      <c r="CZ2859" s="35">
        <v>3.5131199999999994E-2</v>
      </c>
    </row>
    <row r="2860" spans="103:104" x14ac:dyDescent="0.3">
      <c r="CY2860" s="34" t="s">
        <v>3787</v>
      </c>
      <c r="CZ2860" s="35">
        <v>0.101479053</v>
      </c>
    </row>
    <row r="2861" spans="103:104" x14ac:dyDescent="0.3">
      <c r="CY2861" s="34" t="s">
        <v>3788</v>
      </c>
      <c r="CZ2861" s="35">
        <v>4.8781576368000006E-2</v>
      </c>
    </row>
    <row r="2862" spans="103:104" x14ac:dyDescent="0.3">
      <c r="CY2862" s="34" t="s">
        <v>3789</v>
      </c>
      <c r="CZ2862" s="35">
        <v>3.8999999999999999E-5</v>
      </c>
    </row>
    <row r="2863" spans="103:104" x14ac:dyDescent="0.3">
      <c r="CY2863" s="34" t="s">
        <v>3790</v>
      </c>
      <c r="CZ2863" s="35">
        <v>8.9913199999999988E-3</v>
      </c>
    </row>
    <row r="2864" spans="103:104" x14ac:dyDescent="0.3">
      <c r="CY2864" s="34" t="s">
        <v>3791</v>
      </c>
      <c r="CZ2864" s="35">
        <v>1.8278840000000001E-3</v>
      </c>
    </row>
    <row r="2865" spans="103:104" x14ac:dyDescent="0.3">
      <c r="CY2865" s="34" t="s">
        <v>3792</v>
      </c>
      <c r="CZ2865" s="35">
        <v>4.5264149789999999E-2</v>
      </c>
    </row>
    <row r="2866" spans="103:104" x14ac:dyDescent="0.3">
      <c r="CY2866" s="34" t="s">
        <v>3793</v>
      </c>
      <c r="CZ2866" s="35">
        <v>1.1447425173333333E-2</v>
      </c>
    </row>
    <row r="2867" spans="103:104" x14ac:dyDescent="0.3">
      <c r="CY2867" s="34" t="s">
        <v>3794</v>
      </c>
      <c r="CZ2867" s="35">
        <v>1.9846292602E-2</v>
      </c>
    </row>
    <row r="2868" spans="103:104" x14ac:dyDescent="0.3">
      <c r="CY2868" s="34" t="s">
        <v>3795</v>
      </c>
      <c r="CZ2868" s="35">
        <v>7.0777077280000005E-3</v>
      </c>
    </row>
    <row r="2869" spans="103:104" x14ac:dyDescent="0.3">
      <c r="CY2869" s="34" t="s">
        <v>3796</v>
      </c>
      <c r="CZ2869" s="35">
        <v>5.3680102819999999E-2</v>
      </c>
    </row>
    <row r="2870" spans="103:104" x14ac:dyDescent="0.3">
      <c r="CY2870" s="34" t="s">
        <v>3797</v>
      </c>
      <c r="CZ2870" s="35">
        <v>8.0278334240000016E-3</v>
      </c>
    </row>
    <row r="2871" spans="103:104" x14ac:dyDescent="0.3">
      <c r="CY2871" s="34" t="s">
        <v>3798</v>
      </c>
      <c r="CZ2871" s="35">
        <v>8.5276722960000006E-3</v>
      </c>
    </row>
    <row r="2872" spans="103:104" x14ac:dyDescent="0.3">
      <c r="CY2872" s="34" t="s">
        <v>3799</v>
      </c>
      <c r="CZ2872" s="35">
        <v>7.4656948495999992E-2</v>
      </c>
    </row>
    <row r="2873" spans="103:104" x14ac:dyDescent="0.3">
      <c r="CY2873" s="34" t="s">
        <v>3800</v>
      </c>
      <c r="CZ2873" s="35">
        <v>2.8672806864000002E-2</v>
      </c>
    </row>
    <row r="2874" spans="103:104" x14ac:dyDescent="0.3">
      <c r="CY2874" s="34" t="s">
        <v>3801</v>
      </c>
      <c r="CZ2874" s="35">
        <v>3.4603253776000001E-2</v>
      </c>
    </row>
    <row r="2875" spans="103:104" x14ac:dyDescent="0.3">
      <c r="CY2875" s="34" t="s">
        <v>3802</v>
      </c>
      <c r="CZ2875" s="35">
        <v>5.7591981199999996E-3</v>
      </c>
    </row>
    <row r="2876" spans="103:104" x14ac:dyDescent="0.3">
      <c r="CY2876" s="34" t="s">
        <v>3803</v>
      </c>
      <c r="CZ2876" s="35">
        <v>1.2986126816000001E-2</v>
      </c>
    </row>
    <row r="2877" spans="103:104" x14ac:dyDescent="0.3">
      <c r="CY2877" s="34" t="s">
        <v>3804</v>
      </c>
      <c r="CZ2877" s="35">
        <v>5.1876589230000006E-3</v>
      </c>
    </row>
    <row r="2878" spans="103:104" x14ac:dyDescent="0.3">
      <c r="CY2878" s="34" t="s">
        <v>3805</v>
      </c>
      <c r="CZ2878" s="35">
        <v>4.5045032800000002E-4</v>
      </c>
    </row>
    <row r="2879" spans="103:104" x14ac:dyDescent="0.3">
      <c r="CY2879" s="34" t="s">
        <v>3806</v>
      </c>
      <c r="CZ2879" s="35">
        <v>1.7840462418999999E-3</v>
      </c>
    </row>
    <row r="2880" spans="103:104" x14ac:dyDescent="0.3">
      <c r="CY2880" s="34" t="s">
        <v>3807</v>
      </c>
      <c r="CZ2880" s="35">
        <v>5.7326191393333335E-4</v>
      </c>
    </row>
    <row r="2881" spans="103:104" x14ac:dyDescent="0.3">
      <c r="CY2881" s="34" t="s">
        <v>3808</v>
      </c>
      <c r="CZ2881" s="35">
        <v>7.8642362649999995E-3</v>
      </c>
    </row>
    <row r="2882" spans="103:104" x14ac:dyDescent="0.3">
      <c r="CY2882" s="34" t="s">
        <v>3809</v>
      </c>
      <c r="CZ2882" s="35">
        <v>0.12965519999999997</v>
      </c>
    </row>
    <row r="2883" spans="103:104" x14ac:dyDescent="0.3">
      <c r="CY2883" s="34" t="s">
        <v>3810</v>
      </c>
      <c r="CZ2883" s="35">
        <v>5.7747120288000608E-2</v>
      </c>
    </row>
    <row r="2884" spans="103:104" x14ac:dyDescent="0.3">
      <c r="CY2884" s="34" t="s">
        <v>3811</v>
      </c>
      <c r="CZ2884" s="35">
        <v>7.3280403871998148E-2</v>
      </c>
    </row>
    <row r="2885" spans="103:104" x14ac:dyDescent="0.3">
      <c r="CY2885" s="34" t="s">
        <v>3812</v>
      </c>
      <c r="CZ2885" s="35">
        <v>6.9467460191999994E-2</v>
      </c>
    </row>
    <row r="2886" spans="103:104" x14ac:dyDescent="0.3">
      <c r="CY2886" s="34" t="s">
        <v>3813</v>
      </c>
      <c r="CZ2886" s="35">
        <v>5.8978419968009906E-2</v>
      </c>
    </row>
    <row r="2887" spans="103:104" x14ac:dyDescent="0.3">
      <c r="CY2887" s="34" t="s">
        <v>3814</v>
      </c>
      <c r="CZ2887" s="35">
        <v>3.2990040383958333E-3</v>
      </c>
    </row>
    <row r="2888" spans="103:104" x14ac:dyDescent="0.3">
      <c r="CY2888" s="34" t="s">
        <v>3815</v>
      </c>
      <c r="CZ2888" s="35">
        <v>9.6307424906679998E-2</v>
      </c>
    </row>
    <row r="2889" spans="103:104" x14ac:dyDescent="0.3">
      <c r="CY2889" s="34" t="s">
        <v>3816</v>
      </c>
      <c r="CZ2889" s="35">
        <v>2.7378197600000003E-3</v>
      </c>
    </row>
    <row r="2890" spans="103:104" x14ac:dyDescent="0.3">
      <c r="CY2890" s="34" t="s">
        <v>3817</v>
      </c>
      <c r="CZ2890" s="35">
        <v>1.2592808160000002E-3</v>
      </c>
    </row>
    <row r="2891" spans="103:104" x14ac:dyDescent="0.3">
      <c r="CY2891" s="34" t="s">
        <v>3818</v>
      </c>
      <c r="CZ2891" s="35">
        <v>9.0138297599999995E-4</v>
      </c>
    </row>
    <row r="2892" spans="103:104" x14ac:dyDescent="0.3">
      <c r="CY2892" s="34" t="s">
        <v>3819</v>
      </c>
      <c r="CZ2892" s="35">
        <v>5.3419975679999997E-3</v>
      </c>
    </row>
    <row r="2893" spans="103:104" x14ac:dyDescent="0.3">
      <c r="CY2893" s="34" t="s">
        <v>3820</v>
      </c>
      <c r="CZ2893" s="35">
        <v>4.2243559039999998E-3</v>
      </c>
    </row>
    <row r="2894" spans="103:104" x14ac:dyDescent="0.3">
      <c r="CY2894" s="34" t="s">
        <v>3821</v>
      </c>
      <c r="CZ2894" s="35">
        <v>5.6737518239999993E-2</v>
      </c>
    </row>
    <row r="2895" spans="103:104" x14ac:dyDescent="0.3">
      <c r="CY2895" s="34" t="s">
        <v>3822</v>
      </c>
      <c r="CZ2895" s="35">
        <v>4.8300609539999997E-2</v>
      </c>
    </row>
    <row r="2896" spans="103:104" x14ac:dyDescent="0.3">
      <c r="CY2896" s="34" t="s">
        <v>3823</v>
      </c>
      <c r="CZ2896" s="35">
        <v>0.46496234623999999</v>
      </c>
    </row>
    <row r="2897" spans="103:104" x14ac:dyDescent="0.3">
      <c r="CY2897" s="34" t="s">
        <v>3824</v>
      </c>
      <c r="CZ2897" s="35">
        <v>0.46496234623999999</v>
      </c>
    </row>
    <row r="2898" spans="103:104" x14ac:dyDescent="0.3">
      <c r="CY2898" s="34" t="s">
        <v>3825</v>
      </c>
      <c r="CZ2898" s="35">
        <v>2.3086536511999999E-2</v>
      </c>
    </row>
    <row r="2899" spans="103:104" x14ac:dyDescent="0.3">
      <c r="CY2899" s="34" t="s">
        <v>3826</v>
      </c>
      <c r="CZ2899" s="35">
        <v>2.7442385433599999E-4</v>
      </c>
    </row>
    <row r="2900" spans="103:104" x14ac:dyDescent="0.3">
      <c r="CY2900" s="34" t="s">
        <v>3827</v>
      </c>
      <c r="CZ2900" s="35">
        <v>7.8677040000000014E-3</v>
      </c>
    </row>
    <row r="2901" spans="103:104" x14ac:dyDescent="0.3">
      <c r="CY2901" s="34" t="s">
        <v>3828</v>
      </c>
      <c r="CZ2901" s="35">
        <v>1.4219745280000001E-2</v>
      </c>
    </row>
    <row r="2902" spans="103:104" x14ac:dyDescent="0.3">
      <c r="CY2902" s="34" t="s">
        <v>3829</v>
      </c>
      <c r="CZ2902" s="35">
        <v>3.7370210591999999E-2</v>
      </c>
    </row>
    <row r="2903" spans="103:104" x14ac:dyDescent="0.3">
      <c r="CY2903" s="34" t="s">
        <v>3830</v>
      </c>
      <c r="CZ2903" s="35">
        <v>7.0961647079999995E-2</v>
      </c>
    </row>
    <row r="2904" spans="103:104" x14ac:dyDescent="0.3">
      <c r="CY2904" s="34" t="s">
        <v>3831</v>
      </c>
      <c r="CZ2904" s="35">
        <v>3.6794932837333337E-2</v>
      </c>
    </row>
    <row r="2905" spans="103:104" x14ac:dyDescent="0.3">
      <c r="CY2905" s="34" t="s">
        <v>3832</v>
      </c>
      <c r="CZ2905" s="35">
        <v>2.1074085536000001E-2</v>
      </c>
    </row>
    <row r="2906" spans="103:104" x14ac:dyDescent="0.3">
      <c r="CY2906" s="34" t="s">
        <v>3833</v>
      </c>
      <c r="CZ2906" s="35">
        <v>2.4290561300000003E-2</v>
      </c>
    </row>
    <row r="2907" spans="103:104" x14ac:dyDescent="0.3">
      <c r="CY2907" s="34" t="s">
        <v>3834</v>
      </c>
      <c r="CZ2907" s="35">
        <v>1.1793711072000002E-2</v>
      </c>
    </row>
    <row r="2908" spans="103:104" x14ac:dyDescent="0.3">
      <c r="CY2908" s="34" t="s">
        <v>3835</v>
      </c>
      <c r="CZ2908" s="35">
        <v>1.5027400960000001E-2</v>
      </c>
    </row>
    <row r="2909" spans="103:104" x14ac:dyDescent="0.3">
      <c r="CY2909" s="34" t="s">
        <v>3836</v>
      </c>
      <c r="CZ2909" s="35">
        <v>4.5715712853333333E-3</v>
      </c>
    </row>
    <row r="2910" spans="103:104" x14ac:dyDescent="0.3">
      <c r="CY2910" s="34" t="s">
        <v>3837</v>
      </c>
      <c r="CZ2910" s="35">
        <v>1.0758827439999999E-3</v>
      </c>
    </row>
    <row r="2911" spans="103:104" x14ac:dyDescent="0.3">
      <c r="CY2911" s="34" t="s">
        <v>3838</v>
      </c>
      <c r="CZ2911" s="35">
        <v>6.5575579272727277E-4</v>
      </c>
    </row>
    <row r="2912" spans="103:104" x14ac:dyDescent="0.3">
      <c r="CY2912" s="34" t="s">
        <v>3839</v>
      </c>
      <c r="CZ2912" s="35">
        <v>3.2019084480000002E-3</v>
      </c>
    </row>
    <row r="2913" spans="103:104" x14ac:dyDescent="0.3">
      <c r="CY2913" s="34" t="s">
        <v>3840</v>
      </c>
      <c r="CZ2913" s="35">
        <v>9.7396989066666682E-4</v>
      </c>
    </row>
    <row r="2914" spans="103:104" x14ac:dyDescent="0.3">
      <c r="CY2914" s="34" t="s">
        <v>3841</v>
      </c>
      <c r="CZ2914" s="35">
        <v>9.7396980733333342E-4</v>
      </c>
    </row>
    <row r="2915" spans="103:104" x14ac:dyDescent="0.3">
      <c r="CY2915" s="34" t="s">
        <v>3842</v>
      </c>
      <c r="CZ2915" s="35">
        <v>4.7601023199999996E-4</v>
      </c>
    </row>
    <row r="2916" spans="103:104" x14ac:dyDescent="0.3">
      <c r="CY2916" s="34" t="s">
        <v>3843</v>
      </c>
      <c r="CZ2916" s="35">
        <v>4.9782668624E-2</v>
      </c>
    </row>
    <row r="2917" spans="103:104" x14ac:dyDescent="0.3">
      <c r="CY2917" s="34" t="s">
        <v>3844</v>
      </c>
      <c r="CZ2917" s="35">
        <v>8.2095992160000006E-3</v>
      </c>
    </row>
    <row r="2918" spans="103:104" x14ac:dyDescent="0.3">
      <c r="CY2918" s="34" t="s">
        <v>3845</v>
      </c>
      <c r="CZ2918" s="35">
        <v>5.179542992E-3</v>
      </c>
    </row>
    <row r="2919" spans="103:104" x14ac:dyDescent="0.3">
      <c r="CY2919" s="34" t="s">
        <v>3846</v>
      </c>
      <c r="CZ2919" s="35">
        <v>1.5440460568000003E-2</v>
      </c>
    </row>
    <row r="2920" spans="103:104" x14ac:dyDescent="0.3">
      <c r="CY2920" s="34" t="s">
        <v>3847</v>
      </c>
      <c r="CZ2920" s="35">
        <v>6.2438441623999995E-2</v>
      </c>
    </row>
    <row r="2921" spans="103:104" x14ac:dyDescent="0.3">
      <c r="CY2921" s="34" t="s">
        <v>3848</v>
      </c>
      <c r="CZ2921" s="35">
        <v>1.4362479040000002E-3</v>
      </c>
    </row>
    <row r="2922" spans="103:104" x14ac:dyDescent="0.3">
      <c r="CY2922" s="34" t="s">
        <v>3849</v>
      </c>
      <c r="CZ2922" s="35">
        <v>2.248008256E-3</v>
      </c>
    </row>
    <row r="2923" spans="103:104" x14ac:dyDescent="0.3">
      <c r="CY2923" s="34" t="s">
        <v>3850</v>
      </c>
      <c r="CZ2923" s="35">
        <v>1.8270017999999999E-2</v>
      </c>
    </row>
    <row r="2924" spans="103:104" x14ac:dyDescent="0.3">
      <c r="CY2924" s="34" t="s">
        <v>3851</v>
      </c>
      <c r="CZ2924" s="35">
        <v>0.44156107319999999</v>
      </c>
    </row>
    <row r="2925" spans="103:104" x14ac:dyDescent="0.3">
      <c r="CY2925" s="34" t="s">
        <v>3852</v>
      </c>
      <c r="CZ2925" s="35">
        <v>1.5639062295999998E-2</v>
      </c>
    </row>
    <row r="2926" spans="103:104" x14ac:dyDescent="0.3">
      <c r="CY2926" s="34" t="s">
        <v>3853</v>
      </c>
      <c r="CZ2926" s="35">
        <v>0.25877161135999999</v>
      </c>
    </row>
    <row r="2927" spans="103:104" x14ac:dyDescent="0.3">
      <c r="CY2927" s="34" t="s">
        <v>3854</v>
      </c>
      <c r="CZ2927" s="35">
        <v>0.25877161135999999</v>
      </c>
    </row>
    <row r="2928" spans="103:104" x14ac:dyDescent="0.3">
      <c r="CY2928" s="34" t="s">
        <v>3855</v>
      </c>
      <c r="CZ2928" s="35">
        <v>1.94850656E-3</v>
      </c>
    </row>
    <row r="2929" spans="103:104" x14ac:dyDescent="0.3">
      <c r="CY2929" s="34" t="s">
        <v>3856</v>
      </c>
      <c r="CZ2929" s="35">
        <v>1.999702848E-3</v>
      </c>
    </row>
    <row r="2930" spans="103:104" x14ac:dyDescent="0.3">
      <c r="CY2930" s="34" t="s">
        <v>3857</v>
      </c>
      <c r="CZ2930" s="35">
        <v>2.5634510719999997E-3</v>
      </c>
    </row>
    <row r="2931" spans="103:104" x14ac:dyDescent="0.3">
      <c r="CY2931" s="34" t="s">
        <v>3858</v>
      </c>
      <c r="CZ2931" s="35">
        <v>2.358847296E-3</v>
      </c>
    </row>
    <row r="2932" spans="103:104" x14ac:dyDescent="0.3">
      <c r="CY2932" s="34" t="s">
        <v>3859</v>
      </c>
      <c r="CZ2932" s="35">
        <v>1.3657961408000002E-2</v>
      </c>
    </row>
    <row r="2933" spans="103:104" x14ac:dyDescent="0.3">
      <c r="CY2933" s="34" t="s">
        <v>3860</v>
      </c>
      <c r="CZ2933" s="35">
        <v>3.8881168456000002E-2</v>
      </c>
    </row>
    <row r="2934" spans="103:104" x14ac:dyDescent="0.3">
      <c r="CY2934" s="34" t="s">
        <v>3861</v>
      </c>
      <c r="CZ2934" s="35">
        <v>3.7574524624000002E-2</v>
      </c>
    </row>
    <row r="2935" spans="103:104" x14ac:dyDescent="0.3">
      <c r="CY2935" s="34" t="s">
        <v>3862</v>
      </c>
      <c r="CZ2935" s="35">
        <v>5.5347302400000006E-3</v>
      </c>
    </row>
    <row r="2936" spans="103:104" x14ac:dyDescent="0.3">
      <c r="CY2936" s="34" t="s">
        <v>3863</v>
      </c>
      <c r="CZ2936" s="35">
        <v>1.6902032000000004E-2</v>
      </c>
    </row>
    <row r="2937" spans="103:104" x14ac:dyDescent="0.3">
      <c r="CY2937" s="34" t="s">
        <v>3864</v>
      </c>
      <c r="CZ2937" s="35">
        <v>2.2303205600000004E-3</v>
      </c>
    </row>
    <row r="2938" spans="103:104" x14ac:dyDescent="0.3">
      <c r="CY2938" s="34" t="s">
        <v>3865</v>
      </c>
      <c r="CZ2938" s="35">
        <v>1.1544422150000003E-3</v>
      </c>
    </row>
    <row r="2939" spans="103:104" x14ac:dyDescent="0.3">
      <c r="CY2939" s="34" t="s">
        <v>3866</v>
      </c>
      <c r="CZ2939" s="35">
        <v>9.029428220800001E-2</v>
      </c>
    </row>
    <row r="2940" spans="103:104" x14ac:dyDescent="0.3">
      <c r="CY2940" s="34" t="s">
        <v>3867</v>
      </c>
      <c r="CZ2940" s="35">
        <v>7.7860458623999998E-2</v>
      </c>
    </row>
    <row r="2941" spans="103:104" x14ac:dyDescent="0.3">
      <c r="CY2941" s="34" t="s">
        <v>3868</v>
      </c>
      <c r="CZ2941" s="35">
        <v>8.5209564751999992E-2</v>
      </c>
    </row>
    <row r="2942" spans="103:104" x14ac:dyDescent="0.3">
      <c r="CY2942" s="34" t="s">
        <v>3869</v>
      </c>
      <c r="CZ2942" s="35">
        <v>2.6803030591666669E-2</v>
      </c>
    </row>
    <row r="2943" spans="103:104" x14ac:dyDescent="0.3">
      <c r="CY2943" s="34" t="s">
        <v>3870</v>
      </c>
      <c r="CZ2943" s="35">
        <v>1.1373248640000002E-2</v>
      </c>
    </row>
    <row r="2944" spans="103:104" x14ac:dyDescent="0.3">
      <c r="CY2944" s="34" t="s">
        <v>3871</v>
      </c>
      <c r="CZ2944" s="35">
        <v>2.0023650816000001E-2</v>
      </c>
    </row>
    <row r="2945" spans="103:104" x14ac:dyDescent="0.3">
      <c r="CY2945" s="34" t="s">
        <v>3872</v>
      </c>
      <c r="CZ2945" s="35">
        <v>2.0609832048000001E-2</v>
      </c>
    </row>
    <row r="2946" spans="103:104" x14ac:dyDescent="0.3">
      <c r="CY2946" s="34" t="s">
        <v>3873</v>
      </c>
      <c r="CZ2946" s="35">
        <v>2.6803030592222221E-2</v>
      </c>
    </row>
    <row r="2947" spans="103:104" x14ac:dyDescent="0.3">
      <c r="CY2947" s="34" t="s">
        <v>3874</v>
      </c>
      <c r="CZ2947" s="35">
        <v>1.137324864E-2</v>
      </c>
    </row>
    <row r="2948" spans="103:104" x14ac:dyDescent="0.3">
      <c r="CY2948" s="34" t="s">
        <v>3875</v>
      </c>
      <c r="CZ2948" s="35">
        <v>4.1958176000000003E-4</v>
      </c>
    </row>
    <row r="2949" spans="103:104" x14ac:dyDescent="0.3">
      <c r="CY2949" s="34" t="s">
        <v>3876</v>
      </c>
      <c r="CZ2949" s="35">
        <v>1.7296502704000002E-2</v>
      </c>
    </row>
    <row r="2950" spans="103:104" x14ac:dyDescent="0.3">
      <c r="CY2950" s="34" t="s">
        <v>3877</v>
      </c>
      <c r="CZ2950" s="35">
        <v>5.9461916799999999E-4</v>
      </c>
    </row>
    <row r="2951" spans="103:104" x14ac:dyDescent="0.3">
      <c r="CY2951" s="34" t="s">
        <v>3878</v>
      </c>
      <c r="CZ2951" s="35">
        <v>3.0428168159999996E-3</v>
      </c>
    </row>
    <row r="2952" spans="103:104" x14ac:dyDescent="0.3">
      <c r="CY2952" s="34" t="s">
        <v>3879</v>
      </c>
      <c r="CZ2952" s="35">
        <v>1.5468707279999998E-3</v>
      </c>
    </row>
    <row r="2953" spans="103:104" x14ac:dyDescent="0.3">
      <c r="CY2953" s="34" t="s">
        <v>3880</v>
      </c>
      <c r="CZ2953" s="35">
        <v>1.0226430540000002E-3</v>
      </c>
    </row>
    <row r="2954" spans="103:104" x14ac:dyDescent="0.3">
      <c r="CY2954" s="34" t="s">
        <v>3881</v>
      </c>
      <c r="CZ2954" s="35">
        <v>5.8907313919999999E-3</v>
      </c>
    </row>
    <row r="2955" spans="103:104" x14ac:dyDescent="0.3">
      <c r="CY2955" s="34" t="s">
        <v>3882</v>
      </c>
      <c r="CZ2955" s="35">
        <v>5.6484467040000007E-2</v>
      </c>
    </row>
    <row r="2956" spans="103:104" x14ac:dyDescent="0.3">
      <c r="CY2956" s="34" t="s">
        <v>3883</v>
      </c>
      <c r="CZ2956" s="35">
        <v>8.3323344000000004E-4</v>
      </c>
    </row>
    <row r="2957" spans="103:104" x14ac:dyDescent="0.3">
      <c r="CY2957" s="34" t="s">
        <v>3884</v>
      </c>
      <c r="CZ2957" s="35">
        <v>1.1551029439999999E-2</v>
      </c>
    </row>
    <row r="2958" spans="103:104" x14ac:dyDescent="0.3">
      <c r="CY2958" s="34" t="s">
        <v>3885</v>
      </c>
      <c r="CZ2958" s="35">
        <v>1.1551029439999999E-2</v>
      </c>
    </row>
    <row r="2959" spans="103:104" x14ac:dyDescent="0.3">
      <c r="CY2959" s="34" t="s">
        <v>3886</v>
      </c>
      <c r="CZ2959" s="35">
        <v>1.1785166016000001E-2</v>
      </c>
    </row>
    <row r="2960" spans="103:104" x14ac:dyDescent="0.3">
      <c r="CY2960" s="34" t="s">
        <v>3887</v>
      </c>
      <c r="CZ2960" s="35">
        <v>1.1785166016000001E-2</v>
      </c>
    </row>
    <row r="2961" spans="103:104" x14ac:dyDescent="0.3">
      <c r="CY2961" s="34" t="s">
        <v>3888</v>
      </c>
      <c r="CZ2961" s="35">
        <v>2.3816226928000003E-2</v>
      </c>
    </row>
    <row r="2962" spans="103:104" x14ac:dyDescent="0.3">
      <c r="CY2962" s="34" t="s">
        <v>3889</v>
      </c>
      <c r="CZ2962" s="35">
        <v>6.2465684735999998E-2</v>
      </c>
    </row>
    <row r="2963" spans="103:104" x14ac:dyDescent="0.3">
      <c r="CY2963" s="34" t="s">
        <v>3890</v>
      </c>
      <c r="CZ2963" s="35">
        <v>2.7275167999999999E-2</v>
      </c>
    </row>
    <row r="2964" spans="103:104" x14ac:dyDescent="0.3">
      <c r="CY2964" s="34" t="s">
        <v>3891</v>
      </c>
      <c r="CZ2964" s="35">
        <v>2.4639395040000005E-2</v>
      </c>
    </row>
    <row r="2965" spans="103:104" x14ac:dyDescent="0.3">
      <c r="CY2965" s="34" t="s">
        <v>3892</v>
      </c>
      <c r="CZ2965" s="35">
        <v>8.6262191535999996E-2</v>
      </c>
    </row>
    <row r="2966" spans="103:104" x14ac:dyDescent="0.3">
      <c r="CY2966" s="34" t="s">
        <v>3893</v>
      </c>
      <c r="CZ2966" s="35">
        <v>1.0320269950000001E-3</v>
      </c>
    </row>
    <row r="2967" spans="103:104" x14ac:dyDescent="0.3">
      <c r="CY2967" s="34" t="s">
        <v>3894</v>
      </c>
      <c r="CZ2967" s="35">
        <v>9.0873200000000009E-4</v>
      </c>
    </row>
    <row r="2968" spans="103:104" x14ac:dyDescent="0.3">
      <c r="CY2968" s="34" t="s">
        <v>3895</v>
      </c>
      <c r="CZ2968" s="35">
        <v>6.9315689600000004E-3</v>
      </c>
    </row>
    <row r="2969" spans="103:104" x14ac:dyDescent="0.3">
      <c r="CY2969" s="34" t="s">
        <v>3896</v>
      </c>
      <c r="CZ2969" s="35">
        <v>9.4418220000000008E-3</v>
      </c>
    </row>
    <row r="2970" spans="103:104" x14ac:dyDescent="0.3">
      <c r="CY2970" s="34" t="s">
        <v>3897</v>
      </c>
      <c r="CZ2970" s="35">
        <v>1.7051919767999999E-2</v>
      </c>
    </row>
    <row r="2971" spans="103:104" x14ac:dyDescent="0.3">
      <c r="CY2971" s="34" t="s">
        <v>3898</v>
      </c>
      <c r="CZ2971" s="35">
        <v>8.0354206399999993E-4</v>
      </c>
    </row>
    <row r="2972" spans="103:104" x14ac:dyDescent="0.3">
      <c r="CY2972" s="34" t="s">
        <v>3899</v>
      </c>
      <c r="CZ2972" s="35">
        <v>5.6959406399999994E-4</v>
      </c>
    </row>
    <row r="2973" spans="103:104" x14ac:dyDescent="0.3">
      <c r="CY2973" s="34" t="s">
        <v>3900</v>
      </c>
      <c r="CZ2973" s="35">
        <v>1.694416048E-3</v>
      </c>
    </row>
    <row r="2974" spans="103:104" x14ac:dyDescent="0.3">
      <c r="CY2974" s="34" t="s">
        <v>3901</v>
      </c>
      <c r="CZ2974" s="35">
        <v>1.1356175999999998E-3</v>
      </c>
    </row>
    <row r="2975" spans="103:104" x14ac:dyDescent="0.3">
      <c r="CY2975" s="34" t="s">
        <v>3902</v>
      </c>
      <c r="CZ2975" s="35">
        <v>9.6960403279999999E-3</v>
      </c>
    </row>
    <row r="2976" spans="103:104" x14ac:dyDescent="0.3">
      <c r="CY2976" s="34" t="s">
        <v>3903</v>
      </c>
      <c r="CZ2976" s="35">
        <v>0.12315351661599999</v>
      </c>
    </row>
    <row r="2977" spans="103:104" x14ac:dyDescent="0.3">
      <c r="CY2977" s="34" t="s">
        <v>3904</v>
      </c>
      <c r="CZ2977" s="35">
        <v>8.9607709048E-2</v>
      </c>
    </row>
    <row r="2978" spans="103:104" x14ac:dyDescent="0.3">
      <c r="CY2978" s="34" t="s">
        <v>3905</v>
      </c>
      <c r="CZ2978" s="35">
        <v>1.5123989919999998E-3</v>
      </c>
    </row>
    <row r="2979" spans="103:104" x14ac:dyDescent="0.3">
      <c r="CY2979" s="34" t="s">
        <v>3906</v>
      </c>
      <c r="CZ2979" s="35">
        <v>1.1843547248000002E-2</v>
      </c>
    </row>
    <row r="2980" spans="103:104" x14ac:dyDescent="0.3">
      <c r="CY2980" s="34" t="s">
        <v>3907</v>
      </c>
      <c r="CZ2980" s="35">
        <v>4.6725878783999995E-2</v>
      </c>
    </row>
    <row r="2981" spans="103:104" x14ac:dyDescent="0.3">
      <c r="CY2981" s="34" t="s">
        <v>3908</v>
      </c>
      <c r="CZ2981" s="35">
        <v>5.5239911999999992E-4</v>
      </c>
    </row>
    <row r="2982" spans="103:104" x14ac:dyDescent="0.3">
      <c r="CY2982" s="34" t="s">
        <v>3909</v>
      </c>
      <c r="CZ2982" s="35">
        <v>4.8345072295999998E-2</v>
      </c>
    </row>
    <row r="2983" spans="103:104" x14ac:dyDescent="0.3">
      <c r="CY2983" s="34" t="s">
        <v>3910</v>
      </c>
      <c r="CZ2983" s="35">
        <v>3.887074032E-2</v>
      </c>
    </row>
    <row r="2984" spans="103:104" x14ac:dyDescent="0.3">
      <c r="CY2984" s="34" t="s">
        <v>3911</v>
      </c>
      <c r="CZ2984" s="35">
        <v>3.1179367304000002E-2</v>
      </c>
    </row>
    <row r="2985" spans="103:104" x14ac:dyDescent="0.3">
      <c r="CY2985" s="34" t="s">
        <v>3912</v>
      </c>
      <c r="CZ2985" s="35">
        <v>4.124509376E-4</v>
      </c>
    </row>
    <row r="2986" spans="103:104" x14ac:dyDescent="0.3">
      <c r="CY2986" s="34" t="s">
        <v>3913</v>
      </c>
      <c r="CZ2986" s="35">
        <v>5.6283691359999995E-4</v>
      </c>
    </row>
    <row r="2987" spans="103:104" x14ac:dyDescent="0.3">
      <c r="CY2987" s="34" t="s">
        <v>3914</v>
      </c>
      <c r="CZ2987" s="35">
        <v>4.333068064E-4</v>
      </c>
    </row>
    <row r="2988" spans="103:104" x14ac:dyDescent="0.3">
      <c r="CY2988" s="34" t="s">
        <v>3915</v>
      </c>
      <c r="CZ2988" s="35">
        <v>5.4526434560000006E-4</v>
      </c>
    </row>
    <row r="2989" spans="103:104" x14ac:dyDescent="0.3">
      <c r="CY2989" s="34" t="s">
        <v>3916</v>
      </c>
      <c r="CZ2989" s="35">
        <v>5.1993539520000002E-4</v>
      </c>
    </row>
    <row r="2990" spans="103:104" x14ac:dyDescent="0.3">
      <c r="CY2990" s="34" t="s">
        <v>3917</v>
      </c>
      <c r="CZ2990" s="35">
        <v>5.3001994240740749E-4</v>
      </c>
    </row>
    <row r="2991" spans="103:104" x14ac:dyDescent="0.3">
      <c r="CY2991" s="34" t="s">
        <v>3918</v>
      </c>
      <c r="CZ2991" s="35">
        <v>4.333068064E-4</v>
      </c>
    </row>
    <row r="2992" spans="103:104" x14ac:dyDescent="0.3">
      <c r="CY2992" s="34" t="s">
        <v>3919</v>
      </c>
      <c r="CZ2992" s="35">
        <v>2.7387930510000004E-4</v>
      </c>
    </row>
    <row r="2993" spans="103:104" x14ac:dyDescent="0.3">
      <c r="CY2993" s="34" t="s">
        <v>3920</v>
      </c>
      <c r="CZ2993" s="35">
        <v>4.6407640689999997E-4</v>
      </c>
    </row>
    <row r="2994" spans="103:104" x14ac:dyDescent="0.3">
      <c r="CY2994" s="34" t="s">
        <v>3921</v>
      </c>
      <c r="CZ2994" s="35">
        <v>3.7813199543000001E-4</v>
      </c>
    </row>
    <row r="2995" spans="103:104" x14ac:dyDescent="0.3">
      <c r="CY2995" s="34" t="s">
        <v>3922</v>
      </c>
      <c r="CZ2995" s="35">
        <v>4.1336220345000003E-4</v>
      </c>
    </row>
    <row r="2996" spans="103:104" x14ac:dyDescent="0.3">
      <c r="CY2996" s="34" t="s">
        <v>3923</v>
      </c>
      <c r="CZ2996" s="35">
        <v>5.6600576454999998E-4</v>
      </c>
    </row>
    <row r="2997" spans="103:104" x14ac:dyDescent="0.3">
      <c r="CY2997" s="34" t="s">
        <v>3924</v>
      </c>
      <c r="CZ2997" s="35">
        <v>3.7813199545000002E-4</v>
      </c>
    </row>
    <row r="2998" spans="103:104" x14ac:dyDescent="0.3">
      <c r="CY2998" s="34" t="s">
        <v>3925</v>
      </c>
      <c r="CZ2998" s="35">
        <v>0.10086632</v>
      </c>
    </row>
    <row r="2999" spans="103:104" x14ac:dyDescent="0.3">
      <c r="CY2999" s="34" t="s">
        <v>3926</v>
      </c>
      <c r="CZ2999" s="35">
        <v>4.2032801696000002E-2</v>
      </c>
    </row>
    <row r="3000" spans="103:104" x14ac:dyDescent="0.3">
      <c r="CY3000" s="34" t="s">
        <v>3927</v>
      </c>
      <c r="CZ3000" s="35">
        <v>0.14047378904000002</v>
      </c>
    </row>
    <row r="3001" spans="103:104" x14ac:dyDescent="0.3">
      <c r="CY3001" s="34" t="s">
        <v>3928</v>
      </c>
      <c r="CZ3001" s="35">
        <v>3.9896933439999997E-2</v>
      </c>
    </row>
    <row r="3002" spans="103:104" x14ac:dyDescent="0.3">
      <c r="CY3002" s="34" t="s">
        <v>3929</v>
      </c>
      <c r="CZ3002" s="35">
        <v>5.3485101695999994E-2</v>
      </c>
    </row>
    <row r="3003" spans="103:104" x14ac:dyDescent="0.3">
      <c r="CY3003" s="34" t="s">
        <v>3930</v>
      </c>
      <c r="CZ3003" s="35">
        <v>1.4637197848000001E-2</v>
      </c>
    </row>
    <row r="3004" spans="103:104" x14ac:dyDescent="0.3">
      <c r="CY3004" s="34" t="s">
        <v>3931</v>
      </c>
      <c r="CZ3004" s="35">
        <v>0.13462951039200002</v>
      </c>
    </row>
    <row r="3005" spans="103:104" x14ac:dyDescent="0.3">
      <c r="CY3005" s="34" t="s">
        <v>3932</v>
      </c>
      <c r="CZ3005" s="35">
        <v>9.978774000000001E-3</v>
      </c>
    </row>
    <row r="3006" spans="103:104" x14ac:dyDescent="0.3">
      <c r="CY3006" s="34" t="s">
        <v>3933</v>
      </c>
      <c r="CZ3006" s="35">
        <v>9.978774000000001E-3</v>
      </c>
    </row>
    <row r="3007" spans="103:104" x14ac:dyDescent="0.3">
      <c r="CY3007" s="34" t="s">
        <v>3934</v>
      </c>
      <c r="CZ3007" s="35">
        <v>0.1207326728</v>
      </c>
    </row>
    <row r="3008" spans="103:104" x14ac:dyDescent="0.3">
      <c r="CY3008" s="34" t="s">
        <v>3935</v>
      </c>
      <c r="CZ3008" s="35">
        <v>2.3935212848000001E-2</v>
      </c>
    </row>
    <row r="3009" spans="103:104" x14ac:dyDescent="0.3">
      <c r="CY3009" s="34" t="s">
        <v>3936</v>
      </c>
      <c r="CZ3009" s="35">
        <v>2.9508136424000003E-2</v>
      </c>
    </row>
    <row r="3010" spans="103:104" x14ac:dyDescent="0.3">
      <c r="CY3010" s="34" t="s">
        <v>3937</v>
      </c>
      <c r="CZ3010" s="35">
        <v>1.5538294704E-2</v>
      </c>
    </row>
    <row r="3011" spans="103:104" x14ac:dyDescent="0.3">
      <c r="CY3011" s="34" t="s">
        <v>3938</v>
      </c>
      <c r="CZ3011" s="35">
        <v>8.1996263199999989E-4</v>
      </c>
    </row>
    <row r="3012" spans="103:104" x14ac:dyDescent="0.3">
      <c r="CY3012" s="34" t="s">
        <v>3939</v>
      </c>
      <c r="CZ3012" s="35">
        <v>2.1585919999999998E-2</v>
      </c>
    </row>
    <row r="3013" spans="103:104" x14ac:dyDescent="0.3">
      <c r="CY3013" s="34" t="s">
        <v>3940</v>
      </c>
      <c r="CZ3013" s="35">
        <v>7.1198399999999988E-3</v>
      </c>
    </row>
    <row r="3014" spans="103:104" x14ac:dyDescent="0.3">
      <c r="CY3014" s="34" t="s">
        <v>3941</v>
      </c>
      <c r="CZ3014" s="35">
        <v>1.3730079999999999E-2</v>
      </c>
    </row>
    <row r="3015" spans="103:104" x14ac:dyDescent="0.3">
      <c r="CY3015" s="34" t="s">
        <v>3942</v>
      </c>
      <c r="CZ3015" s="35">
        <v>4.2471553439999993E-3</v>
      </c>
    </row>
    <row r="3016" spans="103:104" x14ac:dyDescent="0.3">
      <c r="CY3016" s="34" t="s">
        <v>3943</v>
      </c>
      <c r="CZ3016" s="35">
        <v>9.9300073183999998E-2</v>
      </c>
    </row>
    <row r="3017" spans="103:104" x14ac:dyDescent="0.3">
      <c r="CY3017" s="34" t="s">
        <v>3944</v>
      </c>
      <c r="CZ3017" s="35">
        <v>6.1561267839999996E-2</v>
      </c>
    </row>
    <row r="3018" spans="103:104" x14ac:dyDescent="0.3">
      <c r="CY3018" s="34" t="s">
        <v>3945</v>
      </c>
      <c r="CZ3018" s="35">
        <v>2.2472014240000004E-3</v>
      </c>
    </row>
    <row r="3019" spans="103:104" x14ac:dyDescent="0.3">
      <c r="CY3019" s="34" t="s">
        <v>3946</v>
      </c>
      <c r="CZ3019" s="35">
        <v>2.2472014240000004E-3</v>
      </c>
    </row>
    <row r="3020" spans="103:104" x14ac:dyDescent="0.3">
      <c r="CY3020" s="34" t="s">
        <v>3947</v>
      </c>
      <c r="CZ3020" s="35">
        <v>5.2217926800000002E-3</v>
      </c>
    </row>
    <row r="3021" spans="103:104" x14ac:dyDescent="0.3">
      <c r="CY3021" s="34" t="s">
        <v>3948</v>
      </c>
      <c r="CZ3021" s="35">
        <v>5.2217926800000002E-3</v>
      </c>
    </row>
    <row r="3022" spans="103:104" x14ac:dyDescent="0.3">
      <c r="CY3022" s="34" t="s">
        <v>3949</v>
      </c>
      <c r="CZ3022" s="35">
        <v>5.0563098559999993E-3</v>
      </c>
    </row>
    <row r="3023" spans="103:104" x14ac:dyDescent="0.3">
      <c r="CY3023" s="34" t="s">
        <v>3950</v>
      </c>
      <c r="CZ3023" s="35">
        <v>5.0563098559999993E-3</v>
      </c>
    </row>
    <row r="3024" spans="103:104" x14ac:dyDescent="0.3">
      <c r="CY3024" s="34" t="s">
        <v>3951</v>
      </c>
      <c r="CZ3024" s="35">
        <v>3.0505717840000001E-3</v>
      </c>
    </row>
    <row r="3025" spans="103:104" x14ac:dyDescent="0.3">
      <c r="CY3025" s="34" t="s">
        <v>3952</v>
      </c>
      <c r="CZ3025" s="35">
        <v>3.0505717840000001E-3</v>
      </c>
    </row>
    <row r="3026" spans="103:104" x14ac:dyDescent="0.3">
      <c r="CY3026" s="34" t="s">
        <v>3953</v>
      </c>
      <c r="CZ3026" s="35">
        <v>4.2164979999999999E-3</v>
      </c>
    </row>
    <row r="3027" spans="103:104" x14ac:dyDescent="0.3">
      <c r="CY3027" s="34" t="s">
        <v>3954</v>
      </c>
      <c r="CZ3027" s="35">
        <v>4.2164979999999999E-3</v>
      </c>
    </row>
    <row r="3028" spans="103:104" x14ac:dyDescent="0.3">
      <c r="CY3028" s="34" t="s">
        <v>3955</v>
      </c>
      <c r="CZ3028" s="35">
        <v>2.0447380720000001E-3</v>
      </c>
    </row>
    <row r="3029" spans="103:104" x14ac:dyDescent="0.3">
      <c r="CY3029" s="34" t="s">
        <v>3956</v>
      </c>
      <c r="CZ3029" s="35">
        <v>2.0447380720000001E-3</v>
      </c>
    </row>
    <row r="3030" spans="103:104" x14ac:dyDescent="0.3">
      <c r="CY3030" s="34" t="s">
        <v>3957</v>
      </c>
      <c r="CZ3030" s="35">
        <v>8.9444378399999999E-4</v>
      </c>
    </row>
    <row r="3031" spans="103:104" x14ac:dyDescent="0.3">
      <c r="CY3031" s="34" t="s">
        <v>3958</v>
      </c>
      <c r="CZ3031" s="35">
        <v>8.9444378399999999E-4</v>
      </c>
    </row>
    <row r="3032" spans="103:104" x14ac:dyDescent="0.3">
      <c r="CY3032" s="34" t="s">
        <v>3959</v>
      </c>
      <c r="CZ3032" s="35">
        <v>5.2217926800000002E-3</v>
      </c>
    </row>
    <row r="3033" spans="103:104" x14ac:dyDescent="0.3">
      <c r="CY3033" s="34" t="s">
        <v>3960</v>
      </c>
      <c r="CZ3033" s="35">
        <v>5.2217926800000002E-3</v>
      </c>
    </row>
    <row r="3034" spans="103:104" x14ac:dyDescent="0.3">
      <c r="CY3034" s="34" t="s">
        <v>3961</v>
      </c>
      <c r="CZ3034" s="35">
        <v>2.3918746799999999E-3</v>
      </c>
    </row>
    <row r="3035" spans="103:104" x14ac:dyDescent="0.3">
      <c r="CY3035" s="34" t="s">
        <v>3962</v>
      </c>
      <c r="CZ3035" s="35">
        <v>2.3918746799999999E-3</v>
      </c>
    </row>
    <row r="3036" spans="103:104" x14ac:dyDescent="0.3">
      <c r="CY3036" s="34" t="s">
        <v>3963</v>
      </c>
      <c r="CZ3036" s="35">
        <v>4.2164979999999999E-3</v>
      </c>
    </row>
    <row r="3037" spans="103:104" x14ac:dyDescent="0.3">
      <c r="CY3037" s="34" t="s">
        <v>3964</v>
      </c>
      <c r="CZ3037" s="35">
        <v>4.2164979999999999E-3</v>
      </c>
    </row>
    <row r="3038" spans="103:104" x14ac:dyDescent="0.3">
      <c r="CY3038" s="34" t="s">
        <v>3965</v>
      </c>
      <c r="CZ3038" s="35">
        <v>2.9351238175999998E-2</v>
      </c>
    </row>
    <row r="3039" spans="103:104" x14ac:dyDescent="0.3">
      <c r="CY3039" s="34" t="s">
        <v>3966</v>
      </c>
      <c r="CZ3039" s="35">
        <v>1.2549019254400001E-2</v>
      </c>
    </row>
    <row r="3040" spans="103:104" x14ac:dyDescent="0.3">
      <c r="CY3040" s="34" t="s">
        <v>3967</v>
      </c>
      <c r="CZ3040" s="35">
        <v>2.0757840639999995E-3</v>
      </c>
    </row>
    <row r="3041" spans="103:104" x14ac:dyDescent="0.3">
      <c r="CY3041" s="34" t="s">
        <v>3968</v>
      </c>
      <c r="CZ3041" s="35">
        <v>0.12529065111999999</v>
      </c>
    </row>
    <row r="3042" spans="103:104" x14ac:dyDescent="0.3">
      <c r="CY3042" s="34" t="s">
        <v>3969</v>
      </c>
      <c r="CZ3042" s="35">
        <v>3.7356247343999997E-2</v>
      </c>
    </row>
    <row r="3043" spans="103:104" x14ac:dyDescent="0.3">
      <c r="CY3043" s="34" t="s">
        <v>3970</v>
      </c>
      <c r="CZ3043" s="35">
        <v>6.7159112526666662E-2</v>
      </c>
    </row>
    <row r="3044" spans="103:104" x14ac:dyDescent="0.3">
      <c r="CY3044" s="34" t="s">
        <v>3971</v>
      </c>
      <c r="CZ3044" s="35">
        <v>0.20620376857600001</v>
      </c>
    </row>
    <row r="3045" spans="103:104" x14ac:dyDescent="0.3">
      <c r="CY3045" s="34" t="s">
        <v>3972</v>
      </c>
      <c r="CZ3045" s="35">
        <v>0.14661605887999998</v>
      </c>
    </row>
    <row r="3046" spans="103:104" x14ac:dyDescent="0.3">
      <c r="CY3046" s="34" t="s">
        <v>3973</v>
      </c>
      <c r="CZ3046" s="35">
        <v>0.17040293160800002</v>
      </c>
    </row>
    <row r="3047" spans="103:104" x14ac:dyDescent="0.3">
      <c r="CY3047" s="34" t="s">
        <v>3974</v>
      </c>
      <c r="CZ3047" s="35">
        <v>7.9588470000000015E-3</v>
      </c>
    </row>
    <row r="3048" spans="103:104" x14ac:dyDescent="0.3">
      <c r="CY3048" s="34" t="s">
        <v>3975</v>
      </c>
      <c r="CZ3048" s="35">
        <v>1.9376124159999999E-3</v>
      </c>
    </row>
    <row r="3049" spans="103:104" x14ac:dyDescent="0.3">
      <c r="CY3049" s="34" t="s">
        <v>3976</v>
      </c>
      <c r="CZ3049" s="35">
        <v>3.719589744E-2</v>
      </c>
    </row>
    <row r="3050" spans="103:104" x14ac:dyDescent="0.3">
      <c r="CY3050" s="34" t="s">
        <v>3977</v>
      </c>
      <c r="CZ3050" s="35">
        <v>3.9824823167999998E-2</v>
      </c>
    </row>
    <row r="3051" spans="103:104" x14ac:dyDescent="0.3">
      <c r="CY3051" s="34" t="s">
        <v>3978</v>
      </c>
      <c r="CZ3051" s="35">
        <v>1.0080172128E-2</v>
      </c>
    </row>
    <row r="3052" spans="103:104" x14ac:dyDescent="0.3">
      <c r="CY3052" s="34" t="s">
        <v>3979</v>
      </c>
      <c r="CZ3052" s="35">
        <v>1.3776159904000001E-2</v>
      </c>
    </row>
    <row r="3053" spans="103:104" x14ac:dyDescent="0.3">
      <c r="CY3053" s="34" t="s">
        <v>3980</v>
      </c>
      <c r="CZ3053" s="35">
        <v>1.5302141712000002E-2</v>
      </c>
    </row>
    <row r="3054" spans="103:104" x14ac:dyDescent="0.3">
      <c r="CY3054" s="34" t="s">
        <v>3981</v>
      </c>
      <c r="CZ3054" s="35">
        <v>1.31508132608E-2</v>
      </c>
    </row>
    <row r="3055" spans="103:104" x14ac:dyDescent="0.3">
      <c r="CY3055" s="34" t="s">
        <v>3982</v>
      </c>
      <c r="CZ3055" s="35">
        <v>9.0846329599999999E-4</v>
      </c>
    </row>
    <row r="3056" spans="103:104" x14ac:dyDescent="0.3">
      <c r="CY3056" s="34" t="s">
        <v>3983</v>
      </c>
      <c r="CZ3056" s="35">
        <v>1.1769124224E-2</v>
      </c>
    </row>
    <row r="3057" spans="103:104" x14ac:dyDescent="0.3">
      <c r="CY3057" s="34" t="s">
        <v>3984</v>
      </c>
      <c r="CZ3057" s="35">
        <v>2.991416064E-3</v>
      </c>
    </row>
    <row r="3058" spans="103:104" x14ac:dyDescent="0.3">
      <c r="CY3058" s="34" t="s">
        <v>3985</v>
      </c>
      <c r="CZ3058" s="35">
        <v>1.9421752448000002E-2</v>
      </c>
    </row>
    <row r="3059" spans="103:104" x14ac:dyDescent="0.3">
      <c r="CY3059" s="34" t="s">
        <v>3986</v>
      </c>
      <c r="CZ3059" s="35">
        <v>8.3748416800000017E-2</v>
      </c>
    </row>
    <row r="3060" spans="103:104" x14ac:dyDescent="0.3">
      <c r="CY3060" s="34" t="s">
        <v>3987</v>
      </c>
      <c r="CZ3060" s="35">
        <v>2.1799956224000001E-2</v>
      </c>
    </row>
    <row r="3061" spans="103:104" x14ac:dyDescent="0.3">
      <c r="CY3061" s="34" t="s">
        <v>3988</v>
      </c>
      <c r="CZ3061" s="35">
        <v>3.954098222E-2</v>
      </c>
    </row>
    <row r="3062" spans="103:104" x14ac:dyDescent="0.3">
      <c r="CY3062" s="34" t="s">
        <v>3989</v>
      </c>
      <c r="CZ3062" s="35">
        <v>5.4256708479999997E-3</v>
      </c>
    </row>
    <row r="3063" spans="103:104" x14ac:dyDescent="0.3">
      <c r="CY3063" s="34" t="s">
        <v>3990</v>
      </c>
      <c r="CZ3063" s="35">
        <v>0.34258447184000002</v>
      </c>
    </row>
    <row r="3064" spans="103:104" x14ac:dyDescent="0.3">
      <c r="CY3064" s="34" t="s">
        <v>3991</v>
      </c>
      <c r="CZ3064" s="35">
        <v>1.355841E-3</v>
      </c>
    </row>
    <row r="3065" spans="103:104" x14ac:dyDescent="0.3">
      <c r="CY3065" s="34" t="s">
        <v>3992</v>
      </c>
      <c r="CZ3065" s="35">
        <v>4.5720596680000006E-3</v>
      </c>
    </row>
    <row r="3066" spans="103:104" x14ac:dyDescent="0.3">
      <c r="CY3066" s="34" t="s">
        <v>3993</v>
      </c>
      <c r="CZ3066" s="35">
        <v>3.2038140295999995E-2</v>
      </c>
    </row>
    <row r="3067" spans="103:104" x14ac:dyDescent="0.3">
      <c r="CY3067" s="34" t="s">
        <v>3994</v>
      </c>
      <c r="CZ3067" s="35">
        <v>4.7474417328E-2</v>
      </c>
    </row>
    <row r="3068" spans="103:104" x14ac:dyDescent="0.3">
      <c r="CY3068" s="34" t="s">
        <v>3995</v>
      </c>
      <c r="CZ3068" s="35">
        <v>5.1465335999999993E-2</v>
      </c>
    </row>
    <row r="3069" spans="103:104" x14ac:dyDescent="0.3">
      <c r="CY3069" s="34" t="s">
        <v>3996</v>
      </c>
      <c r="CZ3069" s="35">
        <v>7.4908627840000004E-3</v>
      </c>
    </row>
    <row r="3070" spans="103:104" x14ac:dyDescent="0.3">
      <c r="CY3070" s="34" t="s">
        <v>3997</v>
      </c>
      <c r="CZ3070" s="35">
        <v>9.6589316479999982E-3</v>
      </c>
    </row>
    <row r="3071" spans="103:104" x14ac:dyDescent="0.3">
      <c r="CY3071" s="34" t="s">
        <v>3998</v>
      </c>
      <c r="CZ3071" s="35">
        <v>9.8713388799999999E-4</v>
      </c>
    </row>
    <row r="3072" spans="103:104" x14ac:dyDescent="0.3">
      <c r="CY3072" s="34" t="s">
        <v>3999</v>
      </c>
      <c r="CZ3072" s="35">
        <v>3.041476492E-2</v>
      </c>
    </row>
    <row r="3073" spans="103:104" x14ac:dyDescent="0.3">
      <c r="CY3073" s="34" t="s">
        <v>4000</v>
      </c>
      <c r="CZ3073" s="35">
        <v>0.114233219776</v>
      </c>
    </row>
    <row r="3074" spans="103:104" x14ac:dyDescent="0.3">
      <c r="CY3074" s="34" t="s">
        <v>4001</v>
      </c>
      <c r="CZ3074" s="35">
        <v>0.14244205622400002</v>
      </c>
    </row>
    <row r="3075" spans="103:104" x14ac:dyDescent="0.3">
      <c r="CY3075" s="34" t="s">
        <v>4002</v>
      </c>
      <c r="CZ3075" s="35">
        <v>2.0286261840000001E-3</v>
      </c>
    </row>
    <row r="3076" spans="103:104" x14ac:dyDescent="0.3">
      <c r="CY3076" s="34" t="s">
        <v>4003</v>
      </c>
      <c r="CZ3076" s="35">
        <v>2.4884680079999997E-3</v>
      </c>
    </row>
    <row r="3077" spans="103:104" x14ac:dyDescent="0.3">
      <c r="CY3077" s="34" t="s">
        <v>4004</v>
      </c>
      <c r="CZ3077" s="35">
        <v>5.4090730000000004E-2</v>
      </c>
    </row>
    <row r="3078" spans="103:104" x14ac:dyDescent="0.3">
      <c r="CY3078" s="34" t="s">
        <v>4005</v>
      </c>
      <c r="CZ3078" s="35">
        <v>5.6625296000000001E-4</v>
      </c>
    </row>
    <row r="3079" spans="103:104" x14ac:dyDescent="0.3">
      <c r="CY3079" s="34" t="s">
        <v>4006</v>
      </c>
      <c r="CZ3079" s="35">
        <v>7.2420127999999993E-3</v>
      </c>
    </row>
    <row r="3080" spans="103:104" x14ac:dyDescent="0.3">
      <c r="CY3080" s="34" t="s">
        <v>4007</v>
      </c>
      <c r="CZ3080" s="35">
        <v>1.9262498215999999E-2</v>
      </c>
    </row>
    <row r="3081" spans="103:104" x14ac:dyDescent="0.3">
      <c r="CY3081" s="34" t="s">
        <v>4008</v>
      </c>
      <c r="CZ3081" s="35">
        <v>9.2239732000000006E-4</v>
      </c>
    </row>
    <row r="3082" spans="103:104" x14ac:dyDescent="0.3">
      <c r="CY3082" s="34" t="s">
        <v>4009</v>
      </c>
      <c r="CZ3082" s="35">
        <v>3.3008481280000002E-3</v>
      </c>
    </row>
    <row r="3083" spans="103:104" x14ac:dyDescent="0.3">
      <c r="CY3083" s="34" t="s">
        <v>4010</v>
      </c>
      <c r="CZ3083" s="35">
        <v>2.0632634879999999E-3</v>
      </c>
    </row>
    <row r="3084" spans="103:104" x14ac:dyDescent="0.3">
      <c r="CY3084" s="34" t="s">
        <v>4011</v>
      </c>
      <c r="CZ3084" s="35">
        <v>7.8576201600000001E-4</v>
      </c>
    </row>
    <row r="3085" spans="103:104" x14ac:dyDescent="0.3">
      <c r="CY3085" s="34" t="s">
        <v>4012</v>
      </c>
      <c r="CZ3085" s="35">
        <v>6.4165004799999993E-4</v>
      </c>
    </row>
    <row r="3086" spans="103:104" x14ac:dyDescent="0.3">
      <c r="CY3086" s="34" t="s">
        <v>4013</v>
      </c>
      <c r="CZ3086" s="35">
        <v>6.5100796800000003E-4</v>
      </c>
    </row>
    <row r="3087" spans="103:104" x14ac:dyDescent="0.3">
      <c r="CY3087" s="34" t="s">
        <v>4014</v>
      </c>
      <c r="CZ3087" s="35">
        <v>1.0739859520000001E-3</v>
      </c>
    </row>
    <row r="3088" spans="103:104" x14ac:dyDescent="0.3">
      <c r="CY3088" s="34" t="s">
        <v>4015</v>
      </c>
      <c r="CZ3088" s="35">
        <v>1.3760522880000002E-3</v>
      </c>
    </row>
    <row r="3089" spans="103:104" x14ac:dyDescent="0.3">
      <c r="CY3089" s="34" t="s">
        <v>4016</v>
      </c>
      <c r="CZ3089" s="35">
        <v>1.010352096E-3</v>
      </c>
    </row>
    <row r="3090" spans="103:104" x14ac:dyDescent="0.3">
      <c r="CY3090" s="34" t="s">
        <v>4017</v>
      </c>
      <c r="CZ3090" s="35">
        <v>6.4165004799999993E-4</v>
      </c>
    </row>
    <row r="3091" spans="103:104" x14ac:dyDescent="0.3">
      <c r="CY3091" s="34" t="s">
        <v>4018</v>
      </c>
      <c r="CZ3091" s="35">
        <v>1.6845747672000002E-2</v>
      </c>
    </row>
    <row r="3092" spans="103:104" x14ac:dyDescent="0.3">
      <c r="CY3092" s="34" t="s">
        <v>4019</v>
      </c>
      <c r="CZ3092" s="35">
        <v>2.6582619128000001E-2</v>
      </c>
    </row>
    <row r="3093" spans="103:104" x14ac:dyDescent="0.3">
      <c r="CY3093" s="34" t="s">
        <v>4020</v>
      </c>
      <c r="CZ3093" s="35">
        <v>9.0677859999999996E-3</v>
      </c>
    </row>
    <row r="3094" spans="103:104" x14ac:dyDescent="0.3">
      <c r="CY3094" s="34" t="s">
        <v>4021</v>
      </c>
      <c r="CZ3094" s="35">
        <v>5.6034397439999994E-2</v>
      </c>
    </row>
    <row r="3095" spans="103:104" x14ac:dyDescent="0.3">
      <c r="CY3095" s="34" t="s">
        <v>4022</v>
      </c>
      <c r="CZ3095" s="35">
        <v>4.1744993359999994E-3</v>
      </c>
    </row>
    <row r="3096" spans="103:104" x14ac:dyDescent="0.3">
      <c r="CY3096" s="34" t="s">
        <v>4023</v>
      </c>
      <c r="CZ3096" s="35">
        <v>5.7337591200000001E-3</v>
      </c>
    </row>
    <row r="3097" spans="103:104" x14ac:dyDescent="0.3">
      <c r="CY3097" s="34" t="s">
        <v>4024</v>
      </c>
      <c r="CZ3097" s="35">
        <v>2.6723990959999999</v>
      </c>
    </row>
    <row r="3098" spans="103:104" x14ac:dyDescent="0.3">
      <c r="CY3098" s="34" t="s">
        <v>4025</v>
      </c>
      <c r="CZ3098" s="35">
        <v>1.3123780540799999</v>
      </c>
    </row>
    <row r="3099" spans="103:104" x14ac:dyDescent="0.3">
      <c r="CY3099" s="34" t="s">
        <v>4026</v>
      </c>
      <c r="CZ3099" s="35">
        <v>3.8999999999999999E-5</v>
      </c>
    </row>
    <row r="3100" spans="103:104" x14ac:dyDescent="0.3">
      <c r="CY3100" s="34" t="s">
        <v>4027</v>
      </c>
      <c r="CZ3100" s="35">
        <v>3.8999999999999999E-5</v>
      </c>
    </row>
    <row r="3101" spans="103:104" x14ac:dyDescent="0.3">
      <c r="CY3101" s="34" t="s">
        <v>4028</v>
      </c>
      <c r="CZ3101" s="35">
        <v>7.4570569087999999E-2</v>
      </c>
    </row>
    <row r="3102" spans="103:104" x14ac:dyDescent="0.3">
      <c r="CY3102" s="34" t="s">
        <v>4029</v>
      </c>
      <c r="CZ3102" s="35">
        <v>2.7070917493333328E-3</v>
      </c>
    </row>
    <row r="3103" spans="103:104" x14ac:dyDescent="0.3">
      <c r="CY3103" s="34" t="s">
        <v>4030</v>
      </c>
      <c r="CZ3103" s="35">
        <v>6.5226235359999996E-3</v>
      </c>
    </row>
    <row r="3104" spans="103:104" x14ac:dyDescent="0.3">
      <c r="CY3104" s="34" t="s">
        <v>4031</v>
      </c>
      <c r="CZ3104" s="35">
        <v>6.5226235359999996E-3</v>
      </c>
    </row>
    <row r="3105" spans="103:104" x14ac:dyDescent="0.3">
      <c r="CY3105" s="34" t="s">
        <v>4032</v>
      </c>
      <c r="CZ3105" s="35">
        <v>1.2434251544000002E-2</v>
      </c>
    </row>
    <row r="3106" spans="103:104" x14ac:dyDescent="0.3">
      <c r="CY3106" s="34" t="s">
        <v>4033</v>
      </c>
      <c r="CZ3106" s="35">
        <v>0.114676359408</v>
      </c>
    </row>
    <row r="3107" spans="103:104" x14ac:dyDescent="0.3">
      <c r="CY3107" s="34" t="s">
        <v>4034</v>
      </c>
      <c r="CZ3107" s="35">
        <v>0.15796196093611112</v>
      </c>
    </row>
    <row r="3108" spans="103:104" x14ac:dyDescent="0.3">
      <c r="CY3108" s="34" t="s">
        <v>4035</v>
      </c>
      <c r="CZ3108" s="35">
        <v>0.213326503832</v>
      </c>
    </row>
    <row r="3109" spans="103:104" x14ac:dyDescent="0.3">
      <c r="CY3109" s="34" t="s">
        <v>4036</v>
      </c>
      <c r="CZ3109" s="35">
        <v>0.15238874299999999</v>
      </c>
    </row>
    <row r="3110" spans="103:104" x14ac:dyDescent="0.3">
      <c r="CY3110" s="34" t="s">
        <v>4037</v>
      </c>
      <c r="CZ3110" s="35">
        <v>0.20102295470400003</v>
      </c>
    </row>
    <row r="3111" spans="103:104" x14ac:dyDescent="0.3">
      <c r="CY3111" s="34" t="s">
        <v>4038</v>
      </c>
      <c r="CZ3111" s="35">
        <v>0.18533566854400002</v>
      </c>
    </row>
    <row r="3112" spans="103:104" x14ac:dyDescent="0.3">
      <c r="CY3112" s="34" t="s">
        <v>4039</v>
      </c>
      <c r="CZ3112" s="35">
        <v>4.7667531464000001E-3</v>
      </c>
    </row>
    <row r="3113" spans="103:104" x14ac:dyDescent="0.3">
      <c r="CY3113" s="34" t="s">
        <v>4040</v>
      </c>
      <c r="CZ3113" s="35">
        <v>5.5756367055999997E-2</v>
      </c>
    </row>
    <row r="3114" spans="103:104" x14ac:dyDescent="0.3">
      <c r="CY3114" s="34" t="s">
        <v>4041</v>
      </c>
      <c r="CZ3114" s="35">
        <v>2.5360548096E-2</v>
      </c>
    </row>
    <row r="3115" spans="103:104" x14ac:dyDescent="0.3">
      <c r="CY3115" s="34" t="s">
        <v>4042</v>
      </c>
      <c r="CZ3115" s="35">
        <v>2.1610492799999998E-4</v>
      </c>
    </row>
    <row r="3116" spans="103:104" x14ac:dyDescent="0.3">
      <c r="CY3116" s="34" t="s">
        <v>4043</v>
      </c>
      <c r="CZ3116" s="35">
        <v>2.01537856E-4</v>
      </c>
    </row>
    <row r="3117" spans="103:104" x14ac:dyDescent="0.3">
      <c r="CY3117" s="34" t="s">
        <v>4044</v>
      </c>
      <c r="CZ3117" s="35">
        <v>2.9364441599999999E-4</v>
      </c>
    </row>
    <row r="3118" spans="103:104" x14ac:dyDescent="0.3">
      <c r="CY3118" s="34" t="s">
        <v>4045</v>
      </c>
      <c r="CZ3118" s="35">
        <v>2.1189128479999998E-3</v>
      </c>
    </row>
    <row r="3119" spans="103:104" x14ac:dyDescent="0.3">
      <c r="CY3119" s="34" t="s">
        <v>4046</v>
      </c>
      <c r="CZ3119" s="35">
        <v>1.0298022592E-2</v>
      </c>
    </row>
    <row r="3120" spans="103:104" x14ac:dyDescent="0.3">
      <c r="CY3120" s="34" t="s">
        <v>4047</v>
      </c>
      <c r="CZ3120" s="35">
        <v>2.277312336E-3</v>
      </c>
    </row>
    <row r="3121" spans="103:104" x14ac:dyDescent="0.3">
      <c r="CY3121" s="34" t="s">
        <v>4048</v>
      </c>
      <c r="CZ3121" s="35">
        <v>1.978848768E-3</v>
      </c>
    </row>
    <row r="3122" spans="103:104" x14ac:dyDescent="0.3">
      <c r="CY3122" s="34" t="s">
        <v>4049</v>
      </c>
      <c r="CZ3122" s="35">
        <v>4.8089314357000002E-3</v>
      </c>
    </row>
    <row r="3123" spans="103:104" x14ac:dyDescent="0.3">
      <c r="CY3123" s="34" t="s">
        <v>4050</v>
      </c>
      <c r="CZ3123" s="35">
        <v>2.2229196223999999E-2</v>
      </c>
    </row>
    <row r="3124" spans="103:104" x14ac:dyDescent="0.3">
      <c r="CY3124" s="34" t="s">
        <v>4051</v>
      </c>
      <c r="CZ3124" s="35">
        <v>1.0831965456000001E-2</v>
      </c>
    </row>
    <row r="3125" spans="103:104" x14ac:dyDescent="0.3">
      <c r="CY3125" s="34" t="s">
        <v>4052</v>
      </c>
      <c r="CZ3125" s="35">
        <v>5.0433550751999998E-2</v>
      </c>
    </row>
    <row r="3126" spans="103:104" x14ac:dyDescent="0.3">
      <c r="CY3126" s="34" t="s">
        <v>4053</v>
      </c>
      <c r="CZ3126" s="35">
        <v>5.3758716959999994E-2</v>
      </c>
    </row>
    <row r="3127" spans="103:104" x14ac:dyDescent="0.3">
      <c r="CY3127" s="34" t="s">
        <v>4054</v>
      </c>
      <c r="CZ3127" s="35">
        <v>7.6073451583749993E-2</v>
      </c>
    </row>
    <row r="3128" spans="103:104" x14ac:dyDescent="0.3">
      <c r="CY3128" s="34" t="s">
        <v>4055</v>
      </c>
      <c r="CZ3128" s="35">
        <v>3.3109535559999993E-2</v>
      </c>
    </row>
    <row r="3129" spans="103:104" x14ac:dyDescent="0.3">
      <c r="CY3129" s="34" t="s">
        <v>4056</v>
      </c>
      <c r="CZ3129" s="35">
        <v>9.2264683200000009E-4</v>
      </c>
    </row>
    <row r="3130" spans="103:104" x14ac:dyDescent="0.3">
      <c r="CY3130" s="34" t="s">
        <v>4057</v>
      </c>
      <c r="CZ3130" s="35">
        <v>3.2059099170000001E-3</v>
      </c>
    </row>
    <row r="3131" spans="103:104" x14ac:dyDescent="0.3">
      <c r="CY3131" s="34" t="s">
        <v>4058</v>
      </c>
      <c r="CZ3131" s="35">
        <v>6.343299106666667E-3</v>
      </c>
    </row>
    <row r="3132" spans="103:104" x14ac:dyDescent="0.3">
      <c r="CY3132" s="34" t="s">
        <v>4059</v>
      </c>
      <c r="CZ3132" s="35">
        <v>5.5318443855999995E-2</v>
      </c>
    </row>
    <row r="3133" spans="103:104" x14ac:dyDescent="0.3">
      <c r="CY3133" s="34" t="s">
        <v>4060</v>
      </c>
      <c r="CZ3133" s="35">
        <v>5.5318443855999995E-2</v>
      </c>
    </row>
    <row r="3134" spans="103:104" x14ac:dyDescent="0.3">
      <c r="CY3134" s="34" t="s">
        <v>4061</v>
      </c>
      <c r="CZ3134" s="35">
        <v>2.2149290731999999E-3</v>
      </c>
    </row>
    <row r="3135" spans="103:104" x14ac:dyDescent="0.3">
      <c r="CY3135" s="34" t="s">
        <v>4062</v>
      </c>
      <c r="CZ3135" s="35">
        <v>4.7420594416000002E-2</v>
      </c>
    </row>
    <row r="3136" spans="103:104" x14ac:dyDescent="0.3">
      <c r="CY3136" s="34" t="s">
        <v>4063</v>
      </c>
      <c r="CZ3136" s="35">
        <v>2.4175588319999999E-3</v>
      </c>
    </row>
    <row r="3137" spans="103:104" x14ac:dyDescent="0.3">
      <c r="CY3137" s="34" t="s">
        <v>4064</v>
      </c>
      <c r="CZ3137" s="35">
        <v>2.1589509760000002E-3</v>
      </c>
    </row>
    <row r="3138" spans="103:104" x14ac:dyDescent="0.3">
      <c r="CY3138" s="34" t="s">
        <v>4065</v>
      </c>
      <c r="CZ3138" s="35">
        <v>9.0605636363636378E-3</v>
      </c>
    </row>
    <row r="3139" spans="103:104" x14ac:dyDescent="0.3">
      <c r="CY3139" s="34" t="s">
        <v>4066</v>
      </c>
      <c r="CZ3139" s="35">
        <v>8.8276761247999991E-2</v>
      </c>
    </row>
    <row r="3140" spans="103:104" x14ac:dyDescent="0.3">
      <c r="CY3140" s="34" t="s">
        <v>4067</v>
      </c>
      <c r="CZ3140" s="35">
        <v>3.8537127999999997E-2</v>
      </c>
    </row>
    <row r="3141" spans="103:104" x14ac:dyDescent="0.3">
      <c r="CY3141" s="34" t="s">
        <v>4068</v>
      </c>
      <c r="CZ3141" s="35">
        <v>2.0531784000000001E-2</v>
      </c>
    </row>
    <row r="3142" spans="103:104" x14ac:dyDescent="0.3">
      <c r="CY3142" s="34" t="s">
        <v>4069</v>
      </c>
      <c r="CZ3142" s="35">
        <v>2.816905104E-2</v>
      </c>
    </row>
    <row r="3143" spans="103:104" x14ac:dyDescent="0.3">
      <c r="CY3143" s="34" t="s">
        <v>4070</v>
      </c>
      <c r="CZ3143" s="35">
        <v>2.816905104E-2</v>
      </c>
    </row>
    <row r="3144" spans="103:104" x14ac:dyDescent="0.3">
      <c r="CY3144" s="34" t="s">
        <v>4071</v>
      </c>
      <c r="CZ3144" s="35">
        <v>2.0021488979999998E-2</v>
      </c>
    </row>
    <row r="3145" spans="103:104" x14ac:dyDescent="0.3">
      <c r="CY3145" s="34" t="s">
        <v>4072</v>
      </c>
      <c r="CZ3145" s="35">
        <v>9.1473313023999997E-2</v>
      </c>
    </row>
    <row r="3146" spans="103:104" x14ac:dyDescent="0.3">
      <c r="CY3146" s="34" t="s">
        <v>4073</v>
      </c>
      <c r="CZ3146" s="35">
        <v>9.1473313023999997E-2</v>
      </c>
    </row>
    <row r="3147" spans="103:104" x14ac:dyDescent="0.3">
      <c r="CY3147" s="34" t="s">
        <v>4074</v>
      </c>
      <c r="CZ3147" s="35">
        <v>1.9259734592000002E-2</v>
      </c>
    </row>
    <row r="3148" spans="103:104" x14ac:dyDescent="0.3">
      <c r="CY3148" s="34" t="s">
        <v>4075</v>
      </c>
      <c r="CZ3148" s="35">
        <v>1.9340359999999999E-4</v>
      </c>
    </row>
    <row r="3149" spans="103:104" x14ac:dyDescent="0.3">
      <c r="CY3149" s="34" t="s">
        <v>4076</v>
      </c>
      <c r="CZ3149" s="35">
        <v>9.2328797600000007E-4</v>
      </c>
    </row>
    <row r="3150" spans="103:104" x14ac:dyDescent="0.3">
      <c r="CY3150" s="34" t="s">
        <v>4077</v>
      </c>
      <c r="CZ3150" s="35">
        <v>2.1329787499999998E-3</v>
      </c>
    </row>
    <row r="3151" spans="103:104" x14ac:dyDescent="0.3">
      <c r="CY3151" s="34" t="s">
        <v>4078</v>
      </c>
      <c r="CZ3151" s="35">
        <v>3.7984610560000001E-3</v>
      </c>
    </row>
    <row r="3152" spans="103:104" x14ac:dyDescent="0.3">
      <c r="CY3152" s="34" t="s">
        <v>4079</v>
      </c>
      <c r="CZ3152" s="35">
        <v>2.0245314416000002E-2</v>
      </c>
    </row>
    <row r="3153" spans="103:104" x14ac:dyDescent="0.3">
      <c r="CY3153" s="34" t="s">
        <v>4080</v>
      </c>
      <c r="CZ3153" s="35">
        <v>2.0245314416000002E-2</v>
      </c>
    </row>
    <row r="3154" spans="103:104" x14ac:dyDescent="0.3">
      <c r="CY3154" s="34" t="s">
        <v>4081</v>
      </c>
      <c r="CZ3154" s="35">
        <v>4.9643316800000004E-2</v>
      </c>
    </row>
    <row r="3155" spans="103:104" x14ac:dyDescent="0.3">
      <c r="CY3155" s="34" t="s">
        <v>4082</v>
      </c>
      <c r="CZ3155" s="35">
        <v>3.934848944E-3</v>
      </c>
    </row>
    <row r="3156" spans="103:104" x14ac:dyDescent="0.3">
      <c r="CY3156" s="34" t="s">
        <v>4083</v>
      </c>
      <c r="CZ3156" s="35">
        <v>3.934848944E-3</v>
      </c>
    </row>
    <row r="3157" spans="103:104" x14ac:dyDescent="0.3">
      <c r="CY3157" s="34" t="s">
        <v>4084</v>
      </c>
      <c r="CZ3157" s="35">
        <v>1.680853848533</v>
      </c>
    </row>
    <row r="3158" spans="103:104" x14ac:dyDescent="0.3">
      <c r="CY3158" s="34" t="s">
        <v>4085</v>
      </c>
      <c r="CZ3158" s="35">
        <v>0.20911179859999998</v>
      </c>
    </row>
    <row r="3159" spans="103:104" x14ac:dyDescent="0.3">
      <c r="CY3159" s="34" t="s">
        <v>4086</v>
      </c>
      <c r="CZ3159" s="35">
        <v>0.25868736619999999</v>
      </c>
    </row>
    <row r="3160" spans="103:104" x14ac:dyDescent="0.3">
      <c r="CY3160" s="34" t="s">
        <v>4087</v>
      </c>
      <c r="CZ3160" s="35">
        <v>3.6742315376E-2</v>
      </c>
    </row>
    <row r="3161" spans="103:104" x14ac:dyDescent="0.3">
      <c r="CY3161" s="34" t="s">
        <v>4088</v>
      </c>
      <c r="CZ3161" s="35">
        <v>5.6461203552000003E-2</v>
      </c>
    </row>
    <row r="3162" spans="103:104" x14ac:dyDescent="0.3">
      <c r="CY3162" s="34" t="s">
        <v>4089</v>
      </c>
      <c r="CZ3162" s="35">
        <v>1.2474190455999999E-2</v>
      </c>
    </row>
    <row r="3163" spans="103:104" x14ac:dyDescent="0.3">
      <c r="CY3163" s="34" t="s">
        <v>4090</v>
      </c>
      <c r="CZ3163" s="35">
        <v>1.809720744E-3</v>
      </c>
    </row>
    <row r="3164" spans="103:104" x14ac:dyDescent="0.3">
      <c r="CY3164" s="34" t="s">
        <v>4091</v>
      </c>
      <c r="CZ3164" s="35">
        <v>6.6734058560000004E-3</v>
      </c>
    </row>
    <row r="3165" spans="103:104" x14ac:dyDescent="0.3">
      <c r="CY3165" s="34" t="s">
        <v>4092</v>
      </c>
      <c r="CZ3165" s="35">
        <v>2.820322128E-3</v>
      </c>
    </row>
    <row r="3166" spans="103:104" x14ac:dyDescent="0.3">
      <c r="CY3166" s="34" t="s">
        <v>4093</v>
      </c>
      <c r="CZ3166" s="35">
        <v>2.2067370000000003E-3</v>
      </c>
    </row>
    <row r="3167" spans="103:104" x14ac:dyDescent="0.3">
      <c r="CY3167" s="34" t="s">
        <v>4094</v>
      </c>
      <c r="CZ3167" s="35">
        <v>4.4769507400000005E-4</v>
      </c>
    </row>
    <row r="3168" spans="103:104" x14ac:dyDescent="0.3">
      <c r="CY3168" s="34" t="s">
        <v>4095</v>
      </c>
      <c r="CZ3168" s="35">
        <v>5.1093562400000001E-4</v>
      </c>
    </row>
    <row r="3169" spans="103:104" x14ac:dyDescent="0.3">
      <c r="CY3169" s="34" t="s">
        <v>4096</v>
      </c>
      <c r="CZ3169" s="35">
        <v>2.2067370000000003E-3</v>
      </c>
    </row>
    <row r="3170" spans="103:104" x14ac:dyDescent="0.3">
      <c r="CY3170" s="34" t="s">
        <v>4097</v>
      </c>
      <c r="CZ3170" s="35">
        <v>9.2328797600000007E-4</v>
      </c>
    </row>
    <row r="3171" spans="103:104" x14ac:dyDescent="0.3">
      <c r="CY3171" s="34" t="s">
        <v>4098</v>
      </c>
      <c r="CZ3171" s="35">
        <v>1.9340359999999999E-4</v>
      </c>
    </row>
    <row r="3172" spans="103:104" x14ac:dyDescent="0.3">
      <c r="CY3172" s="34" t="s">
        <v>4099</v>
      </c>
      <c r="CZ3172" s="35">
        <v>6.5943009600000007E-4</v>
      </c>
    </row>
    <row r="3173" spans="103:104" x14ac:dyDescent="0.3">
      <c r="CY3173" s="34" t="s">
        <v>4100</v>
      </c>
      <c r="CZ3173" s="35">
        <v>7.6108608000000002E-4</v>
      </c>
    </row>
    <row r="3174" spans="103:104" x14ac:dyDescent="0.3">
      <c r="CY3174" s="34" t="s">
        <v>4101</v>
      </c>
      <c r="CZ3174" s="35">
        <v>5.1625391999999995E-4</v>
      </c>
    </row>
    <row r="3175" spans="103:104" x14ac:dyDescent="0.3">
      <c r="CY3175" s="34" t="s">
        <v>4102</v>
      </c>
      <c r="CZ3175" s="35">
        <v>5.1248971199999995E-4</v>
      </c>
    </row>
    <row r="3176" spans="103:104" x14ac:dyDescent="0.3">
      <c r="CY3176" s="34" t="s">
        <v>4103</v>
      </c>
      <c r="CZ3176" s="35">
        <v>4.5259902399999999E-4</v>
      </c>
    </row>
    <row r="3177" spans="103:104" x14ac:dyDescent="0.3">
      <c r="CY3177" s="34" t="s">
        <v>4104</v>
      </c>
      <c r="CZ3177" s="35">
        <v>1.44417712E-3</v>
      </c>
    </row>
    <row r="3178" spans="103:104" x14ac:dyDescent="0.3">
      <c r="CY3178" s="34" t="s">
        <v>4105</v>
      </c>
      <c r="CZ3178" s="35">
        <v>5.1883642315789485E-4</v>
      </c>
    </row>
    <row r="3179" spans="103:104" x14ac:dyDescent="0.3">
      <c r="CY3179" s="34" t="s">
        <v>4106</v>
      </c>
      <c r="CZ3179" s="35">
        <v>9.9503408000000001E-4</v>
      </c>
    </row>
    <row r="3180" spans="103:104" x14ac:dyDescent="0.3">
      <c r="CY3180" s="34" t="s">
        <v>4107</v>
      </c>
      <c r="CZ3180" s="35">
        <v>6.3322792E-4</v>
      </c>
    </row>
    <row r="3181" spans="103:104" x14ac:dyDescent="0.3">
      <c r="CY3181" s="34" t="s">
        <v>4108</v>
      </c>
      <c r="CZ3181" s="35">
        <v>5.6117193600000001E-4</v>
      </c>
    </row>
    <row r="3182" spans="103:104" x14ac:dyDescent="0.3">
      <c r="CY3182" s="34" t="s">
        <v>4109</v>
      </c>
      <c r="CZ3182" s="35">
        <v>9.8414991999999993E-4</v>
      </c>
    </row>
    <row r="3183" spans="103:104" x14ac:dyDescent="0.3">
      <c r="CY3183" s="34" t="s">
        <v>4110</v>
      </c>
      <c r="CZ3183" s="35">
        <v>1.20874E-3</v>
      </c>
    </row>
    <row r="3184" spans="103:104" x14ac:dyDescent="0.3">
      <c r="CY3184" s="34" t="s">
        <v>4111</v>
      </c>
      <c r="CZ3184" s="35">
        <v>1.1356176E-3</v>
      </c>
    </row>
    <row r="3185" spans="103:104" x14ac:dyDescent="0.3">
      <c r="CY3185" s="34" t="s">
        <v>4112</v>
      </c>
      <c r="CZ3185" s="35">
        <v>5.6716679999999997E-4</v>
      </c>
    </row>
    <row r="3186" spans="103:104" x14ac:dyDescent="0.3">
      <c r="CY3186" s="34" t="s">
        <v>4113</v>
      </c>
      <c r="CZ3186" s="35">
        <v>7.4237024000000003E-4</v>
      </c>
    </row>
    <row r="3187" spans="103:104" x14ac:dyDescent="0.3">
      <c r="CY3187" s="34" t="s">
        <v>4114</v>
      </c>
      <c r="CZ3187" s="35">
        <v>6.2384896000000005E-4</v>
      </c>
    </row>
    <row r="3188" spans="103:104" x14ac:dyDescent="0.3">
      <c r="CY3188" s="34" t="s">
        <v>4115</v>
      </c>
      <c r="CZ3188" s="35">
        <v>9.6134556800000007E-4</v>
      </c>
    </row>
    <row r="3189" spans="103:104" x14ac:dyDescent="0.3">
      <c r="CY3189" s="34" t="s">
        <v>4116</v>
      </c>
      <c r="CZ3189" s="35">
        <v>6.1451208000000001E-4</v>
      </c>
    </row>
    <row r="3190" spans="103:104" x14ac:dyDescent="0.3">
      <c r="CY3190" s="34" t="s">
        <v>4117</v>
      </c>
      <c r="CZ3190" s="35">
        <v>6.1451208000000001E-4</v>
      </c>
    </row>
    <row r="3191" spans="103:104" x14ac:dyDescent="0.3">
      <c r="CY3191" s="34" t="s">
        <v>4118</v>
      </c>
      <c r="CZ3191" s="35">
        <v>6.5100796800000003E-4</v>
      </c>
    </row>
    <row r="3192" spans="103:104" x14ac:dyDescent="0.3">
      <c r="CY3192" s="34" t="s">
        <v>4119</v>
      </c>
      <c r="CZ3192" s="35">
        <v>6.2169119999999991E-4</v>
      </c>
    </row>
    <row r="3193" spans="103:104" x14ac:dyDescent="0.3">
      <c r="CY3193" s="34" t="s">
        <v>4120</v>
      </c>
      <c r="CZ3193" s="35">
        <v>6.9784505740000002E-2</v>
      </c>
    </row>
    <row r="3194" spans="103:104" x14ac:dyDescent="0.3">
      <c r="CY3194" s="34" t="s">
        <v>4121</v>
      </c>
      <c r="CZ3194" s="35">
        <v>1.7279997696000002E-2</v>
      </c>
    </row>
    <row r="3195" spans="103:104" x14ac:dyDescent="0.3">
      <c r="CY3195" s="34" t="s">
        <v>4122</v>
      </c>
      <c r="CZ3195" s="35">
        <v>0.11406018270399999</v>
      </c>
    </row>
    <row r="3196" spans="103:104" x14ac:dyDescent="0.3">
      <c r="CY3196" s="34" t="s">
        <v>4123</v>
      </c>
      <c r="CZ3196" s="35">
        <v>5.234202164E-2</v>
      </c>
    </row>
    <row r="3197" spans="103:104" x14ac:dyDescent="0.3">
      <c r="CY3197" s="34" t="s">
        <v>4124</v>
      </c>
      <c r="CZ3197" s="35">
        <v>0.13155238759999999</v>
      </c>
    </row>
    <row r="3198" spans="103:104" x14ac:dyDescent="0.3">
      <c r="CY3198" s="34" t="s">
        <v>4125</v>
      </c>
      <c r="CZ3198" s="35">
        <v>2.1190154543157896E-2</v>
      </c>
    </row>
    <row r="3199" spans="103:104" x14ac:dyDescent="0.3">
      <c r="CY3199" s="34" t="s">
        <v>4126</v>
      </c>
      <c r="CZ3199" s="35">
        <v>0.1191441</v>
      </c>
    </row>
    <row r="3200" spans="103:104" x14ac:dyDescent="0.3">
      <c r="CY3200" s="34" t="s">
        <v>4127</v>
      </c>
      <c r="CZ3200" s="35">
        <v>1.3749759920000002E-2</v>
      </c>
    </row>
    <row r="3201" spans="103:104" x14ac:dyDescent="0.3">
      <c r="CY3201" s="34" t="s">
        <v>4128</v>
      </c>
      <c r="CZ3201" s="35">
        <v>2.0231560959999999E-2</v>
      </c>
    </row>
    <row r="3202" spans="103:104" x14ac:dyDescent="0.3">
      <c r="CY3202" s="34" t="s">
        <v>4129</v>
      </c>
      <c r="CZ3202" s="35">
        <v>1.5639062296000001E-2</v>
      </c>
    </row>
    <row r="3203" spans="103:104" x14ac:dyDescent="0.3">
      <c r="CY3203" s="34" t="s">
        <v>4130</v>
      </c>
      <c r="CZ3203" s="35">
        <v>2.9053221600000005E-2</v>
      </c>
    </row>
    <row r="3204" spans="103:104" x14ac:dyDescent="0.3">
      <c r="CY3204" s="34" t="s">
        <v>4131</v>
      </c>
      <c r="CZ3204" s="35">
        <v>4.7155002959999998E-2</v>
      </c>
    </row>
    <row r="3205" spans="103:104" x14ac:dyDescent="0.3">
      <c r="CY3205" s="34" t="s">
        <v>4132</v>
      </c>
      <c r="CZ3205" s="35">
        <v>2.6946660000000001E-3</v>
      </c>
    </row>
    <row r="3206" spans="103:104" x14ac:dyDescent="0.3">
      <c r="CY3206" s="34" t="s">
        <v>4133</v>
      </c>
      <c r="CZ3206" s="35">
        <v>4.5976731839999993E-2</v>
      </c>
    </row>
    <row r="3207" spans="103:104" x14ac:dyDescent="0.3">
      <c r="CY3207" s="34" t="s">
        <v>4134</v>
      </c>
      <c r="CZ3207" s="35">
        <v>4.9442832191999998E-2</v>
      </c>
    </row>
    <row r="3208" spans="103:104" x14ac:dyDescent="0.3">
      <c r="CY3208" s="34" t="s">
        <v>4135</v>
      </c>
      <c r="CZ3208" s="35">
        <v>5.2910643968E-2</v>
      </c>
    </row>
    <row r="3209" spans="103:104" x14ac:dyDescent="0.3">
      <c r="CY3209" s="34" t="s">
        <v>4136</v>
      </c>
      <c r="CZ3209" s="35">
        <v>5.334441216E-2</v>
      </c>
    </row>
    <row r="3210" spans="103:104" x14ac:dyDescent="0.3">
      <c r="CY3210" s="34" t="s">
        <v>4137</v>
      </c>
      <c r="CZ3210" s="35">
        <v>2.5047297944315792E-2</v>
      </c>
    </row>
    <row r="3211" spans="103:104" x14ac:dyDescent="0.3">
      <c r="CY3211" s="34" t="s">
        <v>4138</v>
      </c>
      <c r="CZ3211" s="35">
        <v>3.4072639295909092E-3</v>
      </c>
    </row>
    <row r="3212" spans="103:104" x14ac:dyDescent="0.3">
      <c r="CY3212" s="34" t="s">
        <v>4139</v>
      </c>
      <c r="CZ3212" s="35">
        <v>2.5653086420000001E-3</v>
      </c>
    </row>
    <row r="3213" spans="103:104" x14ac:dyDescent="0.3">
      <c r="CY3213" s="34" t="s">
        <v>4140</v>
      </c>
      <c r="CZ3213" s="35">
        <v>2.6946660000000001E-3</v>
      </c>
    </row>
    <row r="3214" spans="103:104" x14ac:dyDescent="0.3">
      <c r="CY3214" s="34" t="s">
        <v>4141</v>
      </c>
      <c r="CZ3214" s="35">
        <v>3.2308286400000003E-3</v>
      </c>
    </row>
    <row r="3215" spans="103:104" x14ac:dyDescent="0.3">
      <c r="CY3215" s="34" t="s">
        <v>4142</v>
      </c>
      <c r="CZ3215" s="35">
        <v>7.0106961600000005E-4</v>
      </c>
    </row>
    <row r="3216" spans="103:104" x14ac:dyDescent="0.3">
      <c r="CY3216" s="34" t="s">
        <v>4143</v>
      </c>
      <c r="CZ3216" s="35">
        <v>2.5056305040000004E-2</v>
      </c>
    </row>
    <row r="3217" spans="103:104" x14ac:dyDescent="0.3">
      <c r="CY3217" s="34" t="s">
        <v>4144</v>
      </c>
      <c r="CZ3217" s="35">
        <v>2.8091122176000002E-2</v>
      </c>
    </row>
    <row r="3218" spans="103:104" x14ac:dyDescent="0.3">
      <c r="CY3218" s="34" t="s">
        <v>4145</v>
      </c>
      <c r="CZ3218" s="35">
        <v>5.6790269223999996E-2</v>
      </c>
    </row>
    <row r="3219" spans="103:104" x14ac:dyDescent="0.3">
      <c r="CY3219" s="34" t="s">
        <v>4146</v>
      </c>
      <c r="CZ3219" s="35">
        <v>5.4209472719999999E-2</v>
      </c>
    </row>
    <row r="3220" spans="103:104" x14ac:dyDescent="0.3">
      <c r="CY3220" s="34" t="s">
        <v>4147</v>
      </c>
      <c r="CZ3220" s="35">
        <v>4.9109452800000002E-2</v>
      </c>
    </row>
    <row r="3221" spans="103:104" x14ac:dyDescent="0.3">
      <c r="CY3221" s="34" t="s">
        <v>4148</v>
      </c>
      <c r="CZ3221" s="35">
        <v>2.590884192E-3</v>
      </c>
    </row>
    <row r="3222" spans="103:104" x14ac:dyDescent="0.3">
      <c r="CY3222" s="34" t="s">
        <v>4149</v>
      </c>
      <c r="CZ3222" s="35">
        <v>0.35117332764666004</v>
      </c>
    </row>
    <row r="3223" spans="103:104" x14ac:dyDescent="0.3">
      <c r="CY3223" s="34" t="s">
        <v>4150</v>
      </c>
      <c r="CZ3223" s="35">
        <v>0.14003973466666669</v>
      </c>
    </row>
    <row r="3224" spans="103:104" x14ac:dyDescent="0.3">
      <c r="CY3224" s="34" t="s">
        <v>4151</v>
      </c>
      <c r="CZ3224" s="35">
        <v>1.9846969895999999E-2</v>
      </c>
    </row>
    <row r="3225" spans="103:104" x14ac:dyDescent="0.3">
      <c r="CY3225" s="34" t="s">
        <v>4152</v>
      </c>
      <c r="CZ3225" s="35">
        <v>2.4969985247999999E-2</v>
      </c>
    </row>
    <row r="3226" spans="103:104" x14ac:dyDescent="0.3">
      <c r="CY3226" s="34" t="s">
        <v>4153</v>
      </c>
      <c r="CZ3226" s="35">
        <v>1.6789343999999999E-4</v>
      </c>
    </row>
    <row r="3227" spans="103:104" x14ac:dyDescent="0.3">
      <c r="CY3227" s="34" t="s">
        <v>4154</v>
      </c>
      <c r="CZ3227" s="35">
        <v>1.1884023840000001E-3</v>
      </c>
    </row>
    <row r="3228" spans="103:104" x14ac:dyDescent="0.3">
      <c r="CY3228" s="34" t="s">
        <v>4155</v>
      </c>
      <c r="CZ3228" s="35">
        <v>8.8895591200000002E-4</v>
      </c>
    </row>
    <row r="3229" spans="103:104" x14ac:dyDescent="0.3">
      <c r="CY3229" s="34" t="s">
        <v>4156</v>
      </c>
      <c r="CZ3229" s="35">
        <v>4.2665101440000006E-2</v>
      </c>
    </row>
    <row r="3230" spans="103:104" x14ac:dyDescent="0.3">
      <c r="CY3230" s="34" t="s">
        <v>4157</v>
      </c>
      <c r="CZ3230" s="35">
        <v>2.9241150328000003E-2</v>
      </c>
    </row>
    <row r="3231" spans="103:104" x14ac:dyDescent="0.3">
      <c r="CY3231" s="34" t="s">
        <v>4158</v>
      </c>
      <c r="CZ3231" s="35">
        <v>8.9013599999999992E-4</v>
      </c>
    </row>
    <row r="3232" spans="103:104" x14ac:dyDescent="0.3">
      <c r="CY3232" s="34" t="s">
        <v>4159</v>
      </c>
      <c r="CZ3232" s="35">
        <v>2.03677604E-3</v>
      </c>
    </row>
    <row r="3233" spans="103:104" x14ac:dyDescent="0.3">
      <c r="CY3233" s="34" t="s">
        <v>4160</v>
      </c>
      <c r="CZ3233" s="35">
        <v>7.4846303999999994E-4</v>
      </c>
    </row>
    <row r="3234" spans="103:104" x14ac:dyDescent="0.3">
      <c r="CY3234" s="34" t="s">
        <v>4161</v>
      </c>
      <c r="CZ3234" s="35">
        <v>1.1315047303999999E-2</v>
      </c>
    </row>
    <row r="3235" spans="103:104" x14ac:dyDescent="0.3">
      <c r="CY3235" s="34" t="s">
        <v>4162</v>
      </c>
      <c r="CZ3235" s="35">
        <v>0.18999045988000002</v>
      </c>
    </row>
    <row r="3236" spans="103:104" x14ac:dyDescent="0.3">
      <c r="CY3236" s="34" t="s">
        <v>4163</v>
      </c>
      <c r="CZ3236" s="35">
        <v>3.5443468319999998E-2</v>
      </c>
    </row>
    <row r="3237" spans="103:104" x14ac:dyDescent="0.3">
      <c r="CY3237" s="34" t="s">
        <v>4164</v>
      </c>
      <c r="CZ3237" s="35">
        <v>2.5339868736000002E-2</v>
      </c>
    </row>
    <row r="3238" spans="103:104" x14ac:dyDescent="0.3">
      <c r="CY3238" s="34" t="s">
        <v>4165</v>
      </c>
      <c r="CZ3238" s="35">
        <v>5.5224588223999997E-2</v>
      </c>
    </row>
    <row r="3239" spans="103:104" x14ac:dyDescent="0.3">
      <c r="CY3239" s="34" t="s">
        <v>4166</v>
      </c>
      <c r="CZ3239" s="35">
        <v>2.5339868736000002E-2</v>
      </c>
    </row>
    <row r="3240" spans="103:104" x14ac:dyDescent="0.3">
      <c r="CY3240" s="34" t="s">
        <v>4167</v>
      </c>
      <c r="CZ3240" s="35">
        <v>4.0414004800000001E-4</v>
      </c>
    </row>
    <row r="3241" spans="103:104" x14ac:dyDescent="0.3">
      <c r="CY3241" s="34" t="s">
        <v>4168</v>
      </c>
      <c r="CZ3241" s="35">
        <v>1.5079380160000001E-3</v>
      </c>
    </row>
    <row r="3242" spans="103:104" x14ac:dyDescent="0.3">
      <c r="CY3242" s="34" t="s">
        <v>4169</v>
      </c>
      <c r="CZ3242" s="35">
        <v>6.1077423680000005E-3</v>
      </c>
    </row>
    <row r="3243" spans="103:104" x14ac:dyDescent="0.3">
      <c r="CY3243" s="34" t="s">
        <v>4170</v>
      </c>
      <c r="CZ3243" s="35">
        <v>2.0754333183999999E-2</v>
      </c>
    </row>
    <row r="3244" spans="103:104" x14ac:dyDescent="0.3">
      <c r="CY3244" s="34" t="s">
        <v>4171</v>
      </c>
      <c r="CZ3244" s="35">
        <v>2.3822081919999999E-3</v>
      </c>
    </row>
    <row r="3245" spans="103:104" x14ac:dyDescent="0.3">
      <c r="CY3245" s="34" t="s">
        <v>4172</v>
      </c>
      <c r="CZ3245" s="35">
        <v>2.8241283199999993E-4</v>
      </c>
    </row>
    <row r="3246" spans="103:104" x14ac:dyDescent="0.3">
      <c r="CY3246" s="34" t="s">
        <v>4173</v>
      </c>
      <c r="CZ3246" s="35">
        <v>7.0872671999999996E-4</v>
      </c>
    </row>
    <row r="3247" spans="103:104" x14ac:dyDescent="0.3">
      <c r="CY3247" s="34" t="s">
        <v>4174</v>
      </c>
      <c r="CZ3247" s="35">
        <v>1.1105288000000001E-2</v>
      </c>
    </row>
    <row r="3248" spans="103:104" x14ac:dyDescent="0.3">
      <c r="CY3248" s="34" t="s">
        <v>4175</v>
      </c>
      <c r="CZ3248" s="35">
        <v>1.631259968E-3</v>
      </c>
    </row>
    <row r="3249" spans="103:104" x14ac:dyDescent="0.3">
      <c r="CY3249" s="34" t="s">
        <v>4176</v>
      </c>
      <c r="CZ3249" s="35">
        <v>0.10404031999999999</v>
      </c>
    </row>
    <row r="3250" spans="103:104" x14ac:dyDescent="0.3">
      <c r="CY3250" s="34" t="s">
        <v>4177</v>
      </c>
      <c r="CZ3250" s="35">
        <v>0.14331450094000001</v>
      </c>
    </row>
    <row r="3251" spans="103:104" x14ac:dyDescent="0.3">
      <c r="CY3251" s="34" t="s">
        <v>4178</v>
      </c>
      <c r="CZ3251" s="35">
        <v>2.9976254604799996E-2</v>
      </c>
    </row>
    <row r="3252" spans="103:104" x14ac:dyDescent="0.3">
      <c r="CY3252" s="34" t="s">
        <v>4179</v>
      </c>
      <c r="CZ3252" s="35">
        <v>5.6588379038202241E-2</v>
      </c>
    </row>
    <row r="3253" spans="103:104" x14ac:dyDescent="0.3">
      <c r="CY3253" s="34" t="s">
        <v>4180</v>
      </c>
      <c r="CZ3253" s="35">
        <v>2.4333513035999999E-2</v>
      </c>
    </row>
    <row r="3254" spans="103:104" x14ac:dyDescent="0.3">
      <c r="CY3254" s="34" t="s">
        <v>4181</v>
      </c>
      <c r="CZ3254" s="35">
        <v>5.4644784000000002E-2</v>
      </c>
    </row>
    <row r="3255" spans="103:104" x14ac:dyDescent="0.3">
      <c r="CY3255" s="34" t="s">
        <v>4182</v>
      </c>
      <c r="CZ3255" s="35">
        <v>2.1189128479999998E-3</v>
      </c>
    </row>
    <row r="3256" spans="103:104" x14ac:dyDescent="0.3">
      <c r="CY3256" s="34" t="s">
        <v>4183</v>
      </c>
      <c r="CZ3256" s="35">
        <v>2.6047923199999999E-3</v>
      </c>
    </row>
    <row r="3257" spans="103:104" x14ac:dyDescent="0.3">
      <c r="CY3257" s="34" t="s">
        <v>4184</v>
      </c>
      <c r="CZ3257" s="35">
        <v>2.9668764266666662E-3</v>
      </c>
    </row>
    <row r="3258" spans="103:104" x14ac:dyDescent="0.3">
      <c r="CY3258" s="34" t="s">
        <v>4185</v>
      </c>
      <c r="CZ3258" s="35">
        <v>9.8493360000000016E-2</v>
      </c>
    </row>
    <row r="3259" spans="103:104" x14ac:dyDescent="0.3">
      <c r="CY3259" s="34" t="s">
        <v>4186</v>
      </c>
      <c r="CZ3259" s="35">
        <v>5.8509558399999998E-3</v>
      </c>
    </row>
    <row r="3260" spans="103:104" x14ac:dyDescent="0.3">
      <c r="CY3260" s="34" t="s">
        <v>4187</v>
      </c>
      <c r="CZ3260" s="35">
        <v>2.515196E-4</v>
      </c>
    </row>
    <row r="3261" spans="103:104" x14ac:dyDescent="0.3">
      <c r="CY3261" s="34" t="s">
        <v>4188</v>
      </c>
      <c r="CZ3261" s="35">
        <v>0.37368720063999999</v>
      </c>
    </row>
    <row r="3262" spans="103:104" x14ac:dyDescent="0.3">
      <c r="CY3262" s="34" t="s">
        <v>4189</v>
      </c>
      <c r="CZ3262" s="35">
        <v>9.7396982399999984E-4</v>
      </c>
    </row>
    <row r="3263" spans="103:104" x14ac:dyDescent="0.3">
      <c r="CY3263" s="34" t="s">
        <v>4190</v>
      </c>
      <c r="CZ3263" s="35">
        <v>8.9593247999999997E-3</v>
      </c>
    </row>
    <row r="3264" spans="103:104" x14ac:dyDescent="0.3">
      <c r="CY3264" s="34" t="s">
        <v>4191</v>
      </c>
      <c r="CZ3264" s="35">
        <v>1.37028064E-2</v>
      </c>
    </row>
    <row r="3265" spans="103:104" x14ac:dyDescent="0.3">
      <c r="CY3265" s="34" t="s">
        <v>4192</v>
      </c>
      <c r="CZ3265" s="35">
        <v>7.7194480000000003E-3</v>
      </c>
    </row>
    <row r="3266" spans="103:104" x14ac:dyDescent="0.3">
      <c r="CY3266" s="34" t="s">
        <v>4193</v>
      </c>
      <c r="CZ3266" s="35">
        <v>7.8108266699999998E-3</v>
      </c>
    </row>
    <row r="3267" spans="103:104" x14ac:dyDescent="0.3">
      <c r="CY3267" s="34" t="s">
        <v>4194</v>
      </c>
      <c r="CZ3267" s="35">
        <v>9.4054558080000003E-3</v>
      </c>
    </row>
    <row r="3268" spans="103:104" x14ac:dyDescent="0.3">
      <c r="CY3268" s="34" t="s">
        <v>4195</v>
      </c>
      <c r="CZ3268" s="35">
        <v>0.23142760679999999</v>
      </c>
    </row>
    <row r="3269" spans="103:104" x14ac:dyDescent="0.3">
      <c r="CY3269" s="34" t="s">
        <v>4196</v>
      </c>
      <c r="CZ3269" s="35">
        <v>3.5555973300000002E-2</v>
      </c>
    </row>
    <row r="3270" spans="103:104" x14ac:dyDescent="0.3">
      <c r="CY3270" s="34" t="s">
        <v>4197</v>
      </c>
      <c r="CZ3270" s="35">
        <v>3.2722547520000001E-3</v>
      </c>
    </row>
    <row r="3271" spans="103:104" x14ac:dyDescent="0.3">
      <c r="CY3271" s="34" t="s">
        <v>4198</v>
      </c>
      <c r="CZ3271" s="35">
        <v>1.1454168960000002E-2</v>
      </c>
    </row>
    <row r="3272" spans="103:104" x14ac:dyDescent="0.3">
      <c r="CY3272" s="34" t="s">
        <v>4199</v>
      </c>
      <c r="CZ3272" s="35">
        <v>1.4278691648000002E-2</v>
      </c>
    </row>
    <row r="3273" spans="103:104" x14ac:dyDescent="0.3">
      <c r="CY3273" s="34" t="s">
        <v>4200</v>
      </c>
      <c r="CZ3273" s="35">
        <v>1.4278691648000002E-2</v>
      </c>
    </row>
    <row r="3274" spans="103:104" x14ac:dyDescent="0.3">
      <c r="CY3274" s="34" t="s">
        <v>4201</v>
      </c>
      <c r="CZ3274" s="35">
        <v>1.4278691648000002E-2</v>
      </c>
    </row>
    <row r="3275" spans="103:104" x14ac:dyDescent="0.3">
      <c r="CY3275" s="34" t="s">
        <v>4202</v>
      </c>
      <c r="CZ3275" s="35">
        <v>1.8196937824000003E-2</v>
      </c>
    </row>
    <row r="3276" spans="103:104" x14ac:dyDescent="0.3">
      <c r="CY3276" s="34" t="s">
        <v>4203</v>
      </c>
      <c r="CZ3276" s="35">
        <v>1.8196937824000003E-2</v>
      </c>
    </row>
    <row r="3277" spans="103:104" x14ac:dyDescent="0.3">
      <c r="CY3277" s="34" t="s">
        <v>4204</v>
      </c>
      <c r="CZ3277" s="35">
        <v>1.8196937824000003E-2</v>
      </c>
    </row>
    <row r="3278" spans="103:104" x14ac:dyDescent="0.3">
      <c r="CY3278" s="34" t="s">
        <v>4205</v>
      </c>
      <c r="CZ3278" s="35">
        <v>1.8196937824000003E-2</v>
      </c>
    </row>
    <row r="3279" spans="103:104" x14ac:dyDescent="0.3">
      <c r="CY3279" s="34" t="s">
        <v>4206</v>
      </c>
      <c r="CZ3279" s="35">
        <v>1.8196937824000003E-2</v>
      </c>
    </row>
    <row r="3280" spans="103:104" x14ac:dyDescent="0.3">
      <c r="CY3280" s="34" t="s">
        <v>4207</v>
      </c>
      <c r="CZ3280" s="35">
        <v>2.0157747375999999E-2</v>
      </c>
    </row>
    <row r="3281" spans="103:104" x14ac:dyDescent="0.3">
      <c r="CY3281" s="34" t="s">
        <v>4208</v>
      </c>
      <c r="CZ3281" s="35">
        <v>2.0157747375999999E-2</v>
      </c>
    </row>
    <row r="3282" spans="103:104" x14ac:dyDescent="0.3">
      <c r="CY3282" s="34" t="s">
        <v>4209</v>
      </c>
      <c r="CZ3282" s="35">
        <v>6.6363237759999999E-3</v>
      </c>
    </row>
    <row r="3283" spans="103:104" x14ac:dyDescent="0.3">
      <c r="CY3283" s="34" t="s">
        <v>4210</v>
      </c>
      <c r="CZ3283" s="35">
        <v>6.72839148E-3</v>
      </c>
    </row>
    <row r="3284" spans="103:104" x14ac:dyDescent="0.3">
      <c r="CY3284" s="34" t="s">
        <v>4211</v>
      </c>
      <c r="CZ3284" s="35">
        <v>1.8196937824000003E-2</v>
      </c>
    </row>
    <row r="3285" spans="103:104" x14ac:dyDescent="0.3">
      <c r="CY3285" s="34" t="s">
        <v>4212</v>
      </c>
      <c r="CZ3285" s="35">
        <v>1.8196937824000003E-2</v>
      </c>
    </row>
    <row r="3286" spans="103:104" x14ac:dyDescent="0.3">
      <c r="CY3286" s="34" t="s">
        <v>4213</v>
      </c>
      <c r="CZ3286" s="35">
        <v>1.4278691648000002E-2</v>
      </c>
    </row>
    <row r="3287" spans="103:104" x14ac:dyDescent="0.3">
      <c r="CY3287" s="34" t="s">
        <v>4214</v>
      </c>
      <c r="CZ3287" s="35">
        <v>1.4278691648000002E-2</v>
      </c>
    </row>
    <row r="3288" spans="103:104" x14ac:dyDescent="0.3">
      <c r="CY3288" s="34" t="s">
        <v>4215</v>
      </c>
      <c r="CZ3288" s="35">
        <v>1.4278691648000002E-2</v>
      </c>
    </row>
    <row r="3289" spans="103:104" x14ac:dyDescent="0.3">
      <c r="CY3289" s="34" t="s">
        <v>4216</v>
      </c>
      <c r="CZ3289" s="35">
        <v>2.9260553919999996E-3</v>
      </c>
    </row>
    <row r="3290" spans="103:104" x14ac:dyDescent="0.3">
      <c r="CY3290" s="34" t="s">
        <v>4217</v>
      </c>
      <c r="CZ3290" s="35">
        <v>2.5928759999999996E-3</v>
      </c>
    </row>
    <row r="3291" spans="103:104" x14ac:dyDescent="0.3">
      <c r="CY3291" s="34" t="s">
        <v>4218</v>
      </c>
      <c r="CZ3291" s="35">
        <v>6.1625699199999997E-4</v>
      </c>
    </row>
    <row r="3292" spans="103:104" x14ac:dyDescent="0.3">
      <c r="CY3292" s="34" t="s">
        <v>4219</v>
      </c>
      <c r="CZ3292" s="35">
        <v>1.50585807936E-3</v>
      </c>
    </row>
    <row r="3293" spans="103:104" x14ac:dyDescent="0.3">
      <c r="CY3293" s="34" t="s">
        <v>4220</v>
      </c>
      <c r="CZ3293" s="35">
        <v>1.391100256E-3</v>
      </c>
    </row>
    <row r="3294" spans="103:104" x14ac:dyDescent="0.3">
      <c r="CY3294" s="34" t="s">
        <v>4221</v>
      </c>
      <c r="CZ3294" s="35">
        <v>4.2789019520000004E-3</v>
      </c>
    </row>
    <row r="3295" spans="103:104" x14ac:dyDescent="0.3">
      <c r="CY3295" s="34" t="s">
        <v>4222</v>
      </c>
      <c r="CZ3295" s="35">
        <v>1.1467738880000002E-3</v>
      </c>
    </row>
    <row r="3296" spans="103:104" x14ac:dyDescent="0.3">
      <c r="CY3296" s="34" t="s">
        <v>4223</v>
      </c>
      <c r="CZ3296" s="35">
        <v>7.3732599199999999E-4</v>
      </c>
    </row>
    <row r="3297" spans="103:104" x14ac:dyDescent="0.3">
      <c r="CY3297" s="34" t="s">
        <v>4224</v>
      </c>
      <c r="CZ3297" s="35">
        <v>5.1325093759999995E-4</v>
      </c>
    </row>
    <row r="3298" spans="103:104" x14ac:dyDescent="0.3">
      <c r="CY3298" s="34" t="s">
        <v>4225</v>
      </c>
      <c r="CZ3298" s="35">
        <v>6.6372113279999998E-4</v>
      </c>
    </row>
    <row r="3299" spans="103:104" x14ac:dyDescent="0.3">
      <c r="CY3299" s="34" t="s">
        <v>4226</v>
      </c>
      <c r="CZ3299" s="35">
        <v>6.2073539519999998E-4</v>
      </c>
    </row>
    <row r="3300" spans="103:104" x14ac:dyDescent="0.3">
      <c r="CY3300" s="34" t="s">
        <v>4227</v>
      </c>
      <c r="CZ3300" s="35">
        <v>2.3918746799999999E-3</v>
      </c>
    </row>
    <row r="3301" spans="103:104" x14ac:dyDescent="0.3">
      <c r="CY3301" s="34" t="s">
        <v>4228</v>
      </c>
      <c r="CZ3301" s="35">
        <v>1.931550656E-3</v>
      </c>
    </row>
    <row r="3302" spans="103:104" x14ac:dyDescent="0.3">
      <c r="CY3302" s="34" t="s">
        <v>4229</v>
      </c>
      <c r="CZ3302" s="35">
        <v>1.9926389184000002E-2</v>
      </c>
    </row>
    <row r="3303" spans="103:104" x14ac:dyDescent="0.3">
      <c r="CY3303" s="34" t="s">
        <v>4230</v>
      </c>
      <c r="CZ3303" s="35">
        <v>9.7934004480000007E-3</v>
      </c>
    </row>
    <row r="3304" spans="103:104" x14ac:dyDescent="0.3">
      <c r="CY3304" s="34" t="s">
        <v>4231</v>
      </c>
      <c r="CZ3304" s="35">
        <v>5.0919506000000003E-2</v>
      </c>
    </row>
    <row r="3305" spans="103:104" x14ac:dyDescent="0.3">
      <c r="CY3305" s="34" t="s">
        <v>4232</v>
      </c>
      <c r="CZ3305" s="35">
        <v>6.4248620000000006E-2</v>
      </c>
    </row>
    <row r="3306" spans="103:104" x14ac:dyDescent="0.3">
      <c r="CY3306" s="34" t="s">
        <v>4233</v>
      </c>
      <c r="CZ3306" s="35">
        <v>0.17652200000000001</v>
      </c>
    </row>
    <row r="3307" spans="103:104" x14ac:dyDescent="0.3">
      <c r="CY3307" s="34" t="s">
        <v>4234</v>
      </c>
      <c r="CZ3307" s="35">
        <v>8.5510157823999983E-2</v>
      </c>
    </row>
    <row r="3308" spans="103:104" x14ac:dyDescent="0.3">
      <c r="CY3308" s="34" t="s">
        <v>4235</v>
      </c>
      <c r="CZ3308" s="35">
        <v>7.3110913824000007E-2</v>
      </c>
    </row>
    <row r="3309" spans="103:104" x14ac:dyDescent="0.3">
      <c r="CY3309" s="34" t="s">
        <v>4236</v>
      </c>
      <c r="CZ3309" s="35">
        <v>4.6432275551999996E-2</v>
      </c>
    </row>
    <row r="3310" spans="103:104" x14ac:dyDescent="0.3">
      <c r="CY3310" s="34" t="s">
        <v>4237</v>
      </c>
      <c r="CZ3310" s="35">
        <v>1.1692268224000001E-2</v>
      </c>
    </row>
    <row r="3311" spans="103:104" x14ac:dyDescent="0.3">
      <c r="CY3311" s="34" t="s">
        <v>4238</v>
      </c>
      <c r="CZ3311" s="35">
        <v>1.1860168424E-3</v>
      </c>
    </row>
    <row r="3312" spans="103:104" x14ac:dyDescent="0.3">
      <c r="CY3312" s="34" t="s">
        <v>4239</v>
      </c>
      <c r="CZ3312" s="35">
        <v>4.1350657919999997E-3</v>
      </c>
    </row>
    <row r="3313" spans="103:104" x14ac:dyDescent="0.3">
      <c r="CY3313" s="34" t="s">
        <v>4240</v>
      </c>
      <c r="CZ3313" s="35">
        <v>1.068587312E-2</v>
      </c>
    </row>
    <row r="3314" spans="103:104" x14ac:dyDescent="0.3">
      <c r="CY3314" s="34" t="s">
        <v>4241</v>
      </c>
      <c r="CZ3314" s="35">
        <v>2.8572937120000001E-3</v>
      </c>
    </row>
    <row r="3315" spans="103:104" x14ac:dyDescent="0.3">
      <c r="CY3315" s="34" t="s">
        <v>4242</v>
      </c>
      <c r="CZ3315" s="35">
        <v>7.2401964959999997E-3</v>
      </c>
    </row>
    <row r="3316" spans="103:104" x14ac:dyDescent="0.3">
      <c r="CY3316" s="34" t="s">
        <v>4243</v>
      </c>
      <c r="CZ3316" s="35">
        <v>0.58485414936000013</v>
      </c>
    </row>
    <row r="3317" spans="103:104" x14ac:dyDescent="0.3">
      <c r="CY3317" s="34" t="s">
        <v>4244</v>
      </c>
      <c r="CZ3317" s="35">
        <v>9.6028548799999996E-4</v>
      </c>
    </row>
    <row r="3318" spans="103:104" x14ac:dyDescent="0.3">
      <c r="CY3318" s="34" t="s">
        <v>4245</v>
      </c>
      <c r="CZ3318" s="35">
        <v>3.3248883199999996E-4</v>
      </c>
    </row>
    <row r="3319" spans="103:104" x14ac:dyDescent="0.3">
      <c r="CY3319" s="34" t="s">
        <v>4246</v>
      </c>
      <c r="CZ3319" s="35">
        <v>3.1517116800000003E-4</v>
      </c>
    </row>
    <row r="3320" spans="103:104" x14ac:dyDescent="0.3">
      <c r="CY3320" s="34" t="s">
        <v>4247</v>
      </c>
      <c r="CZ3320" s="35">
        <v>0.123526324272</v>
      </c>
    </row>
    <row r="3321" spans="103:104" x14ac:dyDescent="0.3">
      <c r="CY3321" s="34" t="s">
        <v>4248</v>
      </c>
      <c r="CZ3321" s="35">
        <v>1.9910527152E-2</v>
      </c>
    </row>
    <row r="3322" spans="103:104" x14ac:dyDescent="0.3">
      <c r="CY3322" s="34" t="s">
        <v>4249</v>
      </c>
      <c r="CZ3322" s="35">
        <v>4.3550046448E-2</v>
      </c>
    </row>
    <row r="3323" spans="103:104" x14ac:dyDescent="0.3">
      <c r="CY3323" s="34" t="s">
        <v>4250</v>
      </c>
      <c r="CZ3323" s="35">
        <v>1.9927527152E-2</v>
      </c>
    </row>
    <row r="3324" spans="103:104" x14ac:dyDescent="0.3">
      <c r="CY3324" s="34" t="s">
        <v>4251</v>
      </c>
      <c r="CZ3324" s="35">
        <v>3.7963137783999991E-2</v>
      </c>
    </row>
    <row r="3325" spans="103:104" x14ac:dyDescent="0.3">
      <c r="CY3325" s="34" t="s">
        <v>4252</v>
      </c>
      <c r="CZ3325" s="35">
        <v>3.7037438567999993E-2</v>
      </c>
    </row>
    <row r="3326" spans="103:104" x14ac:dyDescent="0.3">
      <c r="CY3326" s="34" t="s">
        <v>4253</v>
      </c>
      <c r="CZ3326" s="35">
        <v>7.0138914271999989E-2</v>
      </c>
    </row>
    <row r="3327" spans="103:104" x14ac:dyDescent="0.3">
      <c r="CY3327" s="34" t="s">
        <v>4254</v>
      </c>
      <c r="CZ3327" s="35">
        <v>3.4939633351999996E-2</v>
      </c>
    </row>
    <row r="3328" spans="103:104" x14ac:dyDescent="0.3">
      <c r="CY3328" s="34" t="s">
        <v>4255</v>
      </c>
      <c r="CZ3328" s="35">
        <v>4.5462421783999993E-2</v>
      </c>
    </row>
    <row r="3329" spans="103:104" x14ac:dyDescent="0.3">
      <c r="CY3329" s="34" t="s">
        <v>4256</v>
      </c>
      <c r="CZ3329" s="35">
        <v>6.1624671784000003E-2</v>
      </c>
    </row>
    <row r="3330" spans="103:104" x14ac:dyDescent="0.3">
      <c r="CY3330" s="34" t="s">
        <v>4257</v>
      </c>
      <c r="CZ3330" s="35">
        <v>6.7666079000000004E-2</v>
      </c>
    </row>
    <row r="3331" spans="103:104" x14ac:dyDescent="0.3">
      <c r="CY3331" s="34" t="s">
        <v>4258</v>
      </c>
      <c r="CZ3331" s="35">
        <v>9.8477830776000003E-2</v>
      </c>
    </row>
    <row r="3332" spans="103:104" x14ac:dyDescent="0.3">
      <c r="CY3332" s="34" t="s">
        <v>4259</v>
      </c>
      <c r="CZ3332" s="35">
        <v>6.7711504431999997E-2</v>
      </c>
    </row>
    <row r="3333" spans="103:104" x14ac:dyDescent="0.3">
      <c r="CY3333" s="34" t="s">
        <v>4260</v>
      </c>
      <c r="CZ3333" s="35">
        <v>4.8043617439999997E-3</v>
      </c>
    </row>
    <row r="3334" spans="103:104" x14ac:dyDescent="0.3">
      <c r="CY3334" s="34" t="s">
        <v>4261</v>
      </c>
      <c r="CZ3334" s="35">
        <v>2.5925721119999998E-2</v>
      </c>
    </row>
    <row r="3335" spans="103:104" x14ac:dyDescent="0.3">
      <c r="CY3335" s="34" t="s">
        <v>4262</v>
      </c>
      <c r="CZ3335" s="35">
        <v>6.324951568E-3</v>
      </c>
    </row>
    <row r="3336" spans="103:104" x14ac:dyDescent="0.3">
      <c r="CY3336" s="34" t="s">
        <v>4263</v>
      </c>
      <c r="CZ3336" s="35">
        <v>2.9697824000000006E-4</v>
      </c>
    </row>
    <row r="3337" spans="103:104" x14ac:dyDescent="0.3">
      <c r="CY3337" s="34" t="s">
        <v>4264</v>
      </c>
      <c r="CZ3337" s="35">
        <v>4.0246835200000001E-4</v>
      </c>
    </row>
    <row r="3338" spans="103:104" x14ac:dyDescent="0.3">
      <c r="CY3338" s="34" t="s">
        <v>4265</v>
      </c>
      <c r="CZ3338" s="35">
        <v>4.0987564799999999E-4</v>
      </c>
    </row>
    <row r="3339" spans="103:104" x14ac:dyDescent="0.3">
      <c r="CY3339" s="34" t="s">
        <v>4266</v>
      </c>
      <c r="CZ3339" s="35">
        <v>5.6969515199999988E-4</v>
      </c>
    </row>
    <row r="3340" spans="103:104" x14ac:dyDescent="0.3">
      <c r="CY3340" s="34" t="s">
        <v>4267</v>
      </c>
      <c r="CZ3340" s="35">
        <v>2.4609669759999998E-3</v>
      </c>
    </row>
    <row r="3341" spans="103:104" x14ac:dyDescent="0.3">
      <c r="CY3341" s="34" t="s">
        <v>4268</v>
      </c>
      <c r="CZ3341" s="35">
        <v>2.4609669759999998E-3</v>
      </c>
    </row>
    <row r="3342" spans="103:104" x14ac:dyDescent="0.3">
      <c r="CY3342" s="34" t="s">
        <v>4269</v>
      </c>
      <c r="CZ3342" s="35">
        <v>3.068175242666667E-3</v>
      </c>
    </row>
    <row r="3343" spans="103:104" x14ac:dyDescent="0.3">
      <c r="CY3343" s="34" t="s">
        <v>4270</v>
      </c>
      <c r="CZ3343" s="35">
        <v>0.34888177376000001</v>
      </c>
    </row>
    <row r="3344" spans="103:104" x14ac:dyDescent="0.3">
      <c r="CY3344" s="34" t="s">
        <v>4271</v>
      </c>
      <c r="CZ3344" s="35">
        <v>0.39412258288000002</v>
      </c>
    </row>
    <row r="3345" spans="103:104" x14ac:dyDescent="0.3">
      <c r="CY3345" s="34" t="s">
        <v>4272</v>
      </c>
      <c r="CZ3345" s="35">
        <v>7.3722698400000009E-3</v>
      </c>
    </row>
    <row r="3346" spans="103:104" x14ac:dyDescent="0.3">
      <c r="CY3346" s="34" t="s">
        <v>4273</v>
      </c>
      <c r="CZ3346" s="35">
        <v>9.7538937600000002E-4</v>
      </c>
    </row>
    <row r="3347" spans="103:104" x14ac:dyDescent="0.3">
      <c r="CY3347" s="34" t="s">
        <v>4274</v>
      </c>
      <c r="CZ3347" s="35">
        <v>7.8046001279999996E-3</v>
      </c>
    </row>
    <row r="3348" spans="103:104" x14ac:dyDescent="0.3">
      <c r="CY3348" s="34" t="s">
        <v>4275</v>
      </c>
      <c r="CZ3348" s="35">
        <v>3.8999999999999999E-5</v>
      </c>
    </row>
    <row r="3349" spans="103:104" x14ac:dyDescent="0.3">
      <c r="CY3349" s="34" t="s">
        <v>4276</v>
      </c>
      <c r="CZ3349" s="35">
        <v>0.17014297247999999</v>
      </c>
    </row>
    <row r="3350" spans="103:104" x14ac:dyDescent="0.3">
      <c r="CY3350" s="34" t="s">
        <v>4277</v>
      </c>
      <c r="CZ3350" s="35">
        <v>8.547967896E-2</v>
      </c>
    </row>
    <row r="3351" spans="103:104" x14ac:dyDescent="0.3">
      <c r="CY3351" s="34" t="s">
        <v>4278</v>
      </c>
      <c r="CZ3351" s="35">
        <v>5.8953057280000006E-3</v>
      </c>
    </row>
    <row r="3352" spans="103:104" x14ac:dyDescent="0.3">
      <c r="CY3352" s="34" t="s">
        <v>4279</v>
      </c>
      <c r="CZ3352" s="35">
        <v>6.8439396479999994E-3</v>
      </c>
    </row>
    <row r="3353" spans="103:104" x14ac:dyDescent="0.3">
      <c r="CY3353" s="34" t="s">
        <v>4280</v>
      </c>
      <c r="CZ3353" s="35">
        <v>4.4941000000000002E-4</v>
      </c>
    </row>
    <row r="3354" spans="103:104" x14ac:dyDescent="0.3">
      <c r="CY3354" s="34" t="s">
        <v>4281</v>
      </c>
      <c r="CZ3354" s="35">
        <v>3.1021328000000001E-4</v>
      </c>
    </row>
    <row r="3355" spans="103:104" x14ac:dyDescent="0.3">
      <c r="CY3355" s="34" t="s">
        <v>4282</v>
      </c>
      <c r="CZ3355" s="35">
        <v>4.5173648000000003E-4</v>
      </c>
    </row>
    <row r="3356" spans="103:104" x14ac:dyDescent="0.3">
      <c r="CY3356" s="34" t="s">
        <v>4283</v>
      </c>
      <c r="CZ3356" s="35">
        <v>7.3732599199999999E-4</v>
      </c>
    </row>
    <row r="3357" spans="103:104" x14ac:dyDescent="0.3">
      <c r="CY3357" s="34" t="s">
        <v>4284</v>
      </c>
      <c r="CZ3357" s="35">
        <v>2.2829902159999999E-3</v>
      </c>
    </row>
    <row r="3358" spans="103:104" x14ac:dyDescent="0.3">
      <c r="CY3358" s="34" t="s">
        <v>4285</v>
      </c>
      <c r="CZ3358" s="35">
        <v>2.2829902159999999E-3</v>
      </c>
    </row>
    <row r="3359" spans="103:104" x14ac:dyDescent="0.3">
      <c r="CY3359" s="34" t="s">
        <v>4286</v>
      </c>
      <c r="CZ3359" s="35">
        <v>7.7811420800000003E-2</v>
      </c>
    </row>
    <row r="3360" spans="103:104" x14ac:dyDescent="0.3">
      <c r="CY3360" s="34" t="s">
        <v>4287</v>
      </c>
      <c r="CZ3360" s="35">
        <v>1.5836189824000001E-2</v>
      </c>
    </row>
    <row r="3361" spans="103:104" x14ac:dyDescent="0.3">
      <c r="CY3361" s="34" t="s">
        <v>4288</v>
      </c>
      <c r="CZ3361" s="35">
        <v>2.5176757320000003E-2</v>
      </c>
    </row>
    <row r="3362" spans="103:104" x14ac:dyDescent="0.3">
      <c r="CY3362" s="34" t="s">
        <v>4289</v>
      </c>
      <c r="CZ3362" s="35">
        <v>1.1277074119999999E-2</v>
      </c>
    </row>
    <row r="3363" spans="103:104" x14ac:dyDescent="0.3">
      <c r="CY3363" s="34" t="s">
        <v>4290</v>
      </c>
      <c r="CZ3363" s="35">
        <v>7.2549854000000011E-2</v>
      </c>
    </row>
    <row r="3364" spans="103:104" x14ac:dyDescent="0.3">
      <c r="CY3364" s="34" t="s">
        <v>4291</v>
      </c>
      <c r="CZ3364" s="35">
        <v>2.1487040639999997E-3</v>
      </c>
    </row>
    <row r="3365" spans="103:104" x14ac:dyDescent="0.3">
      <c r="CY3365" s="34" t="s">
        <v>4292</v>
      </c>
      <c r="CZ3365" s="35">
        <v>2.8773628831999999E-2</v>
      </c>
    </row>
    <row r="3366" spans="103:104" x14ac:dyDescent="0.3">
      <c r="CY3366" s="34" t="s">
        <v>4293</v>
      </c>
      <c r="CZ3366" s="35">
        <v>3.0720768208000002E-2</v>
      </c>
    </row>
    <row r="3367" spans="103:104" x14ac:dyDescent="0.3">
      <c r="CY3367" s="34" t="s">
        <v>4294</v>
      </c>
      <c r="CZ3367" s="35">
        <v>3.2732023999999998E-2</v>
      </c>
    </row>
    <row r="3368" spans="103:104" x14ac:dyDescent="0.3">
      <c r="CY3368" s="34" t="s">
        <v>4295</v>
      </c>
      <c r="CZ3368" s="35">
        <v>3.4807396207999997E-2</v>
      </c>
    </row>
    <row r="3369" spans="103:104" x14ac:dyDescent="0.3">
      <c r="CY3369" s="34" t="s">
        <v>4296</v>
      </c>
      <c r="CZ3369" s="35">
        <v>3.7514569040000001E-2</v>
      </c>
    </row>
    <row r="3370" spans="103:104" x14ac:dyDescent="0.3">
      <c r="CY3370" s="34" t="s">
        <v>4297</v>
      </c>
      <c r="CZ3370" s="35">
        <v>3.7514569040000001E-2</v>
      </c>
    </row>
    <row r="3371" spans="103:104" x14ac:dyDescent="0.3">
      <c r="CY3371" s="34" t="s">
        <v>4298</v>
      </c>
      <c r="CZ3371" s="35">
        <v>3.7514569040000001E-2</v>
      </c>
    </row>
    <row r="3372" spans="103:104" x14ac:dyDescent="0.3">
      <c r="CY3372" s="34" t="s">
        <v>4299</v>
      </c>
      <c r="CZ3372" s="35">
        <v>3.7514569040000001E-2</v>
      </c>
    </row>
    <row r="3373" spans="103:104" x14ac:dyDescent="0.3">
      <c r="CY3373" s="34" t="s">
        <v>4300</v>
      </c>
      <c r="CZ3373" s="35">
        <v>3.9751660623999992E-2</v>
      </c>
    </row>
    <row r="3374" spans="103:104" x14ac:dyDescent="0.3">
      <c r="CY3374" s="34" t="s">
        <v>4301</v>
      </c>
      <c r="CZ3374" s="35">
        <v>3.9751660623999992E-2</v>
      </c>
    </row>
    <row r="3375" spans="103:104" x14ac:dyDescent="0.3">
      <c r="CY3375" s="34" t="s">
        <v>4302</v>
      </c>
      <c r="CZ3375" s="35">
        <v>4.5154220800000002E-4</v>
      </c>
    </row>
    <row r="3376" spans="103:104" x14ac:dyDescent="0.3">
      <c r="CY3376" s="34" t="s">
        <v>4303</v>
      </c>
      <c r="CZ3376" s="35">
        <v>5.9779439199999997E-4</v>
      </c>
    </row>
    <row r="3377" spans="103:104" x14ac:dyDescent="0.3">
      <c r="CY3377" s="34" t="s">
        <v>4304</v>
      </c>
      <c r="CZ3377" s="35">
        <v>5.329456079999999E-4</v>
      </c>
    </row>
    <row r="3378" spans="103:104" x14ac:dyDescent="0.3">
      <c r="CY3378" s="34" t="s">
        <v>4305</v>
      </c>
      <c r="CZ3378" s="35">
        <v>3.8370342459583337E-4</v>
      </c>
    </row>
    <row r="3379" spans="103:104" x14ac:dyDescent="0.3">
      <c r="CY3379" s="34" t="s">
        <v>4306</v>
      </c>
      <c r="CZ3379" s="35">
        <v>3.5559899657083334E-4</v>
      </c>
    </row>
    <row r="3380" spans="103:104" x14ac:dyDescent="0.3">
      <c r="CY3380" s="34" t="s">
        <v>4307</v>
      </c>
      <c r="CZ3380" s="35">
        <v>4.8536220342500002E-4</v>
      </c>
    </row>
    <row r="3381" spans="103:104" x14ac:dyDescent="0.3">
      <c r="CY3381" s="34" t="s">
        <v>4308</v>
      </c>
      <c r="CZ3381" s="35">
        <v>2.5437184448000003E-2</v>
      </c>
    </row>
    <row r="3382" spans="103:104" x14ac:dyDescent="0.3">
      <c r="CY3382" s="34" t="s">
        <v>4309</v>
      </c>
      <c r="CZ3382" s="35">
        <v>7.2401964959999997E-3</v>
      </c>
    </row>
    <row r="3383" spans="103:104" x14ac:dyDescent="0.3">
      <c r="CY3383" s="34" t="s">
        <v>4310</v>
      </c>
      <c r="CZ3383" s="35">
        <v>0.17518806177600002</v>
      </c>
    </row>
    <row r="3384" spans="103:104" x14ac:dyDescent="0.3">
      <c r="CY3384" s="34" t="s">
        <v>4311</v>
      </c>
      <c r="CZ3384" s="35">
        <v>0.20788694659203127</v>
      </c>
    </row>
    <row r="3385" spans="103:104" x14ac:dyDescent="0.3">
      <c r="CY3385" s="34" t="s">
        <v>4312</v>
      </c>
      <c r="CZ3385" s="35">
        <v>1.0146382576E-2</v>
      </c>
    </row>
    <row r="3386" spans="103:104" x14ac:dyDescent="0.3">
      <c r="CY3386" s="34" t="s">
        <v>4313</v>
      </c>
      <c r="CZ3386" s="35">
        <v>5.7297874504E-2</v>
      </c>
    </row>
    <row r="3387" spans="103:104" x14ac:dyDescent="0.3">
      <c r="CY3387" s="34" t="s">
        <v>4314</v>
      </c>
      <c r="CZ3387" s="35">
        <v>8.5201459200000002E-4</v>
      </c>
    </row>
    <row r="3388" spans="103:104" x14ac:dyDescent="0.3">
      <c r="CY3388" s="34" t="s">
        <v>4315</v>
      </c>
      <c r="CZ3388" s="35">
        <v>4.834178184E-2</v>
      </c>
    </row>
    <row r="3389" spans="103:104" x14ac:dyDescent="0.3">
      <c r="CY3389" s="34" t="s">
        <v>4316</v>
      </c>
      <c r="CZ3389" s="35">
        <v>2.5355867647999998E-2</v>
      </c>
    </row>
    <row r="3390" spans="103:104" x14ac:dyDescent="0.3">
      <c r="CY3390" s="34" t="s">
        <v>4317</v>
      </c>
      <c r="CZ3390" s="35">
        <v>1.6836880319999999E-3</v>
      </c>
    </row>
    <row r="3391" spans="103:104" x14ac:dyDescent="0.3">
      <c r="CY3391" s="34" t="s">
        <v>4318</v>
      </c>
      <c r="CZ3391" s="35">
        <v>1.5127042215999999E-2</v>
      </c>
    </row>
    <row r="3392" spans="103:104" x14ac:dyDescent="0.3">
      <c r="CY3392" s="34" t="s">
        <v>4319</v>
      </c>
      <c r="CZ3392" s="35">
        <v>5.3421604799999993E-4</v>
      </c>
    </row>
    <row r="3393" spans="103:104" x14ac:dyDescent="0.3">
      <c r="CY3393" s="34" t="s">
        <v>4320</v>
      </c>
      <c r="CZ3393" s="35">
        <v>6.308726912E-4</v>
      </c>
    </row>
    <row r="3394" spans="103:104" x14ac:dyDescent="0.3">
      <c r="CY3394" s="34" t="s">
        <v>4321</v>
      </c>
      <c r="CZ3394" s="35">
        <v>2.5274889104300001E-2</v>
      </c>
    </row>
    <row r="3395" spans="103:104" x14ac:dyDescent="0.3">
      <c r="CY3395" s="34" t="s">
        <v>4322</v>
      </c>
      <c r="CZ3395" s="35">
        <v>4.928453688E-2</v>
      </c>
    </row>
    <row r="3396" spans="103:104" x14ac:dyDescent="0.3">
      <c r="CY3396" s="34" t="s">
        <v>4323</v>
      </c>
      <c r="CZ3396" s="35">
        <v>1.7736638400000001E-3</v>
      </c>
    </row>
    <row r="3397" spans="103:104" x14ac:dyDescent="0.3">
      <c r="CY3397" s="34" t="s">
        <v>4324</v>
      </c>
      <c r="CZ3397" s="35">
        <v>5.9528445599999998E-4</v>
      </c>
    </row>
    <row r="3398" spans="103:104" x14ac:dyDescent="0.3">
      <c r="CY3398" s="34" t="s">
        <v>4325</v>
      </c>
      <c r="CZ3398" s="35">
        <v>1.220135592E-3</v>
      </c>
    </row>
    <row r="3399" spans="103:104" x14ac:dyDescent="0.3">
      <c r="CY3399" s="34" t="s">
        <v>4326</v>
      </c>
      <c r="CZ3399" s="35">
        <v>3.0911736959999998E-3</v>
      </c>
    </row>
    <row r="3400" spans="103:104" x14ac:dyDescent="0.3">
      <c r="CY3400" s="34" t="s">
        <v>4327</v>
      </c>
      <c r="CZ3400" s="35">
        <v>4.7283798640000005E-3</v>
      </c>
    </row>
    <row r="3401" spans="103:104" x14ac:dyDescent="0.3">
      <c r="CY3401" s="34" t="s">
        <v>4328</v>
      </c>
      <c r="CZ3401" s="35">
        <v>1.510230488E-3</v>
      </c>
    </row>
    <row r="3402" spans="103:104" x14ac:dyDescent="0.3">
      <c r="CY3402" s="34" t="s">
        <v>4329</v>
      </c>
      <c r="CZ3402" s="35">
        <v>2.3369491832000004E-3</v>
      </c>
    </row>
    <row r="3403" spans="103:104" x14ac:dyDescent="0.3">
      <c r="CY3403" s="34" t="s">
        <v>4330</v>
      </c>
      <c r="CZ3403" s="35">
        <v>1.7161937239999998E-2</v>
      </c>
    </row>
    <row r="3404" spans="103:104" x14ac:dyDescent="0.3">
      <c r="CY3404" s="34" t="s">
        <v>4331</v>
      </c>
      <c r="CZ3404" s="35">
        <v>4.0764607199999997E-2</v>
      </c>
    </row>
    <row r="3405" spans="103:104" x14ac:dyDescent="0.3">
      <c r="CY3405" s="34" t="s">
        <v>4332</v>
      </c>
      <c r="CZ3405" s="35">
        <v>2.3381820736000002E-2</v>
      </c>
    </row>
    <row r="3406" spans="103:104" x14ac:dyDescent="0.3">
      <c r="CY3406" s="34" t="s">
        <v>4333</v>
      </c>
      <c r="CZ3406" s="35">
        <v>8.7696253008000005E-2</v>
      </c>
    </row>
    <row r="3407" spans="103:104" x14ac:dyDescent="0.3">
      <c r="CY3407" s="34" t="s">
        <v>4334</v>
      </c>
      <c r="CZ3407" s="35">
        <v>6.9990302928000001E-2</v>
      </c>
    </row>
    <row r="3408" spans="103:104" x14ac:dyDescent="0.3">
      <c r="CY3408" s="34" t="s">
        <v>4335</v>
      </c>
      <c r="CZ3408" s="35">
        <v>9.1280151768000001E-2</v>
      </c>
    </row>
    <row r="3409" spans="103:104" x14ac:dyDescent="0.3">
      <c r="CY3409" s="34" t="s">
        <v>4336</v>
      </c>
      <c r="CZ3409" s="35">
        <v>9.3539423327999999E-2</v>
      </c>
    </row>
    <row r="3410" spans="103:104" x14ac:dyDescent="0.3">
      <c r="CY3410" s="34" t="s">
        <v>4337</v>
      </c>
      <c r="CZ3410" s="35">
        <v>8.185146632000001E-2</v>
      </c>
    </row>
    <row r="3411" spans="103:104" x14ac:dyDescent="0.3">
      <c r="CY3411" s="34" t="s">
        <v>4338</v>
      </c>
      <c r="CZ3411" s="35">
        <v>1.7008454944000002E-2</v>
      </c>
    </row>
    <row r="3412" spans="103:104" x14ac:dyDescent="0.3">
      <c r="CY3412" s="34" t="s">
        <v>4339</v>
      </c>
      <c r="CZ3412" s="35">
        <v>1.7658810207999996E-2</v>
      </c>
    </row>
    <row r="3413" spans="103:104" x14ac:dyDescent="0.3">
      <c r="CY3413" s="34" t="s">
        <v>4340</v>
      </c>
      <c r="CZ3413" s="35">
        <v>0.13120835041600001</v>
      </c>
    </row>
    <row r="3414" spans="103:104" x14ac:dyDescent="0.3">
      <c r="CY3414" s="34" t="s">
        <v>4341</v>
      </c>
      <c r="CZ3414" s="35">
        <v>2.7270921600000002E-3</v>
      </c>
    </row>
    <row r="3415" spans="103:104" x14ac:dyDescent="0.3">
      <c r="CY3415" s="34" t="s">
        <v>4342</v>
      </c>
      <c r="CZ3415" s="35">
        <v>2.5507081599999998E-3</v>
      </c>
    </row>
    <row r="3416" spans="103:104" x14ac:dyDescent="0.3">
      <c r="CY3416" s="34" t="s">
        <v>4343</v>
      </c>
      <c r="CZ3416" s="35">
        <v>0.30169346415999998</v>
      </c>
    </row>
    <row r="3417" spans="103:104" x14ac:dyDescent="0.3">
      <c r="CY3417" s="34" t="s">
        <v>4344</v>
      </c>
      <c r="CZ3417" s="35">
        <v>9.9691325760000015E-3</v>
      </c>
    </row>
    <row r="3418" spans="103:104" x14ac:dyDescent="0.3">
      <c r="CY3418" s="34" t="s">
        <v>4345</v>
      </c>
      <c r="CZ3418" s="35">
        <v>5.7666660000000008E-4</v>
      </c>
    </row>
    <row r="3419" spans="103:104" x14ac:dyDescent="0.3">
      <c r="CY3419" s="34" t="s">
        <v>4346</v>
      </c>
      <c r="CZ3419" s="35">
        <v>1.9366091871999998E-2</v>
      </c>
    </row>
    <row r="3420" spans="103:104" x14ac:dyDescent="0.3">
      <c r="CY3420" s="34" t="s">
        <v>4347</v>
      </c>
      <c r="CZ3420" s="35">
        <v>3.8999999999999999E-5</v>
      </c>
    </row>
    <row r="3421" spans="103:104" x14ac:dyDescent="0.3">
      <c r="CY3421" s="34" t="s">
        <v>4348</v>
      </c>
      <c r="CZ3421" s="35">
        <v>2.002483808E-3</v>
      </c>
    </row>
    <row r="3422" spans="103:104" x14ac:dyDescent="0.3">
      <c r="CY3422" s="34" t="s">
        <v>4349</v>
      </c>
      <c r="CZ3422" s="35">
        <v>4.4604847999999998E-4</v>
      </c>
    </row>
    <row r="3423" spans="103:104" x14ac:dyDescent="0.3">
      <c r="CY3423" s="34" t="s">
        <v>4350</v>
      </c>
      <c r="CZ3423" s="35">
        <v>5.2543003E-4</v>
      </c>
    </row>
    <row r="3424" spans="103:104" x14ac:dyDescent="0.3">
      <c r="CY3424" s="34" t="s">
        <v>4351</v>
      </c>
      <c r="CZ3424" s="35">
        <v>3.0360426999999997E-4</v>
      </c>
    </row>
    <row r="3425" spans="103:104" x14ac:dyDescent="0.3">
      <c r="CY3425" s="34" t="s">
        <v>4352</v>
      </c>
      <c r="CZ3425" s="35">
        <v>8.3594943999999998E-4</v>
      </c>
    </row>
    <row r="3426" spans="103:104" x14ac:dyDescent="0.3">
      <c r="CY3426" s="34" t="s">
        <v>4353</v>
      </c>
      <c r="CZ3426" s="35">
        <v>1.004392E-3</v>
      </c>
    </row>
    <row r="3427" spans="103:104" x14ac:dyDescent="0.3">
      <c r="CY3427" s="34" t="s">
        <v>4354</v>
      </c>
      <c r="CZ3427" s="35">
        <v>3.1786601600000003E-4</v>
      </c>
    </row>
    <row r="3428" spans="103:104" x14ac:dyDescent="0.3">
      <c r="CY3428" s="34" t="s">
        <v>4355</v>
      </c>
      <c r="CZ3428" s="35">
        <v>3.0360426666666668E-4</v>
      </c>
    </row>
    <row r="3429" spans="103:104" x14ac:dyDescent="0.3">
      <c r="CY3429" s="34" t="s">
        <v>4356</v>
      </c>
      <c r="CZ3429" s="35">
        <v>6.1449104000000005E-4</v>
      </c>
    </row>
    <row r="3430" spans="103:104" x14ac:dyDescent="0.3">
      <c r="CY3430" s="34" t="s">
        <v>4357</v>
      </c>
      <c r="CZ3430" s="35">
        <v>3.5436190400000005E-4</v>
      </c>
    </row>
    <row r="3431" spans="103:104" x14ac:dyDescent="0.3">
      <c r="CY3431" s="34" t="s">
        <v>4358</v>
      </c>
      <c r="CZ3431" s="35">
        <v>3.9718340000000004E-4</v>
      </c>
    </row>
    <row r="3432" spans="103:104" x14ac:dyDescent="0.3">
      <c r="CY3432" s="34" t="s">
        <v>4359</v>
      </c>
      <c r="CZ3432" s="35">
        <v>2.755305066666667E-4</v>
      </c>
    </row>
    <row r="3433" spans="103:104" x14ac:dyDescent="0.3">
      <c r="CY3433" s="34" t="s">
        <v>4360</v>
      </c>
      <c r="CZ3433" s="35">
        <v>3.8990096E-4</v>
      </c>
    </row>
    <row r="3434" spans="103:104" x14ac:dyDescent="0.3">
      <c r="CY3434" s="34" t="s">
        <v>4361</v>
      </c>
      <c r="CZ3434" s="35">
        <v>3.5039386666666666E-4</v>
      </c>
    </row>
    <row r="3435" spans="103:104" x14ac:dyDescent="0.3">
      <c r="CY3435" s="34" t="s">
        <v>4362</v>
      </c>
      <c r="CZ3435" s="35">
        <v>7.0807024000000001E-4</v>
      </c>
    </row>
    <row r="3436" spans="103:104" x14ac:dyDescent="0.3">
      <c r="CY3436" s="34" t="s">
        <v>4363</v>
      </c>
      <c r="CZ3436" s="35">
        <v>4.5040313600000004E-4</v>
      </c>
    </row>
    <row r="3437" spans="103:104" x14ac:dyDescent="0.3">
      <c r="CY3437" s="34" t="s">
        <v>4364</v>
      </c>
      <c r="CZ3437" s="35">
        <v>1.1260449599999999E-3</v>
      </c>
    </row>
    <row r="3438" spans="103:104" x14ac:dyDescent="0.3">
      <c r="CY3438" s="34" t="s">
        <v>4365</v>
      </c>
      <c r="CZ3438" s="35">
        <v>2.63365244E-4</v>
      </c>
    </row>
    <row r="3439" spans="103:104" x14ac:dyDescent="0.3">
      <c r="CY3439" s="34" t="s">
        <v>4366</v>
      </c>
      <c r="CZ3439" s="35">
        <v>4.0861680000000005E-4</v>
      </c>
    </row>
    <row r="3440" spans="103:104" x14ac:dyDescent="0.3">
      <c r="CY3440" s="34" t="s">
        <v>4367</v>
      </c>
      <c r="CZ3440" s="35">
        <v>2.7272316399999999E-4</v>
      </c>
    </row>
    <row r="3441" spans="103:104" x14ac:dyDescent="0.3">
      <c r="CY3441" s="34" t="s">
        <v>4368</v>
      </c>
      <c r="CZ3441" s="35">
        <v>3.8990096E-4</v>
      </c>
    </row>
    <row r="3442" spans="103:104" x14ac:dyDescent="0.3">
      <c r="CY3442" s="34" t="s">
        <v>4369</v>
      </c>
      <c r="CZ3442" s="35">
        <v>9.7631824000000002E-4</v>
      </c>
    </row>
    <row r="3443" spans="103:104" x14ac:dyDescent="0.3">
      <c r="CY3443" s="34" t="s">
        <v>4370</v>
      </c>
      <c r="CZ3443" s="35">
        <v>1.53775632E-3</v>
      </c>
    </row>
    <row r="3444" spans="103:104" x14ac:dyDescent="0.3">
      <c r="CY3444" s="34" t="s">
        <v>4371</v>
      </c>
      <c r="CZ3444" s="35">
        <v>6.4879104000000007E-4</v>
      </c>
    </row>
    <row r="3445" spans="103:104" x14ac:dyDescent="0.3">
      <c r="CY3445" s="34" t="s">
        <v>4372</v>
      </c>
      <c r="CZ3445" s="35">
        <v>3.3375344000000003E-4</v>
      </c>
    </row>
    <row r="3446" spans="103:104" x14ac:dyDescent="0.3">
      <c r="CY3446" s="34" t="s">
        <v>4373</v>
      </c>
      <c r="CZ3446" s="35">
        <v>1.2367741600000002E-3</v>
      </c>
    </row>
    <row r="3447" spans="103:104" x14ac:dyDescent="0.3">
      <c r="CY3447" s="34" t="s">
        <v>4374</v>
      </c>
      <c r="CZ3447" s="35">
        <v>4.4397310000000005E-4</v>
      </c>
    </row>
    <row r="3448" spans="103:104" x14ac:dyDescent="0.3">
      <c r="CY3448" s="34" t="s">
        <v>4375</v>
      </c>
      <c r="CZ3448" s="35">
        <v>3.8478669999999994E-4</v>
      </c>
    </row>
    <row r="3449" spans="103:104" x14ac:dyDescent="0.3">
      <c r="CY3449" s="34" t="s">
        <v>4376</v>
      </c>
      <c r="CZ3449" s="35">
        <v>6.1867600000000008E-4</v>
      </c>
    </row>
    <row r="3450" spans="103:104" x14ac:dyDescent="0.3">
      <c r="CY3450" s="34" t="s">
        <v>4377</v>
      </c>
      <c r="CZ3450" s="35">
        <v>1.8746414400000002E-3</v>
      </c>
    </row>
    <row r="3451" spans="103:104" x14ac:dyDescent="0.3">
      <c r="CY3451" s="34" t="s">
        <v>4378</v>
      </c>
      <c r="CZ3451" s="35">
        <v>6.3320688000000004E-4</v>
      </c>
    </row>
    <row r="3452" spans="103:104" x14ac:dyDescent="0.3">
      <c r="CY3452" s="34" t="s">
        <v>4379</v>
      </c>
      <c r="CZ3452" s="35">
        <v>3.6182720000000002E-4</v>
      </c>
    </row>
    <row r="3453" spans="103:104" x14ac:dyDescent="0.3">
      <c r="CY3453" s="34" t="s">
        <v>4380</v>
      </c>
      <c r="CZ3453" s="35">
        <v>9.4824448000000003E-4</v>
      </c>
    </row>
    <row r="3454" spans="103:104" x14ac:dyDescent="0.3">
      <c r="CY3454" s="34" t="s">
        <v>4381</v>
      </c>
      <c r="CZ3454" s="35">
        <v>2.5721997184000003E-2</v>
      </c>
    </row>
    <row r="3455" spans="103:104" x14ac:dyDescent="0.3">
      <c r="CY3455" s="34" t="s">
        <v>4382</v>
      </c>
      <c r="CZ3455" s="35">
        <v>2.5721997183999999E-2</v>
      </c>
    </row>
    <row r="3456" spans="103:104" x14ac:dyDescent="0.3">
      <c r="CY3456" s="34" t="s">
        <v>4383</v>
      </c>
      <c r="CZ3456" s="35">
        <v>1.257784944E-2</v>
      </c>
    </row>
    <row r="3457" spans="103:104" x14ac:dyDescent="0.3">
      <c r="CY3457" s="34" t="s">
        <v>4384</v>
      </c>
      <c r="CZ3457" s="35">
        <v>0.171566705544</v>
      </c>
    </row>
    <row r="3458" spans="103:104" x14ac:dyDescent="0.3">
      <c r="CY3458" s="34" t="s">
        <v>4385</v>
      </c>
      <c r="CZ3458" s="35">
        <v>0.171566705544</v>
      </c>
    </row>
    <row r="3459" spans="103:104" x14ac:dyDescent="0.3">
      <c r="CY3459" s="34" t="s">
        <v>4386</v>
      </c>
      <c r="CZ3459" s="35">
        <v>0.10364216615999999</v>
      </c>
    </row>
    <row r="3460" spans="103:104" x14ac:dyDescent="0.3">
      <c r="CY3460" s="34" t="s">
        <v>4387</v>
      </c>
      <c r="CZ3460" s="35">
        <v>0.12409944684800001</v>
      </c>
    </row>
    <row r="3461" spans="103:104" x14ac:dyDescent="0.3">
      <c r="CY3461" s="34" t="s">
        <v>4388</v>
      </c>
      <c r="CZ3461" s="35">
        <v>0.20448410330399999</v>
      </c>
    </row>
    <row r="3462" spans="103:104" x14ac:dyDescent="0.3">
      <c r="CY3462" s="34" t="s">
        <v>4389</v>
      </c>
      <c r="CZ3462" s="35">
        <v>9.4390661247999996E-2</v>
      </c>
    </row>
    <row r="3463" spans="103:104" x14ac:dyDescent="0.3">
      <c r="CY3463" s="34" t="s">
        <v>4390</v>
      </c>
      <c r="CZ3463" s="35">
        <v>4.604803056521739E-2</v>
      </c>
    </row>
    <row r="3464" spans="103:104" x14ac:dyDescent="0.3">
      <c r="CY3464" s="34" t="s">
        <v>4391</v>
      </c>
      <c r="CZ3464" s="35">
        <v>2.7566608648E-2</v>
      </c>
    </row>
    <row r="3465" spans="103:104" x14ac:dyDescent="0.3">
      <c r="CY3465" s="34" t="s">
        <v>4392</v>
      </c>
      <c r="CZ3465" s="35">
        <v>5.8570303999999987E-4</v>
      </c>
    </row>
    <row r="3466" spans="103:104" x14ac:dyDescent="0.3">
      <c r="CY3466" s="34" t="s">
        <v>4393</v>
      </c>
      <c r="CZ3466" s="35">
        <v>8.9623955200000003E-4</v>
      </c>
    </row>
    <row r="3467" spans="103:104" x14ac:dyDescent="0.3">
      <c r="CY3467" s="34" t="s">
        <v>4394</v>
      </c>
      <c r="CZ3467" s="35">
        <v>4.4652880000000004E-3</v>
      </c>
    </row>
    <row r="3468" spans="103:104" x14ac:dyDescent="0.3">
      <c r="CY3468" s="34" t="s">
        <v>4395</v>
      </c>
      <c r="CZ3468" s="35">
        <v>2.4356832448E-2</v>
      </c>
    </row>
    <row r="3469" spans="103:104" x14ac:dyDescent="0.3">
      <c r="CY3469" s="34" t="s">
        <v>4396</v>
      </c>
      <c r="CZ3469" s="35">
        <v>4.3910671999999992E-4</v>
      </c>
    </row>
    <row r="3470" spans="103:104" x14ac:dyDescent="0.3">
      <c r="CY3470" s="34" t="s">
        <v>4397</v>
      </c>
      <c r="CZ3470" s="35">
        <v>8.6833032000000008E-4</v>
      </c>
    </row>
    <row r="3471" spans="103:104" x14ac:dyDescent="0.3">
      <c r="CY3471" s="34" t="s">
        <v>4398</v>
      </c>
      <c r="CZ3471" s="35">
        <v>2.1144835919999997E-3</v>
      </c>
    </row>
    <row r="3472" spans="103:104" x14ac:dyDescent="0.3">
      <c r="CY3472" s="34" t="s">
        <v>4399</v>
      </c>
      <c r="CZ3472" s="35">
        <v>1.5545473840000001E-3</v>
      </c>
    </row>
    <row r="3473" spans="103:104" x14ac:dyDescent="0.3">
      <c r="CY3473" s="34" t="s">
        <v>4400</v>
      </c>
      <c r="CZ3473" s="35">
        <v>2.7092222560000001E-3</v>
      </c>
    </row>
    <row r="3474" spans="103:104" x14ac:dyDescent="0.3">
      <c r="CY3474" s="34" t="s">
        <v>4401</v>
      </c>
      <c r="CZ3474" s="35">
        <v>1.1182117439999999E-3</v>
      </c>
    </row>
    <row r="3475" spans="103:104" x14ac:dyDescent="0.3">
      <c r="CY3475" s="34" t="s">
        <v>4402</v>
      </c>
      <c r="CZ3475" s="35">
        <v>1.1470234880000001E-3</v>
      </c>
    </row>
    <row r="3476" spans="103:104" x14ac:dyDescent="0.3">
      <c r="CY3476" s="34" t="s">
        <v>4403</v>
      </c>
      <c r="CZ3476" s="35">
        <v>1.0883271296E-2</v>
      </c>
    </row>
    <row r="3477" spans="103:104" x14ac:dyDescent="0.3">
      <c r="CY3477" s="34" t="s">
        <v>4404</v>
      </c>
      <c r="CZ3477" s="35">
        <v>1.7683760640000001E-3</v>
      </c>
    </row>
    <row r="3478" spans="103:104" x14ac:dyDescent="0.3">
      <c r="CY3478" s="34" t="s">
        <v>4405</v>
      </c>
      <c r="CZ3478" s="35">
        <v>3.4356389879999998E-2</v>
      </c>
    </row>
    <row r="3479" spans="103:104" x14ac:dyDescent="0.3">
      <c r="CY3479" s="34" t="s">
        <v>4406</v>
      </c>
      <c r="CZ3479" s="35">
        <v>3.5143814400000001E-2</v>
      </c>
    </row>
    <row r="3480" spans="103:104" x14ac:dyDescent="0.3">
      <c r="CY3480" s="34" t="s">
        <v>4407</v>
      </c>
      <c r="CZ3480" s="35">
        <v>3.4727214399999998E-2</v>
      </c>
    </row>
    <row r="3481" spans="103:104" x14ac:dyDescent="0.3">
      <c r="CY3481" s="34" t="s">
        <v>4408</v>
      </c>
      <c r="CZ3481" s="35">
        <v>0.47208851040000005</v>
      </c>
    </row>
    <row r="3482" spans="103:104" x14ac:dyDescent="0.3">
      <c r="CY3482" s="34" t="s">
        <v>4409</v>
      </c>
      <c r="CZ3482" s="35">
        <v>9.965961407999999E-3</v>
      </c>
    </row>
    <row r="3483" spans="103:104" x14ac:dyDescent="0.3">
      <c r="CY3483" s="34" t="s">
        <v>4410</v>
      </c>
      <c r="CZ3483" s="35">
        <v>1.4139147776000002E-2</v>
      </c>
    </row>
    <row r="3484" spans="103:104" x14ac:dyDescent="0.3">
      <c r="CY3484" s="34" t="s">
        <v>4411</v>
      </c>
      <c r="CZ3484" s="35">
        <v>1.4139147776000002E-2</v>
      </c>
    </row>
    <row r="3485" spans="103:104" x14ac:dyDescent="0.3">
      <c r="CY3485" s="34" t="s">
        <v>4412</v>
      </c>
      <c r="CZ3485" s="35">
        <v>3.744027456E-2</v>
      </c>
    </row>
    <row r="3486" spans="103:104" x14ac:dyDescent="0.3">
      <c r="CY3486" s="34" t="s">
        <v>4413</v>
      </c>
      <c r="CZ3486" s="35">
        <v>2.5339868736000002E-2</v>
      </c>
    </row>
    <row r="3487" spans="103:104" x14ac:dyDescent="0.3">
      <c r="CY3487" s="34" t="s">
        <v>4414</v>
      </c>
      <c r="CZ3487" s="35">
        <v>2.5339868736000002E-2</v>
      </c>
    </row>
    <row r="3488" spans="103:104" x14ac:dyDescent="0.3">
      <c r="CY3488" s="34" t="s">
        <v>4415</v>
      </c>
      <c r="CZ3488" s="35">
        <v>8.6800300000000011E-4</v>
      </c>
    </row>
    <row r="3489" spans="103:104" x14ac:dyDescent="0.3">
      <c r="CY3489" s="34" t="s">
        <v>4416</v>
      </c>
      <c r="CZ3489" s="35">
        <v>3.9690083449999997E-2</v>
      </c>
    </row>
    <row r="3490" spans="103:104" x14ac:dyDescent="0.3">
      <c r="CY3490" s="34" t="s">
        <v>4417</v>
      </c>
      <c r="CZ3490" s="35">
        <v>1.5450123989333334E-2</v>
      </c>
    </row>
    <row r="3491" spans="103:104" x14ac:dyDescent="0.3">
      <c r="CY3491" s="34" t="s">
        <v>4418</v>
      </c>
      <c r="CZ3491" s="35">
        <v>3.5444429903999999E-2</v>
      </c>
    </row>
    <row r="3492" spans="103:104" x14ac:dyDescent="0.3">
      <c r="CY3492" s="34" t="s">
        <v>4419</v>
      </c>
      <c r="CZ3492" s="35">
        <v>1.2368490342000001E-2</v>
      </c>
    </row>
    <row r="3493" spans="103:104" x14ac:dyDescent="0.3">
      <c r="CY3493" s="34" t="s">
        <v>4420</v>
      </c>
      <c r="CZ3493" s="35">
        <v>1.431633186E-2</v>
      </c>
    </row>
    <row r="3494" spans="103:104" x14ac:dyDescent="0.3">
      <c r="CY3494" s="34" t="s">
        <v>4421</v>
      </c>
      <c r="CZ3494" s="35">
        <v>1.3574876952000001E-2</v>
      </c>
    </row>
    <row r="3495" spans="103:104" x14ac:dyDescent="0.3">
      <c r="CY3495" s="34" t="s">
        <v>4422</v>
      </c>
      <c r="CZ3495" s="35">
        <v>2.5518996984000002E-2</v>
      </c>
    </row>
    <row r="3496" spans="103:104" x14ac:dyDescent="0.3">
      <c r="CY3496" s="34" t="s">
        <v>4423</v>
      </c>
      <c r="CZ3496" s="35">
        <v>3.9852256080000002E-2</v>
      </c>
    </row>
    <row r="3497" spans="103:104" x14ac:dyDescent="0.3">
      <c r="CY3497" s="34" t="s">
        <v>4424</v>
      </c>
      <c r="CZ3497" s="35">
        <v>1.0189843478260867E-2</v>
      </c>
    </row>
    <row r="3498" spans="103:104" x14ac:dyDescent="0.3">
      <c r="CY3498" s="34" t="s">
        <v>4425</v>
      </c>
      <c r="CZ3498" s="35">
        <v>3.9924245919999999E-3</v>
      </c>
    </row>
    <row r="3499" spans="103:104" x14ac:dyDescent="0.3">
      <c r="CY3499" s="34" t="s">
        <v>4426</v>
      </c>
      <c r="CZ3499" s="35">
        <v>3.4298249440000003E-3</v>
      </c>
    </row>
    <row r="3500" spans="103:104" x14ac:dyDescent="0.3">
      <c r="CY3500" s="34" t="s">
        <v>4427</v>
      </c>
      <c r="CZ3500" s="35">
        <v>1.2017670912000001E-2</v>
      </c>
    </row>
    <row r="3501" spans="103:104" x14ac:dyDescent="0.3">
      <c r="CY3501" s="34" t="s">
        <v>4428</v>
      </c>
      <c r="CZ3501" s="35">
        <v>2.4767489664000004E-2</v>
      </c>
    </row>
    <row r="3502" spans="103:104" x14ac:dyDescent="0.3">
      <c r="CY3502" s="34" t="s">
        <v>4429</v>
      </c>
      <c r="CZ3502" s="35">
        <v>8.3956061280000011E-3</v>
      </c>
    </row>
    <row r="3503" spans="103:104" x14ac:dyDescent="0.3">
      <c r="CY3503" s="34" t="s">
        <v>4430</v>
      </c>
      <c r="CZ3503" s="35">
        <v>7.1146441600000001E-3</v>
      </c>
    </row>
    <row r="3504" spans="103:104" x14ac:dyDescent="0.3">
      <c r="CY3504" s="34" t="s">
        <v>4431</v>
      </c>
      <c r="CZ3504" s="35">
        <v>2.7477958975996374E-2</v>
      </c>
    </row>
    <row r="3505" spans="103:104" x14ac:dyDescent="0.3">
      <c r="CY3505" s="34" t="s">
        <v>4432</v>
      </c>
      <c r="CZ3505" s="35">
        <v>1.4114740640000002E-2</v>
      </c>
    </row>
    <row r="3506" spans="103:104" x14ac:dyDescent="0.3">
      <c r="CY3506" s="34" t="s">
        <v>4433</v>
      </c>
      <c r="CZ3506" s="35">
        <v>1.4114740640000002E-2</v>
      </c>
    </row>
    <row r="3507" spans="103:104" x14ac:dyDescent="0.3">
      <c r="CY3507" s="34" t="s">
        <v>4434</v>
      </c>
      <c r="CZ3507" s="35">
        <v>2.7797290559854498E-2</v>
      </c>
    </row>
    <row r="3508" spans="103:104" x14ac:dyDescent="0.3">
      <c r="CY3508" s="34" t="s">
        <v>4435</v>
      </c>
      <c r="CZ3508" s="35">
        <v>1.411474064E-2</v>
      </c>
    </row>
    <row r="3509" spans="103:104" x14ac:dyDescent="0.3">
      <c r="CY3509" s="34" t="s">
        <v>4436</v>
      </c>
      <c r="CZ3509" s="35">
        <v>1.411474064E-2</v>
      </c>
    </row>
    <row r="3510" spans="103:104" x14ac:dyDescent="0.3">
      <c r="CY3510" s="34" t="s">
        <v>4437</v>
      </c>
      <c r="CZ3510" s="35">
        <v>3.9280959999999997E-2</v>
      </c>
    </row>
    <row r="3511" spans="103:104" x14ac:dyDescent="0.3">
      <c r="CY3511" s="34" t="s">
        <v>4438</v>
      </c>
      <c r="CZ3511" s="35">
        <v>1.4339520000000001E-2</v>
      </c>
    </row>
    <row r="3512" spans="103:104" x14ac:dyDescent="0.3">
      <c r="CY3512" s="34" t="s">
        <v>4439</v>
      </c>
      <c r="CZ3512" s="35">
        <v>4.733499808E-4</v>
      </c>
    </row>
    <row r="3513" spans="103:104" x14ac:dyDescent="0.3">
      <c r="CY3513" s="34" t="s">
        <v>4440</v>
      </c>
      <c r="CZ3513" s="35">
        <v>4.9697319359999995E-3</v>
      </c>
    </row>
    <row r="3514" spans="103:104" x14ac:dyDescent="0.3">
      <c r="CY3514" s="34" t="s">
        <v>4441</v>
      </c>
      <c r="CZ3514" s="35">
        <v>6.0808995519999994E-3</v>
      </c>
    </row>
    <row r="3515" spans="103:104" x14ac:dyDescent="0.3">
      <c r="CY3515" s="34" t="s">
        <v>4442</v>
      </c>
      <c r="CZ3515" s="35">
        <v>5.9415846880000005E-3</v>
      </c>
    </row>
    <row r="3516" spans="103:104" x14ac:dyDescent="0.3">
      <c r="CY3516" s="34" t="s">
        <v>4443</v>
      </c>
      <c r="CZ3516" s="35">
        <v>6.21556E-4</v>
      </c>
    </row>
    <row r="3517" spans="103:104" x14ac:dyDescent="0.3">
      <c r="CY3517" s="34" t="s">
        <v>4444</v>
      </c>
      <c r="CZ3517" s="35">
        <v>2.4327376319999996E-3</v>
      </c>
    </row>
    <row r="3518" spans="103:104" x14ac:dyDescent="0.3">
      <c r="CY3518" s="34" t="s">
        <v>4445</v>
      </c>
      <c r="CZ3518" s="35">
        <v>1.4519381761904761E-3</v>
      </c>
    </row>
    <row r="3519" spans="103:104" x14ac:dyDescent="0.3">
      <c r="CY3519" s="34" t="s">
        <v>4446</v>
      </c>
      <c r="CZ3519" s="35">
        <v>2.6193101792000004E-2</v>
      </c>
    </row>
    <row r="3520" spans="103:104" x14ac:dyDescent="0.3">
      <c r="CY3520" s="34" t="s">
        <v>4447</v>
      </c>
      <c r="CZ3520" s="35">
        <v>3.5005776207999995E-2</v>
      </c>
    </row>
    <row r="3521" spans="103:104" x14ac:dyDescent="0.3">
      <c r="CY3521" s="34" t="s">
        <v>4448</v>
      </c>
      <c r="CZ3521" s="35">
        <v>5.4534081471999993E-2</v>
      </c>
    </row>
    <row r="3522" spans="103:104" x14ac:dyDescent="0.3">
      <c r="CY3522" s="34" t="s">
        <v>4449</v>
      </c>
      <c r="CZ3522" s="35">
        <v>1.8638631648000004E-2</v>
      </c>
    </row>
    <row r="3523" spans="103:104" x14ac:dyDescent="0.3">
      <c r="CY3523" s="34" t="s">
        <v>4450</v>
      </c>
      <c r="CZ3523" s="35">
        <v>2.7764906208000002E-2</v>
      </c>
    </row>
    <row r="3524" spans="103:104" x14ac:dyDescent="0.3">
      <c r="CY3524" s="34" t="s">
        <v>4451</v>
      </c>
      <c r="CZ3524" s="35">
        <v>2.4181846E-2</v>
      </c>
    </row>
    <row r="3525" spans="103:104" x14ac:dyDescent="0.3">
      <c r="CY3525" s="34" t="s">
        <v>4452</v>
      </c>
      <c r="CZ3525" s="35">
        <v>1.1695126559999997E-3</v>
      </c>
    </row>
    <row r="3526" spans="103:104" x14ac:dyDescent="0.3">
      <c r="CY3526" s="34" t="s">
        <v>4453</v>
      </c>
      <c r="CZ3526" s="35">
        <v>4.3587880960000002E-3</v>
      </c>
    </row>
    <row r="3527" spans="103:104" x14ac:dyDescent="0.3">
      <c r="CY3527" s="34" t="s">
        <v>4454</v>
      </c>
      <c r="CZ3527" s="35">
        <v>1.7639691263999998E-2</v>
      </c>
    </row>
    <row r="3528" spans="103:104" x14ac:dyDescent="0.3">
      <c r="CY3528" s="34" t="s">
        <v>4455</v>
      </c>
      <c r="CZ3528" s="35">
        <v>1.798041848E-2</v>
      </c>
    </row>
    <row r="3529" spans="103:104" x14ac:dyDescent="0.3">
      <c r="CY3529" s="34" t="s">
        <v>4456</v>
      </c>
      <c r="CZ3529" s="35">
        <v>3.33166561792E-3</v>
      </c>
    </row>
    <row r="3530" spans="103:104" x14ac:dyDescent="0.3">
      <c r="CY3530" s="34" t="s">
        <v>4457</v>
      </c>
      <c r="CZ3530" s="35">
        <v>2.5587496479999999E-3</v>
      </c>
    </row>
    <row r="3531" spans="103:104" x14ac:dyDescent="0.3">
      <c r="CY3531" s="34" t="s">
        <v>4458</v>
      </c>
      <c r="CZ3531" s="35">
        <v>1.2688474656000001E-2</v>
      </c>
    </row>
    <row r="3532" spans="103:104" x14ac:dyDescent="0.3">
      <c r="CY3532" s="34" t="s">
        <v>4459</v>
      </c>
      <c r="CZ3532" s="35">
        <v>7.8383208799999991E-4</v>
      </c>
    </row>
    <row r="3533" spans="103:104" x14ac:dyDescent="0.3">
      <c r="CY3533" s="34" t="s">
        <v>4460</v>
      </c>
      <c r="CZ3533" s="35">
        <v>1.941350237466E-2</v>
      </c>
    </row>
    <row r="3534" spans="103:104" x14ac:dyDescent="0.3">
      <c r="CY3534" s="34" t="s">
        <v>4461</v>
      </c>
      <c r="CZ3534" s="35">
        <v>1.2836876902000001E-2</v>
      </c>
    </row>
    <row r="3535" spans="103:104" x14ac:dyDescent="0.3">
      <c r="CY3535" s="34" t="s">
        <v>4462</v>
      </c>
      <c r="CZ3535" s="35">
        <v>1.3782429047999999E-3</v>
      </c>
    </row>
    <row r="3536" spans="103:104" x14ac:dyDescent="0.3">
      <c r="CY3536" s="34" t="s">
        <v>4463</v>
      </c>
      <c r="CZ3536" s="35">
        <v>2.9607527999999994E-4</v>
      </c>
    </row>
    <row r="3537" spans="103:104" x14ac:dyDescent="0.3">
      <c r="CY3537" s="34" t="s">
        <v>4464</v>
      </c>
      <c r="CZ3537" s="35">
        <v>3.3413425760000001E-3</v>
      </c>
    </row>
    <row r="3538" spans="103:104" x14ac:dyDescent="0.3">
      <c r="CY3538" s="34" t="s">
        <v>4465</v>
      </c>
      <c r="CZ3538" s="35">
        <v>8.7581351520000014E-3</v>
      </c>
    </row>
    <row r="3539" spans="103:104" x14ac:dyDescent="0.3">
      <c r="CY3539" s="34" t="s">
        <v>4466</v>
      </c>
      <c r="CZ3539" s="35">
        <v>4.640141999999999E-3</v>
      </c>
    </row>
    <row r="3540" spans="103:104" x14ac:dyDescent="0.3">
      <c r="CY3540" s="34" t="s">
        <v>4467</v>
      </c>
      <c r="CZ3540" s="35">
        <v>5.517624624890001E-2</v>
      </c>
    </row>
    <row r="3541" spans="103:104" x14ac:dyDescent="0.3">
      <c r="CY3541" s="34" t="s">
        <v>4468</v>
      </c>
      <c r="CZ3541" s="35">
        <v>8.221639071999999E-2</v>
      </c>
    </row>
    <row r="3542" spans="103:104" x14ac:dyDescent="0.3">
      <c r="CY3542" s="34" t="s">
        <v>4469</v>
      </c>
      <c r="CZ3542" s="35">
        <v>0.16809684</v>
      </c>
    </row>
    <row r="3543" spans="103:104" x14ac:dyDescent="0.3">
      <c r="CY3543" s="34" t="s">
        <v>4470</v>
      </c>
      <c r="CZ3543" s="35">
        <v>3.0435579280000003E-3</v>
      </c>
    </row>
    <row r="3544" spans="103:104" x14ac:dyDescent="0.3">
      <c r="CY3544" s="34" t="s">
        <v>4471</v>
      </c>
      <c r="CZ3544" s="35">
        <v>2.6336982179999999E-2</v>
      </c>
    </row>
    <row r="3545" spans="103:104" x14ac:dyDescent="0.3">
      <c r="CY3545" s="34" t="s">
        <v>4472</v>
      </c>
      <c r="CZ3545" s="35">
        <v>3.0203573333333334E-2</v>
      </c>
    </row>
    <row r="3546" spans="103:104" x14ac:dyDescent="0.3">
      <c r="CY3546" s="34" t="s">
        <v>4473</v>
      </c>
      <c r="CZ3546" s="35">
        <v>5.7247095360000002E-3</v>
      </c>
    </row>
    <row r="3547" spans="103:104" x14ac:dyDescent="0.3">
      <c r="CY3547" s="34" t="s">
        <v>4474</v>
      </c>
      <c r="CZ3547" s="35">
        <v>0.45230793920000001</v>
      </c>
    </row>
    <row r="3548" spans="103:104" x14ac:dyDescent="0.3">
      <c r="CY3548" s="34" t="s">
        <v>4475</v>
      </c>
      <c r="CZ3548" s="35">
        <v>0.67343606408000012</v>
      </c>
    </row>
    <row r="3549" spans="103:104" x14ac:dyDescent="0.3">
      <c r="CY3549" s="34" t="s">
        <v>4476</v>
      </c>
      <c r="CZ3549" s="35">
        <v>1.9020736799999999E-3</v>
      </c>
    </row>
    <row r="3550" spans="103:104" x14ac:dyDescent="0.3">
      <c r="CY3550" s="34" t="s">
        <v>4477</v>
      </c>
      <c r="CZ3550" s="35">
        <v>1.8697249999999998E-3</v>
      </c>
    </row>
    <row r="3551" spans="103:104" x14ac:dyDescent="0.3">
      <c r="CY3551" s="34" t="s">
        <v>4478</v>
      </c>
      <c r="CZ3551" s="35">
        <v>2.8373587872000004E-3</v>
      </c>
    </row>
    <row r="3552" spans="103:104" x14ac:dyDescent="0.3">
      <c r="CY3552" s="34" t="s">
        <v>4479</v>
      </c>
      <c r="CZ3552" s="35">
        <v>1.5345339776E-2</v>
      </c>
    </row>
    <row r="3553" spans="103:104" x14ac:dyDescent="0.3">
      <c r="CY3553" s="34" t="s">
        <v>4480</v>
      </c>
      <c r="CZ3553" s="35">
        <v>1.5045854720000001E-2</v>
      </c>
    </row>
    <row r="3554" spans="103:104" x14ac:dyDescent="0.3">
      <c r="CY3554" s="34" t="s">
        <v>4481</v>
      </c>
      <c r="CZ3554" s="35">
        <v>1.4242298720000003E-2</v>
      </c>
    </row>
    <row r="3555" spans="103:104" x14ac:dyDescent="0.3">
      <c r="CY3555" s="34" t="s">
        <v>4482</v>
      </c>
      <c r="CZ3555" s="35">
        <v>3.9883691199999995E-4</v>
      </c>
    </row>
    <row r="3556" spans="103:104" x14ac:dyDescent="0.3">
      <c r="CY3556" s="34" t="s">
        <v>4483</v>
      </c>
      <c r="CZ3556" s="35">
        <v>3.2715645653249997E-2</v>
      </c>
    </row>
    <row r="3557" spans="103:104" x14ac:dyDescent="0.3">
      <c r="CY3557" s="34" t="s">
        <v>4484</v>
      </c>
      <c r="CZ3557" s="35">
        <v>0.16305223999999999</v>
      </c>
    </row>
    <row r="3558" spans="103:104" x14ac:dyDescent="0.3">
      <c r="CY3558" s="34" t="s">
        <v>4485</v>
      </c>
      <c r="CZ3558" s="35">
        <v>0.12467623999999999</v>
      </c>
    </row>
    <row r="3559" spans="103:104" x14ac:dyDescent="0.3">
      <c r="CY3559" s="34" t="s">
        <v>4486</v>
      </c>
      <c r="CZ3559" s="35">
        <v>2.5597120640000002E-3</v>
      </c>
    </row>
    <row r="3560" spans="103:104" x14ac:dyDescent="0.3">
      <c r="CY3560" s="34" t="s">
        <v>4487</v>
      </c>
      <c r="CZ3560" s="35">
        <v>1.518251592E-3</v>
      </c>
    </row>
    <row r="3561" spans="103:104" x14ac:dyDescent="0.3">
      <c r="CY3561" s="34" t="s">
        <v>4488</v>
      </c>
      <c r="CZ3561" s="35">
        <v>1.242792408E-3</v>
      </c>
    </row>
    <row r="3562" spans="103:104" x14ac:dyDescent="0.3">
      <c r="CY3562" s="34" t="s">
        <v>4489</v>
      </c>
      <c r="CZ3562" s="35">
        <v>1.177350096E-3</v>
      </c>
    </row>
    <row r="3563" spans="103:104" x14ac:dyDescent="0.3">
      <c r="CY3563" s="34" t="s">
        <v>4490</v>
      </c>
      <c r="CZ3563" s="35">
        <v>3.0720768208000002E-2</v>
      </c>
    </row>
    <row r="3564" spans="103:104" x14ac:dyDescent="0.3">
      <c r="CY3564" s="34" t="s">
        <v>4491</v>
      </c>
      <c r="CZ3564" s="35">
        <v>2.0379616E-2</v>
      </c>
    </row>
    <row r="3565" spans="103:104" x14ac:dyDescent="0.3">
      <c r="CY3565" s="34" t="s">
        <v>4492</v>
      </c>
      <c r="CZ3565" s="35">
        <v>2.0468370624000001E-2</v>
      </c>
    </row>
    <row r="3566" spans="103:104" x14ac:dyDescent="0.3">
      <c r="CY3566" s="34" t="s">
        <v>4493</v>
      </c>
      <c r="CZ3566" s="35">
        <v>4.8702520544000004E-2</v>
      </c>
    </row>
    <row r="3567" spans="103:104" x14ac:dyDescent="0.3">
      <c r="CY3567" s="34" t="s">
        <v>4494</v>
      </c>
      <c r="CZ3567" s="35">
        <v>1.7205038527999997E-2</v>
      </c>
    </row>
    <row r="3568" spans="103:104" x14ac:dyDescent="0.3">
      <c r="CY3568" s="34" t="s">
        <v>4495</v>
      </c>
      <c r="CZ3568" s="35">
        <v>2.0738495999999999E-2</v>
      </c>
    </row>
    <row r="3569" spans="103:104" x14ac:dyDescent="0.3">
      <c r="CY3569" s="34" t="s">
        <v>4496</v>
      </c>
      <c r="CZ3569" s="35">
        <v>2.5827336159999999E-2</v>
      </c>
    </row>
    <row r="3570" spans="103:104" x14ac:dyDescent="0.3">
      <c r="CY3570" s="34" t="s">
        <v>4497</v>
      </c>
      <c r="CZ3570" s="35">
        <v>2.2430127488000003E-2</v>
      </c>
    </row>
    <row r="3571" spans="103:104" x14ac:dyDescent="0.3">
      <c r="CY3571" s="34" t="s">
        <v>4498</v>
      </c>
      <c r="CZ3571" s="35">
        <v>5.6520747167999992E-2</v>
      </c>
    </row>
    <row r="3572" spans="103:104" x14ac:dyDescent="0.3">
      <c r="CY3572" s="34" t="s">
        <v>4499</v>
      </c>
      <c r="CZ3572" s="35">
        <v>3.4610414671999996E-2</v>
      </c>
    </row>
    <row r="3573" spans="103:104" x14ac:dyDescent="0.3">
      <c r="CY3573" s="34" t="s">
        <v>4500</v>
      </c>
      <c r="CZ3573" s="35">
        <v>1.8910220864000002E-2</v>
      </c>
    </row>
    <row r="3574" spans="103:104" x14ac:dyDescent="0.3">
      <c r="CY3574" s="34" t="s">
        <v>4501</v>
      </c>
      <c r="CZ3574" s="35">
        <v>0.21806176275000003</v>
      </c>
    </row>
    <row r="3575" spans="103:104" x14ac:dyDescent="0.3">
      <c r="CY3575" s="34" t="s">
        <v>4502</v>
      </c>
      <c r="CZ3575" s="35">
        <v>5.7563130670000011E-2</v>
      </c>
    </row>
    <row r="3576" spans="103:104" x14ac:dyDescent="0.3">
      <c r="CY3576" s="34" t="s">
        <v>4503</v>
      </c>
      <c r="CZ3576" s="35">
        <v>1.3564216665E-2</v>
      </c>
    </row>
    <row r="3577" spans="103:104" x14ac:dyDescent="0.3">
      <c r="CY3577" s="34" t="s">
        <v>4504</v>
      </c>
      <c r="CZ3577" s="35">
        <v>3.8144109823999996E-2</v>
      </c>
    </row>
    <row r="3578" spans="103:104" x14ac:dyDescent="0.3">
      <c r="CY3578" s="34" t="s">
        <v>4505</v>
      </c>
      <c r="CZ3578" s="35">
        <v>4.6440088599999998E-2</v>
      </c>
    </row>
    <row r="3579" spans="103:104" x14ac:dyDescent="0.3">
      <c r="CY3579" s="34" t="s">
        <v>4506</v>
      </c>
      <c r="CZ3579" s="35">
        <v>3.5808571007999994E-2</v>
      </c>
    </row>
    <row r="3580" spans="103:104" x14ac:dyDescent="0.3">
      <c r="CY3580" s="34" t="s">
        <v>4507</v>
      </c>
      <c r="CZ3580" s="35">
        <v>2.5777135568000001E-2</v>
      </c>
    </row>
    <row r="3581" spans="103:104" x14ac:dyDescent="0.3">
      <c r="CY3581" s="34" t="s">
        <v>4508</v>
      </c>
      <c r="CZ3581" s="35">
        <v>2.8788515264E-2</v>
      </c>
    </row>
    <row r="3582" spans="103:104" x14ac:dyDescent="0.3">
      <c r="CY3582" s="34" t="s">
        <v>4509</v>
      </c>
      <c r="CZ3582" s="35">
        <v>1.8040491743999999E-2</v>
      </c>
    </row>
    <row r="3583" spans="103:104" x14ac:dyDescent="0.3">
      <c r="CY3583" s="34" t="s">
        <v>4510</v>
      </c>
      <c r="CZ3583" s="35">
        <v>0.103808562624</v>
      </c>
    </row>
    <row r="3584" spans="103:104" x14ac:dyDescent="0.3">
      <c r="CY3584" s="34" t="s">
        <v>4511</v>
      </c>
      <c r="CZ3584" s="35">
        <v>7.4081074911999986E-2</v>
      </c>
    </row>
    <row r="3585" spans="103:104" x14ac:dyDescent="0.3">
      <c r="CY3585" s="34" t="s">
        <v>4512</v>
      </c>
      <c r="CZ3585" s="35">
        <v>4.5875306880000001E-3</v>
      </c>
    </row>
    <row r="3586" spans="103:104" x14ac:dyDescent="0.3">
      <c r="CY3586" s="34" t="s">
        <v>4513</v>
      </c>
      <c r="CZ3586" s="35">
        <v>4.5875306880000001E-3</v>
      </c>
    </row>
    <row r="3587" spans="103:104" x14ac:dyDescent="0.3">
      <c r="CY3587" s="34" t="s">
        <v>4514</v>
      </c>
      <c r="CZ3587" s="35">
        <v>0.12192562012799998</v>
      </c>
    </row>
    <row r="3588" spans="103:104" x14ac:dyDescent="0.3">
      <c r="CY3588" s="34" t="s">
        <v>4515</v>
      </c>
      <c r="CZ3588" s="35">
        <v>0.164421366096</v>
      </c>
    </row>
    <row r="3589" spans="103:104" x14ac:dyDescent="0.3">
      <c r="CY3589" s="34" t="s">
        <v>4516</v>
      </c>
      <c r="CZ3589" s="35">
        <v>0.20151892800000001</v>
      </c>
    </row>
    <row r="3590" spans="103:104" x14ac:dyDescent="0.3">
      <c r="CY3590" s="34" t="s">
        <v>4517</v>
      </c>
      <c r="CZ3590" s="35">
        <v>2.8440151439999999E-3</v>
      </c>
    </row>
    <row r="3591" spans="103:104" x14ac:dyDescent="0.3">
      <c r="CY3591" s="34" t="s">
        <v>4518</v>
      </c>
      <c r="CZ3591" s="35">
        <v>1.6343067519999999E-3</v>
      </c>
    </row>
    <row r="3592" spans="103:104" x14ac:dyDescent="0.3">
      <c r="CY3592" s="34" t="s">
        <v>4519</v>
      </c>
      <c r="CZ3592" s="35">
        <v>1.6343067519999999E-3</v>
      </c>
    </row>
    <row r="3593" spans="103:104" x14ac:dyDescent="0.3">
      <c r="CY3593" s="34" t="s">
        <v>4520</v>
      </c>
      <c r="CZ3593" s="35">
        <v>3.3413425760000001E-3</v>
      </c>
    </row>
    <row r="3594" spans="103:104" x14ac:dyDescent="0.3">
      <c r="CY3594" s="34" t="s">
        <v>4521</v>
      </c>
      <c r="CZ3594" s="35">
        <v>3.3413425760000001E-3</v>
      </c>
    </row>
    <row r="3595" spans="103:104" x14ac:dyDescent="0.3">
      <c r="CY3595" s="34" t="s">
        <v>4522</v>
      </c>
      <c r="CZ3595" s="35">
        <v>4.0200511520000004E-3</v>
      </c>
    </row>
    <row r="3596" spans="103:104" x14ac:dyDescent="0.3">
      <c r="CY3596" s="34" t="s">
        <v>4523</v>
      </c>
      <c r="CZ3596" s="35">
        <v>4.0200511520000004E-3</v>
      </c>
    </row>
    <row r="3597" spans="103:104" x14ac:dyDescent="0.3">
      <c r="CY3597" s="34" t="s">
        <v>4524</v>
      </c>
      <c r="CZ3597" s="35">
        <v>2.4652160000000001E-3</v>
      </c>
    </row>
    <row r="3598" spans="103:104" x14ac:dyDescent="0.3">
      <c r="CY3598" s="34" t="s">
        <v>4525</v>
      </c>
      <c r="CZ3598" s="35">
        <v>3.7586347551999993E-2</v>
      </c>
    </row>
    <row r="3599" spans="103:104" x14ac:dyDescent="0.3">
      <c r="CY3599" s="34" t="s">
        <v>4526</v>
      </c>
      <c r="CZ3599" s="35">
        <v>5.724108E-2</v>
      </c>
    </row>
    <row r="3600" spans="103:104" x14ac:dyDescent="0.3">
      <c r="CY3600" s="34" t="s">
        <v>4527</v>
      </c>
      <c r="CZ3600" s="35">
        <v>4.5082978160000002E-2</v>
      </c>
    </row>
    <row r="3601" spans="103:104" x14ac:dyDescent="0.3">
      <c r="CY3601" s="34" t="s">
        <v>4528</v>
      </c>
      <c r="CZ3601" s="35">
        <v>8.2792623999999995E-2</v>
      </c>
    </row>
    <row r="3602" spans="103:104" x14ac:dyDescent="0.3">
      <c r="CY3602" s="34" t="s">
        <v>4529</v>
      </c>
      <c r="CZ3602" s="35">
        <v>1.8051692463999999E-2</v>
      </c>
    </row>
    <row r="3603" spans="103:104" x14ac:dyDescent="0.3">
      <c r="CY3603" s="34" t="s">
        <v>4530</v>
      </c>
      <c r="CZ3603" s="35">
        <v>3.8378699839999998E-3</v>
      </c>
    </row>
    <row r="3604" spans="103:104" x14ac:dyDescent="0.3">
      <c r="CY3604" s="34" t="s">
        <v>4531</v>
      </c>
      <c r="CZ3604" s="35">
        <v>2.7815278283428568E-3</v>
      </c>
    </row>
    <row r="3605" spans="103:104" x14ac:dyDescent="0.3">
      <c r="CY3605" s="34" t="s">
        <v>4532</v>
      </c>
      <c r="CZ3605" s="35">
        <v>3.311802618286E-2</v>
      </c>
    </row>
    <row r="3606" spans="103:104" x14ac:dyDescent="0.3">
      <c r="CY3606" s="34" t="s">
        <v>4533</v>
      </c>
      <c r="CZ3606" s="35">
        <v>2.5713421312000002E-2</v>
      </c>
    </row>
    <row r="3607" spans="103:104" x14ac:dyDescent="0.3">
      <c r="CY3607" s="34" t="s">
        <v>4534</v>
      </c>
      <c r="CZ3607" s="35">
        <v>3.1391293440000002E-2</v>
      </c>
    </row>
    <row r="3608" spans="103:104" x14ac:dyDescent="0.3">
      <c r="CY3608" s="34" t="s">
        <v>4535</v>
      </c>
      <c r="CZ3608" s="35">
        <v>1.5462608927999999E-2</v>
      </c>
    </row>
    <row r="3609" spans="103:104" x14ac:dyDescent="0.3">
      <c r="CY3609" s="34" t="s">
        <v>4536</v>
      </c>
      <c r="CZ3609" s="35">
        <v>7.3863815791999993E-2</v>
      </c>
    </row>
    <row r="3610" spans="103:104" x14ac:dyDescent="0.3">
      <c r="CY3610" s="34" t="s">
        <v>4537</v>
      </c>
      <c r="CZ3610" s="35">
        <v>4.6432275551999996E-2</v>
      </c>
    </row>
    <row r="3611" spans="103:104" x14ac:dyDescent="0.3">
      <c r="CY3611" s="34" t="s">
        <v>4538</v>
      </c>
      <c r="CZ3611" s="35">
        <v>9.1028080000000022E-3</v>
      </c>
    </row>
    <row r="3612" spans="103:104" x14ac:dyDescent="0.3">
      <c r="CY3612" s="34" t="s">
        <v>4539</v>
      </c>
      <c r="CZ3612" s="35">
        <v>3.3799444703999995E-2</v>
      </c>
    </row>
    <row r="3613" spans="103:104" x14ac:dyDescent="0.3">
      <c r="CY3613" s="34" t="s">
        <v>4540</v>
      </c>
      <c r="CZ3613" s="35">
        <v>2.6707708000000004E-2</v>
      </c>
    </row>
    <row r="3614" spans="103:104" x14ac:dyDescent="0.3">
      <c r="CY3614" s="34" t="s">
        <v>4541</v>
      </c>
      <c r="CZ3614" s="35">
        <v>4.2241838080000005E-3</v>
      </c>
    </row>
    <row r="3615" spans="103:104" x14ac:dyDescent="0.3">
      <c r="CY3615" s="34" t="s">
        <v>4542</v>
      </c>
      <c r="CZ3615" s="35">
        <v>1.5439577088000001E-2</v>
      </c>
    </row>
    <row r="3616" spans="103:104" x14ac:dyDescent="0.3">
      <c r="CY3616" s="34" t="s">
        <v>4543</v>
      </c>
      <c r="CZ3616" s="35">
        <v>3.5228687519999998E-3</v>
      </c>
    </row>
    <row r="3617" spans="103:104" x14ac:dyDescent="0.3">
      <c r="CY3617" s="34" t="s">
        <v>4544</v>
      </c>
      <c r="CZ3617" s="35">
        <v>0.12290787704</v>
      </c>
    </row>
    <row r="3618" spans="103:104" x14ac:dyDescent="0.3">
      <c r="CY3618" s="34" t="s">
        <v>4545</v>
      </c>
      <c r="CZ3618" s="35">
        <v>9.4597541167999996E-2</v>
      </c>
    </row>
    <row r="3619" spans="103:104" x14ac:dyDescent="0.3">
      <c r="CY3619" s="34" t="s">
        <v>4546</v>
      </c>
      <c r="CZ3619" s="35">
        <v>0.119714036208</v>
      </c>
    </row>
    <row r="3620" spans="103:104" x14ac:dyDescent="0.3">
      <c r="CY3620" s="34" t="s">
        <v>4547</v>
      </c>
      <c r="CZ3620" s="35">
        <v>4.2997279520000002E-3</v>
      </c>
    </row>
    <row r="3621" spans="103:104" x14ac:dyDescent="0.3">
      <c r="CY3621" s="34" t="s">
        <v>4548</v>
      </c>
      <c r="CZ3621" s="35">
        <v>6.1939820799999999E-4</v>
      </c>
    </row>
    <row r="3622" spans="103:104" x14ac:dyDescent="0.3">
      <c r="CY3622" s="34" t="s">
        <v>4549</v>
      </c>
      <c r="CZ3622" s="35">
        <v>6.8710418400000004E-4</v>
      </c>
    </row>
    <row r="3623" spans="103:104" x14ac:dyDescent="0.3">
      <c r="CY3623" s="34" t="s">
        <v>4550</v>
      </c>
      <c r="CZ3623" s="35">
        <v>0.37623213731999999</v>
      </c>
    </row>
    <row r="3624" spans="103:104" x14ac:dyDescent="0.3">
      <c r="CY3624" s="34" t="s">
        <v>4551</v>
      </c>
      <c r="CZ3624" s="35">
        <v>1.9778024268162501E-2</v>
      </c>
    </row>
    <row r="3625" spans="103:104" x14ac:dyDescent="0.3">
      <c r="CY3625" s="34" t="s">
        <v>4552</v>
      </c>
      <c r="CZ3625" s="35">
        <v>1.2627316416E-2</v>
      </c>
    </row>
    <row r="3626" spans="103:104" x14ac:dyDescent="0.3">
      <c r="CY3626" s="34" t="s">
        <v>4553</v>
      </c>
      <c r="CZ3626" s="35">
        <v>1.5144707552000002E-2</v>
      </c>
    </row>
    <row r="3627" spans="103:104" x14ac:dyDescent="0.3">
      <c r="CY3627" s="34" t="s">
        <v>4554</v>
      </c>
      <c r="CZ3627" s="35">
        <v>1.6215805632000001E-2</v>
      </c>
    </row>
    <row r="3628" spans="103:104" x14ac:dyDescent="0.3">
      <c r="CY3628" s="34" t="s">
        <v>4555</v>
      </c>
      <c r="CZ3628" s="35">
        <v>1.0466994928000002E-2</v>
      </c>
    </row>
    <row r="3629" spans="103:104" x14ac:dyDescent="0.3">
      <c r="CY3629" s="34" t="s">
        <v>4556</v>
      </c>
      <c r="CZ3629" s="35">
        <v>1.3215852416000002E-2</v>
      </c>
    </row>
    <row r="3630" spans="103:104" x14ac:dyDescent="0.3">
      <c r="CY3630" s="34" t="s">
        <v>4557</v>
      </c>
      <c r="CZ3630" s="35">
        <v>6.9485220479999993E-3</v>
      </c>
    </row>
    <row r="3631" spans="103:104" x14ac:dyDescent="0.3">
      <c r="CY3631" s="34" t="s">
        <v>4558</v>
      </c>
      <c r="CZ3631" s="35">
        <v>7.9394841760000012E-3</v>
      </c>
    </row>
    <row r="3632" spans="103:104" x14ac:dyDescent="0.3">
      <c r="CY3632" s="34" t="s">
        <v>4559</v>
      </c>
      <c r="CZ3632" s="35">
        <v>2.9477940960000002E-3</v>
      </c>
    </row>
    <row r="3633" spans="103:104" x14ac:dyDescent="0.3">
      <c r="CY3633" s="34" t="s">
        <v>4560</v>
      </c>
      <c r="CZ3633" s="35">
        <v>1.5074175551904763E-3</v>
      </c>
    </row>
    <row r="3634" spans="103:104" x14ac:dyDescent="0.3">
      <c r="CY3634" s="34" t="s">
        <v>4561</v>
      </c>
      <c r="CZ3634" s="35">
        <v>5.88168984E-4</v>
      </c>
    </row>
    <row r="3635" spans="103:104" x14ac:dyDescent="0.3">
      <c r="CY3635" s="34" t="s">
        <v>4562</v>
      </c>
      <c r="CZ3635" s="35">
        <v>6.6185979299999989E-2</v>
      </c>
    </row>
    <row r="3636" spans="103:104" x14ac:dyDescent="0.3">
      <c r="CY3636" s="34" t="s">
        <v>4563</v>
      </c>
      <c r="CZ3636" s="35">
        <v>0.24191672607999998</v>
      </c>
    </row>
    <row r="3637" spans="103:104" x14ac:dyDescent="0.3">
      <c r="CY3637" s="34" t="s">
        <v>4564</v>
      </c>
      <c r="CZ3637" s="35">
        <v>0.1262354286</v>
      </c>
    </row>
    <row r="3638" spans="103:104" x14ac:dyDescent="0.3">
      <c r="CY3638" s="34" t="s">
        <v>4565</v>
      </c>
      <c r="CZ3638" s="35">
        <v>1.9428520072000001E-2</v>
      </c>
    </row>
    <row r="3639" spans="103:104" x14ac:dyDescent="0.3">
      <c r="CY3639" s="34" t="s">
        <v>4566</v>
      </c>
      <c r="CZ3639" s="35">
        <v>8.1455925140000007E-4</v>
      </c>
    </row>
    <row r="3640" spans="103:104" x14ac:dyDescent="0.3">
      <c r="CY3640" s="34" t="s">
        <v>4567</v>
      </c>
      <c r="CZ3640" s="35">
        <v>5.2537627999999996E-2</v>
      </c>
    </row>
    <row r="3641" spans="103:104" x14ac:dyDescent="0.3">
      <c r="CY3641" s="34" t="s">
        <v>4568</v>
      </c>
      <c r="CZ3641" s="35">
        <v>3.089421808E-3</v>
      </c>
    </row>
    <row r="3642" spans="103:104" x14ac:dyDescent="0.3">
      <c r="CY3642" s="34" t="s">
        <v>4569</v>
      </c>
      <c r="CZ3642" s="35">
        <v>3.8688079039999996E-3</v>
      </c>
    </row>
    <row r="3643" spans="103:104" x14ac:dyDescent="0.3">
      <c r="CY3643" s="34" t="s">
        <v>4570</v>
      </c>
      <c r="CZ3643" s="35">
        <v>3.4964701824000001E-2</v>
      </c>
    </row>
    <row r="3644" spans="103:104" x14ac:dyDescent="0.3">
      <c r="CY3644" s="34" t="s">
        <v>4571</v>
      </c>
      <c r="CZ3644" s="35">
        <v>0.30056240136000006</v>
      </c>
    </row>
    <row r="3645" spans="103:104" x14ac:dyDescent="0.3">
      <c r="CY3645" s="34" t="s">
        <v>4572</v>
      </c>
      <c r="CZ3645" s="35">
        <v>3.2473144703999993E-2</v>
      </c>
    </row>
    <row r="3646" spans="103:104" x14ac:dyDescent="0.3">
      <c r="CY3646" s="34" t="s">
        <v>4573</v>
      </c>
      <c r="CZ3646" s="35">
        <v>8.7908899519999993E-3</v>
      </c>
    </row>
    <row r="3647" spans="103:104" x14ac:dyDescent="0.3">
      <c r="CY3647" s="34" t="s">
        <v>4574</v>
      </c>
      <c r="CZ3647" s="35">
        <v>0.30129728511999998</v>
      </c>
    </row>
    <row r="3648" spans="103:104" x14ac:dyDescent="0.3">
      <c r="CY3648" s="34" t="s">
        <v>4575</v>
      </c>
      <c r="CZ3648" s="35">
        <v>1.6273753599999998E-3</v>
      </c>
    </row>
    <row r="3649" spans="103:104" x14ac:dyDescent="0.3">
      <c r="CY3649" s="34" t="s">
        <v>4576</v>
      </c>
      <c r="CZ3649" s="35">
        <v>7.3732599199999999E-4</v>
      </c>
    </row>
    <row r="3650" spans="103:104" x14ac:dyDescent="0.3">
      <c r="CY3650" s="34" t="s">
        <v>4577</v>
      </c>
      <c r="CZ3650" s="35">
        <v>7.7105035999999998E-3</v>
      </c>
    </row>
    <row r="3651" spans="103:104" x14ac:dyDescent="0.3">
      <c r="CY3651" s="34" t="s">
        <v>4578</v>
      </c>
      <c r="CZ3651" s="35">
        <v>1.63995832E-3</v>
      </c>
    </row>
    <row r="3652" spans="103:104" x14ac:dyDescent="0.3">
      <c r="CY3652" s="34" t="s">
        <v>4579</v>
      </c>
      <c r="CZ3652" s="35">
        <v>1.8588954591999999E-2</v>
      </c>
    </row>
    <row r="3653" spans="103:104" x14ac:dyDescent="0.3">
      <c r="CY3653" s="34" t="s">
        <v>4580</v>
      </c>
      <c r="CZ3653" s="35">
        <v>4.8747654175999994E-2</v>
      </c>
    </row>
    <row r="3654" spans="103:104" x14ac:dyDescent="0.3">
      <c r="CY3654" s="34" t="s">
        <v>4581</v>
      </c>
      <c r="CZ3654" s="35">
        <v>1.9158754368000002E-2</v>
      </c>
    </row>
    <row r="3655" spans="103:104" x14ac:dyDescent="0.3">
      <c r="CY3655" s="34" t="s">
        <v>4582</v>
      </c>
      <c r="CZ3655" s="35">
        <v>5.0073451376E-2</v>
      </c>
    </row>
    <row r="3656" spans="103:104" x14ac:dyDescent="0.3">
      <c r="CY3656" s="34" t="s">
        <v>4583</v>
      </c>
      <c r="CZ3656" s="35">
        <v>4.8089877471999998E-2</v>
      </c>
    </row>
    <row r="3657" spans="103:104" x14ac:dyDescent="0.3">
      <c r="CY3657" s="34" t="s">
        <v>4584</v>
      </c>
      <c r="CZ3657" s="35">
        <v>2.4762999040000002E-3</v>
      </c>
    </row>
    <row r="3658" spans="103:104" x14ac:dyDescent="0.3">
      <c r="CY3658" s="34" t="s">
        <v>4585</v>
      </c>
      <c r="CZ3658" s="35">
        <v>2.4356832448E-2</v>
      </c>
    </row>
    <row r="3659" spans="103:104" x14ac:dyDescent="0.3">
      <c r="CY3659" s="34" t="s">
        <v>4586</v>
      </c>
      <c r="CZ3659" s="35">
        <v>2.6216678592000001E-2</v>
      </c>
    </row>
    <row r="3660" spans="103:104" x14ac:dyDescent="0.3">
      <c r="CY3660" s="34" t="s">
        <v>4587</v>
      </c>
      <c r="CZ3660" s="35">
        <v>7.947833088000001E-3</v>
      </c>
    </row>
    <row r="3661" spans="103:104" x14ac:dyDescent="0.3">
      <c r="CY3661" s="34" t="s">
        <v>4588</v>
      </c>
      <c r="CZ3661" s="35">
        <v>7.7227918559999997E-3</v>
      </c>
    </row>
    <row r="3662" spans="103:104" x14ac:dyDescent="0.3">
      <c r="CY3662" s="34" t="s">
        <v>4589</v>
      </c>
      <c r="CZ3662" s="35">
        <v>7.7227918559999997E-3</v>
      </c>
    </row>
    <row r="3663" spans="103:104" x14ac:dyDescent="0.3">
      <c r="CY3663" s="34" t="s">
        <v>4590</v>
      </c>
      <c r="CZ3663" s="35">
        <v>1.2800462568000001E-2</v>
      </c>
    </row>
    <row r="3664" spans="103:104" x14ac:dyDescent="0.3">
      <c r="CY3664" s="34" t="s">
        <v>4591</v>
      </c>
      <c r="CZ3664" s="35">
        <v>1.4007713200000001E-3</v>
      </c>
    </row>
    <row r="3665" spans="103:104" x14ac:dyDescent="0.3">
      <c r="CY3665" s="34" t="s">
        <v>4592</v>
      </c>
      <c r="CZ3665" s="35">
        <v>1.7364010560000004E-2</v>
      </c>
    </row>
    <row r="3666" spans="103:104" x14ac:dyDescent="0.3">
      <c r="CY3666" s="34" t="s">
        <v>4593</v>
      </c>
      <c r="CZ3666" s="35">
        <v>1.9318231919999999E-3</v>
      </c>
    </row>
    <row r="3667" spans="103:104" x14ac:dyDescent="0.3">
      <c r="CY3667" s="34" t="s">
        <v>4594</v>
      </c>
      <c r="CZ3667" s="35">
        <v>4.6565987520000001E-3</v>
      </c>
    </row>
    <row r="3668" spans="103:104" x14ac:dyDescent="0.3">
      <c r="CY3668" s="34" t="s">
        <v>4595</v>
      </c>
      <c r="CZ3668" s="35">
        <v>2.6498289583999999E-2</v>
      </c>
    </row>
    <row r="3669" spans="103:104" x14ac:dyDescent="0.3">
      <c r="CY3669" s="34" t="s">
        <v>4596</v>
      </c>
      <c r="CZ3669" s="35">
        <v>7.4439997423999996E-2</v>
      </c>
    </row>
    <row r="3670" spans="103:104" x14ac:dyDescent="0.3">
      <c r="CY3670" s="34" t="s">
        <v>4597</v>
      </c>
      <c r="CZ3670" s="35">
        <v>0.10486502613599999</v>
      </c>
    </row>
    <row r="3671" spans="103:104" x14ac:dyDescent="0.3">
      <c r="CY3671" s="34" t="s">
        <v>4598</v>
      </c>
      <c r="CZ3671" s="35">
        <v>3.7832730000000002E-3</v>
      </c>
    </row>
    <row r="3672" spans="103:104" x14ac:dyDescent="0.3">
      <c r="CY3672" s="34" t="s">
        <v>4599</v>
      </c>
      <c r="CZ3672" s="35">
        <v>3.5347180647999993E-2</v>
      </c>
    </row>
    <row r="3673" spans="103:104" x14ac:dyDescent="0.3">
      <c r="CY3673" s="34" t="s">
        <v>4600</v>
      </c>
      <c r="CZ3673" s="35">
        <v>4.2400959224000001E-2</v>
      </c>
    </row>
    <row r="3674" spans="103:104" x14ac:dyDescent="0.3">
      <c r="CY3674" s="34" t="s">
        <v>4601</v>
      </c>
      <c r="CZ3674" s="35">
        <v>1.6222429184000003E-2</v>
      </c>
    </row>
    <row r="3675" spans="103:104" x14ac:dyDescent="0.3">
      <c r="CY3675" s="34" t="s">
        <v>4602</v>
      </c>
      <c r="CZ3675" s="35">
        <v>2.0580767351999998E-2</v>
      </c>
    </row>
    <row r="3676" spans="103:104" x14ac:dyDescent="0.3">
      <c r="CY3676" s="34" t="s">
        <v>4603</v>
      </c>
      <c r="CZ3676" s="35">
        <v>4.3679167583999992E-2</v>
      </c>
    </row>
    <row r="3677" spans="103:104" x14ac:dyDescent="0.3">
      <c r="CY3677" s="34" t="s">
        <v>4604</v>
      </c>
      <c r="CZ3677" s="35">
        <v>1.8190830528000003E-2</v>
      </c>
    </row>
    <row r="3678" spans="103:104" x14ac:dyDescent="0.3">
      <c r="CY3678" s="34" t="s">
        <v>4605</v>
      </c>
      <c r="CZ3678" s="35">
        <v>3.4691242559999995E-2</v>
      </c>
    </row>
    <row r="3679" spans="103:104" x14ac:dyDescent="0.3">
      <c r="CY3679" s="34" t="s">
        <v>4606</v>
      </c>
      <c r="CZ3679" s="35">
        <v>1.1649357407999999E-2</v>
      </c>
    </row>
    <row r="3680" spans="103:104" x14ac:dyDescent="0.3">
      <c r="CY3680" s="34" t="s">
        <v>4607</v>
      </c>
      <c r="CZ3680" s="35">
        <v>5.5331457167999996E-2</v>
      </c>
    </row>
    <row r="3681" spans="103:104" x14ac:dyDescent="0.3">
      <c r="CY3681" s="34" t="s">
        <v>4608</v>
      </c>
      <c r="CZ3681" s="35">
        <v>2.1490779648000002E-2</v>
      </c>
    </row>
    <row r="3682" spans="103:104" x14ac:dyDescent="0.3">
      <c r="CY3682" s="34" t="s">
        <v>4609</v>
      </c>
      <c r="CZ3682" s="35">
        <v>0.70305861392000002</v>
      </c>
    </row>
    <row r="3683" spans="103:104" x14ac:dyDescent="0.3">
      <c r="CY3683" s="34" t="s">
        <v>4610</v>
      </c>
      <c r="CZ3683" s="35">
        <v>5.3147317599999992E-3</v>
      </c>
    </row>
    <row r="3684" spans="103:104" x14ac:dyDescent="0.3">
      <c r="CY3684" s="34" t="s">
        <v>4611</v>
      </c>
      <c r="CZ3684" s="35">
        <v>4.51182732E-3</v>
      </c>
    </row>
    <row r="3685" spans="103:104" x14ac:dyDescent="0.3">
      <c r="CY3685" s="34" t="s">
        <v>4612</v>
      </c>
      <c r="CZ3685" s="35">
        <v>1.5176300880000002E-2</v>
      </c>
    </row>
    <row r="3686" spans="103:104" x14ac:dyDescent="0.3">
      <c r="CY3686" s="34" t="s">
        <v>4613</v>
      </c>
      <c r="CZ3686" s="35">
        <v>9.7883822400000025E-3</v>
      </c>
    </row>
    <row r="3687" spans="103:104" x14ac:dyDescent="0.3">
      <c r="CY3687" s="34" t="s">
        <v>4614</v>
      </c>
      <c r="CZ3687" s="35">
        <v>2.0016090639999999E-3</v>
      </c>
    </row>
    <row r="3688" spans="103:104" x14ac:dyDescent="0.3">
      <c r="CY3688" s="34" t="s">
        <v>4615</v>
      </c>
      <c r="CZ3688" s="35">
        <v>1.7559734400000001E-3</v>
      </c>
    </row>
    <row r="3689" spans="103:104" x14ac:dyDescent="0.3">
      <c r="CY3689" s="34" t="s">
        <v>4616</v>
      </c>
      <c r="CZ3689" s="35">
        <v>1.3079262144000001E-2</v>
      </c>
    </row>
    <row r="3690" spans="103:104" x14ac:dyDescent="0.3">
      <c r="CY3690" s="34" t="s">
        <v>4617</v>
      </c>
      <c r="CZ3690" s="35">
        <v>1.3214691360000001E-2</v>
      </c>
    </row>
    <row r="3691" spans="103:104" x14ac:dyDescent="0.3">
      <c r="CY3691" s="34" t="s">
        <v>4618</v>
      </c>
      <c r="CZ3691" s="35">
        <v>1.0233712216E-2</v>
      </c>
    </row>
    <row r="3692" spans="103:104" x14ac:dyDescent="0.3">
      <c r="CY3692" s="34" t="s">
        <v>4619</v>
      </c>
      <c r="CZ3692" s="35">
        <v>1.2120239040000001E-2</v>
      </c>
    </row>
    <row r="3693" spans="103:104" x14ac:dyDescent="0.3">
      <c r="CY3693" s="34" t="s">
        <v>4620</v>
      </c>
      <c r="CZ3693" s="35">
        <v>3.7771664736E-2</v>
      </c>
    </row>
    <row r="3694" spans="103:104" x14ac:dyDescent="0.3">
      <c r="CY3694" s="34" t="s">
        <v>4621</v>
      </c>
      <c r="CZ3694" s="35">
        <v>4.6691123647999995E-2</v>
      </c>
    </row>
    <row r="3695" spans="103:104" x14ac:dyDescent="0.3">
      <c r="CY3695" s="34" t="s">
        <v>4622</v>
      </c>
      <c r="CZ3695" s="35">
        <v>1.147414112E-2</v>
      </c>
    </row>
    <row r="3696" spans="103:104" x14ac:dyDescent="0.3">
      <c r="CY3696" s="34" t="s">
        <v>4623</v>
      </c>
      <c r="CZ3696" s="35">
        <v>1.2004382728000002E-2</v>
      </c>
    </row>
    <row r="3697" spans="103:104" x14ac:dyDescent="0.3">
      <c r="CY3697" s="34" t="s">
        <v>4624</v>
      </c>
      <c r="CZ3697" s="35">
        <v>0.10061766</v>
      </c>
    </row>
    <row r="3698" spans="103:104" x14ac:dyDescent="0.3">
      <c r="CY3698" s="34" t="s">
        <v>4625</v>
      </c>
      <c r="CZ3698" s="35">
        <v>0.16156004654400002</v>
      </c>
    </row>
    <row r="3699" spans="103:104" x14ac:dyDescent="0.3">
      <c r="CY3699" s="34" t="s">
        <v>4626</v>
      </c>
      <c r="CZ3699" s="35">
        <v>7.9596140000000003E-3</v>
      </c>
    </row>
    <row r="3700" spans="103:104" x14ac:dyDescent="0.3">
      <c r="CY3700" s="34" t="s">
        <v>4627</v>
      </c>
      <c r="CZ3700" s="35">
        <v>1.340440608E-3</v>
      </c>
    </row>
    <row r="3701" spans="103:104" x14ac:dyDescent="0.3">
      <c r="CY3701" s="34" t="s">
        <v>4628</v>
      </c>
      <c r="CZ3701" s="35">
        <v>1.2232982528000001E-2</v>
      </c>
    </row>
    <row r="3702" spans="103:104" x14ac:dyDescent="0.3">
      <c r="CY3702" s="34" t="s">
        <v>4629</v>
      </c>
      <c r="CZ3702" s="35">
        <v>4.6952879999999997E-3</v>
      </c>
    </row>
    <row r="3703" spans="103:104" x14ac:dyDescent="0.3">
      <c r="CY3703" s="34" t="s">
        <v>4630</v>
      </c>
      <c r="CZ3703" s="35">
        <v>4.7591423359999996E-3</v>
      </c>
    </row>
    <row r="3704" spans="103:104" x14ac:dyDescent="0.3">
      <c r="CY3704" s="34" t="s">
        <v>4631</v>
      </c>
      <c r="CZ3704" s="35">
        <v>4.8149495679999993E-3</v>
      </c>
    </row>
    <row r="3705" spans="103:104" x14ac:dyDescent="0.3">
      <c r="CY3705" s="34" t="s">
        <v>4632</v>
      </c>
      <c r="CZ3705" s="35">
        <v>1.035121152E-3</v>
      </c>
    </row>
    <row r="3706" spans="103:104" x14ac:dyDescent="0.3">
      <c r="CY3706" s="34" t="s">
        <v>4633</v>
      </c>
      <c r="CZ3706" s="35">
        <v>1.6072329760000001E-3</v>
      </c>
    </row>
    <row r="3707" spans="103:104" x14ac:dyDescent="0.3">
      <c r="CY3707" s="34" t="s">
        <v>4634</v>
      </c>
      <c r="CZ3707" s="35">
        <v>1.5639062296000001E-2</v>
      </c>
    </row>
    <row r="3708" spans="103:104" x14ac:dyDescent="0.3">
      <c r="CY3708" s="34" t="s">
        <v>4635</v>
      </c>
      <c r="CZ3708" s="35">
        <v>3.7118512000000001E-4</v>
      </c>
    </row>
    <row r="3709" spans="103:104" x14ac:dyDescent="0.3">
      <c r="CY3709" s="34" t="s">
        <v>4636</v>
      </c>
      <c r="CZ3709" s="35">
        <v>1.8629702255999997E-2</v>
      </c>
    </row>
    <row r="3710" spans="103:104" x14ac:dyDescent="0.3">
      <c r="CY3710" s="34" t="s">
        <v>4637</v>
      </c>
      <c r="CZ3710" s="35">
        <v>2.4412187280000003E-3</v>
      </c>
    </row>
    <row r="3711" spans="103:104" x14ac:dyDescent="0.3">
      <c r="CY3711" s="34" t="s">
        <v>4638</v>
      </c>
      <c r="CZ3711" s="35">
        <v>9.1605727199999996E-4</v>
      </c>
    </row>
    <row r="3712" spans="103:104" x14ac:dyDescent="0.3">
      <c r="CY3712" s="34" t="s">
        <v>4639</v>
      </c>
      <c r="CZ3712" s="35">
        <v>5.0649256319999997E-3</v>
      </c>
    </row>
    <row r="3713" spans="103:104" x14ac:dyDescent="0.3">
      <c r="CY3713" s="34" t="s">
        <v>4640</v>
      </c>
      <c r="CZ3713" s="35">
        <v>5.0649256319999997E-3</v>
      </c>
    </row>
    <row r="3714" spans="103:104" x14ac:dyDescent="0.3">
      <c r="CY3714" s="34" t="s">
        <v>4641</v>
      </c>
      <c r="CZ3714" s="35">
        <v>9.8336043935999998E-2</v>
      </c>
    </row>
    <row r="3715" spans="103:104" x14ac:dyDescent="0.3">
      <c r="CY3715" s="34" t="s">
        <v>4642</v>
      </c>
      <c r="CZ3715" s="35">
        <v>8.0334824960000013E-3</v>
      </c>
    </row>
    <row r="3716" spans="103:104" x14ac:dyDescent="0.3">
      <c r="CY3716" s="34" t="s">
        <v>4643</v>
      </c>
      <c r="CZ3716" s="35">
        <v>1.1417143504000001E-2</v>
      </c>
    </row>
    <row r="3717" spans="103:104" x14ac:dyDescent="0.3">
      <c r="CY3717" s="34" t="s">
        <v>4644</v>
      </c>
      <c r="CZ3717" s="35">
        <v>4.1865869760000004E-3</v>
      </c>
    </row>
    <row r="3718" spans="103:104" x14ac:dyDescent="0.3">
      <c r="CY3718" s="34" t="s">
        <v>4645</v>
      </c>
      <c r="CZ3718" s="35">
        <v>2.7652203904E-2</v>
      </c>
    </row>
    <row r="3719" spans="103:104" x14ac:dyDescent="0.3">
      <c r="CY3719" s="34" t="s">
        <v>4646</v>
      </c>
      <c r="CZ3719" s="35">
        <v>4.0149799872E-2</v>
      </c>
    </row>
    <row r="3720" spans="103:104" x14ac:dyDescent="0.3">
      <c r="CY3720" s="34" t="s">
        <v>4647</v>
      </c>
      <c r="CZ3720" s="35">
        <v>5.4673259263999997E-2</v>
      </c>
    </row>
    <row r="3721" spans="103:104" x14ac:dyDescent="0.3">
      <c r="CY3721" s="34" t="s">
        <v>4648</v>
      </c>
      <c r="CZ3721" s="35">
        <v>1.0669559679999999E-3</v>
      </c>
    </row>
    <row r="3722" spans="103:104" x14ac:dyDescent="0.3">
      <c r="CY3722" s="34" t="s">
        <v>4649</v>
      </c>
      <c r="CZ3722" s="35">
        <v>4.0778483200000005E-4</v>
      </c>
    </row>
    <row r="3723" spans="103:104" x14ac:dyDescent="0.3">
      <c r="CY3723" s="34" t="s">
        <v>4650</v>
      </c>
      <c r="CZ3723" s="35">
        <v>0.28701503999999994</v>
      </c>
    </row>
    <row r="3724" spans="103:104" x14ac:dyDescent="0.3">
      <c r="CY3724" s="34" t="s">
        <v>4651</v>
      </c>
      <c r="CZ3724" s="35">
        <v>0.16699904624</v>
      </c>
    </row>
    <row r="3725" spans="103:104" x14ac:dyDescent="0.3">
      <c r="CY3725" s="34" t="s">
        <v>4652</v>
      </c>
      <c r="CZ3725" s="35">
        <v>0.18703443855200003</v>
      </c>
    </row>
    <row r="3726" spans="103:104" x14ac:dyDescent="0.3">
      <c r="CY3726" s="34" t="s">
        <v>4653</v>
      </c>
      <c r="CZ3726" s="35">
        <v>1.5917828783999999E-2</v>
      </c>
    </row>
    <row r="3727" spans="103:104" x14ac:dyDescent="0.3">
      <c r="CY3727" s="34" t="s">
        <v>4654</v>
      </c>
      <c r="CZ3727" s="35">
        <v>1.2670380216000001E-2</v>
      </c>
    </row>
    <row r="3728" spans="103:104" x14ac:dyDescent="0.3">
      <c r="CY3728" s="34" t="s">
        <v>4655</v>
      </c>
      <c r="CZ3728" s="35">
        <v>3.3335336320000001E-3</v>
      </c>
    </row>
    <row r="3729" spans="103:104" x14ac:dyDescent="0.3">
      <c r="CY3729" s="34" t="s">
        <v>4656</v>
      </c>
      <c r="CZ3729" s="35">
        <v>1.3822573439999999E-3</v>
      </c>
    </row>
    <row r="3730" spans="103:104" x14ac:dyDescent="0.3">
      <c r="CY3730" s="34" t="s">
        <v>4657</v>
      </c>
      <c r="CZ3730" s="35">
        <v>5.6293128319999993E-3</v>
      </c>
    </row>
    <row r="3731" spans="103:104" x14ac:dyDescent="0.3">
      <c r="CY3731" s="34" t="s">
        <v>4658</v>
      </c>
      <c r="CZ3731" s="35">
        <v>6.9946689279999997E-3</v>
      </c>
    </row>
    <row r="3732" spans="103:104" x14ac:dyDescent="0.3">
      <c r="CY3732" s="34" t="s">
        <v>4659</v>
      </c>
      <c r="CZ3732" s="35">
        <v>7.077679856E-3</v>
      </c>
    </row>
    <row r="3733" spans="103:104" x14ac:dyDescent="0.3">
      <c r="CY3733" s="34" t="s">
        <v>4660</v>
      </c>
      <c r="CZ3733" s="35">
        <v>1.1746725120000003E-2</v>
      </c>
    </row>
    <row r="3734" spans="103:104" x14ac:dyDescent="0.3">
      <c r="CY3734" s="34" t="s">
        <v>4661</v>
      </c>
      <c r="CZ3734" s="35">
        <v>1.6793064704000001E-2</v>
      </c>
    </row>
    <row r="3735" spans="103:104" x14ac:dyDescent="0.3">
      <c r="CY3735" s="34" t="s">
        <v>4662</v>
      </c>
      <c r="CZ3735" s="35">
        <v>2.1234218304000001E-2</v>
      </c>
    </row>
    <row r="3736" spans="103:104" x14ac:dyDescent="0.3">
      <c r="CY3736" s="34" t="s">
        <v>4663</v>
      </c>
      <c r="CZ3736" s="35">
        <v>1.6270089472000003E-2</v>
      </c>
    </row>
    <row r="3737" spans="103:104" x14ac:dyDescent="0.3">
      <c r="CY3737" s="34" t="s">
        <v>4664</v>
      </c>
      <c r="CZ3737" s="35">
        <v>2.4974496768000003E-2</v>
      </c>
    </row>
    <row r="3738" spans="103:104" x14ac:dyDescent="0.3">
      <c r="CY3738" s="34" t="s">
        <v>4665</v>
      </c>
      <c r="CZ3738" s="35">
        <v>3.3428325632000003E-2</v>
      </c>
    </row>
    <row r="3739" spans="103:104" x14ac:dyDescent="0.3">
      <c r="CY3739" s="34" t="s">
        <v>4666</v>
      </c>
      <c r="CZ3739" s="35">
        <v>6.2485871967999991E-2</v>
      </c>
    </row>
    <row r="3740" spans="103:104" x14ac:dyDescent="0.3">
      <c r="CY3740" s="34" t="s">
        <v>4667</v>
      </c>
      <c r="CZ3740" s="35">
        <v>7.1090643936000009E-2</v>
      </c>
    </row>
    <row r="3741" spans="103:104" x14ac:dyDescent="0.3">
      <c r="CY3741" s="34" t="s">
        <v>4668</v>
      </c>
      <c r="CZ3741" s="35">
        <v>0.10064936003199999</v>
      </c>
    </row>
    <row r="3742" spans="103:104" x14ac:dyDescent="0.3">
      <c r="CY3742" s="34" t="s">
        <v>4669</v>
      </c>
      <c r="CZ3742" s="35">
        <v>9.7538937600000002E-4</v>
      </c>
    </row>
    <row r="3743" spans="103:104" x14ac:dyDescent="0.3">
      <c r="CY3743" s="34" t="s">
        <v>4670</v>
      </c>
      <c r="CZ3743" s="35">
        <v>1.059786624E-3</v>
      </c>
    </row>
    <row r="3744" spans="103:104" x14ac:dyDescent="0.3">
      <c r="CY3744" s="34" t="s">
        <v>4671</v>
      </c>
      <c r="CZ3744" s="35">
        <v>0.3827233276444445</v>
      </c>
    </row>
    <row r="3745" spans="103:104" x14ac:dyDescent="0.3">
      <c r="CY3745" s="34" t="s">
        <v>4672</v>
      </c>
      <c r="CZ3745" s="35">
        <v>3.2155106752E-2</v>
      </c>
    </row>
    <row r="3746" spans="103:104" x14ac:dyDescent="0.3">
      <c r="CY3746" s="34" t="s">
        <v>4673</v>
      </c>
      <c r="CZ3746" s="35">
        <v>3.6352362560000004E-2</v>
      </c>
    </row>
    <row r="3747" spans="103:104" x14ac:dyDescent="0.3">
      <c r="CY3747" s="34" t="s">
        <v>4674</v>
      </c>
      <c r="CZ3747" s="35">
        <v>1.6796496992000001E-2</v>
      </c>
    </row>
    <row r="3748" spans="103:104" x14ac:dyDescent="0.3">
      <c r="CY3748" s="34" t="s">
        <v>4675</v>
      </c>
      <c r="CZ3748" s="35">
        <v>4.9624830607999992E-2</v>
      </c>
    </row>
    <row r="3749" spans="103:104" x14ac:dyDescent="0.3">
      <c r="CY3749" s="34" t="s">
        <v>4676</v>
      </c>
      <c r="CZ3749" s="35">
        <v>2.3824559384000001E-2</v>
      </c>
    </row>
    <row r="3750" spans="103:104" x14ac:dyDescent="0.3">
      <c r="CY3750" s="34" t="s">
        <v>4677</v>
      </c>
      <c r="CZ3750" s="35">
        <v>1.5246015135999999E-2</v>
      </c>
    </row>
    <row r="3751" spans="103:104" x14ac:dyDescent="0.3">
      <c r="CY3751" s="34" t="s">
        <v>4678</v>
      </c>
      <c r="CZ3751" s="35">
        <v>1.5200181815999999E-2</v>
      </c>
    </row>
    <row r="3752" spans="103:104" x14ac:dyDescent="0.3">
      <c r="CY3752" s="34" t="s">
        <v>4679</v>
      </c>
      <c r="CZ3752" s="35">
        <v>3.5084654671999997E-2</v>
      </c>
    </row>
    <row r="3753" spans="103:104" x14ac:dyDescent="0.3">
      <c r="CY3753" s="34" t="s">
        <v>4680</v>
      </c>
      <c r="CZ3753" s="35">
        <v>2.4332750912000004E-2</v>
      </c>
    </row>
    <row r="3754" spans="103:104" x14ac:dyDescent="0.3">
      <c r="CY3754" s="34" t="s">
        <v>4681</v>
      </c>
      <c r="CZ3754" s="35">
        <v>1.3369316000000001E-2</v>
      </c>
    </row>
    <row r="3755" spans="103:104" x14ac:dyDescent="0.3">
      <c r="CY3755" s="34" t="s">
        <v>4682</v>
      </c>
      <c r="CZ3755" s="35">
        <v>1.3369316000000001E-2</v>
      </c>
    </row>
    <row r="3756" spans="103:104" x14ac:dyDescent="0.3">
      <c r="CY3756" s="34" t="s">
        <v>4683</v>
      </c>
      <c r="CZ3756" s="35">
        <v>2.9382306176000003E-2</v>
      </c>
    </row>
    <row r="3757" spans="103:104" x14ac:dyDescent="0.3">
      <c r="CY3757" s="34" t="s">
        <v>4684</v>
      </c>
      <c r="CZ3757" s="35">
        <v>6.087139424000001E-3</v>
      </c>
    </row>
    <row r="3758" spans="103:104" x14ac:dyDescent="0.3">
      <c r="CY3758" s="34" t="s">
        <v>4685</v>
      </c>
      <c r="CZ3758" s="35">
        <v>6.087139424000001E-3</v>
      </c>
    </row>
    <row r="3759" spans="103:104" x14ac:dyDescent="0.3">
      <c r="CY3759" s="34" t="s">
        <v>4686</v>
      </c>
      <c r="CZ3759" s="35">
        <v>4.2111076800000003E-3</v>
      </c>
    </row>
    <row r="3760" spans="103:104" x14ac:dyDescent="0.3">
      <c r="CY3760" s="34" t="s">
        <v>4687</v>
      </c>
      <c r="CZ3760" s="35">
        <v>6.7381636426666666E-3</v>
      </c>
    </row>
    <row r="3761" spans="103:104" x14ac:dyDescent="0.3">
      <c r="CY3761" s="34" t="s">
        <v>4688</v>
      </c>
      <c r="CZ3761" s="35">
        <v>2.7537466424000002E-2</v>
      </c>
    </row>
    <row r="3762" spans="103:104" x14ac:dyDescent="0.3">
      <c r="CY3762" s="34" t="s">
        <v>4689</v>
      </c>
      <c r="CZ3762" s="35">
        <v>3.8390855567999996E-2</v>
      </c>
    </row>
    <row r="3763" spans="103:104" x14ac:dyDescent="0.3">
      <c r="CY3763" s="34" t="s">
        <v>4690</v>
      </c>
      <c r="CZ3763" s="35">
        <v>3.4187295271999998E-2</v>
      </c>
    </row>
    <row r="3764" spans="103:104" x14ac:dyDescent="0.3">
      <c r="CY3764" s="34" t="s">
        <v>4691</v>
      </c>
      <c r="CZ3764" s="35">
        <v>7.5874837375999996E-2</v>
      </c>
    </row>
    <row r="3765" spans="103:104" x14ac:dyDescent="0.3">
      <c r="CY3765" s="34" t="s">
        <v>4692</v>
      </c>
      <c r="CZ3765" s="35">
        <v>8.4879039999999989E-2</v>
      </c>
    </row>
    <row r="3766" spans="103:104" x14ac:dyDescent="0.3">
      <c r="CY3766" s="34" t="s">
        <v>4693</v>
      </c>
      <c r="CZ3766" s="35">
        <v>0.3679010204081633</v>
      </c>
    </row>
    <row r="3767" spans="103:104" x14ac:dyDescent="0.3">
      <c r="CY3767" s="34" t="s">
        <v>4694</v>
      </c>
      <c r="CZ3767" s="35">
        <v>2.5564084000000001E-2</v>
      </c>
    </row>
    <row r="3768" spans="103:104" x14ac:dyDescent="0.3">
      <c r="CY3768" s="34" t="s">
        <v>4695</v>
      </c>
      <c r="CZ3768" s="35">
        <v>1.9671174639999999E-3</v>
      </c>
    </row>
    <row r="3769" spans="103:104" x14ac:dyDescent="0.3">
      <c r="CY3769" s="34" t="s">
        <v>4696</v>
      </c>
      <c r="CZ3769" s="35">
        <v>0.13055669931200004</v>
      </c>
    </row>
    <row r="3770" spans="103:104" x14ac:dyDescent="0.3">
      <c r="CY3770" s="34" t="s">
        <v>4697</v>
      </c>
      <c r="CZ3770" s="35">
        <v>9.4006536520000003E-2</v>
      </c>
    </row>
    <row r="3771" spans="103:104" x14ac:dyDescent="0.3">
      <c r="CY3771" s="34" t="s">
        <v>4698</v>
      </c>
      <c r="CZ3771" s="35">
        <v>0.110974344</v>
      </c>
    </row>
    <row r="3772" spans="103:104" x14ac:dyDescent="0.3">
      <c r="CY3772" s="34" t="s">
        <v>4699</v>
      </c>
      <c r="CZ3772" s="35">
        <v>9.4006536519999989E-2</v>
      </c>
    </row>
    <row r="3773" spans="103:104" x14ac:dyDescent="0.3">
      <c r="CY3773" s="34" t="s">
        <v>4700</v>
      </c>
      <c r="CZ3773" s="35">
        <v>9.7698416087999992E-2</v>
      </c>
    </row>
    <row r="3774" spans="103:104" x14ac:dyDescent="0.3">
      <c r="CY3774" s="34" t="s">
        <v>4701</v>
      </c>
      <c r="CZ3774" s="35">
        <v>9.578316997599999E-2</v>
      </c>
    </row>
    <row r="3775" spans="103:104" x14ac:dyDescent="0.3">
      <c r="CY3775" s="34" t="s">
        <v>4702</v>
      </c>
      <c r="CZ3775" s="35">
        <v>0.108624152104</v>
      </c>
    </row>
    <row r="3776" spans="103:104" x14ac:dyDescent="0.3">
      <c r="CY3776" s="34" t="s">
        <v>4703</v>
      </c>
      <c r="CZ3776" s="35">
        <v>9.2483656824000005E-2</v>
      </c>
    </row>
    <row r="3777" spans="103:104" x14ac:dyDescent="0.3">
      <c r="CY3777" s="34" t="s">
        <v>4704</v>
      </c>
      <c r="CZ3777" s="35">
        <v>0.11033640685599999</v>
      </c>
    </row>
    <row r="3778" spans="103:104" x14ac:dyDescent="0.3">
      <c r="CY3778" s="34" t="s">
        <v>4705</v>
      </c>
      <c r="CZ3778" s="35">
        <v>0.10392955060799999</v>
      </c>
    </row>
    <row r="3779" spans="103:104" x14ac:dyDescent="0.3">
      <c r="CY3779" s="34" t="s">
        <v>4706</v>
      </c>
      <c r="CZ3779" s="35">
        <v>1.1486349000000002E-2</v>
      </c>
    </row>
    <row r="3780" spans="103:104" x14ac:dyDescent="0.3">
      <c r="CY3780" s="34" t="s">
        <v>4707</v>
      </c>
      <c r="CZ3780" s="35">
        <v>1.6073175871999999E-2</v>
      </c>
    </row>
    <row r="3781" spans="103:104" x14ac:dyDescent="0.3">
      <c r="CY3781" s="34" t="s">
        <v>4708</v>
      </c>
      <c r="CZ3781" s="35">
        <v>3.8946881375999998E-2</v>
      </c>
    </row>
    <row r="3782" spans="103:104" x14ac:dyDescent="0.3">
      <c r="CY3782" s="34" t="s">
        <v>4709</v>
      </c>
      <c r="CZ3782" s="35">
        <v>8.140772000000001E-3</v>
      </c>
    </row>
    <row r="3783" spans="103:104" x14ac:dyDescent="0.3">
      <c r="CY3783" s="34" t="s">
        <v>4710</v>
      </c>
      <c r="CZ3783" s="35">
        <v>3.4603253776000001E-2</v>
      </c>
    </row>
    <row r="3784" spans="103:104" x14ac:dyDescent="0.3">
      <c r="CY3784" s="34" t="s">
        <v>4711</v>
      </c>
      <c r="CZ3784" s="35">
        <v>9.6028044879999996E-2</v>
      </c>
    </row>
    <row r="3785" spans="103:104" x14ac:dyDescent="0.3">
      <c r="CY3785" s="34" t="s">
        <v>4712</v>
      </c>
      <c r="CZ3785" s="35">
        <v>2.491086E-3</v>
      </c>
    </row>
    <row r="3786" spans="103:104" x14ac:dyDescent="0.3">
      <c r="CY3786" s="34" t="s">
        <v>4713</v>
      </c>
      <c r="CZ3786" s="35">
        <v>2.491086E-3</v>
      </c>
    </row>
    <row r="3787" spans="103:104" x14ac:dyDescent="0.3">
      <c r="CY3787" s="34" t="s">
        <v>4714</v>
      </c>
      <c r="CZ3787" s="35">
        <v>0.11021888120000001</v>
      </c>
    </row>
    <row r="3788" spans="103:104" x14ac:dyDescent="0.3">
      <c r="CY3788" s="34" t="s">
        <v>4715</v>
      </c>
      <c r="CZ3788" s="35">
        <v>2.6569446592000001E-2</v>
      </c>
    </row>
    <row r="3789" spans="103:104" x14ac:dyDescent="0.3">
      <c r="CY3789" s="34" t="s">
        <v>4716</v>
      </c>
      <c r="CZ3789" s="35">
        <v>1.6958814911999999E-2</v>
      </c>
    </row>
    <row r="3790" spans="103:104" x14ac:dyDescent="0.3">
      <c r="CY3790" s="34" t="s">
        <v>4717</v>
      </c>
      <c r="CZ3790" s="35">
        <v>1.241994284E-2</v>
      </c>
    </row>
    <row r="3791" spans="103:104" x14ac:dyDescent="0.3">
      <c r="CY3791" s="34" t="s">
        <v>4718</v>
      </c>
      <c r="CZ3791" s="35">
        <v>1.1313142839999998E-2</v>
      </c>
    </row>
    <row r="3792" spans="103:104" x14ac:dyDescent="0.3">
      <c r="CY3792" s="34" t="s">
        <v>4719</v>
      </c>
      <c r="CZ3792" s="35">
        <v>6.1123204479999992E-3</v>
      </c>
    </row>
    <row r="3793" spans="103:104" x14ac:dyDescent="0.3">
      <c r="CY3793" s="34" t="s">
        <v>4720</v>
      </c>
      <c r="CZ3793" s="35">
        <v>5.4688645439999996E-2</v>
      </c>
    </row>
    <row r="3794" spans="103:104" x14ac:dyDescent="0.3">
      <c r="CY3794" s="34" t="s">
        <v>4721</v>
      </c>
      <c r="CZ3794" s="35">
        <v>1.8577276224000003E-2</v>
      </c>
    </row>
    <row r="3795" spans="103:104" x14ac:dyDescent="0.3">
      <c r="CY3795" s="34" t="s">
        <v>4722</v>
      </c>
      <c r="CZ3795" s="35">
        <v>5.3139475640000003E-2</v>
      </c>
    </row>
    <row r="3796" spans="103:104" x14ac:dyDescent="0.3">
      <c r="CY3796" s="34" t="s">
        <v>4723</v>
      </c>
      <c r="CZ3796" s="35">
        <v>7.5736746175999986E-2</v>
      </c>
    </row>
    <row r="3797" spans="103:104" x14ac:dyDescent="0.3">
      <c r="CY3797" s="34" t="s">
        <v>4724</v>
      </c>
      <c r="CZ3797" s="35">
        <v>6.4209213120000001E-3</v>
      </c>
    </row>
    <row r="3798" spans="103:104" x14ac:dyDescent="0.3">
      <c r="CY3798" s="34" t="s">
        <v>4725</v>
      </c>
      <c r="CZ3798" s="35">
        <v>4.8918351040000002E-3</v>
      </c>
    </row>
    <row r="3799" spans="103:104" x14ac:dyDescent="0.3">
      <c r="CY3799" s="34" t="s">
        <v>4726</v>
      </c>
      <c r="CZ3799" s="35">
        <v>5.8622471647999989E-2</v>
      </c>
    </row>
    <row r="3800" spans="103:104" x14ac:dyDescent="0.3">
      <c r="CY3800" s="34" t="s">
        <v>4727</v>
      </c>
      <c r="CZ3800" s="35">
        <v>5.1355572279999998E-2</v>
      </c>
    </row>
    <row r="3801" spans="103:104" x14ac:dyDescent="0.3">
      <c r="CY3801" s="34" t="s">
        <v>4728</v>
      </c>
      <c r="CZ3801" s="35">
        <v>1.2000452E-2</v>
      </c>
    </row>
    <row r="3802" spans="103:104" x14ac:dyDescent="0.3">
      <c r="CY3802" s="34" t="s">
        <v>4729</v>
      </c>
      <c r="CZ3802" s="35">
        <v>1.2120452000000002E-2</v>
      </c>
    </row>
    <row r="3803" spans="103:104" x14ac:dyDescent="0.3">
      <c r="CY3803" s="34" t="s">
        <v>4730</v>
      </c>
      <c r="CZ3803" s="35">
        <v>6.5350999999999994E-4</v>
      </c>
    </row>
    <row r="3804" spans="103:104" x14ac:dyDescent="0.3">
      <c r="CY3804" s="34" t="s">
        <v>4731</v>
      </c>
      <c r="CZ3804" s="35">
        <v>5.9785450399999992E-4</v>
      </c>
    </row>
    <row r="3805" spans="103:104" x14ac:dyDescent="0.3">
      <c r="CY3805" s="34" t="s">
        <v>4732</v>
      </c>
      <c r="CZ3805" s="35">
        <v>6.1773919999999992E-4</v>
      </c>
    </row>
    <row r="3806" spans="103:104" x14ac:dyDescent="0.3">
      <c r="CY3806" s="34" t="s">
        <v>4733</v>
      </c>
      <c r="CZ3806" s="35">
        <v>5.8437173503749999E-3</v>
      </c>
    </row>
    <row r="3807" spans="103:104" x14ac:dyDescent="0.3">
      <c r="CY3807" s="34" t="s">
        <v>4734</v>
      </c>
      <c r="CZ3807" s="35">
        <v>6.0088087040000007E-3</v>
      </c>
    </row>
    <row r="3808" spans="103:104" x14ac:dyDescent="0.3">
      <c r="CY3808" s="34" t="s">
        <v>4735</v>
      </c>
      <c r="CZ3808" s="35">
        <v>3.3377265080000003E-2</v>
      </c>
    </row>
    <row r="3809" spans="103:104" x14ac:dyDescent="0.3">
      <c r="CY3809" s="34" t="s">
        <v>4736</v>
      </c>
      <c r="CZ3809" s="35">
        <v>2.2864248656000005E-2</v>
      </c>
    </row>
    <row r="3810" spans="103:104" x14ac:dyDescent="0.3">
      <c r="CY3810" s="34" t="s">
        <v>4737</v>
      </c>
      <c r="CZ3810" s="35">
        <v>8.2501250000000005E-3</v>
      </c>
    </row>
    <row r="3811" spans="103:104" x14ac:dyDescent="0.3">
      <c r="CY3811" s="34" t="s">
        <v>4738</v>
      </c>
      <c r="CZ3811" s="35">
        <v>1.4374575719999999E-2</v>
      </c>
    </row>
    <row r="3812" spans="103:104" x14ac:dyDescent="0.3">
      <c r="CY3812" s="34" t="s">
        <v>4739</v>
      </c>
      <c r="CZ3812" s="35">
        <v>6.4595884799999994E-4</v>
      </c>
    </row>
    <row r="3813" spans="103:104" x14ac:dyDescent="0.3">
      <c r="CY3813" s="34" t="s">
        <v>4740</v>
      </c>
      <c r="CZ3813" s="35">
        <v>5.3421604799999993E-4</v>
      </c>
    </row>
    <row r="3814" spans="103:104" x14ac:dyDescent="0.3">
      <c r="CY3814" s="34" t="s">
        <v>4741</v>
      </c>
      <c r="CZ3814" s="35">
        <v>6.1754830799999995E-3</v>
      </c>
    </row>
    <row r="3815" spans="103:104" x14ac:dyDescent="0.3">
      <c r="CY3815" s="34" t="s">
        <v>4742</v>
      </c>
      <c r="CZ3815" s="35">
        <v>9.0845040000000002E-4</v>
      </c>
    </row>
    <row r="3816" spans="103:104" x14ac:dyDescent="0.3">
      <c r="CY3816" s="34" t="s">
        <v>4743</v>
      </c>
      <c r="CZ3816" s="35">
        <v>7.1204223999999999E-4</v>
      </c>
    </row>
    <row r="3817" spans="103:104" x14ac:dyDescent="0.3">
      <c r="CY3817" s="34" t="s">
        <v>4744</v>
      </c>
      <c r="CZ3817" s="35">
        <v>3.0993139112000002E-2</v>
      </c>
    </row>
    <row r="3818" spans="103:104" x14ac:dyDescent="0.3">
      <c r="CY3818" s="34" t="s">
        <v>4745</v>
      </c>
      <c r="CZ3818" s="35">
        <v>5.2683021872000003E-2</v>
      </c>
    </row>
    <row r="3819" spans="103:104" x14ac:dyDescent="0.3">
      <c r="CY3819" s="34" t="s">
        <v>4746</v>
      </c>
      <c r="CZ3819" s="35">
        <v>4.3731500800000005E-4</v>
      </c>
    </row>
    <row r="3820" spans="103:104" x14ac:dyDescent="0.3">
      <c r="CY3820" s="34" t="s">
        <v>4747</v>
      </c>
      <c r="CZ3820" s="35">
        <v>1.1277074120000001E-2</v>
      </c>
    </row>
    <row r="3821" spans="103:104" x14ac:dyDescent="0.3">
      <c r="CY3821" s="34" t="s">
        <v>4748</v>
      </c>
      <c r="CZ3821" s="35">
        <v>8.2225738399999994E-4</v>
      </c>
    </row>
    <row r="3822" spans="103:104" x14ac:dyDescent="0.3">
      <c r="CY3822" s="34" t="s">
        <v>4749</v>
      </c>
      <c r="CZ3822" s="35">
        <v>4.0260595439999998E-3</v>
      </c>
    </row>
    <row r="3823" spans="103:104" x14ac:dyDescent="0.3">
      <c r="CY3823" s="34" t="s">
        <v>4750</v>
      </c>
      <c r="CZ3823" s="35">
        <v>0.17773314850400002</v>
      </c>
    </row>
    <row r="3824" spans="103:104" x14ac:dyDescent="0.3">
      <c r="CY3824" s="34" t="s">
        <v>4751</v>
      </c>
      <c r="CZ3824" s="35">
        <v>7.559016799999999E-4</v>
      </c>
    </row>
    <row r="3825" spans="103:104" x14ac:dyDescent="0.3">
      <c r="CY3825" s="34" t="s">
        <v>4752</v>
      </c>
      <c r="CZ3825" s="35">
        <v>2.0582789759999998E-3</v>
      </c>
    </row>
    <row r="3826" spans="103:104" x14ac:dyDescent="0.3">
      <c r="CY3826" s="34" t="s">
        <v>4753</v>
      </c>
      <c r="CZ3826" s="35">
        <v>6.8266357607399998E-3</v>
      </c>
    </row>
    <row r="3827" spans="103:104" x14ac:dyDescent="0.3">
      <c r="CY3827" s="34" t="s">
        <v>4754</v>
      </c>
      <c r="CZ3827" s="35">
        <v>1.2327974216666667E-2</v>
      </c>
    </row>
    <row r="3828" spans="103:104" x14ac:dyDescent="0.3">
      <c r="CY3828" s="34" t="s">
        <v>4755</v>
      </c>
      <c r="CZ3828" s="35">
        <v>1.5374134000000001E-2</v>
      </c>
    </row>
    <row r="3829" spans="103:104" x14ac:dyDescent="0.3">
      <c r="CY3829" s="34" t="s">
        <v>4756</v>
      </c>
      <c r="CZ3829" s="35">
        <v>2.1871534879999996E-3</v>
      </c>
    </row>
    <row r="3830" spans="103:104" x14ac:dyDescent="0.3">
      <c r="CY3830" s="34" t="s">
        <v>4757</v>
      </c>
      <c r="CZ3830" s="35">
        <v>1.3389016160000001E-3</v>
      </c>
    </row>
    <row r="3831" spans="103:104" x14ac:dyDescent="0.3">
      <c r="CY3831" s="34" t="s">
        <v>4758</v>
      </c>
      <c r="CZ3831" s="35">
        <v>5.0692989360000005E-3</v>
      </c>
    </row>
    <row r="3832" spans="103:104" x14ac:dyDescent="0.3">
      <c r="CY3832" s="34" t="s">
        <v>4759</v>
      </c>
      <c r="CZ3832" s="35">
        <v>2.6360926800000004E-3</v>
      </c>
    </row>
    <row r="3833" spans="103:104" x14ac:dyDescent="0.3">
      <c r="CY3833" s="34" t="s">
        <v>4760</v>
      </c>
      <c r="CZ3833" s="35">
        <v>1.7964960000000001E-3</v>
      </c>
    </row>
    <row r="3834" spans="103:104" x14ac:dyDescent="0.3">
      <c r="CY3834" s="34" t="s">
        <v>4761</v>
      </c>
      <c r="CZ3834" s="35">
        <v>2.7855926696E-2</v>
      </c>
    </row>
    <row r="3835" spans="103:104" x14ac:dyDescent="0.3">
      <c r="CY3835" s="34" t="s">
        <v>4762</v>
      </c>
      <c r="CZ3835" s="35">
        <v>1.4896000704000002E-2</v>
      </c>
    </row>
    <row r="3836" spans="103:104" x14ac:dyDescent="0.3">
      <c r="CY3836" s="34" t="s">
        <v>4763</v>
      </c>
      <c r="CZ3836" s="35">
        <v>3.4475173200000002E-3</v>
      </c>
    </row>
    <row r="3837" spans="103:104" x14ac:dyDescent="0.3">
      <c r="CY3837" s="34" t="s">
        <v>4764</v>
      </c>
      <c r="CZ3837" s="35">
        <v>2.9488729919999999E-3</v>
      </c>
    </row>
    <row r="3838" spans="103:104" x14ac:dyDescent="0.3">
      <c r="CY3838" s="34" t="s">
        <v>4765</v>
      </c>
      <c r="CZ3838" s="35">
        <v>6.4264284551999992E-2</v>
      </c>
    </row>
    <row r="3839" spans="103:104" x14ac:dyDescent="0.3">
      <c r="CY3839" s="34" t="s">
        <v>4766</v>
      </c>
      <c r="CZ3839" s="35">
        <v>4.3072513327999995E-2</v>
      </c>
    </row>
    <row r="3840" spans="103:104" x14ac:dyDescent="0.3">
      <c r="CY3840" s="34" t="s">
        <v>4767</v>
      </c>
      <c r="CZ3840" s="35">
        <v>7.8347003199999996E-4</v>
      </c>
    </row>
    <row r="3841" spans="103:104" x14ac:dyDescent="0.3">
      <c r="CY3841" s="34" t="s">
        <v>4768</v>
      </c>
      <c r="CZ3841" s="35">
        <v>2.6806420559999993E-3</v>
      </c>
    </row>
    <row r="3842" spans="103:104" x14ac:dyDescent="0.3">
      <c r="CY3842" s="34" t="s">
        <v>4769</v>
      </c>
      <c r="CZ3842" s="35">
        <v>2.7772159999999997E-4</v>
      </c>
    </row>
    <row r="3843" spans="103:104" x14ac:dyDescent="0.3">
      <c r="CY3843" s="34" t="s">
        <v>4770</v>
      </c>
      <c r="CZ3843" s="35">
        <v>0.53993252351999999</v>
      </c>
    </row>
    <row r="3844" spans="103:104" x14ac:dyDescent="0.3">
      <c r="CY3844" s="34" t="s">
        <v>4771</v>
      </c>
      <c r="CZ3844" s="35">
        <v>2.9856069360000001E-2</v>
      </c>
    </row>
    <row r="3845" spans="103:104" x14ac:dyDescent="0.3">
      <c r="CY3845" s="34" t="s">
        <v>4772</v>
      </c>
      <c r="CZ3845" s="35">
        <v>1.3038609999999999E-2</v>
      </c>
    </row>
    <row r="3846" spans="103:104" x14ac:dyDescent="0.3">
      <c r="CY3846" s="34" t="s">
        <v>4773</v>
      </c>
      <c r="CZ3846" s="35">
        <v>1.9271840639999999E-3</v>
      </c>
    </row>
    <row r="3847" spans="103:104" x14ac:dyDescent="0.3">
      <c r="CY3847" s="34" t="s">
        <v>4774</v>
      </c>
      <c r="CZ3847" s="35">
        <v>1.2310698816000002E-2</v>
      </c>
    </row>
    <row r="3848" spans="103:104" x14ac:dyDescent="0.3">
      <c r="CY3848" s="34" t="s">
        <v>4775</v>
      </c>
      <c r="CZ3848" s="35">
        <v>3.0248466919999997E-3</v>
      </c>
    </row>
    <row r="3849" spans="103:104" x14ac:dyDescent="0.3">
      <c r="CY3849" s="34" t="s">
        <v>4776</v>
      </c>
      <c r="CZ3849" s="35">
        <v>1.6722996159999998E-3</v>
      </c>
    </row>
    <row r="3850" spans="103:104" x14ac:dyDescent="0.3">
      <c r="CY3850" s="34" t="s">
        <v>4777</v>
      </c>
      <c r="CZ3850" s="35">
        <v>2.0052400138890002E-2</v>
      </c>
    </row>
    <row r="3851" spans="103:104" x14ac:dyDescent="0.3">
      <c r="CY3851" s="34" t="s">
        <v>4778</v>
      </c>
      <c r="CZ3851" s="35">
        <v>7.3329669346666659E-3</v>
      </c>
    </row>
    <row r="3852" spans="103:104" x14ac:dyDescent="0.3">
      <c r="CY3852" s="34" t="s">
        <v>4779</v>
      </c>
      <c r="CZ3852" s="35">
        <v>1.0445361578494624E-2</v>
      </c>
    </row>
    <row r="3853" spans="103:104" x14ac:dyDescent="0.3">
      <c r="CY3853" s="34" t="s">
        <v>4780</v>
      </c>
      <c r="CZ3853" s="35">
        <v>1.407093896E-3</v>
      </c>
    </row>
    <row r="3854" spans="103:104" x14ac:dyDescent="0.3">
      <c r="CY3854" s="34" t="s">
        <v>4781</v>
      </c>
      <c r="CZ3854" s="35">
        <v>1.259870144E-3</v>
      </c>
    </row>
    <row r="3855" spans="103:104" x14ac:dyDescent="0.3">
      <c r="CY3855" s="34" t="s">
        <v>4782</v>
      </c>
      <c r="CZ3855" s="35">
        <v>8.5885599999999996E-4</v>
      </c>
    </row>
    <row r="3856" spans="103:104" x14ac:dyDescent="0.3">
      <c r="CY3856" s="34" t="s">
        <v>4783</v>
      </c>
      <c r="CZ3856" s="35">
        <v>7.1590869999999993E-4</v>
      </c>
    </row>
    <row r="3857" spans="103:104" x14ac:dyDescent="0.3">
      <c r="CY3857" s="34" t="s">
        <v>4784</v>
      </c>
      <c r="CZ3857" s="35">
        <v>3.4831845333333335E-4</v>
      </c>
    </row>
    <row r="3858" spans="103:104" x14ac:dyDescent="0.3">
      <c r="CY3858" s="34" t="s">
        <v>4785</v>
      </c>
      <c r="CZ3858" s="35">
        <v>3.3167802999999995E-4</v>
      </c>
    </row>
    <row r="3859" spans="103:104" x14ac:dyDescent="0.3">
      <c r="CY3859" s="34" t="s">
        <v>4786</v>
      </c>
      <c r="CZ3859" s="35">
        <v>3.5975178666666665E-4</v>
      </c>
    </row>
    <row r="3860" spans="103:104" x14ac:dyDescent="0.3">
      <c r="CY3860" s="34" t="s">
        <v>4787</v>
      </c>
      <c r="CZ3860" s="35">
        <v>8.4846008E-4</v>
      </c>
    </row>
    <row r="3861" spans="103:104" x14ac:dyDescent="0.3">
      <c r="CY3861" s="34" t="s">
        <v>4788</v>
      </c>
      <c r="CZ3861" s="35">
        <v>9.2987398400000009E-4</v>
      </c>
    </row>
    <row r="3862" spans="103:104" x14ac:dyDescent="0.3">
      <c r="CY3862" s="34" t="s">
        <v>4789</v>
      </c>
      <c r="CZ3862" s="35">
        <v>8.8928958400000008E-4</v>
      </c>
    </row>
    <row r="3863" spans="103:104" x14ac:dyDescent="0.3">
      <c r="CY3863" s="34" t="s">
        <v>4790</v>
      </c>
      <c r="CZ3863" s="35">
        <v>9.3888655999999993E-4</v>
      </c>
    </row>
    <row r="3864" spans="103:104" x14ac:dyDescent="0.3">
      <c r="CY3864" s="34" t="s">
        <v>4791</v>
      </c>
      <c r="CZ3864" s="35">
        <v>4.6944327999999996E-4</v>
      </c>
    </row>
    <row r="3865" spans="103:104" x14ac:dyDescent="0.3">
      <c r="CY3865" s="34" t="s">
        <v>4792</v>
      </c>
      <c r="CZ3865" s="35">
        <v>2.0906742700000001E-2</v>
      </c>
    </row>
    <row r="3866" spans="103:104" x14ac:dyDescent="0.3">
      <c r="CY3866" s="34" t="s">
        <v>4793</v>
      </c>
      <c r="CZ3866" s="35">
        <v>6.3477716800000002E-3</v>
      </c>
    </row>
    <row r="3867" spans="103:104" x14ac:dyDescent="0.3">
      <c r="CY3867" s="34" t="s">
        <v>4794</v>
      </c>
      <c r="CZ3867" s="35">
        <v>1.0865380136000002E-2</v>
      </c>
    </row>
    <row r="3868" spans="103:104" x14ac:dyDescent="0.3">
      <c r="CY3868" s="34" t="s">
        <v>4795</v>
      </c>
      <c r="CZ3868" s="35">
        <v>2.1066116079999997E-3</v>
      </c>
    </row>
    <row r="3869" spans="103:104" x14ac:dyDescent="0.3">
      <c r="CY3869" s="34" t="s">
        <v>4796</v>
      </c>
      <c r="CZ3869" s="35">
        <v>3.9632007946666659E-3</v>
      </c>
    </row>
    <row r="3870" spans="103:104" x14ac:dyDescent="0.3">
      <c r="CY3870" s="34" t="s">
        <v>4797</v>
      </c>
      <c r="CZ3870" s="35">
        <v>1.2812884319999999E-2</v>
      </c>
    </row>
    <row r="3871" spans="103:104" x14ac:dyDescent="0.3">
      <c r="CY3871" s="34" t="s">
        <v>4798</v>
      </c>
      <c r="CZ3871" s="35">
        <v>1.0598157727999999E-2</v>
      </c>
    </row>
    <row r="3872" spans="103:104" x14ac:dyDescent="0.3">
      <c r="CY3872" s="34" t="s">
        <v>4799</v>
      </c>
      <c r="CZ3872" s="35">
        <v>1.1583973200000001E-3</v>
      </c>
    </row>
    <row r="3873" spans="103:104" x14ac:dyDescent="0.3">
      <c r="CY3873" s="34" t="s">
        <v>4800</v>
      </c>
      <c r="CZ3873" s="35">
        <v>5.5823577440000001E-3</v>
      </c>
    </row>
    <row r="3874" spans="103:104" x14ac:dyDescent="0.3">
      <c r="CY3874" s="34" t="s">
        <v>4801</v>
      </c>
      <c r="CZ3874" s="35">
        <v>4.6709998399999998E-4</v>
      </c>
    </row>
    <row r="3875" spans="103:104" x14ac:dyDescent="0.3">
      <c r="CY3875" s="34" t="s">
        <v>4802</v>
      </c>
      <c r="CZ3875" s="35">
        <v>4.4815763199999999E-4</v>
      </c>
    </row>
    <row r="3876" spans="103:104" x14ac:dyDescent="0.3">
      <c r="CY3876" s="34" t="s">
        <v>4803</v>
      </c>
      <c r="CZ3876" s="35">
        <v>1.4833777919999998E-3</v>
      </c>
    </row>
    <row r="3877" spans="103:104" x14ac:dyDescent="0.3">
      <c r="CY3877" s="34" t="s">
        <v>4804</v>
      </c>
      <c r="CZ3877" s="35">
        <v>6.6071000000000001E-4</v>
      </c>
    </row>
    <row r="3878" spans="103:104" x14ac:dyDescent="0.3">
      <c r="CY3878" s="34" t="s">
        <v>4805</v>
      </c>
      <c r="CZ3878" s="35">
        <v>5.1333318399999996E-4</v>
      </c>
    </row>
    <row r="3879" spans="103:104" x14ac:dyDescent="0.3">
      <c r="CY3879" s="34" t="s">
        <v>4806</v>
      </c>
      <c r="CZ3879" s="35">
        <v>1.1979407439999998E-3</v>
      </c>
    </row>
    <row r="3880" spans="103:104" x14ac:dyDescent="0.3">
      <c r="CY3880" s="34" t="s">
        <v>4807</v>
      </c>
      <c r="CZ3880" s="35">
        <v>6.7783329920000001E-3</v>
      </c>
    </row>
    <row r="3881" spans="103:104" x14ac:dyDescent="0.3">
      <c r="CY3881" s="34" t="s">
        <v>4808</v>
      </c>
      <c r="CZ3881" s="35">
        <v>9.747005944000001E-3</v>
      </c>
    </row>
    <row r="3882" spans="103:104" x14ac:dyDescent="0.3">
      <c r="CY3882" s="34" t="s">
        <v>4809</v>
      </c>
      <c r="CZ3882" s="35">
        <v>1.2348588096000002E-2</v>
      </c>
    </row>
    <row r="3883" spans="103:104" x14ac:dyDescent="0.3">
      <c r="CY3883" s="34" t="s">
        <v>4810</v>
      </c>
      <c r="CZ3883" s="35">
        <v>8.5301521599999994E-4</v>
      </c>
    </row>
    <row r="3884" spans="103:104" x14ac:dyDescent="0.3">
      <c r="CY3884" s="34" t="s">
        <v>4811</v>
      </c>
      <c r="CZ3884" s="35">
        <v>1.1299044616285715E-2</v>
      </c>
    </row>
    <row r="3885" spans="103:104" x14ac:dyDescent="0.3">
      <c r="CY3885" s="34" t="s">
        <v>4812</v>
      </c>
      <c r="CZ3885" s="35">
        <v>9.7807754880000018E-3</v>
      </c>
    </row>
    <row r="3886" spans="103:104" x14ac:dyDescent="0.3">
      <c r="CY3886" s="34" t="s">
        <v>4813</v>
      </c>
      <c r="CZ3886" s="35">
        <v>3.5057380799999999E-4</v>
      </c>
    </row>
    <row r="3887" spans="103:104" x14ac:dyDescent="0.3">
      <c r="CY3887" s="34" t="s">
        <v>4814</v>
      </c>
      <c r="CZ3887" s="35">
        <v>6.6364999999999993E-2</v>
      </c>
    </row>
    <row r="3888" spans="103:104" x14ac:dyDescent="0.3">
      <c r="CY3888" s="34" t="s">
        <v>4815</v>
      </c>
      <c r="CZ3888" s="35">
        <v>3.8999999999999999E-5</v>
      </c>
    </row>
    <row r="3889" spans="103:104" x14ac:dyDescent="0.3">
      <c r="CY3889" s="34" t="s">
        <v>4816</v>
      </c>
      <c r="CZ3889" s="35">
        <v>3.8999999999999999E-5</v>
      </c>
    </row>
    <row r="3890" spans="103:104" x14ac:dyDescent="0.3">
      <c r="CY3890" s="34" t="s">
        <v>4817</v>
      </c>
      <c r="CZ3890" s="35">
        <v>0.24208994596799999</v>
      </c>
    </row>
    <row r="3891" spans="103:104" x14ac:dyDescent="0.3">
      <c r="CY3891" s="34" t="s">
        <v>4818</v>
      </c>
      <c r="CZ3891" s="35">
        <v>1.296886656E-2</v>
      </c>
    </row>
    <row r="3892" spans="103:104" x14ac:dyDescent="0.3">
      <c r="CY3892" s="34" t="s">
        <v>4819</v>
      </c>
      <c r="CZ3892" s="35">
        <v>1.3713372208000001E-2</v>
      </c>
    </row>
    <row r="3893" spans="103:104" x14ac:dyDescent="0.3">
      <c r="CY3893" s="34" t="s">
        <v>4820</v>
      </c>
      <c r="CZ3893" s="35">
        <v>7.2464321280000009E-3</v>
      </c>
    </row>
    <row r="3894" spans="103:104" x14ac:dyDescent="0.3">
      <c r="CY3894" s="34" t="s">
        <v>4821</v>
      </c>
      <c r="CZ3894" s="35">
        <v>3.6173180647999993E-2</v>
      </c>
    </row>
    <row r="3895" spans="103:104" x14ac:dyDescent="0.3">
      <c r="CY3895" s="34" t="s">
        <v>4822</v>
      </c>
      <c r="CZ3895" s="35">
        <v>4.5342998999999995E-2</v>
      </c>
    </row>
    <row r="3896" spans="103:104" x14ac:dyDescent="0.3">
      <c r="CY3896" s="34" t="s">
        <v>4823</v>
      </c>
      <c r="CZ3896" s="35">
        <v>3.1483545600000003E-3</v>
      </c>
    </row>
    <row r="3897" spans="103:104" x14ac:dyDescent="0.3">
      <c r="CY3897" s="34" t="s">
        <v>4824</v>
      </c>
      <c r="CZ3897" s="35">
        <v>3.4964701824000001E-2</v>
      </c>
    </row>
    <row r="3898" spans="103:104" x14ac:dyDescent="0.3">
      <c r="CY3898" s="34" t="s">
        <v>4825</v>
      </c>
      <c r="CZ3898" s="35">
        <v>4.6534383839999995E-3</v>
      </c>
    </row>
    <row r="3899" spans="103:104" x14ac:dyDescent="0.3">
      <c r="CY3899" s="34" t="s">
        <v>4826</v>
      </c>
      <c r="CZ3899" s="35">
        <v>0.15746775999999998</v>
      </c>
    </row>
    <row r="3900" spans="103:104" x14ac:dyDescent="0.3">
      <c r="CY3900" s="34" t="s">
        <v>4827</v>
      </c>
      <c r="CZ3900" s="35">
        <v>0.13691201324982052</v>
      </c>
    </row>
    <row r="3901" spans="103:104" x14ac:dyDescent="0.3">
      <c r="CY3901" s="34" t="s">
        <v>4828</v>
      </c>
      <c r="CZ3901" s="35">
        <v>0.16850703413332349</v>
      </c>
    </row>
    <row r="3902" spans="103:104" x14ac:dyDescent="0.3">
      <c r="CY3902" s="34" t="s">
        <v>4829</v>
      </c>
      <c r="CZ3902" s="35">
        <v>5.8750174079999998E-3</v>
      </c>
    </row>
    <row r="3903" spans="103:104" x14ac:dyDescent="0.3">
      <c r="CY3903" s="34" t="s">
        <v>4830</v>
      </c>
      <c r="CZ3903" s="35">
        <v>7.1603642239999998E-3</v>
      </c>
    </row>
    <row r="3904" spans="103:104" x14ac:dyDescent="0.3">
      <c r="CY3904" s="34" t="s">
        <v>4831</v>
      </c>
      <c r="CZ3904" s="35">
        <v>8.1827895856000001E-3</v>
      </c>
    </row>
    <row r="3905" spans="103:104" x14ac:dyDescent="0.3">
      <c r="CY3905" s="34" t="s">
        <v>4832</v>
      </c>
      <c r="CZ3905" s="35">
        <v>1.0829114815999999E-2</v>
      </c>
    </row>
    <row r="3906" spans="103:104" x14ac:dyDescent="0.3">
      <c r="CY3906" s="34" t="s">
        <v>4833</v>
      </c>
      <c r="CZ3906" s="35">
        <v>9.6952830000000007E-3</v>
      </c>
    </row>
    <row r="3907" spans="103:104" x14ac:dyDescent="0.3">
      <c r="CY3907" s="34" t="s">
        <v>4834</v>
      </c>
      <c r="CZ3907" s="35">
        <v>1.9991938719999998E-3</v>
      </c>
    </row>
    <row r="3908" spans="103:104" x14ac:dyDescent="0.3">
      <c r="CY3908" s="34" t="s">
        <v>4835</v>
      </c>
      <c r="CZ3908" s="35">
        <v>2.7339764503999997E-2</v>
      </c>
    </row>
    <row r="3909" spans="103:104" x14ac:dyDescent="0.3">
      <c r="CY3909" s="34" t="s">
        <v>4836</v>
      </c>
      <c r="CZ3909" s="35">
        <v>4.6151887999999996E-4</v>
      </c>
    </row>
    <row r="3910" spans="103:104" x14ac:dyDescent="0.3">
      <c r="CY3910" s="34" t="s">
        <v>4837</v>
      </c>
      <c r="CZ3910" s="35">
        <v>4.0781328E-4</v>
      </c>
    </row>
    <row r="3911" spans="103:104" x14ac:dyDescent="0.3">
      <c r="CY3911" s="34" t="s">
        <v>4838</v>
      </c>
      <c r="CZ3911" s="35">
        <v>2.4928933055833333E-3</v>
      </c>
    </row>
    <row r="3912" spans="103:104" x14ac:dyDescent="0.3">
      <c r="CY3912" s="34" t="s">
        <v>4839</v>
      </c>
      <c r="CZ3912" s="35">
        <v>4.6448864880000004E-4</v>
      </c>
    </row>
    <row r="3913" spans="103:104" x14ac:dyDescent="0.3">
      <c r="CY3913" s="34" t="s">
        <v>4840</v>
      </c>
      <c r="CZ3913" s="35">
        <v>6.337564048125E-4</v>
      </c>
    </row>
    <row r="3914" spans="103:104" x14ac:dyDescent="0.3">
      <c r="CY3914" s="34" t="s">
        <v>4841</v>
      </c>
      <c r="CZ3914" s="35">
        <v>7.2376289616000004E-3</v>
      </c>
    </row>
    <row r="3915" spans="103:104" x14ac:dyDescent="0.3">
      <c r="CY3915" s="34" t="s">
        <v>4842</v>
      </c>
      <c r="CZ3915" s="35">
        <v>7.0335087362500001E-3</v>
      </c>
    </row>
    <row r="3916" spans="103:104" x14ac:dyDescent="0.3">
      <c r="CY3916" s="34" t="s">
        <v>4843</v>
      </c>
      <c r="CZ3916" s="35">
        <v>8.6447039999999991E-4</v>
      </c>
    </row>
    <row r="3917" spans="103:104" x14ac:dyDescent="0.3">
      <c r="CY3917" s="34" t="s">
        <v>4844</v>
      </c>
      <c r="CZ3917" s="35">
        <v>4.4884329599999999E-4</v>
      </c>
    </row>
    <row r="3918" spans="103:104" x14ac:dyDescent="0.3">
      <c r="CY3918" s="34" t="s">
        <v>4845</v>
      </c>
      <c r="CZ3918" s="35">
        <v>1.8778807054E-2</v>
      </c>
    </row>
    <row r="3919" spans="103:104" x14ac:dyDescent="0.3">
      <c r="CY3919" s="34" t="s">
        <v>4846</v>
      </c>
      <c r="CZ3919" s="35">
        <v>7.2443733199999997E-3</v>
      </c>
    </row>
    <row r="3920" spans="103:104" x14ac:dyDescent="0.3">
      <c r="CY3920" s="34" t="s">
        <v>4847</v>
      </c>
      <c r="CZ3920" s="35">
        <v>0.14777827999999998</v>
      </c>
    </row>
    <row r="3921" spans="103:104" x14ac:dyDescent="0.3">
      <c r="CY3921" s="34" t="s">
        <v>4848</v>
      </c>
      <c r="CZ3921" s="35">
        <v>8.7810771776000007E-3</v>
      </c>
    </row>
    <row r="3922" spans="103:104" x14ac:dyDescent="0.3">
      <c r="CY3922" s="34" t="s">
        <v>4849</v>
      </c>
      <c r="CZ3922" s="35">
        <v>1.567117123263158E-3</v>
      </c>
    </row>
    <row r="3923" spans="103:104" x14ac:dyDescent="0.3">
      <c r="CY3923" s="34" t="s">
        <v>4850</v>
      </c>
      <c r="CZ3923" s="35">
        <v>9.8569586719999998E-3</v>
      </c>
    </row>
    <row r="3924" spans="103:104" x14ac:dyDescent="0.3">
      <c r="CY3924" s="34" t="s">
        <v>4851</v>
      </c>
      <c r="CZ3924" s="35">
        <v>1.3329117984000001E-2</v>
      </c>
    </row>
    <row r="3925" spans="103:104" x14ac:dyDescent="0.3">
      <c r="CY3925" s="34" t="s">
        <v>4852</v>
      </c>
      <c r="CZ3925" s="35">
        <v>1.3563065984E-2</v>
      </c>
    </row>
    <row r="3926" spans="103:104" x14ac:dyDescent="0.3">
      <c r="CY3926" s="34" t="s">
        <v>4853</v>
      </c>
      <c r="CZ3926" s="35">
        <v>2.2302912092500002E-2</v>
      </c>
    </row>
    <row r="3927" spans="103:104" x14ac:dyDescent="0.3">
      <c r="CY3927" s="34" t="s">
        <v>4854</v>
      </c>
      <c r="CZ3927" s="35">
        <v>1.2740184914999999E-2</v>
      </c>
    </row>
    <row r="3928" spans="103:104" x14ac:dyDescent="0.3">
      <c r="CY3928" s="34" t="s">
        <v>4855</v>
      </c>
      <c r="CZ3928" s="35">
        <v>8.7851336045499974E-3</v>
      </c>
    </row>
    <row r="3929" spans="103:104" x14ac:dyDescent="0.3">
      <c r="CY3929" s="34" t="s">
        <v>4856</v>
      </c>
      <c r="CZ3929" s="35">
        <v>3.2273668751999995E-2</v>
      </c>
    </row>
    <row r="3930" spans="103:104" x14ac:dyDescent="0.3">
      <c r="CY3930" s="34" t="s">
        <v>4857</v>
      </c>
      <c r="CZ3930" s="35">
        <v>3.3478277871999994E-2</v>
      </c>
    </row>
    <row r="3931" spans="103:104" x14ac:dyDescent="0.3">
      <c r="CY3931" s="34" t="s">
        <v>4858</v>
      </c>
      <c r="CZ3931" s="35">
        <v>1.4234651392000001E-2</v>
      </c>
    </row>
    <row r="3932" spans="103:104" x14ac:dyDescent="0.3">
      <c r="CY3932" s="34" t="s">
        <v>4859</v>
      </c>
      <c r="CZ3932" s="35">
        <v>2.8478715200000004E-2</v>
      </c>
    </row>
    <row r="3933" spans="103:104" x14ac:dyDescent="0.3">
      <c r="CY3933" s="34" t="s">
        <v>4860</v>
      </c>
      <c r="CZ3933" s="35">
        <v>1.6703897912000002E-2</v>
      </c>
    </row>
    <row r="3934" spans="103:104" x14ac:dyDescent="0.3">
      <c r="CY3934" s="34" t="s">
        <v>4861</v>
      </c>
      <c r="CZ3934" s="35">
        <v>2.9047701175999998E-2</v>
      </c>
    </row>
    <row r="3935" spans="103:104" x14ac:dyDescent="0.3">
      <c r="CY3935" s="34" t="s">
        <v>4862</v>
      </c>
      <c r="CZ3935" s="35">
        <v>2.5256678511999999E-2</v>
      </c>
    </row>
    <row r="3936" spans="103:104" x14ac:dyDescent="0.3">
      <c r="CY3936" s="34" t="s">
        <v>4863</v>
      </c>
      <c r="CZ3936" s="35">
        <v>3.2672196959999997E-2</v>
      </c>
    </row>
    <row r="3937" spans="103:104" x14ac:dyDescent="0.3">
      <c r="CY3937" s="34" t="s">
        <v>4864</v>
      </c>
      <c r="CZ3937" s="35">
        <v>5.8892276351999992E-2</v>
      </c>
    </row>
    <row r="3938" spans="103:104" x14ac:dyDescent="0.3">
      <c r="CY3938" s="34" t="s">
        <v>4865</v>
      </c>
      <c r="CZ3938" s="35">
        <v>1.4757617056E-2</v>
      </c>
    </row>
    <row r="3939" spans="103:104" x14ac:dyDescent="0.3">
      <c r="CY3939" s="34" t="s">
        <v>4866</v>
      </c>
      <c r="CZ3939" s="35">
        <v>4.9145708351999995E-2</v>
      </c>
    </row>
    <row r="3940" spans="103:104" x14ac:dyDescent="0.3">
      <c r="CY3940" s="34" t="s">
        <v>4867</v>
      </c>
      <c r="CZ3940" s="35">
        <v>1.6095458047857144E-3</v>
      </c>
    </row>
    <row r="3941" spans="103:104" x14ac:dyDescent="0.3">
      <c r="CY3941" s="34" t="s">
        <v>4868</v>
      </c>
      <c r="CZ3941" s="35">
        <v>7.4405198079999998E-3</v>
      </c>
    </row>
    <row r="3942" spans="103:104" x14ac:dyDescent="0.3">
      <c r="CY3942" s="34" t="s">
        <v>4869</v>
      </c>
      <c r="CZ3942" s="35">
        <v>1.568075364E-2</v>
      </c>
    </row>
    <row r="3943" spans="103:104" x14ac:dyDescent="0.3">
      <c r="CY3943" s="34" t="s">
        <v>4870</v>
      </c>
      <c r="CZ3943" s="35">
        <v>2.8114918928857143E-3</v>
      </c>
    </row>
    <row r="3944" spans="103:104" x14ac:dyDescent="0.3">
      <c r="CY3944" s="34" t="s">
        <v>4871</v>
      </c>
      <c r="CZ3944" s="35">
        <v>1.3369936863999999E-2</v>
      </c>
    </row>
    <row r="3945" spans="103:104" x14ac:dyDescent="0.3">
      <c r="CY3945" s="34" t="s">
        <v>4872</v>
      </c>
      <c r="CZ3945" s="35">
        <v>1.4073054822391302E-2</v>
      </c>
    </row>
    <row r="3946" spans="103:104" x14ac:dyDescent="0.3">
      <c r="CY3946" s="34" t="s">
        <v>4873</v>
      </c>
      <c r="CZ3946" s="35">
        <v>2.8567924319999995E-3</v>
      </c>
    </row>
    <row r="3947" spans="103:104" x14ac:dyDescent="0.3">
      <c r="CY3947" s="34" t="s">
        <v>4874</v>
      </c>
      <c r="CZ3947" s="35">
        <v>1.9452838079999999E-3</v>
      </c>
    </row>
    <row r="3948" spans="103:104" x14ac:dyDescent="0.3">
      <c r="CY3948" s="34" t="s">
        <v>4875</v>
      </c>
      <c r="CZ3948" s="35">
        <v>1.9452838079999999E-3</v>
      </c>
    </row>
    <row r="3949" spans="103:104" x14ac:dyDescent="0.3">
      <c r="CY3949" s="34" t="s">
        <v>4876</v>
      </c>
      <c r="CZ3949" s="35">
        <v>1.9452838079999999E-3</v>
      </c>
    </row>
    <row r="3950" spans="103:104" x14ac:dyDescent="0.3">
      <c r="CY3950" s="34" t="s">
        <v>4877</v>
      </c>
      <c r="CZ3950" s="35">
        <v>9.5295539247999994E-2</v>
      </c>
    </row>
    <row r="3951" spans="103:104" x14ac:dyDescent="0.3">
      <c r="CY3951" s="34" t="s">
        <v>4878</v>
      </c>
      <c r="CZ3951" s="35">
        <v>4.6565987520000001E-3</v>
      </c>
    </row>
    <row r="3952" spans="103:104" x14ac:dyDescent="0.3">
      <c r="CY3952" s="34" t="s">
        <v>4879</v>
      </c>
      <c r="CZ3952" s="35">
        <v>1.4095694880000001E-3</v>
      </c>
    </row>
    <row r="3953" spans="103:104" x14ac:dyDescent="0.3">
      <c r="CY3953" s="34" t="s">
        <v>4880</v>
      </c>
      <c r="CZ3953" s="35">
        <v>7.1753543680000004E-3</v>
      </c>
    </row>
    <row r="3954" spans="103:104" x14ac:dyDescent="0.3">
      <c r="CY3954" s="34" t="s">
        <v>4881</v>
      </c>
      <c r="CZ3954" s="35">
        <v>3.1864235520000003E-3</v>
      </c>
    </row>
    <row r="3955" spans="103:104" x14ac:dyDescent="0.3">
      <c r="CY3955" s="34" t="s">
        <v>4882</v>
      </c>
      <c r="CZ3955" s="35">
        <v>5.2032064240000002E-3</v>
      </c>
    </row>
    <row r="3956" spans="103:104" x14ac:dyDescent="0.3">
      <c r="CY3956" s="34" t="s">
        <v>4883</v>
      </c>
      <c r="CZ3956" s="35">
        <v>1.9135045956757142E-2</v>
      </c>
    </row>
    <row r="3957" spans="103:104" x14ac:dyDescent="0.3">
      <c r="CY3957" s="34" t="s">
        <v>4884</v>
      </c>
      <c r="CZ3957" s="35">
        <v>0.12357182016</v>
      </c>
    </row>
    <row r="3958" spans="103:104" x14ac:dyDescent="0.3">
      <c r="CY3958" s="34" t="s">
        <v>4885</v>
      </c>
      <c r="CZ3958" s="35">
        <v>0.18014201337600003</v>
      </c>
    </row>
    <row r="3959" spans="103:104" x14ac:dyDescent="0.3">
      <c r="CY3959" s="34" t="s">
        <v>4886</v>
      </c>
      <c r="CZ3959" s="35">
        <v>4.9648532959999998E-2</v>
      </c>
    </row>
    <row r="3960" spans="103:104" x14ac:dyDescent="0.3">
      <c r="CY3960" s="34" t="s">
        <v>4887</v>
      </c>
      <c r="CZ3960" s="35">
        <v>1.8271892557320004E-2</v>
      </c>
    </row>
    <row r="3961" spans="103:104" x14ac:dyDescent="0.3">
      <c r="CY3961" s="34" t="s">
        <v>4888</v>
      </c>
      <c r="CZ3961" s="35">
        <v>3.1051987199999997E-4</v>
      </c>
    </row>
    <row r="3962" spans="103:104" x14ac:dyDescent="0.3">
      <c r="CY3962" s="34" t="s">
        <v>4889</v>
      </c>
      <c r="CZ3962" s="35">
        <v>2.4450815999999995E-4</v>
      </c>
    </row>
    <row r="3963" spans="103:104" x14ac:dyDescent="0.3">
      <c r="CY3963" s="34" t="s">
        <v>4890</v>
      </c>
      <c r="CZ3963" s="35">
        <v>1.6971808464E-2</v>
      </c>
    </row>
    <row r="3964" spans="103:104" x14ac:dyDescent="0.3">
      <c r="CY3964" s="34" t="s">
        <v>4891</v>
      </c>
      <c r="CZ3964" s="35">
        <v>1.3311012000000001E-2</v>
      </c>
    </row>
    <row r="3965" spans="103:104" x14ac:dyDescent="0.3">
      <c r="CY3965" s="34" t="s">
        <v>4892</v>
      </c>
      <c r="CZ3965" s="35">
        <v>1.7837083264000003E-2</v>
      </c>
    </row>
    <row r="3966" spans="103:104" x14ac:dyDescent="0.3">
      <c r="CY3966" s="34" t="s">
        <v>4893</v>
      </c>
      <c r="CZ3966" s="35">
        <v>7.8480318176E-2</v>
      </c>
    </row>
    <row r="3967" spans="103:104" x14ac:dyDescent="0.3">
      <c r="CY3967" s="34" t="s">
        <v>4894</v>
      </c>
      <c r="CZ3967" s="35">
        <v>7.5189946415999992E-2</v>
      </c>
    </row>
    <row r="3968" spans="103:104" x14ac:dyDescent="0.3">
      <c r="CY3968" s="34" t="s">
        <v>4895</v>
      </c>
      <c r="CZ3968" s="35">
        <v>8.3115941584E-2</v>
      </c>
    </row>
    <row r="3969" spans="103:104" x14ac:dyDescent="0.3">
      <c r="CY3969" s="34" t="s">
        <v>4896</v>
      </c>
      <c r="CZ3969" s="35">
        <v>9.0887835167999989E-2</v>
      </c>
    </row>
    <row r="3970" spans="103:104" x14ac:dyDescent="0.3">
      <c r="CY3970" s="34" t="s">
        <v>4897</v>
      </c>
      <c r="CZ3970" s="35">
        <v>8.0514148207999986E-2</v>
      </c>
    </row>
    <row r="3971" spans="103:104" x14ac:dyDescent="0.3">
      <c r="CY3971" s="34" t="s">
        <v>4898</v>
      </c>
      <c r="CZ3971" s="35">
        <v>9.204161324799999E-2</v>
      </c>
    </row>
    <row r="3972" spans="103:104" x14ac:dyDescent="0.3">
      <c r="CY3972" s="34" t="s">
        <v>4899</v>
      </c>
      <c r="CZ3972" s="35">
        <v>2.0379616E-2</v>
      </c>
    </row>
    <row r="3973" spans="103:104" x14ac:dyDescent="0.3">
      <c r="CY3973" s="34" t="s">
        <v>4900</v>
      </c>
      <c r="CZ3973" s="35">
        <v>4.7540348571428569E-4</v>
      </c>
    </row>
    <row r="3974" spans="103:104" x14ac:dyDescent="0.3">
      <c r="CY3974" s="34" t="s">
        <v>4901</v>
      </c>
      <c r="CZ3974" s="35">
        <v>1.4103630800000001E-2</v>
      </c>
    </row>
    <row r="3975" spans="103:104" x14ac:dyDescent="0.3">
      <c r="CY3975" s="34" t="s">
        <v>4902</v>
      </c>
      <c r="CZ3975" s="35">
        <v>0.12982861996</v>
      </c>
    </row>
    <row r="3976" spans="103:104" x14ac:dyDescent="0.3">
      <c r="CY3976" s="34" t="s">
        <v>4903</v>
      </c>
      <c r="CZ3976" s="35">
        <v>0.132956696184</v>
      </c>
    </row>
    <row r="3977" spans="103:104" x14ac:dyDescent="0.3">
      <c r="CY3977" s="34" t="s">
        <v>4904</v>
      </c>
      <c r="CZ3977" s="35">
        <v>1.1217200000000002E-2</v>
      </c>
    </row>
    <row r="3978" spans="103:104" x14ac:dyDescent="0.3">
      <c r="CY3978" s="34" t="s">
        <v>4905</v>
      </c>
      <c r="CZ3978" s="35">
        <v>5.6361461660000001E-3</v>
      </c>
    </row>
    <row r="3979" spans="103:104" x14ac:dyDescent="0.3">
      <c r="CY3979" s="34" t="s">
        <v>4906</v>
      </c>
      <c r="CZ3979" s="35">
        <v>1.841104512E-3</v>
      </c>
    </row>
    <row r="3980" spans="103:104" x14ac:dyDescent="0.3">
      <c r="CY3980" s="34" t="s">
        <v>4907</v>
      </c>
      <c r="CZ3980" s="35">
        <v>2.2762694671000002E-2</v>
      </c>
    </row>
    <row r="3981" spans="103:104" x14ac:dyDescent="0.3">
      <c r="CY3981" s="34" t="s">
        <v>4908</v>
      </c>
      <c r="CZ3981" s="35">
        <v>1.0267481536E-2</v>
      </c>
    </row>
    <row r="3982" spans="103:104" x14ac:dyDescent="0.3">
      <c r="CY3982" s="34" t="s">
        <v>4909</v>
      </c>
      <c r="CZ3982" s="35">
        <v>6.2601595471999991E-2</v>
      </c>
    </row>
    <row r="3983" spans="103:104" x14ac:dyDescent="0.3">
      <c r="CY3983" s="34" t="s">
        <v>4910</v>
      </c>
      <c r="CZ3983" s="35">
        <v>5.9427489055999996E-2</v>
      </c>
    </row>
    <row r="3984" spans="103:104" x14ac:dyDescent="0.3">
      <c r="CY3984" s="34" t="s">
        <v>4911</v>
      </c>
      <c r="CZ3984" s="35">
        <v>0.13075406635999998</v>
      </c>
    </row>
    <row r="3985" spans="103:104" x14ac:dyDescent="0.3">
      <c r="CY3985" s="34" t="s">
        <v>4912</v>
      </c>
      <c r="CZ3985" s="35">
        <v>0.11642949999999999</v>
      </c>
    </row>
    <row r="3986" spans="103:104" x14ac:dyDescent="0.3">
      <c r="CY3986" s="34" t="s">
        <v>4913</v>
      </c>
      <c r="CZ3986" s="35">
        <v>1.4040705535999998E-2</v>
      </c>
    </row>
    <row r="3987" spans="103:104" x14ac:dyDescent="0.3">
      <c r="CY3987" s="34" t="s">
        <v>4914</v>
      </c>
      <c r="CZ3987" s="35">
        <v>1.2683601840000001E-2</v>
      </c>
    </row>
    <row r="3988" spans="103:104" x14ac:dyDescent="0.3">
      <c r="CY3988" s="34" t="s">
        <v>4915</v>
      </c>
      <c r="CZ3988" s="35">
        <v>1.5345339776E-2</v>
      </c>
    </row>
    <row r="3989" spans="103:104" x14ac:dyDescent="0.3">
      <c r="CY3989" s="34" t="s">
        <v>4916</v>
      </c>
      <c r="CZ3989" s="35">
        <v>7.6670385333333327E-2</v>
      </c>
    </row>
    <row r="3990" spans="103:104" x14ac:dyDescent="0.3">
      <c r="CY3990" s="34" t="s">
        <v>4917</v>
      </c>
      <c r="CZ3990" s="35">
        <v>9.9233811956989229E-2</v>
      </c>
    </row>
    <row r="3991" spans="103:104" x14ac:dyDescent="0.3">
      <c r="CY3991" s="34" t="s">
        <v>4918</v>
      </c>
      <c r="CZ3991" s="35">
        <v>0.14971350118400001</v>
      </c>
    </row>
    <row r="3992" spans="103:104" x14ac:dyDescent="0.3">
      <c r="CY3992" s="34" t="s">
        <v>4919</v>
      </c>
      <c r="CZ3992" s="35">
        <v>0.13968300590400001</v>
      </c>
    </row>
    <row r="3993" spans="103:104" x14ac:dyDescent="0.3">
      <c r="CY3993" s="34" t="s">
        <v>4920</v>
      </c>
      <c r="CZ3993" s="35">
        <v>0.13968300590399998</v>
      </c>
    </row>
    <row r="3994" spans="103:104" x14ac:dyDescent="0.3">
      <c r="CY3994" s="34" t="s">
        <v>4921</v>
      </c>
      <c r="CZ3994" s="35">
        <v>3.6774660000000003E-3</v>
      </c>
    </row>
    <row r="3995" spans="103:104" x14ac:dyDescent="0.3">
      <c r="CY3995" s="34" t="s">
        <v>4922</v>
      </c>
      <c r="CZ3995" s="35">
        <v>3.6774660000000003E-3</v>
      </c>
    </row>
    <row r="3996" spans="103:104" x14ac:dyDescent="0.3">
      <c r="CY3996" s="34" t="s">
        <v>4923</v>
      </c>
      <c r="CZ3996" s="35">
        <v>4.6412552159999995E-3</v>
      </c>
    </row>
    <row r="3997" spans="103:104" x14ac:dyDescent="0.3">
      <c r="CY3997" s="34" t="s">
        <v>4924</v>
      </c>
      <c r="CZ3997" s="35">
        <v>1.5204022079999999E-3</v>
      </c>
    </row>
    <row r="3998" spans="103:104" x14ac:dyDescent="0.3">
      <c r="CY3998" s="34" t="s">
        <v>4925</v>
      </c>
      <c r="CZ3998" s="35">
        <v>3.6136626239999998E-3</v>
      </c>
    </row>
    <row r="3999" spans="103:104" x14ac:dyDescent="0.3">
      <c r="CY3999" s="34" t="s">
        <v>4926</v>
      </c>
      <c r="CZ3999" s="35">
        <v>3.254509024E-3</v>
      </c>
    </row>
    <row r="4000" spans="103:104" x14ac:dyDescent="0.3">
      <c r="CY4000" s="34" t="s">
        <v>4927</v>
      </c>
      <c r="CZ4000" s="35">
        <v>1.0757614399999999E-3</v>
      </c>
    </row>
    <row r="4001" spans="103:104" x14ac:dyDescent="0.3">
      <c r="CY4001" s="34" t="s">
        <v>4928</v>
      </c>
      <c r="CZ4001" s="35">
        <v>3.9523736704000001E-2</v>
      </c>
    </row>
    <row r="4002" spans="103:104" x14ac:dyDescent="0.3">
      <c r="CY4002" s="34" t="s">
        <v>4929</v>
      </c>
      <c r="CZ4002" s="35">
        <v>8.5005604266000009E-3</v>
      </c>
    </row>
    <row r="4003" spans="103:104" x14ac:dyDescent="0.3">
      <c r="CY4003" s="34" t="s">
        <v>4930</v>
      </c>
      <c r="CZ4003" s="35">
        <v>1.8164872960000002E-2</v>
      </c>
    </row>
    <row r="4004" spans="103:104" x14ac:dyDescent="0.3">
      <c r="CY4004" s="34" t="s">
        <v>4931</v>
      </c>
      <c r="CZ4004" s="35">
        <v>2.5070100224000004E-2</v>
      </c>
    </row>
    <row r="4005" spans="103:104" x14ac:dyDescent="0.3">
      <c r="CY4005" s="34" t="s">
        <v>4932</v>
      </c>
      <c r="CZ4005" s="35">
        <v>4.3171007359999996E-3</v>
      </c>
    </row>
    <row r="4006" spans="103:104" x14ac:dyDescent="0.3">
      <c r="CY4006" s="34" t="s">
        <v>4933</v>
      </c>
      <c r="CZ4006" s="35">
        <v>9.69852E-4</v>
      </c>
    </row>
    <row r="4007" spans="103:104" x14ac:dyDescent="0.3">
      <c r="CY4007" s="34" t="s">
        <v>4934</v>
      </c>
      <c r="CZ4007" s="35">
        <v>3.9621840752000002E-2</v>
      </c>
    </row>
    <row r="4008" spans="103:104" x14ac:dyDescent="0.3">
      <c r="CY4008" s="34" t="s">
        <v>4935</v>
      </c>
      <c r="CZ4008" s="35">
        <v>2.5070100224000001E-2</v>
      </c>
    </row>
    <row r="4009" spans="103:104" x14ac:dyDescent="0.3">
      <c r="CY4009" s="34" t="s">
        <v>4936</v>
      </c>
      <c r="CZ4009" s="35">
        <v>1.6512421328000002E-2</v>
      </c>
    </row>
    <row r="4010" spans="103:104" x14ac:dyDescent="0.3">
      <c r="CY4010" s="34" t="s">
        <v>4937</v>
      </c>
      <c r="CZ4010" s="35">
        <v>3.3079799999999999E-4</v>
      </c>
    </row>
    <row r="4011" spans="103:104" x14ac:dyDescent="0.3">
      <c r="CY4011" s="34" t="s">
        <v>4938</v>
      </c>
      <c r="CZ4011" s="35">
        <v>4.8037974400000003E-4</v>
      </c>
    </row>
    <row r="4012" spans="103:104" x14ac:dyDescent="0.3">
      <c r="CY4012" s="34" t="s">
        <v>4939</v>
      </c>
      <c r="CZ4012" s="35">
        <v>4.8037974399999992E-4</v>
      </c>
    </row>
    <row r="4013" spans="103:104" x14ac:dyDescent="0.3">
      <c r="CY4013" s="34" t="s">
        <v>4940</v>
      </c>
      <c r="CZ4013" s="35">
        <v>1.426935016E-3</v>
      </c>
    </row>
    <row r="4014" spans="103:104" x14ac:dyDescent="0.3">
      <c r="CY4014" s="34" t="s">
        <v>4941</v>
      </c>
      <c r="CZ4014" s="35">
        <v>5.3979744000000004E-4</v>
      </c>
    </row>
    <row r="4015" spans="103:104" x14ac:dyDescent="0.3">
      <c r="CY4015" s="34" t="s">
        <v>4942</v>
      </c>
      <c r="CZ4015" s="35">
        <v>2.4544023920000002E-3</v>
      </c>
    </row>
    <row r="4016" spans="103:104" x14ac:dyDescent="0.3">
      <c r="CY4016" s="34" t="s">
        <v>4943</v>
      </c>
      <c r="CZ4016" s="35">
        <v>3.0591599999999994E-4</v>
      </c>
    </row>
    <row r="4017" spans="103:104" x14ac:dyDescent="0.3">
      <c r="CY4017" s="34" t="s">
        <v>4944</v>
      </c>
      <c r="CZ4017" s="35">
        <v>1.660828E-3</v>
      </c>
    </row>
    <row r="4018" spans="103:104" x14ac:dyDescent="0.3">
      <c r="CY4018" s="34" t="s">
        <v>4945</v>
      </c>
      <c r="CZ4018" s="35">
        <v>1.076322E-3</v>
      </c>
    </row>
    <row r="4019" spans="103:104" x14ac:dyDescent="0.3">
      <c r="CY4019" s="34" t="s">
        <v>4946</v>
      </c>
      <c r="CZ4019" s="35">
        <v>7.0948799999999998E-4</v>
      </c>
    </row>
    <row r="4020" spans="103:104" x14ac:dyDescent="0.3">
      <c r="CY4020" s="34" t="s">
        <v>4947</v>
      </c>
      <c r="CZ4020" s="35">
        <v>2.1871534880000001E-3</v>
      </c>
    </row>
    <row r="4021" spans="103:104" x14ac:dyDescent="0.3">
      <c r="CY4021" s="34" t="s">
        <v>4948</v>
      </c>
      <c r="CZ4021" s="35">
        <v>8.6912799999999994E-4</v>
      </c>
    </row>
    <row r="4022" spans="103:104" x14ac:dyDescent="0.3">
      <c r="CY4022" s="34" t="s">
        <v>4949</v>
      </c>
      <c r="CZ4022" s="35">
        <v>2.6302242720000002E-3</v>
      </c>
    </row>
    <row r="4023" spans="103:104" x14ac:dyDescent="0.3">
      <c r="CY4023" s="34" t="s">
        <v>4950</v>
      </c>
      <c r="CZ4023" s="35">
        <v>3.2260252559999998E-3</v>
      </c>
    </row>
    <row r="4024" spans="103:104" x14ac:dyDescent="0.3">
      <c r="CY4024" s="34" t="s">
        <v>4951</v>
      </c>
      <c r="CZ4024" s="35">
        <v>9.6999050799999997E-3</v>
      </c>
    </row>
    <row r="4025" spans="103:104" x14ac:dyDescent="0.3">
      <c r="CY4025" s="34" t="s">
        <v>4952</v>
      </c>
      <c r="CZ4025" s="35">
        <v>1.7935855440000003E-3</v>
      </c>
    </row>
    <row r="4026" spans="103:104" x14ac:dyDescent="0.3">
      <c r="CY4026" s="34" t="s">
        <v>4953</v>
      </c>
      <c r="CZ4026" s="35">
        <v>2.2531250526315787E-3</v>
      </c>
    </row>
    <row r="4027" spans="103:104" x14ac:dyDescent="0.3">
      <c r="CY4027" s="34" t="s">
        <v>4954</v>
      </c>
      <c r="CZ4027" s="35">
        <v>2.1039245759999999E-3</v>
      </c>
    </row>
    <row r="4028" spans="103:104" x14ac:dyDescent="0.3">
      <c r="CY4028" s="34" t="s">
        <v>4955</v>
      </c>
      <c r="CZ4028" s="35">
        <v>5.455193536000001E-3</v>
      </c>
    </row>
    <row r="4029" spans="103:104" x14ac:dyDescent="0.3">
      <c r="CY4029" s="34" t="s">
        <v>4956</v>
      </c>
      <c r="CZ4029" s="35">
        <v>1.0021263199999999E-3</v>
      </c>
    </row>
    <row r="4030" spans="103:104" x14ac:dyDescent="0.3">
      <c r="CY4030" s="34" t="s">
        <v>4957</v>
      </c>
      <c r="CZ4030" s="35">
        <v>2.1422245760000002E-3</v>
      </c>
    </row>
    <row r="4031" spans="103:104" x14ac:dyDescent="0.3">
      <c r="CY4031" s="34" t="s">
        <v>4958</v>
      </c>
      <c r="CZ4031" s="35">
        <v>2.3582259999999999E-4</v>
      </c>
    </row>
    <row r="4032" spans="103:104" x14ac:dyDescent="0.3">
      <c r="CY4032" s="34" t="s">
        <v>4959</v>
      </c>
      <c r="CZ4032" s="35">
        <v>1.1073508160000002E-2</v>
      </c>
    </row>
    <row r="4033" spans="103:104" x14ac:dyDescent="0.3">
      <c r="CY4033" s="34" t="s">
        <v>4960</v>
      </c>
      <c r="CZ4033" s="35">
        <v>1.6239584362758622E-3</v>
      </c>
    </row>
    <row r="4034" spans="103:104" x14ac:dyDescent="0.3">
      <c r="CY4034" s="34" t="s">
        <v>4961</v>
      </c>
      <c r="CZ4034" s="35">
        <v>2.0984571919999999E-3</v>
      </c>
    </row>
    <row r="4035" spans="103:104" x14ac:dyDescent="0.3">
      <c r="CY4035" s="34" t="s">
        <v>4962</v>
      </c>
      <c r="CZ4035" s="35">
        <v>9.9711295999999994E-4</v>
      </c>
    </row>
    <row r="4036" spans="103:104" x14ac:dyDescent="0.3">
      <c r="CY4036" s="34" t="s">
        <v>4963</v>
      </c>
      <c r="CZ4036" s="35">
        <v>2.9127764735930733E-3</v>
      </c>
    </row>
    <row r="4037" spans="103:104" x14ac:dyDescent="0.3">
      <c r="CY4037" s="34" t="s">
        <v>4964</v>
      </c>
      <c r="CZ4037" s="35">
        <v>3.1222748960000005E-2</v>
      </c>
    </row>
    <row r="4038" spans="103:104" x14ac:dyDescent="0.3">
      <c r="CY4038" s="34" t="s">
        <v>4965</v>
      </c>
      <c r="CZ4038" s="35">
        <v>1.121352336E-2</v>
      </c>
    </row>
    <row r="4039" spans="103:104" x14ac:dyDescent="0.3">
      <c r="CY4039" s="34" t="s">
        <v>4966</v>
      </c>
      <c r="CZ4039" s="35">
        <v>2.7349473632E-2</v>
      </c>
    </row>
    <row r="4040" spans="103:104" x14ac:dyDescent="0.3">
      <c r="CY4040" s="34" t="s">
        <v>4967</v>
      </c>
      <c r="CZ4040" s="35">
        <v>3.5733492559999996E-2</v>
      </c>
    </row>
    <row r="4041" spans="103:104" x14ac:dyDescent="0.3">
      <c r="CY4041" s="34" t="s">
        <v>4968</v>
      </c>
      <c r="CZ4041" s="35">
        <v>5.6501943680000001E-3</v>
      </c>
    </row>
    <row r="4042" spans="103:104" x14ac:dyDescent="0.3">
      <c r="CY4042" s="34" t="s">
        <v>4969</v>
      </c>
      <c r="CZ4042" s="35">
        <v>1.7087093925925924E-2</v>
      </c>
    </row>
    <row r="4043" spans="103:104" x14ac:dyDescent="0.3">
      <c r="CY4043" s="34" t="s">
        <v>4970</v>
      </c>
      <c r="CZ4043" s="35">
        <v>2.8941932624000001E-2</v>
      </c>
    </row>
    <row r="4044" spans="103:104" x14ac:dyDescent="0.3">
      <c r="CY4044" s="34" t="s">
        <v>4971</v>
      </c>
      <c r="CZ4044" s="35">
        <v>2.9048968832000002E-2</v>
      </c>
    </row>
    <row r="4045" spans="103:104" x14ac:dyDescent="0.3">
      <c r="CY4045" s="34" t="s">
        <v>4972</v>
      </c>
      <c r="CZ4045" s="35">
        <v>1.2378707328000001E-2</v>
      </c>
    </row>
    <row r="4046" spans="103:104" x14ac:dyDescent="0.3">
      <c r="CY4046" s="34" t="s">
        <v>4973</v>
      </c>
      <c r="CZ4046" s="35">
        <v>8.2205475040000014E-3</v>
      </c>
    </row>
    <row r="4047" spans="103:104" x14ac:dyDescent="0.3">
      <c r="CY4047" s="34" t="s">
        <v>4974</v>
      </c>
      <c r="CZ4047" s="35">
        <v>1.2378707328E-2</v>
      </c>
    </row>
    <row r="4048" spans="103:104" x14ac:dyDescent="0.3">
      <c r="CY4048" s="34" t="s">
        <v>4975</v>
      </c>
      <c r="CZ4048" s="35">
        <v>9.2053991999999996E-4</v>
      </c>
    </row>
    <row r="4049" spans="103:104" x14ac:dyDescent="0.3">
      <c r="CY4049" s="34" t="s">
        <v>4976</v>
      </c>
      <c r="CZ4049" s="35">
        <v>2.7228680959999998E-2</v>
      </c>
    </row>
    <row r="4050" spans="103:104" x14ac:dyDescent="0.3">
      <c r="CY4050" s="34" t="s">
        <v>4977</v>
      </c>
      <c r="CZ4050" s="35">
        <v>1.6971801599999998E-3</v>
      </c>
    </row>
    <row r="4051" spans="103:104" x14ac:dyDescent="0.3">
      <c r="CY4051" s="34" t="s">
        <v>4978</v>
      </c>
      <c r="CZ4051" s="35">
        <v>1.3055980096E-2</v>
      </c>
    </row>
    <row r="4052" spans="103:104" x14ac:dyDescent="0.3">
      <c r="CY4052" s="34" t="s">
        <v>4979</v>
      </c>
      <c r="CZ4052" s="35">
        <v>0.15155338754400002</v>
      </c>
    </row>
    <row r="4053" spans="103:104" x14ac:dyDescent="0.3">
      <c r="CY4053" s="34" t="s">
        <v>4980</v>
      </c>
      <c r="CZ4053" s="35">
        <v>0.43930807960000001</v>
      </c>
    </row>
    <row r="4054" spans="103:104" x14ac:dyDescent="0.3">
      <c r="CY4054" s="34" t="s">
        <v>4981</v>
      </c>
      <c r="CZ4054" s="35">
        <v>2.1794960720000001E-3</v>
      </c>
    </row>
    <row r="4055" spans="103:104" x14ac:dyDescent="0.3">
      <c r="CY4055" s="34" t="s">
        <v>4982</v>
      </c>
      <c r="CZ4055" s="35">
        <v>3.9400699999999997E-5</v>
      </c>
    </row>
    <row r="4056" spans="103:104" x14ac:dyDescent="0.3">
      <c r="CY4056" s="34" t="s">
        <v>4983</v>
      </c>
      <c r="CZ4056" s="35">
        <v>7.6825301279999994E-2</v>
      </c>
    </row>
    <row r="4057" spans="103:104" x14ac:dyDescent="0.3">
      <c r="CY4057" s="34" t="s">
        <v>4984</v>
      </c>
      <c r="CZ4057" s="35">
        <v>5.3447009927999993E-2</v>
      </c>
    </row>
    <row r="4058" spans="103:104" x14ac:dyDescent="0.3">
      <c r="CY4058" s="34" t="s">
        <v>4985</v>
      </c>
      <c r="CZ4058" s="35">
        <v>1.3639838576000003E-2</v>
      </c>
    </row>
    <row r="4059" spans="103:104" x14ac:dyDescent="0.3">
      <c r="CY4059" s="34" t="s">
        <v>4986</v>
      </c>
      <c r="CZ4059" s="35">
        <v>6.2601984119999995E-2</v>
      </c>
    </row>
    <row r="4060" spans="103:104" x14ac:dyDescent="0.3">
      <c r="CY4060" s="34" t="s">
        <v>4987</v>
      </c>
      <c r="CZ4060" s="35">
        <v>5.0947760135999998E-2</v>
      </c>
    </row>
    <row r="4061" spans="103:104" x14ac:dyDescent="0.3">
      <c r="CY4061" s="34" t="s">
        <v>4988</v>
      </c>
      <c r="CZ4061" s="35">
        <v>1.2952003840000002E-3</v>
      </c>
    </row>
    <row r="4062" spans="103:104" x14ac:dyDescent="0.3">
      <c r="CY4062" s="34" t="s">
        <v>4989</v>
      </c>
      <c r="CZ4062" s="35">
        <v>1.5603124160000001E-2</v>
      </c>
    </row>
    <row r="4063" spans="103:104" x14ac:dyDescent="0.3">
      <c r="CY4063" s="34" t="s">
        <v>4990</v>
      </c>
      <c r="CZ4063" s="35">
        <v>4.6422058487999997E-2</v>
      </c>
    </row>
    <row r="4064" spans="103:104" x14ac:dyDescent="0.3">
      <c r="CY4064" s="34" t="s">
        <v>4991</v>
      </c>
      <c r="CZ4064" s="35">
        <v>9.8847850720000019E-2</v>
      </c>
    </row>
    <row r="4065" spans="103:104" x14ac:dyDescent="0.3">
      <c r="CY4065" s="34" t="s">
        <v>4992</v>
      </c>
      <c r="CZ4065" s="35">
        <v>0.1486573296</v>
      </c>
    </row>
    <row r="4066" spans="103:104" x14ac:dyDescent="0.3">
      <c r="CY4066" s="34" t="s">
        <v>4993</v>
      </c>
      <c r="CZ4066" s="35">
        <v>4.6868761599999998E-3</v>
      </c>
    </row>
    <row r="4067" spans="103:104" x14ac:dyDescent="0.3">
      <c r="CY4067" s="34" t="s">
        <v>4994</v>
      </c>
      <c r="CZ4067" s="35">
        <v>4.2268761599999994E-3</v>
      </c>
    </row>
    <row r="4068" spans="103:104" x14ac:dyDescent="0.3">
      <c r="CY4068" s="34" t="s">
        <v>4995</v>
      </c>
      <c r="CZ4068" s="35">
        <v>9.4938288700000002E-3</v>
      </c>
    </row>
    <row r="4069" spans="103:104" x14ac:dyDescent="0.3">
      <c r="CY4069" s="34" t="s">
        <v>4996</v>
      </c>
      <c r="CZ4069" s="35">
        <v>1.0706274591999999E-2</v>
      </c>
    </row>
    <row r="4070" spans="103:104" x14ac:dyDescent="0.3">
      <c r="CY4070" s="34" t="s">
        <v>4997</v>
      </c>
      <c r="CZ4070" s="35">
        <v>1.1748786816000001E-2</v>
      </c>
    </row>
    <row r="4071" spans="103:104" x14ac:dyDescent="0.3">
      <c r="CY4071" s="34" t="s">
        <v>4998</v>
      </c>
      <c r="CZ4071" s="35">
        <v>1.3128054368E-2</v>
      </c>
    </row>
    <row r="4072" spans="103:104" x14ac:dyDescent="0.3">
      <c r="CY4072" s="34" t="s">
        <v>4999</v>
      </c>
      <c r="CZ4072" s="35">
        <v>1.3086262E-2</v>
      </c>
    </row>
    <row r="4073" spans="103:104" x14ac:dyDescent="0.3">
      <c r="CY4073" s="34" t="s">
        <v>5000</v>
      </c>
      <c r="CZ4073" s="35">
        <v>1.4314709333333335E-2</v>
      </c>
    </row>
    <row r="4074" spans="103:104" x14ac:dyDescent="0.3">
      <c r="CY4074" s="34" t="s">
        <v>5001</v>
      </c>
      <c r="CZ4074" s="35">
        <v>1.621312518181818E-2</v>
      </c>
    </row>
    <row r="4075" spans="103:104" x14ac:dyDescent="0.3">
      <c r="CY4075" s="34" t="s">
        <v>5002</v>
      </c>
      <c r="CZ4075" s="35">
        <v>1.9589173333333335E-2</v>
      </c>
    </row>
    <row r="4076" spans="103:104" x14ac:dyDescent="0.3">
      <c r="CY4076" s="34" t="s">
        <v>5003</v>
      </c>
      <c r="CZ4076" s="35">
        <v>6.8584960000000004E-3</v>
      </c>
    </row>
    <row r="4077" spans="103:104" x14ac:dyDescent="0.3">
      <c r="CY4077" s="34" t="s">
        <v>5004</v>
      </c>
      <c r="CZ4077" s="35">
        <v>6.398496E-3</v>
      </c>
    </row>
    <row r="4078" spans="103:104" x14ac:dyDescent="0.3">
      <c r="CY4078" s="34" t="s">
        <v>5005</v>
      </c>
      <c r="CZ4078" s="35">
        <v>1.3361098816E-2</v>
      </c>
    </row>
    <row r="4079" spans="103:104" x14ac:dyDescent="0.3">
      <c r="CY4079" s="34" t="s">
        <v>5006</v>
      </c>
      <c r="CZ4079" s="35">
        <v>1.035121152E-3</v>
      </c>
    </row>
    <row r="4080" spans="103:104" x14ac:dyDescent="0.3">
      <c r="CY4080" s="34" t="s">
        <v>5007</v>
      </c>
      <c r="CZ4080" s="35">
        <v>2.2128145454545457E-3</v>
      </c>
    </row>
    <row r="4081" spans="103:104" x14ac:dyDescent="0.3">
      <c r="CY4081" s="34" t="s">
        <v>5008</v>
      </c>
      <c r="CZ4081" s="35">
        <v>1.4362479039999999E-3</v>
      </c>
    </row>
    <row r="4082" spans="103:104" x14ac:dyDescent="0.3">
      <c r="CY4082" s="34" t="s">
        <v>5009</v>
      </c>
      <c r="CZ4082" s="35">
        <v>1.6413658560000002E-2</v>
      </c>
    </row>
    <row r="4083" spans="103:104" x14ac:dyDescent="0.3">
      <c r="CY4083" s="34" t="s">
        <v>5010</v>
      </c>
      <c r="CZ4083" s="35">
        <v>1.035121152E-3</v>
      </c>
    </row>
    <row r="4084" spans="103:104" x14ac:dyDescent="0.3">
      <c r="CY4084" s="34" t="s">
        <v>5011</v>
      </c>
      <c r="CZ4084" s="35">
        <v>1.388508992E-3</v>
      </c>
    </row>
    <row r="4085" spans="103:104" x14ac:dyDescent="0.3">
      <c r="CY4085" s="34" t="s">
        <v>5012</v>
      </c>
      <c r="CZ4085" s="35">
        <v>1.6343067519999999E-3</v>
      </c>
    </row>
    <row r="4086" spans="103:104" x14ac:dyDescent="0.3">
      <c r="CY4086" s="34" t="s">
        <v>5013</v>
      </c>
      <c r="CZ4086" s="35">
        <v>1.798238E-3</v>
      </c>
    </row>
    <row r="4087" spans="103:104" x14ac:dyDescent="0.3">
      <c r="CY4087" s="34" t="s">
        <v>5014</v>
      </c>
      <c r="CZ4087" s="35">
        <v>2.2514681279999999E-3</v>
      </c>
    </row>
    <row r="4088" spans="103:104" x14ac:dyDescent="0.3">
      <c r="CY4088" s="34" t="s">
        <v>5015</v>
      </c>
      <c r="CZ4088" s="35">
        <v>2.4762999040000002E-3</v>
      </c>
    </row>
    <row r="4089" spans="103:104" x14ac:dyDescent="0.3">
      <c r="CY4089" s="34" t="s">
        <v>5016</v>
      </c>
      <c r="CZ4089" s="35">
        <v>2.8999002240000004E-3</v>
      </c>
    </row>
    <row r="4090" spans="103:104" x14ac:dyDescent="0.3">
      <c r="CY4090" s="34" t="s">
        <v>5017</v>
      </c>
      <c r="CZ4090" s="35">
        <v>9.5553011839999997E-3</v>
      </c>
    </row>
    <row r="4091" spans="103:104" x14ac:dyDescent="0.3">
      <c r="CY4091" s="34" t="s">
        <v>5018</v>
      </c>
      <c r="CZ4091" s="35">
        <v>1.3090012000000002E-2</v>
      </c>
    </row>
    <row r="4092" spans="103:104" x14ac:dyDescent="0.3">
      <c r="CY4092" s="34" t="s">
        <v>5019</v>
      </c>
      <c r="CZ4092" s="35">
        <v>5.7608004480000008E-3</v>
      </c>
    </row>
    <row r="4093" spans="103:104" x14ac:dyDescent="0.3">
      <c r="CY4093" s="34" t="s">
        <v>5020</v>
      </c>
      <c r="CZ4093" s="35">
        <v>1.2778356447999999E-2</v>
      </c>
    </row>
    <row r="4094" spans="103:104" x14ac:dyDescent="0.3">
      <c r="CY4094" s="34" t="s">
        <v>5021</v>
      </c>
      <c r="CZ4094" s="35">
        <v>1.3532780352000002E-2</v>
      </c>
    </row>
    <row r="4095" spans="103:104" x14ac:dyDescent="0.3">
      <c r="CY4095" s="34" t="s">
        <v>5022</v>
      </c>
      <c r="CZ4095" s="35">
        <v>1.6552836352E-2</v>
      </c>
    </row>
    <row r="4096" spans="103:104" x14ac:dyDescent="0.3">
      <c r="CY4096" s="34" t="s">
        <v>5023</v>
      </c>
      <c r="CZ4096" s="35">
        <v>1.9152198832000002E-2</v>
      </c>
    </row>
    <row r="4097" spans="103:104" x14ac:dyDescent="0.3">
      <c r="CY4097" s="34" t="s">
        <v>5024</v>
      </c>
      <c r="CZ4097" s="35">
        <v>2.0479757792000002E-2</v>
      </c>
    </row>
    <row r="4098" spans="103:104" x14ac:dyDescent="0.3">
      <c r="CY4098" s="34" t="s">
        <v>5025</v>
      </c>
      <c r="CZ4098" s="35">
        <v>2.0004192000000004E-2</v>
      </c>
    </row>
    <row r="4099" spans="103:104" x14ac:dyDescent="0.3">
      <c r="CY4099" s="34" t="s">
        <v>5026</v>
      </c>
      <c r="CZ4099" s="35">
        <v>8.6344933167999988E-2</v>
      </c>
    </row>
    <row r="4100" spans="103:104" x14ac:dyDescent="0.3">
      <c r="CY4100" s="34" t="s">
        <v>5027</v>
      </c>
      <c r="CZ4100" s="35">
        <v>1.6539634176000004E-2</v>
      </c>
    </row>
    <row r="4101" spans="103:104" x14ac:dyDescent="0.3">
      <c r="CY4101" s="34" t="s">
        <v>5028</v>
      </c>
      <c r="CZ4101" s="35">
        <v>2.1721093471999998E-2</v>
      </c>
    </row>
    <row r="4102" spans="103:104" x14ac:dyDescent="0.3">
      <c r="CY4102" s="34" t="s">
        <v>5029</v>
      </c>
      <c r="CZ4102" s="35">
        <v>2.7543040000000001E-2</v>
      </c>
    </row>
    <row r="4103" spans="103:104" x14ac:dyDescent="0.3">
      <c r="CY4103" s="34" t="s">
        <v>5030</v>
      </c>
      <c r="CZ4103" s="35">
        <v>2.7543040000000001E-2</v>
      </c>
    </row>
    <row r="4104" spans="103:104" x14ac:dyDescent="0.3">
      <c r="CY4104" s="34" t="s">
        <v>5031</v>
      </c>
      <c r="CZ4104" s="35">
        <v>3.5784958463999997E-2</v>
      </c>
    </row>
    <row r="4105" spans="103:104" x14ac:dyDescent="0.3">
      <c r="CY4105" s="34" t="s">
        <v>5032</v>
      </c>
      <c r="CZ4105" s="35">
        <v>3.5784958463999997E-2</v>
      </c>
    </row>
    <row r="4106" spans="103:104" x14ac:dyDescent="0.3">
      <c r="CY4106" s="34" t="s">
        <v>5033</v>
      </c>
      <c r="CZ4106" s="35">
        <v>3.5784958463999997E-2</v>
      </c>
    </row>
    <row r="4107" spans="103:104" x14ac:dyDescent="0.3">
      <c r="CY4107" s="34" t="s">
        <v>5034</v>
      </c>
      <c r="CZ4107" s="35">
        <v>3.5784958463999997E-2</v>
      </c>
    </row>
    <row r="4108" spans="103:104" x14ac:dyDescent="0.3">
      <c r="CY4108" s="34" t="s">
        <v>5035</v>
      </c>
      <c r="CZ4108" s="35">
        <v>3.8710437696000008E-2</v>
      </c>
    </row>
    <row r="4109" spans="103:104" x14ac:dyDescent="0.3">
      <c r="CY4109" s="34" t="s">
        <v>5036</v>
      </c>
      <c r="CZ4109" s="35">
        <v>3.8710437696000008E-2</v>
      </c>
    </row>
    <row r="4110" spans="103:104" x14ac:dyDescent="0.3">
      <c r="CY4110" s="34" t="s">
        <v>5037</v>
      </c>
      <c r="CZ4110" s="35">
        <v>4.0323372600000004E-2</v>
      </c>
    </row>
    <row r="4111" spans="103:104" x14ac:dyDescent="0.3">
      <c r="CY4111" s="34" t="s">
        <v>5038</v>
      </c>
      <c r="CZ4111" s="35">
        <v>4.72078508487805E-2</v>
      </c>
    </row>
    <row r="4112" spans="103:104" x14ac:dyDescent="0.3">
      <c r="CY4112" s="34" t="s">
        <v>5039</v>
      </c>
      <c r="CZ4112" s="35">
        <v>3.5204119920000006E-2</v>
      </c>
    </row>
    <row r="4113" spans="103:104" x14ac:dyDescent="0.3">
      <c r="CY4113" s="34" t="s">
        <v>5040</v>
      </c>
      <c r="CZ4113" s="35">
        <v>3.4628873322666676E-2</v>
      </c>
    </row>
    <row r="4114" spans="103:104" x14ac:dyDescent="0.3">
      <c r="CY4114" s="34" t="s">
        <v>5041</v>
      </c>
      <c r="CZ4114" s="35">
        <v>4.0464505655172414E-2</v>
      </c>
    </row>
    <row r="4115" spans="103:104" x14ac:dyDescent="0.3">
      <c r="CY4115" s="34" t="s">
        <v>5042</v>
      </c>
      <c r="CZ4115" s="35">
        <v>3.5204119919999999E-2</v>
      </c>
    </row>
    <row r="4116" spans="103:104" x14ac:dyDescent="0.3">
      <c r="CY4116" s="34" t="s">
        <v>5043</v>
      </c>
      <c r="CZ4116" s="35">
        <v>3.7435923936000003E-2</v>
      </c>
    </row>
    <row r="4117" spans="103:104" x14ac:dyDescent="0.3">
      <c r="CY4117" s="34" t="s">
        <v>5044</v>
      </c>
      <c r="CZ4117" s="35">
        <v>4.0183199999999995E-2</v>
      </c>
    </row>
    <row r="4118" spans="103:104" x14ac:dyDescent="0.3">
      <c r="CY4118" s="34" t="s">
        <v>5045</v>
      </c>
      <c r="CZ4118" s="35">
        <v>3.7435923936000003E-2</v>
      </c>
    </row>
    <row r="4119" spans="103:104" x14ac:dyDescent="0.3">
      <c r="CY4119" s="34" t="s">
        <v>5046</v>
      </c>
      <c r="CZ4119" s="35">
        <v>3.8579538095999996E-2</v>
      </c>
    </row>
    <row r="4120" spans="103:104" x14ac:dyDescent="0.3">
      <c r="CY4120" s="34" t="s">
        <v>5047</v>
      </c>
      <c r="CZ4120" s="35">
        <v>3.8467200000000007E-2</v>
      </c>
    </row>
    <row r="4121" spans="103:104" x14ac:dyDescent="0.3">
      <c r="CY4121" s="34" t="s">
        <v>5048</v>
      </c>
      <c r="CZ4121" s="35">
        <v>3.6451610396666671E-3</v>
      </c>
    </row>
    <row r="4122" spans="103:104" x14ac:dyDescent="0.3">
      <c r="CY4122" s="34" t="s">
        <v>5049</v>
      </c>
      <c r="CZ4122" s="35">
        <v>1.388508992E-3</v>
      </c>
    </row>
    <row r="4123" spans="103:104" x14ac:dyDescent="0.3">
      <c r="CY4123" s="34" t="s">
        <v>5050</v>
      </c>
      <c r="CZ4123" s="35">
        <v>1.4468704E-3</v>
      </c>
    </row>
    <row r="4124" spans="103:104" x14ac:dyDescent="0.3">
      <c r="CY4124" s="34" t="s">
        <v>5051</v>
      </c>
      <c r="CZ4124" s="35">
        <v>2.8210546207999999E-2</v>
      </c>
    </row>
    <row r="4125" spans="103:104" x14ac:dyDescent="0.3">
      <c r="CY4125" s="34" t="s">
        <v>5052</v>
      </c>
      <c r="CZ4125" s="35">
        <v>5.2860807167999999E-2</v>
      </c>
    </row>
    <row r="4126" spans="103:104" x14ac:dyDescent="0.3">
      <c r="CY4126" s="34" t="s">
        <v>5053</v>
      </c>
      <c r="CZ4126" s="35">
        <v>3.5673768320000003E-3</v>
      </c>
    </row>
    <row r="4127" spans="103:104" x14ac:dyDescent="0.3">
      <c r="CY4127" s="34" t="s">
        <v>5054</v>
      </c>
      <c r="CZ4127" s="35">
        <v>2.1648097818181816E-2</v>
      </c>
    </row>
    <row r="4128" spans="103:104" x14ac:dyDescent="0.3">
      <c r="CY4128" s="34" t="s">
        <v>5055</v>
      </c>
      <c r="CZ4128" s="35">
        <v>6.1694742720000001E-3</v>
      </c>
    </row>
    <row r="4129" spans="103:104" x14ac:dyDescent="0.3">
      <c r="CY4129" s="34" t="s">
        <v>5056</v>
      </c>
      <c r="CZ4129" s="35">
        <v>3.1195639112E-2</v>
      </c>
    </row>
    <row r="4130" spans="103:104" x14ac:dyDescent="0.3">
      <c r="CY4130" s="34" t="s">
        <v>5057</v>
      </c>
      <c r="CZ4130" s="35">
        <v>8.5209564751999992E-2</v>
      </c>
    </row>
    <row r="4131" spans="103:104" x14ac:dyDescent="0.3">
      <c r="CY4131" s="34" t="s">
        <v>5058</v>
      </c>
      <c r="CZ4131" s="35">
        <v>6.5380795584000007</v>
      </c>
    </row>
    <row r="4132" spans="103:104" x14ac:dyDescent="0.3">
      <c r="CY4132" s="34" t="s">
        <v>5059</v>
      </c>
      <c r="CZ4132" s="35">
        <v>4.3376380319999994E-3</v>
      </c>
    </row>
    <row r="4133" spans="103:104" x14ac:dyDescent="0.3">
      <c r="CY4133" s="34" t="s">
        <v>5060</v>
      </c>
      <c r="CZ4133" s="35">
        <v>1.2103165359999999E-3</v>
      </c>
    </row>
    <row r="4134" spans="103:104" x14ac:dyDescent="0.3">
      <c r="CY4134" s="34" t="s">
        <v>5061</v>
      </c>
      <c r="CZ4134" s="35">
        <v>8.4038596720000004E-3</v>
      </c>
    </row>
    <row r="4135" spans="103:104" x14ac:dyDescent="0.3">
      <c r="CY4135" s="34" t="s">
        <v>5062</v>
      </c>
      <c r="CZ4135" s="35">
        <v>8.7467672239999999E-3</v>
      </c>
    </row>
    <row r="4136" spans="103:104" x14ac:dyDescent="0.3">
      <c r="CY4136" s="34" t="s">
        <v>5063</v>
      </c>
      <c r="CZ4136" s="35">
        <v>2.7136767839999998E-3</v>
      </c>
    </row>
    <row r="4137" spans="103:104" x14ac:dyDescent="0.3">
      <c r="CY4137" s="34" t="s">
        <v>5064</v>
      </c>
      <c r="CZ4137" s="35">
        <v>1.2078809599999999E-4</v>
      </c>
    </row>
    <row r="4138" spans="103:104" x14ac:dyDescent="0.3">
      <c r="CY4138" s="34" t="s">
        <v>5065</v>
      </c>
      <c r="CZ4138" s="35">
        <v>2.1345210640000001E-3</v>
      </c>
    </row>
    <row r="4139" spans="103:104" x14ac:dyDescent="0.3">
      <c r="CY4139" s="34" t="s">
        <v>5066</v>
      </c>
      <c r="CZ4139" s="35">
        <v>7.4616819020000003E-3</v>
      </c>
    </row>
    <row r="4140" spans="103:104" x14ac:dyDescent="0.3">
      <c r="CY4140" s="34" t="s">
        <v>5067</v>
      </c>
      <c r="CZ4140" s="35">
        <v>3.5002420727999993E-2</v>
      </c>
    </row>
    <row r="4141" spans="103:104" x14ac:dyDescent="0.3">
      <c r="CY4141" s="34" t="s">
        <v>5068</v>
      </c>
      <c r="CZ4141" s="35">
        <v>3.3040268351999996E-2</v>
      </c>
    </row>
    <row r="4142" spans="103:104" x14ac:dyDescent="0.3">
      <c r="CY4142" s="34" t="s">
        <v>5069</v>
      </c>
      <c r="CZ4142" s="35">
        <v>1.6374658560000002E-2</v>
      </c>
    </row>
    <row r="4143" spans="103:104" x14ac:dyDescent="0.3">
      <c r="CY4143" s="34" t="s">
        <v>5070</v>
      </c>
      <c r="CZ4143" s="35">
        <v>2.2130003168000002E-2</v>
      </c>
    </row>
    <row r="4144" spans="103:104" x14ac:dyDescent="0.3">
      <c r="CY4144" s="34" t="s">
        <v>5071</v>
      </c>
      <c r="CZ4144" s="35">
        <v>7.6988308799999993E-4</v>
      </c>
    </row>
    <row r="4145" spans="103:104" x14ac:dyDescent="0.3">
      <c r="CY4145" s="34" t="s">
        <v>5072</v>
      </c>
      <c r="CZ4145" s="35">
        <v>0.34047305364800001</v>
      </c>
    </row>
    <row r="4146" spans="103:104" x14ac:dyDescent="0.3">
      <c r="CY4146" s="34" t="s">
        <v>5073</v>
      </c>
      <c r="CZ4146" s="35">
        <v>1.9389520072E-2</v>
      </c>
    </row>
    <row r="4147" spans="103:104" x14ac:dyDescent="0.3">
      <c r="CY4147" s="34" t="s">
        <v>5074</v>
      </c>
      <c r="CZ4147" s="35">
        <v>1.4709105216000001E-2</v>
      </c>
    </row>
    <row r="4148" spans="103:104" x14ac:dyDescent="0.3">
      <c r="CY4148" s="34" t="s">
        <v>5075</v>
      </c>
      <c r="CZ4148" s="35">
        <v>6.8361394919999999E-2</v>
      </c>
    </row>
    <row r="4149" spans="103:104" x14ac:dyDescent="0.3">
      <c r="CY4149" s="34" t="s">
        <v>5076</v>
      </c>
      <c r="CZ4149" s="35">
        <v>6.8361394919999999E-2</v>
      </c>
    </row>
    <row r="4150" spans="103:104" x14ac:dyDescent="0.3">
      <c r="CY4150" s="34" t="s">
        <v>5077</v>
      </c>
      <c r="CZ4150" s="35">
        <v>2.5658461919999997E-2</v>
      </c>
    </row>
    <row r="4151" spans="103:104" x14ac:dyDescent="0.3">
      <c r="CY4151" s="34" t="s">
        <v>5078</v>
      </c>
      <c r="CZ4151" s="35">
        <v>2.5853624040000005E-3</v>
      </c>
    </row>
    <row r="4152" spans="103:104" x14ac:dyDescent="0.3">
      <c r="CY4152" s="34" t="s">
        <v>5079</v>
      </c>
      <c r="CZ4152" s="35">
        <v>5.7726400000000008E-3</v>
      </c>
    </row>
    <row r="4153" spans="103:104" x14ac:dyDescent="0.3">
      <c r="CY4153" s="34" t="s">
        <v>5080</v>
      </c>
      <c r="CZ4153" s="35">
        <v>3.8364391836734707E-2</v>
      </c>
    </row>
    <row r="4154" spans="103:104" x14ac:dyDescent="0.3">
      <c r="CY4154" s="34" t="s">
        <v>5081</v>
      </c>
      <c r="CZ4154" s="35">
        <v>1.5639062295999998E-2</v>
      </c>
    </row>
    <row r="4155" spans="103:104" x14ac:dyDescent="0.3">
      <c r="CY4155" s="34" t="s">
        <v>5082</v>
      </c>
      <c r="CZ4155" s="35">
        <v>0.107037743728</v>
      </c>
    </row>
    <row r="4156" spans="103:104" x14ac:dyDescent="0.3">
      <c r="CY4156" s="34" t="s">
        <v>5083</v>
      </c>
      <c r="CZ4156" s="35">
        <v>7.4989917869999999E-3</v>
      </c>
    </row>
    <row r="4157" spans="103:104" x14ac:dyDescent="0.3">
      <c r="CY4157" s="34" t="s">
        <v>5084</v>
      </c>
      <c r="CZ4157" s="35">
        <v>1.035121152E-3</v>
      </c>
    </row>
    <row r="4158" spans="103:104" x14ac:dyDescent="0.3">
      <c r="CY4158" s="34" t="s">
        <v>5085</v>
      </c>
      <c r="CZ4158" s="35">
        <v>2.248008256E-3</v>
      </c>
    </row>
    <row r="4159" spans="103:104" x14ac:dyDescent="0.3">
      <c r="CY4159" s="34" t="s">
        <v>5086</v>
      </c>
      <c r="CZ4159" s="35">
        <v>3.2459604943999999E-2</v>
      </c>
    </row>
    <row r="4160" spans="103:104" x14ac:dyDescent="0.3">
      <c r="CY4160" s="34" t="s">
        <v>5087</v>
      </c>
      <c r="CZ4160" s="35">
        <v>1.1956381226600001E-2</v>
      </c>
    </row>
    <row r="4161" spans="103:104" x14ac:dyDescent="0.3">
      <c r="CY4161" s="34" t="s">
        <v>5088</v>
      </c>
      <c r="CZ4161" s="35">
        <v>1.056439904E-2</v>
      </c>
    </row>
    <row r="4162" spans="103:104" x14ac:dyDescent="0.3">
      <c r="CY4162" s="34" t="s">
        <v>5089</v>
      </c>
      <c r="CZ4162" s="35">
        <v>1.9411575039999999E-3</v>
      </c>
    </row>
    <row r="4163" spans="103:104" x14ac:dyDescent="0.3">
      <c r="CY4163" s="34" t="s">
        <v>5090</v>
      </c>
      <c r="CZ4163" s="35">
        <v>9.1028080000000004E-3</v>
      </c>
    </row>
    <row r="4164" spans="103:104" x14ac:dyDescent="0.3">
      <c r="CY4164" s="34" t="s">
        <v>5091</v>
      </c>
      <c r="CZ4164" s="35">
        <v>9.0846329599999999E-4</v>
      </c>
    </row>
    <row r="4165" spans="103:104" x14ac:dyDescent="0.3">
      <c r="CY4165" s="34" t="s">
        <v>5092</v>
      </c>
      <c r="CZ4165" s="35">
        <v>9.8713388799999999E-4</v>
      </c>
    </row>
    <row r="4166" spans="103:104" x14ac:dyDescent="0.3">
      <c r="CY4166" s="34" t="s">
        <v>5093</v>
      </c>
      <c r="CZ4166" s="35">
        <v>1.5547977952000001E-2</v>
      </c>
    </row>
    <row r="4167" spans="103:104" x14ac:dyDescent="0.3">
      <c r="CY4167" s="34" t="s">
        <v>5094</v>
      </c>
      <c r="CZ4167" s="35">
        <v>1.3922463359999999E-3</v>
      </c>
    </row>
    <row r="4168" spans="103:104" x14ac:dyDescent="0.3">
      <c r="CY4168" s="34" t="s">
        <v>5095</v>
      </c>
      <c r="CZ4168" s="35">
        <v>5.1308489440000001E-3</v>
      </c>
    </row>
    <row r="4169" spans="103:104" x14ac:dyDescent="0.3">
      <c r="CY4169" s="34" t="s">
        <v>5096</v>
      </c>
      <c r="CZ4169" s="35">
        <v>5.6436547440000002E-3</v>
      </c>
    </row>
    <row r="4170" spans="103:104" x14ac:dyDescent="0.3">
      <c r="CY4170" s="34" t="s">
        <v>5097</v>
      </c>
      <c r="CZ4170" s="35">
        <v>6.4556369279999996E-3</v>
      </c>
    </row>
    <row r="4171" spans="103:104" x14ac:dyDescent="0.3">
      <c r="CY4171" s="34" t="s">
        <v>5098</v>
      </c>
      <c r="CZ4171" s="35">
        <v>3.2830970640000002E-3</v>
      </c>
    </row>
    <row r="4172" spans="103:104" x14ac:dyDescent="0.3">
      <c r="CY4172" s="34" t="s">
        <v>5099</v>
      </c>
      <c r="CZ4172" s="35">
        <v>1.16158432E-3</v>
      </c>
    </row>
    <row r="4173" spans="103:104" x14ac:dyDescent="0.3">
      <c r="CY4173" s="34" t="s">
        <v>5100</v>
      </c>
      <c r="CZ4173" s="35">
        <v>6.829360137599999E-2</v>
      </c>
    </row>
    <row r="4174" spans="103:104" x14ac:dyDescent="0.3">
      <c r="CY4174" s="34" t="s">
        <v>5101</v>
      </c>
      <c r="CZ4174" s="35">
        <v>8.2392595896153845E-2</v>
      </c>
    </row>
    <row r="4175" spans="103:104" x14ac:dyDescent="0.3">
      <c r="CY4175" s="34" t="s">
        <v>5102</v>
      </c>
      <c r="CZ4175" s="35">
        <v>7.1105910375999989E-2</v>
      </c>
    </row>
    <row r="4176" spans="103:104" x14ac:dyDescent="0.3">
      <c r="CY4176" s="34" t="s">
        <v>5103</v>
      </c>
      <c r="CZ4176" s="35">
        <v>8.5658988656153845E-2</v>
      </c>
    </row>
    <row r="4177" spans="103:104" x14ac:dyDescent="0.3">
      <c r="CY4177" s="34" t="s">
        <v>5104</v>
      </c>
      <c r="CZ4177" s="35">
        <v>3.6324289039999992E-2</v>
      </c>
    </row>
    <row r="4178" spans="103:104" x14ac:dyDescent="0.3">
      <c r="CY4178" s="34" t="s">
        <v>5105</v>
      </c>
      <c r="CZ4178" s="35">
        <v>1.5692315791999999E-2</v>
      </c>
    </row>
    <row r="4179" spans="103:104" x14ac:dyDescent="0.3">
      <c r="CY4179" s="34" t="s">
        <v>5106</v>
      </c>
      <c r="CZ4179" s="35">
        <v>1.2139682880000001E-3</v>
      </c>
    </row>
    <row r="4180" spans="103:104" x14ac:dyDescent="0.3">
      <c r="CY4180" s="34" t="s">
        <v>5107</v>
      </c>
      <c r="CZ4180" s="35">
        <v>2.677612704E-3</v>
      </c>
    </row>
    <row r="4181" spans="103:104" x14ac:dyDescent="0.3">
      <c r="CY4181" s="34" t="s">
        <v>5108</v>
      </c>
      <c r="CZ4181" s="35">
        <v>6.6945526752000009E-2</v>
      </c>
    </row>
    <row r="4182" spans="103:104" x14ac:dyDescent="0.3">
      <c r="CY4182" s="34" t="s">
        <v>5109</v>
      </c>
      <c r="CZ4182" s="35">
        <v>5.7045524639999998E-3</v>
      </c>
    </row>
    <row r="4183" spans="103:104" x14ac:dyDescent="0.3">
      <c r="CY4183" s="34" t="s">
        <v>5110</v>
      </c>
      <c r="CZ4183" s="35">
        <v>4.2360240000000006E-4</v>
      </c>
    </row>
    <row r="4184" spans="103:104" x14ac:dyDescent="0.3">
      <c r="CY4184" s="34" t="s">
        <v>5111</v>
      </c>
      <c r="CZ4184" s="35">
        <v>1.89203144E-4</v>
      </c>
    </row>
    <row r="4185" spans="103:104" x14ac:dyDescent="0.3">
      <c r="CY4185" s="34" t="s">
        <v>5112</v>
      </c>
      <c r="CZ4185" s="35">
        <v>3.9102155040000005E-3</v>
      </c>
    </row>
    <row r="4186" spans="103:104" x14ac:dyDescent="0.3">
      <c r="CY4186" s="34" t="s">
        <v>5113</v>
      </c>
      <c r="CZ4186" s="35">
        <v>4.2450337280000002E-3</v>
      </c>
    </row>
    <row r="4187" spans="103:104" x14ac:dyDescent="0.3">
      <c r="CY4187" s="34" t="s">
        <v>5114</v>
      </c>
      <c r="CZ4187" s="35">
        <v>4.8725324480000005E-3</v>
      </c>
    </row>
    <row r="4188" spans="103:104" x14ac:dyDescent="0.3">
      <c r="CY4188" s="34" t="s">
        <v>5115</v>
      </c>
      <c r="CZ4188" s="35">
        <v>0.10800152</v>
      </c>
    </row>
    <row r="4189" spans="103:104" x14ac:dyDescent="0.3">
      <c r="CY4189" s="34" t="s">
        <v>5116</v>
      </c>
      <c r="CZ4189" s="35">
        <v>9.3783279999999997E-2</v>
      </c>
    </row>
    <row r="4190" spans="103:104" x14ac:dyDescent="0.3">
      <c r="CY4190" s="34" t="s">
        <v>5117</v>
      </c>
      <c r="CZ4190" s="35">
        <v>9.661538120000002E-3</v>
      </c>
    </row>
    <row r="4191" spans="103:104" x14ac:dyDescent="0.3">
      <c r="CY4191" s="34" t="s">
        <v>5118</v>
      </c>
      <c r="CZ4191" s="35">
        <v>1.7192177536000001E-2</v>
      </c>
    </row>
    <row r="4192" spans="103:104" x14ac:dyDescent="0.3">
      <c r="CY4192" s="34" t="s">
        <v>5119</v>
      </c>
      <c r="CZ4192" s="35">
        <v>2.2371106304E-2</v>
      </c>
    </row>
    <row r="4193" spans="103:104" x14ac:dyDescent="0.3">
      <c r="CY4193" s="34" t="s">
        <v>5120</v>
      </c>
      <c r="CZ4193" s="35">
        <v>0.10302543509333334</v>
      </c>
    </row>
    <row r="4194" spans="103:104" x14ac:dyDescent="0.3">
      <c r="CY4194" s="34" t="s">
        <v>5121</v>
      </c>
      <c r="CZ4194" s="35">
        <v>1.2860435093333334E-2</v>
      </c>
    </row>
    <row r="4195" spans="103:104" x14ac:dyDescent="0.3">
      <c r="CY4195" s="34" t="s">
        <v>5122</v>
      </c>
      <c r="CZ4195" s="35">
        <v>1.02530356E-2</v>
      </c>
    </row>
    <row r="4196" spans="103:104" x14ac:dyDescent="0.3">
      <c r="CY4196" s="34" t="s">
        <v>5123</v>
      </c>
      <c r="CZ4196" s="35">
        <v>1.1046535599999997E-2</v>
      </c>
    </row>
    <row r="4197" spans="103:104" x14ac:dyDescent="0.3">
      <c r="CY4197" s="34" t="s">
        <v>5124</v>
      </c>
      <c r="CZ4197" s="35">
        <v>4.8111017760000003E-3</v>
      </c>
    </row>
    <row r="4198" spans="103:104" x14ac:dyDescent="0.3">
      <c r="CY4198" s="34" t="s">
        <v>5125</v>
      </c>
      <c r="CZ4198" s="35">
        <v>0.58072388712</v>
      </c>
    </row>
    <row r="4199" spans="103:104" x14ac:dyDescent="0.3">
      <c r="CY4199" s="34" t="s">
        <v>5126</v>
      </c>
      <c r="CZ4199" s="35">
        <v>0.54797227055999997</v>
      </c>
    </row>
    <row r="4200" spans="103:104" x14ac:dyDescent="0.3">
      <c r="CY4200" s="34" t="s">
        <v>5127</v>
      </c>
      <c r="CZ4200" s="35">
        <v>9.3224129128000002E-2</v>
      </c>
    </row>
    <row r="4201" spans="103:104" x14ac:dyDescent="0.3">
      <c r="CY4201" s="34" t="s">
        <v>5128</v>
      </c>
      <c r="CZ4201" s="35">
        <v>2.6360926800000004E-3</v>
      </c>
    </row>
    <row r="4202" spans="103:104" x14ac:dyDescent="0.3">
      <c r="CY4202" s="34" t="s">
        <v>5129</v>
      </c>
      <c r="CZ4202" s="35">
        <v>0.267446835552</v>
      </c>
    </row>
    <row r="4203" spans="103:104" x14ac:dyDescent="0.3">
      <c r="CY4203" s="34" t="s">
        <v>5130</v>
      </c>
      <c r="CZ4203" s="35">
        <v>1.0731067152000002E-2</v>
      </c>
    </row>
    <row r="4204" spans="103:104" x14ac:dyDescent="0.3">
      <c r="CY4204" s="34" t="s">
        <v>5131</v>
      </c>
      <c r="CZ4204" s="35">
        <v>0.15535064625600004</v>
      </c>
    </row>
    <row r="4205" spans="103:104" x14ac:dyDescent="0.3">
      <c r="CY4205" s="34" t="s">
        <v>5132</v>
      </c>
      <c r="CZ4205" s="35">
        <v>1.3417668160000002E-2</v>
      </c>
    </row>
    <row r="4206" spans="103:104" x14ac:dyDescent="0.3">
      <c r="CY4206" s="34" t="s">
        <v>5133</v>
      </c>
      <c r="CZ4206" s="35">
        <v>1.6887278927999998E-2</v>
      </c>
    </row>
    <row r="4207" spans="103:104" x14ac:dyDescent="0.3">
      <c r="CY4207" s="34" t="s">
        <v>5134</v>
      </c>
      <c r="CZ4207" s="35">
        <v>5.7383780479999995E-3</v>
      </c>
    </row>
    <row r="4208" spans="103:104" x14ac:dyDescent="0.3">
      <c r="CY4208" s="34" t="s">
        <v>5135</v>
      </c>
      <c r="CZ4208" s="35">
        <v>1.0301733192E-2</v>
      </c>
    </row>
    <row r="4209" spans="103:104" x14ac:dyDescent="0.3">
      <c r="CY4209" s="34" t="s">
        <v>5136</v>
      </c>
      <c r="CZ4209" s="35">
        <v>0.19572077824</v>
      </c>
    </row>
    <row r="4210" spans="103:104" x14ac:dyDescent="0.3">
      <c r="CY4210" s="34" t="s">
        <v>5137</v>
      </c>
      <c r="CZ4210" s="35">
        <v>2.0250057840000002E-2</v>
      </c>
    </row>
    <row r="4211" spans="103:104" x14ac:dyDescent="0.3">
      <c r="CY4211" s="34" t="s">
        <v>5138</v>
      </c>
      <c r="CZ4211" s="35">
        <v>2.0444880352000001E-2</v>
      </c>
    </row>
    <row r="4212" spans="103:104" x14ac:dyDescent="0.3">
      <c r="CY4212" s="34" t="s">
        <v>5139</v>
      </c>
      <c r="CZ4212" s="35">
        <v>6.829360137599999E-2</v>
      </c>
    </row>
    <row r="4213" spans="103:104" x14ac:dyDescent="0.3">
      <c r="CY4213" s="34" t="s">
        <v>5140</v>
      </c>
      <c r="CZ4213" s="35">
        <v>7.0156054871999995E-2</v>
      </c>
    </row>
    <row r="4214" spans="103:104" x14ac:dyDescent="0.3">
      <c r="CY4214" s="34" t="s">
        <v>5141</v>
      </c>
      <c r="CZ4214" s="35">
        <v>1.9764528999999999E-2</v>
      </c>
    </row>
    <row r="4215" spans="103:104" x14ac:dyDescent="0.3">
      <c r="CY4215" s="34" t="s">
        <v>5142</v>
      </c>
      <c r="CZ4215" s="35">
        <v>6.7650753039999997E-2</v>
      </c>
    </row>
    <row r="4216" spans="103:104" x14ac:dyDescent="0.3">
      <c r="CY4216" s="34" t="s">
        <v>5143</v>
      </c>
      <c r="CZ4216" s="35">
        <v>6.7650753039999997E-2</v>
      </c>
    </row>
    <row r="4217" spans="103:104" x14ac:dyDescent="0.3">
      <c r="CY4217" s="34" t="s">
        <v>5144</v>
      </c>
      <c r="CZ4217" s="35">
        <v>1.8558321184000002E-2</v>
      </c>
    </row>
    <row r="4218" spans="103:104" x14ac:dyDescent="0.3">
      <c r="CY4218" s="34" t="s">
        <v>5145</v>
      </c>
      <c r="CZ4218" s="35">
        <v>6.5399199999999994E-4</v>
      </c>
    </row>
    <row r="4219" spans="103:104" x14ac:dyDescent="0.3">
      <c r="CY4219" s="34" t="s">
        <v>5146</v>
      </c>
      <c r="CZ4219" s="35">
        <v>1.955543128E-3</v>
      </c>
    </row>
    <row r="4220" spans="103:104" x14ac:dyDescent="0.3">
      <c r="CY4220" s="34" t="s">
        <v>5147</v>
      </c>
      <c r="CZ4220" s="35">
        <v>3.7540199999999999E-4</v>
      </c>
    </row>
    <row r="4221" spans="103:104" x14ac:dyDescent="0.3">
      <c r="CY4221" s="34" t="s">
        <v>5148</v>
      </c>
      <c r="CZ4221" s="35">
        <v>1.099696728E-3</v>
      </c>
    </row>
    <row r="4222" spans="103:104" x14ac:dyDescent="0.3">
      <c r="CY4222" s="34" t="s">
        <v>5149</v>
      </c>
      <c r="CZ4222" s="35">
        <v>1.3477364160000001E-3</v>
      </c>
    </row>
    <row r="4223" spans="103:104" x14ac:dyDescent="0.3">
      <c r="CY4223" s="34" t="s">
        <v>5150</v>
      </c>
      <c r="CZ4223" s="35">
        <v>6.9325067E-4</v>
      </c>
    </row>
    <row r="4224" spans="103:104" x14ac:dyDescent="0.3">
      <c r="CY4224" s="34" t="s">
        <v>5151</v>
      </c>
      <c r="CZ4224" s="35">
        <v>1.7085582592E-2</v>
      </c>
    </row>
    <row r="4225" spans="103:104" x14ac:dyDescent="0.3">
      <c r="CY4225" s="34" t="s">
        <v>5152</v>
      </c>
      <c r="CZ4225" s="35">
        <v>1.1536238272E-2</v>
      </c>
    </row>
    <row r="4226" spans="103:104" x14ac:dyDescent="0.3">
      <c r="CY4226" s="34" t="s">
        <v>5153</v>
      </c>
      <c r="CZ4226" s="35">
        <v>1.8794749999999998E-3</v>
      </c>
    </row>
    <row r="4227" spans="103:104" x14ac:dyDescent="0.3">
      <c r="CY4227" s="34" t="s">
        <v>5154</v>
      </c>
      <c r="CZ4227" s="35">
        <v>4.3190434165E-2</v>
      </c>
    </row>
    <row r="4228" spans="103:104" x14ac:dyDescent="0.3">
      <c r="CY4228" s="34" t="s">
        <v>5155</v>
      </c>
      <c r="CZ4228" s="35">
        <v>2.343402672E-3</v>
      </c>
    </row>
    <row r="4229" spans="103:104" x14ac:dyDescent="0.3">
      <c r="CY4229" s="34" t="s">
        <v>5156</v>
      </c>
      <c r="CZ4229" s="35">
        <v>2.7543040000000001E-2</v>
      </c>
    </row>
    <row r="4230" spans="103:104" x14ac:dyDescent="0.3">
      <c r="CY4230" s="34" t="s">
        <v>5157</v>
      </c>
      <c r="CZ4230" s="35">
        <v>2.7543040000000001E-2</v>
      </c>
    </row>
    <row r="4231" spans="103:104" x14ac:dyDescent="0.3">
      <c r="CY4231" s="34" t="s">
        <v>5158</v>
      </c>
      <c r="CZ4231" s="35">
        <v>3.8506810517333331E-2</v>
      </c>
    </row>
    <row r="4232" spans="103:104" x14ac:dyDescent="0.3">
      <c r="CY4232" s="34" t="s">
        <v>5159</v>
      </c>
      <c r="CZ4232" s="35">
        <v>3.9430158048E-2</v>
      </c>
    </row>
    <row r="4233" spans="103:104" x14ac:dyDescent="0.3">
      <c r="CY4233" s="34" t="s">
        <v>5160</v>
      </c>
      <c r="CZ4233" s="35">
        <v>3.9430158048E-2</v>
      </c>
    </row>
    <row r="4234" spans="103:104" x14ac:dyDescent="0.3">
      <c r="CY4234" s="34" t="s">
        <v>5161</v>
      </c>
      <c r="CZ4234" s="35">
        <v>3.5979520000000001E-2</v>
      </c>
    </row>
    <row r="4235" spans="103:104" x14ac:dyDescent="0.3">
      <c r="CY4235" s="34" t="s">
        <v>5162</v>
      </c>
      <c r="CZ4235" s="35">
        <v>3.1750273000599995E-2</v>
      </c>
    </row>
    <row r="4236" spans="103:104" x14ac:dyDescent="0.3">
      <c r="CY4236" s="34" t="s">
        <v>5163</v>
      </c>
      <c r="CZ4236" s="35">
        <v>2.6443151143999997E-2</v>
      </c>
    </row>
    <row r="4237" spans="103:104" x14ac:dyDescent="0.3">
      <c r="CY4237" s="34" t="s">
        <v>5164</v>
      </c>
      <c r="CZ4237" s="35">
        <v>8.1756106333000012E-2</v>
      </c>
    </row>
    <row r="4238" spans="103:104" x14ac:dyDescent="0.3">
      <c r="CY4238" s="34" t="s">
        <v>5165</v>
      </c>
      <c r="CZ4238" s="35">
        <v>1.9760317227499998E-4</v>
      </c>
    </row>
    <row r="4239" spans="103:104" x14ac:dyDescent="0.3">
      <c r="CY4239" s="34" t="s">
        <v>5166</v>
      </c>
      <c r="CZ4239" s="35">
        <v>2.2860317226666664E-4</v>
      </c>
    </row>
    <row r="4240" spans="103:104" x14ac:dyDescent="0.3">
      <c r="CY4240" s="34" t="s">
        <v>5167</v>
      </c>
      <c r="CZ4240" s="35">
        <v>1.9935950000000001E-4</v>
      </c>
    </row>
    <row r="4241" spans="103:104" x14ac:dyDescent="0.3">
      <c r="CY4241" s="34" t="s">
        <v>5168</v>
      </c>
      <c r="CZ4241" s="35">
        <v>7.4615698559999995E-3</v>
      </c>
    </row>
    <row r="4242" spans="103:104" x14ac:dyDescent="0.3">
      <c r="CY4242" s="34" t="s">
        <v>5169</v>
      </c>
      <c r="CZ4242" s="35">
        <v>9.6901209386666687E-3</v>
      </c>
    </row>
    <row r="4243" spans="103:104" x14ac:dyDescent="0.3">
      <c r="CY4243" s="34" t="s">
        <v>5170</v>
      </c>
      <c r="CZ4243" s="35">
        <v>1.2550908864000001E-2</v>
      </c>
    </row>
    <row r="4244" spans="103:104" x14ac:dyDescent="0.3">
      <c r="CY4244" s="34" t="s">
        <v>5171</v>
      </c>
      <c r="CZ4244" s="35">
        <v>8.5716408333333331E-3</v>
      </c>
    </row>
    <row r="4245" spans="103:104" x14ac:dyDescent="0.3">
      <c r="CY4245" s="34" t="s">
        <v>5172</v>
      </c>
      <c r="CZ4245" s="35">
        <v>1.0583350000000001E-3</v>
      </c>
    </row>
    <row r="4246" spans="103:104" x14ac:dyDescent="0.3">
      <c r="CY4246" s="34" t="s">
        <v>5173</v>
      </c>
      <c r="CZ4246" s="35">
        <v>2.2175097464999997E-3</v>
      </c>
    </row>
    <row r="4247" spans="103:104" x14ac:dyDescent="0.3">
      <c r="CY4247" s="34" t="s">
        <v>5174</v>
      </c>
      <c r="CZ4247" s="35">
        <v>7.6541399999999996E-4</v>
      </c>
    </row>
    <row r="4248" spans="103:104" x14ac:dyDescent="0.3">
      <c r="CY4248" s="34" t="s">
        <v>5175</v>
      </c>
      <c r="CZ4248" s="35">
        <v>3.7003480800000001E-4</v>
      </c>
    </row>
    <row r="4249" spans="103:104" x14ac:dyDescent="0.3">
      <c r="CY4249" s="34" t="s">
        <v>5176</v>
      </c>
      <c r="CZ4249" s="35">
        <v>7.2032261599999994E-4</v>
      </c>
    </row>
    <row r="4250" spans="103:104" x14ac:dyDescent="0.3">
      <c r="CY4250" s="34" t="s">
        <v>5177</v>
      </c>
      <c r="CZ4250" s="35">
        <v>1.5814344727999998E-2</v>
      </c>
    </row>
    <row r="4251" spans="103:104" x14ac:dyDescent="0.3">
      <c r="CY4251" s="34" t="s">
        <v>5178</v>
      </c>
      <c r="CZ4251" s="35">
        <v>5.9973036655999991E-2</v>
      </c>
    </row>
    <row r="4252" spans="103:104" x14ac:dyDescent="0.3">
      <c r="CY4252" s="34" t="s">
        <v>5179</v>
      </c>
      <c r="CZ4252" s="35">
        <v>1.5417043928E-2</v>
      </c>
    </row>
    <row r="4253" spans="103:104" x14ac:dyDescent="0.3">
      <c r="CY4253" s="34" t="s">
        <v>5180</v>
      </c>
      <c r="CZ4253" s="35">
        <v>2.6529823840000001E-3</v>
      </c>
    </row>
    <row r="4254" spans="103:104" x14ac:dyDescent="0.3">
      <c r="CY4254" s="34" t="s">
        <v>5181</v>
      </c>
      <c r="CZ4254" s="35">
        <v>6.84996E-4</v>
      </c>
    </row>
    <row r="4255" spans="103:104" x14ac:dyDescent="0.3">
      <c r="CY4255" s="34" t="s">
        <v>5182</v>
      </c>
      <c r="CZ4255" s="35">
        <v>9.6196713599999999E-4</v>
      </c>
    </row>
    <row r="4256" spans="103:104" x14ac:dyDescent="0.3">
      <c r="CY4256" s="34" t="s">
        <v>5183</v>
      </c>
      <c r="CZ4256" s="35">
        <v>1.520786608E-2</v>
      </c>
    </row>
    <row r="4257" spans="103:104" x14ac:dyDescent="0.3">
      <c r="CY4257" s="34" t="s">
        <v>5184</v>
      </c>
      <c r="CZ4257" s="35">
        <v>9.0021399999999998E-4</v>
      </c>
    </row>
    <row r="4258" spans="103:104" x14ac:dyDescent="0.3">
      <c r="CY4258" s="34" t="s">
        <v>5185</v>
      </c>
      <c r="CZ4258" s="35">
        <v>0.105835139296</v>
      </c>
    </row>
    <row r="4259" spans="103:104" x14ac:dyDescent="0.3">
      <c r="CY4259" s="34" t="s">
        <v>5186</v>
      </c>
      <c r="CZ4259" s="35">
        <v>2.7311367200000001E-3</v>
      </c>
    </row>
    <row r="4260" spans="103:104" x14ac:dyDescent="0.3">
      <c r="CY4260" s="34" t="s">
        <v>5187</v>
      </c>
      <c r="CZ4260" s="35">
        <v>1.4634319392E-2</v>
      </c>
    </row>
    <row r="4261" spans="103:104" x14ac:dyDescent="0.3">
      <c r="CY4261" s="34" t="s">
        <v>5188</v>
      </c>
      <c r="CZ4261" s="35">
        <v>5.3644359279999996E-3</v>
      </c>
    </row>
    <row r="4262" spans="103:104" x14ac:dyDescent="0.3">
      <c r="CY4262" s="34" t="s">
        <v>5189</v>
      </c>
      <c r="CZ4262" s="35">
        <v>0.10134814227200001</v>
      </c>
    </row>
    <row r="4263" spans="103:104" x14ac:dyDescent="0.3">
      <c r="CY4263" s="34" t="s">
        <v>5190</v>
      </c>
      <c r="CZ4263" s="35">
        <v>4.8274719999999993E-3</v>
      </c>
    </row>
    <row r="4264" spans="103:104" x14ac:dyDescent="0.3">
      <c r="CY4264" s="34" t="s">
        <v>5191</v>
      </c>
      <c r="CZ4264" s="35">
        <v>2.5634510720000002E-3</v>
      </c>
    </row>
    <row r="4265" spans="103:104" x14ac:dyDescent="0.3">
      <c r="CY4265" s="34" t="s">
        <v>5192</v>
      </c>
      <c r="CZ4265" s="35">
        <v>2.0683E-4</v>
      </c>
    </row>
    <row r="4266" spans="103:104" x14ac:dyDescent="0.3">
      <c r="CY4266" s="34" t="s">
        <v>5193</v>
      </c>
      <c r="CZ4266" s="35">
        <v>2.0443438079999999E-3</v>
      </c>
    </row>
    <row r="4267" spans="103:104" x14ac:dyDescent="0.3">
      <c r="CY4267" s="34" t="s">
        <v>5194</v>
      </c>
      <c r="CZ4267" s="35">
        <v>3.5531914079999999E-3</v>
      </c>
    </row>
    <row r="4268" spans="103:104" x14ac:dyDescent="0.3">
      <c r="CY4268" s="34" t="s">
        <v>5195</v>
      </c>
      <c r="CZ4268" s="35">
        <v>2.1240728080000001E-3</v>
      </c>
    </row>
    <row r="4269" spans="103:104" x14ac:dyDescent="0.3">
      <c r="CY4269" s="34" t="s">
        <v>5196</v>
      </c>
      <c r="CZ4269" s="35">
        <v>1.8761241533E-2</v>
      </c>
    </row>
    <row r="4270" spans="103:104" x14ac:dyDescent="0.3">
      <c r="CY4270" s="34" t="s">
        <v>5197</v>
      </c>
      <c r="CZ4270" s="35">
        <v>2.1617289408E-2</v>
      </c>
    </row>
    <row r="4271" spans="103:104" x14ac:dyDescent="0.3">
      <c r="CY4271" s="34" t="s">
        <v>5198</v>
      </c>
      <c r="CZ4271" s="35">
        <v>3.4140325440000001E-2</v>
      </c>
    </row>
    <row r="4272" spans="103:104" x14ac:dyDescent="0.3">
      <c r="CY4272" s="34" t="s">
        <v>5199</v>
      </c>
      <c r="CZ4272" s="35">
        <v>1.2986126815999999E-2</v>
      </c>
    </row>
    <row r="4273" spans="103:104" x14ac:dyDescent="0.3">
      <c r="CY4273" s="34" t="s">
        <v>5200</v>
      </c>
      <c r="CZ4273" s="35">
        <v>1.5957656000000001E-2</v>
      </c>
    </row>
    <row r="4274" spans="103:104" x14ac:dyDescent="0.3">
      <c r="CY4274" s="34" t="s">
        <v>5201</v>
      </c>
      <c r="CZ4274" s="35">
        <v>1.5957656000000001E-2</v>
      </c>
    </row>
    <row r="4275" spans="103:104" x14ac:dyDescent="0.3">
      <c r="CY4275" s="34" t="s">
        <v>5202</v>
      </c>
      <c r="CZ4275" s="35">
        <v>3.117655424E-3</v>
      </c>
    </row>
    <row r="4276" spans="103:104" x14ac:dyDescent="0.3">
      <c r="CY4276" s="34" t="s">
        <v>5203</v>
      </c>
      <c r="CZ4276" s="35">
        <v>3.5452139840000002E-3</v>
      </c>
    </row>
    <row r="4277" spans="103:104" x14ac:dyDescent="0.3">
      <c r="CY4277" s="34" t="s">
        <v>5204</v>
      </c>
      <c r="CZ4277" s="35">
        <v>4.590766128E-3</v>
      </c>
    </row>
    <row r="4278" spans="103:104" x14ac:dyDescent="0.3">
      <c r="CY4278" s="34" t="s">
        <v>5205</v>
      </c>
      <c r="CZ4278" s="35">
        <v>1.7726611136000003E-2</v>
      </c>
    </row>
    <row r="4279" spans="103:104" x14ac:dyDescent="0.3">
      <c r="CY4279" s="34" t="s">
        <v>5206</v>
      </c>
      <c r="CZ4279" s="35">
        <v>7.1497545599999998E-3</v>
      </c>
    </row>
    <row r="4280" spans="103:104" x14ac:dyDescent="0.3">
      <c r="CY4280" s="34" t="s">
        <v>5207</v>
      </c>
      <c r="CZ4280" s="35">
        <v>0.20976818720000001</v>
      </c>
    </row>
    <row r="4281" spans="103:104" x14ac:dyDescent="0.3">
      <c r="CY4281" s="34" t="s">
        <v>5208</v>
      </c>
      <c r="CZ4281" s="35">
        <v>1.0396666592E-2</v>
      </c>
    </row>
    <row r="4282" spans="103:104" x14ac:dyDescent="0.3">
      <c r="CY4282" s="34" t="s">
        <v>5209</v>
      </c>
      <c r="CZ4282" s="35">
        <v>0.14926043600000002</v>
      </c>
    </row>
    <row r="4283" spans="103:104" x14ac:dyDescent="0.3">
      <c r="CY4283" s="34" t="s">
        <v>5210</v>
      </c>
      <c r="CZ4283" s="35">
        <v>3.1471115520000001E-3</v>
      </c>
    </row>
    <row r="4284" spans="103:104" x14ac:dyDescent="0.3">
      <c r="CY4284" s="34" t="s">
        <v>5211</v>
      </c>
      <c r="CZ4284" s="35">
        <v>6.74453312E-3</v>
      </c>
    </row>
    <row r="4285" spans="103:104" x14ac:dyDescent="0.3">
      <c r="CY4285" s="34" t="s">
        <v>5212</v>
      </c>
      <c r="CZ4285" s="35">
        <v>3.4501279999999998E-3</v>
      </c>
    </row>
    <row r="4286" spans="103:104" x14ac:dyDescent="0.3">
      <c r="CY4286" s="34" t="s">
        <v>5213</v>
      </c>
      <c r="CZ4286" s="35">
        <v>4.2041917460317463E-2</v>
      </c>
    </row>
    <row r="4287" spans="103:104" x14ac:dyDescent="0.3">
      <c r="CY4287" s="34" t="s">
        <v>5214</v>
      </c>
      <c r="CZ4287" s="35">
        <v>2.1707919167999998E-2</v>
      </c>
    </row>
    <row r="4288" spans="103:104" x14ac:dyDescent="0.3">
      <c r="CY4288" s="34" t="s">
        <v>5215</v>
      </c>
      <c r="CZ4288" s="35">
        <v>1.7269251584E-2</v>
      </c>
    </row>
    <row r="4289" spans="103:104" x14ac:dyDescent="0.3">
      <c r="CY4289" s="34" t="s">
        <v>5216</v>
      </c>
      <c r="CZ4289" s="35">
        <v>2.6691849600000003E-3</v>
      </c>
    </row>
    <row r="4290" spans="103:104" x14ac:dyDescent="0.3">
      <c r="CY4290" s="34" t="s">
        <v>5217</v>
      </c>
      <c r="CZ4290" s="35">
        <v>7.8502892416000003E-2</v>
      </c>
    </row>
    <row r="4291" spans="103:104" x14ac:dyDescent="0.3">
      <c r="CY4291" s="34" t="s">
        <v>5218</v>
      </c>
      <c r="CZ4291" s="35">
        <v>1.8634199792000001E-2</v>
      </c>
    </row>
    <row r="4292" spans="103:104" x14ac:dyDescent="0.3">
      <c r="CY4292" s="34" t="s">
        <v>5219</v>
      </c>
      <c r="CZ4292" s="35">
        <v>1.3004514744000001E-2</v>
      </c>
    </row>
    <row r="4293" spans="103:104" x14ac:dyDescent="0.3">
      <c r="CY4293" s="34" t="s">
        <v>5220</v>
      </c>
      <c r="CZ4293" s="35">
        <v>3.4450618591999993E-2</v>
      </c>
    </row>
    <row r="4294" spans="103:104" x14ac:dyDescent="0.3">
      <c r="CY4294" s="34" t="s">
        <v>5221</v>
      </c>
      <c r="CZ4294" s="35">
        <v>1.1110447296000001E-2</v>
      </c>
    </row>
    <row r="4295" spans="103:104" x14ac:dyDescent="0.3">
      <c r="CY4295" s="34" t="s">
        <v>5222</v>
      </c>
      <c r="CZ4295" s="35">
        <v>3.2089303999999992E-2</v>
      </c>
    </row>
    <row r="4296" spans="103:104" x14ac:dyDescent="0.3">
      <c r="CY4296" s="34" t="s">
        <v>5223</v>
      </c>
      <c r="CZ4296" s="35">
        <v>1.3089228672E-2</v>
      </c>
    </row>
    <row r="4297" spans="103:104" x14ac:dyDescent="0.3">
      <c r="CY4297" s="34" t="s">
        <v>5224</v>
      </c>
      <c r="CZ4297" s="35">
        <v>3.1786693119999999E-3</v>
      </c>
    </row>
    <row r="4298" spans="103:104" x14ac:dyDescent="0.3">
      <c r="CY4298" s="34" t="s">
        <v>5225</v>
      </c>
      <c r="CZ4298" s="35">
        <v>3.2441062560000004E-3</v>
      </c>
    </row>
    <row r="4299" spans="103:104" x14ac:dyDescent="0.3">
      <c r="CY4299" s="34" t="s">
        <v>5226</v>
      </c>
      <c r="CZ4299" s="35">
        <v>3.1591062560000003E-3</v>
      </c>
    </row>
    <row r="4300" spans="103:104" x14ac:dyDescent="0.3">
      <c r="CY4300" s="34" t="s">
        <v>5227</v>
      </c>
      <c r="CZ4300" s="35">
        <v>1.7559360000000003E-3</v>
      </c>
    </row>
    <row r="4301" spans="103:104" x14ac:dyDescent="0.3">
      <c r="CY4301" s="34" t="s">
        <v>5228</v>
      </c>
      <c r="CZ4301" s="35">
        <v>1.7254848000000001E-3</v>
      </c>
    </row>
    <row r="4302" spans="103:104" x14ac:dyDescent="0.3">
      <c r="CY4302" s="34" t="s">
        <v>5229</v>
      </c>
      <c r="CZ4302" s="35">
        <v>3.3607896087999994E-2</v>
      </c>
    </row>
    <row r="4303" spans="103:104" x14ac:dyDescent="0.3">
      <c r="CY4303" s="34" t="s">
        <v>5230</v>
      </c>
      <c r="CZ4303" s="35">
        <v>1.0354960000000002E-2</v>
      </c>
    </row>
    <row r="4304" spans="103:104" x14ac:dyDescent="0.3">
      <c r="CY4304" s="34" t="s">
        <v>5231</v>
      </c>
      <c r="CZ4304" s="35">
        <v>4.4653439999999998E-4</v>
      </c>
    </row>
    <row r="4305" spans="103:104" x14ac:dyDescent="0.3">
      <c r="CY4305" s="34" t="s">
        <v>5232</v>
      </c>
      <c r="CZ4305" s="35">
        <v>4.2759418831999997E-2</v>
      </c>
    </row>
    <row r="4306" spans="103:104" x14ac:dyDescent="0.3">
      <c r="CY4306" s="34" t="s">
        <v>5233</v>
      </c>
      <c r="CZ4306" s="35">
        <v>3.1851894079999998E-3</v>
      </c>
    </row>
    <row r="4307" spans="103:104" x14ac:dyDescent="0.3">
      <c r="CY4307" s="34" t="s">
        <v>5234</v>
      </c>
      <c r="CZ4307" s="35">
        <v>3.10538512E-3</v>
      </c>
    </row>
    <row r="4308" spans="103:104" x14ac:dyDescent="0.3">
      <c r="CY4308" s="34" t="s">
        <v>5235</v>
      </c>
      <c r="CZ4308" s="35">
        <v>5.4455319359999997E-3</v>
      </c>
    </row>
    <row r="4309" spans="103:104" x14ac:dyDescent="0.3">
      <c r="CY4309" s="34" t="s">
        <v>5236</v>
      </c>
      <c r="CZ4309" s="35">
        <v>1.025292416E-3</v>
      </c>
    </row>
    <row r="4310" spans="103:104" x14ac:dyDescent="0.3">
      <c r="CY4310" s="34" t="s">
        <v>5237</v>
      </c>
      <c r="CZ4310" s="35">
        <v>1.71779328E-2</v>
      </c>
    </row>
    <row r="4311" spans="103:104" x14ac:dyDescent="0.3">
      <c r="CY4311" s="34" t="s">
        <v>5238</v>
      </c>
      <c r="CZ4311" s="35">
        <v>4.25203144E-4</v>
      </c>
    </row>
    <row r="4312" spans="103:104" x14ac:dyDescent="0.3">
      <c r="CY4312" s="34" t="s">
        <v>5239</v>
      </c>
      <c r="CZ4312" s="35">
        <v>3.9337571200000004E-4</v>
      </c>
    </row>
    <row r="4313" spans="103:104" x14ac:dyDescent="0.3">
      <c r="CY4313" s="34" t="s">
        <v>5240</v>
      </c>
      <c r="CZ4313" s="35">
        <v>4.7635120000000001E-3</v>
      </c>
    </row>
    <row r="4314" spans="103:104" x14ac:dyDescent="0.3">
      <c r="CY4314" s="34" t="s">
        <v>5241</v>
      </c>
      <c r="CZ4314" s="35">
        <v>9.3100000000000006E-3</v>
      </c>
    </row>
    <row r="4315" spans="103:104" x14ac:dyDescent="0.3">
      <c r="CY4315" s="34" t="s">
        <v>5242</v>
      </c>
      <c r="CZ4315" s="35">
        <v>7.7514488687999997E-2</v>
      </c>
    </row>
    <row r="4316" spans="103:104" x14ac:dyDescent="0.3">
      <c r="CY4316" s="34" t="s">
        <v>5243</v>
      </c>
      <c r="CZ4316" s="35">
        <v>7.7514488687999997E-2</v>
      </c>
    </row>
    <row r="4317" spans="103:104" x14ac:dyDescent="0.3">
      <c r="CY4317" s="34" t="s">
        <v>5244</v>
      </c>
      <c r="CZ4317" s="35">
        <v>4.69610752E-4</v>
      </c>
    </row>
    <row r="4318" spans="103:104" x14ac:dyDescent="0.3">
      <c r="CY4318" s="34" t="s">
        <v>5245</v>
      </c>
      <c r="CZ4318" s="35">
        <v>2.661328256E-2</v>
      </c>
    </row>
    <row r="4319" spans="103:104" x14ac:dyDescent="0.3">
      <c r="CY4319" s="34" t="s">
        <v>5246</v>
      </c>
      <c r="CZ4319" s="35">
        <v>6.1004865376E-2</v>
      </c>
    </row>
    <row r="4320" spans="103:104" x14ac:dyDescent="0.3">
      <c r="CY4320" s="34" t="s">
        <v>5247</v>
      </c>
      <c r="CZ4320" s="35">
        <v>7.1924970208000011E-2</v>
      </c>
    </row>
    <row r="4321" spans="103:104" x14ac:dyDescent="0.3">
      <c r="CY4321" s="34" t="s">
        <v>5248</v>
      </c>
      <c r="CZ4321" s="35">
        <v>2.417926162E-2</v>
      </c>
    </row>
    <row r="4322" spans="103:104" x14ac:dyDescent="0.3">
      <c r="CY4322" s="34" t="s">
        <v>5249</v>
      </c>
      <c r="CZ4322" s="35">
        <v>2.8308716192E-2</v>
      </c>
    </row>
    <row r="4323" spans="103:104" x14ac:dyDescent="0.3">
      <c r="CY4323" s="34" t="s">
        <v>5250</v>
      </c>
      <c r="CZ4323" s="35">
        <v>7.5831611216000006E-3</v>
      </c>
    </row>
    <row r="4324" spans="103:104" x14ac:dyDescent="0.3">
      <c r="CY4324" s="34" t="s">
        <v>5251</v>
      </c>
      <c r="CZ4324" s="35">
        <v>2.5677516799999997E-4</v>
      </c>
    </row>
    <row r="4325" spans="103:104" x14ac:dyDescent="0.3">
      <c r="CY4325" s="34" t="s">
        <v>5252</v>
      </c>
      <c r="CZ4325" s="35">
        <v>0.10088109158399999</v>
      </c>
    </row>
    <row r="4326" spans="103:104" x14ac:dyDescent="0.3">
      <c r="CY4326" s="34" t="s">
        <v>5253</v>
      </c>
      <c r="CZ4326" s="35">
        <v>8.8513107279999999E-3</v>
      </c>
    </row>
    <row r="4327" spans="103:104" x14ac:dyDescent="0.3">
      <c r="CY4327" s="34" t="s">
        <v>5254</v>
      </c>
      <c r="CZ4327" s="35">
        <v>3.7416744352E-2</v>
      </c>
    </row>
    <row r="4328" spans="103:104" x14ac:dyDescent="0.3">
      <c r="CY4328" s="34" t="s">
        <v>5255</v>
      </c>
      <c r="CZ4328" s="35">
        <v>3.9991568447999996E-2</v>
      </c>
    </row>
    <row r="4329" spans="103:104" x14ac:dyDescent="0.3">
      <c r="CY4329" s="34" t="s">
        <v>5256</v>
      </c>
      <c r="CZ4329" s="35">
        <v>5.0406558175999996E-2</v>
      </c>
    </row>
    <row r="4330" spans="103:104" x14ac:dyDescent="0.3">
      <c r="CY4330" s="34" t="s">
        <v>5257</v>
      </c>
      <c r="CZ4330" s="35">
        <v>6.6045075199999996E-4</v>
      </c>
    </row>
    <row r="4331" spans="103:104" x14ac:dyDescent="0.3">
      <c r="CY4331" s="34" t="s">
        <v>5258</v>
      </c>
      <c r="CZ4331" s="35">
        <v>3.5676099733333334E-3</v>
      </c>
    </row>
    <row r="4332" spans="103:104" x14ac:dyDescent="0.3">
      <c r="CY4332" s="34" t="s">
        <v>5259</v>
      </c>
      <c r="CZ4332" s="35">
        <v>1.039487488E-3</v>
      </c>
    </row>
    <row r="4333" spans="103:104" x14ac:dyDescent="0.3">
      <c r="CY4333" s="34" t="s">
        <v>5260</v>
      </c>
      <c r="CZ4333" s="35">
        <v>4.8552503999999995E-4</v>
      </c>
    </row>
    <row r="4334" spans="103:104" x14ac:dyDescent="0.3">
      <c r="CY4334" s="34" t="s">
        <v>5261</v>
      </c>
      <c r="CZ4334" s="35">
        <v>1.2785136E-3</v>
      </c>
    </row>
    <row r="4335" spans="103:104" x14ac:dyDescent="0.3">
      <c r="CY4335" s="34" t="s">
        <v>5262</v>
      </c>
      <c r="CZ4335" s="35">
        <v>1.6225825199999999E-3</v>
      </c>
    </row>
    <row r="4336" spans="103:104" x14ac:dyDescent="0.3">
      <c r="CY4336" s="34" t="s">
        <v>5263</v>
      </c>
      <c r="CZ4336" s="35">
        <v>4.6758400000000006E-4</v>
      </c>
    </row>
    <row r="4337" spans="103:104" x14ac:dyDescent="0.3">
      <c r="CY4337" s="34" t="s">
        <v>5264</v>
      </c>
      <c r="CZ4337" s="35">
        <v>3.7764896000000003E-4</v>
      </c>
    </row>
    <row r="4338" spans="103:104" x14ac:dyDescent="0.3">
      <c r="CY4338" s="34" t="s">
        <v>5265</v>
      </c>
      <c r="CZ4338" s="35">
        <v>3.7764896000000003E-4</v>
      </c>
    </row>
    <row r="4339" spans="103:104" x14ac:dyDescent="0.3">
      <c r="CY4339" s="34" t="s">
        <v>5266</v>
      </c>
      <c r="CZ4339" s="35">
        <v>5.0861075199999997E-4</v>
      </c>
    </row>
    <row r="4340" spans="103:104" x14ac:dyDescent="0.3">
      <c r="CY4340" s="34" t="s">
        <v>5267</v>
      </c>
      <c r="CZ4340" s="35">
        <v>1.6409850079999999E-3</v>
      </c>
    </row>
    <row r="4341" spans="103:104" x14ac:dyDescent="0.3">
      <c r="CY4341" s="34" t="s">
        <v>5268</v>
      </c>
      <c r="CZ4341" s="35">
        <v>0.14492945375999999</v>
      </c>
    </row>
    <row r="4342" spans="103:104" x14ac:dyDescent="0.3">
      <c r="CY4342" s="34" t="s">
        <v>5269</v>
      </c>
      <c r="CZ4342" s="35">
        <v>0.1145618336356</v>
      </c>
    </row>
    <row r="4343" spans="103:104" x14ac:dyDescent="0.3">
      <c r="CY4343" s="34" t="s">
        <v>5270</v>
      </c>
      <c r="CZ4343" s="35">
        <v>0.1145618336356</v>
      </c>
    </row>
    <row r="4344" spans="103:104" x14ac:dyDescent="0.3">
      <c r="CY4344" s="34" t="s">
        <v>5271</v>
      </c>
      <c r="CZ4344" s="35">
        <v>0.1145618336356</v>
      </c>
    </row>
    <row r="4345" spans="103:104" x14ac:dyDescent="0.3">
      <c r="CY4345" s="34" t="s">
        <v>5272</v>
      </c>
      <c r="CZ4345" s="35">
        <v>0.1145618336356</v>
      </c>
    </row>
    <row r="4346" spans="103:104" x14ac:dyDescent="0.3">
      <c r="CY4346" s="34" t="s">
        <v>5273</v>
      </c>
      <c r="CZ4346" s="35">
        <v>9.0989170062199989E-2</v>
      </c>
    </row>
    <row r="4347" spans="103:104" x14ac:dyDescent="0.3">
      <c r="CY4347" s="34" t="s">
        <v>5274</v>
      </c>
      <c r="CZ4347" s="35">
        <v>9.0989170062199989E-2</v>
      </c>
    </row>
    <row r="4348" spans="103:104" x14ac:dyDescent="0.3">
      <c r="CY4348" s="34" t="s">
        <v>5275</v>
      </c>
      <c r="CZ4348" s="35">
        <v>5.8730177791999995E-2</v>
      </c>
    </row>
    <row r="4349" spans="103:104" x14ac:dyDescent="0.3">
      <c r="CY4349" s="34" t="s">
        <v>5276</v>
      </c>
      <c r="CZ4349" s="35">
        <v>3.4969509120000002E-3</v>
      </c>
    </row>
    <row r="4350" spans="103:104" x14ac:dyDescent="0.3">
      <c r="CY4350" s="34" t="s">
        <v>5277</v>
      </c>
      <c r="CZ4350" s="35">
        <v>3.4969509120000002E-3</v>
      </c>
    </row>
    <row r="4351" spans="103:104" x14ac:dyDescent="0.3">
      <c r="CY4351" s="34" t="s">
        <v>5278</v>
      </c>
      <c r="CZ4351" s="35">
        <v>0.33447422112000003</v>
      </c>
    </row>
    <row r="4352" spans="103:104" x14ac:dyDescent="0.3">
      <c r="CY4352" s="34" t="s">
        <v>5279</v>
      </c>
      <c r="CZ4352" s="35">
        <v>2.7597121968000002E-2</v>
      </c>
    </row>
    <row r="4353" spans="103:104" x14ac:dyDescent="0.3">
      <c r="CY4353" s="34" t="s">
        <v>5280</v>
      </c>
      <c r="CZ4353" s="35">
        <v>1.9547626592000003E-2</v>
      </c>
    </row>
    <row r="4354" spans="103:104" x14ac:dyDescent="0.3">
      <c r="CY4354" s="34" t="s">
        <v>5281</v>
      </c>
      <c r="CZ4354" s="35">
        <v>3.57588E-2</v>
      </c>
    </row>
    <row r="4355" spans="103:104" x14ac:dyDescent="0.3">
      <c r="CY4355" s="34" t="s">
        <v>5282</v>
      </c>
      <c r="CZ4355" s="35">
        <v>2.1709693408E-2</v>
      </c>
    </row>
    <row r="4356" spans="103:104" x14ac:dyDescent="0.3">
      <c r="CY4356" s="34" t="s">
        <v>5283</v>
      </c>
      <c r="CZ4356" s="35">
        <v>1.9244337632000001E-2</v>
      </c>
    </row>
    <row r="4357" spans="103:104" x14ac:dyDescent="0.3">
      <c r="CY4357" s="34" t="s">
        <v>5284</v>
      </c>
      <c r="CZ4357" s="35">
        <v>9.361299665882353E-4</v>
      </c>
    </row>
    <row r="4358" spans="103:104" x14ac:dyDescent="0.3">
      <c r="CY4358" s="34" t="s">
        <v>5285</v>
      </c>
      <c r="CZ4358" s="35">
        <v>9.2166318400000013E-3</v>
      </c>
    </row>
    <row r="4359" spans="103:104" x14ac:dyDescent="0.3">
      <c r="CY4359" s="34" t="s">
        <v>5286</v>
      </c>
      <c r="CZ4359" s="35">
        <v>2.8634973119999996E-3</v>
      </c>
    </row>
    <row r="4360" spans="103:104" x14ac:dyDescent="0.3">
      <c r="CY4360" s="34" t="s">
        <v>5287</v>
      </c>
      <c r="CZ4360" s="35">
        <v>2.1449980447999999E-2</v>
      </c>
    </row>
    <row r="4361" spans="103:104" x14ac:dyDescent="0.3">
      <c r="CY4361" s="34" t="s">
        <v>5288</v>
      </c>
      <c r="CZ4361" s="35">
        <v>1.6362392176000003E-2</v>
      </c>
    </row>
    <row r="4362" spans="103:104" x14ac:dyDescent="0.3">
      <c r="CY4362" s="34" t="s">
        <v>5289</v>
      </c>
      <c r="CZ4362" s="35">
        <v>5.4165211567999999E-2</v>
      </c>
    </row>
    <row r="4363" spans="103:104" x14ac:dyDescent="0.3">
      <c r="CY4363" s="34" t="s">
        <v>5290</v>
      </c>
      <c r="CZ4363" s="35">
        <v>4.9117417647999997E-2</v>
      </c>
    </row>
    <row r="4364" spans="103:104" x14ac:dyDescent="0.3">
      <c r="CY4364" s="34" t="s">
        <v>5291</v>
      </c>
      <c r="CZ4364" s="35">
        <v>3.9674652159999999E-3</v>
      </c>
    </row>
    <row r="4365" spans="103:104" x14ac:dyDescent="0.3">
      <c r="CY4365" s="34" t="s">
        <v>5292</v>
      </c>
      <c r="CZ4365" s="35">
        <v>4.5611373079999996E-2</v>
      </c>
    </row>
    <row r="4366" spans="103:104" x14ac:dyDescent="0.3">
      <c r="CY4366" s="34" t="s">
        <v>5293</v>
      </c>
      <c r="CZ4366" s="35">
        <v>4.5462421783999993E-2</v>
      </c>
    </row>
    <row r="4367" spans="103:104" x14ac:dyDescent="0.3">
      <c r="CY4367" s="34" t="s">
        <v>5294</v>
      </c>
      <c r="CZ4367" s="35">
        <v>6.468789631199999E-2</v>
      </c>
    </row>
    <row r="4368" spans="103:104" x14ac:dyDescent="0.3">
      <c r="CY4368" s="34" t="s">
        <v>5295</v>
      </c>
      <c r="CZ4368" s="35">
        <v>1.2753960959999999E-3</v>
      </c>
    </row>
    <row r="4369" spans="103:104" x14ac:dyDescent="0.3">
      <c r="CY4369" s="34" t="s">
        <v>5296</v>
      </c>
      <c r="CZ4369" s="35">
        <v>3.0029752000000003E-2</v>
      </c>
    </row>
    <row r="4370" spans="103:104" x14ac:dyDescent="0.3">
      <c r="CY4370" s="34" t="s">
        <v>5297</v>
      </c>
      <c r="CZ4370" s="35">
        <v>6.73213439677966E-4</v>
      </c>
    </row>
    <row r="4371" spans="103:104" x14ac:dyDescent="0.3">
      <c r="CY4371" s="34" t="s">
        <v>5298</v>
      </c>
      <c r="CZ4371" s="35">
        <v>2.4275622592000005E-2</v>
      </c>
    </row>
    <row r="4372" spans="103:104" x14ac:dyDescent="0.3">
      <c r="CY4372" s="34" t="s">
        <v>5299</v>
      </c>
      <c r="CZ4372" s="35">
        <v>5.6730141519999999E-3</v>
      </c>
    </row>
    <row r="4373" spans="103:104" x14ac:dyDescent="0.3">
      <c r="CY4373" s="34" t="s">
        <v>5300</v>
      </c>
      <c r="CZ4373" s="35">
        <v>2.6362648000000002E-4</v>
      </c>
    </row>
    <row r="4374" spans="103:104" x14ac:dyDescent="0.3">
      <c r="CY4374" s="34" t="s">
        <v>5301</v>
      </c>
      <c r="CZ4374" s="35">
        <v>5.8730177791999995E-2</v>
      </c>
    </row>
    <row r="4375" spans="103:104" x14ac:dyDescent="0.3">
      <c r="CY4375" s="34" t="s">
        <v>5302</v>
      </c>
      <c r="CZ4375" s="35">
        <v>9.6099732000000013E-4</v>
      </c>
    </row>
    <row r="4376" spans="103:104" x14ac:dyDescent="0.3">
      <c r="CY4376" s="34" t="s">
        <v>5303</v>
      </c>
      <c r="CZ4376" s="35">
        <v>4.0262757599999997E-3</v>
      </c>
    </row>
    <row r="4377" spans="103:104" x14ac:dyDescent="0.3">
      <c r="CY4377" s="34" t="s">
        <v>5304</v>
      </c>
      <c r="CZ4377" s="35">
        <v>1.1769124224E-2</v>
      </c>
    </row>
    <row r="4378" spans="103:104" x14ac:dyDescent="0.3">
      <c r="CY4378" s="34" t="s">
        <v>5305</v>
      </c>
      <c r="CZ4378" s="35">
        <v>4.5177177759999996E-3</v>
      </c>
    </row>
    <row r="4379" spans="103:104" x14ac:dyDescent="0.3">
      <c r="CY4379" s="34" t="s">
        <v>5306</v>
      </c>
      <c r="CZ4379" s="35">
        <v>1.5430350640000003E-3</v>
      </c>
    </row>
    <row r="4380" spans="103:104" x14ac:dyDescent="0.3">
      <c r="CY4380" s="34" t="s">
        <v>5307</v>
      </c>
      <c r="CZ4380" s="35">
        <v>7.0696689280000009E-3</v>
      </c>
    </row>
    <row r="4381" spans="103:104" x14ac:dyDescent="0.3">
      <c r="CY4381" s="34" t="s">
        <v>5308</v>
      </c>
      <c r="CZ4381" s="35">
        <v>3.9718347000000003E-4</v>
      </c>
    </row>
    <row r="4382" spans="103:104" x14ac:dyDescent="0.3">
      <c r="CY4382" s="34" t="s">
        <v>5309</v>
      </c>
      <c r="CZ4382" s="35">
        <v>2.6127754239999999E-3</v>
      </c>
    </row>
    <row r="4383" spans="103:104" x14ac:dyDescent="0.3">
      <c r="CY4383" s="34" t="s">
        <v>5310</v>
      </c>
      <c r="CZ4383" s="35">
        <v>11.5682995792</v>
      </c>
    </row>
    <row r="4384" spans="103:104" x14ac:dyDescent="0.3">
      <c r="CY4384" s="34" t="s">
        <v>5311</v>
      </c>
      <c r="CZ4384" s="35">
        <v>9.8181370560000009E-3</v>
      </c>
    </row>
    <row r="4385" spans="103:104" x14ac:dyDescent="0.3">
      <c r="CY4385" s="34" t="s">
        <v>5312</v>
      </c>
      <c r="CZ4385" s="35">
        <v>9.8181370560000009E-3</v>
      </c>
    </row>
    <row r="4386" spans="103:104" x14ac:dyDescent="0.3">
      <c r="CY4386" s="34" t="s">
        <v>5313</v>
      </c>
      <c r="CZ4386" s="35">
        <v>7.0817450079999995E-3</v>
      </c>
    </row>
    <row r="4387" spans="103:104" x14ac:dyDescent="0.3">
      <c r="CY4387" s="34" t="s">
        <v>5314</v>
      </c>
      <c r="CZ4387" s="35">
        <v>0.15609942306400001</v>
      </c>
    </row>
    <row r="4388" spans="103:104" x14ac:dyDescent="0.3">
      <c r="CY4388" s="34" t="s">
        <v>5315</v>
      </c>
      <c r="CZ4388" s="35">
        <v>3.8299188719999998E-3</v>
      </c>
    </row>
    <row r="4389" spans="103:104" x14ac:dyDescent="0.3">
      <c r="CY4389" s="34" t="s">
        <v>5316</v>
      </c>
      <c r="CZ4389" s="35">
        <v>5.5830538503999994E-2</v>
      </c>
    </row>
    <row r="4390" spans="103:104" x14ac:dyDescent="0.3">
      <c r="CY4390" s="34" t="s">
        <v>5317</v>
      </c>
      <c r="CZ4390" s="35">
        <v>9.7361856800000021E-3</v>
      </c>
    </row>
    <row r="4391" spans="103:104" x14ac:dyDescent="0.3">
      <c r="CY4391" s="34" t="s">
        <v>5318</v>
      </c>
      <c r="CZ4391" s="35">
        <v>7.3935526079999996E-3</v>
      </c>
    </row>
    <row r="4392" spans="103:104" x14ac:dyDescent="0.3">
      <c r="CY4392" s="34" t="s">
        <v>5319</v>
      </c>
      <c r="CZ4392" s="35">
        <v>3.6065992559999997E-3</v>
      </c>
    </row>
    <row r="4393" spans="103:104" x14ac:dyDescent="0.3">
      <c r="CY4393" s="34" t="s">
        <v>5320</v>
      </c>
      <c r="CZ4393" s="35">
        <v>1.7668083968000001E-2</v>
      </c>
    </row>
    <row r="4394" spans="103:104" x14ac:dyDescent="0.3">
      <c r="CY4394" s="34" t="s">
        <v>5321</v>
      </c>
      <c r="CZ4394" s="35">
        <v>2.0152295360000003E-2</v>
      </c>
    </row>
    <row r="4395" spans="103:104" x14ac:dyDescent="0.3">
      <c r="CY4395" s="34" t="s">
        <v>5322</v>
      </c>
      <c r="CZ4395" s="35">
        <v>7.8748519799999986E-2</v>
      </c>
    </row>
    <row r="4396" spans="103:104" x14ac:dyDescent="0.3">
      <c r="CY4396" s="34" t="s">
        <v>5323</v>
      </c>
      <c r="CZ4396" s="35">
        <v>5.0420012608000005E-2</v>
      </c>
    </row>
    <row r="4397" spans="103:104" x14ac:dyDescent="0.3">
      <c r="CY4397" s="34" t="s">
        <v>5324</v>
      </c>
      <c r="CZ4397" s="35">
        <v>6.9625144920000021E-2</v>
      </c>
    </row>
    <row r="4398" spans="103:104" x14ac:dyDescent="0.3">
      <c r="CY4398" s="34" t="s">
        <v>5325</v>
      </c>
      <c r="CZ4398" s="35">
        <v>2.847380104E-2</v>
      </c>
    </row>
    <row r="4399" spans="103:104" x14ac:dyDescent="0.3">
      <c r="CY4399" s="34" t="s">
        <v>5326</v>
      </c>
      <c r="CZ4399" s="35">
        <v>1.9304646816000002E-2</v>
      </c>
    </row>
    <row r="4400" spans="103:104" x14ac:dyDescent="0.3">
      <c r="CY4400" s="34" t="s">
        <v>5327</v>
      </c>
      <c r="CZ4400" s="35">
        <v>3.6464293333333335E-2</v>
      </c>
    </row>
    <row r="4401" spans="103:104" x14ac:dyDescent="0.3">
      <c r="CY4401" s="34" t="s">
        <v>5328</v>
      </c>
      <c r="CZ4401" s="35">
        <v>5.4203262879999999E-2</v>
      </c>
    </row>
    <row r="4402" spans="103:104" x14ac:dyDescent="0.3">
      <c r="CY4402" s="34" t="s">
        <v>5329</v>
      </c>
      <c r="CZ4402" s="35">
        <v>1.200269824E-2</v>
      </c>
    </row>
    <row r="4403" spans="103:104" x14ac:dyDescent="0.3">
      <c r="CY4403" s="34" t="s">
        <v>5330</v>
      </c>
      <c r="CZ4403" s="35">
        <v>1.2683601840000001E-2</v>
      </c>
    </row>
    <row r="4404" spans="103:104" x14ac:dyDescent="0.3">
      <c r="CY4404" s="34" t="s">
        <v>5331</v>
      </c>
      <c r="CZ4404" s="35">
        <v>9.3242333333333326E-3</v>
      </c>
    </row>
    <row r="4405" spans="103:104" x14ac:dyDescent="0.3">
      <c r="CY4405" s="34" t="s">
        <v>5332</v>
      </c>
      <c r="CZ4405" s="35">
        <v>0.11138072825000001</v>
      </c>
    </row>
    <row r="4406" spans="103:104" x14ac:dyDescent="0.3">
      <c r="CY4406" s="34" t="s">
        <v>5333</v>
      </c>
      <c r="CZ4406" s="35">
        <v>3.9412160959999996E-3</v>
      </c>
    </row>
    <row r="4407" spans="103:104" x14ac:dyDescent="0.3">
      <c r="CY4407" s="34" t="s">
        <v>5334</v>
      </c>
      <c r="CZ4407" s="35">
        <v>1.8143162560000001E-3</v>
      </c>
    </row>
    <row r="4408" spans="103:104" x14ac:dyDescent="0.3">
      <c r="CY4408" s="34" t="s">
        <v>5335</v>
      </c>
      <c r="CZ4408" s="35">
        <v>7.228791199999999E-4</v>
      </c>
    </row>
    <row r="4409" spans="103:104" x14ac:dyDescent="0.3">
      <c r="CY4409" s="34" t="s">
        <v>5336</v>
      </c>
      <c r="CZ4409" s="35">
        <v>2.7339764504E-2</v>
      </c>
    </row>
    <row r="4410" spans="103:104" x14ac:dyDescent="0.3">
      <c r="CY4410" s="34" t="s">
        <v>5337</v>
      </c>
      <c r="CZ4410" s="35">
        <v>3.9107654871999999E-2</v>
      </c>
    </row>
    <row r="4411" spans="103:104" x14ac:dyDescent="0.3">
      <c r="CY4411" s="34" t="s">
        <v>5338</v>
      </c>
      <c r="CZ4411" s="35">
        <v>5.1686238879999999E-2</v>
      </c>
    </row>
    <row r="4412" spans="103:104" x14ac:dyDescent="0.3">
      <c r="CY4412" s="34" t="s">
        <v>5339</v>
      </c>
      <c r="CZ4412" s="35">
        <v>6.287382399999999E-4</v>
      </c>
    </row>
    <row r="4413" spans="103:104" x14ac:dyDescent="0.3">
      <c r="CY4413" s="34" t="s">
        <v>5340</v>
      </c>
      <c r="CZ4413" s="35">
        <v>3.8943496000000001E-2</v>
      </c>
    </row>
    <row r="4414" spans="103:104" x14ac:dyDescent="0.3">
      <c r="CY4414" s="34" t="s">
        <v>5341</v>
      </c>
      <c r="CZ4414" s="35">
        <v>3.8943496000000001E-2</v>
      </c>
    </row>
    <row r="4415" spans="103:104" x14ac:dyDescent="0.3">
      <c r="CY4415" s="34" t="s">
        <v>5342</v>
      </c>
      <c r="CZ4415" s="35">
        <v>2.0286261840000001E-3</v>
      </c>
    </row>
    <row r="4416" spans="103:104" x14ac:dyDescent="0.3">
      <c r="CY4416" s="34" t="s">
        <v>5343</v>
      </c>
      <c r="CZ4416" s="35">
        <v>4.4970482959999995E-2</v>
      </c>
    </row>
    <row r="4417" spans="103:104" x14ac:dyDescent="0.3">
      <c r="CY4417" s="34" t="s">
        <v>5344</v>
      </c>
      <c r="CZ4417" s="35">
        <v>4.0160640831999994E-2</v>
      </c>
    </row>
    <row r="4418" spans="103:104" x14ac:dyDescent="0.3">
      <c r="CY4418" s="34" t="s">
        <v>5345</v>
      </c>
      <c r="CZ4418" s="35">
        <v>3.7681658559999998E-2</v>
      </c>
    </row>
    <row r="4419" spans="103:104" x14ac:dyDescent="0.3">
      <c r="CY4419" s="34" t="s">
        <v>5346</v>
      </c>
      <c r="CZ4419" s="35">
        <v>2.4580654592000001E-2</v>
      </c>
    </row>
    <row r="4420" spans="103:104" x14ac:dyDescent="0.3">
      <c r="CY4420" s="34" t="s">
        <v>5347</v>
      </c>
      <c r="CZ4420" s="35">
        <v>2.8576225183999996E-2</v>
      </c>
    </row>
    <row r="4421" spans="103:104" x14ac:dyDescent="0.3">
      <c r="CY4421" s="34" t="s">
        <v>5348</v>
      </c>
      <c r="CZ4421" s="35">
        <v>1.6496086464000002E-2</v>
      </c>
    </row>
    <row r="4422" spans="103:104" x14ac:dyDescent="0.3">
      <c r="CY4422" s="34" t="s">
        <v>5349</v>
      </c>
      <c r="CZ4422" s="35">
        <v>1.9495566272000001E-2</v>
      </c>
    </row>
    <row r="4423" spans="103:104" x14ac:dyDescent="0.3">
      <c r="CY4423" s="34" t="s">
        <v>5350</v>
      </c>
      <c r="CZ4423" s="35">
        <v>1.4057158336000002E-2</v>
      </c>
    </row>
    <row r="4424" spans="103:104" x14ac:dyDescent="0.3">
      <c r="CY4424" s="34" t="s">
        <v>5351</v>
      </c>
      <c r="CZ4424" s="35">
        <v>1.788162896E-2</v>
      </c>
    </row>
    <row r="4425" spans="103:104" x14ac:dyDescent="0.3">
      <c r="CY4425" s="34" t="s">
        <v>5352</v>
      </c>
      <c r="CZ4425" s="35">
        <v>8.841352000000002E-3</v>
      </c>
    </row>
    <row r="4426" spans="103:104" x14ac:dyDescent="0.3">
      <c r="CY4426" s="34" t="s">
        <v>5353</v>
      </c>
      <c r="CZ4426" s="35">
        <v>5.332008448E-3</v>
      </c>
    </row>
    <row r="4427" spans="103:104" x14ac:dyDescent="0.3">
      <c r="CY4427" s="34" t="s">
        <v>5354</v>
      </c>
      <c r="CZ4427" s="35">
        <v>4.4110422720000002E-3</v>
      </c>
    </row>
    <row r="4428" spans="103:104" x14ac:dyDescent="0.3">
      <c r="CY4428" s="34" t="s">
        <v>5355</v>
      </c>
      <c r="CZ4428" s="35">
        <v>2.7378197599999998E-3</v>
      </c>
    </row>
    <row r="4429" spans="103:104" x14ac:dyDescent="0.3">
      <c r="CY4429" s="34" t="s">
        <v>5356</v>
      </c>
      <c r="CZ4429" s="35">
        <v>3.3517194880000002E-3</v>
      </c>
    </row>
    <row r="4430" spans="103:104" x14ac:dyDescent="0.3">
      <c r="CY4430" s="34" t="s">
        <v>5357</v>
      </c>
      <c r="CZ4430" s="35">
        <v>1.8760120392E-2</v>
      </c>
    </row>
    <row r="4431" spans="103:104" x14ac:dyDescent="0.3">
      <c r="CY4431" s="34" t="s">
        <v>5358</v>
      </c>
      <c r="CZ4431" s="35">
        <v>9.9574800000000008E-4</v>
      </c>
    </row>
    <row r="4432" spans="103:104" x14ac:dyDescent="0.3">
      <c r="CY4432" s="34" t="s">
        <v>5359</v>
      </c>
      <c r="CZ4432" s="35">
        <v>2.073212E-2</v>
      </c>
    </row>
    <row r="4433" spans="103:104" x14ac:dyDescent="0.3">
      <c r="CY4433" s="34" t="s">
        <v>5360</v>
      </c>
      <c r="CZ4433" s="35">
        <v>4.5183453120000005E-3</v>
      </c>
    </row>
    <row r="4434" spans="103:104" x14ac:dyDescent="0.3">
      <c r="CY4434" s="34" t="s">
        <v>5361</v>
      </c>
      <c r="CZ4434" s="35">
        <v>2.0251108800000001E-2</v>
      </c>
    </row>
    <row r="4435" spans="103:104" x14ac:dyDescent="0.3">
      <c r="CY4435" s="34" t="s">
        <v>5362</v>
      </c>
      <c r="CZ4435" s="35">
        <v>3.1371887039999997E-2</v>
      </c>
    </row>
    <row r="4436" spans="103:104" x14ac:dyDescent="0.3">
      <c r="CY4436" s="34" t="s">
        <v>5363</v>
      </c>
      <c r="CZ4436" s="35">
        <v>3.1455036400000004E-2</v>
      </c>
    </row>
    <row r="4437" spans="103:104" x14ac:dyDescent="0.3">
      <c r="CY4437" s="34" t="s">
        <v>5364</v>
      </c>
      <c r="CZ4437" s="35">
        <v>0.57725562751999993</v>
      </c>
    </row>
    <row r="4438" spans="103:104" x14ac:dyDescent="0.3">
      <c r="CY4438" s="34" t="s">
        <v>5365</v>
      </c>
      <c r="CZ4438" s="35">
        <v>3.7247042143999994E-2</v>
      </c>
    </row>
    <row r="4439" spans="103:104" x14ac:dyDescent="0.3">
      <c r="CY4439" s="34" t="s">
        <v>5366</v>
      </c>
      <c r="CZ4439" s="35">
        <v>3.9672683648000001E-2</v>
      </c>
    </row>
    <row r="4440" spans="103:104" x14ac:dyDescent="0.3">
      <c r="CY4440" s="34" t="s">
        <v>5367</v>
      </c>
      <c r="CZ4440" s="35">
        <v>5.8391762832000003E-2</v>
      </c>
    </row>
    <row r="4441" spans="103:104" x14ac:dyDescent="0.3">
      <c r="CY4441" s="34" t="s">
        <v>5368</v>
      </c>
      <c r="CZ4441" s="35">
        <v>0.22955540192000001</v>
      </c>
    </row>
    <row r="4442" spans="103:104" x14ac:dyDescent="0.3">
      <c r="CY4442" s="34" t="s">
        <v>5369</v>
      </c>
      <c r="CZ4442" s="35">
        <v>1.7402561280000003E-3</v>
      </c>
    </row>
    <row r="4443" spans="103:104" x14ac:dyDescent="0.3">
      <c r="CY4443" s="34" t="s">
        <v>5370</v>
      </c>
      <c r="CZ4443" s="35">
        <v>3.6618340719999998E-3</v>
      </c>
    </row>
    <row r="4444" spans="103:104" x14ac:dyDescent="0.3">
      <c r="CY4444" s="34" t="s">
        <v>5371</v>
      </c>
      <c r="CZ4444" s="35">
        <v>1.9842838080000001E-3</v>
      </c>
    </row>
    <row r="4445" spans="103:104" x14ac:dyDescent="0.3">
      <c r="CY4445" s="34" t="s">
        <v>5372</v>
      </c>
      <c r="CZ4445" s="35">
        <v>9.8936968000000003E-4</v>
      </c>
    </row>
    <row r="4446" spans="103:104" x14ac:dyDescent="0.3">
      <c r="CY4446" s="34" t="s">
        <v>5373</v>
      </c>
      <c r="CZ4446" s="35">
        <v>8.0017092480000017E-3</v>
      </c>
    </row>
    <row r="4447" spans="103:104" x14ac:dyDescent="0.3">
      <c r="CY4447" s="34" t="s">
        <v>5374</v>
      </c>
      <c r="CZ4447" s="35">
        <v>8.2237583999999987E-4</v>
      </c>
    </row>
    <row r="4448" spans="103:104" x14ac:dyDescent="0.3">
      <c r="CY4448" s="34" t="s">
        <v>5375</v>
      </c>
      <c r="CZ4448" s="35">
        <v>8.2237583999999987E-4</v>
      </c>
    </row>
    <row r="4449" spans="103:104" x14ac:dyDescent="0.3">
      <c r="CY4449" s="34" t="s">
        <v>5376</v>
      </c>
      <c r="CZ4449" s="35">
        <v>9.4380228800000003E-4</v>
      </c>
    </row>
    <row r="4450" spans="103:104" x14ac:dyDescent="0.3">
      <c r="CY4450" s="34" t="s">
        <v>5377</v>
      </c>
      <c r="CZ4450" s="35">
        <v>9.4380228800000003E-4</v>
      </c>
    </row>
    <row r="4451" spans="103:104" x14ac:dyDescent="0.3">
      <c r="CY4451" s="34" t="s">
        <v>5378</v>
      </c>
      <c r="CZ4451" s="35">
        <v>6.5555661599999999E-4</v>
      </c>
    </row>
    <row r="4452" spans="103:104" x14ac:dyDescent="0.3">
      <c r="CY4452" s="34" t="s">
        <v>5379</v>
      </c>
      <c r="CZ4452" s="35">
        <v>6.5555661599999999E-4</v>
      </c>
    </row>
    <row r="4453" spans="103:104" x14ac:dyDescent="0.3">
      <c r="CY4453" s="34" t="s">
        <v>5380</v>
      </c>
      <c r="CZ4453" s="35">
        <v>3.6567870560000005E-3</v>
      </c>
    </row>
    <row r="4454" spans="103:104" x14ac:dyDescent="0.3">
      <c r="CY4454" s="34" t="s">
        <v>5381</v>
      </c>
      <c r="CZ4454" s="35">
        <v>2.09606592E-3</v>
      </c>
    </row>
    <row r="4455" spans="103:104" x14ac:dyDescent="0.3">
      <c r="CY4455" s="34" t="s">
        <v>5382</v>
      </c>
      <c r="CZ4455" s="35">
        <v>2.09606592E-3</v>
      </c>
    </row>
    <row r="4456" spans="103:104" x14ac:dyDescent="0.3">
      <c r="CY4456" s="34" t="s">
        <v>5383</v>
      </c>
      <c r="CZ4456" s="35">
        <v>3.7906681279999996E-3</v>
      </c>
    </row>
    <row r="4457" spans="103:104" x14ac:dyDescent="0.3">
      <c r="CY4457" s="34" t="s">
        <v>5384</v>
      </c>
      <c r="CZ4457" s="35">
        <v>2.8578510999999997E-2</v>
      </c>
    </row>
    <row r="4458" spans="103:104" x14ac:dyDescent="0.3">
      <c r="CY4458" s="34" t="s">
        <v>5385</v>
      </c>
      <c r="CZ4458" s="35">
        <v>1.9508175648E-2</v>
      </c>
    </row>
    <row r="4459" spans="103:104" x14ac:dyDescent="0.3">
      <c r="CY4459" s="34" t="s">
        <v>5386</v>
      </c>
      <c r="CZ4459" s="35">
        <v>1.2839476416000001E-2</v>
      </c>
    </row>
    <row r="4460" spans="103:104" x14ac:dyDescent="0.3">
      <c r="CY4460" s="34" t="s">
        <v>5387</v>
      </c>
      <c r="CZ4460" s="35">
        <v>3.8898446080000001E-3</v>
      </c>
    </row>
    <row r="4461" spans="103:104" x14ac:dyDescent="0.3">
      <c r="CY4461" s="34" t="s">
        <v>5388</v>
      </c>
      <c r="CZ4461" s="35">
        <v>7.5475154559999993E-3</v>
      </c>
    </row>
    <row r="4462" spans="103:104" x14ac:dyDescent="0.3">
      <c r="CY4462" s="34" t="s">
        <v>5389</v>
      </c>
      <c r="CZ4462" s="35">
        <v>4.6844875999999994E-2</v>
      </c>
    </row>
    <row r="4463" spans="103:104" x14ac:dyDescent="0.3">
      <c r="CY4463" s="34" t="s">
        <v>5390</v>
      </c>
      <c r="CZ4463" s="35">
        <v>4.5329097840000002E-3</v>
      </c>
    </row>
    <row r="4464" spans="103:104" x14ac:dyDescent="0.3">
      <c r="CY4464" s="34" t="s">
        <v>5391</v>
      </c>
      <c r="CZ4464" s="35">
        <v>3.0472473200000003E-3</v>
      </c>
    </row>
    <row r="4465" spans="103:104" x14ac:dyDescent="0.3">
      <c r="CY4465" s="34" t="s">
        <v>5392</v>
      </c>
      <c r="CZ4465" s="35">
        <v>9.9437520000000019E-3</v>
      </c>
    </row>
    <row r="4466" spans="103:104" x14ac:dyDescent="0.3">
      <c r="CY4466" s="34" t="s">
        <v>5393</v>
      </c>
      <c r="CZ4466" s="35">
        <v>3.6567870560000005E-3</v>
      </c>
    </row>
    <row r="4467" spans="103:104" x14ac:dyDescent="0.3">
      <c r="CY4467" s="34" t="s">
        <v>5394</v>
      </c>
      <c r="CZ4467" s="35">
        <v>7.6215631439999999E-3</v>
      </c>
    </row>
    <row r="4468" spans="103:104" x14ac:dyDescent="0.3">
      <c r="CY4468" s="34" t="s">
        <v>5395</v>
      </c>
      <c r="CZ4468" s="35">
        <v>3.6888093839999997E-3</v>
      </c>
    </row>
    <row r="4469" spans="103:104" x14ac:dyDescent="0.3">
      <c r="CY4469" s="34" t="s">
        <v>5396</v>
      </c>
      <c r="CZ4469" s="35">
        <v>8.2378722192000001E-2</v>
      </c>
    </row>
    <row r="4470" spans="103:104" x14ac:dyDescent="0.3">
      <c r="CY4470" s="34" t="s">
        <v>5397</v>
      </c>
      <c r="CZ4470" s="35">
        <v>3.9017175079999994E-2</v>
      </c>
    </row>
    <row r="4471" spans="103:104" x14ac:dyDescent="0.3">
      <c r="CY4471" s="34" t="s">
        <v>5398</v>
      </c>
      <c r="CZ4471" s="35">
        <v>1.3776159904000001E-2</v>
      </c>
    </row>
    <row r="4472" spans="103:104" x14ac:dyDescent="0.3">
      <c r="CY4472" s="34" t="s">
        <v>5399</v>
      </c>
      <c r="CZ4472" s="35">
        <v>8.3907595199999988E-4</v>
      </c>
    </row>
    <row r="4473" spans="103:104" x14ac:dyDescent="0.3">
      <c r="CY4473" s="34" t="s">
        <v>5400</v>
      </c>
      <c r="CZ4473" s="35">
        <v>0.10646340432</v>
      </c>
    </row>
    <row r="4474" spans="103:104" x14ac:dyDescent="0.3">
      <c r="CY4474" s="34" t="s">
        <v>5401</v>
      </c>
      <c r="CZ4474" s="35">
        <v>0.12065947712</v>
      </c>
    </row>
    <row r="4475" spans="103:104" x14ac:dyDescent="0.3">
      <c r="CY4475" s="34" t="s">
        <v>5402</v>
      </c>
      <c r="CZ4475" s="35">
        <v>0.12065947712</v>
      </c>
    </row>
    <row r="4476" spans="103:104" x14ac:dyDescent="0.3">
      <c r="CY4476" s="34" t="s">
        <v>5403</v>
      </c>
      <c r="CZ4476" s="35">
        <v>0.10646340432</v>
      </c>
    </row>
    <row r="4477" spans="103:104" x14ac:dyDescent="0.3">
      <c r="CY4477" s="34" t="s">
        <v>5404</v>
      </c>
      <c r="CZ4477" s="35">
        <v>6.0160360207999995E-2</v>
      </c>
    </row>
    <row r="4478" spans="103:104" x14ac:dyDescent="0.3">
      <c r="CY4478" s="34" t="s">
        <v>5405</v>
      </c>
      <c r="CZ4478" s="35">
        <v>4.2919527039999995E-2</v>
      </c>
    </row>
    <row r="4479" spans="103:104" x14ac:dyDescent="0.3">
      <c r="CY4479" s="34" t="s">
        <v>5406</v>
      </c>
      <c r="CZ4479" s="35">
        <v>2.3791410240000003E-3</v>
      </c>
    </row>
    <row r="4480" spans="103:104" x14ac:dyDescent="0.3">
      <c r="CY4480" s="34" t="s">
        <v>5407</v>
      </c>
      <c r="CZ4480" s="35">
        <v>3.0193079280000003E-3</v>
      </c>
    </row>
    <row r="4481" spans="103:104" x14ac:dyDescent="0.3">
      <c r="CY4481" s="34" t="s">
        <v>5408</v>
      </c>
      <c r="CZ4481" s="35">
        <v>6.0179171520000005E-3</v>
      </c>
    </row>
    <row r="4482" spans="103:104" x14ac:dyDescent="0.3">
      <c r="CY4482" s="34" t="s">
        <v>5409</v>
      </c>
      <c r="CZ4482" s="35">
        <v>1.4216101119999998E-3</v>
      </c>
    </row>
    <row r="4483" spans="103:104" x14ac:dyDescent="0.3">
      <c r="CY4483" s="34" t="s">
        <v>5410</v>
      </c>
      <c r="CZ4483" s="35">
        <v>9.2363672960000011E-3</v>
      </c>
    </row>
    <row r="4484" spans="103:104" x14ac:dyDescent="0.3">
      <c r="CY4484" s="34" t="s">
        <v>5411</v>
      </c>
      <c r="CZ4484" s="35">
        <v>1.3127045568E-2</v>
      </c>
    </row>
    <row r="4485" spans="103:104" x14ac:dyDescent="0.3">
      <c r="CY4485" s="34" t="s">
        <v>5412</v>
      </c>
      <c r="CZ4485" s="35">
        <v>8.0850392376000002E-2</v>
      </c>
    </row>
    <row r="4486" spans="103:104" x14ac:dyDescent="0.3">
      <c r="CY4486" s="34" t="s">
        <v>5413</v>
      </c>
      <c r="CZ4486" s="35">
        <v>6.7819697087999994E-2</v>
      </c>
    </row>
    <row r="4487" spans="103:104" x14ac:dyDescent="0.3">
      <c r="CY4487" s="34" t="s">
        <v>5414</v>
      </c>
      <c r="CZ4487" s="35">
        <v>2.2341799999999999E-4</v>
      </c>
    </row>
    <row r="4488" spans="103:104" x14ac:dyDescent="0.3">
      <c r="CY4488" s="34" t="s">
        <v>5415</v>
      </c>
      <c r="CZ4488" s="35">
        <v>2.6902447925333334E-2</v>
      </c>
    </row>
    <row r="4489" spans="103:104" x14ac:dyDescent="0.3">
      <c r="CY4489" s="34" t="s">
        <v>5416</v>
      </c>
      <c r="CZ4489" s="35">
        <v>2.6653114592E-2</v>
      </c>
    </row>
    <row r="4490" spans="103:104" x14ac:dyDescent="0.3">
      <c r="CY4490" s="34" t="s">
        <v>5417</v>
      </c>
      <c r="CZ4490" s="35">
        <v>5.001637657E-2</v>
      </c>
    </row>
    <row r="4491" spans="103:104" x14ac:dyDescent="0.3">
      <c r="CY4491" s="34" t="s">
        <v>5418</v>
      </c>
      <c r="CZ4491" s="35">
        <v>5.8282444687999993E-2</v>
      </c>
    </row>
    <row r="4492" spans="103:104" x14ac:dyDescent="0.3">
      <c r="CY4492" s="34" t="s">
        <v>5419</v>
      </c>
      <c r="CZ4492" s="35">
        <v>7.00521016E-4</v>
      </c>
    </row>
    <row r="4493" spans="103:104" x14ac:dyDescent="0.3">
      <c r="CY4493" s="34" t="s">
        <v>5420</v>
      </c>
      <c r="CZ4493" s="35">
        <v>3.0795087855999999E-2</v>
      </c>
    </row>
    <row r="4494" spans="103:104" x14ac:dyDescent="0.3">
      <c r="CY4494" s="34" t="s">
        <v>5421</v>
      </c>
      <c r="CZ4494" s="35">
        <v>5.4891349135999995E-2</v>
      </c>
    </row>
    <row r="4495" spans="103:104" x14ac:dyDescent="0.3">
      <c r="CY4495" s="34" t="s">
        <v>5422</v>
      </c>
      <c r="CZ4495" s="35">
        <v>3.0775985448E-2</v>
      </c>
    </row>
    <row r="4496" spans="103:104" x14ac:dyDescent="0.3">
      <c r="CY4496" s="34" t="s">
        <v>5423</v>
      </c>
      <c r="CZ4496" s="35">
        <v>0.44240471840000001</v>
      </c>
    </row>
    <row r="4497" spans="103:104" x14ac:dyDescent="0.3">
      <c r="CY4497" s="34" t="s">
        <v>5424</v>
      </c>
      <c r="CZ4497" s="35">
        <v>2.556052506666667E-3</v>
      </c>
    </row>
    <row r="4498" spans="103:104" x14ac:dyDescent="0.3">
      <c r="CY4498" s="34" t="s">
        <v>5425</v>
      </c>
      <c r="CZ4498" s="35">
        <v>1.72700424E-3</v>
      </c>
    </row>
    <row r="4499" spans="103:104" x14ac:dyDescent="0.3">
      <c r="CY4499" s="34" t="s">
        <v>5426</v>
      </c>
      <c r="CZ4499" s="35">
        <v>4.8658786799999996E-3</v>
      </c>
    </row>
    <row r="4500" spans="103:104" x14ac:dyDescent="0.3">
      <c r="CY4500" s="34" t="s">
        <v>5427</v>
      </c>
      <c r="CZ4500" s="35">
        <v>5.9440288000000008E-2</v>
      </c>
    </row>
    <row r="4501" spans="103:104" x14ac:dyDescent="0.3">
      <c r="CY4501" s="34" t="s">
        <v>5428</v>
      </c>
      <c r="CZ4501" s="35">
        <v>6.0160360207999995E-2</v>
      </c>
    </row>
    <row r="4502" spans="103:104" x14ac:dyDescent="0.3">
      <c r="CY4502" s="34" t="s">
        <v>5429</v>
      </c>
      <c r="CZ4502" s="35">
        <v>2.3791410240000003E-3</v>
      </c>
    </row>
    <row r="4503" spans="103:104" x14ac:dyDescent="0.3">
      <c r="CY4503" s="34" t="s">
        <v>5430</v>
      </c>
      <c r="CZ4503" s="35">
        <v>0.1026147003495</v>
      </c>
    </row>
    <row r="4504" spans="103:104" x14ac:dyDescent="0.3">
      <c r="CY4504" s="34" t="s">
        <v>5431</v>
      </c>
      <c r="CZ4504" s="35">
        <v>1.0717302336E-2</v>
      </c>
    </row>
    <row r="4505" spans="103:104" x14ac:dyDescent="0.3">
      <c r="CY4505" s="34" t="s">
        <v>5432</v>
      </c>
      <c r="CZ4505" s="35">
        <v>1.0717302336E-2</v>
      </c>
    </row>
    <row r="4506" spans="103:104" x14ac:dyDescent="0.3">
      <c r="CY4506" s="34" t="s">
        <v>5433</v>
      </c>
      <c r="CZ4506" s="35">
        <v>2.7592036160000001E-3</v>
      </c>
    </row>
    <row r="4507" spans="103:104" x14ac:dyDescent="0.3">
      <c r="CY4507" s="34" t="s">
        <v>5434</v>
      </c>
      <c r="CZ4507" s="35">
        <v>7.7817479999999994E-2</v>
      </c>
    </row>
    <row r="4508" spans="103:104" x14ac:dyDescent="0.3">
      <c r="CY4508" s="34" t="s">
        <v>5435</v>
      </c>
      <c r="CZ4508" s="35">
        <v>7.0572984456749987E-3</v>
      </c>
    </row>
    <row r="4509" spans="103:104" x14ac:dyDescent="0.3">
      <c r="CY4509" s="34" t="s">
        <v>5436</v>
      </c>
      <c r="CZ4509" s="35">
        <v>1.2466310272E-2</v>
      </c>
    </row>
    <row r="4510" spans="103:104" x14ac:dyDescent="0.3">
      <c r="CY4510" s="34" t="s">
        <v>5437</v>
      </c>
      <c r="CZ4510" s="35">
        <v>3.0242958720000002E-3</v>
      </c>
    </row>
    <row r="4511" spans="103:104" x14ac:dyDescent="0.3">
      <c r="CY4511" s="34" t="s">
        <v>5438</v>
      </c>
      <c r="CZ4511" s="35">
        <v>6.8149493333333339E-3</v>
      </c>
    </row>
    <row r="4512" spans="103:104" x14ac:dyDescent="0.3">
      <c r="CY4512" s="34" t="s">
        <v>5439</v>
      </c>
      <c r="CZ4512" s="35">
        <v>1.1939199999999998E-3</v>
      </c>
    </row>
    <row r="4513" spans="103:104" x14ac:dyDescent="0.3">
      <c r="CY4513" s="34" t="s">
        <v>5440</v>
      </c>
      <c r="CZ4513" s="35">
        <v>1.1939199999999998E-3</v>
      </c>
    </row>
    <row r="4514" spans="103:104" x14ac:dyDescent="0.3">
      <c r="CY4514" s="34" t="s">
        <v>5441</v>
      </c>
      <c r="CZ4514" s="35">
        <v>4.6547279999999995E-3</v>
      </c>
    </row>
    <row r="4515" spans="103:104" x14ac:dyDescent="0.3">
      <c r="CY4515" s="34" t="s">
        <v>5442</v>
      </c>
      <c r="CZ4515" s="35">
        <v>1.0157056000000001E-2</v>
      </c>
    </row>
    <row r="4516" spans="103:104" x14ac:dyDescent="0.3">
      <c r="CY4516" s="34" t="s">
        <v>5443</v>
      </c>
      <c r="CZ4516" s="35">
        <v>4.2910120000000003E-3</v>
      </c>
    </row>
    <row r="4517" spans="103:104" x14ac:dyDescent="0.3">
      <c r="CY4517" s="34" t="s">
        <v>5444</v>
      </c>
      <c r="CZ4517" s="35">
        <v>3.2341920000000003E-3</v>
      </c>
    </row>
    <row r="4518" spans="103:104" x14ac:dyDescent="0.3">
      <c r="CY4518" s="34" t="s">
        <v>5445</v>
      </c>
      <c r="CZ4518" s="35">
        <v>2.5348133840000001E-3</v>
      </c>
    </row>
    <row r="4519" spans="103:104" x14ac:dyDescent="0.3">
      <c r="CY4519" s="34" t="s">
        <v>5446</v>
      </c>
      <c r="CZ4519" s="35">
        <v>3.0749991999999997E-2</v>
      </c>
    </row>
    <row r="4520" spans="103:104" x14ac:dyDescent="0.3">
      <c r="CY4520" s="34" t="s">
        <v>5447</v>
      </c>
      <c r="CZ4520" s="35">
        <v>1.24131332E-3</v>
      </c>
    </row>
    <row r="4521" spans="103:104" x14ac:dyDescent="0.3">
      <c r="CY4521" s="34" t="s">
        <v>5448</v>
      </c>
      <c r="CZ4521" s="35">
        <v>2.8402175670000003E-3</v>
      </c>
    </row>
    <row r="4522" spans="103:104" x14ac:dyDescent="0.3">
      <c r="CY4522" s="34" t="s">
        <v>5449</v>
      </c>
      <c r="CZ4522" s="35">
        <v>5.1773198567999994E-2</v>
      </c>
    </row>
    <row r="4523" spans="103:104" x14ac:dyDescent="0.3">
      <c r="CY4523" s="34" t="s">
        <v>5450</v>
      </c>
      <c r="CZ4523" s="35">
        <v>2.3253329632000001E-2</v>
      </c>
    </row>
    <row r="4524" spans="103:104" x14ac:dyDescent="0.3">
      <c r="CY4524" s="34" t="s">
        <v>5451</v>
      </c>
      <c r="CZ4524" s="35">
        <v>1.1068223920000001E-3</v>
      </c>
    </row>
    <row r="4525" spans="103:104" x14ac:dyDescent="0.3">
      <c r="CY4525" s="34" t="s">
        <v>5452</v>
      </c>
      <c r="CZ4525" s="35">
        <v>0.16476085537600002</v>
      </c>
    </row>
    <row r="4526" spans="103:104" x14ac:dyDescent="0.3">
      <c r="CY4526" s="34" t="s">
        <v>5453</v>
      </c>
      <c r="CZ4526" s="35">
        <v>1.7615064E-2</v>
      </c>
    </row>
    <row r="4527" spans="103:104" x14ac:dyDescent="0.3">
      <c r="CY4527" s="34" t="s">
        <v>5454</v>
      </c>
      <c r="CZ4527" s="35">
        <v>1.0087334399999999E-3</v>
      </c>
    </row>
    <row r="4528" spans="103:104" x14ac:dyDescent="0.3">
      <c r="CY4528" s="34" t="s">
        <v>5455</v>
      </c>
      <c r="CZ4528" s="35">
        <v>1.7615064E-2</v>
      </c>
    </row>
    <row r="4529" spans="103:104" x14ac:dyDescent="0.3">
      <c r="CY4529" s="34" t="s">
        <v>5456</v>
      </c>
      <c r="CZ4529" s="35">
        <v>0.19838</v>
      </c>
    </row>
    <row r="4530" spans="103:104" x14ac:dyDescent="0.3">
      <c r="CY4530" s="34" t="s">
        <v>5457</v>
      </c>
      <c r="CZ4530" s="35">
        <v>4.6924421439999992E-3</v>
      </c>
    </row>
    <row r="4531" spans="103:104" x14ac:dyDescent="0.3">
      <c r="CY4531" s="34" t="s">
        <v>5458</v>
      </c>
      <c r="CZ4531" s="35">
        <v>0.15184094545606666</v>
      </c>
    </row>
    <row r="4532" spans="103:104" x14ac:dyDescent="0.3">
      <c r="CY4532" s="34" t="s">
        <v>5459</v>
      </c>
      <c r="CZ4532" s="35">
        <v>2.4436639999999999E-3</v>
      </c>
    </row>
    <row r="4533" spans="103:104" x14ac:dyDescent="0.3">
      <c r="CY4533" s="34" t="s">
        <v>5460</v>
      </c>
      <c r="CZ4533" s="35">
        <v>5.895386666666667E-3</v>
      </c>
    </row>
    <row r="4534" spans="103:104" x14ac:dyDescent="0.3">
      <c r="CY4534" s="34" t="s">
        <v>5461</v>
      </c>
      <c r="CZ4534" s="35">
        <v>6.0453867000000005E-3</v>
      </c>
    </row>
    <row r="4535" spans="103:104" x14ac:dyDescent="0.3">
      <c r="CY4535" s="34" t="s">
        <v>5462</v>
      </c>
      <c r="CZ4535" s="35">
        <v>5.8641866624999997E-3</v>
      </c>
    </row>
    <row r="4536" spans="103:104" x14ac:dyDescent="0.3">
      <c r="CY4536" s="34" t="s">
        <v>5463</v>
      </c>
      <c r="CZ4536" s="35">
        <v>6.0679366666666667E-3</v>
      </c>
    </row>
    <row r="4537" spans="103:104" x14ac:dyDescent="0.3">
      <c r="CY4537" s="34" t="s">
        <v>5464</v>
      </c>
      <c r="CZ4537" s="35">
        <v>9.0442720000000008E-3</v>
      </c>
    </row>
    <row r="4538" spans="103:104" x14ac:dyDescent="0.3">
      <c r="CY4538" s="34" t="s">
        <v>5465</v>
      </c>
      <c r="CZ4538" s="35">
        <v>9.1942719999999999E-3</v>
      </c>
    </row>
    <row r="4539" spans="103:104" x14ac:dyDescent="0.3">
      <c r="CY4539" s="34" t="s">
        <v>5466</v>
      </c>
      <c r="CZ4539" s="35">
        <v>7.6165600000000005E-3</v>
      </c>
    </row>
    <row r="4540" spans="103:104" x14ac:dyDescent="0.3">
      <c r="CY4540" s="34" t="s">
        <v>5467</v>
      </c>
      <c r="CZ4540" s="35">
        <v>7.8310600000000008E-3</v>
      </c>
    </row>
    <row r="4541" spans="103:104" x14ac:dyDescent="0.3">
      <c r="CY4541" s="34" t="s">
        <v>5468</v>
      </c>
      <c r="CZ4541" s="35">
        <v>9.9465760000000004E-3</v>
      </c>
    </row>
    <row r="4542" spans="103:104" x14ac:dyDescent="0.3">
      <c r="CY4542" s="34" t="s">
        <v>5469</v>
      </c>
      <c r="CZ4542" s="35">
        <v>1.0161076E-2</v>
      </c>
    </row>
    <row r="4543" spans="103:104" x14ac:dyDescent="0.3">
      <c r="CY4543" s="34" t="s">
        <v>5470</v>
      </c>
      <c r="CZ4543" s="35">
        <v>1.2596100569444445E-2</v>
      </c>
    </row>
    <row r="4544" spans="103:104" x14ac:dyDescent="0.3">
      <c r="CY4544" s="34" t="s">
        <v>5471</v>
      </c>
      <c r="CZ4544" s="35">
        <v>1.2644100533333332E-2</v>
      </c>
    </row>
    <row r="4545" spans="103:104" x14ac:dyDescent="0.3">
      <c r="CY4545" s="34" t="s">
        <v>5472</v>
      </c>
      <c r="CZ4545" s="35">
        <v>1.1701741722222225E-2</v>
      </c>
    </row>
    <row r="4546" spans="103:104" x14ac:dyDescent="0.3">
      <c r="CY4546" s="34" t="s">
        <v>5473</v>
      </c>
      <c r="CZ4546" s="35">
        <v>1.1873170290000002E-2</v>
      </c>
    </row>
    <row r="4547" spans="103:104" x14ac:dyDescent="0.3">
      <c r="CY4547" s="34" t="s">
        <v>5474</v>
      </c>
      <c r="CZ4547" s="35">
        <v>1.2747565722222224E-2</v>
      </c>
    </row>
    <row r="4548" spans="103:104" x14ac:dyDescent="0.3">
      <c r="CY4548" s="34" t="s">
        <v>5475</v>
      </c>
      <c r="CZ4548" s="35">
        <v>1.2918994284615383E-2</v>
      </c>
    </row>
    <row r="4549" spans="103:104" x14ac:dyDescent="0.3">
      <c r="CY4549" s="34" t="s">
        <v>5476</v>
      </c>
      <c r="CZ4549" s="35">
        <v>1.353582934090909E-2</v>
      </c>
    </row>
    <row r="4550" spans="103:104" x14ac:dyDescent="0.3">
      <c r="CY4550" s="34" t="s">
        <v>5477</v>
      </c>
      <c r="CZ4550" s="35">
        <v>1.3236933342857141E-2</v>
      </c>
    </row>
    <row r="4551" spans="103:104" x14ac:dyDescent="0.3">
      <c r="CY4551" s="34" t="s">
        <v>5478</v>
      </c>
      <c r="CZ4551" s="35">
        <v>2.2893049000000002E-2</v>
      </c>
    </row>
    <row r="4552" spans="103:104" x14ac:dyDescent="0.3">
      <c r="CY4552" s="34" t="s">
        <v>5479</v>
      </c>
      <c r="CZ4552" s="35">
        <v>1.3187221333333332E-2</v>
      </c>
    </row>
    <row r="4553" spans="103:104" x14ac:dyDescent="0.3">
      <c r="CY4553" s="34" t="s">
        <v>5480</v>
      </c>
      <c r="CZ4553" s="35">
        <v>1.3387221325E-2</v>
      </c>
    </row>
    <row r="4554" spans="103:104" x14ac:dyDescent="0.3">
      <c r="CY4554" s="34" t="s">
        <v>5481</v>
      </c>
      <c r="CZ4554" s="35">
        <v>2.2312035333333338E-2</v>
      </c>
    </row>
    <row r="4555" spans="103:104" x14ac:dyDescent="0.3">
      <c r="CY4555" s="34" t="s">
        <v>5482</v>
      </c>
      <c r="CZ4555" s="35">
        <v>1.4930261333333333E-2</v>
      </c>
    </row>
    <row r="4556" spans="103:104" x14ac:dyDescent="0.3">
      <c r="CY4556" s="34" t="s">
        <v>5483</v>
      </c>
      <c r="CZ4556" s="35">
        <v>1.5216261338461538E-2</v>
      </c>
    </row>
    <row r="4557" spans="103:104" x14ac:dyDescent="0.3">
      <c r="CY4557" s="34" t="s">
        <v>5484</v>
      </c>
      <c r="CZ4557" s="35">
        <v>3.2937333338461536E-2</v>
      </c>
    </row>
    <row r="4558" spans="103:104" x14ac:dyDescent="0.3">
      <c r="CY4558" s="34" t="s">
        <v>5485</v>
      </c>
      <c r="CZ4558" s="35">
        <v>1.4929429333333334E-2</v>
      </c>
    </row>
    <row r="4559" spans="103:104" x14ac:dyDescent="0.3">
      <c r="CY4559" s="34" t="s">
        <v>5486</v>
      </c>
      <c r="CZ4559" s="35">
        <v>1.5244429333333335E-2</v>
      </c>
    </row>
    <row r="4560" spans="103:104" x14ac:dyDescent="0.3">
      <c r="CY4560" s="34" t="s">
        <v>5487</v>
      </c>
      <c r="CZ4560" s="35">
        <v>3.4557333333333336E-2</v>
      </c>
    </row>
    <row r="4561" spans="103:104" x14ac:dyDescent="0.3">
      <c r="CY4561" s="34" t="s">
        <v>5488</v>
      </c>
      <c r="CZ4561" s="35">
        <v>2.3048477142857147E-2</v>
      </c>
    </row>
    <row r="4562" spans="103:104" x14ac:dyDescent="0.3">
      <c r="CY4562" s="34" t="s">
        <v>5489</v>
      </c>
      <c r="CZ4562" s="35">
        <v>1.6394186128803966E-2</v>
      </c>
    </row>
    <row r="4563" spans="103:104" x14ac:dyDescent="0.3">
      <c r="CY4563" s="34" t="s">
        <v>5490</v>
      </c>
      <c r="CZ4563" s="35">
        <v>1.9304162499999999E-2</v>
      </c>
    </row>
    <row r="4564" spans="103:104" x14ac:dyDescent="0.3">
      <c r="CY4564" s="34" t="s">
        <v>5491</v>
      </c>
      <c r="CZ4564" s="35">
        <v>1.6290581333333332E-2</v>
      </c>
    </row>
    <row r="4565" spans="103:104" x14ac:dyDescent="0.3">
      <c r="CY4565" s="34" t="s">
        <v>5492</v>
      </c>
      <c r="CZ4565" s="35">
        <v>1.649058133333333E-2</v>
      </c>
    </row>
    <row r="4566" spans="103:104" x14ac:dyDescent="0.3">
      <c r="CY4566" s="34" t="s">
        <v>5493</v>
      </c>
      <c r="CZ4566" s="35">
        <v>2.3557971428571432E-2</v>
      </c>
    </row>
    <row r="4567" spans="103:104" x14ac:dyDescent="0.3">
      <c r="CY4567" s="34" t="s">
        <v>5494</v>
      </c>
      <c r="CZ4567" s="35">
        <v>1.6290581333333332E-2</v>
      </c>
    </row>
    <row r="4568" spans="103:104" x14ac:dyDescent="0.3">
      <c r="CY4568" s="34" t="s">
        <v>5495</v>
      </c>
      <c r="CZ4568" s="35">
        <v>1.6490581325000003E-2</v>
      </c>
    </row>
    <row r="4569" spans="103:104" x14ac:dyDescent="0.3">
      <c r="CY4569" s="34" t="s">
        <v>5496</v>
      </c>
      <c r="CZ4569" s="35">
        <v>2.4848076071428572E-2</v>
      </c>
    </row>
    <row r="4570" spans="103:104" x14ac:dyDescent="0.3">
      <c r="CY4570" s="34" t="s">
        <v>5497</v>
      </c>
      <c r="CZ4570" s="35">
        <v>2.8179185500000002E-2</v>
      </c>
    </row>
    <row r="4571" spans="103:104" x14ac:dyDescent="0.3">
      <c r="CY4571" s="34" t="s">
        <v>5498</v>
      </c>
      <c r="CZ4571" s="35">
        <v>4.1546082142857148E-2</v>
      </c>
    </row>
    <row r="4572" spans="103:104" x14ac:dyDescent="0.3">
      <c r="CY4572" s="34" t="s">
        <v>5499</v>
      </c>
      <c r="CZ4572" s="35">
        <v>1.6576581350000001E-2</v>
      </c>
    </row>
    <row r="4573" spans="103:104" x14ac:dyDescent="0.3">
      <c r="CY4573" s="34" t="s">
        <v>5500</v>
      </c>
      <c r="CZ4573" s="35">
        <v>1.7511445325E-2</v>
      </c>
    </row>
    <row r="4574" spans="103:104" x14ac:dyDescent="0.3">
      <c r="CY4574" s="34" t="s">
        <v>5501</v>
      </c>
      <c r="CZ4574" s="35">
        <v>2.7535790464285718E-2</v>
      </c>
    </row>
    <row r="4575" spans="103:104" x14ac:dyDescent="0.3">
      <c r="CY4575" s="34" t="s">
        <v>5502</v>
      </c>
      <c r="CZ4575" s="35">
        <v>2.9200049500000002E-2</v>
      </c>
    </row>
    <row r="4576" spans="103:104" x14ac:dyDescent="0.3">
      <c r="CY4576" s="34" t="s">
        <v>5503</v>
      </c>
      <c r="CZ4576" s="35">
        <v>6.8755625000000001E-2</v>
      </c>
    </row>
    <row r="4577" spans="103:104" x14ac:dyDescent="0.3">
      <c r="CY4577" s="34" t="s">
        <v>5504</v>
      </c>
      <c r="CZ4577" s="35">
        <v>4.4233796428571434E-2</v>
      </c>
    </row>
    <row r="4578" spans="103:104" x14ac:dyDescent="0.3">
      <c r="CY4578" s="34" t="s">
        <v>5505</v>
      </c>
      <c r="CZ4578" s="35">
        <v>1.7597445342857142E-2</v>
      </c>
    </row>
    <row r="4579" spans="103:104" x14ac:dyDescent="0.3">
      <c r="CY4579" s="34" t="s">
        <v>5506</v>
      </c>
      <c r="CZ4579" s="35">
        <v>1.9457162222222227E-2</v>
      </c>
    </row>
    <row r="4580" spans="103:104" x14ac:dyDescent="0.3">
      <c r="CY4580" s="34" t="s">
        <v>5507</v>
      </c>
      <c r="CZ4580" s="35">
        <v>1.7664778662499998E-2</v>
      </c>
    </row>
    <row r="4581" spans="103:104" x14ac:dyDescent="0.3">
      <c r="CY4581" s="34" t="s">
        <v>5508</v>
      </c>
      <c r="CZ4581" s="35">
        <v>1.9622506666666668E-2</v>
      </c>
    </row>
    <row r="4582" spans="103:104" x14ac:dyDescent="0.3">
      <c r="CY4582" s="34" t="s">
        <v>5509</v>
      </c>
      <c r="CZ4582" s="35">
        <v>3.0860095238095239E-2</v>
      </c>
    </row>
    <row r="4583" spans="103:104" x14ac:dyDescent="0.3">
      <c r="CY4583" s="34" t="s">
        <v>5510</v>
      </c>
      <c r="CZ4583" s="35">
        <v>3.1241777533333334E-2</v>
      </c>
    </row>
    <row r="4584" spans="103:104" x14ac:dyDescent="0.3">
      <c r="CY4584" s="34" t="s">
        <v>5511</v>
      </c>
      <c r="CZ4584" s="35">
        <v>4.745905361904762E-2</v>
      </c>
    </row>
    <row r="4585" spans="103:104" x14ac:dyDescent="0.3">
      <c r="CY4585" s="34" t="s">
        <v>5512</v>
      </c>
      <c r="CZ4585" s="35">
        <v>1.97085067E-2</v>
      </c>
    </row>
    <row r="4586" spans="103:104" x14ac:dyDescent="0.3">
      <c r="CY4586" s="34" t="s">
        <v>5513</v>
      </c>
      <c r="CZ4586" s="35">
        <v>1.9809279999999999E-2</v>
      </c>
    </row>
    <row r="4587" spans="103:104" x14ac:dyDescent="0.3">
      <c r="CY4587" s="34" t="s">
        <v>5514</v>
      </c>
      <c r="CZ4587" s="35">
        <v>2.0049279999999999E-2</v>
      </c>
    </row>
    <row r="4588" spans="103:104" x14ac:dyDescent="0.3">
      <c r="CY4588" s="34" t="s">
        <v>5515</v>
      </c>
      <c r="CZ4588" s="35">
        <v>2.8641828571428572E-2</v>
      </c>
    </row>
    <row r="4589" spans="103:104" x14ac:dyDescent="0.3">
      <c r="CY4589" s="34" t="s">
        <v>5516</v>
      </c>
      <c r="CZ4589" s="35">
        <v>3.1570417533333332E-2</v>
      </c>
    </row>
    <row r="4590" spans="103:104" x14ac:dyDescent="0.3">
      <c r="CY4590" s="34" t="s">
        <v>5517</v>
      </c>
      <c r="CZ4590" s="35">
        <v>4.5100596476190483E-2</v>
      </c>
    </row>
    <row r="4591" spans="103:104" x14ac:dyDescent="0.3">
      <c r="CY4591" s="34" t="s">
        <v>5518</v>
      </c>
      <c r="CZ4591" s="35">
        <v>2.015248E-2</v>
      </c>
    </row>
    <row r="4592" spans="103:104" x14ac:dyDescent="0.3">
      <c r="CY4592" s="34" t="s">
        <v>5519</v>
      </c>
      <c r="CZ4592" s="35">
        <v>2.1078912000000002E-2</v>
      </c>
    </row>
    <row r="4593" spans="103:104" x14ac:dyDescent="0.3">
      <c r="CY4593" s="34" t="s">
        <v>5520</v>
      </c>
      <c r="CZ4593" s="35">
        <v>2.1318912000000002E-2</v>
      </c>
    </row>
    <row r="4594" spans="103:104" x14ac:dyDescent="0.3">
      <c r="CY4594" s="34" t="s">
        <v>5521</v>
      </c>
      <c r="CZ4594" s="35">
        <v>4.8686618181818173E-2</v>
      </c>
    </row>
    <row r="4595" spans="103:104" x14ac:dyDescent="0.3">
      <c r="CY4595" s="34" t="s">
        <v>5522</v>
      </c>
      <c r="CZ4595" s="35">
        <v>3.2840049500000003E-2</v>
      </c>
    </row>
    <row r="4596" spans="103:104" x14ac:dyDescent="0.3">
      <c r="CY4596" s="34" t="s">
        <v>5523</v>
      </c>
      <c r="CZ4596" s="35">
        <v>4.6914356428571433E-2</v>
      </c>
    </row>
    <row r="4597" spans="103:104" x14ac:dyDescent="0.3">
      <c r="CY4597" s="34" t="s">
        <v>5524</v>
      </c>
      <c r="CZ4597" s="35">
        <v>2.1422112000000004E-2</v>
      </c>
    </row>
    <row r="4598" spans="103:104" x14ac:dyDescent="0.3">
      <c r="CY4598" s="34" t="s">
        <v>5525</v>
      </c>
      <c r="CZ4598" s="35">
        <v>2.139632E-2</v>
      </c>
    </row>
    <row r="4599" spans="103:104" x14ac:dyDescent="0.3">
      <c r="CY4599" s="34" t="s">
        <v>5526</v>
      </c>
      <c r="CZ4599" s="35">
        <v>2.1636320000000001E-2</v>
      </c>
    </row>
    <row r="4600" spans="103:104" x14ac:dyDescent="0.3">
      <c r="CY4600" s="34" t="s">
        <v>5527</v>
      </c>
      <c r="CZ4600" s="35">
        <v>3.2042628571428568E-2</v>
      </c>
    </row>
    <row r="4601" spans="103:104" x14ac:dyDescent="0.3">
      <c r="CY4601" s="34" t="s">
        <v>5528</v>
      </c>
      <c r="CZ4601" s="35">
        <v>3.3445360419242773E-2</v>
      </c>
    </row>
    <row r="4602" spans="103:104" x14ac:dyDescent="0.3">
      <c r="CY4602" s="34" t="s">
        <v>5529</v>
      </c>
      <c r="CZ4602" s="35">
        <v>4.0917389473684215E-2</v>
      </c>
    </row>
    <row r="4603" spans="103:104" x14ac:dyDescent="0.3">
      <c r="CY4603" s="34" t="s">
        <v>5530</v>
      </c>
      <c r="CZ4603" s="35">
        <v>0.123429</v>
      </c>
    </row>
    <row r="4604" spans="103:104" x14ac:dyDescent="0.3">
      <c r="CY4604" s="34" t="s">
        <v>5531</v>
      </c>
      <c r="CZ4604" s="35">
        <v>5.4363992222222227E-2</v>
      </c>
    </row>
    <row r="4605" spans="103:104" x14ac:dyDescent="0.3">
      <c r="CY4605" s="34" t="s">
        <v>5532</v>
      </c>
      <c r="CZ4605" s="35">
        <v>2.1636320000000001E-2</v>
      </c>
    </row>
    <row r="4606" spans="103:104" x14ac:dyDescent="0.3">
      <c r="CY4606" s="34" t="s">
        <v>5533</v>
      </c>
      <c r="CZ4606" s="35">
        <v>3.6060533333333339E-2</v>
      </c>
    </row>
    <row r="4607" spans="103:104" x14ac:dyDescent="0.3">
      <c r="CY4607" s="34" t="s">
        <v>5534</v>
      </c>
      <c r="CZ4607" s="35">
        <v>4.8589399999999998E-2</v>
      </c>
    </row>
    <row r="4608" spans="103:104" x14ac:dyDescent="0.3">
      <c r="CY4608" s="34" t="s">
        <v>5535</v>
      </c>
      <c r="CZ4608" s="35">
        <v>2.0722399999999999E-3</v>
      </c>
    </row>
    <row r="4609" spans="103:104" x14ac:dyDescent="0.3">
      <c r="CY4609" s="34" t="s">
        <v>5536</v>
      </c>
      <c r="CZ4609" s="35">
        <v>1.874016E-3</v>
      </c>
    </row>
    <row r="4610" spans="103:104" x14ac:dyDescent="0.3">
      <c r="CY4610" s="34" t="s">
        <v>5537</v>
      </c>
      <c r="CZ4610" s="35">
        <v>2.0722399999999999E-3</v>
      </c>
    </row>
    <row r="4611" spans="103:104" x14ac:dyDescent="0.3">
      <c r="CY4611" s="34" t="s">
        <v>5538</v>
      </c>
      <c r="CZ4611" s="35">
        <v>2.0875733295454548E-3</v>
      </c>
    </row>
    <row r="4612" spans="103:104" x14ac:dyDescent="0.3">
      <c r="CY4612" s="34" t="s">
        <v>5539</v>
      </c>
      <c r="CZ4612" s="35">
        <v>2.6455360000000001E-2</v>
      </c>
    </row>
    <row r="4613" spans="103:104" x14ac:dyDescent="0.3">
      <c r="CY4613" s="34" t="s">
        <v>5540</v>
      </c>
      <c r="CZ4613" s="35">
        <v>3.1284581743999999E-2</v>
      </c>
    </row>
    <row r="4614" spans="103:104" x14ac:dyDescent="0.3">
      <c r="CY4614" s="34" t="s">
        <v>5541</v>
      </c>
      <c r="CZ4614" s="35">
        <v>1.014665739435E-2</v>
      </c>
    </row>
    <row r="4615" spans="103:104" x14ac:dyDescent="0.3">
      <c r="CY4615" s="34" t="s">
        <v>5542</v>
      </c>
      <c r="CZ4615" s="35">
        <v>2.5966978500000003E-3</v>
      </c>
    </row>
    <row r="4616" spans="103:104" x14ac:dyDescent="0.3">
      <c r="CY4616" s="34" t="s">
        <v>5543</v>
      </c>
      <c r="CZ4616" s="35">
        <v>8.1953968999999994E-4</v>
      </c>
    </row>
    <row r="4617" spans="103:104" x14ac:dyDescent="0.3">
      <c r="CY4617" s="34" t="s">
        <v>5544</v>
      </c>
      <c r="CZ4617" s="35">
        <v>6.9446880000000009E-3</v>
      </c>
    </row>
    <row r="4618" spans="103:104" x14ac:dyDescent="0.3">
      <c r="CY4618" s="34" t="s">
        <v>5545</v>
      </c>
      <c r="CZ4618" s="35">
        <v>6.0627839999999999E-3</v>
      </c>
    </row>
    <row r="4619" spans="103:104" x14ac:dyDescent="0.3">
      <c r="CY4619" s="34" t="s">
        <v>5546</v>
      </c>
      <c r="CZ4619" s="35">
        <v>5.7177120000000005E-2</v>
      </c>
    </row>
    <row r="4620" spans="103:104" x14ac:dyDescent="0.3">
      <c r="CY4620" s="34" t="s">
        <v>5547</v>
      </c>
      <c r="CZ4620" s="35">
        <v>9.7501013333333331E-4</v>
      </c>
    </row>
    <row r="4621" spans="103:104" x14ac:dyDescent="0.3">
      <c r="CY4621" s="34" t="s">
        <v>5548</v>
      </c>
      <c r="CZ4621" s="35">
        <v>5.7895546666666671E-4</v>
      </c>
    </row>
    <row r="4622" spans="103:104" x14ac:dyDescent="0.3">
      <c r="CY4622" s="34" t="s">
        <v>5549</v>
      </c>
      <c r="CZ4622" s="35">
        <v>2.439044E-3</v>
      </c>
    </row>
    <row r="4623" spans="103:104" x14ac:dyDescent="0.3">
      <c r="CY4623" s="34" t="s">
        <v>5550</v>
      </c>
      <c r="CZ4623" s="35">
        <v>2.6659649599999999E-3</v>
      </c>
    </row>
    <row r="4624" spans="103:104" x14ac:dyDescent="0.3">
      <c r="CY4624" s="34" t="s">
        <v>5551</v>
      </c>
      <c r="CZ4624" s="35">
        <v>1.6911253295454544E-3</v>
      </c>
    </row>
    <row r="4625" spans="103:104" x14ac:dyDescent="0.3">
      <c r="CY4625" s="34" t="s">
        <v>5552</v>
      </c>
      <c r="CZ4625" s="35">
        <v>1.9588213348623851E-3</v>
      </c>
    </row>
    <row r="4626" spans="103:104" x14ac:dyDescent="0.3">
      <c r="CY4626" s="34" t="s">
        <v>5553</v>
      </c>
      <c r="CZ4626" s="35">
        <v>2.1041573333333329E-3</v>
      </c>
    </row>
    <row r="4627" spans="103:104" x14ac:dyDescent="0.3">
      <c r="CY4627" s="34" t="s">
        <v>5554</v>
      </c>
      <c r="CZ4627" s="35">
        <v>5.0336000000000001E-3</v>
      </c>
    </row>
    <row r="4628" spans="103:104" x14ac:dyDescent="0.3">
      <c r="CY4628" s="34" t="s">
        <v>5555</v>
      </c>
      <c r="CZ4628" s="35">
        <v>4.8322560000000001E-3</v>
      </c>
    </row>
    <row r="4629" spans="103:104" x14ac:dyDescent="0.3">
      <c r="CY4629" s="34" t="s">
        <v>5556</v>
      </c>
      <c r="CZ4629" s="35">
        <v>5.2027733333295453E-3</v>
      </c>
    </row>
    <row r="4630" spans="103:104" x14ac:dyDescent="0.3">
      <c r="CY4630" s="34" t="s">
        <v>5557</v>
      </c>
      <c r="CZ4630" s="35">
        <v>5.9584533295454541E-3</v>
      </c>
    </row>
    <row r="4631" spans="103:104" x14ac:dyDescent="0.3">
      <c r="CY4631" s="34" t="s">
        <v>5558</v>
      </c>
      <c r="CZ4631" s="35">
        <v>6.018453333333334E-3</v>
      </c>
    </row>
    <row r="4632" spans="103:104" x14ac:dyDescent="0.3">
      <c r="CY4632" s="34" t="s">
        <v>5559</v>
      </c>
      <c r="CZ4632" s="35">
        <v>6.6078191999999994E-2</v>
      </c>
    </row>
    <row r="4633" spans="103:104" x14ac:dyDescent="0.3">
      <c r="CY4633" s="34" t="s">
        <v>5560</v>
      </c>
      <c r="CZ4633" s="35">
        <v>6.2975039999999996E-2</v>
      </c>
    </row>
    <row r="4634" spans="103:104" x14ac:dyDescent="0.3">
      <c r="CY4634" s="34" t="s">
        <v>5561</v>
      </c>
      <c r="CZ4634" s="35">
        <v>6.2987413437500007E-3</v>
      </c>
    </row>
    <row r="4635" spans="103:104" x14ac:dyDescent="0.3">
      <c r="CY4635" s="34" t="s">
        <v>5562</v>
      </c>
      <c r="CZ4635" s="35">
        <v>6.1934080000000001E-3</v>
      </c>
    </row>
    <row r="4636" spans="103:104" x14ac:dyDescent="0.3">
      <c r="CY4636" s="34" t="s">
        <v>5563</v>
      </c>
      <c r="CZ4636" s="35">
        <v>3.0186772499999999E-3</v>
      </c>
    </row>
    <row r="4637" spans="103:104" x14ac:dyDescent="0.3">
      <c r="CY4637" s="34" t="s">
        <v>5564</v>
      </c>
      <c r="CZ4637" s="35">
        <v>5.2000300000000005E-3</v>
      </c>
    </row>
    <row r="4638" spans="103:104" x14ac:dyDescent="0.3">
      <c r="CY4638" s="34" t="s">
        <v>5565</v>
      </c>
      <c r="CZ4638" s="35">
        <v>3.9502700000000005E-3</v>
      </c>
    </row>
    <row r="4639" spans="103:104" x14ac:dyDescent="0.3">
      <c r="CY4639" s="34" t="s">
        <v>5566</v>
      </c>
      <c r="CZ4639" s="35">
        <v>5.3903199999999994E-4</v>
      </c>
    </row>
    <row r="4640" spans="103:104" x14ac:dyDescent="0.3">
      <c r="CY4640" s="34" t="s">
        <v>5567</v>
      </c>
      <c r="CZ4640" s="35">
        <v>6.7224799928624996E-3</v>
      </c>
    </row>
    <row r="4641" spans="103:104" x14ac:dyDescent="0.3">
      <c r="CY4641" s="34" t="s">
        <v>5568</v>
      </c>
      <c r="CZ4641" s="35">
        <v>1.9623712938561112E-2</v>
      </c>
    </row>
    <row r="4642" spans="103:104" x14ac:dyDescent="0.3">
      <c r="CY4642" s="34" t="s">
        <v>5569</v>
      </c>
      <c r="CZ4642" s="35">
        <v>5.9623200000000003E-4</v>
      </c>
    </row>
    <row r="4643" spans="103:104" x14ac:dyDescent="0.3">
      <c r="CY4643" s="34" t="s">
        <v>5570</v>
      </c>
      <c r="CZ4643" s="35">
        <v>4.1047538285714287E-2</v>
      </c>
    </row>
    <row r="4644" spans="103:104" x14ac:dyDescent="0.3">
      <c r="CY4644" s="34" t="s">
        <v>5571</v>
      </c>
      <c r="CZ4644" s="35">
        <v>0.10909667333333334</v>
      </c>
    </row>
    <row r="4645" spans="103:104" x14ac:dyDescent="0.3">
      <c r="CY4645" s="34" t="s">
        <v>5572</v>
      </c>
      <c r="CZ4645" s="35">
        <v>0.10883808</v>
      </c>
    </row>
    <row r="4646" spans="103:104" x14ac:dyDescent="0.3">
      <c r="CY4646" s="34" t="s">
        <v>5573</v>
      </c>
      <c r="CZ4646" s="35">
        <v>0.16861889600000002</v>
      </c>
    </row>
    <row r="4647" spans="103:104" x14ac:dyDescent="0.3">
      <c r="CY4647" s="34" t="s">
        <v>5574</v>
      </c>
      <c r="CZ4647" s="35">
        <v>0.13802583334999999</v>
      </c>
    </row>
    <row r="4648" spans="103:104" x14ac:dyDescent="0.3">
      <c r="CY4648" s="34" t="s">
        <v>5575</v>
      </c>
      <c r="CZ4648" s="35">
        <v>3.257557092275E-2</v>
      </c>
    </row>
    <row r="4649" spans="103:104" x14ac:dyDescent="0.3">
      <c r="CY4649" s="34" t="s">
        <v>5576</v>
      </c>
      <c r="CZ4649" s="35">
        <v>3.3337055999999995E-3</v>
      </c>
    </row>
    <row r="4650" spans="103:104" x14ac:dyDescent="0.3">
      <c r="CY4650" s="34" t="s">
        <v>5577</v>
      </c>
      <c r="CZ4650" s="35">
        <v>1.3663311999999999E-2</v>
      </c>
    </row>
    <row r="4651" spans="103:104" x14ac:dyDescent="0.3">
      <c r="CY4651" s="34" t="s">
        <v>5578</v>
      </c>
      <c r="CZ4651" s="35">
        <v>7.6821472000000002E-2</v>
      </c>
    </row>
    <row r="4652" spans="103:104" x14ac:dyDescent="0.3">
      <c r="CY4652" s="34" t="s">
        <v>5579</v>
      </c>
      <c r="CZ4652" s="35">
        <v>4.8512879999999996E-3</v>
      </c>
    </row>
    <row r="4653" spans="103:104" x14ac:dyDescent="0.3">
      <c r="CY4653" s="34" t="s">
        <v>5580</v>
      </c>
      <c r="CZ4653" s="35">
        <v>3.7732239999999999E-3</v>
      </c>
    </row>
    <row r="4654" spans="103:104" x14ac:dyDescent="0.3">
      <c r="CY4654" s="34" t="s">
        <v>5581</v>
      </c>
      <c r="CZ4654" s="35">
        <v>2.333552E-3</v>
      </c>
    </row>
    <row r="4655" spans="103:104" x14ac:dyDescent="0.3">
      <c r="CY4655" s="34" t="s">
        <v>5582</v>
      </c>
      <c r="CZ4655" s="35">
        <v>1.0660000000000001E-3</v>
      </c>
    </row>
    <row r="4656" spans="103:104" x14ac:dyDescent="0.3">
      <c r="CY4656" s="34" t="s">
        <v>5583</v>
      </c>
      <c r="CZ4656" s="35">
        <v>6.2842400000000008E-3</v>
      </c>
    </row>
    <row r="4657" spans="103:104" x14ac:dyDescent="0.3">
      <c r="CY4657" s="34" t="s">
        <v>5584</v>
      </c>
      <c r="CZ4657" s="35">
        <v>6.2842400000000008E-3</v>
      </c>
    </row>
    <row r="4658" spans="103:104" x14ac:dyDescent="0.3">
      <c r="CY4658" s="34" t="s">
        <v>5585</v>
      </c>
      <c r="CZ4658" s="35">
        <v>3.0787457000000004E-2</v>
      </c>
    </row>
    <row r="4659" spans="103:104" x14ac:dyDescent="0.3">
      <c r="CY4659" s="34" t="s">
        <v>5586</v>
      </c>
      <c r="CZ4659" s="35">
        <v>0.15392444</v>
      </c>
    </row>
    <row r="4660" spans="103:104" x14ac:dyDescent="0.3">
      <c r="CY4660" s="34" t="s">
        <v>5587</v>
      </c>
      <c r="CZ4660" s="35">
        <v>1.3670636000000002E-3</v>
      </c>
    </row>
    <row r="4661" spans="103:104" x14ac:dyDescent="0.3">
      <c r="CY4661" s="34" t="s">
        <v>5588</v>
      </c>
      <c r="CZ4661" s="35">
        <v>1.3670636000000002E-3</v>
      </c>
    </row>
    <row r="4662" spans="103:104" x14ac:dyDescent="0.3">
      <c r="CY4662" s="34" t="s">
        <v>5589</v>
      </c>
      <c r="CZ4662" s="35">
        <v>0.13257712000000002</v>
      </c>
    </row>
    <row r="4663" spans="103:104" x14ac:dyDescent="0.3">
      <c r="CY4663" s="34" t="s">
        <v>5590</v>
      </c>
      <c r="CZ4663" s="35">
        <v>3.7193208000000002E-3</v>
      </c>
    </row>
    <row r="4664" spans="103:104" x14ac:dyDescent="0.3">
      <c r="CY4664" s="34" t="s">
        <v>5591</v>
      </c>
      <c r="CZ4664" s="35">
        <v>1.5229552E-2</v>
      </c>
    </row>
    <row r="4665" spans="103:104" x14ac:dyDescent="0.3">
      <c r="CY4665" s="34" t="s">
        <v>5592</v>
      </c>
      <c r="CZ4665" s="35">
        <v>1.6907488000000002E-2</v>
      </c>
    </row>
    <row r="4666" spans="103:104" x14ac:dyDescent="0.3">
      <c r="CY4666" s="34" t="s">
        <v>5593</v>
      </c>
      <c r="CZ4666" s="35">
        <v>3.6431616E-2</v>
      </c>
    </row>
    <row r="4667" spans="103:104" x14ac:dyDescent="0.3">
      <c r="CY4667" s="34" t="s">
        <v>5594</v>
      </c>
      <c r="CZ4667" s="35">
        <v>3.1510146699999996E-3</v>
      </c>
    </row>
    <row r="4668" spans="103:104" x14ac:dyDescent="0.3">
      <c r="CY4668" s="34" t="s">
        <v>5595</v>
      </c>
      <c r="CZ4668" s="35">
        <v>1.1159200000000001E-3</v>
      </c>
    </row>
    <row r="4669" spans="103:104" x14ac:dyDescent="0.3">
      <c r="CY4669" s="34" t="s">
        <v>5596</v>
      </c>
      <c r="CZ4669" s="35">
        <v>1.1159200000000001E-3</v>
      </c>
    </row>
    <row r="4670" spans="103:104" x14ac:dyDescent="0.3">
      <c r="CY4670" s="34" t="s">
        <v>5597</v>
      </c>
      <c r="CZ4670" s="35">
        <v>3.1399679999999999E-3</v>
      </c>
    </row>
    <row r="4671" spans="103:104" x14ac:dyDescent="0.3">
      <c r="CY4671" s="34" t="s">
        <v>5598</v>
      </c>
      <c r="CZ4671" s="35">
        <v>4.879500585E-3</v>
      </c>
    </row>
    <row r="4672" spans="103:104" x14ac:dyDescent="0.3">
      <c r="CY4672" s="34" t="s">
        <v>5599</v>
      </c>
      <c r="CZ4672" s="35">
        <v>2.9753239999999997E-2</v>
      </c>
    </row>
    <row r="4673" spans="103:104" x14ac:dyDescent="0.3">
      <c r="CY4673" s="34" t="s">
        <v>5600</v>
      </c>
      <c r="CZ4673" s="35">
        <v>7.26336E-3</v>
      </c>
    </row>
    <row r="4674" spans="103:104" x14ac:dyDescent="0.3">
      <c r="CY4674" s="34" t="s">
        <v>5601</v>
      </c>
      <c r="CZ4674" s="35">
        <v>1.7280311999999999E-3</v>
      </c>
    </row>
    <row r="4675" spans="103:104" x14ac:dyDescent="0.3">
      <c r="CY4675" s="34" t="s">
        <v>5602</v>
      </c>
      <c r="CZ4675" s="35">
        <v>2.0410623999999999E-3</v>
      </c>
    </row>
    <row r="4676" spans="103:104" x14ac:dyDescent="0.3">
      <c r="CY4676" s="34" t="s">
        <v>5603</v>
      </c>
      <c r="CZ4676" s="35">
        <v>8.0854800000000008E-3</v>
      </c>
    </row>
    <row r="4677" spans="103:104" x14ac:dyDescent="0.3">
      <c r="CY4677" s="34" t="s">
        <v>5604</v>
      </c>
      <c r="CZ4677" s="35">
        <v>3.0091091999999999E-3</v>
      </c>
    </row>
    <row r="4678" spans="103:104" x14ac:dyDescent="0.3">
      <c r="CY4678" s="34" t="s">
        <v>5605</v>
      </c>
      <c r="CZ4678" s="35">
        <v>1.1166044000000002E-2</v>
      </c>
    </row>
    <row r="4679" spans="103:104" x14ac:dyDescent="0.3">
      <c r="CY4679" s="34" t="s">
        <v>5606</v>
      </c>
      <c r="CZ4679" s="35">
        <v>1.1706240000000001E-3</v>
      </c>
    </row>
    <row r="4680" spans="103:104" x14ac:dyDescent="0.3">
      <c r="CY4680" s="34" t="s">
        <v>5607</v>
      </c>
      <c r="CZ4680" s="35">
        <v>2.9542119999999995E-3</v>
      </c>
    </row>
    <row r="4681" spans="103:104" x14ac:dyDescent="0.3">
      <c r="CY4681" s="34" t="s">
        <v>5608</v>
      </c>
      <c r="CZ4681" s="35">
        <v>1.0925824000000001E-2</v>
      </c>
    </row>
    <row r="4682" spans="103:104" x14ac:dyDescent="0.3">
      <c r="CY4682" s="34" t="s">
        <v>5609</v>
      </c>
      <c r="CZ4682" s="35">
        <v>2.3702727999999999E-2</v>
      </c>
    </row>
    <row r="4683" spans="103:104" x14ac:dyDescent="0.3">
      <c r="CY4683" s="34" t="s">
        <v>5610</v>
      </c>
      <c r="CZ4683" s="35">
        <v>2.3702727999999999E-2</v>
      </c>
    </row>
    <row r="4684" spans="103:104" x14ac:dyDescent="0.3">
      <c r="CY4684" s="34" t="s">
        <v>5611</v>
      </c>
      <c r="CZ4684" s="35">
        <v>2.5150823999999999E-2</v>
      </c>
    </row>
    <row r="4685" spans="103:104" x14ac:dyDescent="0.3">
      <c r="CY4685" s="34" t="s">
        <v>5612</v>
      </c>
      <c r="CZ4685" s="35">
        <v>2.5150823999999999E-2</v>
      </c>
    </row>
    <row r="4686" spans="103:104" x14ac:dyDescent="0.3">
      <c r="CY4686" s="34" t="s">
        <v>5613</v>
      </c>
      <c r="CZ4686" s="35">
        <v>1.6206437399999999E-2</v>
      </c>
    </row>
    <row r="4687" spans="103:104" x14ac:dyDescent="0.3">
      <c r="CY4687" s="34" t="s">
        <v>5614</v>
      </c>
      <c r="CZ4687" s="35">
        <v>2.3062447999999996E-2</v>
      </c>
    </row>
    <row r="4688" spans="103:104" x14ac:dyDescent="0.3">
      <c r="CY4688" s="34" t="s">
        <v>5615</v>
      </c>
      <c r="CZ4688" s="35">
        <v>0.1007188</v>
      </c>
    </row>
    <row r="4689" spans="103:104" x14ac:dyDescent="0.3">
      <c r="CY4689" s="34" t="s">
        <v>5616</v>
      </c>
      <c r="CZ4689" s="35">
        <v>0.1007188</v>
      </c>
    </row>
    <row r="4690" spans="103:104" x14ac:dyDescent="0.3">
      <c r="CY4690" s="34" t="s">
        <v>5617</v>
      </c>
      <c r="CZ4690" s="35">
        <v>0.1007188</v>
      </c>
    </row>
    <row r="4691" spans="103:104" x14ac:dyDescent="0.3">
      <c r="CY4691" s="34" t="s">
        <v>5618</v>
      </c>
      <c r="CZ4691" s="35">
        <v>0.25806625999999999</v>
      </c>
    </row>
    <row r="4692" spans="103:104" x14ac:dyDescent="0.3">
      <c r="CY4692" s="34" t="s">
        <v>5619</v>
      </c>
      <c r="CZ4692" s="35">
        <v>2.6639968578566663E-2</v>
      </c>
    </row>
    <row r="4693" spans="103:104" x14ac:dyDescent="0.3">
      <c r="CY4693" s="34" t="s">
        <v>5620</v>
      </c>
      <c r="CZ4693" s="35">
        <v>2.2796945721433332E-2</v>
      </c>
    </row>
    <row r="4694" spans="103:104" x14ac:dyDescent="0.3">
      <c r="CY4694" s="34" t="s">
        <v>5621</v>
      </c>
      <c r="CZ4694" s="35">
        <v>7.8852799999999987E-2</v>
      </c>
    </row>
    <row r="4695" spans="103:104" x14ac:dyDescent="0.3">
      <c r="CY4695" s="34" t="s">
        <v>5622</v>
      </c>
      <c r="CZ4695" s="35">
        <v>4.9457039999999998E-4</v>
      </c>
    </row>
    <row r="4696" spans="103:104" x14ac:dyDescent="0.3">
      <c r="CY4696" s="34" t="s">
        <v>5623</v>
      </c>
      <c r="CZ4696" s="35">
        <v>8.9279359999999989E-4</v>
      </c>
    </row>
    <row r="4697" spans="103:104" x14ac:dyDescent="0.3">
      <c r="CY4697" s="34" t="s">
        <v>5624</v>
      </c>
      <c r="CZ4697" s="35">
        <v>0.77313280000000006</v>
      </c>
    </row>
    <row r="4698" spans="103:104" x14ac:dyDescent="0.3">
      <c r="CY4698" s="34" t="s">
        <v>5625</v>
      </c>
      <c r="CZ4698" s="35">
        <v>0.62341546600000008</v>
      </c>
    </row>
    <row r="4699" spans="103:104" x14ac:dyDescent="0.3">
      <c r="CY4699" s="34" t="s">
        <v>5626</v>
      </c>
      <c r="CZ4699" s="35">
        <v>2.1598613499999998E-3</v>
      </c>
    </row>
    <row r="4700" spans="103:104" x14ac:dyDescent="0.3">
      <c r="CY4700" s="34" t="s">
        <v>5627</v>
      </c>
      <c r="CZ4700" s="35">
        <v>0.11824319999999999</v>
      </c>
    </row>
    <row r="4701" spans="103:104" x14ac:dyDescent="0.3">
      <c r="CY4701" s="34" t="s">
        <v>5628</v>
      </c>
      <c r="CZ4701" s="35">
        <v>1.5385639999999999E-2</v>
      </c>
    </row>
    <row r="4702" spans="103:104" x14ac:dyDescent="0.3">
      <c r="CY4702" s="34" t="s">
        <v>5629</v>
      </c>
      <c r="CZ4702" s="35">
        <v>0.4150605</v>
      </c>
    </row>
    <row r="4703" spans="103:104" x14ac:dyDescent="0.3">
      <c r="CY4703" s="34" t="s">
        <v>5630</v>
      </c>
      <c r="CZ4703" s="35">
        <v>0.15972952700000001</v>
      </c>
    </row>
    <row r="4704" spans="103:104" x14ac:dyDescent="0.3">
      <c r="CY4704" s="34" t="s">
        <v>5631</v>
      </c>
      <c r="CZ4704" s="35">
        <v>3.2690909600000002E-3</v>
      </c>
    </row>
    <row r="4705" spans="103:104" x14ac:dyDescent="0.3">
      <c r="CY4705" s="34" t="s">
        <v>5632</v>
      </c>
      <c r="CZ4705" s="35">
        <v>2.5093256000000001E-2</v>
      </c>
    </row>
    <row r="4706" spans="103:104" x14ac:dyDescent="0.3">
      <c r="CY4706" s="34" t="s">
        <v>5633</v>
      </c>
      <c r="CZ4706" s="35">
        <v>7.3289707200000003E-3</v>
      </c>
    </row>
    <row r="4707" spans="103:104" x14ac:dyDescent="0.3">
      <c r="CY4707" s="34" t="s">
        <v>5634</v>
      </c>
      <c r="CZ4707" s="35">
        <v>2.7278464000000002E-2</v>
      </c>
    </row>
    <row r="4708" spans="103:104" x14ac:dyDescent="0.3">
      <c r="CY4708" s="34" t="s">
        <v>5635</v>
      </c>
      <c r="CZ4708" s="35">
        <v>1.9277720000000002E-2</v>
      </c>
    </row>
    <row r="4709" spans="103:104" x14ac:dyDescent="0.3">
      <c r="CY4709" s="34" t="s">
        <v>5636</v>
      </c>
      <c r="CZ4709" s="35">
        <v>9.4157279999999996E-2</v>
      </c>
    </row>
    <row r="4710" spans="103:104" x14ac:dyDescent="0.3">
      <c r="CY4710" s="34" t="s">
        <v>5637</v>
      </c>
      <c r="CZ4710" s="35">
        <v>9.9131733000000001E-4</v>
      </c>
    </row>
    <row r="4711" spans="103:104" x14ac:dyDescent="0.3">
      <c r="CY4711" s="34" t="s">
        <v>5638</v>
      </c>
      <c r="CZ4711" s="35">
        <v>8.0936399999999992E-4</v>
      </c>
    </row>
    <row r="4712" spans="103:104" x14ac:dyDescent="0.3">
      <c r="CY4712" s="34" t="s">
        <v>5639</v>
      </c>
      <c r="CZ4712" s="35">
        <v>4.5716719999999998E-4</v>
      </c>
    </row>
    <row r="4713" spans="103:104" x14ac:dyDescent="0.3">
      <c r="CY4713" s="34" t="s">
        <v>5640</v>
      </c>
      <c r="CZ4713" s="35">
        <v>1.186208E-3</v>
      </c>
    </row>
    <row r="4714" spans="103:104" x14ac:dyDescent="0.3">
      <c r="CY4714" s="34" t="s">
        <v>5641</v>
      </c>
      <c r="CZ4714" s="35">
        <v>4.9518524E-4</v>
      </c>
    </row>
    <row r="4715" spans="103:104" x14ac:dyDescent="0.3">
      <c r="CY4715" s="34" t="s">
        <v>5642</v>
      </c>
      <c r="CZ4715" s="35">
        <v>3.3372960000000004E-4</v>
      </c>
    </row>
    <row r="4716" spans="103:104" x14ac:dyDescent="0.3">
      <c r="CY4716" s="34" t="s">
        <v>5643</v>
      </c>
      <c r="CZ4716" s="35">
        <v>1.35188E-3</v>
      </c>
    </row>
    <row r="4717" spans="103:104" x14ac:dyDescent="0.3">
      <c r="CY4717" s="34" t="s">
        <v>5644</v>
      </c>
      <c r="CZ4717" s="35">
        <v>2.0469120000000001E-3</v>
      </c>
    </row>
    <row r="4718" spans="103:104" x14ac:dyDescent="0.3">
      <c r="CY4718" s="34" t="s">
        <v>5645</v>
      </c>
      <c r="CZ4718" s="35">
        <v>2.7292352000000002E-2</v>
      </c>
    </row>
    <row r="4719" spans="103:104" x14ac:dyDescent="0.3">
      <c r="CY4719" s="34" t="s">
        <v>5646</v>
      </c>
      <c r="CZ4719" s="35">
        <v>2.0539162666666666E-2</v>
      </c>
    </row>
    <row r="4720" spans="103:104" x14ac:dyDescent="0.3">
      <c r="CY4720" s="34" t="s">
        <v>5647</v>
      </c>
      <c r="CZ4720" s="35">
        <v>3.0542399999999997E-3</v>
      </c>
    </row>
    <row r="4721" spans="103:104" x14ac:dyDescent="0.3">
      <c r="CY4721" s="34" t="s">
        <v>5648</v>
      </c>
      <c r="CZ4721" s="35">
        <v>1.4621533871428571E-2</v>
      </c>
    </row>
    <row r="4722" spans="103:104" x14ac:dyDescent="0.3">
      <c r="CY4722" s="34" t="s">
        <v>5649</v>
      </c>
      <c r="CZ4722" s="35">
        <v>1.0232453340000001E-2</v>
      </c>
    </row>
    <row r="4723" spans="103:104" x14ac:dyDescent="0.3">
      <c r="CY4723" s="34" t="s">
        <v>5650</v>
      </c>
      <c r="CZ4723" s="35">
        <v>6.4483520000000001E-3</v>
      </c>
    </row>
    <row r="4724" spans="103:104" x14ac:dyDescent="0.3">
      <c r="CY4724" s="34" t="s">
        <v>5651</v>
      </c>
      <c r="CZ4724" s="35">
        <v>3.24768E-2</v>
      </c>
    </row>
    <row r="4725" spans="103:104" x14ac:dyDescent="0.3">
      <c r="CY4725" s="34" t="s">
        <v>5652</v>
      </c>
      <c r="CZ4725" s="35">
        <v>4.5712039999999997E-3</v>
      </c>
    </row>
    <row r="4726" spans="103:104" x14ac:dyDescent="0.3">
      <c r="CY4726" s="34" t="s">
        <v>5653</v>
      </c>
      <c r="CZ4726" s="35">
        <v>1.6871968000000001E-2</v>
      </c>
    </row>
    <row r="4727" spans="103:104" x14ac:dyDescent="0.3">
      <c r="CY4727" s="34" t="s">
        <v>5654</v>
      </c>
      <c r="CZ4727" s="35">
        <v>1.6871968000000001E-2</v>
      </c>
    </row>
    <row r="4728" spans="103:104" x14ac:dyDescent="0.3">
      <c r="CY4728" s="34" t="s">
        <v>5655</v>
      </c>
      <c r="CZ4728" s="35">
        <v>2.8001600000000001E-2</v>
      </c>
    </row>
    <row r="4729" spans="103:104" x14ac:dyDescent="0.3">
      <c r="CY4729" s="34" t="s">
        <v>5656</v>
      </c>
      <c r="CZ4729" s="35">
        <v>0.1121648</v>
      </c>
    </row>
    <row r="4730" spans="103:104" x14ac:dyDescent="0.3">
      <c r="CY4730" s="34" t="s">
        <v>5657</v>
      </c>
      <c r="CZ4730" s="35">
        <v>0.10740368000000002</v>
      </c>
    </row>
    <row r="4731" spans="103:104" x14ac:dyDescent="0.3">
      <c r="CY4731" s="34" t="s">
        <v>5658</v>
      </c>
      <c r="CZ4731" s="35">
        <v>0.10422960000000001</v>
      </c>
    </row>
    <row r="4732" spans="103:104" x14ac:dyDescent="0.3">
      <c r="CY4732" s="34" t="s">
        <v>5659</v>
      </c>
      <c r="CZ4732" s="35">
        <v>9.788144E-2</v>
      </c>
    </row>
    <row r="4733" spans="103:104" x14ac:dyDescent="0.3">
      <c r="CY4733" s="34" t="s">
        <v>5660</v>
      </c>
      <c r="CZ4733" s="35">
        <v>1.8279959999999997E-3</v>
      </c>
    </row>
    <row r="4734" spans="103:104" x14ac:dyDescent="0.3">
      <c r="CY4734" s="34" t="s">
        <v>5661</v>
      </c>
      <c r="CZ4734" s="35">
        <v>2.3826279999999999E-3</v>
      </c>
    </row>
    <row r="4735" spans="103:104" x14ac:dyDescent="0.3">
      <c r="CY4735" s="34" t="s">
        <v>5662</v>
      </c>
      <c r="CZ4735" s="35">
        <v>2.7826000000000001E-3</v>
      </c>
    </row>
    <row r="4736" spans="103:104" x14ac:dyDescent="0.3">
      <c r="CY4736" s="34" t="s">
        <v>5663</v>
      </c>
      <c r="CZ4736" s="35">
        <v>5.6066000000000004E-4</v>
      </c>
    </row>
    <row r="4737" spans="103:104" x14ac:dyDescent="0.3">
      <c r="CY4737" s="34" t="s">
        <v>5664</v>
      </c>
      <c r="CZ4737" s="35">
        <v>6.2043120000000002E-4</v>
      </c>
    </row>
    <row r="4738" spans="103:104" x14ac:dyDescent="0.3">
      <c r="CY4738" s="34" t="s">
        <v>5665</v>
      </c>
      <c r="CZ4738" s="35">
        <v>3.0180586665000002E-2</v>
      </c>
    </row>
    <row r="4739" spans="103:104" x14ac:dyDescent="0.3">
      <c r="CY4739" s="34" t="s">
        <v>5666</v>
      </c>
      <c r="CZ4739" s="35">
        <v>5.724928E-2</v>
      </c>
    </row>
    <row r="4740" spans="103:104" x14ac:dyDescent="0.3">
      <c r="CY4740" s="34" t="s">
        <v>5667</v>
      </c>
      <c r="CZ4740" s="35">
        <v>1.7307520000000003E-2</v>
      </c>
    </row>
    <row r="4741" spans="103:104" x14ac:dyDescent="0.3">
      <c r="CY4741" s="34" t="s">
        <v>5668</v>
      </c>
      <c r="CZ4741" s="35">
        <v>6.2585999999999989E-2</v>
      </c>
    </row>
    <row r="4742" spans="103:104" x14ac:dyDescent="0.3">
      <c r="CY4742" s="34" t="s">
        <v>5669</v>
      </c>
      <c r="CZ4742" s="35">
        <v>6.2585999999999989E-2</v>
      </c>
    </row>
    <row r="4743" spans="103:104" x14ac:dyDescent="0.3">
      <c r="CY4743" s="34" t="s">
        <v>5670</v>
      </c>
      <c r="CZ4743" s="35">
        <v>4.6499842285000002E-2</v>
      </c>
    </row>
    <row r="4744" spans="103:104" x14ac:dyDescent="0.3">
      <c r="CY4744" s="34" t="s">
        <v>5671</v>
      </c>
      <c r="CZ4744" s="35">
        <v>8.5599080000000015E-3</v>
      </c>
    </row>
    <row r="4745" spans="103:104" x14ac:dyDescent="0.3">
      <c r="CY4745" s="34" t="s">
        <v>5672</v>
      </c>
      <c r="CZ4745" s="35">
        <v>1.5602039999999999E-4</v>
      </c>
    </row>
    <row r="4746" spans="103:104" x14ac:dyDescent="0.3">
      <c r="CY4746" s="34" t="s">
        <v>5673</v>
      </c>
      <c r="CZ4746" s="35">
        <v>2.2001288000000004E-2</v>
      </c>
    </row>
    <row r="4747" spans="103:104" x14ac:dyDescent="0.3">
      <c r="CY4747" s="34" t="s">
        <v>5674</v>
      </c>
      <c r="CZ4747" s="35">
        <v>2.2001288000000004E-2</v>
      </c>
    </row>
    <row r="4748" spans="103:104" x14ac:dyDescent="0.3">
      <c r="CY4748" s="34" t="s">
        <v>5675</v>
      </c>
      <c r="CZ4748" s="35">
        <v>4.2595199999999995E-4</v>
      </c>
    </row>
    <row r="4749" spans="103:104" x14ac:dyDescent="0.3">
      <c r="CY4749" s="34" t="s">
        <v>5676</v>
      </c>
      <c r="CZ4749" s="35">
        <v>5.3693000000000002E-4</v>
      </c>
    </row>
    <row r="4750" spans="103:104" x14ac:dyDescent="0.3">
      <c r="CY4750" s="34" t="s">
        <v>5677</v>
      </c>
      <c r="CZ4750" s="35">
        <v>4.1537728000000012E-3</v>
      </c>
    </row>
    <row r="4751" spans="103:104" x14ac:dyDescent="0.3">
      <c r="CY4751" s="34" t="s">
        <v>5678</v>
      </c>
      <c r="CZ4751" s="35">
        <v>6.3582400000000002E-3</v>
      </c>
    </row>
    <row r="4752" spans="103:104" x14ac:dyDescent="0.3">
      <c r="CY4752" s="34" t="s">
        <v>5679</v>
      </c>
      <c r="CZ4752" s="35">
        <v>3.5730000000000002E-3</v>
      </c>
    </row>
    <row r="4753" spans="103:104" x14ac:dyDescent="0.3">
      <c r="CY4753" s="34" t="s">
        <v>5680</v>
      </c>
      <c r="CZ4753" s="35">
        <v>1.1219364250000001E-2</v>
      </c>
    </row>
    <row r="4754" spans="103:104" x14ac:dyDescent="0.3">
      <c r="CY4754" s="34" t="s">
        <v>5681</v>
      </c>
      <c r="CZ4754" s="35">
        <v>1.1219364266666667E-2</v>
      </c>
    </row>
    <row r="4755" spans="103:104" x14ac:dyDescent="0.3">
      <c r="CY4755" s="34" t="s">
        <v>5682</v>
      </c>
      <c r="CZ4755" s="35">
        <v>2.0685793333333332E-3</v>
      </c>
    </row>
    <row r="4756" spans="103:104" x14ac:dyDescent="0.3">
      <c r="CY4756" s="34" t="s">
        <v>5683</v>
      </c>
      <c r="CZ4756" s="35">
        <v>9.1583680000000001E-3</v>
      </c>
    </row>
    <row r="4757" spans="103:104" x14ac:dyDescent="0.3">
      <c r="CY4757" s="34" t="s">
        <v>5684</v>
      </c>
      <c r="CZ4757" s="35">
        <v>2.3221215999999999E-2</v>
      </c>
    </row>
    <row r="4758" spans="103:104" x14ac:dyDescent="0.3">
      <c r="CY4758" s="34" t="s">
        <v>5685</v>
      </c>
      <c r="CZ4758" s="35">
        <v>7.1692480000000013E-3</v>
      </c>
    </row>
    <row r="4759" spans="103:104" x14ac:dyDescent="0.3">
      <c r="CY4759" s="34" t="s">
        <v>5686</v>
      </c>
      <c r="CZ4759" s="35">
        <v>8.4466799999999998E-3</v>
      </c>
    </row>
    <row r="4760" spans="103:104" x14ac:dyDescent="0.3">
      <c r="CY4760" s="34" t="s">
        <v>5687</v>
      </c>
      <c r="CZ4760" s="35">
        <v>1.0218944000000001E-2</v>
      </c>
    </row>
    <row r="4761" spans="103:104" x14ac:dyDescent="0.3">
      <c r="CY4761" s="34" t="s">
        <v>5688</v>
      </c>
      <c r="CZ4761" s="35">
        <v>2.0616692999999998E-2</v>
      </c>
    </row>
    <row r="4762" spans="103:104" x14ac:dyDescent="0.3">
      <c r="CY4762" s="34" t="s">
        <v>5689</v>
      </c>
      <c r="CZ4762" s="35">
        <v>8.2749759999999981E-3</v>
      </c>
    </row>
    <row r="4763" spans="103:104" x14ac:dyDescent="0.3">
      <c r="CY4763" s="34" t="s">
        <v>5690</v>
      </c>
      <c r="CZ4763" s="35">
        <v>1.0218944000000001E-2</v>
      </c>
    </row>
    <row r="4764" spans="103:104" x14ac:dyDescent="0.3">
      <c r="CY4764" s="34" t="s">
        <v>5691</v>
      </c>
      <c r="CZ4764" s="35">
        <v>2.7860639999999996E-3</v>
      </c>
    </row>
    <row r="4765" spans="103:104" x14ac:dyDescent="0.3">
      <c r="CY4765" s="34" t="s">
        <v>5692</v>
      </c>
      <c r="CZ4765" s="35">
        <v>6.1234240000000006E-3</v>
      </c>
    </row>
    <row r="4766" spans="103:104" x14ac:dyDescent="0.3">
      <c r="CY4766" s="34" t="s">
        <v>5693</v>
      </c>
      <c r="CZ4766" s="35">
        <v>7.6089600000000014E-3</v>
      </c>
    </row>
    <row r="4767" spans="103:104" x14ac:dyDescent="0.3">
      <c r="CY4767" s="34" t="s">
        <v>5694</v>
      </c>
      <c r="CZ4767" s="35">
        <v>9.2532000000000014E-3</v>
      </c>
    </row>
    <row r="4768" spans="103:104" x14ac:dyDescent="0.3">
      <c r="CY4768" s="34" t="s">
        <v>5695</v>
      </c>
      <c r="CZ4768" s="35">
        <v>8.9118719999999995E-3</v>
      </c>
    </row>
    <row r="4769" spans="103:104" x14ac:dyDescent="0.3">
      <c r="CY4769" s="34" t="s">
        <v>5696</v>
      </c>
      <c r="CZ4769" s="35">
        <v>9.5404479999999982E-3</v>
      </c>
    </row>
    <row r="4770" spans="103:104" x14ac:dyDescent="0.3">
      <c r="CY4770" s="34" t="s">
        <v>5697</v>
      </c>
      <c r="CZ4770" s="35">
        <v>2.7779176000000003E-2</v>
      </c>
    </row>
    <row r="4771" spans="103:104" x14ac:dyDescent="0.3">
      <c r="CY4771" s="34" t="s">
        <v>5698</v>
      </c>
      <c r="CZ4771" s="35">
        <v>8.7717119999999992E-3</v>
      </c>
    </row>
    <row r="4772" spans="103:104" x14ac:dyDescent="0.3">
      <c r="CY4772" s="34" t="s">
        <v>5699</v>
      </c>
      <c r="CZ4772" s="35">
        <v>0.11484082800000001</v>
      </c>
    </row>
    <row r="4773" spans="103:104" x14ac:dyDescent="0.3">
      <c r="CY4773" s="34" t="s">
        <v>5700</v>
      </c>
      <c r="CZ4773" s="35">
        <v>9.5582925333333332E-2</v>
      </c>
    </row>
    <row r="4774" spans="103:104" x14ac:dyDescent="0.3">
      <c r="CY4774" s="34" t="s">
        <v>5701</v>
      </c>
      <c r="CZ4774" s="35">
        <v>8.1096839999999989E-2</v>
      </c>
    </row>
    <row r="4775" spans="103:104" x14ac:dyDescent="0.3">
      <c r="CY4775" s="34" t="s">
        <v>5702</v>
      </c>
      <c r="CZ4775" s="35">
        <v>7.489524535E-2</v>
      </c>
    </row>
    <row r="4776" spans="103:104" x14ac:dyDescent="0.3">
      <c r="CY4776" s="34" t="s">
        <v>5703</v>
      </c>
      <c r="CZ4776" s="35">
        <v>2.2827733333333336E-2</v>
      </c>
    </row>
    <row r="4777" spans="103:104" x14ac:dyDescent="0.3">
      <c r="CY4777" s="34" t="s">
        <v>5704</v>
      </c>
      <c r="CZ4777" s="35">
        <v>5.4248320000000003E-2</v>
      </c>
    </row>
    <row r="4778" spans="103:104" x14ac:dyDescent="0.3">
      <c r="CY4778" s="34" t="s">
        <v>5705</v>
      </c>
      <c r="CZ4778" s="35">
        <v>5.107424E-2</v>
      </c>
    </row>
    <row r="4779" spans="103:104" x14ac:dyDescent="0.3">
      <c r="CY4779" s="34" t="s">
        <v>5706</v>
      </c>
      <c r="CZ4779" s="35">
        <v>2.6777282933333334E-2</v>
      </c>
    </row>
    <row r="4780" spans="103:104" x14ac:dyDescent="0.3">
      <c r="CY4780" s="34" t="s">
        <v>5707</v>
      </c>
      <c r="CZ4780" s="35">
        <v>4.8765522649999997E-2</v>
      </c>
    </row>
    <row r="4781" spans="103:104" x14ac:dyDescent="0.3">
      <c r="CY4781" s="34" t="s">
        <v>5708</v>
      </c>
      <c r="CZ4781" s="35">
        <v>3.9434400000000001E-2</v>
      </c>
    </row>
    <row r="4782" spans="103:104" x14ac:dyDescent="0.3">
      <c r="CY4782" s="34" t="s">
        <v>5709</v>
      </c>
      <c r="CZ4782" s="35">
        <v>9.1112199993340012E-2</v>
      </c>
    </row>
    <row r="4783" spans="103:104" x14ac:dyDescent="0.3">
      <c r="CY4783" s="34" t="s">
        <v>5710</v>
      </c>
      <c r="CZ4783" s="35">
        <v>8.8921573350000005E-2</v>
      </c>
    </row>
    <row r="4784" spans="103:104" x14ac:dyDescent="0.3">
      <c r="CY4784" s="34" t="s">
        <v>5711</v>
      </c>
      <c r="CZ4784" s="35">
        <v>1.3733332999999999E-3</v>
      </c>
    </row>
    <row r="4785" spans="103:104" x14ac:dyDescent="0.3">
      <c r="CY4785" s="34" t="s">
        <v>5712</v>
      </c>
      <c r="CZ4785" s="35">
        <v>9.794687249999999E-2</v>
      </c>
    </row>
    <row r="4786" spans="103:104" x14ac:dyDescent="0.3">
      <c r="CY4786" s="34" t="s">
        <v>5713</v>
      </c>
      <c r="CZ4786" s="35">
        <v>7.8490799999999999E-2</v>
      </c>
    </row>
    <row r="4787" spans="103:104" x14ac:dyDescent="0.3">
      <c r="CY4787" s="34" t="s">
        <v>5714</v>
      </c>
      <c r="CZ4787" s="35">
        <v>1.1209943999999999E-2</v>
      </c>
    </row>
    <row r="4788" spans="103:104" x14ac:dyDescent="0.3">
      <c r="CY4788" s="34" t="s">
        <v>5715</v>
      </c>
      <c r="CZ4788" s="35">
        <v>2.5215720000000001E-3</v>
      </c>
    </row>
    <row r="4789" spans="103:104" x14ac:dyDescent="0.3">
      <c r="CY4789" s="34" t="s">
        <v>5716</v>
      </c>
      <c r="CZ4789" s="35">
        <v>2.1781480000000002E-2</v>
      </c>
    </row>
    <row r="4790" spans="103:104" x14ac:dyDescent="0.3">
      <c r="CY4790" s="34" t="s">
        <v>5717</v>
      </c>
      <c r="CZ4790" s="35">
        <v>0.19587635999999997</v>
      </c>
    </row>
    <row r="4791" spans="103:104" x14ac:dyDescent="0.3">
      <c r="CY4791" s="34" t="s">
        <v>5718</v>
      </c>
      <c r="CZ4791" s="35">
        <v>0.21642815999999998</v>
      </c>
    </row>
    <row r="4792" spans="103:104" x14ac:dyDescent="0.3">
      <c r="CY4792" s="34" t="s">
        <v>5719</v>
      </c>
      <c r="CZ4792" s="35">
        <v>5.6344114280000003E-2</v>
      </c>
    </row>
    <row r="4793" spans="103:104" x14ac:dyDescent="0.3">
      <c r="CY4793" s="34" t="s">
        <v>5720</v>
      </c>
      <c r="CZ4793" s="35">
        <v>2.1441455999999998E-3</v>
      </c>
    </row>
    <row r="4794" spans="103:104" x14ac:dyDescent="0.3">
      <c r="CY4794" s="34" t="s">
        <v>5721</v>
      </c>
      <c r="CZ4794" s="35">
        <v>4.3486519999999994E-2</v>
      </c>
    </row>
    <row r="4795" spans="103:104" x14ac:dyDescent="0.3">
      <c r="CY4795" s="34" t="s">
        <v>5722</v>
      </c>
      <c r="CZ4795" s="35">
        <v>9.787453119999999E-2</v>
      </c>
    </row>
    <row r="4796" spans="103:104" x14ac:dyDescent="0.3">
      <c r="CY4796" s="34" t="s">
        <v>5723</v>
      </c>
      <c r="CZ4796" s="35">
        <v>1.257336E-2</v>
      </c>
    </row>
    <row r="4797" spans="103:104" x14ac:dyDescent="0.3">
      <c r="CY4797" s="34" t="s">
        <v>5724</v>
      </c>
      <c r="CZ4797" s="35">
        <v>1.7857557999999999E-2</v>
      </c>
    </row>
    <row r="4798" spans="103:104" x14ac:dyDescent="0.3">
      <c r="CY4798" s="34" t="s">
        <v>5725</v>
      </c>
      <c r="CZ4798" s="35">
        <v>7.2867256000000002E-3</v>
      </c>
    </row>
    <row r="4799" spans="103:104" x14ac:dyDescent="0.3">
      <c r="CY4799" s="34" t="s">
        <v>5726</v>
      </c>
      <c r="CZ4799" s="35">
        <v>5.1508500000000002E-3</v>
      </c>
    </row>
    <row r="4800" spans="103:104" x14ac:dyDescent="0.3">
      <c r="CY4800" s="34" t="s">
        <v>5727</v>
      </c>
      <c r="CZ4800" s="35">
        <v>4.6841280000000003E-4</v>
      </c>
    </row>
    <row r="4801" spans="103:104" x14ac:dyDescent="0.3">
      <c r="CY4801" s="34" t="s">
        <v>5728</v>
      </c>
      <c r="CZ4801" s="35">
        <v>4.6841280000000003E-4</v>
      </c>
    </row>
    <row r="4802" spans="103:104" x14ac:dyDescent="0.3">
      <c r="CY4802" s="34" t="s">
        <v>5729</v>
      </c>
      <c r="CZ4802" s="35">
        <v>1.7684664767999999E-3</v>
      </c>
    </row>
    <row r="4803" spans="103:104" x14ac:dyDescent="0.3">
      <c r="CY4803" s="34" t="s">
        <v>5730</v>
      </c>
      <c r="CZ4803" s="35">
        <v>1.0633094225E-2</v>
      </c>
    </row>
    <row r="4804" spans="103:104" x14ac:dyDescent="0.3">
      <c r="CY4804" s="34" t="s">
        <v>5731</v>
      </c>
      <c r="CZ4804" s="35">
        <v>8.3792942250000002E-3</v>
      </c>
    </row>
    <row r="4805" spans="103:104" x14ac:dyDescent="0.3">
      <c r="CY4805" s="34" t="s">
        <v>5732</v>
      </c>
      <c r="CZ4805" s="35">
        <v>9.9186479999999987E-3</v>
      </c>
    </row>
    <row r="4806" spans="103:104" x14ac:dyDescent="0.3">
      <c r="CY4806" s="34" t="s">
        <v>5733</v>
      </c>
      <c r="CZ4806" s="35">
        <v>9.9186479999999987E-3</v>
      </c>
    </row>
    <row r="4807" spans="103:104" x14ac:dyDescent="0.3">
      <c r="CY4807" s="34" t="s">
        <v>5734</v>
      </c>
      <c r="CZ4807" s="35">
        <v>5.162856E-4</v>
      </c>
    </row>
    <row r="4808" spans="103:104" x14ac:dyDescent="0.3">
      <c r="CY4808" s="34" t="s">
        <v>5735</v>
      </c>
      <c r="CZ4808" s="35">
        <v>2.1290119999999996E-3</v>
      </c>
    </row>
    <row r="4809" spans="103:104" x14ac:dyDescent="0.3">
      <c r="CY4809" s="34" t="s">
        <v>5736</v>
      </c>
      <c r="CZ4809" s="35">
        <v>3.1105600000000005E-3</v>
      </c>
    </row>
    <row r="4810" spans="103:104" x14ac:dyDescent="0.3">
      <c r="CY4810" s="34" t="s">
        <v>5737</v>
      </c>
      <c r="CZ4810" s="35">
        <v>6.6664640000000004E-3</v>
      </c>
    </row>
    <row r="4811" spans="103:104" x14ac:dyDescent="0.3">
      <c r="CY4811" s="34" t="s">
        <v>5738</v>
      </c>
      <c r="CZ4811" s="35">
        <v>3.5795216000000002E-3</v>
      </c>
    </row>
    <row r="4812" spans="103:104" x14ac:dyDescent="0.3">
      <c r="CY4812" s="34" t="s">
        <v>5739</v>
      </c>
      <c r="CZ4812" s="35">
        <v>3.1755399999999997E-3</v>
      </c>
    </row>
    <row r="4813" spans="103:104" x14ac:dyDescent="0.3">
      <c r="CY4813" s="34" t="s">
        <v>5740</v>
      </c>
      <c r="CZ4813" s="35">
        <v>5.0669227000000004E-3</v>
      </c>
    </row>
    <row r="4814" spans="103:104" x14ac:dyDescent="0.3">
      <c r="CY4814" s="34" t="s">
        <v>5741</v>
      </c>
      <c r="CZ4814" s="35">
        <v>1.6559999999999999E-3</v>
      </c>
    </row>
    <row r="4815" spans="103:104" x14ac:dyDescent="0.3">
      <c r="CY4815" s="34" t="s">
        <v>5742</v>
      </c>
      <c r="CZ4815" s="35">
        <v>6.9313999999999999E-3</v>
      </c>
    </row>
    <row r="4816" spans="103:104" x14ac:dyDescent="0.3">
      <c r="CY4816" s="34" t="s">
        <v>5743</v>
      </c>
      <c r="CZ4816" s="35">
        <v>4.3264080000000003E-3</v>
      </c>
    </row>
    <row r="4817" spans="103:104" x14ac:dyDescent="0.3">
      <c r="CY4817" s="34" t="s">
        <v>5744</v>
      </c>
      <c r="CZ4817" s="35">
        <v>6.1880120000000005E-3</v>
      </c>
    </row>
    <row r="4818" spans="103:104" x14ac:dyDescent="0.3">
      <c r="CY4818" s="34" t="s">
        <v>5745</v>
      </c>
      <c r="CZ4818" s="35">
        <v>5.5812240000000001E-3</v>
      </c>
    </row>
    <row r="4819" spans="103:104" x14ac:dyDescent="0.3">
      <c r="CY4819" s="34" t="s">
        <v>5746</v>
      </c>
      <c r="CZ4819" s="35">
        <v>1.2721978666666669E-3</v>
      </c>
    </row>
    <row r="4820" spans="103:104" x14ac:dyDescent="0.3">
      <c r="CY4820" s="34" t="s">
        <v>5747</v>
      </c>
      <c r="CZ4820" s="35">
        <v>3.5261072000000002E-3</v>
      </c>
    </row>
    <row r="4821" spans="103:104" x14ac:dyDescent="0.3">
      <c r="CY4821" s="34" t="s">
        <v>5748</v>
      </c>
      <c r="CZ4821" s="35">
        <v>5.8352400000000002E-3</v>
      </c>
    </row>
    <row r="4822" spans="103:104" x14ac:dyDescent="0.3">
      <c r="CY4822" s="34" t="s">
        <v>5749</v>
      </c>
      <c r="CZ4822" s="35">
        <v>3.8107559999999999E-2</v>
      </c>
    </row>
    <row r="4823" spans="103:104" x14ac:dyDescent="0.3">
      <c r="CY4823" s="34" t="s">
        <v>5750</v>
      </c>
      <c r="CZ4823" s="35">
        <v>6.9379839999999995E-3</v>
      </c>
    </row>
    <row r="4824" spans="103:104" x14ac:dyDescent="0.3">
      <c r="CY4824" s="34" t="s">
        <v>5751</v>
      </c>
      <c r="CZ4824" s="35">
        <v>7.0233520000000001E-3</v>
      </c>
    </row>
    <row r="4825" spans="103:104" x14ac:dyDescent="0.3">
      <c r="CY4825" s="34" t="s">
        <v>5752</v>
      </c>
      <c r="CZ4825" s="35">
        <v>3.3840999999999997E-3</v>
      </c>
    </row>
    <row r="4826" spans="103:104" x14ac:dyDescent="0.3">
      <c r="CY4826" s="34" t="s">
        <v>5753</v>
      </c>
      <c r="CZ4826" s="35">
        <v>3.1106480000000006E-3</v>
      </c>
    </row>
    <row r="4827" spans="103:104" x14ac:dyDescent="0.3">
      <c r="CY4827" s="34" t="s">
        <v>5754</v>
      </c>
      <c r="CZ4827" s="35">
        <v>0.12649172</v>
      </c>
    </row>
    <row r="4828" spans="103:104" x14ac:dyDescent="0.3">
      <c r="CY4828" s="34" t="s">
        <v>5755</v>
      </c>
      <c r="CZ4828" s="35">
        <v>1.4592492923076921E-2</v>
      </c>
    </row>
    <row r="4829" spans="103:104" x14ac:dyDescent="0.3">
      <c r="CY4829" s="34" t="s">
        <v>5756</v>
      </c>
      <c r="CZ4829" s="35">
        <v>1.8996554299999999E-2</v>
      </c>
    </row>
    <row r="4830" spans="103:104" x14ac:dyDescent="0.3">
      <c r="CY4830" s="34" t="s">
        <v>5757</v>
      </c>
      <c r="CZ4830" s="35">
        <v>2.1478176000000002E-2</v>
      </c>
    </row>
    <row r="4831" spans="103:104" x14ac:dyDescent="0.3">
      <c r="CY4831" s="34" t="s">
        <v>5758</v>
      </c>
      <c r="CZ4831" s="35">
        <v>2.17273477E-2</v>
      </c>
    </row>
    <row r="4832" spans="103:104" x14ac:dyDescent="0.3">
      <c r="CY4832" s="34" t="s">
        <v>5759</v>
      </c>
      <c r="CZ4832" s="35">
        <v>8.3836079999999993E-2</v>
      </c>
    </row>
    <row r="4833" spans="103:104" x14ac:dyDescent="0.3">
      <c r="CY4833" s="34" t="s">
        <v>5760</v>
      </c>
      <c r="CZ4833" s="35">
        <v>3.5749988666666662E-3</v>
      </c>
    </row>
    <row r="4834" spans="103:104" x14ac:dyDescent="0.3">
      <c r="CY4834" s="34" t="s">
        <v>5761</v>
      </c>
      <c r="CZ4834" s="35">
        <v>8.2649813333333343E-3</v>
      </c>
    </row>
    <row r="4835" spans="103:104" x14ac:dyDescent="0.3">
      <c r="CY4835" s="34" t="s">
        <v>5762</v>
      </c>
      <c r="CZ4835" s="35">
        <v>1.9018147700000002E-2</v>
      </c>
    </row>
    <row r="4836" spans="103:104" x14ac:dyDescent="0.3">
      <c r="CY4836" s="34" t="s">
        <v>5763</v>
      </c>
      <c r="CZ4836" s="35">
        <v>1.5186623999999999E-2</v>
      </c>
    </row>
    <row r="4837" spans="103:104" x14ac:dyDescent="0.3">
      <c r="CY4837" s="34" t="s">
        <v>5764</v>
      </c>
      <c r="CZ4837" s="35">
        <v>3.7928740000000003E-3</v>
      </c>
    </row>
    <row r="4838" spans="103:104" x14ac:dyDescent="0.3">
      <c r="CY4838" s="34" t="s">
        <v>5765</v>
      </c>
      <c r="CZ4838" s="35">
        <v>2.7435599999999999E-3</v>
      </c>
    </row>
    <row r="4839" spans="103:104" x14ac:dyDescent="0.3">
      <c r="CY4839" s="34" t="s">
        <v>5766</v>
      </c>
      <c r="CZ4839" s="35">
        <v>3.0747599999999997E-3</v>
      </c>
    </row>
    <row r="4840" spans="103:104" x14ac:dyDescent="0.3">
      <c r="CY4840" s="34" t="s">
        <v>5767</v>
      </c>
      <c r="CZ4840" s="35">
        <v>8.0522800000000005E-2</v>
      </c>
    </row>
    <row r="4841" spans="103:104" x14ac:dyDescent="0.3">
      <c r="CY4841" s="34" t="s">
        <v>5768</v>
      </c>
      <c r="CZ4841" s="35">
        <v>4.5875413333333338E-4</v>
      </c>
    </row>
    <row r="4842" spans="103:104" x14ac:dyDescent="0.3">
      <c r="CY4842" s="34" t="s">
        <v>5769</v>
      </c>
      <c r="CZ4842" s="35">
        <v>4.4224426666666667E-3</v>
      </c>
    </row>
    <row r="4843" spans="103:104" x14ac:dyDescent="0.3">
      <c r="CY4843" s="34" t="s">
        <v>5770</v>
      </c>
      <c r="CZ4843" s="35">
        <v>4.4224426666666667E-3</v>
      </c>
    </row>
    <row r="4844" spans="103:104" x14ac:dyDescent="0.3">
      <c r="CY4844" s="34" t="s">
        <v>5771</v>
      </c>
      <c r="CZ4844" s="35">
        <v>5.2077240000000004E-2</v>
      </c>
    </row>
    <row r="4845" spans="103:104" x14ac:dyDescent="0.3">
      <c r="CY4845" s="34" t="s">
        <v>5772</v>
      </c>
      <c r="CZ4845" s="35">
        <v>1.0998496E-2</v>
      </c>
    </row>
    <row r="4846" spans="103:104" x14ac:dyDescent="0.3">
      <c r="CY4846" s="34" t="s">
        <v>5773</v>
      </c>
      <c r="CZ4846" s="35">
        <v>8.9550680000000007E-2</v>
      </c>
    </row>
    <row r="4847" spans="103:104" x14ac:dyDescent="0.3">
      <c r="CY4847" s="34" t="s">
        <v>5774</v>
      </c>
      <c r="CZ4847" s="35">
        <v>3.7981680000000004E-2</v>
      </c>
    </row>
    <row r="4848" spans="103:104" x14ac:dyDescent="0.3">
      <c r="CY4848" s="34" t="s">
        <v>5775</v>
      </c>
      <c r="CZ4848" s="35">
        <v>0.15217471999999999</v>
      </c>
    </row>
    <row r="4849" spans="103:104" x14ac:dyDescent="0.3">
      <c r="CY4849" s="34" t="s">
        <v>5776</v>
      </c>
      <c r="CZ4849" s="35">
        <v>1.8530419999999999E-2</v>
      </c>
    </row>
    <row r="4850" spans="103:104" x14ac:dyDescent="0.3">
      <c r="CY4850" s="34" t="s">
        <v>5777</v>
      </c>
      <c r="CZ4850" s="35">
        <v>7.2956880000000002E-2</v>
      </c>
    </row>
    <row r="4851" spans="103:104" x14ac:dyDescent="0.3">
      <c r="CY4851" s="34" t="s">
        <v>5778</v>
      </c>
      <c r="CZ4851" s="35">
        <v>3.1141519999999999E-2</v>
      </c>
    </row>
    <row r="4852" spans="103:104" x14ac:dyDescent="0.3">
      <c r="CY4852" s="34" t="s">
        <v>5779</v>
      </c>
      <c r="CZ4852" s="35">
        <v>7.1139056000000004E-4</v>
      </c>
    </row>
    <row r="4853" spans="103:104" x14ac:dyDescent="0.3">
      <c r="CY4853" s="34" t="s">
        <v>5780</v>
      </c>
      <c r="CZ4853" s="35">
        <v>2.0137386600000001E-3</v>
      </c>
    </row>
    <row r="4854" spans="103:104" x14ac:dyDescent="0.3">
      <c r="CY4854" s="34" t="s">
        <v>5781</v>
      </c>
      <c r="CZ4854" s="35">
        <v>2.3028096000000001E-3</v>
      </c>
    </row>
    <row r="4855" spans="103:104" x14ac:dyDescent="0.3">
      <c r="CY4855" s="34" t="s">
        <v>5782</v>
      </c>
      <c r="CZ4855" s="35">
        <v>2.5618602666666666E-3</v>
      </c>
    </row>
    <row r="4856" spans="103:104" x14ac:dyDescent="0.3">
      <c r="CY4856" s="34" t="s">
        <v>5783</v>
      </c>
      <c r="CZ4856" s="35">
        <v>6.4493279999999998E-3</v>
      </c>
    </row>
    <row r="4857" spans="103:104" x14ac:dyDescent="0.3">
      <c r="CY4857" s="34" t="s">
        <v>5784</v>
      </c>
      <c r="CZ4857" s="35">
        <v>1.2096905125000001E-3</v>
      </c>
    </row>
    <row r="4858" spans="103:104" x14ac:dyDescent="0.3">
      <c r="CY4858" s="34" t="s">
        <v>5785</v>
      </c>
      <c r="CZ4858" s="35">
        <v>1.7226496000000001E-3</v>
      </c>
    </row>
    <row r="4859" spans="103:104" x14ac:dyDescent="0.3">
      <c r="CY4859" s="34" t="s">
        <v>5786</v>
      </c>
      <c r="CZ4859" s="35">
        <v>2.1201023999999997E-3</v>
      </c>
    </row>
    <row r="4860" spans="103:104" x14ac:dyDescent="0.3">
      <c r="CY4860" s="34" t="s">
        <v>5787</v>
      </c>
      <c r="CZ4860" s="35">
        <v>3.4005986666666668E-2</v>
      </c>
    </row>
    <row r="4861" spans="103:104" x14ac:dyDescent="0.3">
      <c r="CY4861" s="34" t="s">
        <v>5788</v>
      </c>
      <c r="CZ4861" s="35">
        <v>8.7142027142857129E-3</v>
      </c>
    </row>
    <row r="4862" spans="103:104" x14ac:dyDescent="0.3">
      <c r="CY4862" s="34" t="s">
        <v>5789</v>
      </c>
      <c r="CZ4862" s="35">
        <v>1.6167244639999995E-2</v>
      </c>
    </row>
    <row r="4863" spans="103:104" x14ac:dyDescent="0.3">
      <c r="CY4863" s="34" t="s">
        <v>5790</v>
      </c>
      <c r="CZ4863" s="35">
        <v>1.6167244639999995E-2</v>
      </c>
    </row>
    <row r="4864" spans="103:104" x14ac:dyDescent="0.3">
      <c r="CY4864" s="34" t="s">
        <v>5791</v>
      </c>
      <c r="CZ4864" s="35">
        <v>1.5574298560000002E-2</v>
      </c>
    </row>
    <row r="4865" spans="103:104" x14ac:dyDescent="0.3">
      <c r="CY4865" s="34" t="s">
        <v>5792</v>
      </c>
      <c r="CZ4865" s="35">
        <v>1.5574298560000002E-2</v>
      </c>
    </row>
    <row r="4866" spans="103:104" x14ac:dyDescent="0.3">
      <c r="CY4866" s="34" t="s">
        <v>5793</v>
      </c>
      <c r="CZ4866" s="35">
        <v>0.20006235999999999</v>
      </c>
    </row>
    <row r="4867" spans="103:104" x14ac:dyDescent="0.3">
      <c r="CY4867" s="34" t="s">
        <v>5794</v>
      </c>
      <c r="CZ4867" s="35">
        <v>0.19638236000000001</v>
      </c>
    </row>
    <row r="4868" spans="103:104" x14ac:dyDescent="0.3">
      <c r="CY4868" s="34" t="s">
        <v>5795</v>
      </c>
      <c r="CZ4868" s="35">
        <v>5.2120359999999998E-2</v>
      </c>
    </row>
    <row r="4869" spans="103:104" x14ac:dyDescent="0.3">
      <c r="CY4869" s="34" t="s">
        <v>5796</v>
      </c>
      <c r="CZ4869" s="35">
        <v>7.0016400000000008E-3</v>
      </c>
    </row>
    <row r="4870" spans="103:104" x14ac:dyDescent="0.3">
      <c r="CY4870" s="34" t="s">
        <v>5797</v>
      </c>
      <c r="CZ4870" s="35">
        <v>4.1374800000000007E-3</v>
      </c>
    </row>
    <row r="4871" spans="103:104" x14ac:dyDescent="0.3">
      <c r="CY4871" s="34" t="s">
        <v>5798</v>
      </c>
      <c r="CZ4871" s="35">
        <v>1.1636130999999999E-2</v>
      </c>
    </row>
    <row r="4872" spans="103:104" x14ac:dyDescent="0.3">
      <c r="CY4872" s="34" t="s">
        <v>5799</v>
      </c>
      <c r="CZ4872" s="35">
        <v>1.6398832000000003E-3</v>
      </c>
    </row>
    <row r="4873" spans="103:104" x14ac:dyDescent="0.3">
      <c r="CY4873" s="34" t="s">
        <v>5800</v>
      </c>
      <c r="CZ4873" s="35">
        <v>2.6505120000000003E-3</v>
      </c>
    </row>
    <row r="4874" spans="103:104" x14ac:dyDescent="0.3">
      <c r="CY4874" s="34" t="s">
        <v>5801</v>
      </c>
      <c r="CZ4874" s="35">
        <v>2.6505120000000003E-3</v>
      </c>
    </row>
    <row r="4875" spans="103:104" x14ac:dyDescent="0.3">
      <c r="CY4875" s="34" t="s">
        <v>5802</v>
      </c>
      <c r="CZ4875" s="35">
        <v>3.2451840000000003E-3</v>
      </c>
    </row>
    <row r="4876" spans="103:104" x14ac:dyDescent="0.3">
      <c r="CY4876" s="34" t="s">
        <v>5803</v>
      </c>
      <c r="CZ4876" s="35">
        <v>3.2451840000000003E-3</v>
      </c>
    </row>
    <row r="4877" spans="103:104" x14ac:dyDescent="0.3">
      <c r="CY4877" s="34" t="s">
        <v>5804</v>
      </c>
      <c r="CZ4877" s="35">
        <v>7.9495199999999992E-4</v>
      </c>
    </row>
    <row r="4878" spans="103:104" x14ac:dyDescent="0.3">
      <c r="CY4878" s="34" t="s">
        <v>5805</v>
      </c>
      <c r="CZ4878" s="35">
        <v>7.9495199999999992E-4</v>
      </c>
    </row>
    <row r="4879" spans="103:104" x14ac:dyDescent="0.3">
      <c r="CY4879" s="34" t="s">
        <v>5806</v>
      </c>
      <c r="CZ4879" s="35">
        <v>9.0179240000000001E-3</v>
      </c>
    </row>
    <row r="4880" spans="103:104" x14ac:dyDescent="0.3">
      <c r="CY4880" s="34" t="s">
        <v>5807</v>
      </c>
      <c r="CZ4880" s="35">
        <v>2.5513066600000001E-3</v>
      </c>
    </row>
    <row r="4881" spans="103:104" x14ac:dyDescent="0.3">
      <c r="CY4881" s="34" t="s">
        <v>5808</v>
      </c>
      <c r="CZ4881" s="35">
        <v>2.1596520000000002E-3</v>
      </c>
    </row>
    <row r="4882" spans="103:104" x14ac:dyDescent="0.3">
      <c r="CY4882" s="34" t="s">
        <v>5809</v>
      </c>
      <c r="CZ4882" s="35">
        <v>5.68966044E-3</v>
      </c>
    </row>
    <row r="4883" spans="103:104" x14ac:dyDescent="0.3">
      <c r="CY4883" s="34" t="s">
        <v>5810</v>
      </c>
      <c r="CZ4883" s="35">
        <v>5.6447715599999993E-3</v>
      </c>
    </row>
    <row r="4884" spans="103:104" x14ac:dyDescent="0.3">
      <c r="CY4884" s="34" t="s">
        <v>5811</v>
      </c>
      <c r="CZ4884" s="35">
        <v>1.0709760000000002E-3</v>
      </c>
    </row>
    <row r="4885" spans="103:104" x14ac:dyDescent="0.3">
      <c r="CY4885" s="34" t="s">
        <v>5812</v>
      </c>
      <c r="CZ4885" s="35">
        <v>9.6234240000000026E-2</v>
      </c>
    </row>
    <row r="4886" spans="103:104" x14ac:dyDescent="0.3">
      <c r="CY4886" s="34" t="s">
        <v>5813</v>
      </c>
      <c r="CZ4886" s="35">
        <v>2.1786359999999999E-3</v>
      </c>
    </row>
    <row r="4887" spans="103:104" x14ac:dyDescent="0.3">
      <c r="CY4887" s="34" t="s">
        <v>5814</v>
      </c>
      <c r="CZ4887" s="35">
        <v>1.1196456000000002E-2</v>
      </c>
    </row>
    <row r="4888" spans="103:104" x14ac:dyDescent="0.3">
      <c r="CY4888" s="34" t="s">
        <v>5815</v>
      </c>
      <c r="CZ4888" s="35">
        <v>1.6518968000000002E-2</v>
      </c>
    </row>
    <row r="4889" spans="103:104" x14ac:dyDescent="0.3">
      <c r="CY4889" s="34" t="s">
        <v>5816</v>
      </c>
      <c r="CZ4889" s="35">
        <v>5.0969279999999997E-3</v>
      </c>
    </row>
    <row r="4890" spans="103:104" x14ac:dyDescent="0.3">
      <c r="CY4890" s="34" t="s">
        <v>5817</v>
      </c>
      <c r="CZ4890" s="35">
        <v>6.865768E-4</v>
      </c>
    </row>
    <row r="4891" spans="103:104" x14ac:dyDescent="0.3">
      <c r="CY4891" s="34" t="s">
        <v>5818</v>
      </c>
      <c r="CZ4891" s="35">
        <v>2.4710840000000001E-2</v>
      </c>
    </row>
    <row r="4892" spans="103:104" x14ac:dyDescent="0.3">
      <c r="CY4892" s="34" t="s">
        <v>5819</v>
      </c>
      <c r="CZ4892" s="35">
        <v>2.270973334E-2</v>
      </c>
    </row>
    <row r="4893" spans="103:104" x14ac:dyDescent="0.3">
      <c r="CY4893" s="34" t="s">
        <v>5820</v>
      </c>
      <c r="CZ4893" s="35">
        <v>1.8475550669999997E-2</v>
      </c>
    </row>
    <row r="4894" spans="103:104" x14ac:dyDescent="0.3">
      <c r="CY4894" s="34" t="s">
        <v>5821</v>
      </c>
      <c r="CZ4894" s="35">
        <v>2.7001029999999999E-2</v>
      </c>
    </row>
    <row r="4895" spans="103:104" x14ac:dyDescent="0.3">
      <c r="CY4895" s="34" t="s">
        <v>5822</v>
      </c>
      <c r="CZ4895" s="35">
        <v>1.1782477999999999E-2</v>
      </c>
    </row>
    <row r="4896" spans="103:104" x14ac:dyDescent="0.3">
      <c r="CY4896" s="34" t="s">
        <v>5823</v>
      </c>
      <c r="CZ4896" s="35">
        <v>5.5306000000000001E-2</v>
      </c>
    </row>
    <row r="4897" spans="103:104" x14ac:dyDescent="0.3">
      <c r="CY4897" s="34" t="s">
        <v>5824</v>
      </c>
      <c r="CZ4897" s="35">
        <v>2.2443566700000001E-2</v>
      </c>
    </row>
    <row r="4898" spans="103:104" x14ac:dyDescent="0.3">
      <c r="CY4898" s="34" t="s">
        <v>5825</v>
      </c>
      <c r="CZ4898" s="35">
        <v>2.4665006699999999E-2</v>
      </c>
    </row>
    <row r="4899" spans="103:104" x14ac:dyDescent="0.3">
      <c r="CY4899" s="34" t="s">
        <v>5826</v>
      </c>
      <c r="CZ4899" s="35">
        <v>2.4710840000000001E-2</v>
      </c>
    </row>
    <row r="4900" spans="103:104" x14ac:dyDescent="0.3">
      <c r="CY4900" s="34" t="s">
        <v>5827</v>
      </c>
      <c r="CZ4900" s="35">
        <v>0.10168791999999999</v>
      </c>
    </row>
    <row r="4901" spans="103:104" x14ac:dyDescent="0.3">
      <c r="CY4901" s="34" t="s">
        <v>5828</v>
      </c>
      <c r="CZ4901" s="35">
        <v>3.6801879999999995E-2</v>
      </c>
    </row>
    <row r="4902" spans="103:104" x14ac:dyDescent="0.3">
      <c r="CY4902" s="34" t="s">
        <v>5829</v>
      </c>
      <c r="CZ4902" s="35">
        <v>9.2226920000000011E-3</v>
      </c>
    </row>
    <row r="4903" spans="103:104" x14ac:dyDescent="0.3">
      <c r="CY4903" s="34" t="s">
        <v>5830</v>
      </c>
      <c r="CZ4903" s="35">
        <v>5.8552439999999997E-2</v>
      </c>
    </row>
    <row r="4904" spans="103:104" x14ac:dyDescent="0.3">
      <c r="CY4904" s="34" t="s">
        <v>5831</v>
      </c>
      <c r="CZ4904" s="35">
        <v>2.3230087999999999E-2</v>
      </c>
    </row>
    <row r="4905" spans="103:104" x14ac:dyDescent="0.3">
      <c r="CY4905" s="34" t="s">
        <v>5832</v>
      </c>
      <c r="CZ4905" s="35">
        <v>4.6831133339999997E-2</v>
      </c>
    </row>
    <row r="4906" spans="103:104" x14ac:dyDescent="0.3">
      <c r="CY4906" s="34" t="s">
        <v>5833</v>
      </c>
      <c r="CZ4906" s="35">
        <v>0.16994144</v>
      </c>
    </row>
    <row r="4907" spans="103:104" x14ac:dyDescent="0.3">
      <c r="CY4907" s="34" t="s">
        <v>5834</v>
      </c>
      <c r="CZ4907" s="35">
        <v>5.2066000000000005E-3</v>
      </c>
    </row>
    <row r="4908" spans="103:104" x14ac:dyDescent="0.3">
      <c r="CY4908" s="34" t="s">
        <v>5835</v>
      </c>
      <c r="CZ4908" s="35">
        <v>7.8511546666666671E-3</v>
      </c>
    </row>
    <row r="4909" spans="103:104" x14ac:dyDescent="0.3">
      <c r="CY4909" s="34" t="s">
        <v>5836</v>
      </c>
      <c r="CZ4909" s="35">
        <v>6.6296799999999998E-3</v>
      </c>
    </row>
    <row r="4910" spans="103:104" x14ac:dyDescent="0.3">
      <c r="CY4910" s="34" t="s">
        <v>5837</v>
      </c>
      <c r="CZ4910" s="35">
        <v>1.5203973333333334E-2</v>
      </c>
    </row>
    <row r="4911" spans="103:104" x14ac:dyDescent="0.3">
      <c r="CY4911" s="34" t="s">
        <v>5838</v>
      </c>
      <c r="CZ4911" s="35">
        <v>0.23850840000000001</v>
      </c>
    </row>
    <row r="4912" spans="103:104" x14ac:dyDescent="0.3">
      <c r="CY4912" s="34" t="s">
        <v>5839</v>
      </c>
      <c r="CZ4912" s="35">
        <v>1.848272E-3</v>
      </c>
    </row>
    <row r="4913" spans="103:104" x14ac:dyDescent="0.3">
      <c r="CY4913" s="34" t="s">
        <v>5840</v>
      </c>
      <c r="CZ4913" s="35">
        <v>5.7008000000000003E-2</v>
      </c>
    </row>
    <row r="4914" spans="103:104" x14ac:dyDescent="0.3">
      <c r="CY4914" s="34" t="s">
        <v>5841</v>
      </c>
      <c r="CZ4914" s="35">
        <v>2.9614720000000001E-2</v>
      </c>
    </row>
    <row r="4915" spans="103:104" x14ac:dyDescent="0.3">
      <c r="CY4915" s="34" t="s">
        <v>5842</v>
      </c>
      <c r="CZ4915" s="35">
        <v>5.4122040000000005E-4</v>
      </c>
    </row>
    <row r="4916" spans="103:104" x14ac:dyDescent="0.3">
      <c r="CY4916" s="34" t="s">
        <v>5843</v>
      </c>
      <c r="CZ4916" s="35">
        <v>8.7557199999999992E-4</v>
      </c>
    </row>
    <row r="4917" spans="103:104" x14ac:dyDescent="0.3">
      <c r="CY4917" s="34" t="s">
        <v>5844</v>
      </c>
      <c r="CZ4917" s="35">
        <v>2.9614720000000001E-2</v>
      </c>
    </row>
    <row r="4918" spans="103:104" x14ac:dyDescent="0.3">
      <c r="CY4918" s="34" t="s">
        <v>5845</v>
      </c>
      <c r="CZ4918" s="35">
        <v>0.17355292</v>
      </c>
    </row>
    <row r="4919" spans="103:104" x14ac:dyDescent="0.3">
      <c r="CY4919" s="34" t="s">
        <v>5846</v>
      </c>
      <c r="CZ4919" s="35">
        <v>0.13211167999999998</v>
      </c>
    </row>
    <row r="4920" spans="103:104" x14ac:dyDescent="0.3">
      <c r="CY4920" s="34" t="s">
        <v>5847</v>
      </c>
      <c r="CZ4920" s="35">
        <v>1.517348E-2</v>
      </c>
    </row>
    <row r="4921" spans="103:104" x14ac:dyDescent="0.3">
      <c r="CY4921" s="34" t="s">
        <v>5848</v>
      </c>
      <c r="CZ4921" s="35">
        <v>2.0618920000000002E-2</v>
      </c>
    </row>
    <row r="4922" spans="103:104" x14ac:dyDescent="0.3">
      <c r="CY4922" s="34" t="s">
        <v>5849</v>
      </c>
      <c r="CZ4922" s="35">
        <v>1.2496480000000001E-2</v>
      </c>
    </row>
    <row r="4923" spans="103:104" x14ac:dyDescent="0.3">
      <c r="CY4923" s="34" t="s">
        <v>5850</v>
      </c>
      <c r="CZ4923" s="35">
        <v>1.2496480000000001E-2</v>
      </c>
    </row>
    <row r="4924" spans="103:104" x14ac:dyDescent="0.3">
      <c r="CY4924" s="34" t="s">
        <v>5851</v>
      </c>
      <c r="CZ4924" s="35">
        <v>5.824688E-4</v>
      </c>
    </row>
    <row r="4925" spans="103:104" x14ac:dyDescent="0.3">
      <c r="CY4925" s="34" t="s">
        <v>5852</v>
      </c>
      <c r="CZ4925" s="35">
        <v>6.8104999999999999E-4</v>
      </c>
    </row>
    <row r="4926" spans="103:104" x14ac:dyDescent="0.3">
      <c r="CY4926" s="34" t="s">
        <v>5853</v>
      </c>
      <c r="CZ4926" s="35">
        <v>4.9087559999999998E-4</v>
      </c>
    </row>
    <row r="4927" spans="103:104" x14ac:dyDescent="0.3">
      <c r="CY4927" s="34" t="s">
        <v>5854</v>
      </c>
      <c r="CZ4927" s="35">
        <v>8.7980857500000013E-4</v>
      </c>
    </row>
    <row r="4928" spans="103:104" x14ac:dyDescent="0.3">
      <c r="CY4928" s="34" t="s">
        <v>5855</v>
      </c>
      <c r="CZ4928" s="35">
        <v>1.4248074666666668E-2</v>
      </c>
    </row>
    <row r="4929" spans="103:104" x14ac:dyDescent="0.3">
      <c r="CY4929" s="34" t="s">
        <v>5856</v>
      </c>
      <c r="CZ4929" s="35">
        <v>0.22261960000000003</v>
      </c>
    </row>
    <row r="4930" spans="103:104" x14ac:dyDescent="0.3">
      <c r="CY4930" s="34" t="s">
        <v>5857</v>
      </c>
      <c r="CZ4930" s="35">
        <v>3.5285120340425528E-3</v>
      </c>
    </row>
    <row r="4931" spans="103:104" x14ac:dyDescent="0.3">
      <c r="CY4931" s="34" t="s">
        <v>5858</v>
      </c>
      <c r="CZ4931" s="35">
        <v>2.2983720000000003E-2</v>
      </c>
    </row>
    <row r="4932" spans="103:104" x14ac:dyDescent="0.3">
      <c r="CY4932" s="34" t="s">
        <v>5859</v>
      </c>
      <c r="CZ4932" s="35">
        <v>8.3201720000000007E-2</v>
      </c>
    </row>
    <row r="4933" spans="103:104" x14ac:dyDescent="0.3">
      <c r="CY4933" s="34" t="s">
        <v>5860</v>
      </c>
      <c r="CZ4933" s="35">
        <v>0.12514407999999999</v>
      </c>
    </row>
    <row r="4934" spans="103:104" x14ac:dyDescent="0.3">
      <c r="CY4934" s="34" t="s">
        <v>5861</v>
      </c>
      <c r="CZ4934" s="35">
        <v>0.1043144</v>
      </c>
    </row>
    <row r="4935" spans="103:104" x14ac:dyDescent="0.3">
      <c r="CY4935" s="34" t="s">
        <v>5862</v>
      </c>
      <c r="CZ4935" s="35">
        <v>0.1043144</v>
      </c>
    </row>
    <row r="4936" spans="103:104" x14ac:dyDescent="0.3">
      <c r="CY4936" s="34" t="s">
        <v>5863</v>
      </c>
      <c r="CZ4936" s="35">
        <v>0.13031599999999999</v>
      </c>
    </row>
    <row r="4937" spans="103:104" x14ac:dyDescent="0.3">
      <c r="CY4937" s="34" t="s">
        <v>5864</v>
      </c>
      <c r="CZ4937" s="35">
        <v>7.5837303703703701E-3</v>
      </c>
    </row>
    <row r="4938" spans="103:104" x14ac:dyDescent="0.3">
      <c r="CY4938" s="34" t="s">
        <v>5865</v>
      </c>
      <c r="CZ4938" s="35">
        <v>6.016968000000001E-3</v>
      </c>
    </row>
    <row r="4939" spans="103:104" x14ac:dyDescent="0.3">
      <c r="CY4939" s="34" t="s">
        <v>5866</v>
      </c>
      <c r="CZ4939" s="35">
        <v>2.0830346666666662E-2</v>
      </c>
    </row>
    <row r="4940" spans="103:104" x14ac:dyDescent="0.3">
      <c r="CY4940" s="34" t="s">
        <v>5867</v>
      </c>
      <c r="CZ4940" s="35">
        <v>5.3966666666666659E-3</v>
      </c>
    </row>
    <row r="4941" spans="103:104" x14ac:dyDescent="0.3">
      <c r="CY4941" s="34" t="s">
        <v>5868</v>
      </c>
      <c r="CZ4941" s="35">
        <v>1.669839111111111E-2</v>
      </c>
    </row>
    <row r="4942" spans="103:104" x14ac:dyDescent="0.3">
      <c r="CY4942" s="34" t="s">
        <v>5869</v>
      </c>
      <c r="CZ4942" s="35">
        <v>3.9432866666666663E-2</v>
      </c>
    </row>
    <row r="4943" spans="103:104" x14ac:dyDescent="0.3">
      <c r="CY4943" s="34" t="s">
        <v>5870</v>
      </c>
      <c r="CZ4943" s="35">
        <v>1.6427489999999999E-2</v>
      </c>
    </row>
    <row r="4944" spans="103:104" x14ac:dyDescent="0.3">
      <c r="CY4944" s="34" t="s">
        <v>5871</v>
      </c>
      <c r="CZ4944" s="35">
        <v>3.7134466666666671E-2</v>
      </c>
    </row>
    <row r="4945" spans="103:104" x14ac:dyDescent="0.3">
      <c r="CY4945" s="34" t="s">
        <v>5872</v>
      </c>
      <c r="CZ4945" s="35">
        <v>2.9405649999999998E-2</v>
      </c>
    </row>
    <row r="4946" spans="103:104" x14ac:dyDescent="0.3">
      <c r="CY4946" s="34" t="s">
        <v>5873</v>
      </c>
      <c r="CZ4946" s="35">
        <v>1.6800379999999997E-2</v>
      </c>
    </row>
    <row r="4947" spans="103:104" x14ac:dyDescent="0.3">
      <c r="CY4947" s="34" t="s">
        <v>5874</v>
      </c>
      <c r="CZ4947" s="35">
        <v>2.6927400000000001E-2</v>
      </c>
    </row>
    <row r="4948" spans="103:104" x14ac:dyDescent="0.3">
      <c r="CY4948" s="34" t="s">
        <v>5875</v>
      </c>
      <c r="CZ4948" s="35">
        <v>2.6927400000000001E-2</v>
      </c>
    </row>
    <row r="4949" spans="103:104" x14ac:dyDescent="0.3">
      <c r="CY4949" s="34" t="s">
        <v>5876</v>
      </c>
      <c r="CZ4949" s="35">
        <v>5.6132240000000009E-3</v>
      </c>
    </row>
    <row r="4950" spans="103:104" x14ac:dyDescent="0.3">
      <c r="CY4950" s="34" t="s">
        <v>5877</v>
      </c>
      <c r="CZ4950" s="35">
        <v>2.0231000000000002E-2</v>
      </c>
    </row>
    <row r="4951" spans="103:104" x14ac:dyDescent="0.3">
      <c r="CY4951" s="34" t="s">
        <v>5878</v>
      </c>
      <c r="CZ4951" s="35">
        <v>6.4253160000000004E-2</v>
      </c>
    </row>
    <row r="4952" spans="103:104" x14ac:dyDescent="0.3">
      <c r="CY4952" s="34" t="s">
        <v>5879</v>
      </c>
      <c r="CZ4952" s="35">
        <v>1.4882320000000001E-2</v>
      </c>
    </row>
    <row r="4953" spans="103:104" x14ac:dyDescent="0.3">
      <c r="CY4953" s="34" t="s">
        <v>5880</v>
      </c>
      <c r="CZ4953" s="35">
        <v>1.7552384000000001E-2</v>
      </c>
    </row>
    <row r="4954" spans="103:104" x14ac:dyDescent="0.3">
      <c r="CY4954" s="34" t="s">
        <v>5881</v>
      </c>
      <c r="CZ4954" s="35">
        <v>2.1780079999999999E-3</v>
      </c>
    </row>
    <row r="4955" spans="103:104" x14ac:dyDescent="0.3">
      <c r="CY4955" s="34" t="s">
        <v>5882</v>
      </c>
      <c r="CZ4955" s="35">
        <v>4.3292959999999998E-2</v>
      </c>
    </row>
    <row r="4956" spans="103:104" x14ac:dyDescent="0.3">
      <c r="CY4956" s="34" t="s">
        <v>5883</v>
      </c>
      <c r="CZ4956" s="35">
        <v>2.7527599999999999E-2</v>
      </c>
    </row>
    <row r="4957" spans="103:104" x14ac:dyDescent="0.3">
      <c r="CY4957" s="34" t="s">
        <v>5884</v>
      </c>
      <c r="CZ4957" s="35">
        <v>0.3584828000000001</v>
      </c>
    </row>
    <row r="4958" spans="103:104" x14ac:dyDescent="0.3">
      <c r="CY4958" s="34" t="s">
        <v>5885</v>
      </c>
      <c r="CZ4958" s="35">
        <v>4.1502119999999995E-3</v>
      </c>
    </row>
    <row r="4959" spans="103:104" x14ac:dyDescent="0.3">
      <c r="CY4959" s="34" t="s">
        <v>5886</v>
      </c>
      <c r="CZ4959" s="35">
        <v>0.19426849999999998</v>
      </c>
    </row>
    <row r="4960" spans="103:104" x14ac:dyDescent="0.3">
      <c r="CY4960" s="34" t="s">
        <v>5887</v>
      </c>
      <c r="CZ4960" s="35">
        <v>0.78118209999999999</v>
      </c>
    </row>
    <row r="4961" spans="103:104" x14ac:dyDescent="0.3">
      <c r="CY4961" s="34" t="s">
        <v>5888</v>
      </c>
      <c r="CZ4961" s="35">
        <v>0.64363990000000004</v>
      </c>
    </row>
    <row r="4962" spans="103:104" x14ac:dyDescent="0.3">
      <c r="CY4962" s="34" t="s">
        <v>5889</v>
      </c>
      <c r="CZ4962" s="35">
        <v>7.3070399999999988E-4</v>
      </c>
    </row>
    <row r="4963" spans="103:104" x14ac:dyDescent="0.3">
      <c r="CY4963" s="34" t="s">
        <v>5890</v>
      </c>
      <c r="CZ4963" s="35">
        <v>8.0117200000000006E-4</v>
      </c>
    </row>
    <row r="4964" spans="103:104" x14ac:dyDescent="0.3">
      <c r="CY4964" s="34" t="s">
        <v>5891</v>
      </c>
      <c r="CZ4964" s="35">
        <v>1.00272E-2</v>
      </c>
    </row>
    <row r="4965" spans="103:104" x14ac:dyDescent="0.3">
      <c r="CY4965" s="34" t="s">
        <v>5892</v>
      </c>
      <c r="CZ4965" s="35">
        <v>0.19035481600000001</v>
      </c>
    </row>
    <row r="4966" spans="103:104" x14ac:dyDescent="0.3">
      <c r="CY4966" s="34" t="s">
        <v>5893</v>
      </c>
      <c r="CZ4966" s="35">
        <v>0.16303296</v>
      </c>
    </row>
    <row r="4967" spans="103:104" x14ac:dyDescent="0.3">
      <c r="CY4967" s="34" t="s">
        <v>5894</v>
      </c>
      <c r="CZ4967" s="35">
        <v>0.294094464</v>
      </c>
    </row>
    <row r="4968" spans="103:104" x14ac:dyDescent="0.3">
      <c r="CY4968" s="34" t="s">
        <v>5895</v>
      </c>
      <c r="CZ4968" s="35">
        <v>0.20616645000000003</v>
      </c>
    </row>
    <row r="4969" spans="103:104" x14ac:dyDescent="0.3">
      <c r="CY4969" s="34" t="s">
        <v>5896</v>
      </c>
      <c r="CZ4969" s="35">
        <v>2.8389261760000005E-3</v>
      </c>
    </row>
    <row r="4970" spans="103:104" x14ac:dyDescent="0.3">
      <c r="CY4970" s="34" t="s">
        <v>5897</v>
      </c>
      <c r="CZ4970" s="35">
        <v>4.7453680000000007E-4</v>
      </c>
    </row>
    <row r="4971" spans="103:104" x14ac:dyDescent="0.3">
      <c r="CY4971" s="34" t="s">
        <v>5898</v>
      </c>
      <c r="CZ4971" s="35">
        <v>4.6260799999999993E-4</v>
      </c>
    </row>
    <row r="4972" spans="103:104" x14ac:dyDescent="0.3">
      <c r="CY4972" s="34" t="s">
        <v>5899</v>
      </c>
      <c r="CZ4972" s="35">
        <v>7.8047119999999984E-3</v>
      </c>
    </row>
    <row r="4973" spans="103:104" x14ac:dyDescent="0.3">
      <c r="CY4973" s="34" t="s">
        <v>5900</v>
      </c>
      <c r="CZ4973" s="35">
        <v>3.5952967999999995E-2</v>
      </c>
    </row>
    <row r="4974" spans="103:104" x14ac:dyDescent="0.3">
      <c r="CY4974" s="34" t="s">
        <v>5901</v>
      </c>
      <c r="CZ4974" s="35">
        <v>3.0620531818181817E-2</v>
      </c>
    </row>
    <row r="4975" spans="103:104" x14ac:dyDescent="0.3">
      <c r="CY4975" s="34" t="s">
        <v>5902</v>
      </c>
      <c r="CZ4975" s="35">
        <v>5.0611520000000002E-3</v>
      </c>
    </row>
    <row r="4976" spans="103:104" x14ac:dyDescent="0.3">
      <c r="CY4976" s="34" t="s">
        <v>5903</v>
      </c>
      <c r="CZ4976" s="35">
        <v>1.0615711999999999E-3</v>
      </c>
    </row>
    <row r="4977" spans="103:104" x14ac:dyDescent="0.3">
      <c r="CY4977" s="34" t="s">
        <v>5904</v>
      </c>
      <c r="CZ4977" s="35">
        <v>1.62031592E-3</v>
      </c>
    </row>
    <row r="4978" spans="103:104" x14ac:dyDescent="0.3">
      <c r="CY4978" s="34" t="s">
        <v>5905</v>
      </c>
      <c r="CZ4978" s="35">
        <v>3.1428000000000001E-4</v>
      </c>
    </row>
    <row r="4979" spans="103:104" x14ac:dyDescent="0.3">
      <c r="CY4979" s="34" t="s">
        <v>5906</v>
      </c>
      <c r="CZ4979" s="35">
        <v>5.6928799999999993E-4</v>
      </c>
    </row>
    <row r="4980" spans="103:104" x14ac:dyDescent="0.3">
      <c r="CY4980" s="34" t="s">
        <v>5907</v>
      </c>
      <c r="CZ4980" s="35">
        <v>1.9283304000000001E-2</v>
      </c>
    </row>
    <row r="4981" spans="103:104" x14ac:dyDescent="0.3">
      <c r="CY4981" s="34" t="s">
        <v>5908</v>
      </c>
      <c r="CZ4981" s="35">
        <v>1.0688312E-3</v>
      </c>
    </row>
    <row r="4982" spans="103:104" x14ac:dyDescent="0.3">
      <c r="CY4982" s="34" t="s">
        <v>5909</v>
      </c>
      <c r="CZ4982" s="35">
        <v>4.1728773309516659E-2</v>
      </c>
    </row>
    <row r="4983" spans="103:104" x14ac:dyDescent="0.3">
      <c r="CY4983" s="34" t="s">
        <v>5910</v>
      </c>
      <c r="CZ4983" s="35">
        <v>4.890020189285E-2</v>
      </c>
    </row>
    <row r="4984" spans="103:104" x14ac:dyDescent="0.3">
      <c r="CY4984" s="34" t="s">
        <v>5911</v>
      </c>
      <c r="CZ4984" s="35">
        <v>1.5607848000000001E-2</v>
      </c>
    </row>
    <row r="4985" spans="103:104" x14ac:dyDescent="0.3">
      <c r="CY4985" s="34" t="s">
        <v>5912</v>
      </c>
      <c r="CZ4985" s="35">
        <v>5.2500999999999997E-3</v>
      </c>
    </row>
    <row r="4986" spans="103:104" x14ac:dyDescent="0.3">
      <c r="CY4986" s="34" t="s">
        <v>5913</v>
      </c>
      <c r="CZ4986" s="35">
        <v>2.1781480000000002E-2</v>
      </c>
    </row>
    <row r="4987" spans="103:104" x14ac:dyDescent="0.3">
      <c r="CY4987" s="34" t="s">
        <v>5914</v>
      </c>
      <c r="CZ4987" s="35">
        <v>1.5216538675E-2</v>
      </c>
    </row>
    <row r="4988" spans="103:104" x14ac:dyDescent="0.3">
      <c r="CY4988" s="34" t="s">
        <v>5915</v>
      </c>
      <c r="CZ4988" s="35">
        <v>1.4139930675000001E-2</v>
      </c>
    </row>
    <row r="4989" spans="103:104" x14ac:dyDescent="0.3">
      <c r="CY4989" s="34" t="s">
        <v>5916</v>
      </c>
      <c r="CZ4989" s="35">
        <v>0.14956099999999997</v>
      </c>
    </row>
    <row r="4990" spans="103:104" x14ac:dyDescent="0.3">
      <c r="CY4990" s="34" t="s">
        <v>5917</v>
      </c>
      <c r="CZ4990" s="35">
        <v>1.7373856000000001E-3</v>
      </c>
    </row>
    <row r="4991" spans="103:104" x14ac:dyDescent="0.3">
      <c r="CY4991" s="34" t="s">
        <v>5918</v>
      </c>
      <c r="CZ4991" s="35">
        <v>2.6588270000000001E-2</v>
      </c>
    </row>
    <row r="4992" spans="103:104" x14ac:dyDescent="0.3">
      <c r="CY4992" s="34" t="s">
        <v>5919</v>
      </c>
      <c r="CZ4992" s="35">
        <v>0.11943888</v>
      </c>
    </row>
    <row r="4993" spans="103:104" x14ac:dyDescent="0.3">
      <c r="CY4993" s="34" t="s">
        <v>5920</v>
      </c>
      <c r="CZ4993" s="35">
        <v>2.1026639999999997E-3</v>
      </c>
    </row>
    <row r="4994" spans="103:104" x14ac:dyDescent="0.3">
      <c r="CY4994" s="34" t="s">
        <v>5921</v>
      </c>
      <c r="CZ4994" s="35">
        <v>5.4654000000000001E-2</v>
      </c>
    </row>
    <row r="4995" spans="103:104" x14ac:dyDescent="0.3">
      <c r="CY4995" s="34" t="s">
        <v>5922</v>
      </c>
      <c r="CZ4995" s="35">
        <v>6.5397199999999989E-2</v>
      </c>
    </row>
    <row r="4996" spans="103:104" x14ac:dyDescent="0.3">
      <c r="CY4996" s="34" t="s">
        <v>5923</v>
      </c>
      <c r="CZ4996" s="35">
        <v>8.0673599999999991E-3</v>
      </c>
    </row>
    <row r="4997" spans="103:104" x14ac:dyDescent="0.3">
      <c r="CY4997" s="34" t="s">
        <v>5924</v>
      </c>
      <c r="CZ4997" s="35">
        <v>1.4190547583333334E-2</v>
      </c>
    </row>
    <row r="4998" spans="103:104" x14ac:dyDescent="0.3">
      <c r="CY4998" s="34" t="s">
        <v>5925</v>
      </c>
      <c r="CZ4998" s="35">
        <v>7.5054623999999986E-2</v>
      </c>
    </row>
    <row r="4999" spans="103:104" x14ac:dyDescent="0.3">
      <c r="CY4999" s="34" t="s">
        <v>5926</v>
      </c>
      <c r="CZ4999" s="35">
        <v>7.9057348545454556E-2</v>
      </c>
    </row>
    <row r="5000" spans="103:104" x14ac:dyDescent="0.3">
      <c r="CY5000" s="34" t="s">
        <v>5927</v>
      </c>
      <c r="CZ5000" s="35">
        <v>4.181992000000001E-2</v>
      </c>
    </row>
    <row r="5001" spans="103:104" x14ac:dyDescent="0.3">
      <c r="CY5001" s="34" t="s">
        <v>5928</v>
      </c>
      <c r="CZ5001" s="35">
        <v>0.14191700000000002</v>
      </c>
    </row>
    <row r="5002" spans="103:104" x14ac:dyDescent="0.3">
      <c r="CY5002" s="34" t="s">
        <v>5929</v>
      </c>
      <c r="CZ5002" s="35">
        <v>1.2005904E-2</v>
      </c>
    </row>
    <row r="5003" spans="103:104" x14ac:dyDescent="0.3">
      <c r="CY5003" s="34" t="s">
        <v>5930</v>
      </c>
      <c r="CZ5003" s="35">
        <v>2.5282959999999998E-3</v>
      </c>
    </row>
    <row r="5004" spans="103:104" x14ac:dyDescent="0.3">
      <c r="CY5004" s="34" t="s">
        <v>5931</v>
      </c>
      <c r="CZ5004" s="35">
        <v>1.2235460000000002E-2</v>
      </c>
    </row>
    <row r="5005" spans="103:104" x14ac:dyDescent="0.3">
      <c r="CY5005" s="34" t="s">
        <v>5932</v>
      </c>
      <c r="CZ5005" s="35">
        <v>3.1608186699999999E-2</v>
      </c>
    </row>
    <row r="5006" spans="103:104" x14ac:dyDescent="0.3">
      <c r="CY5006" s="34" t="s">
        <v>5933</v>
      </c>
      <c r="CZ5006" s="35">
        <v>1.4093799999999998E-2</v>
      </c>
    </row>
    <row r="5007" spans="103:104" x14ac:dyDescent="0.3">
      <c r="CY5007" s="34" t="s">
        <v>5934</v>
      </c>
      <c r="CZ5007" s="35">
        <v>1.3051039999999999E-3</v>
      </c>
    </row>
    <row r="5008" spans="103:104" x14ac:dyDescent="0.3">
      <c r="CY5008" s="34" t="s">
        <v>5935</v>
      </c>
      <c r="CZ5008" s="35">
        <v>1.3904016E-2</v>
      </c>
    </row>
    <row r="5009" spans="103:104" x14ac:dyDescent="0.3">
      <c r="CY5009" s="34" t="s">
        <v>5936</v>
      </c>
      <c r="CZ5009" s="35">
        <v>2.3557088E-2</v>
      </c>
    </row>
    <row r="5010" spans="103:104" x14ac:dyDescent="0.3">
      <c r="CY5010" s="34" t="s">
        <v>5937</v>
      </c>
      <c r="CZ5010" s="35">
        <v>1.7804224E-2</v>
      </c>
    </row>
    <row r="5011" spans="103:104" x14ac:dyDescent="0.3">
      <c r="CY5011" s="34" t="s">
        <v>5938</v>
      </c>
      <c r="CZ5011" s="35">
        <v>1.9237551999999998E-2</v>
      </c>
    </row>
    <row r="5012" spans="103:104" x14ac:dyDescent="0.3">
      <c r="CY5012" s="34" t="s">
        <v>5939</v>
      </c>
      <c r="CZ5012" s="35">
        <v>3.7904559999999997E-2</v>
      </c>
    </row>
    <row r="5013" spans="103:104" x14ac:dyDescent="0.3">
      <c r="CY5013" s="34" t="s">
        <v>5940</v>
      </c>
      <c r="CZ5013" s="35">
        <v>1.8184091304347823E-4</v>
      </c>
    </row>
    <row r="5014" spans="103:104" x14ac:dyDescent="0.3">
      <c r="CY5014" s="34" t="s">
        <v>5941</v>
      </c>
      <c r="CZ5014" s="35">
        <v>1.0919822000000001E-3</v>
      </c>
    </row>
    <row r="5015" spans="103:104" x14ac:dyDescent="0.3">
      <c r="CY5015" s="34" t="s">
        <v>5942</v>
      </c>
      <c r="CZ5015" s="35">
        <v>3.905496E-2</v>
      </c>
    </row>
    <row r="5016" spans="103:104" x14ac:dyDescent="0.3">
      <c r="CY5016" s="34" t="s">
        <v>5943</v>
      </c>
      <c r="CZ5016" s="35">
        <v>1.227808E-2</v>
      </c>
    </row>
    <row r="5017" spans="103:104" x14ac:dyDescent="0.3">
      <c r="CY5017" s="34" t="s">
        <v>5944</v>
      </c>
      <c r="CZ5017" s="35">
        <v>2.8674639999999997E-3</v>
      </c>
    </row>
    <row r="5018" spans="103:104" x14ac:dyDescent="0.3">
      <c r="CY5018" s="34" t="s">
        <v>5945</v>
      </c>
      <c r="CZ5018" s="35">
        <v>5.012776E-2</v>
      </c>
    </row>
    <row r="5019" spans="103:104" x14ac:dyDescent="0.3">
      <c r="CY5019" s="34" t="s">
        <v>5946</v>
      </c>
      <c r="CZ5019" s="35">
        <v>5.6933520000000001E-2</v>
      </c>
    </row>
    <row r="5020" spans="103:104" x14ac:dyDescent="0.3">
      <c r="CY5020" s="34" t="s">
        <v>5947</v>
      </c>
      <c r="CZ5020" s="35">
        <v>0.13432575999999999</v>
      </c>
    </row>
    <row r="5021" spans="103:104" x14ac:dyDescent="0.3">
      <c r="CY5021" s="34" t="s">
        <v>5948</v>
      </c>
      <c r="CZ5021" s="35">
        <v>1.8182695999999998E-2</v>
      </c>
    </row>
    <row r="5022" spans="103:104" x14ac:dyDescent="0.3">
      <c r="CY5022" s="34" t="s">
        <v>5949</v>
      </c>
      <c r="CZ5022" s="35">
        <v>2.4614399999999996E-3</v>
      </c>
    </row>
    <row r="5023" spans="103:104" x14ac:dyDescent="0.3">
      <c r="CY5023" s="34" t="s">
        <v>5950</v>
      </c>
      <c r="CZ5023" s="35">
        <v>8.4382148333333323E-3</v>
      </c>
    </row>
    <row r="5024" spans="103:104" x14ac:dyDescent="0.3">
      <c r="CY5024" s="34" t="s">
        <v>5951</v>
      </c>
      <c r="CZ5024" s="35">
        <v>2.4651880000000001E-3</v>
      </c>
    </row>
    <row r="5025" spans="103:104" x14ac:dyDescent="0.3">
      <c r="CY5025" s="34" t="s">
        <v>5952</v>
      </c>
      <c r="CZ5025" s="35">
        <v>7.0483519999999997E-4</v>
      </c>
    </row>
    <row r="5026" spans="103:104" x14ac:dyDescent="0.3">
      <c r="CY5026" s="34" t="s">
        <v>5953</v>
      </c>
      <c r="CZ5026" s="35">
        <v>2.330328E-3</v>
      </c>
    </row>
    <row r="5027" spans="103:104" x14ac:dyDescent="0.3">
      <c r="CY5027" s="34" t="s">
        <v>5954</v>
      </c>
      <c r="CZ5027" s="35">
        <v>3.1020920000000003E-3</v>
      </c>
    </row>
    <row r="5028" spans="103:104" x14ac:dyDescent="0.3">
      <c r="CY5028" s="34" t="s">
        <v>5955</v>
      </c>
      <c r="CZ5028" s="35">
        <v>9.2832867000000006E-3</v>
      </c>
    </row>
    <row r="5029" spans="103:104" x14ac:dyDescent="0.3">
      <c r="CY5029" s="34" t="s">
        <v>5956</v>
      </c>
      <c r="CZ5029" s="35">
        <v>3.6511599999999996E-3</v>
      </c>
    </row>
    <row r="5030" spans="103:104" x14ac:dyDescent="0.3">
      <c r="CY5030" s="34" t="s">
        <v>5957</v>
      </c>
      <c r="CZ5030" s="35">
        <v>6.0158519999999995E-3</v>
      </c>
    </row>
    <row r="5031" spans="103:104" x14ac:dyDescent="0.3">
      <c r="CY5031" s="34" t="s">
        <v>5958</v>
      </c>
      <c r="CZ5031" s="35">
        <v>2.7738529999999997E-2</v>
      </c>
    </row>
    <row r="5032" spans="103:104" x14ac:dyDescent="0.3">
      <c r="CY5032" s="34" t="s">
        <v>5959</v>
      </c>
      <c r="CZ5032" s="35">
        <v>2.7738530000000001E-2</v>
      </c>
    </row>
    <row r="5033" spans="103:104" x14ac:dyDescent="0.3">
      <c r="CY5033" s="34" t="s">
        <v>5960</v>
      </c>
      <c r="CZ5033" s="35">
        <v>6.7625700000000011E-2</v>
      </c>
    </row>
    <row r="5034" spans="103:104" x14ac:dyDescent="0.3">
      <c r="CY5034" s="34" t="s">
        <v>5961</v>
      </c>
      <c r="CZ5034" s="35">
        <v>3.4057600000000007E-2</v>
      </c>
    </row>
    <row r="5035" spans="103:104" x14ac:dyDescent="0.3">
      <c r="CY5035" s="34" t="s">
        <v>5962</v>
      </c>
      <c r="CZ5035" s="35">
        <v>3.4057600000000007E-2</v>
      </c>
    </row>
    <row r="5036" spans="103:104" x14ac:dyDescent="0.3">
      <c r="CY5036" s="34" t="s">
        <v>5963</v>
      </c>
      <c r="CZ5036" s="35">
        <v>1.0890740000000001E-2</v>
      </c>
    </row>
    <row r="5037" spans="103:104" x14ac:dyDescent="0.3">
      <c r="CY5037" s="34" t="s">
        <v>5964</v>
      </c>
      <c r="CZ5037" s="35">
        <v>3.7131809999999999E-3</v>
      </c>
    </row>
    <row r="5038" spans="103:104" x14ac:dyDescent="0.3">
      <c r="CY5038" s="34" t="s">
        <v>5965</v>
      </c>
      <c r="CZ5038" s="35">
        <v>2.8953040000000003E-2</v>
      </c>
    </row>
    <row r="5039" spans="103:104" x14ac:dyDescent="0.3">
      <c r="CY5039" s="34" t="s">
        <v>5966</v>
      </c>
      <c r="CZ5039" s="35">
        <v>1.5232256E-2</v>
      </c>
    </row>
    <row r="5040" spans="103:104" x14ac:dyDescent="0.3">
      <c r="CY5040" s="34" t="s">
        <v>5967</v>
      </c>
      <c r="CZ5040" s="35">
        <v>1.2301408E-2</v>
      </c>
    </row>
    <row r="5041" spans="103:104" x14ac:dyDescent="0.3">
      <c r="CY5041" s="34" t="s">
        <v>5968</v>
      </c>
      <c r="CZ5041" s="35">
        <v>1.6889430854999998E-2</v>
      </c>
    </row>
    <row r="5042" spans="103:104" x14ac:dyDescent="0.3">
      <c r="CY5042" s="34" t="s">
        <v>5969</v>
      </c>
      <c r="CZ5042" s="35">
        <v>1.415344E-2</v>
      </c>
    </row>
    <row r="5043" spans="103:104" x14ac:dyDescent="0.3">
      <c r="CY5043" s="34" t="s">
        <v>5970</v>
      </c>
      <c r="CZ5043" s="35">
        <v>1.1375392E-2</v>
      </c>
    </row>
    <row r="5044" spans="103:104" x14ac:dyDescent="0.3">
      <c r="CY5044" s="34" t="s">
        <v>5971</v>
      </c>
      <c r="CZ5044" s="35">
        <v>5.5403199999999996E-3</v>
      </c>
    </row>
    <row r="5045" spans="103:104" x14ac:dyDescent="0.3">
      <c r="CY5045" s="34" t="s">
        <v>5972</v>
      </c>
      <c r="CZ5045" s="35">
        <v>3.1161599999999998E-3</v>
      </c>
    </row>
    <row r="5046" spans="103:104" x14ac:dyDescent="0.3">
      <c r="CY5046" s="34" t="s">
        <v>5973</v>
      </c>
      <c r="CZ5046" s="35">
        <v>3.747984E-2</v>
      </c>
    </row>
    <row r="5047" spans="103:104" x14ac:dyDescent="0.3">
      <c r="CY5047" s="34" t="s">
        <v>5974</v>
      </c>
      <c r="CZ5047" s="35">
        <v>8.0673600000000008E-3</v>
      </c>
    </row>
    <row r="5048" spans="103:104" x14ac:dyDescent="0.3">
      <c r="CY5048" s="34" t="s">
        <v>5975</v>
      </c>
      <c r="CZ5048" s="35">
        <v>1.1967491560000001E-2</v>
      </c>
    </row>
    <row r="5049" spans="103:104" x14ac:dyDescent="0.3">
      <c r="CY5049" s="34" t="s">
        <v>5976</v>
      </c>
      <c r="CZ5049" s="35">
        <v>4.427474666666667E-2</v>
      </c>
    </row>
    <row r="5050" spans="103:104" x14ac:dyDescent="0.3">
      <c r="CY5050" s="34" t="s">
        <v>5977</v>
      </c>
      <c r="CZ5050" s="35">
        <v>3.9435626670000008E-2</v>
      </c>
    </row>
    <row r="5051" spans="103:104" x14ac:dyDescent="0.3">
      <c r="CY5051" s="34" t="s">
        <v>5978</v>
      </c>
      <c r="CZ5051" s="35">
        <v>2.2171039999999999E-2</v>
      </c>
    </row>
    <row r="5052" spans="103:104" x14ac:dyDescent="0.3">
      <c r="CY5052" s="34" t="s">
        <v>5979</v>
      </c>
      <c r="CZ5052" s="35">
        <v>5.9661440000000003E-2</v>
      </c>
    </row>
    <row r="5053" spans="103:104" x14ac:dyDescent="0.3">
      <c r="CY5053" s="34" t="s">
        <v>5980</v>
      </c>
      <c r="CZ5053" s="35">
        <v>1.3168266666666668E-2</v>
      </c>
    </row>
    <row r="5054" spans="103:104" x14ac:dyDescent="0.3">
      <c r="CY5054" s="34" t="s">
        <v>5981</v>
      </c>
      <c r="CZ5054" s="35">
        <v>1.466885867E-2</v>
      </c>
    </row>
    <row r="5055" spans="103:104" x14ac:dyDescent="0.3">
      <c r="CY5055" s="34" t="s">
        <v>5982</v>
      </c>
      <c r="CZ5055" s="35">
        <v>2.3170047200000003E-3</v>
      </c>
    </row>
    <row r="5056" spans="103:104" x14ac:dyDescent="0.3">
      <c r="CY5056" s="34" t="s">
        <v>5983</v>
      </c>
      <c r="CZ5056" s="35">
        <v>3.2455970000000001E-2</v>
      </c>
    </row>
    <row r="5057" spans="103:104" x14ac:dyDescent="0.3">
      <c r="CY5057" s="34" t="s">
        <v>5984</v>
      </c>
      <c r="CZ5057" s="35">
        <v>4.9370319999999995E-2</v>
      </c>
    </row>
    <row r="5058" spans="103:104" x14ac:dyDescent="0.3">
      <c r="CY5058" s="34" t="s">
        <v>5985</v>
      </c>
      <c r="CZ5058" s="35">
        <v>1.290936E-2</v>
      </c>
    </row>
    <row r="5059" spans="103:104" x14ac:dyDescent="0.3">
      <c r="CY5059" s="34" t="s">
        <v>5986</v>
      </c>
      <c r="CZ5059" s="35">
        <v>2.3794920000000001E-2</v>
      </c>
    </row>
    <row r="5060" spans="103:104" x14ac:dyDescent="0.3">
      <c r="CY5060" s="34" t="s">
        <v>5987</v>
      </c>
      <c r="CZ5060" s="35">
        <v>2.3794920000000001E-2</v>
      </c>
    </row>
    <row r="5061" spans="103:104" x14ac:dyDescent="0.3">
      <c r="CY5061" s="34" t="s">
        <v>5988</v>
      </c>
      <c r="CZ5061" s="35">
        <v>1.7251335999999999E-2</v>
      </c>
    </row>
    <row r="5062" spans="103:104" x14ac:dyDescent="0.3">
      <c r="CY5062" s="34" t="s">
        <v>5989</v>
      </c>
      <c r="CZ5062" s="35">
        <v>2.2942007999999996E-2</v>
      </c>
    </row>
    <row r="5063" spans="103:104" x14ac:dyDescent="0.3">
      <c r="CY5063" s="34" t="s">
        <v>5990</v>
      </c>
      <c r="CZ5063" s="35">
        <v>2.478584E-2</v>
      </c>
    </row>
    <row r="5064" spans="103:104" x14ac:dyDescent="0.3">
      <c r="CY5064" s="34" t="s">
        <v>5991</v>
      </c>
      <c r="CZ5064" s="35">
        <v>2.1453119999999999E-3</v>
      </c>
    </row>
    <row r="5065" spans="103:104" x14ac:dyDescent="0.3">
      <c r="CY5065" s="34" t="s">
        <v>5992</v>
      </c>
      <c r="CZ5065" s="35">
        <v>9.6658880000000005E-4</v>
      </c>
    </row>
    <row r="5066" spans="103:104" x14ac:dyDescent="0.3">
      <c r="CY5066" s="34" t="s">
        <v>5993</v>
      </c>
      <c r="CZ5066" s="35">
        <v>6.1746853299999996E-3</v>
      </c>
    </row>
    <row r="5067" spans="103:104" x14ac:dyDescent="0.3">
      <c r="CY5067" s="34" t="s">
        <v>5994</v>
      </c>
      <c r="CZ5067" s="35">
        <v>5.9183786600000001E-4</v>
      </c>
    </row>
    <row r="5068" spans="103:104" x14ac:dyDescent="0.3">
      <c r="CY5068" s="34" t="s">
        <v>5995</v>
      </c>
      <c r="CZ5068" s="35">
        <v>2.121698E-3</v>
      </c>
    </row>
    <row r="5069" spans="103:104" x14ac:dyDescent="0.3">
      <c r="CY5069" s="34" t="s">
        <v>5996</v>
      </c>
      <c r="CZ5069" s="35">
        <v>2.6307279999999997E-3</v>
      </c>
    </row>
    <row r="5070" spans="103:104" x14ac:dyDescent="0.3">
      <c r="CY5070" s="34" t="s">
        <v>5997</v>
      </c>
      <c r="CZ5070" s="35">
        <v>1.8680959999999999E-3</v>
      </c>
    </row>
    <row r="5071" spans="103:104" x14ac:dyDescent="0.3">
      <c r="CY5071" s="34" t="s">
        <v>5998</v>
      </c>
      <c r="CZ5071" s="35">
        <v>1.9928960000000001E-3</v>
      </c>
    </row>
    <row r="5072" spans="103:104" x14ac:dyDescent="0.3">
      <c r="CY5072" s="34" t="s">
        <v>5999</v>
      </c>
      <c r="CZ5072" s="35">
        <v>1.6812466666666667E-3</v>
      </c>
    </row>
    <row r="5073" spans="103:104" x14ac:dyDescent="0.3">
      <c r="CY5073" s="34" t="s">
        <v>6000</v>
      </c>
      <c r="CZ5073" s="35">
        <v>3.0513426666666666E-3</v>
      </c>
    </row>
    <row r="5074" spans="103:104" x14ac:dyDescent="0.3">
      <c r="CY5074" s="34" t="s">
        <v>6001</v>
      </c>
      <c r="CZ5074" s="35">
        <v>3.6370111999999995E-3</v>
      </c>
    </row>
    <row r="5075" spans="103:104" x14ac:dyDescent="0.3">
      <c r="CY5075" s="34" t="s">
        <v>6002</v>
      </c>
      <c r="CZ5075" s="35">
        <v>3.817490666666667E-3</v>
      </c>
    </row>
    <row r="5076" spans="103:104" x14ac:dyDescent="0.3">
      <c r="CY5076" s="34" t="s">
        <v>6003</v>
      </c>
      <c r="CZ5076" s="35">
        <v>9.8156426666666657E-3</v>
      </c>
    </row>
    <row r="5077" spans="103:104" x14ac:dyDescent="0.3">
      <c r="CY5077" s="34" t="s">
        <v>6004</v>
      </c>
      <c r="CZ5077" s="35">
        <v>2.6307279999999997E-3</v>
      </c>
    </row>
    <row r="5078" spans="103:104" x14ac:dyDescent="0.3">
      <c r="CY5078" s="34" t="s">
        <v>6005</v>
      </c>
      <c r="CZ5078" s="35">
        <v>1.1026906666666666E-2</v>
      </c>
    </row>
    <row r="5079" spans="103:104" x14ac:dyDescent="0.3">
      <c r="CY5079" s="34" t="s">
        <v>6006</v>
      </c>
      <c r="CZ5079" s="35">
        <v>3.0605599999999999E-3</v>
      </c>
    </row>
    <row r="5080" spans="103:104" x14ac:dyDescent="0.3">
      <c r="CY5080" s="34" t="s">
        <v>6007</v>
      </c>
      <c r="CZ5080" s="35">
        <v>0.70621040000000002</v>
      </c>
    </row>
    <row r="5081" spans="103:104" x14ac:dyDescent="0.3">
      <c r="CY5081" s="34" t="s">
        <v>6008</v>
      </c>
      <c r="CZ5081" s="35">
        <v>3.5047338650000003E-2</v>
      </c>
    </row>
    <row r="5082" spans="103:104" x14ac:dyDescent="0.3">
      <c r="CY5082" s="34" t="s">
        <v>6009</v>
      </c>
      <c r="CZ5082" s="35">
        <v>4.221179466666667E-2</v>
      </c>
    </row>
    <row r="5083" spans="103:104" x14ac:dyDescent="0.3">
      <c r="CY5083" s="34" t="s">
        <v>6010</v>
      </c>
      <c r="CZ5083" s="35">
        <v>4.1949980966666661E-3</v>
      </c>
    </row>
    <row r="5084" spans="103:104" x14ac:dyDescent="0.3">
      <c r="CY5084" s="34" t="s">
        <v>6011</v>
      </c>
      <c r="CZ5084" s="35">
        <v>3.2019189966268749E-2</v>
      </c>
    </row>
    <row r="5085" spans="103:104" x14ac:dyDescent="0.3">
      <c r="CY5085" s="34" t="s">
        <v>6012</v>
      </c>
      <c r="CZ5085" s="35">
        <v>3.419495467E-2</v>
      </c>
    </row>
    <row r="5086" spans="103:104" x14ac:dyDescent="0.3">
      <c r="CY5086" s="34" t="s">
        <v>6013</v>
      </c>
      <c r="CZ5086" s="35">
        <v>6.9979119999999994E-3</v>
      </c>
    </row>
    <row r="5087" spans="103:104" x14ac:dyDescent="0.3">
      <c r="CY5087" s="34" t="s">
        <v>6014</v>
      </c>
      <c r="CZ5087" s="35">
        <v>3.4434340000000008E-2</v>
      </c>
    </row>
    <row r="5088" spans="103:104" x14ac:dyDescent="0.3">
      <c r="CY5088" s="34" t="s">
        <v>6015</v>
      </c>
      <c r="CZ5088" s="35">
        <v>1.0050153333333334E-2</v>
      </c>
    </row>
    <row r="5089" spans="103:104" x14ac:dyDescent="0.3">
      <c r="CY5089" s="34" t="s">
        <v>6016</v>
      </c>
      <c r="CZ5089" s="35">
        <v>3.8046740000000001E-3</v>
      </c>
    </row>
    <row r="5090" spans="103:104" x14ac:dyDescent="0.3">
      <c r="CY5090" s="34" t="s">
        <v>6017</v>
      </c>
      <c r="CZ5090" s="35">
        <v>1.44523468E-3</v>
      </c>
    </row>
    <row r="5091" spans="103:104" x14ac:dyDescent="0.3">
      <c r="CY5091" s="34" t="s">
        <v>6018</v>
      </c>
      <c r="CZ5091" s="35">
        <v>3.2610434283333337E-2</v>
      </c>
    </row>
    <row r="5092" spans="103:104" x14ac:dyDescent="0.3">
      <c r="CY5092" s="34" t="s">
        <v>6019</v>
      </c>
      <c r="CZ5092" s="35">
        <v>1.9276120000000001E-2</v>
      </c>
    </row>
    <row r="5093" spans="103:104" x14ac:dyDescent="0.3">
      <c r="CY5093" s="34" t="s">
        <v>6020</v>
      </c>
      <c r="CZ5093" s="35">
        <v>1.7606278000000001E-3</v>
      </c>
    </row>
    <row r="5094" spans="103:104" x14ac:dyDescent="0.3">
      <c r="CY5094" s="34" t="s">
        <v>6021</v>
      </c>
      <c r="CZ5094" s="35">
        <v>4.0817350133333331E-3</v>
      </c>
    </row>
    <row r="5095" spans="103:104" x14ac:dyDescent="0.3">
      <c r="CY5095" s="34" t="s">
        <v>6022</v>
      </c>
      <c r="CZ5095" s="35">
        <v>1.5116280000000001E-3</v>
      </c>
    </row>
    <row r="5096" spans="103:104" x14ac:dyDescent="0.3">
      <c r="CY5096" s="34" t="s">
        <v>6023</v>
      </c>
      <c r="CZ5096" s="35">
        <v>2.862286666666207E-3</v>
      </c>
    </row>
    <row r="5097" spans="103:104" x14ac:dyDescent="0.3">
      <c r="CY5097" s="34" t="s">
        <v>6024</v>
      </c>
      <c r="CZ5097" s="35">
        <v>8.8525120000000016E-3</v>
      </c>
    </row>
    <row r="5098" spans="103:104" x14ac:dyDescent="0.3">
      <c r="CY5098" s="34" t="s">
        <v>6025</v>
      </c>
      <c r="CZ5098" s="35">
        <v>1.130825E-3</v>
      </c>
    </row>
    <row r="5099" spans="103:104" x14ac:dyDescent="0.3">
      <c r="CY5099" s="34" t="s">
        <v>6026</v>
      </c>
      <c r="CZ5099" s="35">
        <v>1.9753285320000002E-3</v>
      </c>
    </row>
    <row r="5100" spans="103:104" x14ac:dyDescent="0.3">
      <c r="CY5100" s="34" t="s">
        <v>6027</v>
      </c>
      <c r="CZ5100" s="35">
        <v>1.6794288000000001E-2</v>
      </c>
    </row>
    <row r="5101" spans="103:104" x14ac:dyDescent="0.3">
      <c r="CY5101" s="34" t="s">
        <v>6028</v>
      </c>
      <c r="CZ5101" s="35">
        <v>4.2786960000000002E-3</v>
      </c>
    </row>
    <row r="5102" spans="103:104" x14ac:dyDescent="0.3">
      <c r="CY5102" s="34" t="s">
        <v>6029</v>
      </c>
      <c r="CZ5102" s="35">
        <v>1.8028258896151055E-2</v>
      </c>
    </row>
    <row r="5103" spans="103:104" x14ac:dyDescent="0.3">
      <c r="CY5103" s="34" t="s">
        <v>6030</v>
      </c>
      <c r="CZ5103" s="35">
        <v>1.7162023999999999E-3</v>
      </c>
    </row>
    <row r="5104" spans="103:104" x14ac:dyDescent="0.3">
      <c r="CY5104" s="34" t="s">
        <v>6031</v>
      </c>
      <c r="CZ5104" s="35">
        <v>7.2645152000000001E-3</v>
      </c>
    </row>
    <row r="5105" spans="103:104" x14ac:dyDescent="0.3">
      <c r="CY5105" s="34" t="s">
        <v>6032</v>
      </c>
      <c r="CZ5105" s="35">
        <v>5.0967619999999998E-2</v>
      </c>
    </row>
    <row r="5106" spans="103:104" x14ac:dyDescent="0.3">
      <c r="CY5106" s="34" t="s">
        <v>6033</v>
      </c>
      <c r="CZ5106" s="35">
        <v>4.7796725333333337E-3</v>
      </c>
    </row>
    <row r="5107" spans="103:104" x14ac:dyDescent="0.3">
      <c r="CY5107" s="34" t="s">
        <v>6034</v>
      </c>
      <c r="CZ5107" s="35">
        <v>1.5910827500000002E-2</v>
      </c>
    </row>
    <row r="5108" spans="103:104" x14ac:dyDescent="0.3">
      <c r="CY5108" s="34" t="s">
        <v>6035</v>
      </c>
      <c r="CZ5108" s="35">
        <v>2.0038440000000001E-2</v>
      </c>
    </row>
    <row r="5109" spans="103:104" x14ac:dyDescent="0.3">
      <c r="CY5109" s="34" t="s">
        <v>6036</v>
      </c>
      <c r="CZ5109" s="35">
        <v>9.6864399999999989E-2</v>
      </c>
    </row>
    <row r="5110" spans="103:104" x14ac:dyDescent="0.3">
      <c r="CY5110" s="34" t="s">
        <v>6037</v>
      </c>
      <c r="CZ5110" s="35">
        <v>9.0790120000000009E-3</v>
      </c>
    </row>
    <row r="5111" spans="103:104" x14ac:dyDescent="0.3">
      <c r="CY5111" s="34" t="s">
        <v>6038</v>
      </c>
      <c r="CZ5111" s="35">
        <v>9.3033219999999993E-3</v>
      </c>
    </row>
    <row r="5112" spans="103:104" x14ac:dyDescent="0.3">
      <c r="CY5112" s="34" t="s">
        <v>6039</v>
      </c>
      <c r="CZ5112" s="35">
        <v>8.2252580000000009E-3</v>
      </c>
    </row>
    <row r="5113" spans="103:104" x14ac:dyDescent="0.3">
      <c r="CY5113" s="34" t="s">
        <v>6040</v>
      </c>
      <c r="CZ5113" s="35">
        <v>2.2652712000000005E-2</v>
      </c>
    </row>
    <row r="5114" spans="103:104" x14ac:dyDescent="0.3">
      <c r="CY5114" s="34" t="s">
        <v>6041</v>
      </c>
      <c r="CZ5114" s="35">
        <v>1.344893E-3</v>
      </c>
    </row>
    <row r="5115" spans="103:104" x14ac:dyDescent="0.3">
      <c r="CY5115" s="34" t="s">
        <v>6042</v>
      </c>
      <c r="CZ5115" s="35">
        <v>3.9813599999999994E-4</v>
      </c>
    </row>
    <row r="5116" spans="103:104" x14ac:dyDescent="0.3">
      <c r="CY5116" s="34" t="s">
        <v>6043</v>
      </c>
      <c r="CZ5116" s="35">
        <v>1.2267700000000001E-3</v>
      </c>
    </row>
    <row r="5117" spans="103:104" x14ac:dyDescent="0.3">
      <c r="CY5117" s="34" t="s">
        <v>6044</v>
      </c>
      <c r="CZ5117" s="35">
        <v>4.1645199999999994E-4</v>
      </c>
    </row>
    <row r="5118" spans="103:104" x14ac:dyDescent="0.3">
      <c r="CY5118" s="34" t="s">
        <v>6045</v>
      </c>
      <c r="CZ5118" s="35">
        <v>2.0688992E-2</v>
      </c>
    </row>
    <row r="5119" spans="103:104" x14ac:dyDescent="0.3">
      <c r="CY5119" s="34" t="s">
        <v>6046</v>
      </c>
      <c r="CZ5119" s="35">
        <v>8.0395999999999995E-2</v>
      </c>
    </row>
    <row r="5120" spans="103:104" x14ac:dyDescent="0.3">
      <c r="CY5120" s="34" t="s">
        <v>6047</v>
      </c>
      <c r="CZ5120" s="35">
        <v>4.2307040000000004E-2</v>
      </c>
    </row>
    <row r="5121" spans="103:104" x14ac:dyDescent="0.3">
      <c r="CY5121" s="34" t="s">
        <v>6048</v>
      </c>
      <c r="CZ5121" s="35">
        <v>0.11722613335714285</v>
      </c>
    </row>
    <row r="5122" spans="103:104" x14ac:dyDescent="0.3">
      <c r="CY5122" s="34" t="s">
        <v>6049</v>
      </c>
      <c r="CZ5122" s="35">
        <v>2.4082377142857141E-2</v>
      </c>
    </row>
    <row r="5123" spans="103:104" x14ac:dyDescent="0.3">
      <c r="CY5123" s="34" t="s">
        <v>6050</v>
      </c>
      <c r="CZ5123" s="35">
        <v>2.62866E-2</v>
      </c>
    </row>
    <row r="5124" spans="103:104" x14ac:dyDescent="0.3">
      <c r="CY5124" s="34" t="s">
        <v>6051</v>
      </c>
      <c r="CZ5124" s="35">
        <v>1.32875467E-2</v>
      </c>
    </row>
    <row r="5125" spans="103:104" x14ac:dyDescent="0.3">
      <c r="CY5125" s="34" t="s">
        <v>6052</v>
      </c>
      <c r="CZ5125" s="35">
        <v>1.3287546699999998E-2</v>
      </c>
    </row>
    <row r="5126" spans="103:104" x14ac:dyDescent="0.3">
      <c r="CY5126" s="34" t="s">
        <v>6053</v>
      </c>
      <c r="CZ5126" s="35">
        <v>1.8165896000000001E-2</v>
      </c>
    </row>
    <row r="5127" spans="103:104" x14ac:dyDescent="0.3">
      <c r="CY5127" s="34" t="s">
        <v>6054</v>
      </c>
      <c r="CZ5127" s="35">
        <v>4.9306639999999999E-2</v>
      </c>
    </row>
    <row r="5128" spans="103:104" x14ac:dyDescent="0.3">
      <c r="CY5128" s="34" t="s">
        <v>6055</v>
      </c>
      <c r="CZ5128" s="35">
        <v>2.4572706666666666E-2</v>
      </c>
    </row>
    <row r="5129" spans="103:104" x14ac:dyDescent="0.3">
      <c r="CY5129" s="34" t="s">
        <v>6056</v>
      </c>
      <c r="CZ5129" s="35">
        <v>2.6749420999999999E-2</v>
      </c>
    </row>
    <row r="5130" spans="103:104" x14ac:dyDescent="0.3">
      <c r="CY5130" s="34" t="s">
        <v>6057</v>
      </c>
      <c r="CZ5130" s="35">
        <v>3.5310049999999996E-2</v>
      </c>
    </row>
    <row r="5131" spans="103:104" x14ac:dyDescent="0.3">
      <c r="CY5131" s="34" t="s">
        <v>6058</v>
      </c>
      <c r="CZ5131" s="35">
        <v>4.2702993999999994E-2</v>
      </c>
    </row>
    <row r="5132" spans="103:104" x14ac:dyDescent="0.3">
      <c r="CY5132" s="34" t="s">
        <v>6059</v>
      </c>
      <c r="CZ5132" s="35">
        <v>4.0005025999999999E-2</v>
      </c>
    </row>
    <row r="5133" spans="103:104" x14ac:dyDescent="0.3">
      <c r="CY5133" s="34" t="s">
        <v>6060</v>
      </c>
      <c r="CZ5133" s="35">
        <v>3.871293E-2</v>
      </c>
    </row>
    <row r="5134" spans="103:104" x14ac:dyDescent="0.3">
      <c r="CY5134" s="34" t="s">
        <v>6061</v>
      </c>
      <c r="CZ5134" s="35">
        <v>3.5673340000000001E-3</v>
      </c>
    </row>
    <row r="5135" spans="103:104" x14ac:dyDescent="0.3">
      <c r="CY5135" s="34" t="s">
        <v>6062</v>
      </c>
      <c r="CZ5135" s="35">
        <v>5.4349849583333332E-3</v>
      </c>
    </row>
    <row r="5136" spans="103:104" x14ac:dyDescent="0.3">
      <c r="CY5136" s="34" t="s">
        <v>6063</v>
      </c>
      <c r="CZ5136" s="35">
        <v>6.0906040000000003E-3</v>
      </c>
    </row>
    <row r="5137" spans="103:104" x14ac:dyDescent="0.3">
      <c r="CY5137" s="34" t="s">
        <v>6064</v>
      </c>
      <c r="CZ5137" s="35">
        <v>8.9109839999999996E-2</v>
      </c>
    </row>
    <row r="5138" spans="103:104" x14ac:dyDescent="0.3">
      <c r="CY5138" s="34" t="s">
        <v>6065</v>
      </c>
      <c r="CZ5138" s="35">
        <v>1.9776464999999997E-3</v>
      </c>
    </row>
    <row r="5139" spans="103:104" x14ac:dyDescent="0.3">
      <c r="CY5139" s="34" t="s">
        <v>6066</v>
      </c>
      <c r="CZ5139" s="35">
        <v>2.4583719999999999E-3</v>
      </c>
    </row>
    <row r="5140" spans="103:104" x14ac:dyDescent="0.3">
      <c r="CY5140" s="34" t="s">
        <v>6067</v>
      </c>
      <c r="CZ5140" s="35">
        <v>3.7831502222222223E-3</v>
      </c>
    </row>
    <row r="5141" spans="103:104" x14ac:dyDescent="0.3">
      <c r="CY5141" s="34" t="s">
        <v>6068</v>
      </c>
      <c r="CZ5141" s="35">
        <v>2.1000346666666666E-2</v>
      </c>
    </row>
    <row r="5142" spans="103:104" x14ac:dyDescent="0.3">
      <c r="CY5142" s="34" t="s">
        <v>6069</v>
      </c>
      <c r="CZ5142" s="35">
        <v>2.2034730647058822E-2</v>
      </c>
    </row>
    <row r="5143" spans="103:104" x14ac:dyDescent="0.3">
      <c r="CY5143" s="34" t="s">
        <v>6070</v>
      </c>
      <c r="CZ5143" s="35">
        <v>3.6762399999999994E-2</v>
      </c>
    </row>
    <row r="5144" spans="103:104" x14ac:dyDescent="0.3">
      <c r="CY5144" s="34" t="s">
        <v>6071</v>
      </c>
      <c r="CZ5144" s="35">
        <v>2.8336465599999999E-3</v>
      </c>
    </row>
    <row r="5145" spans="103:104" x14ac:dyDescent="0.3">
      <c r="CY5145" s="34" t="s">
        <v>6072</v>
      </c>
      <c r="CZ5145" s="35">
        <v>3.0514839999999998E-2</v>
      </c>
    </row>
    <row r="5146" spans="103:104" x14ac:dyDescent="0.3">
      <c r="CY5146" s="34" t="s">
        <v>6073</v>
      </c>
      <c r="CZ5146" s="35">
        <v>3.0378949999999998E-2</v>
      </c>
    </row>
    <row r="5147" spans="103:104" x14ac:dyDescent="0.3">
      <c r="CY5147" s="34" t="s">
        <v>6074</v>
      </c>
      <c r="CZ5147" s="35">
        <v>1.8876192E-3</v>
      </c>
    </row>
    <row r="5148" spans="103:104" x14ac:dyDescent="0.3">
      <c r="CY5148" s="34" t="s">
        <v>6075</v>
      </c>
      <c r="CZ5148" s="35">
        <v>3.8674699999999992E-2</v>
      </c>
    </row>
    <row r="5149" spans="103:104" x14ac:dyDescent="0.3">
      <c r="CY5149" s="34" t="s">
        <v>6076</v>
      </c>
      <c r="CZ5149" s="35">
        <v>5.1484799999999995E-3</v>
      </c>
    </row>
    <row r="5150" spans="103:104" x14ac:dyDescent="0.3">
      <c r="CY5150" s="34" t="s">
        <v>6077</v>
      </c>
      <c r="CZ5150" s="35">
        <v>5.8296986600000003E-3</v>
      </c>
    </row>
    <row r="5151" spans="103:104" x14ac:dyDescent="0.3">
      <c r="CY5151" s="34" t="s">
        <v>6078</v>
      </c>
      <c r="CZ5151" s="35">
        <v>6.8695679999999995E-2</v>
      </c>
    </row>
    <row r="5152" spans="103:104" x14ac:dyDescent="0.3">
      <c r="CY5152" s="34" t="s">
        <v>6079</v>
      </c>
      <c r="CZ5152" s="35">
        <v>0.51723904000000009</v>
      </c>
    </row>
    <row r="5153" spans="103:104" x14ac:dyDescent="0.3">
      <c r="CY5153" s="34" t="s">
        <v>6080</v>
      </c>
      <c r="CZ5153" s="35">
        <v>0.29224552000000004</v>
      </c>
    </row>
    <row r="5154" spans="103:104" x14ac:dyDescent="0.3">
      <c r="CY5154" s="34" t="s">
        <v>6081</v>
      </c>
      <c r="CZ5154" s="35">
        <v>4.584839030059999E-3</v>
      </c>
    </row>
    <row r="5155" spans="103:104" x14ac:dyDescent="0.3">
      <c r="CY5155" s="34" t="s">
        <v>6082</v>
      </c>
      <c r="CZ5155" s="35">
        <v>4.8763248000000002E-2</v>
      </c>
    </row>
    <row r="5156" spans="103:104" x14ac:dyDescent="0.3">
      <c r="CY5156" s="34" t="s">
        <v>6083</v>
      </c>
      <c r="CZ5156" s="35">
        <v>2.9085354649999999E-2</v>
      </c>
    </row>
    <row r="5157" spans="103:104" x14ac:dyDescent="0.3">
      <c r="CY5157" s="34" t="s">
        <v>6084</v>
      </c>
      <c r="CZ5157" s="35">
        <v>5.8680479999999998E-3</v>
      </c>
    </row>
    <row r="5158" spans="103:104" x14ac:dyDescent="0.3">
      <c r="CY5158" s="34" t="s">
        <v>6085</v>
      </c>
      <c r="CZ5158" s="35">
        <v>1.8469704000000003E-2</v>
      </c>
    </row>
    <row r="5159" spans="103:104" x14ac:dyDescent="0.3">
      <c r="CY5159" s="34" t="s">
        <v>6086</v>
      </c>
      <c r="CZ5159" s="35">
        <v>7.6174720000000001E-3</v>
      </c>
    </row>
    <row r="5160" spans="103:104" x14ac:dyDescent="0.3">
      <c r="CY5160" s="34" t="s">
        <v>6087</v>
      </c>
      <c r="CZ5160" s="35">
        <v>4.3989936E-2</v>
      </c>
    </row>
    <row r="5161" spans="103:104" x14ac:dyDescent="0.3">
      <c r="CY5161" s="34" t="s">
        <v>6088</v>
      </c>
      <c r="CZ5161" s="35">
        <v>2.8915136000000004E-2</v>
      </c>
    </row>
    <row r="5162" spans="103:104" x14ac:dyDescent="0.3">
      <c r="CY5162" s="34" t="s">
        <v>6089</v>
      </c>
      <c r="CZ5162" s="35">
        <v>3.067568E-2</v>
      </c>
    </row>
    <row r="5163" spans="103:104" x14ac:dyDescent="0.3">
      <c r="CY5163" s="34" t="s">
        <v>6090</v>
      </c>
      <c r="CZ5163" s="35">
        <v>9.4252000000000016E-3</v>
      </c>
    </row>
    <row r="5164" spans="103:104" x14ac:dyDescent="0.3">
      <c r="CY5164" s="34" t="s">
        <v>6091</v>
      </c>
      <c r="CZ5164" s="35">
        <v>9.0620320000000011E-3</v>
      </c>
    </row>
    <row r="5165" spans="103:104" x14ac:dyDescent="0.3">
      <c r="CY5165" s="34" t="s">
        <v>6092</v>
      </c>
      <c r="CZ5165" s="35">
        <v>1.3069146666666667E-2</v>
      </c>
    </row>
    <row r="5166" spans="103:104" x14ac:dyDescent="0.3">
      <c r="CY5166" s="34" t="s">
        <v>6093</v>
      </c>
      <c r="CZ5166" s="35">
        <v>1.3069146666666667E-2</v>
      </c>
    </row>
    <row r="5167" spans="103:104" x14ac:dyDescent="0.3">
      <c r="CY5167" s="34" t="s">
        <v>6094</v>
      </c>
      <c r="CZ5167" s="35">
        <v>1.6595109333333333E-2</v>
      </c>
    </row>
    <row r="5168" spans="103:104" x14ac:dyDescent="0.3">
      <c r="CY5168" s="34" t="s">
        <v>6095</v>
      </c>
      <c r="CZ5168" s="35">
        <v>0.30677199999999993</v>
      </c>
    </row>
    <row r="5169" spans="103:104" x14ac:dyDescent="0.3">
      <c r="CY5169" s="34" t="s">
        <v>6096</v>
      </c>
      <c r="CZ5169" s="35">
        <v>3.9308664E-2</v>
      </c>
    </row>
    <row r="5170" spans="103:104" x14ac:dyDescent="0.3">
      <c r="CY5170" s="34" t="s">
        <v>6097</v>
      </c>
      <c r="CZ5170" s="35">
        <v>0.12714607999999999</v>
      </c>
    </row>
    <row r="5171" spans="103:104" x14ac:dyDescent="0.3">
      <c r="CY5171" s="34" t="s">
        <v>6098</v>
      </c>
      <c r="CZ5171" s="35">
        <v>5.5818529999999998E-2</v>
      </c>
    </row>
    <row r="5172" spans="103:104" x14ac:dyDescent="0.3">
      <c r="CY5172" s="34" t="s">
        <v>6099</v>
      </c>
      <c r="CZ5172" s="35">
        <v>3.6624289999999997E-2</v>
      </c>
    </row>
    <row r="5173" spans="103:104" x14ac:dyDescent="0.3">
      <c r="CY5173" s="34" t="s">
        <v>6100</v>
      </c>
      <c r="CZ5173" s="35">
        <v>0.13108667999999998</v>
      </c>
    </row>
    <row r="5174" spans="103:104" x14ac:dyDescent="0.3">
      <c r="CY5174" s="34" t="s">
        <v>6101</v>
      </c>
      <c r="CZ5174" s="35">
        <v>0.13108667999999998</v>
      </c>
    </row>
    <row r="5175" spans="103:104" x14ac:dyDescent="0.3">
      <c r="CY5175" s="34" t="s">
        <v>6102</v>
      </c>
      <c r="CZ5175" s="35">
        <v>5.3487626999999998E-3</v>
      </c>
    </row>
    <row r="5176" spans="103:104" x14ac:dyDescent="0.3">
      <c r="CY5176" s="34" t="s">
        <v>6103</v>
      </c>
      <c r="CZ5176" s="35">
        <v>6.283416E-2</v>
      </c>
    </row>
    <row r="5177" spans="103:104" x14ac:dyDescent="0.3">
      <c r="CY5177" s="34" t="s">
        <v>6104</v>
      </c>
      <c r="CZ5177" s="35">
        <v>6.2834159999999986E-2</v>
      </c>
    </row>
    <row r="5178" spans="103:104" x14ac:dyDescent="0.3">
      <c r="CY5178" s="34" t="s">
        <v>6105</v>
      </c>
      <c r="CZ5178" s="35">
        <v>1.1706475999999999E-3</v>
      </c>
    </row>
    <row r="5179" spans="103:104" x14ac:dyDescent="0.3">
      <c r="CY5179" s="34" t="s">
        <v>6106</v>
      </c>
      <c r="CZ5179" s="35">
        <v>1.9360460000000001E-3</v>
      </c>
    </row>
    <row r="5180" spans="103:104" x14ac:dyDescent="0.3">
      <c r="CY5180" s="34" t="s">
        <v>6107</v>
      </c>
      <c r="CZ5180" s="35">
        <v>1.9816008E-2</v>
      </c>
    </row>
    <row r="5181" spans="103:104" x14ac:dyDescent="0.3">
      <c r="CY5181" s="34" t="s">
        <v>6108</v>
      </c>
      <c r="CZ5181" s="35">
        <v>1.9816008E-2</v>
      </c>
    </row>
    <row r="5182" spans="103:104" x14ac:dyDescent="0.3">
      <c r="CY5182" s="34" t="s">
        <v>6109</v>
      </c>
      <c r="CZ5182" s="35">
        <v>3.9632015999999999E-2</v>
      </c>
    </row>
    <row r="5183" spans="103:104" x14ac:dyDescent="0.3">
      <c r="CY5183" s="34" t="s">
        <v>6110</v>
      </c>
      <c r="CZ5183" s="35">
        <v>4.946186666666666E-2</v>
      </c>
    </row>
    <row r="5184" spans="103:104" x14ac:dyDescent="0.3">
      <c r="CY5184" s="34" t="s">
        <v>6111</v>
      </c>
      <c r="CZ5184" s="35">
        <v>1.4293786666666666E-2</v>
      </c>
    </row>
    <row r="5185" spans="103:104" x14ac:dyDescent="0.3">
      <c r="CY5185" s="34" t="s">
        <v>6112</v>
      </c>
      <c r="CZ5185" s="35">
        <v>1.5764256000000001E-2</v>
      </c>
    </row>
    <row r="5186" spans="103:104" x14ac:dyDescent="0.3">
      <c r="CY5186" s="34" t="s">
        <v>6113</v>
      </c>
      <c r="CZ5186" s="35">
        <v>0.5332252999999999</v>
      </c>
    </row>
    <row r="5187" spans="103:104" x14ac:dyDescent="0.3">
      <c r="CY5187" s="34" t="s">
        <v>6114</v>
      </c>
      <c r="CZ5187" s="35">
        <v>0.29224552000000004</v>
      </c>
    </row>
    <row r="5188" spans="103:104" x14ac:dyDescent="0.3">
      <c r="CY5188" s="34" t="s">
        <v>6115</v>
      </c>
      <c r="CZ5188" s="35">
        <v>3.2745840000000001E-3</v>
      </c>
    </row>
    <row r="5189" spans="103:104" x14ac:dyDescent="0.3">
      <c r="CY5189" s="34" t="s">
        <v>6116</v>
      </c>
      <c r="CZ5189" s="35">
        <v>6.5099199999999998E-4</v>
      </c>
    </row>
    <row r="5190" spans="103:104" x14ac:dyDescent="0.3">
      <c r="CY5190" s="34" t="s">
        <v>6117</v>
      </c>
      <c r="CZ5190" s="35">
        <v>4.2419320000000002E-4</v>
      </c>
    </row>
    <row r="5191" spans="103:104" x14ac:dyDescent="0.3">
      <c r="CY5191" s="34" t="s">
        <v>6118</v>
      </c>
      <c r="CZ5191" s="35">
        <v>1.48356333E-2</v>
      </c>
    </row>
    <row r="5192" spans="103:104" x14ac:dyDescent="0.3">
      <c r="CY5192" s="34" t="s">
        <v>6119</v>
      </c>
      <c r="CZ5192" s="35">
        <v>2.1857307944000001E-3</v>
      </c>
    </row>
    <row r="5193" spans="103:104" x14ac:dyDescent="0.3">
      <c r="CY5193" s="34" t="s">
        <v>6120</v>
      </c>
      <c r="CZ5193" s="35">
        <v>5.7646239999999994E-4</v>
      </c>
    </row>
    <row r="5194" spans="103:104" x14ac:dyDescent="0.3">
      <c r="CY5194" s="34" t="s">
        <v>6121</v>
      </c>
      <c r="CZ5194" s="35">
        <v>0.31121339999999997</v>
      </c>
    </row>
    <row r="5195" spans="103:104" x14ac:dyDescent="0.3">
      <c r="CY5195" s="34" t="s">
        <v>6122</v>
      </c>
      <c r="CZ5195" s="35">
        <v>8.3568497846153861E-3</v>
      </c>
    </row>
    <row r="5196" spans="103:104" x14ac:dyDescent="0.3">
      <c r="CY5196" s="34" t="s">
        <v>6123</v>
      </c>
      <c r="CZ5196" s="35">
        <v>8.3568497846153861E-3</v>
      </c>
    </row>
    <row r="5197" spans="103:104" x14ac:dyDescent="0.3">
      <c r="CY5197" s="34" t="s">
        <v>6124</v>
      </c>
      <c r="CZ5197" s="35">
        <v>8.8740417846153857E-3</v>
      </c>
    </row>
    <row r="5198" spans="103:104" x14ac:dyDescent="0.3">
      <c r="CY5198" s="34" t="s">
        <v>6125</v>
      </c>
      <c r="CZ5198" s="35">
        <v>8.8740417846153857E-3</v>
      </c>
    </row>
    <row r="5199" spans="103:104" x14ac:dyDescent="0.3">
      <c r="CY5199" s="34" t="s">
        <v>6126</v>
      </c>
      <c r="CZ5199" s="35">
        <v>8.6471360000000011E-2</v>
      </c>
    </row>
    <row r="5200" spans="103:104" x14ac:dyDescent="0.3">
      <c r="CY5200" s="34" t="s">
        <v>6127</v>
      </c>
      <c r="CZ5200" s="35">
        <v>9.4386800000000007E-2</v>
      </c>
    </row>
    <row r="5201" spans="103:104" x14ac:dyDescent="0.3">
      <c r="CY5201" s="34" t="s">
        <v>6128</v>
      </c>
      <c r="CZ5201" s="35">
        <v>1.1897460000000002E-2</v>
      </c>
    </row>
    <row r="5202" spans="103:104" x14ac:dyDescent="0.3">
      <c r="CY5202" s="34" t="s">
        <v>6129</v>
      </c>
      <c r="CZ5202" s="35">
        <v>1.1897460000000002E-2</v>
      </c>
    </row>
    <row r="5203" spans="103:104" x14ac:dyDescent="0.3">
      <c r="CY5203" s="34" t="s">
        <v>6130</v>
      </c>
      <c r="CZ5203" s="35">
        <v>8.0517253999999993E-3</v>
      </c>
    </row>
    <row r="5204" spans="103:104" x14ac:dyDescent="0.3">
      <c r="CY5204" s="34" t="s">
        <v>6131</v>
      </c>
      <c r="CZ5204" s="35">
        <v>8.812432000000002E-3</v>
      </c>
    </row>
    <row r="5205" spans="103:104" x14ac:dyDescent="0.3">
      <c r="CY5205" s="34" t="s">
        <v>6132</v>
      </c>
      <c r="CZ5205" s="35">
        <v>1.758212E-2</v>
      </c>
    </row>
    <row r="5206" spans="103:104" x14ac:dyDescent="0.3">
      <c r="CY5206" s="34" t="s">
        <v>6133</v>
      </c>
      <c r="CZ5206" s="35">
        <v>1.758212E-2</v>
      </c>
    </row>
    <row r="5207" spans="103:104" x14ac:dyDescent="0.3">
      <c r="CY5207" s="34" t="s">
        <v>6134</v>
      </c>
      <c r="CZ5207" s="35">
        <v>2.0889373333333336E-4</v>
      </c>
    </row>
    <row r="5208" spans="103:104" x14ac:dyDescent="0.3">
      <c r="CY5208" s="34" t="s">
        <v>6135</v>
      </c>
      <c r="CZ5208" s="35">
        <v>1.4249800000000002E-2</v>
      </c>
    </row>
    <row r="5209" spans="103:104" x14ac:dyDescent="0.3">
      <c r="CY5209" s="34" t="s">
        <v>6136</v>
      </c>
      <c r="CZ5209" s="35">
        <v>1.0656591200000001E-2</v>
      </c>
    </row>
    <row r="5210" spans="103:104" x14ac:dyDescent="0.3">
      <c r="CY5210" s="34" t="s">
        <v>6137</v>
      </c>
      <c r="CZ5210" s="35">
        <v>1.7899632000000002E-3</v>
      </c>
    </row>
    <row r="5211" spans="103:104" x14ac:dyDescent="0.3">
      <c r="CY5211" s="34" t="s">
        <v>6138</v>
      </c>
      <c r="CZ5211" s="35">
        <v>5.7215747999999997E-2</v>
      </c>
    </row>
    <row r="5212" spans="103:104" x14ac:dyDescent="0.3">
      <c r="CY5212" s="34" t="s">
        <v>6139</v>
      </c>
      <c r="CZ5212" s="35">
        <v>3.0339440000000002E-2</v>
      </c>
    </row>
    <row r="5213" spans="103:104" x14ac:dyDescent="0.3">
      <c r="CY5213" s="34" t="s">
        <v>6140</v>
      </c>
      <c r="CZ5213" s="35">
        <v>7.4733839999999996E-2</v>
      </c>
    </row>
    <row r="5214" spans="103:104" x14ac:dyDescent="0.3">
      <c r="CY5214" s="34" t="s">
        <v>6141</v>
      </c>
      <c r="CZ5214" s="35">
        <v>1.3257119999999999E-2</v>
      </c>
    </row>
    <row r="5215" spans="103:104" x14ac:dyDescent="0.3">
      <c r="CY5215" s="34" t="s">
        <v>6142</v>
      </c>
      <c r="CZ5215" s="35">
        <v>1.68238E-3</v>
      </c>
    </row>
    <row r="5216" spans="103:104" x14ac:dyDescent="0.3">
      <c r="CY5216" s="34" t="s">
        <v>6143</v>
      </c>
      <c r="CZ5216" s="35">
        <v>9.1742639999999997E-3</v>
      </c>
    </row>
    <row r="5217" spans="103:104" x14ac:dyDescent="0.3">
      <c r="CY5217" s="34" t="s">
        <v>6144</v>
      </c>
      <c r="CZ5217" s="35">
        <v>1.9101608E-3</v>
      </c>
    </row>
    <row r="5218" spans="103:104" x14ac:dyDescent="0.3">
      <c r="CY5218" s="34" t="s">
        <v>6145</v>
      </c>
      <c r="CZ5218" s="35">
        <v>0.10782664</v>
      </c>
    </row>
    <row r="5219" spans="103:104" x14ac:dyDescent="0.3">
      <c r="CY5219" s="34" t="s">
        <v>6146</v>
      </c>
      <c r="CZ5219" s="35">
        <v>0.42377993999999997</v>
      </c>
    </row>
    <row r="5220" spans="103:104" x14ac:dyDescent="0.3">
      <c r="CY5220" s="34" t="s">
        <v>6147</v>
      </c>
      <c r="CZ5220" s="35">
        <v>0.37458170000000002</v>
      </c>
    </row>
    <row r="5221" spans="103:104" x14ac:dyDescent="0.3">
      <c r="CY5221" s="34" t="s">
        <v>6148</v>
      </c>
      <c r="CZ5221" s="35">
        <v>9.9171600000000013E-4</v>
      </c>
    </row>
    <row r="5222" spans="103:104" x14ac:dyDescent="0.3">
      <c r="CY5222" s="34" t="s">
        <v>6149</v>
      </c>
      <c r="CZ5222" s="35">
        <v>0.10373148</v>
      </c>
    </row>
    <row r="5223" spans="103:104" x14ac:dyDescent="0.3">
      <c r="CY5223" s="34" t="s">
        <v>6150</v>
      </c>
      <c r="CZ5223" s="35">
        <v>1.8035400000000004E-2</v>
      </c>
    </row>
    <row r="5224" spans="103:104" x14ac:dyDescent="0.3">
      <c r="CY5224" s="34" t="s">
        <v>6151</v>
      </c>
      <c r="CZ5224" s="35">
        <v>4.0683279999999995E-3</v>
      </c>
    </row>
    <row r="5225" spans="103:104" x14ac:dyDescent="0.3">
      <c r="CY5225" s="34" t="s">
        <v>6152</v>
      </c>
      <c r="CZ5225" s="35">
        <v>1.0233611E-2</v>
      </c>
    </row>
    <row r="5226" spans="103:104" x14ac:dyDescent="0.3">
      <c r="CY5226" s="34" t="s">
        <v>6153</v>
      </c>
      <c r="CZ5226" s="35">
        <v>4.0057128880000001E-2</v>
      </c>
    </row>
    <row r="5227" spans="103:104" x14ac:dyDescent="0.3">
      <c r="CY5227" s="34" t="s">
        <v>6154</v>
      </c>
      <c r="CZ5227" s="35">
        <v>2.0038440000000001E-2</v>
      </c>
    </row>
    <row r="5228" spans="103:104" x14ac:dyDescent="0.3">
      <c r="CY5228" s="34" t="s">
        <v>6155</v>
      </c>
      <c r="CZ5228" s="35">
        <v>9.4947573571428565E-3</v>
      </c>
    </row>
    <row r="5229" spans="103:104" x14ac:dyDescent="0.3">
      <c r="CY5229" s="34" t="s">
        <v>6156</v>
      </c>
      <c r="CZ5229" s="35">
        <v>2.6133600000000003E-2</v>
      </c>
    </row>
    <row r="5230" spans="103:104" x14ac:dyDescent="0.3">
      <c r="CY5230" s="34" t="s">
        <v>6157</v>
      </c>
      <c r="CZ5230" s="35">
        <v>3.9205360000000002E-2</v>
      </c>
    </row>
    <row r="5231" spans="103:104" x14ac:dyDescent="0.3">
      <c r="CY5231" s="34" t="s">
        <v>6158</v>
      </c>
      <c r="CZ5231" s="35">
        <v>3.1193824000000002E-2</v>
      </c>
    </row>
    <row r="5232" spans="103:104" x14ac:dyDescent="0.3">
      <c r="CY5232" s="34" t="s">
        <v>6159</v>
      </c>
      <c r="CZ5232" s="35">
        <v>0.31873960000000001</v>
      </c>
    </row>
    <row r="5233" spans="103:104" x14ac:dyDescent="0.3">
      <c r="CY5233" s="34" t="s">
        <v>6160</v>
      </c>
      <c r="CZ5233" s="35">
        <v>0.32782459999999997</v>
      </c>
    </row>
    <row r="5234" spans="103:104" x14ac:dyDescent="0.3">
      <c r="CY5234" s="34" t="s">
        <v>6161</v>
      </c>
      <c r="CZ5234" s="35">
        <v>2.991833E-2</v>
      </c>
    </row>
    <row r="5235" spans="103:104" x14ac:dyDescent="0.3">
      <c r="CY5235" s="34" t="s">
        <v>6162</v>
      </c>
      <c r="CZ5235" s="35">
        <v>2.991833E-2</v>
      </c>
    </row>
    <row r="5236" spans="103:104" x14ac:dyDescent="0.3">
      <c r="CY5236" s="34" t="s">
        <v>6163</v>
      </c>
      <c r="CZ5236" s="35">
        <v>6.5807480000000002E-2</v>
      </c>
    </row>
    <row r="5237" spans="103:104" x14ac:dyDescent="0.3">
      <c r="CY5237" s="34" t="s">
        <v>6164</v>
      </c>
      <c r="CZ5237" s="35">
        <v>1.6715799999999999E-2</v>
      </c>
    </row>
    <row r="5238" spans="103:104" x14ac:dyDescent="0.3">
      <c r="CY5238" s="34" t="s">
        <v>6165</v>
      </c>
      <c r="CZ5238" s="35">
        <v>1.6715799999999999E-2</v>
      </c>
    </row>
    <row r="5239" spans="103:104" x14ac:dyDescent="0.3">
      <c r="CY5239" s="34" t="s">
        <v>6166</v>
      </c>
      <c r="CZ5239" s="35">
        <v>4.692524E-2</v>
      </c>
    </row>
    <row r="5240" spans="103:104" x14ac:dyDescent="0.3">
      <c r="CY5240" s="34" t="s">
        <v>6167</v>
      </c>
      <c r="CZ5240" s="35">
        <v>3.9150199999999996E-2</v>
      </c>
    </row>
    <row r="5241" spans="103:104" x14ac:dyDescent="0.3">
      <c r="CY5241" s="34" t="s">
        <v>6168</v>
      </c>
      <c r="CZ5241" s="35">
        <v>6.1876719999999996E-2</v>
      </c>
    </row>
    <row r="5242" spans="103:104" x14ac:dyDescent="0.3">
      <c r="CY5242" s="34" t="s">
        <v>6169</v>
      </c>
      <c r="CZ5242" s="35">
        <v>6.0723813350000003E-2</v>
      </c>
    </row>
    <row r="5243" spans="103:104" x14ac:dyDescent="0.3">
      <c r="CY5243" s="34" t="s">
        <v>6170</v>
      </c>
      <c r="CZ5243" s="35">
        <v>1.6806546799999999E-2</v>
      </c>
    </row>
    <row r="5244" spans="103:104" x14ac:dyDescent="0.3">
      <c r="CY5244" s="34" t="s">
        <v>6171</v>
      </c>
      <c r="CZ5244" s="35">
        <v>4.9146679999999998E-2</v>
      </c>
    </row>
    <row r="5245" spans="103:104" x14ac:dyDescent="0.3">
      <c r="CY5245" s="34" t="s">
        <v>6172</v>
      </c>
      <c r="CZ5245" s="35">
        <v>8.0187179999999997E-2</v>
      </c>
    </row>
    <row r="5246" spans="103:104" x14ac:dyDescent="0.3">
      <c r="CY5246" s="34" t="s">
        <v>6173</v>
      </c>
      <c r="CZ5246" s="35">
        <v>4.5743279999999999E-3</v>
      </c>
    </row>
    <row r="5247" spans="103:104" x14ac:dyDescent="0.3">
      <c r="CY5247" s="34" t="s">
        <v>6174</v>
      </c>
      <c r="CZ5247" s="35">
        <v>2.3306528E-2</v>
      </c>
    </row>
    <row r="5248" spans="103:104" x14ac:dyDescent="0.3">
      <c r="CY5248" s="34" t="s">
        <v>6175</v>
      </c>
      <c r="CZ5248" s="35">
        <v>6.5286340000000002E-3</v>
      </c>
    </row>
    <row r="5249" spans="103:104" x14ac:dyDescent="0.3">
      <c r="CY5249" s="34" t="s">
        <v>6176</v>
      </c>
      <c r="CZ5249" s="35">
        <v>6.5286340000000002E-3</v>
      </c>
    </row>
    <row r="5250" spans="103:104" x14ac:dyDescent="0.3">
      <c r="CY5250" s="34" t="s">
        <v>6177</v>
      </c>
      <c r="CZ5250" s="35">
        <v>5.0320039999999996E-3</v>
      </c>
    </row>
    <row r="5251" spans="103:104" x14ac:dyDescent="0.3">
      <c r="CY5251" s="34" t="s">
        <v>6178</v>
      </c>
      <c r="CZ5251" s="35">
        <v>2.1518944000000002E-2</v>
      </c>
    </row>
    <row r="5252" spans="103:104" x14ac:dyDescent="0.3">
      <c r="CY5252" s="34" t="s">
        <v>6179</v>
      </c>
      <c r="CZ5252" s="35">
        <v>3.9980439999999999E-2</v>
      </c>
    </row>
    <row r="5253" spans="103:104" x14ac:dyDescent="0.3">
      <c r="CY5253" s="34" t="s">
        <v>6180</v>
      </c>
      <c r="CZ5253" s="35">
        <v>2.5628973330000001E-3</v>
      </c>
    </row>
    <row r="5254" spans="103:104" x14ac:dyDescent="0.3">
      <c r="CY5254" s="34" t="s">
        <v>6181</v>
      </c>
      <c r="CZ5254" s="35">
        <v>1.4484319999999998E-2</v>
      </c>
    </row>
    <row r="5255" spans="103:104" x14ac:dyDescent="0.3">
      <c r="CY5255" s="34" t="s">
        <v>6182</v>
      </c>
      <c r="CZ5255" s="35">
        <v>1.9134474000000002E-2</v>
      </c>
    </row>
    <row r="5256" spans="103:104" x14ac:dyDescent="0.3">
      <c r="CY5256" s="34" t="s">
        <v>6183</v>
      </c>
      <c r="CZ5256" s="35">
        <v>0.10545944000000002</v>
      </c>
    </row>
    <row r="5257" spans="103:104" x14ac:dyDescent="0.3">
      <c r="CY5257" s="34" t="s">
        <v>6184</v>
      </c>
      <c r="CZ5257" s="35">
        <v>1.277794665E-2</v>
      </c>
    </row>
    <row r="5258" spans="103:104" x14ac:dyDescent="0.3">
      <c r="CY5258" s="34" t="s">
        <v>6185</v>
      </c>
      <c r="CZ5258" s="35">
        <v>0.18062577999999999</v>
      </c>
    </row>
    <row r="5259" spans="103:104" x14ac:dyDescent="0.3">
      <c r="CY5259" s="34" t="s">
        <v>6186</v>
      </c>
      <c r="CZ5259" s="35">
        <v>5.9837653333333334E-3</v>
      </c>
    </row>
    <row r="5260" spans="103:104" x14ac:dyDescent="0.3">
      <c r="CY5260" s="34" t="s">
        <v>6187</v>
      </c>
      <c r="CZ5260" s="35">
        <v>7.157754666666666E-3</v>
      </c>
    </row>
    <row r="5261" spans="103:104" x14ac:dyDescent="0.3">
      <c r="CY5261" s="34" t="s">
        <v>6188</v>
      </c>
      <c r="CZ5261" s="35">
        <v>3.1504669999999999E-2</v>
      </c>
    </row>
    <row r="5262" spans="103:104" x14ac:dyDescent="0.3">
      <c r="CY5262" s="34" t="s">
        <v>6189</v>
      </c>
      <c r="CZ5262" s="35">
        <v>2.7505600000000002E-2</v>
      </c>
    </row>
    <row r="5263" spans="103:104" x14ac:dyDescent="0.3">
      <c r="CY5263" s="34" t="s">
        <v>6190</v>
      </c>
      <c r="CZ5263" s="35">
        <v>2.2259088000000003E-2</v>
      </c>
    </row>
    <row r="5264" spans="103:104" x14ac:dyDescent="0.3">
      <c r="CY5264" s="34" t="s">
        <v>6191</v>
      </c>
      <c r="CZ5264" s="35">
        <v>2.6575116999999999E-2</v>
      </c>
    </row>
    <row r="5265" spans="103:104" x14ac:dyDescent="0.3">
      <c r="CY5265" s="34" t="s">
        <v>6192</v>
      </c>
      <c r="CZ5265" s="35">
        <v>1.3192535999999999E-2</v>
      </c>
    </row>
    <row r="5266" spans="103:104" x14ac:dyDescent="0.3">
      <c r="CY5266" s="34" t="s">
        <v>6193</v>
      </c>
      <c r="CZ5266" s="35">
        <v>4.5817679999999991E-3</v>
      </c>
    </row>
    <row r="5267" spans="103:104" x14ac:dyDescent="0.3">
      <c r="CY5267" s="34" t="s">
        <v>6194</v>
      </c>
      <c r="CZ5267" s="35">
        <v>3.6306319999999995E-3</v>
      </c>
    </row>
    <row r="5268" spans="103:104" x14ac:dyDescent="0.3">
      <c r="CY5268" s="34" t="s">
        <v>6195</v>
      </c>
      <c r="CZ5268" s="35">
        <v>2.2309320000000006E-3</v>
      </c>
    </row>
    <row r="5269" spans="103:104" x14ac:dyDescent="0.3">
      <c r="CY5269" s="34" t="s">
        <v>6196</v>
      </c>
      <c r="CZ5269" s="35">
        <v>1.0413289777777775E-2</v>
      </c>
    </row>
    <row r="5270" spans="103:104" x14ac:dyDescent="0.3">
      <c r="CY5270" s="34" t="s">
        <v>6197</v>
      </c>
      <c r="CZ5270" s="35">
        <v>3.4146898000000001E-3</v>
      </c>
    </row>
    <row r="5271" spans="103:104" x14ac:dyDescent="0.3">
      <c r="CY5271" s="34" t="s">
        <v>6198</v>
      </c>
      <c r="CZ5271" s="35">
        <v>2.8696602699999998E-3</v>
      </c>
    </row>
    <row r="5272" spans="103:104" x14ac:dyDescent="0.3">
      <c r="CY5272" s="34" t="s">
        <v>6199</v>
      </c>
      <c r="CZ5272" s="35">
        <v>3.8837699999999999E-3</v>
      </c>
    </row>
    <row r="5273" spans="103:104" x14ac:dyDescent="0.3">
      <c r="CY5273" s="34" t="s">
        <v>6200</v>
      </c>
      <c r="CZ5273" s="35">
        <v>1.1308456E-2</v>
      </c>
    </row>
    <row r="5274" spans="103:104" x14ac:dyDescent="0.3">
      <c r="CY5274" s="34" t="s">
        <v>6201</v>
      </c>
      <c r="CZ5274" s="35">
        <v>1.3322746E-2</v>
      </c>
    </row>
    <row r="5275" spans="103:104" x14ac:dyDescent="0.3">
      <c r="CY5275" s="34" t="s">
        <v>6202</v>
      </c>
      <c r="CZ5275" s="35">
        <v>1.3322746E-2</v>
      </c>
    </row>
    <row r="5276" spans="103:104" x14ac:dyDescent="0.3">
      <c r="CY5276" s="34" t="s">
        <v>6203</v>
      </c>
      <c r="CZ5276" s="35">
        <v>1.6400613839999998E-2</v>
      </c>
    </row>
    <row r="5277" spans="103:104" x14ac:dyDescent="0.3">
      <c r="CY5277" s="34" t="s">
        <v>6204</v>
      </c>
      <c r="CZ5277" s="35">
        <v>2.8928639999999999E-2</v>
      </c>
    </row>
    <row r="5278" spans="103:104" x14ac:dyDescent="0.3">
      <c r="CY5278" s="34" t="s">
        <v>6205</v>
      </c>
      <c r="CZ5278" s="35">
        <v>1.9023647749999997E-2</v>
      </c>
    </row>
    <row r="5279" spans="103:104" x14ac:dyDescent="0.3">
      <c r="CY5279" s="34" t="s">
        <v>6206</v>
      </c>
      <c r="CZ5279" s="35">
        <v>3.8549328000000008E-2</v>
      </c>
    </row>
    <row r="5280" spans="103:104" x14ac:dyDescent="0.3">
      <c r="CY5280" s="34" t="s">
        <v>6207</v>
      </c>
      <c r="CZ5280" s="35">
        <v>3.7369328000000007E-2</v>
      </c>
    </row>
    <row r="5281" spans="103:104" x14ac:dyDescent="0.3">
      <c r="CY5281" s="34" t="s">
        <v>6208</v>
      </c>
      <c r="CZ5281" s="35">
        <v>3.8763307999999996E-2</v>
      </c>
    </row>
    <row r="5282" spans="103:104" x14ac:dyDescent="0.3">
      <c r="CY5282" s="34" t="s">
        <v>6209</v>
      </c>
      <c r="CZ5282" s="35">
        <v>3.8400840741414137E-2</v>
      </c>
    </row>
    <row r="5283" spans="103:104" x14ac:dyDescent="0.3">
      <c r="CY5283" s="34" t="s">
        <v>6210</v>
      </c>
      <c r="CZ5283" s="35">
        <v>3.8400840744444442E-2</v>
      </c>
    </row>
    <row r="5284" spans="103:104" x14ac:dyDescent="0.3">
      <c r="CY5284" s="34" t="s">
        <v>6211</v>
      </c>
      <c r="CZ5284" s="35">
        <v>1.5762888150000001E-2</v>
      </c>
    </row>
    <row r="5285" spans="103:104" x14ac:dyDescent="0.3">
      <c r="CY5285" s="34" t="s">
        <v>6212</v>
      </c>
      <c r="CZ5285" s="35">
        <v>9.4709479999999981E-3</v>
      </c>
    </row>
    <row r="5286" spans="103:104" x14ac:dyDescent="0.3">
      <c r="CY5286" s="34" t="s">
        <v>6213</v>
      </c>
      <c r="CZ5286" s="35">
        <v>8.8423719999999994E-3</v>
      </c>
    </row>
    <row r="5287" spans="103:104" x14ac:dyDescent="0.3">
      <c r="CY5287" s="34" t="s">
        <v>6214</v>
      </c>
      <c r="CZ5287" s="35">
        <v>9.1837000000000012E-3</v>
      </c>
    </row>
    <row r="5288" spans="103:104" x14ac:dyDescent="0.3">
      <c r="CY5288" s="34" t="s">
        <v>6215</v>
      </c>
      <c r="CZ5288" s="35">
        <v>7.3672360000000001E-3</v>
      </c>
    </row>
    <row r="5289" spans="103:104" x14ac:dyDescent="0.3">
      <c r="CY5289" s="34" t="s">
        <v>6216</v>
      </c>
      <c r="CZ5289" s="35">
        <v>5.8796200000000003E-3</v>
      </c>
    </row>
    <row r="5290" spans="103:104" x14ac:dyDescent="0.3">
      <c r="CY5290" s="34" t="s">
        <v>6217</v>
      </c>
      <c r="CZ5290" s="35">
        <v>2.9051519999999998E-3</v>
      </c>
    </row>
    <row r="5291" spans="103:104" x14ac:dyDescent="0.3">
      <c r="CY5291" s="34" t="s">
        <v>6218</v>
      </c>
      <c r="CZ5291" s="35">
        <v>9.9798199999999986E-3</v>
      </c>
    </row>
    <row r="5292" spans="103:104" x14ac:dyDescent="0.3">
      <c r="CY5292" s="34" t="s">
        <v>6219</v>
      </c>
      <c r="CZ5292" s="35">
        <v>8.2054759999999997E-3</v>
      </c>
    </row>
    <row r="5293" spans="103:104" x14ac:dyDescent="0.3">
      <c r="CY5293" s="34" t="s">
        <v>6220</v>
      </c>
      <c r="CZ5293" s="35">
        <v>2.1282019999999999E-2</v>
      </c>
    </row>
    <row r="5294" spans="103:104" x14ac:dyDescent="0.3">
      <c r="CY5294" s="34" t="s">
        <v>6221</v>
      </c>
      <c r="CZ5294" s="35">
        <v>1.0149444000000001E-2</v>
      </c>
    </row>
    <row r="5295" spans="103:104" x14ac:dyDescent="0.3">
      <c r="CY5295" s="34" t="s">
        <v>6222</v>
      </c>
      <c r="CZ5295" s="35">
        <v>8.2054759999999997E-3</v>
      </c>
    </row>
    <row r="5296" spans="103:104" x14ac:dyDescent="0.3">
      <c r="CY5296" s="34" t="s">
        <v>6223</v>
      </c>
      <c r="CZ5296" s="35">
        <v>6.9254440000000002E-3</v>
      </c>
    </row>
    <row r="5297" spans="103:104" x14ac:dyDescent="0.3">
      <c r="CY5297" s="34" t="s">
        <v>6224</v>
      </c>
      <c r="CZ5297" s="35">
        <v>8.6762320000000005E-4</v>
      </c>
    </row>
    <row r="5298" spans="103:104" x14ac:dyDescent="0.3">
      <c r="CY5298" s="34" t="s">
        <v>6225</v>
      </c>
      <c r="CZ5298" s="35">
        <v>1.1929508000000002E-3</v>
      </c>
    </row>
    <row r="5299" spans="103:104" x14ac:dyDescent="0.3">
      <c r="CY5299" s="34" t="s">
        <v>6226</v>
      </c>
      <c r="CZ5299" s="35">
        <v>8.1310119999999995E-4</v>
      </c>
    </row>
    <row r="5300" spans="103:104" x14ac:dyDescent="0.3">
      <c r="CY5300" s="34" t="s">
        <v>6227</v>
      </c>
      <c r="CZ5300" s="35">
        <v>1.3835952000000002E-2</v>
      </c>
    </row>
    <row r="5301" spans="103:104" x14ac:dyDescent="0.3">
      <c r="CY5301" s="34" t="s">
        <v>6228</v>
      </c>
      <c r="CZ5301" s="35">
        <v>1.3261424000000001E-2</v>
      </c>
    </row>
    <row r="5302" spans="103:104" x14ac:dyDescent="0.3">
      <c r="CY5302" s="34" t="s">
        <v>6229</v>
      </c>
      <c r="CZ5302" s="35">
        <v>5.8787119999999995E-3</v>
      </c>
    </row>
    <row r="5303" spans="103:104" x14ac:dyDescent="0.3">
      <c r="CY5303" s="34" t="s">
        <v>6230</v>
      </c>
      <c r="CZ5303" s="35">
        <v>3.809944E-3</v>
      </c>
    </row>
    <row r="5304" spans="103:104" x14ac:dyDescent="0.3">
      <c r="CY5304" s="34" t="s">
        <v>6231</v>
      </c>
      <c r="CZ5304" s="35">
        <v>4.9146679999999998E-2</v>
      </c>
    </row>
    <row r="5305" spans="103:104" x14ac:dyDescent="0.3">
      <c r="CY5305" s="34" t="s">
        <v>6232</v>
      </c>
      <c r="CZ5305" s="35">
        <v>3.7104728000000003E-2</v>
      </c>
    </row>
    <row r="5306" spans="103:104" x14ac:dyDescent="0.3">
      <c r="CY5306" s="34" t="s">
        <v>6233</v>
      </c>
      <c r="CZ5306" s="35">
        <v>6.6918199999999997E-2</v>
      </c>
    </row>
    <row r="5307" spans="103:104" x14ac:dyDescent="0.3">
      <c r="CY5307" s="34" t="s">
        <v>6234</v>
      </c>
      <c r="CZ5307" s="35">
        <v>1.63137244E-2</v>
      </c>
    </row>
    <row r="5308" spans="103:104" x14ac:dyDescent="0.3">
      <c r="CY5308" s="34" t="s">
        <v>6235</v>
      </c>
      <c r="CZ5308" s="35">
        <v>2.9473514799999996E-2</v>
      </c>
    </row>
    <row r="5309" spans="103:104" x14ac:dyDescent="0.3">
      <c r="CY5309" s="34" t="s">
        <v>6236</v>
      </c>
      <c r="CZ5309" s="35">
        <v>1.4832359999999999E-2</v>
      </c>
    </row>
    <row r="5310" spans="103:104" x14ac:dyDescent="0.3">
      <c r="CY5310" s="34" t="s">
        <v>6237</v>
      </c>
      <c r="CZ5310" s="35">
        <v>1.7388144000000001E-2</v>
      </c>
    </row>
    <row r="5311" spans="103:104" x14ac:dyDescent="0.3">
      <c r="CY5311" s="34" t="s">
        <v>6238</v>
      </c>
      <c r="CZ5311" s="35">
        <v>1.89158868E-2</v>
      </c>
    </row>
    <row r="5312" spans="103:104" x14ac:dyDescent="0.3">
      <c r="CY5312" s="34" t="s">
        <v>6239</v>
      </c>
      <c r="CZ5312" s="35">
        <v>9.0894960000000014E-4</v>
      </c>
    </row>
    <row r="5313" spans="103:104" x14ac:dyDescent="0.3">
      <c r="CY5313" s="34" t="s">
        <v>6240</v>
      </c>
      <c r="CZ5313" s="35">
        <v>7.1592071250000007E-4</v>
      </c>
    </row>
    <row r="5314" spans="103:104" x14ac:dyDescent="0.3">
      <c r="CY5314" s="34" t="s">
        <v>6241</v>
      </c>
      <c r="CZ5314" s="35">
        <v>7.6030239999999995E-4</v>
      </c>
    </row>
    <row r="5315" spans="103:104" x14ac:dyDescent="0.3">
      <c r="CY5315" s="34" t="s">
        <v>6242</v>
      </c>
      <c r="CZ5315" s="35">
        <v>7.8290240000000006E-4</v>
      </c>
    </row>
    <row r="5316" spans="103:104" x14ac:dyDescent="0.3">
      <c r="CY5316" s="34" t="s">
        <v>6243</v>
      </c>
      <c r="CZ5316" s="35">
        <v>3.1727799999999999E-4</v>
      </c>
    </row>
    <row r="5317" spans="103:104" x14ac:dyDescent="0.3">
      <c r="CY5317" s="34" t="s">
        <v>6244</v>
      </c>
      <c r="CZ5317" s="35">
        <v>1.8511439999999998E-4</v>
      </c>
    </row>
    <row r="5318" spans="103:104" x14ac:dyDescent="0.3">
      <c r="CY5318" s="34" t="s">
        <v>6245</v>
      </c>
      <c r="CZ5318" s="35">
        <v>7.9932808000000009E-4</v>
      </c>
    </row>
    <row r="5319" spans="103:104" x14ac:dyDescent="0.3">
      <c r="CY5319" s="34" t="s">
        <v>6246</v>
      </c>
      <c r="CZ5319" s="35">
        <v>8.291256000000001E-4</v>
      </c>
    </row>
    <row r="5320" spans="103:104" x14ac:dyDescent="0.3">
      <c r="CY5320" s="34" t="s">
        <v>6247</v>
      </c>
      <c r="CZ5320" s="35">
        <v>1.8471960000000002E-3</v>
      </c>
    </row>
    <row r="5321" spans="103:104" x14ac:dyDescent="0.3">
      <c r="CY5321" s="34" t="s">
        <v>6248</v>
      </c>
      <c r="CZ5321" s="35">
        <v>1.3175872499999999E-3</v>
      </c>
    </row>
    <row r="5322" spans="103:104" x14ac:dyDescent="0.3">
      <c r="CY5322" s="34" t="s">
        <v>6249</v>
      </c>
      <c r="CZ5322" s="35">
        <v>7.2751200000000004E-4</v>
      </c>
    </row>
    <row r="5323" spans="103:104" x14ac:dyDescent="0.3">
      <c r="CY5323" s="34" t="s">
        <v>6250</v>
      </c>
      <c r="CZ5323" s="35">
        <v>8.1760989333333339E-2</v>
      </c>
    </row>
    <row r="5324" spans="103:104" x14ac:dyDescent="0.3">
      <c r="CY5324" s="34" t="s">
        <v>6251</v>
      </c>
      <c r="CZ5324" s="35">
        <v>1.3828799999999999E-2</v>
      </c>
    </row>
    <row r="5325" spans="103:104" x14ac:dyDescent="0.3">
      <c r="CY5325" s="34" t="s">
        <v>6252</v>
      </c>
      <c r="CZ5325" s="35">
        <v>1.5208205599999999E-3</v>
      </c>
    </row>
    <row r="5326" spans="103:104" x14ac:dyDescent="0.3">
      <c r="CY5326" s="34" t="s">
        <v>6253</v>
      </c>
      <c r="CZ5326" s="35">
        <v>2.4415552E-2</v>
      </c>
    </row>
    <row r="5327" spans="103:104" x14ac:dyDescent="0.3">
      <c r="CY5327" s="34" t="s">
        <v>6254</v>
      </c>
      <c r="CZ5327" s="35">
        <v>3.2185582666666671E-2</v>
      </c>
    </row>
    <row r="5328" spans="103:104" x14ac:dyDescent="0.3">
      <c r="CY5328" s="34" t="s">
        <v>6255</v>
      </c>
      <c r="CZ5328" s="35">
        <v>1.0034453085999999E-2</v>
      </c>
    </row>
    <row r="5329" spans="103:104" x14ac:dyDescent="0.3">
      <c r="CY5329" s="34" t="s">
        <v>6256</v>
      </c>
      <c r="CZ5329" s="35">
        <v>8.3057920000000007E-2</v>
      </c>
    </row>
    <row r="5330" spans="103:104" x14ac:dyDescent="0.3">
      <c r="CY5330" s="34" t="s">
        <v>6257</v>
      </c>
      <c r="CZ5330" s="35">
        <v>6.9885819999999987E-2</v>
      </c>
    </row>
    <row r="5331" spans="103:104" x14ac:dyDescent="0.3">
      <c r="CY5331" s="34" t="s">
        <v>6258</v>
      </c>
      <c r="CZ5331" s="35">
        <v>1.2675833300000001E-3</v>
      </c>
    </row>
    <row r="5332" spans="103:104" x14ac:dyDescent="0.3">
      <c r="CY5332" s="34" t="s">
        <v>6259</v>
      </c>
      <c r="CZ5332" s="35">
        <v>0.12574184800000002</v>
      </c>
    </row>
    <row r="5333" spans="103:104" x14ac:dyDescent="0.3">
      <c r="CY5333" s="34" t="s">
        <v>6260</v>
      </c>
      <c r="CZ5333" s="35">
        <v>1.8357830360000004E-3</v>
      </c>
    </row>
    <row r="5334" spans="103:104" x14ac:dyDescent="0.3">
      <c r="CY5334" s="34" t="s">
        <v>6261</v>
      </c>
      <c r="CZ5334" s="35">
        <v>8.4234160000000013E-4</v>
      </c>
    </row>
    <row r="5335" spans="103:104" x14ac:dyDescent="0.3">
      <c r="CY5335" s="34" t="s">
        <v>6262</v>
      </c>
      <c r="CZ5335" s="35">
        <v>8.0116160000000009E-4</v>
      </c>
    </row>
    <row r="5336" spans="103:104" x14ac:dyDescent="0.3">
      <c r="CY5336" s="34" t="s">
        <v>6263</v>
      </c>
      <c r="CZ5336" s="35">
        <v>9.1928480000000009E-4</v>
      </c>
    </row>
    <row r="5337" spans="103:104" x14ac:dyDescent="0.3">
      <c r="CY5337" s="34" t="s">
        <v>6264</v>
      </c>
      <c r="CZ5337" s="35">
        <v>8.0116160000000009E-4</v>
      </c>
    </row>
    <row r="5338" spans="103:104" x14ac:dyDescent="0.3">
      <c r="CY5338" s="34" t="s">
        <v>6265</v>
      </c>
      <c r="CZ5338" s="35">
        <v>1.06267064E-3</v>
      </c>
    </row>
    <row r="5339" spans="103:104" x14ac:dyDescent="0.3">
      <c r="CY5339" s="34" t="s">
        <v>6266</v>
      </c>
      <c r="CZ5339" s="35">
        <v>1.1885824000000002E-3</v>
      </c>
    </row>
    <row r="5340" spans="103:104" x14ac:dyDescent="0.3">
      <c r="CY5340" s="34" t="s">
        <v>6267</v>
      </c>
      <c r="CZ5340" s="35">
        <v>8.3021816000000009E-4</v>
      </c>
    </row>
    <row r="5341" spans="103:104" x14ac:dyDescent="0.3">
      <c r="CY5341" s="34" t="s">
        <v>6268</v>
      </c>
      <c r="CZ5341" s="35">
        <v>7.8179056000000002E-4</v>
      </c>
    </row>
    <row r="5342" spans="103:104" x14ac:dyDescent="0.3">
      <c r="CY5342" s="34" t="s">
        <v>6269</v>
      </c>
      <c r="CZ5342" s="35">
        <v>9.0652815999999999E-4</v>
      </c>
    </row>
    <row r="5343" spans="103:104" x14ac:dyDescent="0.3">
      <c r="CY5343" s="34" t="s">
        <v>6270</v>
      </c>
      <c r="CZ5343" s="35">
        <v>9.3204143999999997E-4</v>
      </c>
    </row>
    <row r="5344" spans="103:104" x14ac:dyDescent="0.3">
      <c r="CY5344" s="34" t="s">
        <v>6271</v>
      </c>
      <c r="CZ5344" s="35">
        <v>1.4295504000000001E-3</v>
      </c>
    </row>
    <row r="5345" spans="103:104" x14ac:dyDescent="0.3">
      <c r="CY5345" s="34" t="s">
        <v>6272</v>
      </c>
      <c r="CZ5345" s="35">
        <v>1.02798976E-3</v>
      </c>
    </row>
    <row r="5346" spans="103:104" x14ac:dyDescent="0.3">
      <c r="CY5346" s="34" t="s">
        <v>6273</v>
      </c>
      <c r="CZ5346" s="35">
        <v>8.0932399999999994E-4</v>
      </c>
    </row>
    <row r="5347" spans="103:104" x14ac:dyDescent="0.3">
      <c r="CY5347" s="34" t="s">
        <v>6274</v>
      </c>
      <c r="CZ5347" s="35">
        <v>1.1206756E-3</v>
      </c>
    </row>
    <row r="5348" spans="103:104" x14ac:dyDescent="0.3">
      <c r="CY5348" s="34" t="s">
        <v>6275</v>
      </c>
      <c r="CZ5348" s="35">
        <v>1.71446485E-3</v>
      </c>
    </row>
    <row r="5349" spans="103:104" x14ac:dyDescent="0.3">
      <c r="CY5349" s="34" t="s">
        <v>6276</v>
      </c>
      <c r="CZ5349" s="35">
        <v>2.9029536E-3</v>
      </c>
    </row>
    <row r="5350" spans="103:104" x14ac:dyDescent="0.3">
      <c r="CY5350" s="34" t="s">
        <v>6277</v>
      </c>
      <c r="CZ5350" s="35">
        <v>7.8976320000000003E-4</v>
      </c>
    </row>
    <row r="5351" spans="103:104" x14ac:dyDescent="0.3">
      <c r="CY5351" s="34" t="s">
        <v>6278</v>
      </c>
      <c r="CZ5351" s="35">
        <v>9.838333358208955E-3</v>
      </c>
    </row>
    <row r="5352" spans="103:104" x14ac:dyDescent="0.3">
      <c r="CY5352" s="34" t="s">
        <v>6279</v>
      </c>
      <c r="CZ5352" s="35">
        <v>5.0725500000000003E-3</v>
      </c>
    </row>
    <row r="5353" spans="103:104" x14ac:dyDescent="0.3">
      <c r="CY5353" s="34" t="s">
        <v>6280</v>
      </c>
      <c r="CZ5353" s="35">
        <v>7.1251999999999999E-3</v>
      </c>
    </row>
    <row r="5354" spans="103:104" x14ac:dyDescent="0.3">
      <c r="CY5354" s="34" t="s">
        <v>6281</v>
      </c>
      <c r="CZ5354" s="35">
        <v>7.4371999999999997E-3</v>
      </c>
    </row>
    <row r="5355" spans="103:104" x14ac:dyDescent="0.3">
      <c r="CY5355" s="34" t="s">
        <v>6282</v>
      </c>
      <c r="CZ5355" s="35">
        <v>1.0162636365E-2</v>
      </c>
    </row>
    <row r="5356" spans="103:104" x14ac:dyDescent="0.3">
      <c r="CY5356" s="34" t="s">
        <v>6283</v>
      </c>
      <c r="CZ5356" s="35">
        <v>4.4678000000000001E-3</v>
      </c>
    </row>
    <row r="5357" spans="103:104" x14ac:dyDescent="0.3">
      <c r="CY5357" s="34" t="s">
        <v>6284</v>
      </c>
      <c r="CZ5357" s="35">
        <v>9.8165000000000006E-3</v>
      </c>
    </row>
    <row r="5358" spans="103:104" x14ac:dyDescent="0.3">
      <c r="CY5358" s="34" t="s">
        <v>6285</v>
      </c>
      <c r="CZ5358" s="35">
        <v>2.9639333299999997E-3</v>
      </c>
    </row>
    <row r="5359" spans="103:104" x14ac:dyDescent="0.3">
      <c r="CY5359" s="34" t="s">
        <v>6286</v>
      </c>
      <c r="CZ5359" s="35">
        <v>0.15297665999999999</v>
      </c>
    </row>
    <row r="5360" spans="103:104" x14ac:dyDescent="0.3">
      <c r="CY5360" s="34" t="s">
        <v>6287</v>
      </c>
      <c r="CZ5360" s="35">
        <v>0.15297665999999999</v>
      </c>
    </row>
    <row r="5361" spans="103:104" x14ac:dyDescent="0.3">
      <c r="CY5361" s="34" t="s">
        <v>6288</v>
      </c>
      <c r="CZ5361" s="35">
        <v>4.0444999999999995E-3</v>
      </c>
    </row>
    <row r="5362" spans="103:104" x14ac:dyDescent="0.3">
      <c r="CY5362" s="34" t="s">
        <v>6289</v>
      </c>
      <c r="CZ5362" s="35">
        <v>1.6361463999999999E-3</v>
      </c>
    </row>
    <row r="5363" spans="103:104" x14ac:dyDescent="0.3">
      <c r="CY5363" s="34" t="s">
        <v>6290</v>
      </c>
      <c r="CZ5363" s="35">
        <v>8.0169200000000001E-4</v>
      </c>
    </row>
    <row r="5364" spans="103:104" x14ac:dyDescent="0.3">
      <c r="CY5364" s="34" t="s">
        <v>6291</v>
      </c>
      <c r="CZ5364" s="35">
        <v>1.2187840000000001E-3</v>
      </c>
    </row>
    <row r="5365" spans="103:104" x14ac:dyDescent="0.3">
      <c r="CY5365" s="34" t="s">
        <v>6292</v>
      </c>
      <c r="CZ5365" s="35">
        <v>3.0760271999999999E-3</v>
      </c>
    </row>
    <row r="5366" spans="103:104" x14ac:dyDescent="0.3">
      <c r="CY5366" s="34" t="s">
        <v>6293</v>
      </c>
      <c r="CZ5366" s="35">
        <v>8.7864576000000005E-4</v>
      </c>
    </row>
    <row r="5367" spans="103:104" x14ac:dyDescent="0.3">
      <c r="CY5367" s="34" t="s">
        <v>6294</v>
      </c>
      <c r="CZ5367" s="35">
        <v>1.0474790670000001E-2</v>
      </c>
    </row>
    <row r="5368" spans="103:104" x14ac:dyDescent="0.3">
      <c r="CY5368" s="34" t="s">
        <v>6295</v>
      </c>
      <c r="CZ5368" s="35">
        <v>1.0474790670000001E-2</v>
      </c>
    </row>
    <row r="5369" spans="103:104" x14ac:dyDescent="0.3">
      <c r="CY5369" s="34" t="s">
        <v>6296</v>
      </c>
      <c r="CZ5369" s="35">
        <v>0.15648116000000001</v>
      </c>
    </row>
    <row r="5370" spans="103:104" x14ac:dyDescent="0.3">
      <c r="CY5370" s="34" t="s">
        <v>6297</v>
      </c>
      <c r="CZ5370" s="35">
        <v>0.19156032000000001</v>
      </c>
    </row>
    <row r="5371" spans="103:104" x14ac:dyDescent="0.3">
      <c r="CY5371" s="34" t="s">
        <v>6298</v>
      </c>
      <c r="CZ5371" s="35">
        <v>0.1144837859</v>
      </c>
    </row>
    <row r="5372" spans="103:104" x14ac:dyDescent="0.3">
      <c r="CY5372" s="34" t="s">
        <v>6299</v>
      </c>
      <c r="CZ5372" s="35">
        <v>2.6489600000000003E-4</v>
      </c>
    </row>
    <row r="5373" spans="103:104" x14ac:dyDescent="0.3">
      <c r="CY5373" s="34" t="s">
        <v>6300</v>
      </c>
      <c r="CZ5373" s="35">
        <v>1.1885824E-3</v>
      </c>
    </row>
    <row r="5374" spans="103:104" x14ac:dyDescent="0.3">
      <c r="CY5374" s="34" t="s">
        <v>6301</v>
      </c>
      <c r="CZ5374" s="35">
        <v>4.2698079999999998E-4</v>
      </c>
    </row>
    <row r="5375" spans="103:104" x14ac:dyDescent="0.3">
      <c r="CY5375" s="34" t="s">
        <v>6302</v>
      </c>
      <c r="CZ5375" s="35">
        <v>6.3464400000000009E-3</v>
      </c>
    </row>
    <row r="5376" spans="103:104" x14ac:dyDescent="0.3">
      <c r="CY5376" s="34" t="s">
        <v>6303</v>
      </c>
      <c r="CZ5376" s="35">
        <v>1.6728837309499998E-2</v>
      </c>
    </row>
    <row r="5377" spans="103:104" x14ac:dyDescent="0.3">
      <c r="CY5377" s="34" t="s">
        <v>6304</v>
      </c>
      <c r="CZ5377" s="35">
        <v>1.6728837309499998E-2</v>
      </c>
    </row>
    <row r="5378" spans="103:104" x14ac:dyDescent="0.3">
      <c r="CY5378" s="34" t="s">
        <v>6305</v>
      </c>
      <c r="CZ5378" s="35">
        <v>5.4275839999999998E-4</v>
      </c>
    </row>
    <row r="5379" spans="103:104" x14ac:dyDescent="0.3">
      <c r="CY5379" s="34" t="s">
        <v>6306</v>
      </c>
      <c r="CZ5379" s="35">
        <v>5.560703999999999E-4</v>
      </c>
    </row>
    <row r="5380" spans="103:104" x14ac:dyDescent="0.3">
      <c r="CY5380" s="34" t="s">
        <v>6307</v>
      </c>
      <c r="CZ5380" s="35">
        <v>3.2387746000000002E-2</v>
      </c>
    </row>
    <row r="5381" spans="103:104" x14ac:dyDescent="0.3">
      <c r="CY5381" s="34" t="s">
        <v>6308</v>
      </c>
      <c r="CZ5381" s="35">
        <v>1.6736026000000001E-2</v>
      </c>
    </row>
    <row r="5382" spans="103:104" x14ac:dyDescent="0.3">
      <c r="CY5382" s="34" t="s">
        <v>6309</v>
      </c>
      <c r="CZ5382" s="35">
        <v>5.3200960000000005E-2</v>
      </c>
    </row>
    <row r="5383" spans="103:104" x14ac:dyDescent="0.3">
      <c r="CY5383" s="34" t="s">
        <v>6310</v>
      </c>
      <c r="CZ5383" s="35">
        <v>2.0667215999999999E-2</v>
      </c>
    </row>
    <row r="5384" spans="103:104" x14ac:dyDescent="0.3">
      <c r="CY5384" s="34" t="s">
        <v>6311</v>
      </c>
      <c r="CZ5384" s="35">
        <v>3.8361477384615386E-2</v>
      </c>
    </row>
    <row r="5385" spans="103:104" x14ac:dyDescent="0.3">
      <c r="CY5385" s="34" t="s">
        <v>6312</v>
      </c>
      <c r="CZ5385" s="35">
        <v>1.7323760000000001E-2</v>
      </c>
    </row>
    <row r="5386" spans="103:104" x14ac:dyDescent="0.3">
      <c r="CY5386" s="34" t="s">
        <v>6313</v>
      </c>
      <c r="CZ5386" s="35">
        <v>3.8665827999999999E-2</v>
      </c>
    </row>
    <row r="5387" spans="103:104" x14ac:dyDescent="0.3">
      <c r="CY5387" s="34" t="s">
        <v>6314</v>
      </c>
      <c r="CZ5387" s="35">
        <v>2.8870052800000004E-3</v>
      </c>
    </row>
    <row r="5388" spans="103:104" x14ac:dyDescent="0.3">
      <c r="CY5388" s="34" t="s">
        <v>6315</v>
      </c>
      <c r="CZ5388" s="35">
        <v>1.6111560000000001E-3</v>
      </c>
    </row>
    <row r="5389" spans="103:104" x14ac:dyDescent="0.3">
      <c r="CY5389" s="34" t="s">
        <v>6316</v>
      </c>
      <c r="CZ5389" s="35">
        <v>2.1513000000000001E-3</v>
      </c>
    </row>
    <row r="5390" spans="103:104" x14ac:dyDescent="0.3">
      <c r="CY5390" s="34" t="s">
        <v>6317</v>
      </c>
      <c r="CZ5390" s="35">
        <v>2.6684927272727275E-3</v>
      </c>
    </row>
    <row r="5391" spans="103:104" x14ac:dyDescent="0.3">
      <c r="CY5391" s="34" t="s">
        <v>6318</v>
      </c>
      <c r="CZ5391" s="35">
        <v>3.4715233599999999E-2</v>
      </c>
    </row>
    <row r="5392" spans="103:104" x14ac:dyDescent="0.3">
      <c r="CY5392" s="34" t="s">
        <v>6319</v>
      </c>
      <c r="CZ5392" s="35">
        <v>4.8925225000000004E-3</v>
      </c>
    </row>
    <row r="5393" spans="103:104" x14ac:dyDescent="0.3">
      <c r="CY5393" s="34" t="s">
        <v>6320</v>
      </c>
      <c r="CZ5393" s="35">
        <v>1.6662808000000001E-2</v>
      </c>
    </row>
    <row r="5394" spans="103:104" x14ac:dyDescent="0.3">
      <c r="CY5394" s="34" t="s">
        <v>6321</v>
      </c>
      <c r="CZ5394" s="35">
        <v>9.1846400000000002E-4</v>
      </c>
    </row>
    <row r="5395" spans="103:104" x14ac:dyDescent="0.3">
      <c r="CY5395" s="34" t="s">
        <v>6322</v>
      </c>
      <c r="CZ5395" s="35">
        <v>1.08125E-3</v>
      </c>
    </row>
    <row r="5396" spans="103:104" x14ac:dyDescent="0.3">
      <c r="CY5396" s="34" t="s">
        <v>6323</v>
      </c>
      <c r="CZ5396" s="35">
        <v>1.0197429333399999E-2</v>
      </c>
    </row>
    <row r="5397" spans="103:104" x14ac:dyDescent="0.3">
      <c r="CY5397" s="34" t="s">
        <v>6324</v>
      </c>
      <c r="CZ5397" s="35">
        <v>6.1045456000000005E-2</v>
      </c>
    </row>
    <row r="5398" spans="103:104" x14ac:dyDescent="0.3">
      <c r="CY5398" s="34" t="s">
        <v>6325</v>
      </c>
      <c r="CZ5398" s="35">
        <v>6.2002164342857151E-2</v>
      </c>
    </row>
    <row r="5399" spans="103:104" x14ac:dyDescent="0.3">
      <c r="CY5399" s="34" t="s">
        <v>6326</v>
      </c>
      <c r="CZ5399" s="35">
        <v>1.0014147999999998E-3</v>
      </c>
    </row>
    <row r="5400" spans="103:104" x14ac:dyDescent="0.3">
      <c r="CY5400" s="34" t="s">
        <v>6327</v>
      </c>
      <c r="CZ5400" s="35">
        <v>1.8482640000000001E-3</v>
      </c>
    </row>
    <row r="5401" spans="103:104" x14ac:dyDescent="0.3">
      <c r="CY5401" s="34" t="s">
        <v>6328</v>
      </c>
      <c r="CZ5401" s="35">
        <v>1.3511518399999998E-3</v>
      </c>
    </row>
    <row r="5402" spans="103:104" x14ac:dyDescent="0.3">
      <c r="CY5402" s="34" t="s">
        <v>6329</v>
      </c>
      <c r="CZ5402" s="35">
        <v>2.746452256666667E-2</v>
      </c>
    </row>
    <row r="5403" spans="103:104" x14ac:dyDescent="0.3">
      <c r="CY5403" s="34" t="s">
        <v>6330</v>
      </c>
      <c r="CZ5403" s="35">
        <v>2.746452256666667E-2</v>
      </c>
    </row>
    <row r="5404" spans="103:104" x14ac:dyDescent="0.3">
      <c r="CY5404" s="34" t="s">
        <v>6331</v>
      </c>
      <c r="CZ5404" s="35">
        <v>6.5615666800000003E-3</v>
      </c>
    </row>
    <row r="5405" spans="103:104" x14ac:dyDescent="0.3">
      <c r="CY5405" s="34" t="s">
        <v>6332</v>
      </c>
      <c r="CZ5405" s="35">
        <v>2.1969104E-3</v>
      </c>
    </row>
    <row r="5406" spans="103:104" x14ac:dyDescent="0.3">
      <c r="CY5406" s="34" t="s">
        <v>6333</v>
      </c>
      <c r="CZ5406" s="35">
        <v>7.5756256000000008E-2</v>
      </c>
    </row>
    <row r="5407" spans="103:104" x14ac:dyDescent="0.3">
      <c r="CY5407" s="34" t="s">
        <v>6334</v>
      </c>
      <c r="CZ5407" s="35">
        <v>7.5756256000000008E-2</v>
      </c>
    </row>
    <row r="5408" spans="103:104" x14ac:dyDescent="0.3">
      <c r="CY5408" s="34" t="s">
        <v>6335</v>
      </c>
      <c r="CZ5408" s="35">
        <v>1.3725640000000002E-2</v>
      </c>
    </row>
    <row r="5409" spans="103:104" x14ac:dyDescent="0.3">
      <c r="CY5409" s="34" t="s">
        <v>6336</v>
      </c>
      <c r="CZ5409" s="35">
        <v>1.97597438E-2</v>
      </c>
    </row>
    <row r="5410" spans="103:104" x14ac:dyDescent="0.3">
      <c r="CY5410" s="34" t="s">
        <v>6337</v>
      </c>
      <c r="CZ5410" s="35">
        <v>6.3578127999999994E-4</v>
      </c>
    </row>
    <row r="5411" spans="103:104" x14ac:dyDescent="0.3">
      <c r="CY5411" s="34" t="s">
        <v>6338</v>
      </c>
      <c r="CZ5411" s="35">
        <v>1.4432886400000001E-4</v>
      </c>
    </row>
    <row r="5412" spans="103:104" x14ac:dyDescent="0.3">
      <c r="CY5412" s="34" t="s">
        <v>6339</v>
      </c>
      <c r="CZ5412" s="35">
        <v>6.7199983999999995E-4</v>
      </c>
    </row>
    <row r="5413" spans="103:104" x14ac:dyDescent="0.3">
      <c r="CY5413" s="34" t="s">
        <v>6340</v>
      </c>
      <c r="CZ5413" s="35">
        <v>1.1159128E-3</v>
      </c>
    </row>
    <row r="5414" spans="103:104" x14ac:dyDescent="0.3">
      <c r="CY5414" s="34" t="s">
        <v>6341</v>
      </c>
      <c r="CZ5414" s="35">
        <v>6.1332472000000006E-3</v>
      </c>
    </row>
    <row r="5415" spans="103:104" x14ac:dyDescent="0.3">
      <c r="CY5415" s="34" t="s">
        <v>6342</v>
      </c>
      <c r="CZ5415" s="35">
        <v>2.7513467000000002E-3</v>
      </c>
    </row>
    <row r="5416" spans="103:104" x14ac:dyDescent="0.3">
      <c r="CY5416" s="34" t="s">
        <v>6343</v>
      </c>
      <c r="CZ5416" s="35">
        <v>1.3232611999999999E-2</v>
      </c>
    </row>
    <row r="5417" spans="103:104" x14ac:dyDescent="0.3">
      <c r="CY5417" s="34" t="s">
        <v>6344</v>
      </c>
      <c r="CZ5417" s="35">
        <v>1.9131083499999996E-2</v>
      </c>
    </row>
    <row r="5418" spans="103:104" x14ac:dyDescent="0.3">
      <c r="CY5418" s="34" t="s">
        <v>6345</v>
      </c>
      <c r="CZ5418" s="35">
        <v>1.87824755E-2</v>
      </c>
    </row>
    <row r="5419" spans="103:104" x14ac:dyDescent="0.3">
      <c r="CY5419" s="34" t="s">
        <v>6346</v>
      </c>
      <c r="CZ5419" s="35">
        <v>1.1632884E-2</v>
      </c>
    </row>
    <row r="5420" spans="103:104" x14ac:dyDescent="0.3">
      <c r="CY5420" s="34" t="s">
        <v>6347</v>
      </c>
      <c r="CZ5420" s="35">
        <v>2.1164090625E-2</v>
      </c>
    </row>
    <row r="5421" spans="103:104" x14ac:dyDescent="0.3">
      <c r="CY5421" s="34" t="s">
        <v>6348</v>
      </c>
      <c r="CZ5421" s="35">
        <v>1.5467449700000002E-2</v>
      </c>
    </row>
    <row r="5422" spans="103:104" x14ac:dyDescent="0.3">
      <c r="CY5422" s="34" t="s">
        <v>6349</v>
      </c>
      <c r="CZ5422" s="35">
        <v>6.5172148000000006E-3</v>
      </c>
    </row>
    <row r="5423" spans="103:104" x14ac:dyDescent="0.3">
      <c r="CY5423" s="34" t="s">
        <v>6350</v>
      </c>
      <c r="CZ5423" s="35">
        <v>2.4474613333333333E-3</v>
      </c>
    </row>
    <row r="5424" spans="103:104" x14ac:dyDescent="0.3">
      <c r="CY5424" s="34" t="s">
        <v>6351</v>
      </c>
      <c r="CZ5424" s="35">
        <v>8.7327107999999997E-3</v>
      </c>
    </row>
    <row r="5425" spans="103:104" x14ac:dyDescent="0.3">
      <c r="CY5425" s="34" t="s">
        <v>6352</v>
      </c>
      <c r="CZ5425" s="35">
        <v>1.0035514000000001E-2</v>
      </c>
    </row>
    <row r="5426" spans="103:104" x14ac:dyDescent="0.3">
      <c r="CY5426" s="34" t="s">
        <v>6353</v>
      </c>
      <c r="CZ5426" s="35">
        <v>3.2676465457142857E-3</v>
      </c>
    </row>
    <row r="5427" spans="103:104" x14ac:dyDescent="0.3">
      <c r="CY5427" s="34" t="s">
        <v>6354</v>
      </c>
      <c r="CZ5427" s="35">
        <v>3.9033600000000002E-3</v>
      </c>
    </row>
    <row r="5428" spans="103:104" x14ac:dyDescent="0.3">
      <c r="CY5428" s="34" t="s">
        <v>6355</v>
      </c>
      <c r="CZ5428" s="35">
        <v>1.0785688000000001E-3</v>
      </c>
    </row>
    <row r="5429" spans="103:104" x14ac:dyDescent="0.3">
      <c r="CY5429" s="34" t="s">
        <v>6356</v>
      </c>
      <c r="CZ5429" s="35">
        <v>5.8695039999999996E-4</v>
      </c>
    </row>
    <row r="5430" spans="103:104" x14ac:dyDescent="0.3">
      <c r="CY5430" s="34" t="s">
        <v>6357</v>
      </c>
      <c r="CZ5430" s="35">
        <v>3.3462768000000004E-4</v>
      </c>
    </row>
    <row r="5431" spans="103:104" x14ac:dyDescent="0.3">
      <c r="CY5431" s="34" t="s">
        <v>6358</v>
      </c>
      <c r="CZ5431" s="35">
        <v>2.1836837999999998E-4</v>
      </c>
    </row>
    <row r="5432" spans="103:104" x14ac:dyDescent="0.3">
      <c r="CY5432" s="34" t="s">
        <v>6359</v>
      </c>
      <c r="CZ5432" s="35">
        <v>3.8700536000000002E-4</v>
      </c>
    </row>
    <row r="5433" spans="103:104" x14ac:dyDescent="0.3">
      <c r="CY5433" s="34" t="s">
        <v>6360</v>
      </c>
      <c r="CZ5433" s="35">
        <v>1.15441168E-3</v>
      </c>
    </row>
    <row r="5434" spans="103:104" x14ac:dyDescent="0.3">
      <c r="CY5434" s="34" t="s">
        <v>6361</v>
      </c>
      <c r="CZ5434" s="35">
        <v>2.6050254105263154E-4</v>
      </c>
    </row>
    <row r="5435" spans="103:104" x14ac:dyDescent="0.3">
      <c r="CY5435" s="34" t="s">
        <v>6362</v>
      </c>
      <c r="CZ5435" s="35">
        <v>8.8015767714285705E-3</v>
      </c>
    </row>
    <row r="5436" spans="103:104" x14ac:dyDescent="0.3">
      <c r="CY5436" s="34" t="s">
        <v>6363</v>
      </c>
      <c r="CZ5436" s="35">
        <v>3.0541342800000002E-3</v>
      </c>
    </row>
    <row r="5437" spans="103:104" x14ac:dyDescent="0.3">
      <c r="CY5437" s="34" t="s">
        <v>6364</v>
      </c>
      <c r="CZ5437" s="35">
        <v>1.0961244800000002E-3</v>
      </c>
    </row>
    <row r="5438" spans="103:104" x14ac:dyDescent="0.3">
      <c r="CY5438" s="34" t="s">
        <v>6365</v>
      </c>
      <c r="CZ5438" s="35">
        <v>0.10351532152055558</v>
      </c>
    </row>
    <row r="5439" spans="103:104" x14ac:dyDescent="0.3">
      <c r="CY5439" s="34" t="s">
        <v>6366</v>
      </c>
      <c r="CZ5439" s="35">
        <v>7.0988888028571437E-2</v>
      </c>
    </row>
    <row r="5440" spans="103:104" x14ac:dyDescent="0.3">
      <c r="CY5440" s="34" t="s">
        <v>6367</v>
      </c>
      <c r="CZ5440" s="35">
        <v>7.2089180000000003E-2</v>
      </c>
    </row>
    <row r="5441" spans="103:104" x14ac:dyDescent="0.3">
      <c r="CY5441" s="34" t="s">
        <v>6368</v>
      </c>
      <c r="CZ5441" s="35">
        <v>0.10268796000000001</v>
      </c>
    </row>
    <row r="5442" spans="103:104" x14ac:dyDescent="0.3">
      <c r="CY5442" s="34" t="s">
        <v>6369</v>
      </c>
      <c r="CZ5442" s="35">
        <v>8.7452194399999987E-4</v>
      </c>
    </row>
    <row r="5443" spans="103:104" x14ac:dyDescent="0.3">
      <c r="CY5443" s="34" t="s">
        <v>6370</v>
      </c>
      <c r="CZ5443" s="35">
        <v>2.1963563999999998E-2</v>
      </c>
    </row>
    <row r="5444" spans="103:104" x14ac:dyDescent="0.3">
      <c r="CY5444" s="34" t="s">
        <v>6371</v>
      </c>
      <c r="CZ5444" s="35">
        <v>9.6711300999999998E-4</v>
      </c>
    </row>
    <row r="5445" spans="103:104" x14ac:dyDescent="0.3">
      <c r="CY5445" s="34" t="s">
        <v>6372</v>
      </c>
      <c r="CZ5445" s="35">
        <v>1.1871939999999999E-3</v>
      </c>
    </row>
    <row r="5446" spans="103:104" x14ac:dyDescent="0.3">
      <c r="CY5446" s="34" t="s">
        <v>6373</v>
      </c>
      <c r="CZ5446" s="35">
        <v>2.8405800000000001E-4</v>
      </c>
    </row>
    <row r="5447" spans="103:104" x14ac:dyDescent="0.3">
      <c r="CY5447" s="34" t="s">
        <v>6374</v>
      </c>
      <c r="CZ5447" s="35">
        <v>4.7607903999999997E-4</v>
      </c>
    </row>
    <row r="5448" spans="103:104" x14ac:dyDescent="0.3">
      <c r="CY5448" s="34" t="s">
        <v>6375</v>
      </c>
      <c r="CZ5448" s="35">
        <v>2.7484769600000002E-3</v>
      </c>
    </row>
    <row r="5449" spans="103:104" x14ac:dyDescent="0.3">
      <c r="CY5449" s="34" t="s">
        <v>6376</v>
      </c>
      <c r="CZ5449" s="35">
        <v>1.6862896000000001E-3</v>
      </c>
    </row>
    <row r="5450" spans="103:104" x14ac:dyDescent="0.3">
      <c r="CY5450" s="34" t="s">
        <v>6377</v>
      </c>
      <c r="CZ5450" s="35">
        <v>2.0767320000000004E-3</v>
      </c>
    </row>
    <row r="5451" spans="103:104" x14ac:dyDescent="0.3">
      <c r="CY5451" s="34" t="s">
        <v>6378</v>
      </c>
      <c r="CZ5451" s="35">
        <v>1.3236556000000002E-3</v>
      </c>
    </row>
    <row r="5452" spans="103:104" x14ac:dyDescent="0.3">
      <c r="CY5452" s="34" t="s">
        <v>6379</v>
      </c>
      <c r="CZ5452" s="35">
        <v>7.0596064E-2</v>
      </c>
    </row>
    <row r="5453" spans="103:104" x14ac:dyDescent="0.3">
      <c r="CY5453" s="34" t="s">
        <v>6380</v>
      </c>
      <c r="CZ5453" s="35">
        <v>3.649013E-3</v>
      </c>
    </row>
    <row r="5454" spans="103:104" x14ac:dyDescent="0.3">
      <c r="CY5454" s="34" t="s">
        <v>6381</v>
      </c>
      <c r="CZ5454" s="35">
        <v>1.2501263999999998E-2</v>
      </c>
    </row>
    <row r="5455" spans="103:104" x14ac:dyDescent="0.3">
      <c r="CY5455" s="34" t="s">
        <v>6382</v>
      </c>
      <c r="CZ5455" s="35">
        <v>7.6360458000000004E-3</v>
      </c>
    </row>
    <row r="5456" spans="103:104" x14ac:dyDescent="0.3">
      <c r="CY5456" s="34" t="s">
        <v>6383</v>
      </c>
      <c r="CZ5456" s="35">
        <v>0.11085368000000001</v>
      </c>
    </row>
    <row r="5457" spans="103:104" x14ac:dyDescent="0.3">
      <c r="CY5457" s="34" t="s">
        <v>6384</v>
      </c>
      <c r="CZ5457" s="35">
        <v>1.236217735E-2</v>
      </c>
    </row>
    <row r="5458" spans="103:104" x14ac:dyDescent="0.3">
      <c r="CY5458" s="34" t="s">
        <v>6385</v>
      </c>
      <c r="CZ5458" s="35">
        <v>1.5744604800000003E-2</v>
      </c>
    </row>
    <row r="5459" spans="103:104" x14ac:dyDescent="0.3">
      <c r="CY5459" s="34" t="s">
        <v>6386</v>
      </c>
      <c r="CZ5459" s="35">
        <v>1.9072418000000001E-2</v>
      </c>
    </row>
    <row r="5460" spans="103:104" x14ac:dyDescent="0.3">
      <c r="CY5460" s="34" t="s">
        <v>6387</v>
      </c>
      <c r="CZ5460" s="35">
        <v>2.3449921366666664E-2</v>
      </c>
    </row>
    <row r="5461" spans="103:104" x14ac:dyDescent="0.3">
      <c r="CY5461" s="34" t="s">
        <v>6388</v>
      </c>
      <c r="CZ5461" s="35">
        <v>6.2898500000000009E-4</v>
      </c>
    </row>
    <row r="5462" spans="103:104" x14ac:dyDescent="0.3">
      <c r="CY5462" s="34" t="s">
        <v>6389</v>
      </c>
      <c r="CZ5462" s="35">
        <v>1.7132194E-2</v>
      </c>
    </row>
    <row r="5463" spans="103:104" x14ac:dyDescent="0.3">
      <c r="CY5463" s="34" t="s">
        <v>6390</v>
      </c>
      <c r="CZ5463" s="35">
        <v>1.15575E-2</v>
      </c>
    </row>
    <row r="5464" spans="103:104" x14ac:dyDescent="0.3">
      <c r="CY5464" s="34" t="s">
        <v>6391</v>
      </c>
      <c r="CZ5464" s="35">
        <v>1.7172873749999998E-2</v>
      </c>
    </row>
    <row r="5465" spans="103:104" x14ac:dyDescent="0.3">
      <c r="CY5465" s="34" t="s">
        <v>6392</v>
      </c>
      <c r="CZ5465" s="35">
        <v>2.1365410000000001E-2</v>
      </c>
    </row>
    <row r="5466" spans="103:104" x14ac:dyDescent="0.3">
      <c r="CY5466" s="34" t="s">
        <v>6393</v>
      </c>
      <c r="CZ5466" s="35">
        <v>7.4172893333333337E-3</v>
      </c>
    </row>
    <row r="5467" spans="103:104" x14ac:dyDescent="0.3">
      <c r="CY5467" s="34" t="s">
        <v>6394</v>
      </c>
      <c r="CZ5467" s="35">
        <v>2.3496141199999997E-2</v>
      </c>
    </row>
    <row r="5468" spans="103:104" x14ac:dyDescent="0.3">
      <c r="CY5468" s="34" t="s">
        <v>6395</v>
      </c>
      <c r="CZ5468" s="35">
        <v>4.0649200000000005E-3</v>
      </c>
    </row>
    <row r="5469" spans="103:104" x14ac:dyDescent="0.3">
      <c r="CY5469" s="34" t="s">
        <v>6396</v>
      </c>
      <c r="CZ5469" s="35">
        <v>9.3090428800000017E-3</v>
      </c>
    </row>
    <row r="5470" spans="103:104" x14ac:dyDescent="0.3">
      <c r="CY5470" s="34" t="s">
        <v>6397</v>
      </c>
      <c r="CZ5470" s="35">
        <v>2.2940880000000001E-3</v>
      </c>
    </row>
    <row r="5471" spans="103:104" x14ac:dyDescent="0.3">
      <c r="CY5471" s="34" t="s">
        <v>6398</v>
      </c>
      <c r="CZ5471" s="35">
        <v>1.8743519999999999E-3</v>
      </c>
    </row>
    <row r="5472" spans="103:104" x14ac:dyDescent="0.3">
      <c r="CY5472" s="34" t="s">
        <v>6399</v>
      </c>
      <c r="CZ5472" s="35">
        <v>1.8204224000000001E-3</v>
      </c>
    </row>
    <row r="5473" spans="103:104" x14ac:dyDescent="0.3">
      <c r="CY5473" s="34" t="s">
        <v>6400</v>
      </c>
      <c r="CZ5473" s="35">
        <v>0.12817423999999999</v>
      </c>
    </row>
    <row r="5474" spans="103:104" x14ac:dyDescent="0.3">
      <c r="CY5474" s="34" t="s">
        <v>6401</v>
      </c>
      <c r="CZ5474" s="35">
        <v>0.19346975999999999</v>
      </c>
    </row>
    <row r="5475" spans="103:104" x14ac:dyDescent="0.3">
      <c r="CY5475" s="34" t="s">
        <v>6402</v>
      </c>
      <c r="CZ5475" s="35">
        <v>0.26898568256000005</v>
      </c>
    </row>
    <row r="5476" spans="103:104" x14ac:dyDescent="0.3">
      <c r="CY5476" s="34" t="s">
        <v>6403</v>
      </c>
      <c r="CZ5476" s="35">
        <v>0.13622400000000001</v>
      </c>
    </row>
    <row r="5477" spans="103:104" x14ac:dyDescent="0.3">
      <c r="CY5477" s="34" t="s">
        <v>6404</v>
      </c>
      <c r="CZ5477" s="35">
        <v>0.11788871999999999</v>
      </c>
    </row>
    <row r="5478" spans="103:104" x14ac:dyDescent="0.3">
      <c r="CY5478" s="34" t="s">
        <v>6405</v>
      </c>
      <c r="CZ5478" s="35">
        <v>4.0605407999999996E-2</v>
      </c>
    </row>
    <row r="5479" spans="103:104" x14ac:dyDescent="0.3">
      <c r="CY5479" s="34" t="s">
        <v>6406</v>
      </c>
      <c r="CZ5479" s="35">
        <v>9.9642960000000003E-2</v>
      </c>
    </row>
    <row r="5480" spans="103:104" x14ac:dyDescent="0.3">
      <c r="CY5480" s="34" t="s">
        <v>6407</v>
      </c>
      <c r="CZ5480" s="35">
        <v>4.4575159999999996E-2</v>
      </c>
    </row>
    <row r="5481" spans="103:104" x14ac:dyDescent="0.3">
      <c r="CY5481" s="34" t="s">
        <v>6408</v>
      </c>
      <c r="CZ5481" s="35">
        <v>4.2872559999999997E-2</v>
      </c>
    </row>
    <row r="5482" spans="103:104" x14ac:dyDescent="0.3">
      <c r="CY5482" s="34" t="s">
        <v>6409</v>
      </c>
      <c r="CZ5482" s="35">
        <v>8.4766195484210521E-2</v>
      </c>
    </row>
    <row r="5483" spans="103:104" x14ac:dyDescent="0.3">
      <c r="CY5483" s="34" t="s">
        <v>6410</v>
      </c>
      <c r="CZ5483" s="35">
        <v>2.1369427999999996E-2</v>
      </c>
    </row>
    <row r="5484" spans="103:104" x14ac:dyDescent="0.3">
      <c r="CY5484" s="34" t="s">
        <v>6411</v>
      </c>
      <c r="CZ5484" s="35">
        <v>1.3575693333333333E-2</v>
      </c>
    </row>
    <row r="5485" spans="103:104" x14ac:dyDescent="0.3">
      <c r="CY5485" s="34" t="s">
        <v>6412</v>
      </c>
      <c r="CZ5485" s="35">
        <v>4.25525E-2</v>
      </c>
    </row>
    <row r="5486" spans="103:104" x14ac:dyDescent="0.3">
      <c r="CY5486" s="34" t="s">
        <v>6413</v>
      </c>
      <c r="CZ5486" s="35">
        <v>0.108998204</v>
      </c>
    </row>
    <row r="5487" spans="103:104" x14ac:dyDescent="0.3">
      <c r="CY5487" s="34" t="s">
        <v>6414</v>
      </c>
      <c r="CZ5487" s="35">
        <v>6.7516640000000003E-2</v>
      </c>
    </row>
    <row r="5488" spans="103:104" x14ac:dyDescent="0.3">
      <c r="CY5488" s="34" t="s">
        <v>6415</v>
      </c>
      <c r="CZ5488" s="35">
        <v>6.4040128000000002E-2</v>
      </c>
    </row>
    <row r="5489" spans="103:104" x14ac:dyDescent="0.3">
      <c r="CY5489" s="34" t="s">
        <v>6416</v>
      </c>
      <c r="CZ5489" s="35">
        <v>2.1597920000000002E-3</v>
      </c>
    </row>
    <row r="5490" spans="103:104" x14ac:dyDescent="0.3">
      <c r="CY5490" s="34" t="s">
        <v>6417</v>
      </c>
      <c r="CZ5490" s="35">
        <v>2.1597920000000002E-3</v>
      </c>
    </row>
    <row r="5491" spans="103:104" x14ac:dyDescent="0.3">
      <c r="CY5491" s="34" t="s">
        <v>6418</v>
      </c>
      <c r="CZ5491" s="35">
        <v>3.3062781714285716E-3</v>
      </c>
    </row>
    <row r="5492" spans="103:104" x14ac:dyDescent="0.3">
      <c r="CY5492" s="34" t="s">
        <v>6419</v>
      </c>
      <c r="CZ5492" s="35">
        <v>1.5478607999999999E-3</v>
      </c>
    </row>
    <row r="5493" spans="103:104" x14ac:dyDescent="0.3">
      <c r="CY5493" s="34" t="s">
        <v>6420</v>
      </c>
      <c r="CZ5493" s="35">
        <v>1.4401910400000001E-2</v>
      </c>
    </row>
    <row r="5494" spans="103:104" x14ac:dyDescent="0.3">
      <c r="CY5494" s="34" t="s">
        <v>6421</v>
      </c>
      <c r="CZ5494" s="35">
        <v>5.3006020000000006E-3</v>
      </c>
    </row>
    <row r="5495" spans="103:104" x14ac:dyDescent="0.3">
      <c r="CY5495" s="34" t="s">
        <v>6422</v>
      </c>
      <c r="CZ5495" s="35">
        <v>0.17752032000000001</v>
      </c>
    </row>
    <row r="5496" spans="103:104" x14ac:dyDescent="0.3">
      <c r="CY5496" s="34" t="s">
        <v>6423</v>
      </c>
      <c r="CZ5496" s="35">
        <v>3.9161680000000004E-2</v>
      </c>
    </row>
    <row r="5497" spans="103:104" x14ac:dyDescent="0.3">
      <c r="CY5497" s="34" t="s">
        <v>6424</v>
      </c>
      <c r="CZ5497" s="35">
        <v>5.7311039999999999E-3</v>
      </c>
    </row>
    <row r="5498" spans="103:104" x14ac:dyDescent="0.3">
      <c r="CY5498" s="34" t="s">
        <v>6425</v>
      </c>
      <c r="CZ5498" s="35">
        <v>0.15802288</v>
      </c>
    </row>
    <row r="5499" spans="103:104" x14ac:dyDescent="0.3">
      <c r="CY5499" s="34" t="s">
        <v>6426</v>
      </c>
      <c r="CZ5499" s="35">
        <v>0.16595807999999998</v>
      </c>
    </row>
    <row r="5500" spans="103:104" x14ac:dyDescent="0.3">
      <c r="CY5500" s="34" t="s">
        <v>6427</v>
      </c>
      <c r="CZ5500" s="35">
        <v>4.4266000000000007E-2</v>
      </c>
    </row>
    <row r="5501" spans="103:104" x14ac:dyDescent="0.3">
      <c r="CY5501" s="34" t="s">
        <v>6428</v>
      </c>
      <c r="CZ5501" s="35">
        <v>0.22309151999999999</v>
      </c>
    </row>
    <row r="5502" spans="103:104" x14ac:dyDescent="0.3">
      <c r="CY5502" s="34" t="s">
        <v>6429</v>
      </c>
      <c r="CZ5502" s="35">
        <v>6.946998850000001E-2</v>
      </c>
    </row>
    <row r="5503" spans="103:104" x14ac:dyDescent="0.3">
      <c r="CY5503" s="34" t="s">
        <v>6430</v>
      </c>
      <c r="CZ5503" s="35">
        <v>0.23306672</v>
      </c>
    </row>
    <row r="5504" spans="103:104" x14ac:dyDescent="0.3">
      <c r="CY5504" s="34" t="s">
        <v>6431</v>
      </c>
      <c r="CZ5504" s="35">
        <v>0.16331760000000001</v>
      </c>
    </row>
    <row r="5505" spans="103:104" x14ac:dyDescent="0.3">
      <c r="CY5505" s="34" t="s">
        <v>6432</v>
      </c>
      <c r="CZ5505" s="35">
        <v>0.11854165777777778</v>
      </c>
    </row>
    <row r="5506" spans="103:104" x14ac:dyDescent="0.3">
      <c r="CY5506" s="34" t="s">
        <v>6433</v>
      </c>
      <c r="CZ5506" s="35">
        <v>1.0420483999999999E-2</v>
      </c>
    </row>
    <row r="5507" spans="103:104" x14ac:dyDescent="0.3">
      <c r="CY5507" s="34" t="s">
        <v>6434</v>
      </c>
      <c r="CZ5507" s="35">
        <v>3.6268315999999995E-2</v>
      </c>
    </row>
    <row r="5508" spans="103:104" x14ac:dyDescent="0.3">
      <c r="CY5508" s="34" t="s">
        <v>6435</v>
      </c>
      <c r="CZ5508" s="35">
        <v>1.0683239999999998E-2</v>
      </c>
    </row>
    <row r="5509" spans="103:104" x14ac:dyDescent="0.3">
      <c r="CY5509" s="34" t="s">
        <v>6436</v>
      </c>
      <c r="CZ5509" s="35">
        <v>2.2393201599999999E-2</v>
      </c>
    </row>
    <row r="5510" spans="103:104" x14ac:dyDescent="0.3">
      <c r="CY5510" s="34" t="s">
        <v>6437</v>
      </c>
      <c r="CZ5510" s="35">
        <v>2.5638274249999999E-2</v>
      </c>
    </row>
    <row r="5511" spans="103:104" x14ac:dyDescent="0.3">
      <c r="CY5511" s="34" t="s">
        <v>6438</v>
      </c>
      <c r="CZ5511" s="35">
        <v>2.0104608E-2</v>
      </c>
    </row>
    <row r="5512" spans="103:104" x14ac:dyDescent="0.3">
      <c r="CY5512" s="34" t="s">
        <v>6439</v>
      </c>
      <c r="CZ5512" s="35">
        <v>3.7884400000000003E-4</v>
      </c>
    </row>
    <row r="5513" spans="103:104" x14ac:dyDescent="0.3">
      <c r="CY5513" s="34" t="s">
        <v>6440</v>
      </c>
      <c r="CZ5513" s="35">
        <v>1.3677305600000001E-3</v>
      </c>
    </row>
    <row r="5514" spans="103:104" x14ac:dyDescent="0.3">
      <c r="CY5514" s="34" t="s">
        <v>6441</v>
      </c>
      <c r="CZ5514" s="35">
        <v>4.483968E-4</v>
      </c>
    </row>
    <row r="5515" spans="103:104" x14ac:dyDescent="0.3">
      <c r="CY5515" s="34" t="s">
        <v>6442</v>
      </c>
      <c r="CZ5515" s="35">
        <v>0.27055656</v>
      </c>
    </row>
    <row r="5516" spans="103:104" x14ac:dyDescent="0.3">
      <c r="CY5516" s="34" t="s">
        <v>6443</v>
      </c>
      <c r="CZ5516" s="35">
        <v>9.9243279999999996E-4</v>
      </c>
    </row>
    <row r="5517" spans="103:104" x14ac:dyDescent="0.3">
      <c r="CY5517" s="34" t="s">
        <v>6444</v>
      </c>
      <c r="CZ5517" s="35">
        <v>9.0299800000000002E-4</v>
      </c>
    </row>
    <row r="5518" spans="103:104" x14ac:dyDescent="0.3">
      <c r="CY5518" s="34" t="s">
        <v>6445</v>
      </c>
      <c r="CZ5518" s="35">
        <v>1.0244068999999999E-3</v>
      </c>
    </row>
    <row r="5519" spans="103:104" x14ac:dyDescent="0.3">
      <c r="CY5519" s="34" t="s">
        <v>6446</v>
      </c>
      <c r="CZ5519" s="35">
        <v>1.03772202E-3</v>
      </c>
    </row>
    <row r="5520" spans="103:104" x14ac:dyDescent="0.3">
      <c r="CY5520" s="34" t="s">
        <v>6447</v>
      </c>
      <c r="CZ5520" s="35">
        <v>1.0840301E-3</v>
      </c>
    </row>
    <row r="5521" spans="103:104" x14ac:dyDescent="0.3">
      <c r="CY5521" s="34" t="s">
        <v>6448</v>
      </c>
      <c r="CZ5521" s="35">
        <v>1.0779240000000001E-2</v>
      </c>
    </row>
    <row r="5522" spans="103:104" x14ac:dyDescent="0.3">
      <c r="CY5522" s="34" t="s">
        <v>6449</v>
      </c>
      <c r="CZ5522" s="35">
        <v>0.99111280000000002</v>
      </c>
    </row>
    <row r="5523" spans="103:104" x14ac:dyDescent="0.3">
      <c r="CY5523" s="34" t="s">
        <v>6450</v>
      </c>
      <c r="CZ5523" s="35">
        <v>5.5143686750000004E-2</v>
      </c>
    </row>
    <row r="5524" spans="103:104" x14ac:dyDescent="0.3">
      <c r="CY5524" s="34" t="s">
        <v>6451</v>
      </c>
      <c r="CZ5524" s="35">
        <v>3.764949699999999E-2</v>
      </c>
    </row>
    <row r="5525" spans="103:104" x14ac:dyDescent="0.3">
      <c r="CY5525" s="34" t="s">
        <v>6452</v>
      </c>
      <c r="CZ5525" s="35">
        <v>9.0432688000000004E-3</v>
      </c>
    </row>
    <row r="5526" spans="103:104" x14ac:dyDescent="0.3">
      <c r="CY5526" s="34" t="s">
        <v>6453</v>
      </c>
      <c r="CZ5526" s="35">
        <v>1.0167124000000001E-2</v>
      </c>
    </row>
    <row r="5527" spans="103:104" x14ac:dyDescent="0.3">
      <c r="CY5527" s="34" t="s">
        <v>6454</v>
      </c>
      <c r="CZ5527" s="35">
        <v>1.1415852000000001E-2</v>
      </c>
    </row>
    <row r="5528" spans="103:104" x14ac:dyDescent="0.3">
      <c r="CY5528" s="34" t="s">
        <v>6455</v>
      </c>
      <c r="CZ5528" s="35">
        <v>3.2604799999999996E-3</v>
      </c>
    </row>
    <row r="5529" spans="103:104" x14ac:dyDescent="0.3">
      <c r="CY5529" s="34" t="s">
        <v>6456</v>
      </c>
      <c r="CZ5529" s="35">
        <v>7.669668000000001E-3</v>
      </c>
    </row>
    <row r="5530" spans="103:104" x14ac:dyDescent="0.3">
      <c r="CY5530" s="34" t="s">
        <v>6457</v>
      </c>
      <c r="CZ5530" s="35">
        <v>1.2865439999999999E-3</v>
      </c>
    </row>
    <row r="5531" spans="103:104" x14ac:dyDescent="0.3">
      <c r="CY5531" s="34" t="s">
        <v>6458</v>
      </c>
      <c r="CZ5531" s="35">
        <v>3.5389538400000004E-2</v>
      </c>
    </row>
    <row r="5532" spans="103:104" x14ac:dyDescent="0.3">
      <c r="CY5532" s="34" t="s">
        <v>6459</v>
      </c>
      <c r="CZ5532" s="35">
        <v>2.9588219999999998E-2</v>
      </c>
    </row>
    <row r="5533" spans="103:104" x14ac:dyDescent="0.3">
      <c r="CY5533" s="34" t="s">
        <v>6460</v>
      </c>
      <c r="CZ5533" s="35">
        <v>3.2033779999999998E-2</v>
      </c>
    </row>
    <row r="5534" spans="103:104" x14ac:dyDescent="0.3">
      <c r="CY5534" s="34" t="s">
        <v>6461</v>
      </c>
      <c r="CZ5534" s="35">
        <v>3.1055555999999998E-2</v>
      </c>
    </row>
    <row r="5535" spans="103:104" x14ac:dyDescent="0.3">
      <c r="CY5535" s="34" t="s">
        <v>6462</v>
      </c>
      <c r="CZ5535" s="35">
        <v>3.2033779999999998E-2</v>
      </c>
    </row>
    <row r="5536" spans="103:104" x14ac:dyDescent="0.3">
      <c r="CY5536" s="34" t="s">
        <v>6463</v>
      </c>
      <c r="CZ5536" s="35">
        <v>1.1390176E-3</v>
      </c>
    </row>
    <row r="5537" spans="103:104" x14ac:dyDescent="0.3">
      <c r="CY5537" s="34" t="s">
        <v>6464</v>
      </c>
      <c r="CZ5537" s="35">
        <v>4.414856E-3</v>
      </c>
    </row>
    <row r="5538" spans="103:104" x14ac:dyDescent="0.3">
      <c r="CY5538" s="34" t="s">
        <v>6465</v>
      </c>
      <c r="CZ5538" s="35">
        <v>1.4198973333333332E-3</v>
      </c>
    </row>
    <row r="5539" spans="103:104" x14ac:dyDescent="0.3">
      <c r="CY5539" s="34" t="s">
        <v>6466</v>
      </c>
      <c r="CZ5539" s="35">
        <v>1.2117608E-2</v>
      </c>
    </row>
    <row r="5540" spans="103:104" x14ac:dyDescent="0.3">
      <c r="CY5540" s="34" t="s">
        <v>6467</v>
      </c>
      <c r="CZ5540" s="35">
        <v>8.0119466666666661E-4</v>
      </c>
    </row>
    <row r="5541" spans="103:104" x14ac:dyDescent="0.3">
      <c r="CY5541" s="34" t="s">
        <v>6468</v>
      </c>
      <c r="CZ5541" s="35">
        <v>1.4101133333333333E-2</v>
      </c>
    </row>
    <row r="5542" spans="103:104" x14ac:dyDescent="0.3">
      <c r="CY5542" s="34" t="s">
        <v>6469</v>
      </c>
      <c r="CZ5542" s="35">
        <v>1.3751972000000002E-3</v>
      </c>
    </row>
    <row r="5543" spans="103:104" x14ac:dyDescent="0.3">
      <c r="CY5543" s="34" t="s">
        <v>6470</v>
      </c>
      <c r="CZ5543" s="35">
        <v>8.0255224615384622E-4</v>
      </c>
    </row>
    <row r="5544" spans="103:104" x14ac:dyDescent="0.3">
      <c r="CY5544" s="34" t="s">
        <v>6471</v>
      </c>
      <c r="CZ5544" s="35">
        <v>1.3854773333333334E-3</v>
      </c>
    </row>
    <row r="5545" spans="103:104" x14ac:dyDescent="0.3">
      <c r="CY5545" s="34" t="s">
        <v>6472</v>
      </c>
      <c r="CZ5545" s="35">
        <v>7.6578400000000005E-2</v>
      </c>
    </row>
    <row r="5546" spans="103:104" x14ac:dyDescent="0.3">
      <c r="CY5546" s="34" t="s">
        <v>6473</v>
      </c>
      <c r="CZ5546" s="35">
        <v>7.2281120000000004E-2</v>
      </c>
    </row>
    <row r="5547" spans="103:104" x14ac:dyDescent="0.3">
      <c r="CY5547" s="34" t="s">
        <v>6474</v>
      </c>
      <c r="CZ5547" s="35">
        <v>1.1327540000000001E-2</v>
      </c>
    </row>
    <row r="5548" spans="103:104" x14ac:dyDescent="0.3">
      <c r="CY5548" s="34" t="s">
        <v>6475</v>
      </c>
      <c r="CZ5548" s="35">
        <v>2.4959650000000002E-3</v>
      </c>
    </row>
    <row r="5549" spans="103:104" x14ac:dyDescent="0.3">
      <c r="CY5549" s="34" t="s">
        <v>6476</v>
      </c>
      <c r="CZ5549" s="35">
        <v>1.5786528000000001E-2</v>
      </c>
    </row>
    <row r="5550" spans="103:104" x14ac:dyDescent="0.3">
      <c r="CY5550" s="34" t="s">
        <v>6477</v>
      </c>
      <c r="CZ5550" s="35">
        <v>6.3990315999999997E-3</v>
      </c>
    </row>
    <row r="5551" spans="103:104" x14ac:dyDescent="0.3">
      <c r="CY5551" s="34" t="s">
        <v>6478</v>
      </c>
      <c r="CZ5551" s="35">
        <v>1.6325559999999999E-2</v>
      </c>
    </row>
    <row r="5552" spans="103:104" x14ac:dyDescent="0.3">
      <c r="CY5552" s="34" t="s">
        <v>6479</v>
      </c>
      <c r="CZ5552" s="35">
        <v>1.6708228000000002E-2</v>
      </c>
    </row>
    <row r="5553" spans="103:104" x14ac:dyDescent="0.3">
      <c r="CY5553" s="34" t="s">
        <v>6480</v>
      </c>
      <c r="CZ5553" s="35">
        <v>1.7021583999999999E-2</v>
      </c>
    </row>
    <row r="5554" spans="103:104" x14ac:dyDescent="0.3">
      <c r="CY5554" s="34" t="s">
        <v>6481</v>
      </c>
      <c r="CZ5554" s="35">
        <v>1.9073032E-2</v>
      </c>
    </row>
    <row r="5555" spans="103:104" x14ac:dyDescent="0.3">
      <c r="CY5555" s="34" t="s">
        <v>6482</v>
      </c>
      <c r="CZ5555" s="35">
        <v>5.4051199999999994E-3</v>
      </c>
    </row>
    <row r="5556" spans="103:104" x14ac:dyDescent="0.3">
      <c r="CY5556" s="34" t="s">
        <v>6483</v>
      </c>
      <c r="CZ5556" s="35">
        <v>2.8080135999999999E-2</v>
      </c>
    </row>
    <row r="5557" spans="103:104" x14ac:dyDescent="0.3">
      <c r="CY5557" s="34" t="s">
        <v>6484</v>
      </c>
      <c r="CZ5557" s="35">
        <v>2.8080135999999999E-2</v>
      </c>
    </row>
    <row r="5558" spans="103:104" x14ac:dyDescent="0.3">
      <c r="CY5558" s="34" t="s">
        <v>6485</v>
      </c>
      <c r="CZ5558" s="35">
        <v>2.9449347999999997E-2</v>
      </c>
    </row>
    <row r="5559" spans="103:104" x14ac:dyDescent="0.3">
      <c r="CY5559" s="34" t="s">
        <v>6486</v>
      </c>
      <c r="CZ5559" s="35">
        <v>2.8379135999999999E-2</v>
      </c>
    </row>
    <row r="5560" spans="103:104" x14ac:dyDescent="0.3">
      <c r="CY5560" s="34" t="s">
        <v>6487</v>
      </c>
      <c r="CZ5560" s="35">
        <v>3.9280746649999997E-3</v>
      </c>
    </row>
    <row r="5561" spans="103:104" x14ac:dyDescent="0.3">
      <c r="CY5561" s="34" t="s">
        <v>6488</v>
      </c>
      <c r="CZ5561" s="35">
        <v>6.8663640000000005E-4</v>
      </c>
    </row>
    <row r="5562" spans="103:104" x14ac:dyDescent="0.3">
      <c r="CY5562" s="34" t="s">
        <v>6489</v>
      </c>
      <c r="CZ5562" s="35">
        <v>0.10662842</v>
      </c>
    </row>
    <row r="5563" spans="103:104" x14ac:dyDescent="0.3">
      <c r="CY5563" s="34" t="s">
        <v>6490</v>
      </c>
      <c r="CZ5563" s="35">
        <v>1.0015824E-2</v>
      </c>
    </row>
    <row r="5564" spans="103:104" x14ac:dyDescent="0.3">
      <c r="CY5564" s="34" t="s">
        <v>6491</v>
      </c>
      <c r="CZ5564" s="35">
        <v>1.6048131999999999E-3</v>
      </c>
    </row>
    <row r="5565" spans="103:104" x14ac:dyDescent="0.3">
      <c r="CY5565" s="34" t="s">
        <v>6492</v>
      </c>
      <c r="CZ5565" s="35">
        <v>3.3011508433500002E-3</v>
      </c>
    </row>
    <row r="5566" spans="103:104" x14ac:dyDescent="0.3">
      <c r="CY5566" s="34" t="s">
        <v>6493</v>
      </c>
      <c r="CZ5566" s="35">
        <v>7.4376517399999996E-3</v>
      </c>
    </row>
    <row r="5567" spans="103:104" x14ac:dyDescent="0.3">
      <c r="CY5567" s="34" t="s">
        <v>6494</v>
      </c>
      <c r="CZ5567" s="35">
        <v>3.6041040000000003E-3</v>
      </c>
    </row>
    <row r="5568" spans="103:104" x14ac:dyDescent="0.3">
      <c r="CY5568" s="34" t="s">
        <v>6495</v>
      </c>
      <c r="CZ5568" s="35">
        <v>1.5115705999999998E-2</v>
      </c>
    </row>
    <row r="5569" spans="103:104" x14ac:dyDescent="0.3">
      <c r="CY5569" s="34" t="s">
        <v>6496</v>
      </c>
      <c r="CZ5569" s="35">
        <v>4.2918939999999992E-3</v>
      </c>
    </row>
    <row r="5570" spans="103:104" x14ac:dyDescent="0.3">
      <c r="CY5570" s="34" t="s">
        <v>6497</v>
      </c>
      <c r="CZ5570" s="35">
        <v>6.8912559999999993E-3</v>
      </c>
    </row>
    <row r="5571" spans="103:104" x14ac:dyDescent="0.3">
      <c r="CY5571" s="34" t="s">
        <v>6498</v>
      </c>
      <c r="CZ5571" s="35">
        <v>2.5650073999999998E-2</v>
      </c>
    </row>
    <row r="5572" spans="103:104" x14ac:dyDescent="0.3">
      <c r="CY5572" s="34" t="s">
        <v>6499</v>
      </c>
      <c r="CZ5572" s="35">
        <v>3.1591501399999999E-2</v>
      </c>
    </row>
    <row r="5573" spans="103:104" x14ac:dyDescent="0.3">
      <c r="CY5573" s="34" t="s">
        <v>6500</v>
      </c>
      <c r="CZ5573" s="35">
        <v>5.4469353599999994E-3</v>
      </c>
    </row>
    <row r="5574" spans="103:104" x14ac:dyDescent="0.3">
      <c r="CY5574" s="34" t="s">
        <v>6501</v>
      </c>
      <c r="CZ5574" s="35">
        <v>3.6648484000000002E-2</v>
      </c>
    </row>
    <row r="5575" spans="103:104" x14ac:dyDescent="0.3">
      <c r="CY5575" s="34" t="s">
        <v>6502</v>
      </c>
      <c r="CZ5575" s="35">
        <v>0.1415161466</v>
      </c>
    </row>
    <row r="5576" spans="103:104" x14ac:dyDescent="0.3">
      <c r="CY5576" s="34" t="s">
        <v>6503</v>
      </c>
      <c r="CZ5576" s="35">
        <v>1.6441319794871793E-2</v>
      </c>
    </row>
    <row r="5577" spans="103:104" x14ac:dyDescent="0.3">
      <c r="CY5577" s="34" t="s">
        <v>6504</v>
      </c>
      <c r="CZ5577" s="35">
        <v>6.592344E-2</v>
      </c>
    </row>
    <row r="5578" spans="103:104" x14ac:dyDescent="0.3">
      <c r="CY5578" s="34" t="s">
        <v>6505</v>
      </c>
      <c r="CZ5578" s="35">
        <v>1.4813232000000001E-2</v>
      </c>
    </row>
    <row r="5579" spans="103:104" x14ac:dyDescent="0.3">
      <c r="CY5579" s="34" t="s">
        <v>6506</v>
      </c>
      <c r="CZ5579" s="35">
        <v>1.0313632E-2</v>
      </c>
    </row>
    <row r="5580" spans="103:104" x14ac:dyDescent="0.3">
      <c r="CY5580" s="34" t="s">
        <v>6507</v>
      </c>
      <c r="CZ5580" s="35">
        <v>2.4962373399999998E-2</v>
      </c>
    </row>
    <row r="5581" spans="103:104" x14ac:dyDescent="0.3">
      <c r="CY5581" s="34" t="s">
        <v>6508</v>
      </c>
      <c r="CZ5581" s="35">
        <v>2.4747348222222222E-2</v>
      </c>
    </row>
    <row r="5582" spans="103:104" x14ac:dyDescent="0.3">
      <c r="CY5582" s="34" t="s">
        <v>6509</v>
      </c>
      <c r="CZ5582" s="35">
        <v>1.9853250526315789E-2</v>
      </c>
    </row>
    <row r="5583" spans="103:104" x14ac:dyDescent="0.3">
      <c r="CY5583" s="34" t="s">
        <v>6510</v>
      </c>
      <c r="CZ5583" s="35">
        <v>1.3185469733333332E-2</v>
      </c>
    </row>
    <row r="5584" spans="103:104" x14ac:dyDescent="0.3">
      <c r="CY5584" s="34" t="s">
        <v>6511</v>
      </c>
      <c r="CZ5584" s="35">
        <v>2.3895077999999998E-3</v>
      </c>
    </row>
    <row r="5585" spans="103:104" x14ac:dyDescent="0.3">
      <c r="CY5585" s="34" t="s">
        <v>6512</v>
      </c>
      <c r="CZ5585" s="35">
        <v>2.4427303999999997E-2</v>
      </c>
    </row>
    <row r="5586" spans="103:104" x14ac:dyDescent="0.3">
      <c r="CY5586" s="34" t="s">
        <v>6513</v>
      </c>
      <c r="CZ5586" s="35">
        <v>4.7943466800000004E-3</v>
      </c>
    </row>
    <row r="5587" spans="103:104" x14ac:dyDescent="0.3">
      <c r="CY5587" s="34" t="s">
        <v>6514</v>
      </c>
      <c r="CZ5587" s="35">
        <v>2.510579428571429E-3</v>
      </c>
    </row>
    <row r="5588" spans="103:104" x14ac:dyDescent="0.3">
      <c r="CY5588" s="34" t="s">
        <v>6515</v>
      </c>
      <c r="CZ5588" s="35">
        <v>8.0195608000000005E-4</v>
      </c>
    </row>
    <row r="5589" spans="103:104" x14ac:dyDescent="0.3">
      <c r="CY5589" s="34" t="s">
        <v>6516</v>
      </c>
      <c r="CZ5589" s="35">
        <v>6.3477999999999994E-4</v>
      </c>
    </row>
    <row r="5590" spans="103:104" x14ac:dyDescent="0.3">
      <c r="CY5590" s="34" t="s">
        <v>6517</v>
      </c>
      <c r="CZ5590" s="35">
        <v>4.5824513999999997E-2</v>
      </c>
    </row>
    <row r="5591" spans="103:104" x14ac:dyDescent="0.3">
      <c r="CY5591" s="34" t="s">
        <v>6518</v>
      </c>
      <c r="CZ5591" s="35">
        <v>1.9424444479999997E-2</v>
      </c>
    </row>
    <row r="5592" spans="103:104" x14ac:dyDescent="0.3">
      <c r="CY5592" s="34" t="s">
        <v>6519</v>
      </c>
      <c r="CZ5592" s="35">
        <v>6.6092499199999988E-2</v>
      </c>
    </row>
    <row r="5593" spans="103:104" x14ac:dyDescent="0.3">
      <c r="CY5593" s="34" t="s">
        <v>6520</v>
      </c>
      <c r="CZ5593" s="35">
        <v>1.7559632000000002E-3</v>
      </c>
    </row>
    <row r="5594" spans="103:104" x14ac:dyDescent="0.3">
      <c r="CY5594" s="34" t="s">
        <v>6521</v>
      </c>
      <c r="CZ5594" s="35">
        <v>6.908504E-2</v>
      </c>
    </row>
    <row r="5595" spans="103:104" x14ac:dyDescent="0.3">
      <c r="CY5595" s="34" t="s">
        <v>6522</v>
      </c>
      <c r="CZ5595" s="35">
        <v>2.5854275285714285E-2</v>
      </c>
    </row>
    <row r="5596" spans="103:104" x14ac:dyDescent="0.3">
      <c r="CY5596" s="34" t="s">
        <v>6523</v>
      </c>
      <c r="CZ5596" s="35">
        <v>4.2065236800000003E-2</v>
      </c>
    </row>
    <row r="5597" spans="103:104" x14ac:dyDescent="0.3">
      <c r="CY5597" s="34" t="s">
        <v>6524</v>
      </c>
      <c r="CZ5597" s="35">
        <v>1.7565577771428569E-2</v>
      </c>
    </row>
    <row r="5598" spans="103:104" x14ac:dyDescent="0.3">
      <c r="CY5598" s="34" t="s">
        <v>6525</v>
      </c>
      <c r="CZ5598" s="35">
        <v>1.4703497800000001E-2</v>
      </c>
    </row>
    <row r="5599" spans="103:104" x14ac:dyDescent="0.3">
      <c r="CY5599" s="34" t="s">
        <v>6526</v>
      </c>
      <c r="CZ5599" s="35">
        <v>1.2508681800000001E-2</v>
      </c>
    </row>
    <row r="5600" spans="103:104" x14ac:dyDescent="0.3">
      <c r="CY5600" s="34" t="s">
        <v>6527</v>
      </c>
      <c r="CZ5600" s="35">
        <v>3.3165E-3</v>
      </c>
    </row>
    <row r="5601" spans="103:104" x14ac:dyDescent="0.3">
      <c r="CY5601" s="34" t="s">
        <v>6528</v>
      </c>
      <c r="CZ5601" s="35">
        <v>0.33946911999999996</v>
      </c>
    </row>
    <row r="5602" spans="103:104" x14ac:dyDescent="0.3">
      <c r="CY5602" s="34" t="s">
        <v>6529</v>
      </c>
      <c r="CZ5602" s="35">
        <v>0.38673503999999997</v>
      </c>
    </row>
    <row r="5603" spans="103:104" x14ac:dyDescent="0.3">
      <c r="CY5603" s="34" t="s">
        <v>6530</v>
      </c>
      <c r="CZ5603" s="35">
        <v>0.23435424000000002</v>
      </c>
    </row>
    <row r="5604" spans="103:104" x14ac:dyDescent="0.3">
      <c r="CY5604" s="34" t="s">
        <v>6531</v>
      </c>
      <c r="CZ5604" s="35">
        <v>1.4515304000000001E-3</v>
      </c>
    </row>
    <row r="5605" spans="103:104" x14ac:dyDescent="0.3">
      <c r="CY5605" s="34" t="s">
        <v>6532</v>
      </c>
      <c r="CZ5605" s="35">
        <v>3.0584040000000002E-3</v>
      </c>
    </row>
    <row r="5606" spans="103:104" x14ac:dyDescent="0.3">
      <c r="CY5606" s="34" t="s">
        <v>6533</v>
      </c>
      <c r="CZ5606" s="35">
        <v>0.48936480000000004</v>
      </c>
    </row>
    <row r="5607" spans="103:104" x14ac:dyDescent="0.3">
      <c r="CY5607" s="34" t="s">
        <v>6534</v>
      </c>
      <c r="CZ5607" s="35">
        <v>6.7090399999999994E-3</v>
      </c>
    </row>
    <row r="5608" spans="103:104" x14ac:dyDescent="0.3">
      <c r="CY5608" s="34" t="s">
        <v>6535</v>
      </c>
      <c r="CZ5608" s="35">
        <v>6.7090400000000003E-3</v>
      </c>
    </row>
    <row r="5609" spans="103:104" x14ac:dyDescent="0.3">
      <c r="CY5609" s="34" t="s">
        <v>6536</v>
      </c>
      <c r="CZ5609" s="35">
        <v>5.1514400000000002E-3</v>
      </c>
    </row>
    <row r="5610" spans="103:104" x14ac:dyDescent="0.3">
      <c r="CY5610" s="34" t="s">
        <v>6537</v>
      </c>
      <c r="CZ5610" s="35">
        <v>2.0053508000000001E-2</v>
      </c>
    </row>
    <row r="5611" spans="103:104" x14ac:dyDescent="0.3">
      <c r="CY5611" s="34" t="s">
        <v>6538</v>
      </c>
      <c r="CZ5611" s="35">
        <v>8.6031680000000002E-4</v>
      </c>
    </row>
    <row r="5612" spans="103:104" x14ac:dyDescent="0.3">
      <c r="CY5612" s="34" t="s">
        <v>6539</v>
      </c>
      <c r="CZ5612" s="35">
        <v>2.0904272000000002E-2</v>
      </c>
    </row>
    <row r="5613" spans="103:104" x14ac:dyDescent="0.3">
      <c r="CY5613" s="34" t="s">
        <v>6540</v>
      </c>
      <c r="CZ5613" s="35">
        <v>3.742347E-3</v>
      </c>
    </row>
    <row r="5614" spans="103:104" x14ac:dyDescent="0.3">
      <c r="CY5614" s="34" t="s">
        <v>6541</v>
      </c>
      <c r="CZ5614" s="35">
        <v>2.2793119999999999E-3</v>
      </c>
    </row>
    <row r="5615" spans="103:104" x14ac:dyDescent="0.3">
      <c r="CY5615" s="34" t="s">
        <v>6542</v>
      </c>
      <c r="CZ5615" s="35">
        <v>1.8907245333333333E-2</v>
      </c>
    </row>
    <row r="5616" spans="103:104" x14ac:dyDescent="0.3">
      <c r="CY5616" s="34" t="s">
        <v>6543</v>
      </c>
      <c r="CZ5616" s="35">
        <v>2.5671554250000003E-2</v>
      </c>
    </row>
    <row r="5617" spans="103:104" x14ac:dyDescent="0.3">
      <c r="CY5617" s="34" t="s">
        <v>6544</v>
      </c>
      <c r="CZ5617" s="35">
        <v>2.8112930000000001E-2</v>
      </c>
    </row>
    <row r="5618" spans="103:104" x14ac:dyDescent="0.3">
      <c r="CY5618" s="34" t="s">
        <v>6545</v>
      </c>
      <c r="CZ5618" s="35">
        <v>7.5289399999999996E-3</v>
      </c>
    </row>
    <row r="5619" spans="103:104" x14ac:dyDescent="0.3">
      <c r="CY5619" s="34" t="s">
        <v>6546</v>
      </c>
      <c r="CZ5619" s="35">
        <v>1.2756224000000002E-2</v>
      </c>
    </row>
    <row r="5620" spans="103:104" x14ac:dyDescent="0.3">
      <c r="CY5620" s="34" t="s">
        <v>6547</v>
      </c>
      <c r="CZ5620" s="35">
        <v>2.9935496000000005E-3</v>
      </c>
    </row>
    <row r="5621" spans="103:104" x14ac:dyDescent="0.3">
      <c r="CY5621" s="34" t="s">
        <v>6548</v>
      </c>
      <c r="CZ5621" s="35">
        <v>2.9935496000000005E-3</v>
      </c>
    </row>
    <row r="5622" spans="103:104" x14ac:dyDescent="0.3">
      <c r="CY5622" s="34" t="s">
        <v>6549</v>
      </c>
      <c r="CZ5622" s="35">
        <v>4.6352759068181822E-2</v>
      </c>
    </row>
    <row r="5623" spans="103:104" x14ac:dyDescent="0.3">
      <c r="CY5623" s="34" t="s">
        <v>6550</v>
      </c>
      <c r="CZ5623" s="35">
        <v>4.7442572000000002E-2</v>
      </c>
    </row>
    <row r="5624" spans="103:104" x14ac:dyDescent="0.3">
      <c r="CY5624" s="34" t="s">
        <v>6551</v>
      </c>
      <c r="CZ5624" s="35">
        <v>6.8144207920909097E-2</v>
      </c>
    </row>
    <row r="5625" spans="103:104" x14ac:dyDescent="0.3">
      <c r="CY5625" s="34" t="s">
        <v>6552</v>
      </c>
      <c r="CZ5625" s="35">
        <v>6.0520364E-2</v>
      </c>
    </row>
    <row r="5626" spans="103:104" x14ac:dyDescent="0.3">
      <c r="CY5626" s="34" t="s">
        <v>6553</v>
      </c>
      <c r="CZ5626" s="35">
        <v>6.4602296666666668E-3</v>
      </c>
    </row>
    <row r="5627" spans="103:104" x14ac:dyDescent="0.3">
      <c r="CY5627" s="34" t="s">
        <v>6554</v>
      </c>
      <c r="CZ5627" s="35">
        <v>2.0383034000000001E-3</v>
      </c>
    </row>
    <row r="5628" spans="103:104" x14ac:dyDescent="0.3">
      <c r="CY5628" s="34" t="s">
        <v>6555</v>
      </c>
      <c r="CZ5628" s="35">
        <v>1.9135326800000001E-2</v>
      </c>
    </row>
    <row r="5629" spans="103:104" x14ac:dyDescent="0.3">
      <c r="CY5629" s="34" t="s">
        <v>6556</v>
      </c>
      <c r="CZ5629" s="35">
        <v>3.6006184000000004E-2</v>
      </c>
    </row>
    <row r="5630" spans="103:104" x14ac:dyDescent="0.3">
      <c r="CY5630" s="34" t="s">
        <v>6557</v>
      </c>
      <c r="CZ5630" s="35">
        <v>1.9767969999999999E-2</v>
      </c>
    </row>
    <row r="5631" spans="103:104" x14ac:dyDescent="0.3">
      <c r="CY5631" s="34" t="s">
        <v>6558</v>
      </c>
      <c r="CZ5631" s="35">
        <v>5.4395809999999996E-2</v>
      </c>
    </row>
    <row r="5632" spans="103:104" x14ac:dyDescent="0.3">
      <c r="CY5632" s="34" t="s">
        <v>6559</v>
      </c>
      <c r="CZ5632" s="35">
        <v>9.2889325714999981E-3</v>
      </c>
    </row>
    <row r="5633" spans="103:104" x14ac:dyDescent="0.3">
      <c r="CY5633" s="34" t="s">
        <v>6560</v>
      </c>
      <c r="CZ5633" s="35">
        <v>2.8758719999999997E-4</v>
      </c>
    </row>
    <row r="5634" spans="103:104" x14ac:dyDescent="0.3">
      <c r="CY5634" s="34" t="s">
        <v>6561</v>
      </c>
      <c r="CZ5634" s="35">
        <v>4.3025903999999997E-2</v>
      </c>
    </row>
    <row r="5635" spans="103:104" x14ac:dyDescent="0.3">
      <c r="CY5635" s="34" t="s">
        <v>6562</v>
      </c>
      <c r="CZ5635" s="35">
        <v>1.3709742999999998E-2</v>
      </c>
    </row>
    <row r="5636" spans="103:104" x14ac:dyDescent="0.3">
      <c r="CY5636" s="34" t="s">
        <v>6563</v>
      </c>
      <c r="CZ5636" s="35">
        <v>1.3899854999999999E-2</v>
      </c>
    </row>
    <row r="5637" spans="103:104" x14ac:dyDescent="0.3">
      <c r="CY5637" s="34" t="s">
        <v>6564</v>
      </c>
      <c r="CZ5637" s="35">
        <v>1.3535439E-2</v>
      </c>
    </row>
    <row r="5638" spans="103:104" x14ac:dyDescent="0.3">
      <c r="CY5638" s="34" t="s">
        <v>6565</v>
      </c>
      <c r="CZ5638" s="35">
        <v>6.9375679999999995E-2</v>
      </c>
    </row>
    <row r="5639" spans="103:104" x14ac:dyDescent="0.3">
      <c r="CY5639" s="34" t="s">
        <v>6566</v>
      </c>
      <c r="CZ5639" s="35">
        <v>7.3486799999999991E-2</v>
      </c>
    </row>
    <row r="5640" spans="103:104" x14ac:dyDescent="0.3">
      <c r="CY5640" s="34" t="s">
        <v>6567</v>
      </c>
      <c r="CZ5640" s="35">
        <v>6.9375679999999995E-2</v>
      </c>
    </row>
    <row r="5641" spans="103:104" x14ac:dyDescent="0.3">
      <c r="CY5641" s="34" t="s">
        <v>6568</v>
      </c>
      <c r="CZ5641" s="35">
        <v>1.0750009999999999E-2</v>
      </c>
    </row>
    <row r="5642" spans="103:104" x14ac:dyDescent="0.3">
      <c r="CY5642" s="34" t="s">
        <v>6569</v>
      </c>
      <c r="CZ5642" s="35">
        <v>4.8680399999999997E-4</v>
      </c>
    </row>
    <row r="5643" spans="103:104" x14ac:dyDescent="0.3">
      <c r="CY5643" s="34" t="s">
        <v>6570</v>
      </c>
      <c r="CZ5643" s="35">
        <v>9.5475200000000012E-4</v>
      </c>
    </row>
    <row r="5644" spans="103:104" x14ac:dyDescent="0.3">
      <c r="CY5644" s="34" t="s">
        <v>6571</v>
      </c>
      <c r="CZ5644" s="35">
        <v>6.3041200000000001E-4</v>
      </c>
    </row>
    <row r="5645" spans="103:104" x14ac:dyDescent="0.3">
      <c r="CY5645" s="34" t="s">
        <v>6572</v>
      </c>
      <c r="CZ5645" s="35">
        <v>1.4576265600000001E-2</v>
      </c>
    </row>
    <row r="5646" spans="103:104" x14ac:dyDescent="0.3">
      <c r="CY5646" s="34" t="s">
        <v>6573</v>
      </c>
      <c r="CZ5646" s="35">
        <v>1.24050784E-2</v>
      </c>
    </row>
    <row r="5647" spans="103:104" x14ac:dyDescent="0.3">
      <c r="CY5647" s="34" t="s">
        <v>6574</v>
      </c>
      <c r="CZ5647" s="35">
        <v>4.6803494399999994E-3</v>
      </c>
    </row>
    <row r="5648" spans="103:104" x14ac:dyDescent="0.3">
      <c r="CY5648" s="34" t="s">
        <v>6575</v>
      </c>
      <c r="CZ5648" s="35">
        <v>4.3463679999999998E-3</v>
      </c>
    </row>
    <row r="5649" spans="103:104" x14ac:dyDescent="0.3">
      <c r="CY5649" s="34" t="s">
        <v>6576</v>
      </c>
      <c r="CZ5649" s="35">
        <v>3.9127587199999994E-3</v>
      </c>
    </row>
    <row r="5650" spans="103:104" x14ac:dyDescent="0.3">
      <c r="CY5650" s="34" t="s">
        <v>6577</v>
      </c>
      <c r="CZ5650" s="35">
        <v>1.41119942E-2</v>
      </c>
    </row>
    <row r="5651" spans="103:104" x14ac:dyDescent="0.3">
      <c r="CY5651" s="34" t="s">
        <v>6578</v>
      </c>
      <c r="CZ5651" s="35">
        <v>3.1187448E-3</v>
      </c>
    </row>
    <row r="5652" spans="103:104" x14ac:dyDescent="0.3">
      <c r="CY5652" s="34" t="s">
        <v>6579</v>
      </c>
      <c r="CZ5652" s="35">
        <v>2.6643114720000002E-3</v>
      </c>
    </row>
    <row r="5653" spans="103:104" x14ac:dyDescent="0.3">
      <c r="CY5653" s="34" t="s">
        <v>6580</v>
      </c>
      <c r="CZ5653" s="35">
        <v>2.3113692480000001E-3</v>
      </c>
    </row>
    <row r="5654" spans="103:104" x14ac:dyDescent="0.3">
      <c r="CY5654" s="34" t="s">
        <v>6581</v>
      </c>
      <c r="CZ5654" s="35">
        <v>2.180977165E-3</v>
      </c>
    </row>
    <row r="5655" spans="103:104" x14ac:dyDescent="0.3">
      <c r="CY5655" s="34" t="s">
        <v>6582</v>
      </c>
      <c r="CZ5655" s="35">
        <v>6.5713793599999999E-3</v>
      </c>
    </row>
    <row r="5656" spans="103:104" x14ac:dyDescent="0.3">
      <c r="CY5656" s="34" t="s">
        <v>6583</v>
      </c>
      <c r="CZ5656" s="35">
        <v>9.8607183999999994E-3</v>
      </c>
    </row>
    <row r="5657" spans="103:104" x14ac:dyDescent="0.3">
      <c r="CY5657" s="34" t="s">
        <v>6584</v>
      </c>
      <c r="CZ5657" s="35">
        <v>1.3088774399999999E-2</v>
      </c>
    </row>
    <row r="5658" spans="103:104" x14ac:dyDescent="0.3">
      <c r="CY5658" s="34" t="s">
        <v>6585</v>
      </c>
      <c r="CZ5658" s="35">
        <v>1.27358452E-2</v>
      </c>
    </row>
    <row r="5659" spans="103:104" x14ac:dyDescent="0.3">
      <c r="CY5659" s="34" t="s">
        <v>6586</v>
      </c>
      <c r="CZ5659" s="35">
        <v>1.11668232E-2</v>
      </c>
    </row>
    <row r="5660" spans="103:104" x14ac:dyDescent="0.3">
      <c r="CY5660" s="34" t="s">
        <v>6587</v>
      </c>
      <c r="CZ5660" s="35">
        <v>1.2105989874418605E-2</v>
      </c>
    </row>
    <row r="5661" spans="103:104" x14ac:dyDescent="0.3">
      <c r="CY5661" s="34" t="s">
        <v>6588</v>
      </c>
      <c r="CZ5661" s="35">
        <v>1.5202083200000001E-2</v>
      </c>
    </row>
    <row r="5662" spans="103:104" x14ac:dyDescent="0.3">
      <c r="CY5662" s="34" t="s">
        <v>6589</v>
      </c>
      <c r="CZ5662" s="35">
        <v>1.4742083200000001E-2</v>
      </c>
    </row>
    <row r="5663" spans="103:104" x14ac:dyDescent="0.3">
      <c r="CY5663" s="34" t="s">
        <v>6590</v>
      </c>
      <c r="CZ5663" s="35">
        <v>1.5658643199999999E-2</v>
      </c>
    </row>
    <row r="5664" spans="103:104" x14ac:dyDescent="0.3">
      <c r="CY5664" s="34" t="s">
        <v>6591</v>
      </c>
      <c r="CZ5664" s="35">
        <v>1.5198643199999999E-2</v>
      </c>
    </row>
    <row r="5665" spans="103:104" x14ac:dyDescent="0.3">
      <c r="CY5665" s="34" t="s">
        <v>6592</v>
      </c>
      <c r="CZ5665" s="35">
        <v>1.49950816E-2</v>
      </c>
    </row>
    <row r="5666" spans="103:104" x14ac:dyDescent="0.3">
      <c r="CY5666" s="34" t="s">
        <v>6593</v>
      </c>
      <c r="CZ5666" s="35">
        <v>1.4535081599999999E-2</v>
      </c>
    </row>
    <row r="5667" spans="103:104" x14ac:dyDescent="0.3">
      <c r="CY5667" s="34" t="s">
        <v>6594</v>
      </c>
      <c r="CZ5667" s="35">
        <v>1.5488702933333334E-2</v>
      </c>
    </row>
    <row r="5668" spans="103:104" x14ac:dyDescent="0.3">
      <c r="CY5668" s="34" t="s">
        <v>6595</v>
      </c>
      <c r="CZ5668" s="35">
        <v>1.48753696E-2</v>
      </c>
    </row>
    <row r="5669" spans="103:104" x14ac:dyDescent="0.3">
      <c r="CY5669" s="34" t="s">
        <v>6596</v>
      </c>
      <c r="CZ5669" s="35">
        <v>1.9010683724999998E-2</v>
      </c>
    </row>
    <row r="5670" spans="103:104" x14ac:dyDescent="0.3">
      <c r="CY5670" s="34" t="s">
        <v>6597</v>
      </c>
      <c r="CZ5670" s="35">
        <v>1.8397350399999998E-2</v>
      </c>
    </row>
    <row r="5671" spans="103:104" x14ac:dyDescent="0.3">
      <c r="CY5671" s="34" t="s">
        <v>6598</v>
      </c>
      <c r="CZ5671" s="35">
        <v>2.0337806933333331E-2</v>
      </c>
    </row>
    <row r="5672" spans="103:104" x14ac:dyDescent="0.3">
      <c r="CY5672" s="34" t="s">
        <v>6599</v>
      </c>
      <c r="CZ5672" s="35">
        <v>1.9724473599999997E-2</v>
      </c>
    </row>
    <row r="5673" spans="103:104" x14ac:dyDescent="0.3">
      <c r="CY5673" s="34" t="s">
        <v>6600</v>
      </c>
      <c r="CZ5673" s="35">
        <v>2.1290613333333333E-2</v>
      </c>
    </row>
    <row r="5674" spans="103:104" x14ac:dyDescent="0.3">
      <c r="CY5674" s="34" t="s">
        <v>6601</v>
      </c>
      <c r="CZ5674" s="35">
        <v>2.0677279999999999E-2</v>
      </c>
    </row>
    <row r="5675" spans="103:104" x14ac:dyDescent="0.3">
      <c r="CY5675" s="34" t="s">
        <v>6602</v>
      </c>
      <c r="CZ5675" s="35">
        <v>2.300341585333333E-2</v>
      </c>
    </row>
    <row r="5676" spans="103:104" x14ac:dyDescent="0.3">
      <c r="CY5676" s="34" t="s">
        <v>6603</v>
      </c>
      <c r="CZ5676" s="35">
        <v>2.2390082519999997E-2</v>
      </c>
    </row>
    <row r="5677" spans="103:104" x14ac:dyDescent="0.3">
      <c r="CY5677" s="34" t="s">
        <v>6604</v>
      </c>
      <c r="CZ5677" s="35">
        <v>2.3091893285714288E-2</v>
      </c>
    </row>
    <row r="5678" spans="103:104" x14ac:dyDescent="0.3">
      <c r="CY5678" s="34" t="s">
        <v>6605</v>
      </c>
      <c r="CZ5678" s="35">
        <v>2.2478560000000002E-2</v>
      </c>
    </row>
    <row r="5679" spans="103:104" x14ac:dyDescent="0.3">
      <c r="CY5679" s="34" t="s">
        <v>6606</v>
      </c>
      <c r="CZ5679" s="35">
        <v>2.73134194E-2</v>
      </c>
    </row>
    <row r="5680" spans="103:104" x14ac:dyDescent="0.3">
      <c r="CY5680" s="34" t="s">
        <v>6607</v>
      </c>
      <c r="CZ5680" s="35">
        <v>2.73134264E-2</v>
      </c>
    </row>
    <row r="5681" spans="103:104" x14ac:dyDescent="0.3">
      <c r="CY5681" s="34" t="s">
        <v>6608</v>
      </c>
      <c r="CZ5681" s="35">
        <v>1.4228913600000002E-2</v>
      </c>
    </row>
    <row r="5682" spans="103:104" x14ac:dyDescent="0.3">
      <c r="CY5682" s="34" t="s">
        <v>6609</v>
      </c>
      <c r="CZ5682" s="35">
        <v>1.3768913600000002E-2</v>
      </c>
    </row>
    <row r="5683" spans="103:104" x14ac:dyDescent="0.3">
      <c r="CY5683" s="34" t="s">
        <v>6610</v>
      </c>
      <c r="CZ5683" s="35">
        <v>1.5437456E-2</v>
      </c>
    </row>
    <row r="5684" spans="103:104" x14ac:dyDescent="0.3">
      <c r="CY5684" s="34" t="s">
        <v>6611</v>
      </c>
      <c r="CZ5684" s="35">
        <v>1.5437456E-2</v>
      </c>
    </row>
    <row r="5685" spans="103:104" x14ac:dyDescent="0.3">
      <c r="CY5685" s="34" t="s">
        <v>6612</v>
      </c>
      <c r="CZ5685" s="35">
        <v>1.4977456E-2</v>
      </c>
    </row>
    <row r="5686" spans="103:104" x14ac:dyDescent="0.3">
      <c r="CY5686" s="34" t="s">
        <v>6613</v>
      </c>
      <c r="CZ5686" s="35">
        <v>1.6567754928571429E-2</v>
      </c>
    </row>
    <row r="5687" spans="103:104" x14ac:dyDescent="0.3">
      <c r="CY5687" s="34" t="s">
        <v>6614</v>
      </c>
      <c r="CZ5687" s="35">
        <v>1.5954421600000001E-2</v>
      </c>
    </row>
    <row r="5688" spans="103:104" x14ac:dyDescent="0.3">
      <c r="CY5688" s="34" t="s">
        <v>6615</v>
      </c>
      <c r="CZ5688" s="35">
        <v>1.6339422933333334E-2</v>
      </c>
    </row>
    <row r="5689" spans="103:104" x14ac:dyDescent="0.3">
      <c r="CY5689" s="34" t="s">
        <v>6616</v>
      </c>
      <c r="CZ5689" s="35">
        <v>0.13514949599999998</v>
      </c>
    </row>
    <row r="5690" spans="103:104" x14ac:dyDescent="0.3">
      <c r="CY5690" s="34" t="s">
        <v>6617</v>
      </c>
      <c r="CZ5690" s="35">
        <v>2.1746535999999997E-2</v>
      </c>
    </row>
    <row r="5691" spans="103:104" x14ac:dyDescent="0.3">
      <c r="CY5691" s="34" t="s">
        <v>6618</v>
      </c>
      <c r="CZ5691" s="35">
        <v>1.4236673299999999E-2</v>
      </c>
    </row>
    <row r="5692" spans="103:104" x14ac:dyDescent="0.3">
      <c r="CY5692" s="34" t="s">
        <v>6619</v>
      </c>
      <c r="CZ5692" s="35">
        <v>2.5518096000000001E-2</v>
      </c>
    </row>
    <row r="5693" spans="103:104" x14ac:dyDescent="0.3">
      <c r="CY5693" s="34" t="s">
        <v>6620</v>
      </c>
      <c r="CZ5693" s="35">
        <v>0.66341320000000004</v>
      </c>
    </row>
    <row r="5694" spans="103:104" x14ac:dyDescent="0.3">
      <c r="CY5694" s="34" t="s">
        <v>6621</v>
      </c>
      <c r="CZ5694" s="35">
        <v>4.8390880000000001E-3</v>
      </c>
    </row>
    <row r="5695" spans="103:104" x14ac:dyDescent="0.3">
      <c r="CY5695" s="34" t="s">
        <v>6622</v>
      </c>
      <c r="CZ5695" s="35">
        <v>7.6578953333333324E-2</v>
      </c>
    </row>
    <row r="5696" spans="103:104" x14ac:dyDescent="0.3">
      <c r="CY5696" s="34" t="s">
        <v>6623</v>
      </c>
      <c r="CZ5696" s="35">
        <v>1.5469568E-2</v>
      </c>
    </row>
    <row r="5697" spans="103:104" x14ac:dyDescent="0.3">
      <c r="CY5697" s="34" t="s">
        <v>6624</v>
      </c>
      <c r="CZ5697" s="35">
        <v>3.957426134E-2</v>
      </c>
    </row>
    <row r="5698" spans="103:104" x14ac:dyDescent="0.3">
      <c r="CY5698" s="34" t="s">
        <v>6625</v>
      </c>
      <c r="CZ5698" s="35">
        <v>4.1207931999999994E-3</v>
      </c>
    </row>
    <row r="5699" spans="103:104" x14ac:dyDescent="0.3">
      <c r="CY5699" s="34" t="s">
        <v>6626</v>
      </c>
      <c r="CZ5699" s="35">
        <v>2.0400320000000002E-3</v>
      </c>
    </row>
    <row r="5700" spans="103:104" x14ac:dyDescent="0.3">
      <c r="CY5700" s="34" t="s">
        <v>6627</v>
      </c>
      <c r="CZ5700" s="35">
        <v>8.0877696000000005E-4</v>
      </c>
    </row>
    <row r="5701" spans="103:104" x14ac:dyDescent="0.3">
      <c r="CY5701" s="34" t="s">
        <v>6628</v>
      </c>
      <c r="CZ5701" s="35">
        <v>2.6533968000000001E-4</v>
      </c>
    </row>
    <row r="5702" spans="103:104" x14ac:dyDescent="0.3">
      <c r="CY5702" s="34" t="s">
        <v>6629</v>
      </c>
      <c r="CZ5702" s="35">
        <v>6.9831786666666666E-4</v>
      </c>
    </row>
    <row r="5703" spans="103:104" x14ac:dyDescent="0.3">
      <c r="CY5703" s="34" t="s">
        <v>6630</v>
      </c>
      <c r="CZ5703" s="35">
        <v>8.280192E-4</v>
      </c>
    </row>
    <row r="5704" spans="103:104" x14ac:dyDescent="0.3">
      <c r="CY5704" s="34" t="s">
        <v>6631</v>
      </c>
      <c r="CZ5704" s="35">
        <v>0.20020135999999999</v>
      </c>
    </row>
    <row r="5705" spans="103:104" x14ac:dyDescent="0.3">
      <c r="CY5705" s="34" t="s">
        <v>6632</v>
      </c>
      <c r="CZ5705" s="35">
        <v>0.28445729999999997</v>
      </c>
    </row>
    <row r="5706" spans="103:104" x14ac:dyDescent="0.3">
      <c r="CY5706" s="34" t="s">
        <v>6633</v>
      </c>
      <c r="CZ5706" s="35">
        <v>2.4495834599999995E-2</v>
      </c>
    </row>
    <row r="5707" spans="103:104" x14ac:dyDescent="0.3">
      <c r="CY5707" s="34" t="s">
        <v>6634</v>
      </c>
      <c r="CZ5707" s="35">
        <v>2.3214450666666667E-2</v>
      </c>
    </row>
    <row r="5708" spans="103:104" x14ac:dyDescent="0.3">
      <c r="CY5708" s="34" t="s">
        <v>6635</v>
      </c>
      <c r="CZ5708" s="35">
        <v>3.5490527999999994E-3</v>
      </c>
    </row>
    <row r="5709" spans="103:104" x14ac:dyDescent="0.3">
      <c r="CY5709" s="34" t="s">
        <v>6636</v>
      </c>
      <c r="CZ5709" s="35">
        <v>2.2564257599999998E-2</v>
      </c>
    </row>
    <row r="5710" spans="103:104" x14ac:dyDescent="0.3">
      <c r="CY5710" s="34" t="s">
        <v>6637</v>
      </c>
      <c r="CZ5710" s="35">
        <v>1.37051932E-2</v>
      </c>
    </row>
    <row r="5711" spans="103:104" x14ac:dyDescent="0.3">
      <c r="CY5711" s="34" t="s">
        <v>6638</v>
      </c>
      <c r="CZ5711" s="35">
        <v>1.5728256000000003E-2</v>
      </c>
    </row>
    <row r="5712" spans="103:104" x14ac:dyDescent="0.3">
      <c r="CY5712" s="34" t="s">
        <v>6639</v>
      </c>
      <c r="CZ5712" s="35">
        <v>3.3158240000000005E-2</v>
      </c>
    </row>
    <row r="5713" spans="103:104" x14ac:dyDescent="0.3">
      <c r="CY5713" s="34" t="s">
        <v>6640</v>
      </c>
      <c r="CZ5713" s="35">
        <v>1.4674352E-2</v>
      </c>
    </row>
    <row r="5714" spans="103:104" x14ac:dyDescent="0.3">
      <c r="CY5714" s="34" t="s">
        <v>6641</v>
      </c>
      <c r="CZ5714" s="35">
        <v>1.4283405337500001E-2</v>
      </c>
    </row>
    <row r="5715" spans="103:104" x14ac:dyDescent="0.3">
      <c r="CY5715" s="34" t="s">
        <v>6642</v>
      </c>
      <c r="CZ5715" s="35">
        <v>0.12817423999999999</v>
      </c>
    </row>
    <row r="5716" spans="103:104" x14ac:dyDescent="0.3">
      <c r="CY5716" s="34" t="s">
        <v>6643</v>
      </c>
      <c r="CZ5716" s="35">
        <v>9.6405138823529427E-2</v>
      </c>
    </row>
    <row r="5717" spans="103:104" x14ac:dyDescent="0.3">
      <c r="CY5717" s="34" t="s">
        <v>6644</v>
      </c>
      <c r="CZ5717" s="35">
        <v>3.7460240000000006E-2</v>
      </c>
    </row>
    <row r="5718" spans="103:104" x14ac:dyDescent="0.3">
      <c r="CY5718" s="34" t="s">
        <v>6645</v>
      </c>
      <c r="CZ5718" s="35">
        <v>7.8541739999999999E-2</v>
      </c>
    </row>
    <row r="5719" spans="103:104" x14ac:dyDescent="0.3">
      <c r="CY5719" s="34" t="s">
        <v>6646</v>
      </c>
      <c r="CZ5719" s="35">
        <v>4.5138623999999997E-3</v>
      </c>
    </row>
    <row r="5720" spans="103:104" x14ac:dyDescent="0.3">
      <c r="CY5720" s="34" t="s">
        <v>6647</v>
      </c>
      <c r="CZ5720" s="35">
        <v>0.14610864000000001</v>
      </c>
    </row>
    <row r="5721" spans="103:104" x14ac:dyDescent="0.3">
      <c r="CY5721" s="34" t="s">
        <v>6648</v>
      </c>
      <c r="CZ5721" s="35">
        <v>0.30589119999999997</v>
      </c>
    </row>
    <row r="5722" spans="103:104" x14ac:dyDescent="0.3">
      <c r="CY5722" s="34" t="s">
        <v>6649</v>
      </c>
      <c r="CZ5722" s="35">
        <v>2.0148202000000001E-3</v>
      </c>
    </row>
    <row r="5723" spans="103:104" x14ac:dyDescent="0.3">
      <c r="CY5723" s="34" t="s">
        <v>6650</v>
      </c>
      <c r="CZ5723" s="35">
        <v>6.0146661333333341E-3</v>
      </c>
    </row>
    <row r="5724" spans="103:104" x14ac:dyDescent="0.3">
      <c r="CY5724" s="34" t="s">
        <v>6651</v>
      </c>
      <c r="CZ5724" s="35">
        <v>6.3345909000000001E-3</v>
      </c>
    </row>
    <row r="5725" spans="103:104" x14ac:dyDescent="0.3">
      <c r="CY5725" s="34" t="s">
        <v>6652</v>
      </c>
      <c r="CZ5725" s="35">
        <v>1.6889276E-3</v>
      </c>
    </row>
    <row r="5726" spans="103:104" x14ac:dyDescent="0.3">
      <c r="CY5726" s="34" t="s">
        <v>6653</v>
      </c>
      <c r="CZ5726" s="35">
        <v>2.0544102999999994E-2</v>
      </c>
    </row>
    <row r="5727" spans="103:104" x14ac:dyDescent="0.3">
      <c r="CY5727" s="34" t="s">
        <v>6654</v>
      </c>
      <c r="CZ5727" s="35">
        <v>0.116869428</v>
      </c>
    </row>
    <row r="5728" spans="103:104" x14ac:dyDescent="0.3">
      <c r="CY5728" s="34" t="s">
        <v>6655</v>
      </c>
      <c r="CZ5728" s="35">
        <v>7.1603688000000003E-4</v>
      </c>
    </row>
    <row r="5729" spans="103:104" x14ac:dyDescent="0.3">
      <c r="CY5729" s="34" t="s">
        <v>6656</v>
      </c>
      <c r="CZ5729" s="35">
        <v>0.1269304</v>
      </c>
    </row>
    <row r="5730" spans="103:104" x14ac:dyDescent="0.3">
      <c r="CY5730" s="34" t="s">
        <v>6657</v>
      </c>
      <c r="CZ5730" s="35">
        <v>0.11276164799999999</v>
      </c>
    </row>
    <row r="5731" spans="103:104" x14ac:dyDescent="0.3">
      <c r="CY5731" s="34" t="s">
        <v>6658</v>
      </c>
      <c r="CZ5731" s="35">
        <v>1.6638956272401435E-2</v>
      </c>
    </row>
    <row r="5732" spans="103:104" x14ac:dyDescent="0.3">
      <c r="CY5732" s="34" t="s">
        <v>6659</v>
      </c>
      <c r="CZ5732" s="35">
        <v>1.196112E-3</v>
      </c>
    </row>
    <row r="5733" spans="103:104" x14ac:dyDescent="0.3">
      <c r="CY5733" s="34" t="s">
        <v>6660</v>
      </c>
      <c r="CZ5733" s="35">
        <v>4.3583599999999999E-4</v>
      </c>
    </row>
    <row r="5734" spans="103:104" x14ac:dyDescent="0.3">
      <c r="CY5734" s="34" t="s">
        <v>6661</v>
      </c>
      <c r="CZ5734" s="35">
        <v>0.16156646857142859</v>
      </c>
    </row>
    <row r="5735" spans="103:104" x14ac:dyDescent="0.3">
      <c r="CY5735" s="34" t="s">
        <v>6662</v>
      </c>
      <c r="CZ5735" s="35">
        <v>1.8774743272727271E-2</v>
      </c>
    </row>
    <row r="5736" spans="103:104" x14ac:dyDescent="0.3">
      <c r="CY5736" s="34" t="s">
        <v>6663</v>
      </c>
      <c r="CZ5736" s="35">
        <v>2.0751122699999999E-2</v>
      </c>
    </row>
    <row r="5737" spans="103:104" x14ac:dyDescent="0.3">
      <c r="CY5737" s="34" t="s">
        <v>6664</v>
      </c>
      <c r="CZ5737" s="35">
        <v>2.3687466500000001E-3</v>
      </c>
    </row>
    <row r="5738" spans="103:104" x14ac:dyDescent="0.3">
      <c r="CY5738" s="34" t="s">
        <v>6665</v>
      </c>
      <c r="CZ5738" s="35">
        <v>3.70536E-3</v>
      </c>
    </row>
    <row r="5739" spans="103:104" x14ac:dyDescent="0.3">
      <c r="CY5739" s="34" t="s">
        <v>6666</v>
      </c>
      <c r="CZ5739" s="35">
        <v>3.1492723999999995E-3</v>
      </c>
    </row>
    <row r="5740" spans="103:104" x14ac:dyDescent="0.3">
      <c r="CY5740" s="34" t="s">
        <v>6667</v>
      </c>
      <c r="CZ5740" s="35">
        <v>2.4399539599999999E-2</v>
      </c>
    </row>
    <row r="5741" spans="103:104" x14ac:dyDescent="0.3">
      <c r="CY5741" s="34" t="s">
        <v>6668</v>
      </c>
      <c r="CZ5741" s="35">
        <v>0.1092776</v>
      </c>
    </row>
    <row r="5742" spans="103:104" x14ac:dyDescent="0.3">
      <c r="CY5742" s="34" t="s">
        <v>6669</v>
      </c>
      <c r="CZ5742" s="35">
        <v>0.1092776</v>
      </c>
    </row>
    <row r="5743" spans="103:104" x14ac:dyDescent="0.3">
      <c r="CY5743" s="34" t="s">
        <v>6670</v>
      </c>
      <c r="CZ5743" s="35">
        <v>7.7899055999999995E-4</v>
      </c>
    </row>
    <row r="5744" spans="103:104" x14ac:dyDescent="0.3">
      <c r="CY5744" s="34" t="s">
        <v>6671</v>
      </c>
      <c r="CZ5744" s="35">
        <v>1.5884031999999998E-3</v>
      </c>
    </row>
    <row r="5745" spans="103:104" x14ac:dyDescent="0.3">
      <c r="CY5745" s="34" t="s">
        <v>6672</v>
      </c>
      <c r="CZ5745" s="35">
        <v>1.1047912E-2</v>
      </c>
    </row>
    <row r="5746" spans="103:104" x14ac:dyDescent="0.3">
      <c r="CY5746" s="34" t="s">
        <v>6673</v>
      </c>
      <c r="CZ5746" s="35">
        <v>4.0257771999999997E-2</v>
      </c>
    </row>
    <row r="5747" spans="103:104" x14ac:dyDescent="0.3">
      <c r="CY5747" s="34" t="s">
        <v>6674</v>
      </c>
      <c r="CZ5747" s="35">
        <v>6.5473539999999997E-2</v>
      </c>
    </row>
    <row r="5748" spans="103:104" x14ac:dyDescent="0.3">
      <c r="CY5748" s="34" t="s">
        <v>6675</v>
      </c>
      <c r="CZ5748" s="35">
        <v>9.2337779999999994E-2</v>
      </c>
    </row>
    <row r="5749" spans="103:104" x14ac:dyDescent="0.3">
      <c r="CY5749" s="34" t="s">
        <v>6676</v>
      </c>
      <c r="CZ5749" s="35">
        <v>1.9695379999999998E-2</v>
      </c>
    </row>
    <row r="5750" spans="103:104" x14ac:dyDescent="0.3">
      <c r="CY5750" s="34" t="s">
        <v>6677</v>
      </c>
      <c r="CZ5750" s="35">
        <v>0.11152185519999999</v>
      </c>
    </row>
    <row r="5751" spans="103:104" x14ac:dyDescent="0.3">
      <c r="CY5751" s="34" t="s">
        <v>6678</v>
      </c>
      <c r="CZ5751" s="35">
        <v>7.0463892E-2</v>
      </c>
    </row>
    <row r="5752" spans="103:104" x14ac:dyDescent="0.3">
      <c r="CY5752" s="34" t="s">
        <v>6679</v>
      </c>
      <c r="CZ5752" s="35">
        <v>6.0033599999999999E-2</v>
      </c>
    </row>
    <row r="5753" spans="103:104" x14ac:dyDescent="0.3">
      <c r="CY5753" s="34" t="s">
        <v>6680</v>
      </c>
      <c r="CZ5753" s="35">
        <v>4.9692679199999999E-2</v>
      </c>
    </row>
    <row r="5754" spans="103:104" x14ac:dyDescent="0.3">
      <c r="CY5754" s="34" t="s">
        <v>6681</v>
      </c>
      <c r="CZ5754" s="35">
        <v>4.25385712E-2</v>
      </c>
    </row>
    <row r="5755" spans="103:104" x14ac:dyDescent="0.3">
      <c r="CY5755" s="34" t="s">
        <v>6682</v>
      </c>
      <c r="CZ5755" s="35">
        <v>3.5946084000000003E-2</v>
      </c>
    </row>
    <row r="5756" spans="103:104" x14ac:dyDescent="0.3">
      <c r="CY5756" s="34" t="s">
        <v>6683</v>
      </c>
      <c r="CZ5756" s="35">
        <v>1.7214715200000001E-2</v>
      </c>
    </row>
    <row r="5757" spans="103:104" x14ac:dyDescent="0.3">
      <c r="CY5757" s="34" t="s">
        <v>6684</v>
      </c>
      <c r="CZ5757" s="35">
        <v>1.4685904000000002E-3</v>
      </c>
    </row>
    <row r="5758" spans="103:104" x14ac:dyDescent="0.3">
      <c r="CY5758" s="34" t="s">
        <v>6685</v>
      </c>
      <c r="CZ5758" s="35">
        <v>2.1746536E-2</v>
      </c>
    </row>
    <row r="5759" spans="103:104" x14ac:dyDescent="0.3">
      <c r="CY5759" s="34" t="s">
        <v>6686</v>
      </c>
      <c r="CZ5759" s="35">
        <v>6.0973161299999997E-3</v>
      </c>
    </row>
    <row r="5760" spans="103:104" x14ac:dyDescent="0.3">
      <c r="CY5760" s="34" t="s">
        <v>6687</v>
      </c>
      <c r="CZ5760" s="35">
        <v>1.3165005866666668E-2</v>
      </c>
    </row>
    <row r="5761" spans="103:104" x14ac:dyDescent="0.3">
      <c r="CY5761" s="34" t="s">
        <v>6688</v>
      </c>
      <c r="CZ5761" s="35">
        <v>1.7599998399999997E-2</v>
      </c>
    </row>
    <row r="5762" spans="103:104" x14ac:dyDescent="0.3">
      <c r="CY5762" s="34" t="s">
        <v>6689</v>
      </c>
      <c r="CZ5762" s="35">
        <v>1.5276705141666668E-2</v>
      </c>
    </row>
    <row r="5763" spans="103:104" x14ac:dyDescent="0.3">
      <c r="CY5763" s="34" t="s">
        <v>6690</v>
      </c>
      <c r="CZ5763" s="35">
        <v>3.0200591999999999E-3</v>
      </c>
    </row>
    <row r="5764" spans="103:104" x14ac:dyDescent="0.3">
      <c r="CY5764" s="34" t="s">
        <v>6691</v>
      </c>
      <c r="CZ5764" s="35">
        <v>9.215866666666666E-3</v>
      </c>
    </row>
    <row r="5765" spans="103:104" x14ac:dyDescent="0.3">
      <c r="CY5765" s="34" t="s">
        <v>6692</v>
      </c>
      <c r="CZ5765" s="35">
        <v>3.2571839999999998E-3</v>
      </c>
    </row>
    <row r="5766" spans="103:104" x14ac:dyDescent="0.3">
      <c r="CY5766" s="34" t="s">
        <v>6693</v>
      </c>
      <c r="CZ5766" s="35">
        <v>4.0425488000000002E-2</v>
      </c>
    </row>
    <row r="5767" spans="103:104" x14ac:dyDescent="0.3">
      <c r="CY5767" s="34" t="s">
        <v>6694</v>
      </c>
      <c r="CZ5767" s="35">
        <v>0.15970957999999999</v>
      </c>
    </row>
    <row r="5768" spans="103:104" x14ac:dyDescent="0.3">
      <c r="CY5768" s="34" t="s">
        <v>6695</v>
      </c>
      <c r="CZ5768" s="35">
        <v>0.15970958000000002</v>
      </c>
    </row>
    <row r="5769" spans="103:104" x14ac:dyDescent="0.3">
      <c r="CY5769" s="34" t="s">
        <v>6696</v>
      </c>
      <c r="CZ5769" s="35">
        <v>0.13907805999999998</v>
      </c>
    </row>
    <row r="5770" spans="103:104" x14ac:dyDescent="0.3">
      <c r="CY5770" s="34" t="s">
        <v>6697</v>
      </c>
      <c r="CZ5770" s="35">
        <v>0.13907806</v>
      </c>
    </row>
    <row r="5771" spans="103:104" x14ac:dyDescent="0.3">
      <c r="CY5771" s="34" t="s">
        <v>6698</v>
      </c>
      <c r="CZ5771" s="35">
        <v>0.15812254000000001</v>
      </c>
    </row>
    <row r="5772" spans="103:104" x14ac:dyDescent="0.3">
      <c r="CY5772" s="34" t="s">
        <v>6699</v>
      </c>
      <c r="CZ5772" s="35">
        <v>0.15812253999999998</v>
      </c>
    </row>
    <row r="5773" spans="103:104" x14ac:dyDescent="0.3">
      <c r="CY5773" s="34" t="s">
        <v>6700</v>
      </c>
      <c r="CZ5773" s="35">
        <v>0.14860029999999996</v>
      </c>
    </row>
    <row r="5774" spans="103:104" x14ac:dyDescent="0.3">
      <c r="CY5774" s="34" t="s">
        <v>6701</v>
      </c>
      <c r="CZ5774" s="35">
        <v>0.14860029999999996</v>
      </c>
    </row>
    <row r="5775" spans="103:104" x14ac:dyDescent="0.3">
      <c r="CY5775" s="34" t="s">
        <v>6702</v>
      </c>
      <c r="CZ5775" s="35">
        <v>2.5646103999999999E-4</v>
      </c>
    </row>
    <row r="5776" spans="103:104" x14ac:dyDescent="0.3">
      <c r="CY5776" s="34" t="s">
        <v>6703</v>
      </c>
      <c r="CZ5776" s="35">
        <v>3.8155239999999998E-4</v>
      </c>
    </row>
    <row r="5777" spans="103:104" x14ac:dyDescent="0.3">
      <c r="CY5777" s="34" t="s">
        <v>6704</v>
      </c>
      <c r="CZ5777" s="35">
        <v>8.050227800000001E-4</v>
      </c>
    </row>
    <row r="5778" spans="103:104" x14ac:dyDescent="0.3">
      <c r="CY5778" s="34" t="s">
        <v>6705</v>
      </c>
      <c r="CZ5778" s="35">
        <v>1.3647008699999997E-3</v>
      </c>
    </row>
    <row r="5779" spans="103:104" x14ac:dyDescent="0.3">
      <c r="CY5779" s="34" t="s">
        <v>6706</v>
      </c>
      <c r="CZ5779" s="35">
        <v>2.9049786666666671E-3</v>
      </c>
    </row>
    <row r="5780" spans="103:104" x14ac:dyDescent="0.3">
      <c r="CY5780" s="34" t="s">
        <v>6707</v>
      </c>
      <c r="CZ5780" s="35">
        <v>2.0540656000000001E-3</v>
      </c>
    </row>
    <row r="5781" spans="103:104" x14ac:dyDescent="0.3">
      <c r="CY5781" s="34" t="s">
        <v>6708</v>
      </c>
      <c r="CZ5781" s="35">
        <v>8.1898335999999999E-3</v>
      </c>
    </row>
    <row r="5782" spans="103:104" x14ac:dyDescent="0.3">
      <c r="CY5782" s="34" t="s">
        <v>6709</v>
      </c>
      <c r="CZ5782" s="35">
        <v>1.2690047999999998E-3</v>
      </c>
    </row>
    <row r="5783" spans="103:104" x14ac:dyDescent="0.3">
      <c r="CY5783" s="34" t="s">
        <v>6710</v>
      </c>
      <c r="CZ5783" s="35">
        <v>1.8764480000000002E-3</v>
      </c>
    </row>
    <row r="5784" spans="103:104" x14ac:dyDescent="0.3">
      <c r="CY5784" s="34" t="s">
        <v>6711</v>
      </c>
      <c r="CZ5784" s="35">
        <v>6.6846340000000009E-3</v>
      </c>
    </row>
    <row r="5785" spans="103:104" x14ac:dyDescent="0.3">
      <c r="CY5785" s="34" t="s">
        <v>6712</v>
      </c>
      <c r="CZ5785" s="35">
        <v>4.5917748000000001E-2</v>
      </c>
    </row>
    <row r="5786" spans="103:104" x14ac:dyDescent="0.3">
      <c r="CY5786" s="34" t="s">
        <v>6713</v>
      </c>
      <c r="CZ5786" s="35">
        <v>2.3265930666666667E-2</v>
      </c>
    </row>
    <row r="5787" spans="103:104" x14ac:dyDescent="0.3">
      <c r="CY5787" s="34" t="s">
        <v>6714</v>
      </c>
      <c r="CZ5787" s="35">
        <v>2.3265930666666667E-2</v>
      </c>
    </row>
    <row r="5788" spans="103:104" x14ac:dyDescent="0.3">
      <c r="CY5788" s="34" t="s">
        <v>6715</v>
      </c>
      <c r="CZ5788" s="35">
        <v>0.46119620319999999</v>
      </c>
    </row>
    <row r="5789" spans="103:104" x14ac:dyDescent="0.3">
      <c r="CY5789" s="34" t="s">
        <v>6716</v>
      </c>
      <c r="CZ5789" s="35">
        <v>0.5115940000000001</v>
      </c>
    </row>
    <row r="5790" spans="103:104" x14ac:dyDescent="0.3">
      <c r="CY5790" s="34" t="s">
        <v>6717</v>
      </c>
      <c r="CZ5790" s="35">
        <v>8.6313755555555559E-4</v>
      </c>
    </row>
    <row r="5791" spans="103:104" x14ac:dyDescent="0.3">
      <c r="CY5791" s="34" t="s">
        <v>6718</v>
      </c>
      <c r="CZ5791" s="35">
        <v>1.2126859999999999E-3</v>
      </c>
    </row>
    <row r="5792" spans="103:104" x14ac:dyDescent="0.3">
      <c r="CY5792" s="34" t="s">
        <v>6719</v>
      </c>
      <c r="CZ5792" s="35">
        <v>2.2718092000000001E-3</v>
      </c>
    </row>
    <row r="5793" spans="103:104" x14ac:dyDescent="0.3">
      <c r="CY5793" s="34" t="s">
        <v>6720</v>
      </c>
      <c r="CZ5793" s="35">
        <v>0.26457384616000001</v>
      </c>
    </row>
    <row r="5794" spans="103:104" x14ac:dyDescent="0.3">
      <c r="CY5794" s="34" t="s">
        <v>6721</v>
      </c>
      <c r="CZ5794" s="35">
        <v>0.15970958000000002</v>
      </c>
    </row>
    <row r="5795" spans="103:104" x14ac:dyDescent="0.3">
      <c r="CY5795" s="34" t="s">
        <v>6722</v>
      </c>
      <c r="CZ5795" s="35">
        <v>0.13907805999999998</v>
      </c>
    </row>
    <row r="5796" spans="103:104" x14ac:dyDescent="0.3">
      <c r="CY5796" s="34" t="s">
        <v>6723</v>
      </c>
      <c r="CZ5796" s="35">
        <v>0.15812253999999998</v>
      </c>
    </row>
    <row r="5797" spans="103:104" x14ac:dyDescent="0.3">
      <c r="CY5797" s="34" t="s">
        <v>6724</v>
      </c>
      <c r="CZ5797" s="35">
        <v>0.15812254000000001</v>
      </c>
    </row>
    <row r="5798" spans="103:104" x14ac:dyDescent="0.3">
      <c r="CY5798" s="34" t="s">
        <v>6725</v>
      </c>
      <c r="CZ5798" s="35">
        <v>0.14860029999999996</v>
      </c>
    </row>
    <row r="5799" spans="103:104" x14ac:dyDescent="0.3">
      <c r="CY5799" s="34" t="s">
        <v>6726</v>
      </c>
      <c r="CZ5799" s="35">
        <v>0.14860029999999999</v>
      </c>
    </row>
    <row r="5800" spans="103:104" x14ac:dyDescent="0.3">
      <c r="CY5800" s="34" t="s">
        <v>6727</v>
      </c>
      <c r="CZ5800" s="35">
        <v>0.14860029999999996</v>
      </c>
    </row>
    <row r="5801" spans="103:104" x14ac:dyDescent="0.3">
      <c r="CY5801" s="34" t="s">
        <v>6728</v>
      </c>
      <c r="CZ5801" s="35">
        <v>5.3060783999999998E-3</v>
      </c>
    </row>
    <row r="5802" spans="103:104" x14ac:dyDescent="0.3">
      <c r="CY5802" s="34" t="s">
        <v>6729</v>
      </c>
      <c r="CZ5802" s="35">
        <v>3.7426408000000001E-2</v>
      </c>
    </row>
    <row r="5803" spans="103:104" x14ac:dyDescent="0.3">
      <c r="CY5803" s="34" t="s">
        <v>6730</v>
      </c>
      <c r="CZ5803" s="35">
        <v>1.7597312E-2</v>
      </c>
    </row>
    <row r="5804" spans="103:104" x14ac:dyDescent="0.3">
      <c r="CY5804" s="34" t="s">
        <v>6731</v>
      </c>
      <c r="CZ5804" s="35">
        <v>6.0820304000000006E-2</v>
      </c>
    </row>
    <row r="5805" spans="103:104" x14ac:dyDescent="0.3">
      <c r="CY5805" s="34" t="s">
        <v>6732</v>
      </c>
      <c r="CZ5805" s="35">
        <v>1.8204019999999998E-2</v>
      </c>
    </row>
    <row r="5806" spans="103:104" x14ac:dyDescent="0.3">
      <c r="CY5806" s="34" t="s">
        <v>6733</v>
      </c>
      <c r="CZ5806" s="35">
        <v>2.4055176000000004E-2</v>
      </c>
    </row>
    <row r="5807" spans="103:104" x14ac:dyDescent="0.3">
      <c r="CY5807" s="34" t="s">
        <v>6734</v>
      </c>
      <c r="CZ5807" s="35">
        <v>2.8790700799999996E-2</v>
      </c>
    </row>
    <row r="5808" spans="103:104" x14ac:dyDescent="0.3">
      <c r="CY5808" s="34" t="s">
        <v>6735</v>
      </c>
      <c r="CZ5808" s="35">
        <v>0.20043999999999998</v>
      </c>
    </row>
    <row r="5809" spans="103:104" x14ac:dyDescent="0.3">
      <c r="CY5809" s="34" t="s">
        <v>6736</v>
      </c>
      <c r="CZ5809" s="35">
        <v>0.19151679999999999</v>
      </c>
    </row>
    <row r="5810" spans="103:104" x14ac:dyDescent="0.3">
      <c r="CY5810" s="34" t="s">
        <v>6737</v>
      </c>
      <c r="CZ5810" s="35">
        <v>1.42409733325E-2</v>
      </c>
    </row>
    <row r="5811" spans="103:104" x14ac:dyDescent="0.3">
      <c r="CY5811" s="34" t="s">
        <v>6738</v>
      </c>
      <c r="CZ5811" s="35">
        <v>7.4759887999999997E-3</v>
      </c>
    </row>
    <row r="5812" spans="103:104" x14ac:dyDescent="0.3">
      <c r="CY5812" s="34" t="s">
        <v>6739</v>
      </c>
      <c r="CZ5812" s="35">
        <v>2.5050416000000002E-3</v>
      </c>
    </row>
    <row r="5813" spans="103:104" x14ac:dyDescent="0.3">
      <c r="CY5813" s="34" t="s">
        <v>6740</v>
      </c>
      <c r="CZ5813" s="35">
        <v>9.2117199999999996E-2</v>
      </c>
    </row>
    <row r="5814" spans="103:104" x14ac:dyDescent="0.3">
      <c r="CY5814" s="34" t="s">
        <v>6741</v>
      </c>
      <c r="CZ5814" s="35">
        <v>5.2498500000000003E-3</v>
      </c>
    </row>
    <row r="5815" spans="103:104" x14ac:dyDescent="0.3">
      <c r="CY5815" s="34" t="s">
        <v>6742</v>
      </c>
      <c r="CZ5815" s="35">
        <v>1.4117016E-3</v>
      </c>
    </row>
    <row r="5816" spans="103:104" x14ac:dyDescent="0.3">
      <c r="CY5816" s="34" t="s">
        <v>6743</v>
      </c>
      <c r="CZ5816" s="35">
        <v>9.2410799999999987E-4</v>
      </c>
    </row>
    <row r="5817" spans="103:104" x14ac:dyDescent="0.3">
      <c r="CY5817" s="34" t="s">
        <v>6744</v>
      </c>
      <c r="CZ5817" s="35">
        <v>3.1895920000000006E-3</v>
      </c>
    </row>
    <row r="5818" spans="103:104" x14ac:dyDescent="0.3">
      <c r="CY5818" s="34" t="s">
        <v>6745</v>
      </c>
      <c r="CZ5818" s="35">
        <v>1.5827150000000002E-2</v>
      </c>
    </row>
    <row r="5819" spans="103:104" x14ac:dyDescent="0.3">
      <c r="CY5819" s="34" t="s">
        <v>6746</v>
      </c>
      <c r="CZ5819" s="35">
        <v>2.5581985999999998E-2</v>
      </c>
    </row>
    <row r="5820" spans="103:104" x14ac:dyDescent="0.3">
      <c r="CY5820" s="34" t="s">
        <v>6747</v>
      </c>
      <c r="CZ5820" s="35">
        <v>1.589666E-2</v>
      </c>
    </row>
    <row r="5821" spans="103:104" x14ac:dyDescent="0.3">
      <c r="CY5821" s="34" t="s">
        <v>6748</v>
      </c>
      <c r="CZ5821" s="35">
        <v>1.589666E-2</v>
      </c>
    </row>
    <row r="5822" spans="103:104" x14ac:dyDescent="0.3">
      <c r="CY5822" s="34" t="s">
        <v>6749</v>
      </c>
      <c r="CZ5822" s="35">
        <v>8.0602160000000007E-4</v>
      </c>
    </row>
    <row r="5823" spans="103:104" x14ac:dyDescent="0.3">
      <c r="CY5823" s="34" t="s">
        <v>6750</v>
      </c>
      <c r="CZ5823" s="35">
        <v>5.1519599999999999E-4</v>
      </c>
    </row>
    <row r="5824" spans="103:104" x14ac:dyDescent="0.3">
      <c r="CY5824" s="34" t="s">
        <v>6751</v>
      </c>
      <c r="CZ5824" s="35">
        <v>2.0985200000000001E-4</v>
      </c>
    </row>
    <row r="5825" spans="103:104" x14ac:dyDescent="0.3">
      <c r="CY5825" s="34" t="s">
        <v>6752</v>
      </c>
      <c r="CZ5825" s="35">
        <v>1.462376E-3</v>
      </c>
    </row>
    <row r="5826" spans="103:104" x14ac:dyDescent="0.3">
      <c r="CY5826" s="34" t="s">
        <v>6753</v>
      </c>
      <c r="CZ5826" s="35">
        <v>1.2572530000000001E-3</v>
      </c>
    </row>
    <row r="5827" spans="103:104" x14ac:dyDescent="0.3">
      <c r="CY5827" s="34" t="s">
        <v>6754</v>
      </c>
      <c r="CZ5827" s="35">
        <v>2.6131946079999999E-2</v>
      </c>
    </row>
    <row r="5828" spans="103:104" x14ac:dyDescent="0.3">
      <c r="CY5828" s="34" t="s">
        <v>6755</v>
      </c>
      <c r="CZ5828" s="35">
        <v>5.5662575999999998E-2</v>
      </c>
    </row>
    <row r="5829" spans="103:104" x14ac:dyDescent="0.3">
      <c r="CY5829" s="34" t="s">
        <v>6756</v>
      </c>
      <c r="CZ5829" s="35">
        <v>0.12959348400000001</v>
      </c>
    </row>
    <row r="5830" spans="103:104" x14ac:dyDescent="0.3">
      <c r="CY5830" s="34" t="s">
        <v>6757</v>
      </c>
      <c r="CZ5830" s="35">
        <v>1.5237108000000001E-2</v>
      </c>
    </row>
    <row r="5831" spans="103:104" x14ac:dyDescent="0.3">
      <c r="CY5831" s="34" t="s">
        <v>6758</v>
      </c>
      <c r="CZ5831" s="35">
        <v>4.39698E-3</v>
      </c>
    </row>
    <row r="5832" spans="103:104" x14ac:dyDescent="0.3">
      <c r="CY5832" s="34" t="s">
        <v>6759</v>
      </c>
      <c r="CZ5832" s="35">
        <v>8.0864839999999997E-3</v>
      </c>
    </row>
    <row r="5833" spans="103:104" x14ac:dyDescent="0.3">
      <c r="CY5833" s="34" t="s">
        <v>6760</v>
      </c>
      <c r="CZ5833" s="35">
        <v>1.4354768E-2</v>
      </c>
    </row>
    <row r="5834" spans="103:104" x14ac:dyDescent="0.3">
      <c r="CY5834" s="34" t="s">
        <v>6761</v>
      </c>
      <c r="CZ5834" s="35">
        <v>4.7345348499999995E-3</v>
      </c>
    </row>
    <row r="5835" spans="103:104" x14ac:dyDescent="0.3">
      <c r="CY5835" s="34" t="s">
        <v>6762</v>
      </c>
      <c r="CZ5835" s="35">
        <v>1.3724111999999998E-2</v>
      </c>
    </row>
    <row r="5836" spans="103:104" x14ac:dyDescent="0.3">
      <c r="CY5836" s="34" t="s">
        <v>6763</v>
      </c>
      <c r="CZ5836" s="35">
        <v>3.8728068000000002E-3</v>
      </c>
    </row>
    <row r="5837" spans="103:104" x14ac:dyDescent="0.3">
      <c r="CY5837" s="34" t="s">
        <v>6764</v>
      </c>
      <c r="CZ5837" s="35">
        <v>0.15064921599999997</v>
      </c>
    </row>
    <row r="5838" spans="103:104" x14ac:dyDescent="0.3">
      <c r="CY5838" s="34" t="s">
        <v>6765</v>
      </c>
      <c r="CZ5838" s="35">
        <v>8.2688464E-3</v>
      </c>
    </row>
    <row r="5839" spans="103:104" x14ac:dyDescent="0.3">
      <c r="CY5839" s="34" t="s">
        <v>6766</v>
      </c>
      <c r="CZ5839" s="35">
        <v>9.3181440000000004E-3</v>
      </c>
    </row>
    <row r="5840" spans="103:104" x14ac:dyDescent="0.3">
      <c r="CY5840" s="34" t="s">
        <v>6767</v>
      </c>
      <c r="CZ5840" s="35">
        <v>1.27679488E-2</v>
      </c>
    </row>
    <row r="5841" spans="103:104" x14ac:dyDescent="0.3">
      <c r="CY5841" s="34" t="s">
        <v>6768</v>
      </c>
      <c r="CZ5841" s="35">
        <v>1.42772384E-2</v>
      </c>
    </row>
    <row r="5842" spans="103:104" x14ac:dyDescent="0.3">
      <c r="CY5842" s="34" t="s">
        <v>6769</v>
      </c>
      <c r="CZ5842" s="35">
        <v>2.6685808000000002E-2</v>
      </c>
    </row>
    <row r="5843" spans="103:104" x14ac:dyDescent="0.3">
      <c r="CY5843" s="34" t="s">
        <v>6770</v>
      </c>
      <c r="CZ5843" s="35">
        <v>1.2638631999999999E-2</v>
      </c>
    </row>
    <row r="5844" spans="103:104" x14ac:dyDescent="0.3">
      <c r="CY5844" s="34" t="s">
        <v>6771</v>
      </c>
      <c r="CZ5844" s="35">
        <v>4.3579999999999999E-3</v>
      </c>
    </row>
    <row r="5845" spans="103:104" x14ac:dyDescent="0.3">
      <c r="CY5845" s="34" t="s">
        <v>6772</v>
      </c>
      <c r="CZ5845" s="35">
        <v>9.6293871999999993E-4</v>
      </c>
    </row>
    <row r="5846" spans="103:104" x14ac:dyDescent="0.3">
      <c r="CY5846" s="34" t="s">
        <v>6773</v>
      </c>
      <c r="CZ5846" s="35">
        <v>3.3639760000000003E-3</v>
      </c>
    </row>
    <row r="5847" spans="103:104" x14ac:dyDescent="0.3">
      <c r="CY5847" s="34" t="s">
        <v>6774</v>
      </c>
      <c r="CZ5847" s="35">
        <v>2.5297160000000004E-4</v>
      </c>
    </row>
    <row r="5848" spans="103:104" x14ac:dyDescent="0.3">
      <c r="CY5848" s="34" t="s">
        <v>6775</v>
      </c>
      <c r="CZ5848" s="35">
        <v>1.8347053330000002E-2</v>
      </c>
    </row>
    <row r="5849" spans="103:104" x14ac:dyDescent="0.3">
      <c r="CY5849" s="34" t="s">
        <v>6776</v>
      </c>
      <c r="CZ5849" s="35">
        <v>5.1911013299999996E-3</v>
      </c>
    </row>
    <row r="5850" spans="103:104" x14ac:dyDescent="0.3">
      <c r="CY5850" s="34" t="s">
        <v>6777</v>
      </c>
      <c r="CZ5850" s="35">
        <v>6.0182686800000001E-3</v>
      </c>
    </row>
    <row r="5851" spans="103:104" x14ac:dyDescent="0.3">
      <c r="CY5851" s="34" t="s">
        <v>6778</v>
      </c>
      <c r="CZ5851" s="35">
        <v>6.4085279999999997E-4</v>
      </c>
    </row>
    <row r="5852" spans="103:104" x14ac:dyDescent="0.3">
      <c r="CY5852" s="34" t="s">
        <v>6779</v>
      </c>
      <c r="CZ5852" s="35">
        <v>4.3277919999999996E-4</v>
      </c>
    </row>
    <row r="5853" spans="103:104" x14ac:dyDescent="0.3">
      <c r="CY5853" s="34" t="s">
        <v>6780</v>
      </c>
      <c r="CZ5853" s="35">
        <v>2.1920351999999998E-3</v>
      </c>
    </row>
    <row r="5854" spans="103:104" x14ac:dyDescent="0.3">
      <c r="CY5854" s="34" t="s">
        <v>6781</v>
      </c>
      <c r="CZ5854" s="35">
        <v>3.0156240000000004E-4</v>
      </c>
    </row>
    <row r="5855" spans="103:104" x14ac:dyDescent="0.3">
      <c r="CY5855" s="34" t="s">
        <v>6782</v>
      </c>
      <c r="CZ5855" s="35">
        <v>5.1600814400000004E-3</v>
      </c>
    </row>
    <row r="5856" spans="103:104" x14ac:dyDescent="0.3">
      <c r="CY5856" s="34" t="s">
        <v>6783</v>
      </c>
      <c r="CZ5856" s="35">
        <v>1.8545069511111112E-3</v>
      </c>
    </row>
    <row r="5857" spans="103:104" x14ac:dyDescent="0.3">
      <c r="CY5857" s="34" t="s">
        <v>6784</v>
      </c>
      <c r="CZ5857" s="35">
        <v>5.8434239999999988E-4</v>
      </c>
    </row>
    <row r="5858" spans="103:104" x14ac:dyDescent="0.3">
      <c r="CY5858" s="34" t="s">
        <v>6785</v>
      </c>
      <c r="CZ5858" s="35">
        <v>1.8281935999999999E-3</v>
      </c>
    </row>
    <row r="5859" spans="103:104" x14ac:dyDescent="0.3">
      <c r="CY5859" s="34" t="s">
        <v>6786</v>
      </c>
      <c r="CZ5859" s="35">
        <v>8.0439640000000007E-3</v>
      </c>
    </row>
    <row r="5860" spans="103:104" x14ac:dyDescent="0.3">
      <c r="CY5860" s="34" t="s">
        <v>6787</v>
      </c>
      <c r="CZ5860" s="35">
        <v>0.14327096665</v>
      </c>
    </row>
    <row r="5861" spans="103:104" x14ac:dyDescent="0.3">
      <c r="CY5861" s="34" t="s">
        <v>6788</v>
      </c>
      <c r="CZ5861" s="35">
        <v>0.11106365307692308</v>
      </c>
    </row>
    <row r="5862" spans="103:104" x14ac:dyDescent="0.3">
      <c r="CY5862" s="34" t="s">
        <v>6789</v>
      </c>
      <c r="CZ5862" s="35">
        <v>2.1047679999999999E-2</v>
      </c>
    </row>
    <row r="5863" spans="103:104" x14ac:dyDescent="0.3">
      <c r="CY5863" s="34" t="s">
        <v>6790</v>
      </c>
      <c r="CZ5863" s="35">
        <v>0.13581309360000002</v>
      </c>
    </row>
    <row r="5864" spans="103:104" x14ac:dyDescent="0.3">
      <c r="CY5864" s="34" t="s">
        <v>6791</v>
      </c>
      <c r="CZ5864" s="35">
        <v>7.7035439999999983E-2</v>
      </c>
    </row>
    <row r="5865" spans="103:104" x14ac:dyDescent="0.3">
      <c r="CY5865" s="34" t="s">
        <v>6792</v>
      </c>
      <c r="CZ5865" s="35">
        <v>1.077796592E-2</v>
      </c>
    </row>
    <row r="5866" spans="103:104" x14ac:dyDescent="0.3">
      <c r="CY5866" s="34" t="s">
        <v>6793</v>
      </c>
      <c r="CZ5866" s="35">
        <v>1.2672732000000001E-2</v>
      </c>
    </row>
    <row r="5867" spans="103:104" x14ac:dyDescent="0.3">
      <c r="CY5867" s="34" t="s">
        <v>6794</v>
      </c>
      <c r="CZ5867" s="35">
        <v>0.10676886399999999</v>
      </c>
    </row>
    <row r="5868" spans="103:104" x14ac:dyDescent="0.3">
      <c r="CY5868" s="34" t="s">
        <v>6795</v>
      </c>
      <c r="CZ5868" s="35">
        <v>2.9750517300000005E-2</v>
      </c>
    </row>
    <row r="5869" spans="103:104" x14ac:dyDescent="0.3">
      <c r="CY5869" s="34" t="s">
        <v>6796</v>
      </c>
      <c r="CZ5869" s="35">
        <v>1.1443007999999999E-2</v>
      </c>
    </row>
    <row r="5870" spans="103:104" x14ac:dyDescent="0.3">
      <c r="CY5870" s="34" t="s">
        <v>6797</v>
      </c>
      <c r="CZ5870" s="35">
        <v>9.1605760000000001E-3</v>
      </c>
    </row>
    <row r="5871" spans="103:104" x14ac:dyDescent="0.3">
      <c r="CY5871" s="34" t="s">
        <v>6798</v>
      </c>
      <c r="CZ5871" s="35">
        <v>1.0059656E-2</v>
      </c>
    </row>
    <row r="5872" spans="103:104" x14ac:dyDescent="0.3">
      <c r="CY5872" s="34" t="s">
        <v>6799</v>
      </c>
      <c r="CZ5872" s="35">
        <v>1.2496895999999999E-2</v>
      </c>
    </row>
    <row r="5873" spans="103:104" x14ac:dyDescent="0.3">
      <c r="CY5873" s="34" t="s">
        <v>6800</v>
      </c>
      <c r="CZ5873" s="35">
        <v>1.2496895999999999E-2</v>
      </c>
    </row>
    <row r="5874" spans="103:104" x14ac:dyDescent="0.3">
      <c r="CY5874" s="34" t="s">
        <v>6801</v>
      </c>
      <c r="CZ5874" s="35">
        <v>1.39998E-2</v>
      </c>
    </row>
    <row r="5875" spans="103:104" x14ac:dyDescent="0.3">
      <c r="CY5875" s="34" t="s">
        <v>6802</v>
      </c>
      <c r="CZ5875" s="35">
        <v>1.5610656000000001E-2</v>
      </c>
    </row>
    <row r="5876" spans="103:104" x14ac:dyDescent="0.3">
      <c r="CY5876" s="34" t="s">
        <v>6803</v>
      </c>
      <c r="CZ5876" s="35">
        <v>1.5750848000000001E-2</v>
      </c>
    </row>
    <row r="5877" spans="103:104" x14ac:dyDescent="0.3">
      <c r="CY5877" s="34" t="s">
        <v>6804</v>
      </c>
      <c r="CZ5877" s="35">
        <v>1.5420960000000001E-2</v>
      </c>
    </row>
    <row r="5878" spans="103:104" x14ac:dyDescent="0.3">
      <c r="CY5878" s="34" t="s">
        <v>6805</v>
      </c>
      <c r="CZ5878" s="35">
        <v>1.8060064000000001E-2</v>
      </c>
    </row>
    <row r="5879" spans="103:104" x14ac:dyDescent="0.3">
      <c r="CY5879" s="34" t="s">
        <v>6806</v>
      </c>
      <c r="CZ5879" s="35">
        <v>1.7400288E-2</v>
      </c>
    </row>
    <row r="5880" spans="103:104" x14ac:dyDescent="0.3">
      <c r="CY5880" s="34" t="s">
        <v>6807</v>
      </c>
      <c r="CZ5880" s="35">
        <v>2.0456084210526318E-2</v>
      </c>
    </row>
    <row r="5881" spans="103:104" x14ac:dyDescent="0.3">
      <c r="CY5881" s="34" t="s">
        <v>6808</v>
      </c>
      <c r="CZ5881" s="35">
        <v>2.2576160000000001E-2</v>
      </c>
    </row>
    <row r="5882" spans="103:104" x14ac:dyDescent="0.3">
      <c r="CY5882" s="34" t="s">
        <v>6809</v>
      </c>
      <c r="CZ5882" s="35">
        <v>2.3204736E-2</v>
      </c>
    </row>
    <row r="5883" spans="103:104" x14ac:dyDescent="0.3">
      <c r="CY5883" s="34" t="s">
        <v>6810</v>
      </c>
      <c r="CZ5883" s="35">
        <v>2.2831217391304351E-2</v>
      </c>
    </row>
    <row r="5884" spans="103:104" x14ac:dyDescent="0.3">
      <c r="CY5884" s="34" t="s">
        <v>6811</v>
      </c>
      <c r="CZ5884" s="35">
        <v>1.9433280000000001E-2</v>
      </c>
    </row>
    <row r="5885" spans="103:104" x14ac:dyDescent="0.3">
      <c r="CY5885" s="34" t="s">
        <v>6812</v>
      </c>
      <c r="CZ5885" s="35">
        <v>2.3563583999999999E-2</v>
      </c>
    </row>
    <row r="5886" spans="103:104" x14ac:dyDescent="0.3">
      <c r="CY5886" s="34" t="s">
        <v>6813</v>
      </c>
      <c r="CZ5886" s="35">
        <v>2.9880575999999999E-2</v>
      </c>
    </row>
    <row r="5887" spans="103:104" x14ac:dyDescent="0.3">
      <c r="CY5887" s="34" t="s">
        <v>6814</v>
      </c>
      <c r="CZ5887" s="35">
        <v>2.2066560000000002E-2</v>
      </c>
    </row>
    <row r="5888" spans="103:104" x14ac:dyDescent="0.3">
      <c r="CY5888" s="34" t="s">
        <v>6815</v>
      </c>
      <c r="CZ5888" s="35">
        <v>2.4361804799999998E-2</v>
      </c>
    </row>
    <row r="5889" spans="103:104" x14ac:dyDescent="0.3">
      <c r="CY5889" s="34" t="s">
        <v>6816</v>
      </c>
      <c r="CZ5889" s="35">
        <v>2.3809190400000003E-2</v>
      </c>
    </row>
    <row r="5890" spans="103:104" x14ac:dyDescent="0.3">
      <c r="CY5890" s="34" t="s">
        <v>6817</v>
      </c>
      <c r="CZ5890" s="35">
        <v>1.3796979999999999E-3</v>
      </c>
    </row>
    <row r="5891" spans="103:104" x14ac:dyDescent="0.3">
      <c r="CY5891" s="34" t="s">
        <v>6818</v>
      </c>
      <c r="CZ5891" s="35">
        <v>6.3432916000000002E-3</v>
      </c>
    </row>
    <row r="5892" spans="103:104" x14ac:dyDescent="0.3">
      <c r="CY5892" s="34" t="s">
        <v>6819</v>
      </c>
      <c r="CZ5892" s="35">
        <v>4.2427399999999992E-3</v>
      </c>
    </row>
    <row r="5893" spans="103:104" x14ac:dyDescent="0.3">
      <c r="CY5893" s="34" t="s">
        <v>6820</v>
      </c>
      <c r="CZ5893" s="35">
        <v>0.10716975233766234</v>
      </c>
    </row>
    <row r="5894" spans="103:104" x14ac:dyDescent="0.3">
      <c r="CY5894" s="34" t="s">
        <v>6821</v>
      </c>
      <c r="CZ5894" s="35">
        <v>8.9946239999999983E-2</v>
      </c>
    </row>
    <row r="5895" spans="103:104" x14ac:dyDescent="0.3">
      <c r="CY5895" s="34" t="s">
        <v>6822</v>
      </c>
      <c r="CZ5895" s="35">
        <v>2.4558067200000002E-3</v>
      </c>
    </row>
    <row r="5896" spans="103:104" x14ac:dyDescent="0.3">
      <c r="CY5896" s="34" t="s">
        <v>6823</v>
      </c>
      <c r="CZ5896" s="35">
        <v>0</v>
      </c>
    </row>
    <row r="5897" spans="103:104" x14ac:dyDescent="0.3">
      <c r="CY5897" s="34" t="s">
        <v>6824</v>
      </c>
      <c r="CZ5897" s="35">
        <v>2.47E-2</v>
      </c>
    </row>
    <row r="5898" spans="103:104" x14ac:dyDescent="0.3">
      <c r="CY5898" s="34" t="s">
        <v>6825</v>
      </c>
      <c r="CZ5898" s="35">
        <v>1.0150564E-3</v>
      </c>
    </row>
    <row r="5899" spans="103:104" x14ac:dyDescent="0.3">
      <c r="CY5899" s="34" t="s">
        <v>6826</v>
      </c>
      <c r="CZ5899" s="35">
        <v>3.3769023999999995E-2</v>
      </c>
    </row>
    <row r="5900" spans="103:104" x14ac:dyDescent="0.3">
      <c r="CY5900" s="34" t="s">
        <v>6827</v>
      </c>
      <c r="CZ5900" s="35">
        <v>2.3102507880000001E-2</v>
      </c>
    </row>
    <row r="5901" spans="103:104" x14ac:dyDescent="0.3">
      <c r="CY5901" s="34" t="s">
        <v>6828</v>
      </c>
      <c r="CZ5901" s="35">
        <v>2.4180416920000003E-2</v>
      </c>
    </row>
    <row r="5902" spans="103:104" x14ac:dyDescent="0.3">
      <c r="CY5902" s="34" t="s">
        <v>6829</v>
      </c>
      <c r="CZ5902" s="35">
        <v>3.0470144000000001E-2</v>
      </c>
    </row>
    <row r="5903" spans="103:104" x14ac:dyDescent="0.3">
      <c r="CY5903" s="34" t="s">
        <v>6830</v>
      </c>
      <c r="CZ5903" s="35">
        <v>3.7268831999999995E-2</v>
      </c>
    </row>
    <row r="5904" spans="103:104" x14ac:dyDescent="0.3">
      <c r="CY5904" s="34" t="s">
        <v>6831</v>
      </c>
      <c r="CZ5904" s="35">
        <v>3.7268831999999995E-2</v>
      </c>
    </row>
    <row r="5905" spans="103:104" x14ac:dyDescent="0.3">
      <c r="CY5905" s="34" t="s">
        <v>6832</v>
      </c>
      <c r="CZ5905" s="35">
        <v>3.9815999999999997E-2</v>
      </c>
    </row>
    <row r="5906" spans="103:104" x14ac:dyDescent="0.3">
      <c r="CY5906" s="34" t="s">
        <v>6833</v>
      </c>
      <c r="CZ5906" s="35">
        <v>4.0123007999999995E-2</v>
      </c>
    </row>
    <row r="5907" spans="103:104" x14ac:dyDescent="0.3">
      <c r="CY5907" s="34" t="s">
        <v>6834</v>
      </c>
      <c r="CZ5907" s="35">
        <v>4.0123007999999995E-2</v>
      </c>
    </row>
    <row r="5908" spans="103:104" x14ac:dyDescent="0.3">
      <c r="CY5908" s="34" t="s">
        <v>6835</v>
      </c>
      <c r="CZ5908" s="35">
        <v>4.0123007999999995E-2</v>
      </c>
    </row>
    <row r="5909" spans="103:104" x14ac:dyDescent="0.3">
      <c r="CY5909" s="34" t="s">
        <v>6836</v>
      </c>
      <c r="CZ5909" s="35">
        <v>4.0123007999999995E-2</v>
      </c>
    </row>
    <row r="5910" spans="103:104" x14ac:dyDescent="0.3">
      <c r="CY5910" s="34" t="s">
        <v>6837</v>
      </c>
      <c r="CZ5910" s="35">
        <v>2.9684736E-2</v>
      </c>
    </row>
    <row r="5911" spans="103:104" x14ac:dyDescent="0.3">
      <c r="CY5911" s="34" t="s">
        <v>6838</v>
      </c>
      <c r="CZ5911" s="35">
        <v>2.9684736E-2</v>
      </c>
    </row>
    <row r="5912" spans="103:104" x14ac:dyDescent="0.3">
      <c r="CY5912" s="34" t="s">
        <v>6839</v>
      </c>
      <c r="CZ5912" s="35">
        <v>2.9684736E-2</v>
      </c>
    </row>
    <row r="5913" spans="103:104" x14ac:dyDescent="0.3">
      <c r="CY5913" s="34" t="s">
        <v>6840</v>
      </c>
      <c r="CZ5913" s="35">
        <v>2.9684736E-2</v>
      </c>
    </row>
    <row r="5914" spans="103:104" x14ac:dyDescent="0.3">
      <c r="CY5914" s="34" t="s">
        <v>6841</v>
      </c>
      <c r="CZ5914" s="35">
        <v>4.1965055999999994E-2</v>
      </c>
    </row>
    <row r="5915" spans="103:104" x14ac:dyDescent="0.3">
      <c r="CY5915" s="34" t="s">
        <v>6842</v>
      </c>
      <c r="CZ5915" s="35">
        <v>4.1965055999999994E-2</v>
      </c>
    </row>
    <row r="5916" spans="103:104" x14ac:dyDescent="0.3">
      <c r="CY5916" s="34" t="s">
        <v>6843</v>
      </c>
      <c r="CZ5916" s="35">
        <v>4.4699030051813471E-2</v>
      </c>
    </row>
    <row r="5917" spans="103:104" x14ac:dyDescent="0.3">
      <c r="CY5917" s="34" t="s">
        <v>6844</v>
      </c>
      <c r="CZ5917" s="35">
        <v>4.6078963199999996E-2</v>
      </c>
    </row>
    <row r="5918" spans="103:104" x14ac:dyDescent="0.3">
      <c r="CY5918" s="34" t="s">
        <v>6845</v>
      </c>
      <c r="CZ5918" s="35">
        <v>4.2292655999999998E-2</v>
      </c>
    </row>
    <row r="5919" spans="103:104" x14ac:dyDescent="0.3">
      <c r="CY5919" s="34" t="s">
        <v>6846</v>
      </c>
      <c r="CZ5919" s="35">
        <v>4.3853903999999999E-2</v>
      </c>
    </row>
    <row r="5920" spans="103:104" x14ac:dyDescent="0.3">
      <c r="CY5920" s="34" t="s">
        <v>6847</v>
      </c>
      <c r="CZ5920" s="35">
        <v>5.1399935999999993E-2</v>
      </c>
    </row>
    <row r="5921" spans="103:104" x14ac:dyDescent="0.3">
      <c r="CY5921" s="34" t="s">
        <v>6848</v>
      </c>
      <c r="CZ5921" s="35">
        <v>5.1399935999999993E-2</v>
      </c>
    </row>
    <row r="5922" spans="103:104" x14ac:dyDescent="0.3">
      <c r="CY5922" s="34" t="s">
        <v>6849</v>
      </c>
      <c r="CZ5922" s="35">
        <v>4.9578480000000001E-2</v>
      </c>
    </row>
    <row r="5923" spans="103:104" x14ac:dyDescent="0.3">
      <c r="CY5923" s="34" t="s">
        <v>6850</v>
      </c>
      <c r="CZ5923" s="35">
        <v>5.9212509300000001E-2</v>
      </c>
    </row>
    <row r="5924" spans="103:104" x14ac:dyDescent="0.3">
      <c r="CY5924" s="34" t="s">
        <v>6851</v>
      </c>
      <c r="CZ5924" s="35">
        <v>2.3324128E-2</v>
      </c>
    </row>
    <row r="5925" spans="103:104" x14ac:dyDescent="0.3">
      <c r="CY5925" s="34" t="s">
        <v>6852</v>
      </c>
      <c r="CZ5925" s="35">
        <v>1.0478968E-2</v>
      </c>
    </row>
    <row r="5926" spans="103:104" x14ac:dyDescent="0.3">
      <c r="CY5926" s="34" t="s">
        <v>6853</v>
      </c>
      <c r="CZ5926" s="35">
        <v>1.0478968000000002E-2</v>
      </c>
    </row>
    <row r="5927" spans="103:104" x14ac:dyDescent="0.3">
      <c r="CY5927" s="34" t="s">
        <v>6854</v>
      </c>
      <c r="CZ5927" s="35">
        <v>6.1754896000000004E-3</v>
      </c>
    </row>
    <row r="5928" spans="103:104" x14ac:dyDescent="0.3">
      <c r="CY5928" s="34" t="s">
        <v>6855</v>
      </c>
      <c r="CZ5928" s="35">
        <v>6.1754895999999995E-3</v>
      </c>
    </row>
    <row r="5929" spans="103:104" x14ac:dyDescent="0.3">
      <c r="CY5929" s="34" t="s">
        <v>6856</v>
      </c>
      <c r="CZ5929" s="35">
        <v>2.5256411200000006E-2</v>
      </c>
    </row>
    <row r="5930" spans="103:104" x14ac:dyDescent="0.3">
      <c r="CY5930" s="34" t="s">
        <v>6857</v>
      </c>
      <c r="CZ5930" s="35">
        <v>7.4301200000000001E-3</v>
      </c>
    </row>
    <row r="5931" spans="103:104" x14ac:dyDescent="0.3">
      <c r="CY5931" s="34" t="s">
        <v>6858</v>
      </c>
      <c r="CZ5931" s="35">
        <v>1.3925319999999999E-3</v>
      </c>
    </row>
    <row r="5932" spans="103:104" x14ac:dyDescent="0.3">
      <c r="CY5932" s="34" t="s">
        <v>6859</v>
      </c>
      <c r="CZ5932" s="35">
        <v>8.8285119999999984E-3</v>
      </c>
    </row>
    <row r="5933" spans="103:104" x14ac:dyDescent="0.3">
      <c r="CY5933" s="34" t="s">
        <v>6860</v>
      </c>
      <c r="CZ5933" s="35">
        <v>1.4158417999999999E-2</v>
      </c>
    </row>
    <row r="5934" spans="103:104" x14ac:dyDescent="0.3">
      <c r="CY5934" s="34" t="s">
        <v>6861</v>
      </c>
      <c r="CZ5934" s="35">
        <v>2.0003426000000001E-2</v>
      </c>
    </row>
    <row r="5935" spans="103:104" x14ac:dyDescent="0.3">
      <c r="CY5935" s="34" t="s">
        <v>6862</v>
      </c>
      <c r="CZ5935" s="35">
        <v>3.2013058399999995E-2</v>
      </c>
    </row>
    <row r="5936" spans="103:104" x14ac:dyDescent="0.3">
      <c r="CY5936" s="34" t="s">
        <v>6863</v>
      </c>
      <c r="CZ5936" s="35">
        <v>1.1915248533333333E-3</v>
      </c>
    </row>
    <row r="5937" spans="103:104" x14ac:dyDescent="0.3">
      <c r="CY5937" s="34" t="s">
        <v>6864</v>
      </c>
      <c r="CZ5937" s="35">
        <v>0.11233019999999999</v>
      </c>
    </row>
    <row r="5938" spans="103:104" x14ac:dyDescent="0.3">
      <c r="CY5938" s="34" t="s">
        <v>6865</v>
      </c>
      <c r="CZ5938" s="35">
        <v>5.4078994291666661E-2</v>
      </c>
    </row>
    <row r="5939" spans="103:104" x14ac:dyDescent="0.3">
      <c r="CY5939" s="34" t="s">
        <v>6866</v>
      </c>
      <c r="CZ5939" s="35">
        <v>7.7741894399999997E-2</v>
      </c>
    </row>
    <row r="5940" spans="103:104" x14ac:dyDescent="0.3">
      <c r="CY5940" s="34" t="s">
        <v>6867</v>
      </c>
      <c r="CZ5940" s="35">
        <v>8.3078639999999994E-4</v>
      </c>
    </row>
    <row r="5941" spans="103:104" x14ac:dyDescent="0.3">
      <c r="CY5941" s="34" t="s">
        <v>6868</v>
      </c>
      <c r="CZ5941" s="35">
        <v>0.27765679999999993</v>
      </c>
    </row>
    <row r="5942" spans="103:104" x14ac:dyDescent="0.3">
      <c r="CY5942" s="34" t="s">
        <v>6869</v>
      </c>
      <c r="CZ5942" s="35">
        <v>4.6461519999999997E-3</v>
      </c>
    </row>
    <row r="5943" spans="103:104" x14ac:dyDescent="0.3">
      <c r="CY5943" s="34" t="s">
        <v>6870</v>
      </c>
      <c r="CZ5943" s="35">
        <v>2.0125331999999999E-2</v>
      </c>
    </row>
    <row r="5944" spans="103:104" x14ac:dyDescent="0.3">
      <c r="CY5944" s="34" t="s">
        <v>6871</v>
      </c>
      <c r="CZ5944" s="35">
        <v>2.0125331999999999E-2</v>
      </c>
    </row>
    <row r="5945" spans="103:104" x14ac:dyDescent="0.3">
      <c r="CY5945" s="34" t="s">
        <v>6872</v>
      </c>
      <c r="CZ5945" s="35">
        <v>3.1120690909090912E-4</v>
      </c>
    </row>
    <row r="5946" spans="103:104" x14ac:dyDescent="0.3">
      <c r="CY5946" s="34" t="s">
        <v>6873</v>
      </c>
      <c r="CZ5946" s="35">
        <v>1.3416048457142859E-3</v>
      </c>
    </row>
    <row r="5947" spans="103:104" x14ac:dyDescent="0.3">
      <c r="CY5947" s="34" t="s">
        <v>6874</v>
      </c>
      <c r="CZ5947" s="35">
        <v>3.3699188571428574E-4</v>
      </c>
    </row>
    <row r="5948" spans="103:104" x14ac:dyDescent="0.3">
      <c r="CY5948" s="34" t="s">
        <v>6875</v>
      </c>
      <c r="CZ5948" s="35">
        <v>5.7837440000000004E-3</v>
      </c>
    </row>
    <row r="5949" spans="103:104" x14ac:dyDescent="0.3">
      <c r="CY5949" s="34" t="s">
        <v>6876</v>
      </c>
      <c r="CZ5949" s="35">
        <v>2.7882102857142857E-3</v>
      </c>
    </row>
    <row r="5950" spans="103:104" x14ac:dyDescent="0.3">
      <c r="CY5950" s="34" t="s">
        <v>6877</v>
      </c>
      <c r="CZ5950" s="35">
        <v>2.3918638769230773E-3</v>
      </c>
    </row>
    <row r="5951" spans="103:104" x14ac:dyDescent="0.3">
      <c r="CY5951" s="34" t="s">
        <v>6878</v>
      </c>
      <c r="CZ5951" s="35">
        <v>3.5615746666666664E-3</v>
      </c>
    </row>
    <row r="5952" spans="103:104" x14ac:dyDescent="0.3">
      <c r="CY5952" s="34" t="s">
        <v>6879</v>
      </c>
      <c r="CZ5952" s="35">
        <v>3.5615746666666668E-3</v>
      </c>
    </row>
    <row r="5953" spans="103:104" x14ac:dyDescent="0.3">
      <c r="CY5953" s="34" t="s">
        <v>6880</v>
      </c>
      <c r="CZ5953" s="35">
        <v>4.4660733250000001E-3</v>
      </c>
    </row>
    <row r="5954" spans="103:104" x14ac:dyDescent="0.3">
      <c r="CY5954" s="34" t="s">
        <v>6881</v>
      </c>
      <c r="CZ5954" s="35">
        <v>2.5466658E-2</v>
      </c>
    </row>
    <row r="5955" spans="103:104" x14ac:dyDescent="0.3">
      <c r="CY5955" s="34" t="s">
        <v>6882</v>
      </c>
      <c r="CZ5955" s="35">
        <v>1.2115629325000002E-2</v>
      </c>
    </row>
    <row r="5956" spans="103:104" x14ac:dyDescent="0.3">
      <c r="CY5956" s="34" t="s">
        <v>6883</v>
      </c>
      <c r="CZ5956" s="35">
        <v>1.2115629325E-2</v>
      </c>
    </row>
    <row r="5957" spans="103:104" x14ac:dyDescent="0.3">
      <c r="CY5957" s="34" t="s">
        <v>6884</v>
      </c>
      <c r="CZ5957" s="35">
        <v>5.4675031499999992E-2</v>
      </c>
    </row>
    <row r="5958" spans="103:104" x14ac:dyDescent="0.3">
      <c r="CY5958" s="34" t="s">
        <v>6885</v>
      </c>
      <c r="CZ5958" s="35">
        <v>0.19706552079999998</v>
      </c>
    </row>
    <row r="5959" spans="103:104" x14ac:dyDescent="0.3">
      <c r="CY5959" s="34" t="s">
        <v>6886</v>
      </c>
      <c r="CZ5959" s="35">
        <v>2.6844346680000006E-2</v>
      </c>
    </row>
    <row r="5960" spans="103:104" x14ac:dyDescent="0.3">
      <c r="CY5960" s="34" t="s">
        <v>6887</v>
      </c>
      <c r="CZ5960" s="35">
        <v>5.7826793142833337E-4</v>
      </c>
    </row>
    <row r="5961" spans="103:104" x14ac:dyDescent="0.3">
      <c r="CY5961" s="34" t="s">
        <v>6888</v>
      </c>
      <c r="CZ5961" s="35">
        <v>2.7967680000000003E-4</v>
      </c>
    </row>
    <row r="5962" spans="103:104" x14ac:dyDescent="0.3">
      <c r="CY5962" s="34" t="s">
        <v>6889</v>
      </c>
      <c r="CZ5962" s="35">
        <v>6.0824192000000004E-4</v>
      </c>
    </row>
    <row r="5963" spans="103:104" x14ac:dyDescent="0.3">
      <c r="CY5963" s="34" t="s">
        <v>6890</v>
      </c>
      <c r="CZ5963" s="35">
        <v>4.405128E-4</v>
      </c>
    </row>
    <row r="5964" spans="103:104" x14ac:dyDescent="0.3">
      <c r="CY5964" s="34" t="s">
        <v>6891</v>
      </c>
      <c r="CZ5964" s="35">
        <v>1.3514300800000001E-3</v>
      </c>
    </row>
    <row r="5965" spans="103:104" x14ac:dyDescent="0.3">
      <c r="CY5965" s="34" t="s">
        <v>6892</v>
      </c>
      <c r="CZ5965" s="35">
        <v>6.8784999999999992E-3</v>
      </c>
    </row>
    <row r="5966" spans="103:104" x14ac:dyDescent="0.3">
      <c r="CY5966" s="34" t="s">
        <v>6893</v>
      </c>
      <c r="CZ5966" s="35">
        <v>1.3334197066669231E-3</v>
      </c>
    </row>
    <row r="5967" spans="103:104" x14ac:dyDescent="0.3">
      <c r="CY5967" s="34" t="s">
        <v>6894</v>
      </c>
      <c r="CZ5967" s="35">
        <v>1.4781864000000002E-2</v>
      </c>
    </row>
    <row r="5968" spans="103:104" x14ac:dyDescent="0.3">
      <c r="CY5968" s="34" t="s">
        <v>6895</v>
      </c>
      <c r="CZ5968" s="35">
        <v>3.8412355200000005E-2</v>
      </c>
    </row>
    <row r="5969" spans="103:104" x14ac:dyDescent="0.3">
      <c r="CY5969" s="34" t="s">
        <v>6896</v>
      </c>
      <c r="CZ5969" s="35">
        <v>2.8768759999999997E-2</v>
      </c>
    </row>
    <row r="5970" spans="103:104" x14ac:dyDescent="0.3">
      <c r="CY5970" s="34" t="s">
        <v>6897</v>
      </c>
      <c r="CZ5970" s="35">
        <v>2.4533552E-2</v>
      </c>
    </row>
    <row r="5971" spans="103:104" x14ac:dyDescent="0.3">
      <c r="CY5971" s="34" t="s">
        <v>6898</v>
      </c>
      <c r="CZ5971" s="35">
        <v>3.3460287999999998E-2</v>
      </c>
    </row>
    <row r="5972" spans="103:104" x14ac:dyDescent="0.3">
      <c r="CY5972" s="34" t="s">
        <v>6899</v>
      </c>
      <c r="CZ5972" s="35">
        <v>3.7509079999999993E-2</v>
      </c>
    </row>
    <row r="5973" spans="103:104" x14ac:dyDescent="0.3">
      <c r="CY5973" s="34" t="s">
        <v>6900</v>
      </c>
      <c r="CZ5973" s="35">
        <v>4.0822519999999994E-2</v>
      </c>
    </row>
    <row r="5974" spans="103:104" x14ac:dyDescent="0.3">
      <c r="CY5974" s="34" t="s">
        <v>6901</v>
      </c>
      <c r="CZ5974" s="35">
        <v>1.520225E-3</v>
      </c>
    </row>
    <row r="5975" spans="103:104" x14ac:dyDescent="0.3">
      <c r="CY5975" s="34" t="s">
        <v>6902</v>
      </c>
      <c r="CZ5975" s="35">
        <v>7.8914160000000003E-4</v>
      </c>
    </row>
    <row r="5976" spans="103:104" x14ac:dyDescent="0.3">
      <c r="CY5976" s="34" t="s">
        <v>6903</v>
      </c>
      <c r="CZ5976" s="35">
        <v>2.4075999999999999E-4</v>
      </c>
    </row>
    <row r="5977" spans="103:104" x14ac:dyDescent="0.3">
      <c r="CY5977" s="34" t="s">
        <v>6904</v>
      </c>
      <c r="CZ5977" s="35">
        <v>0.14334041430000002</v>
      </c>
    </row>
    <row r="5978" spans="103:104" x14ac:dyDescent="0.3">
      <c r="CY5978" s="34" t="s">
        <v>6905</v>
      </c>
      <c r="CZ5978" s="35">
        <v>0.27687243040000004</v>
      </c>
    </row>
    <row r="5979" spans="103:104" x14ac:dyDescent="0.3">
      <c r="CY5979" s="34" t="s">
        <v>6906</v>
      </c>
      <c r="CZ5979" s="35">
        <v>0.27338399999999996</v>
      </c>
    </row>
    <row r="5980" spans="103:104" x14ac:dyDescent="0.3">
      <c r="CY5980" s="34" t="s">
        <v>6907</v>
      </c>
      <c r="CZ5980" s="35">
        <v>5.9164799999999996E-4</v>
      </c>
    </row>
    <row r="5981" spans="103:104" x14ac:dyDescent="0.3">
      <c r="CY5981" s="34" t="s">
        <v>6908</v>
      </c>
      <c r="CZ5981" s="35">
        <v>2.9606626266666668E-2</v>
      </c>
    </row>
    <row r="5982" spans="103:104" x14ac:dyDescent="0.3">
      <c r="CY5982" s="34" t="s">
        <v>6909</v>
      </c>
      <c r="CZ5982" s="35">
        <v>4.6405719999999999E-3</v>
      </c>
    </row>
    <row r="5983" spans="103:104" x14ac:dyDescent="0.3">
      <c r="CY5983" s="34" t="s">
        <v>6910</v>
      </c>
      <c r="CZ5983" s="35">
        <v>4.7729719999999995E-3</v>
      </c>
    </row>
    <row r="5984" spans="103:104" x14ac:dyDescent="0.3">
      <c r="CY5984" s="34" t="s">
        <v>6911</v>
      </c>
      <c r="CZ5984" s="35">
        <v>3.0675680000000004E-2</v>
      </c>
    </row>
    <row r="5985" spans="103:104" x14ac:dyDescent="0.3">
      <c r="CY5985" s="34" t="s">
        <v>6912</v>
      </c>
      <c r="CZ5985" s="35">
        <v>2.9946560000000001E-3</v>
      </c>
    </row>
    <row r="5986" spans="103:104" x14ac:dyDescent="0.3">
      <c r="CY5986" s="34" t="s">
        <v>6913</v>
      </c>
      <c r="CZ5986" s="35">
        <v>6.1056471199999992E-3</v>
      </c>
    </row>
    <row r="5987" spans="103:104" x14ac:dyDescent="0.3">
      <c r="CY5987" s="34" t="s">
        <v>6914</v>
      </c>
      <c r="CZ5987" s="35">
        <v>6.1056471199999992E-3</v>
      </c>
    </row>
    <row r="5988" spans="103:104" x14ac:dyDescent="0.3">
      <c r="CY5988" s="34" t="s">
        <v>6915</v>
      </c>
      <c r="CZ5988" s="35">
        <v>1.1937866699999999E-2</v>
      </c>
    </row>
    <row r="5989" spans="103:104" x14ac:dyDescent="0.3">
      <c r="CY5989" s="34" t="s">
        <v>6916</v>
      </c>
      <c r="CZ5989" s="35">
        <v>5.8849946600000001E-3</v>
      </c>
    </row>
    <row r="5990" spans="103:104" x14ac:dyDescent="0.3">
      <c r="CY5990" s="34" t="s">
        <v>6917</v>
      </c>
      <c r="CZ5990" s="35">
        <v>2.0269505333999998E-2</v>
      </c>
    </row>
    <row r="5991" spans="103:104" x14ac:dyDescent="0.3">
      <c r="CY5991" s="34" t="s">
        <v>6918</v>
      </c>
      <c r="CZ5991" s="35">
        <v>7.1696919999999997E-2</v>
      </c>
    </row>
    <row r="5992" spans="103:104" x14ac:dyDescent="0.3">
      <c r="CY5992" s="34" t="s">
        <v>6919</v>
      </c>
      <c r="CZ5992" s="35">
        <v>1.7090800000000002E-3</v>
      </c>
    </row>
    <row r="5993" spans="103:104" x14ac:dyDescent="0.3">
      <c r="CY5993" s="34" t="s">
        <v>6920</v>
      </c>
      <c r="CZ5993" s="35">
        <v>4.4787519999999997E-2</v>
      </c>
    </row>
    <row r="5994" spans="103:104" x14ac:dyDescent="0.3">
      <c r="CY5994" s="34" t="s">
        <v>6921</v>
      </c>
      <c r="CZ5994" s="35">
        <v>4.7121280000000001E-2</v>
      </c>
    </row>
    <row r="5995" spans="103:104" x14ac:dyDescent="0.3">
      <c r="CY5995" s="34" t="s">
        <v>6922</v>
      </c>
      <c r="CZ5995" s="35">
        <v>5.2833131999999996E-4</v>
      </c>
    </row>
    <row r="5996" spans="103:104" x14ac:dyDescent="0.3">
      <c r="CY5996" s="34" t="s">
        <v>6923</v>
      </c>
      <c r="CZ5996" s="35">
        <v>2.0127233333333334E-2</v>
      </c>
    </row>
    <row r="5997" spans="103:104" x14ac:dyDescent="0.3">
      <c r="CY5997" s="34" t="s">
        <v>6924</v>
      </c>
      <c r="CZ5997" s="35">
        <v>4.8312439176470597E-3</v>
      </c>
    </row>
    <row r="5998" spans="103:104" x14ac:dyDescent="0.3">
      <c r="CY5998" s="34" t="s">
        <v>6925</v>
      </c>
      <c r="CZ5998" s="35">
        <v>1.1146744000000001E-3</v>
      </c>
    </row>
    <row r="5999" spans="103:104" x14ac:dyDescent="0.3">
      <c r="CY5999" s="34" t="s">
        <v>6926</v>
      </c>
      <c r="CZ5999" s="35">
        <v>1.2672827200000002E-2</v>
      </c>
    </row>
    <row r="6000" spans="103:104" x14ac:dyDescent="0.3">
      <c r="CY6000" s="34" t="s">
        <v>6927</v>
      </c>
      <c r="CZ6000" s="35">
        <v>7.4552653000000005E-3</v>
      </c>
    </row>
    <row r="6001" spans="103:104" x14ac:dyDescent="0.3">
      <c r="CY6001" s="34" t="s">
        <v>6928</v>
      </c>
      <c r="CZ6001" s="35">
        <v>9.2086784000000002E-4</v>
      </c>
    </row>
    <row r="6002" spans="103:104" x14ac:dyDescent="0.3">
      <c r="CY6002" s="34" t="s">
        <v>6929</v>
      </c>
      <c r="CZ6002" s="35">
        <v>1.4169335999999998E-3</v>
      </c>
    </row>
    <row r="6003" spans="103:104" x14ac:dyDescent="0.3">
      <c r="CY6003" s="34" t="s">
        <v>6930</v>
      </c>
      <c r="CZ6003" s="35">
        <v>1.8412073333333334E-2</v>
      </c>
    </row>
    <row r="6004" spans="103:104" x14ac:dyDescent="0.3">
      <c r="CY6004" s="34" t="s">
        <v>6931</v>
      </c>
      <c r="CZ6004" s="35">
        <v>1.9705939999999998E-2</v>
      </c>
    </row>
    <row r="6005" spans="103:104" x14ac:dyDescent="0.3">
      <c r="CY6005" s="34" t="s">
        <v>6932</v>
      </c>
      <c r="CZ6005" s="35">
        <v>1.8287626799999999E-3</v>
      </c>
    </row>
    <row r="6006" spans="103:104" x14ac:dyDescent="0.3">
      <c r="CY6006" s="34" t="s">
        <v>6933</v>
      </c>
      <c r="CZ6006" s="35">
        <v>2.0046656E-2</v>
      </c>
    </row>
    <row r="6007" spans="103:104" x14ac:dyDescent="0.3">
      <c r="CY6007" s="34" t="s">
        <v>6934</v>
      </c>
      <c r="CZ6007" s="35">
        <v>2.2399544E-2</v>
      </c>
    </row>
    <row r="6008" spans="103:104" x14ac:dyDescent="0.3">
      <c r="CY6008" s="34" t="s">
        <v>6935</v>
      </c>
      <c r="CZ6008" s="35">
        <v>1.34909594E-2</v>
      </c>
    </row>
    <row r="6009" spans="103:104" x14ac:dyDescent="0.3">
      <c r="CY6009" s="34" t="s">
        <v>6936</v>
      </c>
      <c r="CZ6009" s="35">
        <v>1.4381588800000001E-2</v>
      </c>
    </row>
    <row r="6010" spans="103:104" x14ac:dyDescent="0.3">
      <c r="CY6010" s="34" t="s">
        <v>6937</v>
      </c>
      <c r="CZ6010" s="35">
        <v>6.3259012533333339E-2</v>
      </c>
    </row>
    <row r="6011" spans="103:104" x14ac:dyDescent="0.3">
      <c r="CY6011" s="34" t="s">
        <v>6938</v>
      </c>
      <c r="CZ6011" s="35">
        <v>6.6379870000000006E-3</v>
      </c>
    </row>
    <row r="6012" spans="103:104" x14ac:dyDescent="0.3">
      <c r="CY6012" s="34" t="s">
        <v>6939</v>
      </c>
      <c r="CZ6012" s="35">
        <v>2.0833480000000001E-3</v>
      </c>
    </row>
    <row r="6013" spans="103:104" x14ac:dyDescent="0.3">
      <c r="CY6013" s="34" t="s">
        <v>6940</v>
      </c>
      <c r="CZ6013" s="35">
        <v>5.1718499999999995E-3</v>
      </c>
    </row>
    <row r="6014" spans="103:104" x14ac:dyDescent="0.3">
      <c r="CY6014" s="34" t="s">
        <v>6941</v>
      </c>
      <c r="CZ6014" s="35">
        <v>6.5084399999999999E-3</v>
      </c>
    </row>
    <row r="6015" spans="103:104" x14ac:dyDescent="0.3">
      <c r="CY6015" s="34" t="s">
        <v>6942</v>
      </c>
      <c r="CZ6015" s="35">
        <v>1.870516E-3</v>
      </c>
    </row>
    <row r="6016" spans="103:104" x14ac:dyDescent="0.3">
      <c r="CY6016" s="34" t="s">
        <v>6943</v>
      </c>
      <c r="CZ6016" s="35">
        <v>1.870516E-3</v>
      </c>
    </row>
    <row r="6017" spans="103:104" x14ac:dyDescent="0.3">
      <c r="CY6017" s="34" t="s">
        <v>6944</v>
      </c>
      <c r="CZ6017" s="35">
        <v>2.9218266750000001E-3</v>
      </c>
    </row>
    <row r="6018" spans="103:104" x14ac:dyDescent="0.3">
      <c r="CY6018" s="34" t="s">
        <v>6945</v>
      </c>
      <c r="CZ6018" s="35">
        <v>2.1505856E-2</v>
      </c>
    </row>
    <row r="6019" spans="103:104" x14ac:dyDescent="0.3">
      <c r="CY6019" s="34" t="s">
        <v>6946</v>
      </c>
      <c r="CZ6019" s="35">
        <v>3.2610800000000002E-2</v>
      </c>
    </row>
    <row r="6020" spans="103:104" x14ac:dyDescent="0.3">
      <c r="CY6020" s="34" t="s">
        <v>6947</v>
      </c>
      <c r="CZ6020" s="35">
        <v>0.21407280000000001</v>
      </c>
    </row>
    <row r="6021" spans="103:104" x14ac:dyDescent="0.3">
      <c r="CY6021" s="34" t="s">
        <v>6948</v>
      </c>
      <c r="CZ6021" s="35">
        <v>0.22107616000000002</v>
      </c>
    </row>
    <row r="6022" spans="103:104" x14ac:dyDescent="0.3">
      <c r="CY6022" s="34" t="s">
        <v>6949</v>
      </c>
      <c r="CZ6022" s="35">
        <v>0.17730516000000002</v>
      </c>
    </row>
    <row r="6023" spans="103:104" x14ac:dyDescent="0.3">
      <c r="CY6023" s="34" t="s">
        <v>6950</v>
      </c>
      <c r="CZ6023" s="35">
        <v>0.1965644</v>
      </c>
    </row>
    <row r="6024" spans="103:104" x14ac:dyDescent="0.3">
      <c r="CY6024" s="34" t="s">
        <v>6951</v>
      </c>
      <c r="CZ6024" s="35">
        <v>0.16788896000000003</v>
      </c>
    </row>
    <row r="6025" spans="103:104" x14ac:dyDescent="0.3">
      <c r="CY6025" s="34" t="s">
        <v>6952</v>
      </c>
      <c r="CZ6025" s="35">
        <v>0.20990912</v>
      </c>
    </row>
    <row r="6026" spans="103:104" x14ac:dyDescent="0.3">
      <c r="CY6026" s="34" t="s">
        <v>6953</v>
      </c>
      <c r="CZ6026" s="35">
        <v>0.17489231999999999</v>
      </c>
    </row>
    <row r="6027" spans="103:104" x14ac:dyDescent="0.3">
      <c r="CY6027" s="34" t="s">
        <v>6954</v>
      </c>
      <c r="CZ6027" s="35">
        <v>0.21407279999999998</v>
      </c>
    </row>
    <row r="6028" spans="103:104" x14ac:dyDescent="0.3">
      <c r="CY6028" s="34" t="s">
        <v>6955</v>
      </c>
      <c r="CZ6028" s="35">
        <v>7.6147840000000008E-2</v>
      </c>
    </row>
    <row r="6029" spans="103:104" x14ac:dyDescent="0.3">
      <c r="CY6029" s="34" t="s">
        <v>6956</v>
      </c>
      <c r="CZ6029" s="35">
        <v>2.8789856320000001E-2</v>
      </c>
    </row>
    <row r="6030" spans="103:104" x14ac:dyDescent="0.3">
      <c r="CY6030" s="34" t="s">
        <v>6957</v>
      </c>
      <c r="CZ6030" s="35">
        <v>2.6132559999999999E-2</v>
      </c>
    </row>
    <row r="6031" spans="103:104" x14ac:dyDescent="0.3">
      <c r="CY6031" s="34" t="s">
        <v>6958</v>
      </c>
      <c r="CZ6031" s="35">
        <v>7.2814162666666654E-2</v>
      </c>
    </row>
    <row r="6032" spans="103:104" x14ac:dyDescent="0.3">
      <c r="CY6032" s="34" t="s">
        <v>6959</v>
      </c>
      <c r="CZ6032" s="35">
        <v>3.8509600238333329E-3</v>
      </c>
    </row>
    <row r="6033" spans="103:104" x14ac:dyDescent="0.3">
      <c r="CY6033" s="34" t="s">
        <v>6960</v>
      </c>
      <c r="CZ6033" s="35">
        <v>6.2671680000000009E-4</v>
      </c>
    </row>
    <row r="6034" spans="103:104" x14ac:dyDescent="0.3">
      <c r="CY6034" s="34" t="s">
        <v>6961</v>
      </c>
      <c r="CZ6034" s="35">
        <v>6.6927360000000006E-4</v>
      </c>
    </row>
    <row r="6035" spans="103:104" x14ac:dyDescent="0.3">
      <c r="CY6035" s="34" t="s">
        <v>6962</v>
      </c>
      <c r="CZ6035" s="35">
        <v>6.6235968799999998E-3</v>
      </c>
    </row>
    <row r="6036" spans="103:104" x14ac:dyDescent="0.3">
      <c r="CY6036" s="34" t="s">
        <v>6963</v>
      </c>
      <c r="CZ6036" s="35">
        <v>0.20356776000000001</v>
      </c>
    </row>
    <row r="6037" spans="103:104" x14ac:dyDescent="0.3">
      <c r="CY6037" s="34" t="s">
        <v>6964</v>
      </c>
      <c r="CZ6037" s="35">
        <v>0.18255768</v>
      </c>
    </row>
    <row r="6038" spans="103:104" x14ac:dyDescent="0.3">
      <c r="CY6038" s="34" t="s">
        <v>6965</v>
      </c>
      <c r="CZ6038" s="35">
        <v>0.20356776000000001</v>
      </c>
    </row>
    <row r="6039" spans="103:104" x14ac:dyDescent="0.3">
      <c r="CY6039" s="34" t="s">
        <v>6966</v>
      </c>
      <c r="CZ6039" s="35">
        <v>5.6304262000000001E-2</v>
      </c>
    </row>
    <row r="6040" spans="103:104" x14ac:dyDescent="0.3">
      <c r="CY6040" s="34" t="s">
        <v>6967</v>
      </c>
      <c r="CZ6040" s="35">
        <v>4.5683605333333328E-3</v>
      </c>
    </row>
    <row r="6041" spans="103:104" x14ac:dyDescent="0.3">
      <c r="CY6041" s="34" t="s">
        <v>6968</v>
      </c>
      <c r="CZ6041" s="35">
        <v>1.4587828800000001E-2</v>
      </c>
    </row>
    <row r="6042" spans="103:104" x14ac:dyDescent="0.3">
      <c r="CY6042" s="34" t="s">
        <v>6969</v>
      </c>
      <c r="CZ6042" s="35">
        <v>9.6723120000000006E-3</v>
      </c>
    </row>
    <row r="6043" spans="103:104" x14ac:dyDescent="0.3">
      <c r="CY6043" s="34" t="s">
        <v>6970</v>
      </c>
      <c r="CZ6043" s="35">
        <v>1.5887760000000004E-2</v>
      </c>
    </row>
    <row r="6044" spans="103:104" x14ac:dyDescent="0.3">
      <c r="CY6044" s="34" t="s">
        <v>6971</v>
      </c>
      <c r="CZ6044" s="35">
        <v>1.2041337142857145E-2</v>
      </c>
    </row>
    <row r="6045" spans="103:104" x14ac:dyDescent="0.3">
      <c r="CY6045" s="34" t="s">
        <v>6972</v>
      </c>
      <c r="CZ6045" s="35">
        <v>6.8694941176470582E-3</v>
      </c>
    </row>
    <row r="6046" spans="103:104" x14ac:dyDescent="0.3">
      <c r="CY6046" s="34" t="s">
        <v>6973</v>
      </c>
      <c r="CZ6046" s="35">
        <v>3.7808275999999995E-2</v>
      </c>
    </row>
    <row r="6047" spans="103:104" x14ac:dyDescent="0.3">
      <c r="CY6047" s="34" t="s">
        <v>6974</v>
      </c>
      <c r="CZ6047" s="35">
        <v>3.5750966720000006E-2</v>
      </c>
    </row>
    <row r="6048" spans="103:104" x14ac:dyDescent="0.3">
      <c r="CY6048" s="34" t="s">
        <v>6975</v>
      </c>
      <c r="CZ6048" s="35">
        <v>4.8180004000000004E-3</v>
      </c>
    </row>
    <row r="6049" spans="103:104" x14ac:dyDescent="0.3">
      <c r="CY6049" s="34" t="s">
        <v>6976</v>
      </c>
      <c r="CZ6049" s="35">
        <v>4.8180004000000004E-3</v>
      </c>
    </row>
    <row r="6050" spans="103:104" x14ac:dyDescent="0.3">
      <c r="CY6050" s="34" t="s">
        <v>6977</v>
      </c>
      <c r="CZ6050" s="35">
        <v>1.0433832000000002E-2</v>
      </c>
    </row>
    <row r="6051" spans="103:104" x14ac:dyDescent="0.3">
      <c r="CY6051" s="34" t="s">
        <v>6978</v>
      </c>
      <c r="CZ6051" s="35">
        <v>1.0433832000000002E-2</v>
      </c>
    </row>
    <row r="6052" spans="103:104" x14ac:dyDescent="0.3">
      <c r="CY6052" s="34" t="s">
        <v>6979</v>
      </c>
      <c r="CZ6052" s="35">
        <v>1.0551200000000001E-3</v>
      </c>
    </row>
    <row r="6053" spans="103:104" x14ac:dyDescent="0.3">
      <c r="CY6053" s="34" t="s">
        <v>6980</v>
      </c>
      <c r="CZ6053" s="35">
        <v>8.5918160000000008E-4</v>
      </c>
    </row>
    <row r="6054" spans="103:104" x14ac:dyDescent="0.3">
      <c r="CY6054" s="34" t="s">
        <v>6981</v>
      </c>
      <c r="CZ6054" s="35">
        <v>4.1710466600000003E-3</v>
      </c>
    </row>
    <row r="6055" spans="103:104" x14ac:dyDescent="0.3">
      <c r="CY6055" s="34" t="s">
        <v>6982</v>
      </c>
      <c r="CZ6055" s="35">
        <v>1.0385774660000001E-2</v>
      </c>
    </row>
    <row r="6056" spans="103:104" x14ac:dyDescent="0.3">
      <c r="CY6056" s="34" t="s">
        <v>6983</v>
      </c>
      <c r="CZ6056" s="35">
        <v>4.141160455E-3</v>
      </c>
    </row>
    <row r="6057" spans="103:104" x14ac:dyDescent="0.3">
      <c r="CY6057" s="34" t="s">
        <v>6984</v>
      </c>
      <c r="CZ6057" s="35">
        <v>4.0378921499999998E-3</v>
      </c>
    </row>
    <row r="6058" spans="103:104" x14ac:dyDescent="0.3">
      <c r="CY6058" s="34" t="s">
        <v>6985</v>
      </c>
      <c r="CZ6058" s="35">
        <v>1.304058665E-2</v>
      </c>
    </row>
    <row r="6059" spans="103:104" x14ac:dyDescent="0.3">
      <c r="CY6059" s="34" t="s">
        <v>6986</v>
      </c>
      <c r="CZ6059" s="35">
        <v>1.304058665E-2</v>
      </c>
    </row>
    <row r="6060" spans="103:104" x14ac:dyDescent="0.3">
      <c r="CY6060" s="34" t="s">
        <v>6987</v>
      </c>
      <c r="CZ6060" s="35">
        <v>5.5874564000000002E-2</v>
      </c>
    </row>
    <row r="6061" spans="103:104" x14ac:dyDescent="0.3">
      <c r="CY6061" s="34" t="s">
        <v>6988</v>
      </c>
      <c r="CZ6061" s="35">
        <v>5.0042237060000001E-2</v>
      </c>
    </row>
    <row r="6062" spans="103:104" x14ac:dyDescent="0.3">
      <c r="CY6062" s="34" t="s">
        <v>6989</v>
      </c>
      <c r="CZ6062" s="35">
        <v>3.1296032000000004E-3</v>
      </c>
    </row>
    <row r="6063" spans="103:104" x14ac:dyDescent="0.3">
      <c r="CY6063" s="34" t="s">
        <v>6990</v>
      </c>
      <c r="CZ6063" s="35">
        <v>1.1746951200000001E-3</v>
      </c>
    </row>
    <row r="6064" spans="103:104" x14ac:dyDescent="0.3">
      <c r="CY6064" s="34" t="s">
        <v>6991</v>
      </c>
      <c r="CZ6064" s="35">
        <v>6.3464681599999994E-3</v>
      </c>
    </row>
    <row r="6065" spans="103:104" x14ac:dyDescent="0.3">
      <c r="CY6065" s="34" t="s">
        <v>6992</v>
      </c>
      <c r="CZ6065" s="35">
        <v>1.949882E-3</v>
      </c>
    </row>
    <row r="6066" spans="103:104" x14ac:dyDescent="0.3">
      <c r="CY6066" s="34" t="s">
        <v>6993</v>
      </c>
      <c r="CZ6066" s="35">
        <v>1.6295272E-2</v>
      </c>
    </row>
    <row r="6067" spans="103:104" x14ac:dyDescent="0.3">
      <c r="CY6067" s="34" t="s">
        <v>6994</v>
      </c>
      <c r="CZ6067" s="35">
        <v>0.10573924</v>
      </c>
    </row>
    <row r="6068" spans="103:104" x14ac:dyDescent="0.3">
      <c r="CY6068" s="34" t="s">
        <v>6995</v>
      </c>
      <c r="CZ6068" s="35">
        <v>1.5920948585699999E-3</v>
      </c>
    </row>
    <row r="6069" spans="103:104" x14ac:dyDescent="0.3">
      <c r="CY6069" s="34" t="s">
        <v>6996</v>
      </c>
      <c r="CZ6069" s="35">
        <v>1.169764E-2</v>
      </c>
    </row>
    <row r="6070" spans="103:104" x14ac:dyDescent="0.3">
      <c r="CY6070" s="34" t="s">
        <v>6997</v>
      </c>
      <c r="CZ6070" s="35">
        <v>3.983718333333333E-3</v>
      </c>
    </row>
    <row r="6071" spans="103:104" x14ac:dyDescent="0.3">
      <c r="CY6071" s="34" t="s">
        <v>6998</v>
      </c>
      <c r="CZ6071" s="35">
        <v>1.0338106663636361E-2</v>
      </c>
    </row>
    <row r="6072" spans="103:104" x14ac:dyDescent="0.3">
      <c r="CY6072" s="34" t="s">
        <v>6999</v>
      </c>
      <c r="CZ6072" s="35">
        <v>3.3315733333333333E-2</v>
      </c>
    </row>
    <row r="6073" spans="103:104" x14ac:dyDescent="0.3">
      <c r="CY6073" s="34" t="s">
        <v>7000</v>
      </c>
      <c r="CZ6073" s="35">
        <v>1.4837759999999998E-2</v>
      </c>
    </row>
    <row r="6074" spans="103:104" x14ac:dyDescent="0.3">
      <c r="CY6074" s="34" t="s">
        <v>7001</v>
      </c>
      <c r="CZ6074" s="35">
        <v>4.6247108333333335E-3</v>
      </c>
    </row>
    <row r="6075" spans="103:104" x14ac:dyDescent="0.3">
      <c r="CY6075" s="34" t="s">
        <v>7002</v>
      </c>
      <c r="CZ6075" s="35">
        <v>2.0038440000000001E-2</v>
      </c>
    </row>
    <row r="6076" spans="103:104" x14ac:dyDescent="0.3">
      <c r="CY6076" s="34" t="s">
        <v>7003</v>
      </c>
      <c r="CZ6076" s="35">
        <v>7.7838148333333338E-3</v>
      </c>
    </row>
    <row r="6077" spans="103:104" x14ac:dyDescent="0.3">
      <c r="CY6077" s="34" t="s">
        <v>7004</v>
      </c>
      <c r="CZ6077" s="35">
        <v>1.4250998399999999E-2</v>
      </c>
    </row>
    <row r="6078" spans="103:104" x14ac:dyDescent="0.3">
      <c r="CY6078" s="34" t="s">
        <v>7005</v>
      </c>
      <c r="CZ6078" s="35">
        <v>2.0029424000000001E-2</v>
      </c>
    </row>
    <row r="6079" spans="103:104" x14ac:dyDescent="0.3">
      <c r="CY6079" s="34" t="s">
        <v>7006</v>
      </c>
      <c r="CZ6079" s="35">
        <v>6.4849456E-2</v>
      </c>
    </row>
    <row r="6080" spans="103:104" x14ac:dyDescent="0.3">
      <c r="CY6080" s="34" t="s">
        <v>7007</v>
      </c>
      <c r="CZ6080" s="35">
        <v>0.12949674</v>
      </c>
    </row>
    <row r="6081" spans="103:104" x14ac:dyDescent="0.3">
      <c r="CY6081" s="34" t="s">
        <v>7008</v>
      </c>
      <c r="CZ6081" s="35">
        <v>1.1539728000000001E-2</v>
      </c>
    </row>
    <row r="6082" spans="103:104" x14ac:dyDescent="0.3">
      <c r="CY6082" s="34" t="s">
        <v>7009</v>
      </c>
      <c r="CZ6082" s="35">
        <v>9.6288266666666646E-3</v>
      </c>
    </row>
    <row r="6083" spans="103:104" x14ac:dyDescent="0.3">
      <c r="CY6083" s="34" t="s">
        <v>7010</v>
      </c>
      <c r="CZ6083" s="35">
        <v>5.4544800000000003E-4</v>
      </c>
    </row>
    <row r="6084" spans="103:104" x14ac:dyDescent="0.3">
      <c r="CY6084" s="34" t="s">
        <v>7011</v>
      </c>
      <c r="CZ6084" s="35">
        <v>1.6645960000000001E-2</v>
      </c>
    </row>
    <row r="6085" spans="103:104" x14ac:dyDescent="0.3">
      <c r="CY6085" s="34" t="s">
        <v>7012</v>
      </c>
      <c r="CZ6085" s="35">
        <v>1.5418552E-2</v>
      </c>
    </row>
    <row r="6086" spans="103:104" x14ac:dyDescent="0.3">
      <c r="CY6086" s="34" t="s">
        <v>7013</v>
      </c>
      <c r="CZ6086" s="35">
        <v>1.03415838E-2</v>
      </c>
    </row>
    <row r="6087" spans="103:104" x14ac:dyDescent="0.3">
      <c r="CY6087" s="34" t="s">
        <v>7014</v>
      </c>
      <c r="CZ6087" s="35">
        <v>4.4731088000000002E-2</v>
      </c>
    </row>
    <row r="6088" spans="103:104" x14ac:dyDescent="0.3">
      <c r="CY6088" s="34" t="s">
        <v>7015</v>
      </c>
      <c r="CZ6088" s="35">
        <v>8.030578E-3</v>
      </c>
    </row>
    <row r="6089" spans="103:104" x14ac:dyDescent="0.3">
      <c r="CY6089" s="34" t="s">
        <v>7016</v>
      </c>
      <c r="CZ6089" s="35">
        <v>1.926096E-3</v>
      </c>
    </row>
    <row r="6090" spans="103:104" x14ac:dyDescent="0.3">
      <c r="CY6090" s="34" t="s">
        <v>7017</v>
      </c>
      <c r="CZ6090" s="35">
        <v>1.2004676E-3</v>
      </c>
    </row>
    <row r="6091" spans="103:104" x14ac:dyDescent="0.3">
      <c r="CY6091" s="34" t="s">
        <v>7018</v>
      </c>
      <c r="CZ6091" s="35">
        <v>8.9128453125000007E-3</v>
      </c>
    </row>
    <row r="6092" spans="103:104" x14ac:dyDescent="0.3">
      <c r="CY6092" s="34" t="s">
        <v>7019</v>
      </c>
      <c r="CZ6092" s="35">
        <v>2.2601439999999995E-3</v>
      </c>
    </row>
    <row r="6093" spans="103:104" x14ac:dyDescent="0.3">
      <c r="CY6093" s="34" t="s">
        <v>7020</v>
      </c>
      <c r="CZ6093" s="35">
        <v>9.5002960000000018E-3</v>
      </c>
    </row>
    <row r="6094" spans="103:104" x14ac:dyDescent="0.3">
      <c r="CY6094" s="34" t="s">
        <v>7021</v>
      </c>
      <c r="CZ6094" s="35">
        <v>3.952629333333333E-2</v>
      </c>
    </row>
    <row r="6095" spans="103:104" x14ac:dyDescent="0.3">
      <c r="CY6095" s="34" t="s">
        <v>7022</v>
      </c>
      <c r="CZ6095" s="35">
        <v>9.3969680000000001E-4</v>
      </c>
    </row>
    <row r="6096" spans="103:104" x14ac:dyDescent="0.3">
      <c r="CY6096" s="34" t="s">
        <v>7023</v>
      </c>
      <c r="CZ6096" s="35">
        <v>2.7500710400000003E-2</v>
      </c>
    </row>
    <row r="6097" spans="103:104" x14ac:dyDescent="0.3">
      <c r="CY6097" s="34" t="s">
        <v>7024</v>
      </c>
      <c r="CZ6097" s="35">
        <v>2.7500710400000003E-2</v>
      </c>
    </row>
    <row r="6098" spans="103:104" x14ac:dyDescent="0.3">
      <c r="CY6098" s="34" t="s">
        <v>7025</v>
      </c>
      <c r="CZ6098" s="35">
        <v>4.5953264000000001E-5</v>
      </c>
    </row>
    <row r="6099" spans="103:104" x14ac:dyDescent="0.3">
      <c r="CY6099" s="34" t="s">
        <v>7026</v>
      </c>
      <c r="CZ6099" s="35">
        <v>7.9061253499999998E-2</v>
      </c>
    </row>
    <row r="6100" spans="103:104" x14ac:dyDescent="0.3">
      <c r="CY6100" s="34" t="s">
        <v>7027</v>
      </c>
      <c r="CZ6100" s="35">
        <v>9.0655599999999985E-3</v>
      </c>
    </row>
    <row r="6101" spans="103:104" x14ac:dyDescent="0.3">
      <c r="CY6101" s="34" t="s">
        <v>7028</v>
      </c>
      <c r="CZ6101" s="35">
        <v>9.0655599999999985E-3</v>
      </c>
    </row>
    <row r="6102" spans="103:104" x14ac:dyDescent="0.3">
      <c r="CY6102" s="34" t="s">
        <v>7029</v>
      </c>
      <c r="CZ6102" s="35">
        <v>4.5679399999999992</v>
      </c>
    </row>
    <row r="6103" spans="103:104" x14ac:dyDescent="0.3">
      <c r="CY6103" s="34" t="s">
        <v>7030</v>
      </c>
      <c r="CZ6103" s="35">
        <v>1.7778959999999999E-3</v>
      </c>
    </row>
    <row r="6104" spans="103:104" x14ac:dyDescent="0.3">
      <c r="CY6104" s="34" t="s">
        <v>7031</v>
      </c>
      <c r="CZ6104" s="35">
        <v>1.7778959999999999E-3</v>
      </c>
    </row>
    <row r="6105" spans="103:104" x14ac:dyDescent="0.3">
      <c r="CY6105" s="34" t="s">
        <v>7032</v>
      </c>
      <c r="CZ6105" s="35">
        <v>1.1037785728E-2</v>
      </c>
    </row>
    <row r="6106" spans="103:104" x14ac:dyDescent="0.3">
      <c r="CY6106" s="34" t="s">
        <v>7033</v>
      </c>
      <c r="CZ6106" s="35">
        <v>1.1037785728E-2</v>
      </c>
    </row>
    <row r="6107" spans="103:104" x14ac:dyDescent="0.3">
      <c r="CY6107" s="34" t="s">
        <v>7034</v>
      </c>
      <c r="CZ6107" s="35">
        <v>6.0076053349999992E-3</v>
      </c>
    </row>
    <row r="6108" spans="103:104" x14ac:dyDescent="0.3">
      <c r="CY6108" s="34" t="s">
        <v>7035</v>
      </c>
      <c r="CZ6108" s="35">
        <v>3.0156600000000003E-3</v>
      </c>
    </row>
    <row r="6109" spans="103:104" x14ac:dyDescent="0.3">
      <c r="CY6109" s="34" t="s">
        <v>7036</v>
      </c>
      <c r="CZ6109" s="35">
        <v>1.0375376000000002E-2</v>
      </c>
    </row>
    <row r="6110" spans="103:104" x14ac:dyDescent="0.3">
      <c r="CY6110" s="34" t="s">
        <v>7037</v>
      </c>
      <c r="CZ6110" s="35">
        <v>1.6794205336363638E-2</v>
      </c>
    </row>
    <row r="6111" spans="103:104" x14ac:dyDescent="0.3">
      <c r="CY6111" s="34" t="s">
        <v>7038</v>
      </c>
      <c r="CZ6111" s="35">
        <v>1.1918098000000002E-2</v>
      </c>
    </row>
    <row r="6112" spans="103:104" x14ac:dyDescent="0.3">
      <c r="CY6112" s="34" t="s">
        <v>7039</v>
      </c>
      <c r="CZ6112" s="35">
        <v>1.1918098000000002E-2</v>
      </c>
    </row>
    <row r="6113" spans="103:104" x14ac:dyDescent="0.3">
      <c r="CY6113" s="34" t="s">
        <v>7040</v>
      </c>
      <c r="CZ6113" s="35">
        <v>4.0449447999999999E-2</v>
      </c>
    </row>
    <row r="6114" spans="103:104" x14ac:dyDescent="0.3">
      <c r="CY6114" s="34" t="s">
        <v>7041</v>
      </c>
      <c r="CZ6114" s="35">
        <v>9.9797719360000009E-2</v>
      </c>
    </row>
    <row r="6115" spans="103:104" x14ac:dyDescent="0.3">
      <c r="CY6115" s="34" t="s">
        <v>7042</v>
      </c>
      <c r="CZ6115" s="35">
        <v>2.7863329999999999E-2</v>
      </c>
    </row>
    <row r="6116" spans="103:104" x14ac:dyDescent="0.3">
      <c r="CY6116" s="34" t="s">
        <v>7043</v>
      </c>
      <c r="CZ6116" s="35">
        <v>5.358752E-2</v>
      </c>
    </row>
    <row r="6117" spans="103:104" x14ac:dyDescent="0.3">
      <c r="CY6117" s="34" t="s">
        <v>7044</v>
      </c>
      <c r="CZ6117" s="35">
        <v>6.2029060000000004E-2</v>
      </c>
    </row>
    <row r="6118" spans="103:104" x14ac:dyDescent="0.3">
      <c r="CY6118" s="34" t="s">
        <v>7045</v>
      </c>
      <c r="CZ6118" s="35">
        <v>7.8914499999999999E-2</v>
      </c>
    </row>
    <row r="6119" spans="103:104" x14ac:dyDescent="0.3">
      <c r="CY6119" s="34" t="s">
        <v>7046</v>
      </c>
      <c r="CZ6119" s="35">
        <v>4.10282266625E-2</v>
      </c>
    </row>
    <row r="6120" spans="103:104" x14ac:dyDescent="0.3">
      <c r="CY6120" s="34" t="s">
        <v>7047</v>
      </c>
      <c r="CZ6120" s="35">
        <v>1.0012039999999999E-3</v>
      </c>
    </row>
    <row r="6121" spans="103:104" x14ac:dyDescent="0.3">
      <c r="CY6121" s="34" t="s">
        <v>7048</v>
      </c>
      <c r="CZ6121" s="35">
        <v>3.1153464000000002E-2</v>
      </c>
    </row>
    <row r="6122" spans="103:104" x14ac:dyDescent="0.3">
      <c r="CY6122" s="34" t="s">
        <v>7049</v>
      </c>
      <c r="CZ6122" s="35">
        <v>0.23928489599999997</v>
      </c>
    </row>
    <row r="6123" spans="103:104" x14ac:dyDescent="0.3">
      <c r="CY6123" s="34" t="s">
        <v>7050</v>
      </c>
      <c r="CZ6123" s="35">
        <v>9.7046917299999994E-2</v>
      </c>
    </row>
    <row r="6124" spans="103:104" x14ac:dyDescent="0.3">
      <c r="CY6124" s="34" t="s">
        <v>7051</v>
      </c>
      <c r="CZ6124" s="35">
        <v>4.0942399999999998E-4</v>
      </c>
    </row>
    <row r="6125" spans="103:104" x14ac:dyDescent="0.3">
      <c r="CY6125" s="34" t="s">
        <v>7052</v>
      </c>
      <c r="CZ6125" s="35">
        <v>2.2830560000000003E-2</v>
      </c>
    </row>
    <row r="6126" spans="103:104" x14ac:dyDescent="0.3">
      <c r="CY6126" s="34" t="s">
        <v>7053</v>
      </c>
      <c r="CZ6126" s="35">
        <v>1.6346576000000002E-2</v>
      </c>
    </row>
    <row r="6127" spans="103:104" x14ac:dyDescent="0.3">
      <c r="CY6127" s="34" t="s">
        <v>7054</v>
      </c>
      <c r="CZ6127" s="35">
        <v>0.27733933999999999</v>
      </c>
    </row>
    <row r="6128" spans="103:104" x14ac:dyDescent="0.3">
      <c r="CY6128" s="34" t="s">
        <v>7055</v>
      </c>
      <c r="CZ6128" s="35">
        <v>6.0374769999999994E-3</v>
      </c>
    </row>
    <row r="6129" spans="103:104" x14ac:dyDescent="0.3">
      <c r="CY6129" s="34" t="s">
        <v>7056</v>
      </c>
      <c r="CZ6129" s="35">
        <v>5.2905599999999997E-4</v>
      </c>
    </row>
    <row r="6130" spans="103:104" x14ac:dyDescent="0.3">
      <c r="CY6130" s="34" t="s">
        <v>7057</v>
      </c>
      <c r="CZ6130" s="35">
        <v>5.1093173120000009E-2</v>
      </c>
    </row>
    <row r="6131" spans="103:104" x14ac:dyDescent="0.3">
      <c r="CY6131" s="34" t="s">
        <v>7058</v>
      </c>
      <c r="CZ6131" s="35">
        <v>1.7405439999999998E-2</v>
      </c>
    </row>
    <row r="6132" spans="103:104" x14ac:dyDescent="0.3">
      <c r="CY6132" s="34" t="s">
        <v>7059</v>
      </c>
      <c r="CZ6132" s="35">
        <v>7.9558639999999996E-4</v>
      </c>
    </row>
    <row r="6133" spans="103:104" x14ac:dyDescent="0.3">
      <c r="CY6133" s="34" t="s">
        <v>7060</v>
      </c>
      <c r="CZ6133" s="35">
        <v>3.17782E-2</v>
      </c>
    </row>
    <row r="6134" spans="103:104" x14ac:dyDescent="0.3">
      <c r="CY6134" s="34" t="s">
        <v>7061</v>
      </c>
      <c r="CZ6134" s="35">
        <v>6.1342323480000002E-2</v>
      </c>
    </row>
    <row r="6135" spans="103:104" x14ac:dyDescent="0.3">
      <c r="CY6135" s="34" t="s">
        <v>7062</v>
      </c>
      <c r="CZ6135" s="35">
        <v>5.0032499744000002E-2</v>
      </c>
    </row>
    <row r="6136" spans="103:104" x14ac:dyDescent="0.3">
      <c r="CY6136" s="34" t="s">
        <v>7063</v>
      </c>
      <c r="CZ6136" s="35">
        <v>2.2801627294117645E-2</v>
      </c>
    </row>
    <row r="6137" spans="103:104" x14ac:dyDescent="0.3">
      <c r="CY6137" s="34" t="s">
        <v>7064</v>
      </c>
      <c r="CZ6137" s="35">
        <v>1.105616E-4</v>
      </c>
    </row>
    <row r="6138" spans="103:104" x14ac:dyDescent="0.3">
      <c r="CY6138" s="34" t="s">
        <v>7065</v>
      </c>
      <c r="CZ6138" s="35">
        <v>1.7797439999999999E-4</v>
      </c>
    </row>
    <row r="6139" spans="103:104" x14ac:dyDescent="0.3">
      <c r="CY6139" s="34" t="s">
        <v>7066</v>
      </c>
      <c r="CZ6139" s="35">
        <v>1.7797439999999996E-4</v>
      </c>
    </row>
    <row r="6140" spans="103:104" x14ac:dyDescent="0.3">
      <c r="CY6140" s="34" t="s">
        <v>7067</v>
      </c>
      <c r="CZ6140" s="35">
        <v>3.7235599999999996E-4</v>
      </c>
    </row>
    <row r="6141" spans="103:104" x14ac:dyDescent="0.3">
      <c r="CY6141" s="34" t="s">
        <v>7068</v>
      </c>
      <c r="CZ6141" s="35">
        <v>7.6092799999999988E-2</v>
      </c>
    </row>
    <row r="6142" spans="103:104" x14ac:dyDescent="0.3">
      <c r="CY6142" s="34" t="s">
        <v>7069</v>
      </c>
      <c r="CZ6142" s="35">
        <v>1.9126744000000001E-2</v>
      </c>
    </row>
    <row r="6143" spans="103:104" x14ac:dyDescent="0.3">
      <c r="CY6143" s="34" t="s">
        <v>7070</v>
      </c>
      <c r="CZ6143" s="35">
        <v>1.7351149E-2</v>
      </c>
    </row>
    <row r="6144" spans="103:104" x14ac:dyDescent="0.3">
      <c r="CY6144" s="34" t="s">
        <v>7071</v>
      </c>
      <c r="CZ6144" s="35">
        <v>4.9611199999999994E-4</v>
      </c>
    </row>
    <row r="6145" spans="103:104" x14ac:dyDescent="0.3">
      <c r="CY6145" s="34" t="s">
        <v>7072</v>
      </c>
      <c r="CZ6145" s="35">
        <v>4.9611200000000005E-4</v>
      </c>
    </row>
    <row r="6146" spans="103:104" x14ac:dyDescent="0.3">
      <c r="CY6146" s="34" t="s">
        <v>7073</v>
      </c>
      <c r="CZ6146" s="35">
        <v>5.3857626649999992E-3</v>
      </c>
    </row>
    <row r="6147" spans="103:104" x14ac:dyDescent="0.3">
      <c r="CY6147" s="34" t="s">
        <v>7074</v>
      </c>
      <c r="CZ6147" s="35">
        <v>7.4989924866500001E-3</v>
      </c>
    </row>
    <row r="6148" spans="103:104" x14ac:dyDescent="0.3">
      <c r="CY6148" s="34" t="s">
        <v>7075</v>
      </c>
      <c r="CZ6148" s="35">
        <v>2.0009345371428573E-3</v>
      </c>
    </row>
    <row r="6149" spans="103:104" x14ac:dyDescent="0.3">
      <c r="CY6149" s="34" t="s">
        <v>7076</v>
      </c>
      <c r="CZ6149" s="35">
        <v>3.1398266666666668E-3</v>
      </c>
    </row>
    <row r="6150" spans="103:104" x14ac:dyDescent="0.3">
      <c r="CY6150" s="34" t="s">
        <v>7077</v>
      </c>
      <c r="CZ6150" s="35">
        <v>2.2752444333333337E-2</v>
      </c>
    </row>
    <row r="6151" spans="103:104" x14ac:dyDescent="0.3">
      <c r="CY6151" s="34" t="s">
        <v>7078</v>
      </c>
      <c r="CZ6151" s="35">
        <v>2.1781480000000002E-2</v>
      </c>
    </row>
    <row r="6152" spans="103:104" x14ac:dyDescent="0.3">
      <c r="CY6152" s="34" t="s">
        <v>7079</v>
      </c>
      <c r="CZ6152" s="35">
        <v>1.7523324375E-2</v>
      </c>
    </row>
    <row r="6153" spans="103:104" x14ac:dyDescent="0.3">
      <c r="CY6153" s="34" t="s">
        <v>7080</v>
      </c>
      <c r="CZ6153" s="35">
        <v>1.65002564E-2</v>
      </c>
    </row>
    <row r="6154" spans="103:104" x14ac:dyDescent="0.3">
      <c r="CY6154" s="34" t="s">
        <v>7081</v>
      </c>
      <c r="CZ6154" s="35">
        <v>1.3256640000000001E-3</v>
      </c>
    </row>
    <row r="6155" spans="103:104" x14ac:dyDescent="0.3">
      <c r="CY6155" s="34" t="s">
        <v>7082</v>
      </c>
      <c r="CZ6155" s="35">
        <v>3.3140597600000003E-3</v>
      </c>
    </row>
    <row r="6156" spans="103:104" x14ac:dyDescent="0.3">
      <c r="CY6156" s="34" t="s">
        <v>7083</v>
      </c>
      <c r="CZ6156" s="35">
        <v>1.8109280000000001E-3</v>
      </c>
    </row>
    <row r="6157" spans="103:104" x14ac:dyDescent="0.3">
      <c r="CY6157" s="34" t="s">
        <v>7084</v>
      </c>
      <c r="CZ6157" s="35">
        <v>1.5228939999999999E-3</v>
      </c>
    </row>
    <row r="6158" spans="103:104" x14ac:dyDescent="0.3">
      <c r="CY6158" s="34" t="s">
        <v>7085</v>
      </c>
      <c r="CZ6158" s="35">
        <v>2.4784604333333331E-2</v>
      </c>
    </row>
    <row r="6159" spans="103:104" x14ac:dyDescent="0.3">
      <c r="CY6159" s="34" t="s">
        <v>7086</v>
      </c>
      <c r="CZ6159" s="35">
        <v>9.6543177777777772E-4</v>
      </c>
    </row>
    <row r="6160" spans="103:104" x14ac:dyDescent="0.3">
      <c r="CY6160" s="34" t="s">
        <v>7087</v>
      </c>
      <c r="CZ6160" s="35">
        <v>4.4549919999999996E-3</v>
      </c>
    </row>
    <row r="6161" spans="103:104" x14ac:dyDescent="0.3">
      <c r="CY6161" s="34" t="s">
        <v>7088</v>
      </c>
      <c r="CZ6161" s="35">
        <v>2.580078E-3</v>
      </c>
    </row>
    <row r="6162" spans="103:104" x14ac:dyDescent="0.3">
      <c r="CY6162" s="34" t="s">
        <v>7089</v>
      </c>
      <c r="CZ6162" s="35">
        <v>0.18802506000000002</v>
      </c>
    </row>
    <row r="6163" spans="103:104" x14ac:dyDescent="0.3">
      <c r="CY6163" s="34" t="s">
        <v>7090</v>
      </c>
      <c r="CZ6163" s="35">
        <v>4.4238119999999992E-3</v>
      </c>
    </row>
    <row r="6164" spans="103:104" x14ac:dyDescent="0.3">
      <c r="CY6164" s="34" t="s">
        <v>7091</v>
      </c>
      <c r="CZ6164" s="35">
        <v>1.2486718668571427E-3</v>
      </c>
    </row>
    <row r="6165" spans="103:104" x14ac:dyDescent="0.3">
      <c r="CY6165" s="34" t="s">
        <v>7092</v>
      </c>
      <c r="CZ6165" s="35">
        <v>1.1873334800000001E-3</v>
      </c>
    </row>
    <row r="6166" spans="103:104" x14ac:dyDescent="0.3">
      <c r="CY6166" s="34" t="s">
        <v>7093</v>
      </c>
      <c r="CZ6166" s="35">
        <v>0.13371466666499998</v>
      </c>
    </row>
    <row r="6167" spans="103:104" x14ac:dyDescent="0.3">
      <c r="CY6167" s="34" t="s">
        <v>7094</v>
      </c>
      <c r="CZ6167" s="35">
        <v>2.7863329999999999E-2</v>
      </c>
    </row>
    <row r="6168" spans="103:104" x14ac:dyDescent="0.3">
      <c r="CY6168" s="34" t="s">
        <v>7095</v>
      </c>
      <c r="CZ6168" s="35">
        <v>2.7502439999999998E-3</v>
      </c>
    </row>
    <row r="6169" spans="103:104" x14ac:dyDescent="0.3">
      <c r="CY6169" s="34" t="s">
        <v>7096</v>
      </c>
      <c r="CZ6169" s="35">
        <v>8.8027200000000009E-4</v>
      </c>
    </row>
    <row r="6170" spans="103:104" x14ac:dyDescent="0.3">
      <c r="CY6170" s="34" t="s">
        <v>7097</v>
      </c>
      <c r="CZ6170" s="35">
        <v>2.4978439999999999E-3</v>
      </c>
    </row>
    <row r="6171" spans="103:104" x14ac:dyDescent="0.3">
      <c r="CY6171" s="34" t="s">
        <v>7098</v>
      </c>
      <c r="CZ6171" s="35">
        <v>8.6503359999999985E-4</v>
      </c>
    </row>
    <row r="6172" spans="103:104" x14ac:dyDescent="0.3">
      <c r="CY6172" s="34" t="s">
        <v>7099</v>
      </c>
      <c r="CZ6172" s="35">
        <v>1.5525396000000002E-2</v>
      </c>
    </row>
    <row r="6173" spans="103:104" x14ac:dyDescent="0.3">
      <c r="CY6173" s="34" t="s">
        <v>7100</v>
      </c>
      <c r="CZ6173" s="35">
        <v>5.0835066666666678E-3</v>
      </c>
    </row>
    <row r="6174" spans="103:104" x14ac:dyDescent="0.3">
      <c r="CY6174" s="34" t="s">
        <v>7101</v>
      </c>
      <c r="CZ6174" s="35">
        <v>3.9510233307692315E-2</v>
      </c>
    </row>
    <row r="6175" spans="103:104" x14ac:dyDescent="0.3">
      <c r="CY6175" s="34" t="s">
        <v>7102</v>
      </c>
      <c r="CZ6175" s="35">
        <v>0.12870200000000001</v>
      </c>
    </row>
    <row r="6176" spans="103:104" x14ac:dyDescent="0.3">
      <c r="CY6176" s="34" t="s">
        <v>7103</v>
      </c>
      <c r="CZ6176" s="35">
        <v>0.16470184000000002</v>
      </c>
    </row>
    <row r="6177" spans="103:104" x14ac:dyDescent="0.3">
      <c r="CY6177" s="34" t="s">
        <v>7104</v>
      </c>
      <c r="CZ6177" s="35">
        <v>9.7443812000000005E-2</v>
      </c>
    </row>
    <row r="6178" spans="103:104" x14ac:dyDescent="0.3">
      <c r="CY6178" s="34" t="s">
        <v>7105</v>
      </c>
      <c r="CZ6178" s="35">
        <v>4.2923641999999998E-2</v>
      </c>
    </row>
    <row r="6179" spans="103:104" x14ac:dyDescent="0.3">
      <c r="CY6179" s="34" t="s">
        <v>7106</v>
      </c>
      <c r="CZ6179" s="35">
        <v>0.104468414</v>
      </c>
    </row>
    <row r="6180" spans="103:104" x14ac:dyDescent="0.3">
      <c r="CY6180" s="34" t="s">
        <v>7107</v>
      </c>
      <c r="CZ6180" s="35">
        <v>2.7693204999999999E-2</v>
      </c>
    </row>
    <row r="6181" spans="103:104" x14ac:dyDescent="0.3">
      <c r="CY6181" s="34" t="s">
        <v>7108</v>
      </c>
      <c r="CZ6181" s="35">
        <v>1.0518587855999999E-2</v>
      </c>
    </row>
    <row r="6182" spans="103:104" x14ac:dyDescent="0.3">
      <c r="CY6182" s="34" t="s">
        <v>7109</v>
      </c>
      <c r="CZ6182" s="35">
        <v>0.24786995358333336</v>
      </c>
    </row>
    <row r="6183" spans="103:104" x14ac:dyDescent="0.3">
      <c r="CY6183" s="34" t="s">
        <v>7110</v>
      </c>
      <c r="CZ6183" s="35">
        <v>0.27558549758333334</v>
      </c>
    </row>
    <row r="6184" spans="103:104" x14ac:dyDescent="0.3">
      <c r="CY6184" s="34" t="s">
        <v>7111</v>
      </c>
      <c r="CZ6184" s="35">
        <v>6.3408543373333334E-2</v>
      </c>
    </row>
    <row r="6185" spans="103:104" x14ac:dyDescent="0.3">
      <c r="CY6185" s="34" t="s">
        <v>7112</v>
      </c>
      <c r="CZ6185" s="35">
        <v>9.7550399999999987E-4</v>
      </c>
    </row>
    <row r="6186" spans="103:104" x14ac:dyDescent="0.3">
      <c r="CY6186" s="34" t="s">
        <v>7113</v>
      </c>
      <c r="CZ6186" s="35">
        <v>5.2471759999999999E-2</v>
      </c>
    </row>
    <row r="6187" spans="103:104" x14ac:dyDescent="0.3">
      <c r="CY6187" s="34" t="s">
        <v>7114</v>
      </c>
      <c r="CZ6187" s="35">
        <v>2.505104E-2</v>
      </c>
    </row>
    <row r="6188" spans="103:104" x14ac:dyDescent="0.3">
      <c r="CY6188" s="34" t="s">
        <v>7115</v>
      </c>
      <c r="CZ6188" s="35">
        <v>4.2626453299999999E-2</v>
      </c>
    </row>
    <row r="6189" spans="103:104" x14ac:dyDescent="0.3">
      <c r="CY6189" s="34" t="s">
        <v>7116</v>
      </c>
      <c r="CZ6189" s="35">
        <v>2.2274880000000004E-2</v>
      </c>
    </row>
    <row r="6190" spans="103:104" x14ac:dyDescent="0.3">
      <c r="CY6190" s="34" t="s">
        <v>7117</v>
      </c>
      <c r="CZ6190" s="35">
        <v>2.8695040000000002E-2</v>
      </c>
    </row>
    <row r="6191" spans="103:104" x14ac:dyDescent="0.3">
      <c r="CY6191" s="34" t="s">
        <v>7118</v>
      </c>
      <c r="CZ6191" s="35">
        <v>2.5163520000000002E-2</v>
      </c>
    </row>
    <row r="6192" spans="103:104" x14ac:dyDescent="0.3">
      <c r="CY6192" s="34" t="s">
        <v>7119</v>
      </c>
      <c r="CZ6192" s="35">
        <v>2.9408640000000003E-2</v>
      </c>
    </row>
    <row r="6193" spans="103:104" x14ac:dyDescent="0.3">
      <c r="CY6193" s="34" t="s">
        <v>7120</v>
      </c>
      <c r="CZ6193" s="35">
        <v>0.26553139999999997</v>
      </c>
    </row>
    <row r="6194" spans="103:104" x14ac:dyDescent="0.3">
      <c r="CY6194" s="34" t="s">
        <v>7121</v>
      </c>
      <c r="CZ6194" s="35">
        <v>0.29058623741666662</v>
      </c>
    </row>
    <row r="6195" spans="103:104" x14ac:dyDescent="0.3">
      <c r="CY6195" s="34" t="s">
        <v>7122</v>
      </c>
      <c r="CZ6195" s="35">
        <v>6.9816580000000003E-2</v>
      </c>
    </row>
    <row r="6196" spans="103:104" x14ac:dyDescent="0.3">
      <c r="CY6196" s="34" t="s">
        <v>7123</v>
      </c>
      <c r="CZ6196" s="35">
        <v>1.7950560000000001E-2</v>
      </c>
    </row>
    <row r="6197" spans="103:104" x14ac:dyDescent="0.3">
      <c r="CY6197" s="34" t="s">
        <v>7124</v>
      </c>
      <c r="CZ6197" s="35">
        <v>2.3799520000000001E-2</v>
      </c>
    </row>
    <row r="6198" spans="103:104" x14ac:dyDescent="0.3">
      <c r="CY6198" s="34" t="s">
        <v>7125</v>
      </c>
      <c r="CZ6198" s="35">
        <v>4.1316560000000002E-2</v>
      </c>
    </row>
    <row r="6199" spans="103:104" x14ac:dyDescent="0.3">
      <c r="CY6199" s="34" t="s">
        <v>7126</v>
      </c>
      <c r="CZ6199" s="35">
        <v>1.7665096000000002E-2</v>
      </c>
    </row>
    <row r="6200" spans="103:104" x14ac:dyDescent="0.3">
      <c r="CY6200" s="34" t="s">
        <v>7127</v>
      </c>
      <c r="CZ6200" s="35">
        <v>1.9915487999999999E-3</v>
      </c>
    </row>
    <row r="6201" spans="103:104" x14ac:dyDescent="0.3">
      <c r="CY6201" s="34" t="s">
        <v>7128</v>
      </c>
      <c r="CZ6201" s="35">
        <v>0.18102615999999999</v>
      </c>
    </row>
    <row r="6202" spans="103:104" x14ac:dyDescent="0.3">
      <c r="CY6202" s="34" t="s">
        <v>7129</v>
      </c>
      <c r="CZ6202" s="35">
        <v>8.7975119999999987E-3</v>
      </c>
    </row>
    <row r="6203" spans="103:104" x14ac:dyDescent="0.3">
      <c r="CY6203" s="34" t="s">
        <v>7130</v>
      </c>
      <c r="CZ6203" s="35">
        <v>7.0186959999999996E-3</v>
      </c>
    </row>
    <row r="6204" spans="103:104" x14ac:dyDescent="0.3">
      <c r="CY6204" s="34" t="s">
        <v>7131</v>
      </c>
      <c r="CZ6204" s="35">
        <v>4.7402504320000004E-2</v>
      </c>
    </row>
    <row r="6205" spans="103:104" x14ac:dyDescent="0.3">
      <c r="CY6205" s="34" t="s">
        <v>7132</v>
      </c>
      <c r="CZ6205" s="35">
        <v>9.0212848000000012E-3</v>
      </c>
    </row>
    <row r="6206" spans="103:104" x14ac:dyDescent="0.3">
      <c r="CY6206" s="34" t="s">
        <v>7133</v>
      </c>
      <c r="CZ6206" s="35">
        <v>1.3786261329999999E-2</v>
      </c>
    </row>
    <row r="6207" spans="103:104" x14ac:dyDescent="0.3">
      <c r="CY6207" s="34" t="s">
        <v>7134</v>
      </c>
      <c r="CZ6207" s="35">
        <v>1.0430788571428571E-3</v>
      </c>
    </row>
    <row r="6208" spans="103:104" x14ac:dyDescent="0.3">
      <c r="CY6208" s="34" t="s">
        <v>7135</v>
      </c>
      <c r="CZ6208" s="35">
        <v>2.0564719999999997E-3</v>
      </c>
    </row>
    <row r="6209" spans="103:104" x14ac:dyDescent="0.3">
      <c r="CY6209" s="34" t="s">
        <v>7136</v>
      </c>
      <c r="CZ6209" s="35">
        <v>9.8422399999999991E-4</v>
      </c>
    </row>
    <row r="6210" spans="103:104" x14ac:dyDescent="0.3">
      <c r="CY6210" s="34" t="s">
        <v>7137</v>
      </c>
      <c r="CZ6210" s="35">
        <v>1.2026069333333335E-3</v>
      </c>
    </row>
    <row r="6211" spans="103:104" x14ac:dyDescent="0.3">
      <c r="CY6211" s="34" t="s">
        <v>7138</v>
      </c>
      <c r="CZ6211" s="35">
        <v>1.8915692000000001E-3</v>
      </c>
    </row>
    <row r="6212" spans="103:104" x14ac:dyDescent="0.3">
      <c r="CY6212" s="34" t="s">
        <v>7139</v>
      </c>
      <c r="CZ6212" s="35">
        <v>2.380152E-2</v>
      </c>
    </row>
    <row r="6213" spans="103:104" x14ac:dyDescent="0.3">
      <c r="CY6213" s="34" t="s">
        <v>7140</v>
      </c>
      <c r="CZ6213" s="35">
        <v>3.5748799999999997E-2</v>
      </c>
    </row>
    <row r="6214" spans="103:104" x14ac:dyDescent="0.3">
      <c r="CY6214" s="34" t="s">
        <v>7141</v>
      </c>
      <c r="CZ6214" s="35">
        <v>1.8670261693333335E-3</v>
      </c>
    </row>
    <row r="6215" spans="103:104" x14ac:dyDescent="0.3">
      <c r="CY6215" s="34" t="s">
        <v>7142</v>
      </c>
      <c r="CZ6215" s="35">
        <v>4.092552E-2</v>
      </c>
    </row>
    <row r="6216" spans="103:104" x14ac:dyDescent="0.3">
      <c r="CY6216" s="34" t="s">
        <v>7143</v>
      </c>
      <c r="CZ6216" s="35">
        <v>2.5783301000000002E-3</v>
      </c>
    </row>
    <row r="6217" spans="103:104" x14ac:dyDescent="0.3">
      <c r="CY6217" s="34" t="s">
        <v>7144</v>
      </c>
      <c r="CZ6217" s="35">
        <v>0.13136422</v>
      </c>
    </row>
    <row r="6218" spans="103:104" x14ac:dyDescent="0.3">
      <c r="CY6218" s="34" t="s">
        <v>7145</v>
      </c>
      <c r="CZ6218" s="35">
        <v>6.3082420800000011E-2</v>
      </c>
    </row>
    <row r="6219" spans="103:104" x14ac:dyDescent="0.3">
      <c r="CY6219" s="34" t="s">
        <v>7146</v>
      </c>
      <c r="CZ6219" s="35">
        <v>7.3703399999999991E-4</v>
      </c>
    </row>
    <row r="6220" spans="103:104" x14ac:dyDescent="0.3">
      <c r="CY6220" s="34" t="s">
        <v>7147</v>
      </c>
      <c r="CZ6220" s="35">
        <v>2.3833947000000003E-3</v>
      </c>
    </row>
    <row r="6221" spans="103:104" x14ac:dyDescent="0.3">
      <c r="CY6221" s="34" t="s">
        <v>7148</v>
      </c>
      <c r="CZ6221" s="35">
        <v>5.0432068559999998E-3</v>
      </c>
    </row>
    <row r="6222" spans="103:104" x14ac:dyDescent="0.3">
      <c r="CY6222" s="34" t="s">
        <v>7149</v>
      </c>
      <c r="CZ6222" s="35">
        <v>6.0018175999999999E-2</v>
      </c>
    </row>
    <row r="6223" spans="103:104" x14ac:dyDescent="0.3">
      <c r="CY6223" s="34" t="s">
        <v>7150</v>
      </c>
      <c r="CZ6223" s="35">
        <v>5.9512176E-2</v>
      </c>
    </row>
    <row r="6224" spans="103:104" x14ac:dyDescent="0.3">
      <c r="CY6224" s="34" t="s">
        <v>7151</v>
      </c>
      <c r="CZ6224" s="35">
        <v>5.9512176E-2</v>
      </c>
    </row>
    <row r="6225" spans="103:104" x14ac:dyDescent="0.3">
      <c r="CY6225" s="34" t="s">
        <v>7152</v>
      </c>
      <c r="CZ6225" s="35">
        <v>5.9512176E-2</v>
      </c>
    </row>
    <row r="6226" spans="103:104" x14ac:dyDescent="0.3">
      <c r="CY6226" s="34" t="s">
        <v>7153</v>
      </c>
      <c r="CZ6226" s="35">
        <v>4.5398115999999999E-5</v>
      </c>
    </row>
    <row r="6227" spans="103:104" x14ac:dyDescent="0.3">
      <c r="CY6227" s="34" t="s">
        <v>7154</v>
      </c>
      <c r="CZ6227" s="35">
        <v>1.073905248E-2</v>
      </c>
    </row>
    <row r="6228" spans="103:104" x14ac:dyDescent="0.3">
      <c r="CY6228" s="34" t="s">
        <v>7155</v>
      </c>
      <c r="CZ6228" s="35">
        <v>1.8113840000000001E-3</v>
      </c>
    </row>
    <row r="6229" spans="103:104" x14ac:dyDescent="0.3">
      <c r="CY6229" s="34" t="s">
        <v>7156</v>
      </c>
      <c r="CZ6229" s="35">
        <v>3.7157279999999997E-3</v>
      </c>
    </row>
    <row r="6230" spans="103:104" x14ac:dyDescent="0.3">
      <c r="CY6230" s="34" t="s">
        <v>7157</v>
      </c>
      <c r="CZ6230" s="35">
        <v>1.3488573333333333E-3</v>
      </c>
    </row>
    <row r="6231" spans="103:104" x14ac:dyDescent="0.3">
      <c r="CY6231" s="34" t="s">
        <v>7158</v>
      </c>
      <c r="CZ6231" s="35">
        <v>2.0589593344000003E-3</v>
      </c>
    </row>
    <row r="6232" spans="103:104" x14ac:dyDescent="0.3">
      <c r="CY6232" s="34" t="s">
        <v>7159</v>
      </c>
      <c r="CZ6232" s="35">
        <v>0.1394532</v>
      </c>
    </row>
    <row r="6233" spans="103:104" x14ac:dyDescent="0.3">
      <c r="CY6233" s="34" t="s">
        <v>7160</v>
      </c>
      <c r="CZ6233" s="35">
        <v>4.2341589999999995E-3</v>
      </c>
    </row>
    <row r="6234" spans="103:104" x14ac:dyDescent="0.3">
      <c r="CY6234" s="34" t="s">
        <v>7161</v>
      </c>
      <c r="CZ6234" s="35">
        <v>7.3747771249999998E-3</v>
      </c>
    </row>
    <row r="6235" spans="103:104" x14ac:dyDescent="0.3">
      <c r="CY6235" s="34" t="s">
        <v>7162</v>
      </c>
      <c r="CZ6235" s="35">
        <v>1.1630713785714286E-2</v>
      </c>
    </row>
    <row r="6236" spans="103:104" x14ac:dyDescent="0.3">
      <c r="CY6236" s="34" t="s">
        <v>7163</v>
      </c>
      <c r="CZ6236" s="35">
        <v>2.7515599999999997E-3</v>
      </c>
    </row>
    <row r="6237" spans="103:104" x14ac:dyDescent="0.3">
      <c r="CY6237" s="34" t="s">
        <v>7164</v>
      </c>
      <c r="CZ6237" s="35">
        <v>1.9412774000000001E-3</v>
      </c>
    </row>
    <row r="6238" spans="103:104" x14ac:dyDescent="0.3">
      <c r="CY6238" s="34" t="s">
        <v>7165</v>
      </c>
      <c r="CZ6238" s="35">
        <v>1.3467303999999999E-2</v>
      </c>
    </row>
    <row r="6239" spans="103:104" x14ac:dyDescent="0.3">
      <c r="CY6239" s="34" t="s">
        <v>7166</v>
      </c>
      <c r="CZ6239" s="35">
        <v>1.2347776000000001E-2</v>
      </c>
    </row>
    <row r="6240" spans="103:104" x14ac:dyDescent="0.3">
      <c r="CY6240" s="34" t="s">
        <v>7167</v>
      </c>
      <c r="CZ6240" s="35">
        <v>1.597724E-2</v>
      </c>
    </row>
    <row r="6241" spans="103:104" x14ac:dyDescent="0.3">
      <c r="CY6241" s="34" t="s">
        <v>7168</v>
      </c>
      <c r="CZ6241" s="35">
        <v>6.0124880000000007E-3</v>
      </c>
    </row>
    <row r="6242" spans="103:104" x14ac:dyDescent="0.3">
      <c r="CY6242" s="34" t="s">
        <v>7169</v>
      </c>
      <c r="CZ6242" s="35">
        <v>8.8633066999999999E-4</v>
      </c>
    </row>
    <row r="6243" spans="103:104" x14ac:dyDescent="0.3">
      <c r="CY6243" s="34" t="s">
        <v>7170</v>
      </c>
      <c r="CZ6243" s="35">
        <v>9.2506528000000003E-5</v>
      </c>
    </row>
    <row r="6244" spans="103:104" x14ac:dyDescent="0.3">
      <c r="CY6244" s="34" t="s">
        <v>7171</v>
      </c>
      <c r="CZ6244" s="35">
        <v>1.216614591163659E-3</v>
      </c>
    </row>
    <row r="6245" spans="103:104" x14ac:dyDescent="0.3">
      <c r="CY6245" s="34" t="s">
        <v>7172</v>
      </c>
      <c r="CZ6245" s="35">
        <v>7.0067455744000001E-2</v>
      </c>
    </row>
    <row r="6246" spans="103:104" x14ac:dyDescent="0.3">
      <c r="CY6246" s="34" t="s">
        <v>7173</v>
      </c>
      <c r="CZ6246" s="35">
        <v>8.8962664E-3</v>
      </c>
    </row>
    <row r="6247" spans="103:104" x14ac:dyDescent="0.3">
      <c r="CY6247" s="34" t="s">
        <v>7174</v>
      </c>
      <c r="CZ6247" s="35">
        <v>8.8962664E-3</v>
      </c>
    </row>
    <row r="6248" spans="103:104" x14ac:dyDescent="0.3">
      <c r="CY6248" s="34" t="s">
        <v>7175</v>
      </c>
      <c r="CZ6248" s="35">
        <v>3.6390980000000003E-3</v>
      </c>
    </row>
    <row r="6249" spans="103:104" x14ac:dyDescent="0.3">
      <c r="CY6249" s="34" t="s">
        <v>7176</v>
      </c>
      <c r="CZ6249" s="35">
        <v>3.6390980000000003E-3</v>
      </c>
    </row>
    <row r="6250" spans="103:104" x14ac:dyDescent="0.3">
      <c r="CY6250" s="34" t="s">
        <v>7177</v>
      </c>
      <c r="CZ6250" s="35">
        <v>4.7747504000000005E-3</v>
      </c>
    </row>
    <row r="6251" spans="103:104" x14ac:dyDescent="0.3">
      <c r="CY6251" s="34" t="s">
        <v>7178</v>
      </c>
      <c r="CZ6251" s="35">
        <v>4.7747504000000005E-3</v>
      </c>
    </row>
    <row r="6252" spans="103:104" x14ac:dyDescent="0.3">
      <c r="CY6252" s="34" t="s">
        <v>7179</v>
      </c>
      <c r="CZ6252" s="35">
        <v>1.4461099999999998E-3</v>
      </c>
    </row>
    <row r="6253" spans="103:104" x14ac:dyDescent="0.3">
      <c r="CY6253" s="34" t="s">
        <v>7180</v>
      </c>
      <c r="CZ6253" s="35">
        <v>1.6225884799999997E-3</v>
      </c>
    </row>
    <row r="6254" spans="103:104" x14ac:dyDescent="0.3">
      <c r="CY6254" s="34" t="s">
        <v>7181</v>
      </c>
      <c r="CZ6254" s="35">
        <v>4.2750442650000002E-4</v>
      </c>
    </row>
    <row r="6255" spans="103:104" x14ac:dyDescent="0.3">
      <c r="CY6255" s="34" t="s">
        <v>7182</v>
      </c>
      <c r="CZ6255" s="35">
        <v>4.07556E-4</v>
      </c>
    </row>
    <row r="6256" spans="103:104" x14ac:dyDescent="0.3">
      <c r="CY6256" s="34" t="s">
        <v>7183</v>
      </c>
      <c r="CZ6256" s="35">
        <v>8.2148711100000008E-3</v>
      </c>
    </row>
    <row r="6257" spans="103:104" x14ac:dyDescent="0.3">
      <c r="CY6257" s="34" t="s">
        <v>7184</v>
      </c>
      <c r="CZ6257" s="35">
        <v>8.3426488900000002E-3</v>
      </c>
    </row>
    <row r="6258" spans="103:104" x14ac:dyDescent="0.3">
      <c r="CY6258" s="34" t="s">
        <v>7185</v>
      </c>
      <c r="CZ6258" s="35">
        <v>1.0807448800000001E-2</v>
      </c>
    </row>
    <row r="6259" spans="103:104" x14ac:dyDescent="0.3">
      <c r="CY6259" s="34" t="s">
        <v>7186</v>
      </c>
      <c r="CZ6259" s="35">
        <v>8.3426488900000002E-3</v>
      </c>
    </row>
    <row r="6260" spans="103:104" x14ac:dyDescent="0.3">
      <c r="CY6260" s="34" t="s">
        <v>7187</v>
      </c>
      <c r="CZ6260" s="35">
        <v>3.4544160000000001E-3</v>
      </c>
    </row>
    <row r="6261" spans="103:104" x14ac:dyDescent="0.3">
      <c r="CY6261" s="34" t="s">
        <v>7188</v>
      </c>
      <c r="CZ6261" s="35">
        <v>2.8419680000000003E-2</v>
      </c>
    </row>
    <row r="6262" spans="103:104" x14ac:dyDescent="0.3">
      <c r="CY6262" s="34" t="s">
        <v>7189</v>
      </c>
      <c r="CZ6262" s="35">
        <v>6.7315519999999989E-4</v>
      </c>
    </row>
    <row r="6263" spans="103:104" x14ac:dyDescent="0.3">
      <c r="CY6263" s="34" t="s">
        <v>7190</v>
      </c>
      <c r="CZ6263" s="35">
        <v>1.1853935999999999E-2</v>
      </c>
    </row>
    <row r="6264" spans="103:104" x14ac:dyDescent="0.3">
      <c r="CY6264" s="34" t="s">
        <v>7191</v>
      </c>
      <c r="CZ6264" s="35">
        <v>3.1242453287999999E-2</v>
      </c>
    </row>
    <row r="6265" spans="103:104" x14ac:dyDescent="0.3">
      <c r="CY6265" s="34" t="s">
        <v>7192</v>
      </c>
      <c r="CZ6265" s="35">
        <v>5.5444232000000003E-2</v>
      </c>
    </row>
    <row r="6266" spans="103:104" x14ac:dyDescent="0.3">
      <c r="CY6266" s="34" t="s">
        <v>7193</v>
      </c>
      <c r="CZ6266" s="35">
        <v>1.4307089999999998E-3</v>
      </c>
    </row>
    <row r="6267" spans="103:104" x14ac:dyDescent="0.3">
      <c r="CY6267" s="34" t="s">
        <v>7194</v>
      </c>
      <c r="CZ6267" s="35">
        <v>3.8269666399999999E-2</v>
      </c>
    </row>
    <row r="6268" spans="103:104" x14ac:dyDescent="0.3">
      <c r="CY6268" s="34" t="s">
        <v>7195</v>
      </c>
      <c r="CZ6268" s="35">
        <v>6.3082420800000011E-2</v>
      </c>
    </row>
    <row r="6269" spans="103:104" x14ac:dyDescent="0.3">
      <c r="CY6269" s="34" t="s">
        <v>7196</v>
      </c>
      <c r="CZ6269" s="35">
        <v>6.3082420799999997E-2</v>
      </c>
    </row>
    <row r="6270" spans="103:104" x14ac:dyDescent="0.3">
      <c r="CY6270" s="34" t="s">
        <v>7197</v>
      </c>
      <c r="CZ6270" s="35">
        <v>8.026247999999998E-3</v>
      </c>
    </row>
    <row r="6271" spans="103:104" x14ac:dyDescent="0.3">
      <c r="CY6271" s="34" t="s">
        <v>7198</v>
      </c>
      <c r="CZ6271" s="35">
        <v>2.0053508000000001E-2</v>
      </c>
    </row>
    <row r="6272" spans="103:104" x14ac:dyDescent="0.3">
      <c r="CY6272" s="34" t="s">
        <v>7199</v>
      </c>
      <c r="CZ6272" s="35">
        <v>3.4023249535999997E-3</v>
      </c>
    </row>
    <row r="6273" spans="103:104" x14ac:dyDescent="0.3">
      <c r="CY6273" s="34" t="s">
        <v>7200</v>
      </c>
      <c r="CZ6273" s="35">
        <v>3.8312351999999997E-3</v>
      </c>
    </row>
    <row r="6274" spans="103:104" x14ac:dyDescent="0.3">
      <c r="CY6274" s="34" t="s">
        <v>7201</v>
      </c>
      <c r="CZ6274" s="35">
        <v>0.20816688571111111</v>
      </c>
    </row>
    <row r="6275" spans="103:104" x14ac:dyDescent="0.3">
      <c r="CY6275" s="34" t="s">
        <v>7202</v>
      </c>
      <c r="CZ6275" s="35">
        <v>1.9541504000000001E-2</v>
      </c>
    </row>
    <row r="6276" spans="103:104" x14ac:dyDescent="0.3">
      <c r="CY6276" s="34" t="s">
        <v>7203</v>
      </c>
      <c r="CZ6276" s="35">
        <v>0.21782168159999998</v>
      </c>
    </row>
    <row r="6277" spans="103:104" x14ac:dyDescent="0.3">
      <c r="CY6277" s="34" t="s">
        <v>7204</v>
      </c>
      <c r="CZ6277" s="35">
        <v>0.24962978</v>
      </c>
    </row>
    <row r="6278" spans="103:104" x14ac:dyDescent="0.3">
      <c r="CY6278" s="34" t="s">
        <v>7205</v>
      </c>
      <c r="CZ6278" s="35">
        <v>0.38396449999999999</v>
      </c>
    </row>
    <row r="6279" spans="103:104" x14ac:dyDescent="0.3">
      <c r="CY6279" s="34" t="s">
        <v>7206</v>
      </c>
      <c r="CZ6279" s="35">
        <v>0.38396449999999999</v>
      </c>
    </row>
    <row r="6280" spans="103:104" x14ac:dyDescent="0.3">
      <c r="CY6280" s="34" t="s">
        <v>7207</v>
      </c>
      <c r="CZ6280" s="35">
        <v>0.6392199999999999</v>
      </c>
    </row>
    <row r="6281" spans="103:104" x14ac:dyDescent="0.3">
      <c r="CY6281" s="34" t="s">
        <v>7208</v>
      </c>
      <c r="CZ6281" s="35">
        <v>0.16746586669999999</v>
      </c>
    </row>
    <row r="6282" spans="103:104" x14ac:dyDescent="0.3">
      <c r="CY6282" s="34" t="s">
        <v>7209</v>
      </c>
      <c r="CZ6282" s="35">
        <v>0.16746586669999999</v>
      </c>
    </row>
    <row r="6283" spans="103:104" x14ac:dyDescent="0.3">
      <c r="CY6283" s="34" t="s">
        <v>7210</v>
      </c>
      <c r="CZ6283" s="35">
        <v>0.4150605</v>
      </c>
    </row>
    <row r="6284" spans="103:104" x14ac:dyDescent="0.3">
      <c r="CY6284" s="34" t="s">
        <v>7211</v>
      </c>
      <c r="CZ6284" s="35">
        <v>0.5097229432</v>
      </c>
    </row>
    <row r="6285" spans="103:104" x14ac:dyDescent="0.3">
      <c r="CY6285" s="34" t="s">
        <v>7212</v>
      </c>
      <c r="CZ6285" s="35">
        <v>0.38396449999999999</v>
      </c>
    </row>
    <row r="6286" spans="103:104" x14ac:dyDescent="0.3">
      <c r="CY6286" s="34" t="s">
        <v>7213</v>
      </c>
      <c r="CZ6286" s="35">
        <v>3.2713178000000002E-2</v>
      </c>
    </row>
    <row r="6287" spans="103:104" x14ac:dyDescent="0.3">
      <c r="CY6287" s="34" t="s">
        <v>7214</v>
      </c>
      <c r="CZ6287" s="35">
        <v>3.8097079999999998E-3</v>
      </c>
    </row>
    <row r="6288" spans="103:104" x14ac:dyDescent="0.3">
      <c r="CY6288" s="34" t="s">
        <v>7215</v>
      </c>
      <c r="CZ6288" s="35">
        <v>2.3738340000000004E-3</v>
      </c>
    </row>
    <row r="6289" spans="103:104" x14ac:dyDescent="0.3">
      <c r="CY6289" s="34" t="s">
        <v>7216</v>
      </c>
      <c r="CZ6289" s="35">
        <v>3.7558048E-3</v>
      </c>
    </row>
    <row r="6290" spans="103:104" x14ac:dyDescent="0.3">
      <c r="CY6290" s="34" t="s">
        <v>7217</v>
      </c>
      <c r="CZ6290" s="35">
        <v>4.8596560000000004E-3</v>
      </c>
    </row>
    <row r="6291" spans="103:104" x14ac:dyDescent="0.3">
      <c r="CY6291" s="34" t="s">
        <v>7218</v>
      </c>
      <c r="CZ6291" s="35">
        <v>4.5314180000000006E-3</v>
      </c>
    </row>
    <row r="6292" spans="103:104" x14ac:dyDescent="0.3">
      <c r="CY6292" s="34" t="s">
        <v>7219</v>
      </c>
      <c r="CZ6292" s="35">
        <v>9.5192106624999995E-3</v>
      </c>
    </row>
    <row r="6293" spans="103:104" x14ac:dyDescent="0.3">
      <c r="CY6293" s="34" t="s">
        <v>7220</v>
      </c>
      <c r="CZ6293" s="35">
        <v>1.2674407999999999E-3</v>
      </c>
    </row>
    <row r="6294" spans="103:104" x14ac:dyDescent="0.3">
      <c r="CY6294" s="34" t="s">
        <v>7221</v>
      </c>
      <c r="CZ6294" s="35">
        <v>1.0115104E-2</v>
      </c>
    </row>
    <row r="6295" spans="103:104" x14ac:dyDescent="0.3">
      <c r="CY6295" s="34" t="s">
        <v>7222</v>
      </c>
      <c r="CZ6295" s="35">
        <v>2.6301406539999999E-2</v>
      </c>
    </row>
    <row r="6296" spans="103:104" x14ac:dyDescent="0.3">
      <c r="CY6296" s="34" t="s">
        <v>7223</v>
      </c>
      <c r="CZ6296" s="35">
        <v>2.6832687999999993E-3</v>
      </c>
    </row>
    <row r="6297" spans="103:104" x14ac:dyDescent="0.3">
      <c r="CY6297" s="34" t="s">
        <v>7224</v>
      </c>
      <c r="CZ6297" s="35">
        <v>3.3300602666666665E-2</v>
      </c>
    </row>
    <row r="6298" spans="103:104" x14ac:dyDescent="0.3">
      <c r="CY6298" s="34" t="s">
        <v>7225</v>
      </c>
      <c r="CZ6298" s="35">
        <v>2.7999889600000001E-2</v>
      </c>
    </row>
    <row r="6299" spans="103:104" x14ac:dyDescent="0.3">
      <c r="CY6299" s="34" t="s">
        <v>7226</v>
      </c>
      <c r="CZ6299" s="35">
        <v>3.4467690000000002E-2</v>
      </c>
    </row>
    <row r="6300" spans="103:104" x14ac:dyDescent="0.3">
      <c r="CY6300" s="34" t="s">
        <v>7227</v>
      </c>
      <c r="CZ6300" s="35">
        <v>3.4307690000000002E-2</v>
      </c>
    </row>
    <row r="6301" spans="103:104" x14ac:dyDescent="0.3">
      <c r="CY6301" s="34" t="s">
        <v>7228</v>
      </c>
      <c r="CZ6301" s="35">
        <v>1.2696039999999999E-2</v>
      </c>
    </row>
    <row r="6302" spans="103:104" x14ac:dyDescent="0.3">
      <c r="CY6302" s="34" t="s">
        <v>7229</v>
      </c>
      <c r="CZ6302" s="35">
        <v>3.5448626678571432E-2</v>
      </c>
    </row>
    <row r="6303" spans="103:104" x14ac:dyDescent="0.3">
      <c r="CY6303" s="34" t="s">
        <v>7230</v>
      </c>
      <c r="CZ6303" s="35">
        <v>6.5290533333333331E-3</v>
      </c>
    </row>
    <row r="6304" spans="103:104" x14ac:dyDescent="0.3">
      <c r="CY6304" s="34" t="s">
        <v>7231</v>
      </c>
      <c r="CZ6304" s="35">
        <v>6.0418533333333338E-3</v>
      </c>
    </row>
    <row r="6305" spans="103:104" x14ac:dyDescent="0.3">
      <c r="CY6305" s="34" t="s">
        <v>7232</v>
      </c>
      <c r="CZ6305" s="35">
        <v>8.6542719999999993E-3</v>
      </c>
    </row>
    <row r="6306" spans="103:104" x14ac:dyDescent="0.3">
      <c r="CY6306" s="34" t="s">
        <v>7233</v>
      </c>
      <c r="CZ6306" s="35">
        <v>7.2265600000000008E-3</v>
      </c>
    </row>
    <row r="6307" spans="103:104" x14ac:dyDescent="0.3">
      <c r="CY6307" s="34" t="s">
        <v>7234</v>
      </c>
      <c r="CZ6307" s="35">
        <v>9.5565760000000007E-3</v>
      </c>
    </row>
    <row r="6308" spans="103:104" x14ac:dyDescent="0.3">
      <c r="CY6308" s="34" t="s">
        <v>7235</v>
      </c>
      <c r="CZ6308" s="35">
        <v>1.2617005333333332E-2</v>
      </c>
    </row>
    <row r="6309" spans="103:104" x14ac:dyDescent="0.3">
      <c r="CY6309" s="34" t="s">
        <v>7236</v>
      </c>
      <c r="CZ6309" s="35">
        <v>1.1749789333333333E-2</v>
      </c>
    </row>
    <row r="6310" spans="103:104" x14ac:dyDescent="0.3">
      <c r="CY6310" s="34" t="s">
        <v>7237</v>
      </c>
      <c r="CZ6310" s="35">
        <v>1.2795613333333334E-2</v>
      </c>
    </row>
    <row r="6311" spans="103:104" x14ac:dyDescent="0.3">
      <c r="CY6311" s="34" t="s">
        <v>7238</v>
      </c>
      <c r="CZ6311" s="35">
        <v>9.1506120000000007E-3</v>
      </c>
    </row>
    <row r="6312" spans="103:104" x14ac:dyDescent="0.3">
      <c r="CY6312" s="34" t="s">
        <v>7239</v>
      </c>
      <c r="CZ6312" s="35">
        <v>6.7596461330000001E-4</v>
      </c>
    </row>
    <row r="6313" spans="103:104" x14ac:dyDescent="0.3">
      <c r="CY6313" s="34" t="s">
        <v>7240</v>
      </c>
      <c r="CZ6313" s="35">
        <v>1.8299591967999997E-2</v>
      </c>
    </row>
    <row r="6314" spans="103:104" x14ac:dyDescent="0.3">
      <c r="CY6314" s="34" t="s">
        <v>7241</v>
      </c>
      <c r="CZ6314" s="35">
        <v>0.25115166659999999</v>
      </c>
    </row>
    <row r="6315" spans="103:104" x14ac:dyDescent="0.3">
      <c r="CY6315" s="34" t="s">
        <v>7242</v>
      </c>
      <c r="CZ6315" s="35">
        <v>3.9167722999999995E-4</v>
      </c>
    </row>
    <row r="6316" spans="103:104" x14ac:dyDescent="0.3">
      <c r="CY6316" s="34" t="s">
        <v>7243</v>
      </c>
      <c r="CZ6316" s="35">
        <v>6.3578127999999994E-4</v>
      </c>
    </row>
    <row r="6317" spans="103:104" x14ac:dyDescent="0.3">
      <c r="CY6317" s="34" t="s">
        <v>7244</v>
      </c>
      <c r="CZ6317" s="35">
        <v>9.7488000000000002E-4</v>
      </c>
    </row>
    <row r="6318" spans="103:104" x14ac:dyDescent="0.3">
      <c r="CY6318" s="34" t="s">
        <v>7245</v>
      </c>
      <c r="CZ6318" s="35">
        <v>4.0466096E-2</v>
      </c>
    </row>
    <row r="6319" spans="103:104" x14ac:dyDescent="0.3">
      <c r="CY6319" s="34" t="s">
        <v>7246</v>
      </c>
      <c r="CZ6319" s="35">
        <v>4.152755520000001E-2</v>
      </c>
    </row>
    <row r="6320" spans="103:104" x14ac:dyDescent="0.3">
      <c r="CY6320" s="34" t="s">
        <v>7247</v>
      </c>
      <c r="CZ6320" s="35">
        <v>2.341575111111111E-3</v>
      </c>
    </row>
    <row r="6321" spans="103:104" x14ac:dyDescent="0.3">
      <c r="CY6321" s="34" t="s">
        <v>7248</v>
      </c>
      <c r="CZ6321" s="35">
        <v>7.4439112219999997E-4</v>
      </c>
    </row>
    <row r="6322" spans="103:104" x14ac:dyDescent="0.3">
      <c r="CY6322" s="34" t="s">
        <v>7249</v>
      </c>
      <c r="CZ6322" s="35">
        <v>2.6742847999999998E-4</v>
      </c>
    </row>
    <row r="6323" spans="103:104" x14ac:dyDescent="0.3">
      <c r="CY6323" s="34" t="s">
        <v>7250</v>
      </c>
      <c r="CZ6323" s="35">
        <v>7.4916320000000002E-4</v>
      </c>
    </row>
    <row r="6324" spans="103:104" x14ac:dyDescent="0.3">
      <c r="CY6324" s="34" t="s">
        <v>7251</v>
      </c>
      <c r="CZ6324" s="35">
        <v>1.0375616E-3</v>
      </c>
    </row>
    <row r="6325" spans="103:104" x14ac:dyDescent="0.3">
      <c r="CY6325" s="34" t="s">
        <v>7252</v>
      </c>
      <c r="CZ6325" s="35">
        <v>1.5978592000000002E-3</v>
      </c>
    </row>
    <row r="6326" spans="103:104" x14ac:dyDescent="0.3">
      <c r="CY6326" s="34" t="s">
        <v>7253</v>
      </c>
      <c r="CZ6326" s="35">
        <v>1.8795776000000004E-2</v>
      </c>
    </row>
    <row r="6327" spans="103:104" x14ac:dyDescent="0.3">
      <c r="CY6327" s="34" t="s">
        <v>7254</v>
      </c>
      <c r="CZ6327" s="35">
        <v>3.6993949999999991E-2</v>
      </c>
    </row>
    <row r="6328" spans="103:104" x14ac:dyDescent="0.3">
      <c r="CY6328" s="34" t="s">
        <v>7255</v>
      </c>
      <c r="CZ6328" s="35">
        <v>7.9958159999999993E-4</v>
      </c>
    </row>
    <row r="6329" spans="103:104" x14ac:dyDescent="0.3">
      <c r="CY6329" s="34" t="s">
        <v>7256</v>
      </c>
      <c r="CZ6329" s="35">
        <v>8.5869599999999994E-4</v>
      </c>
    </row>
    <row r="6330" spans="103:104" x14ac:dyDescent="0.3">
      <c r="CY6330" s="34" t="s">
        <v>7257</v>
      </c>
      <c r="CZ6330" s="35">
        <v>0.30457666662499999</v>
      </c>
    </row>
    <row r="6331" spans="103:104" x14ac:dyDescent="0.3">
      <c r="CY6331" s="34" t="s">
        <v>7258</v>
      </c>
      <c r="CZ6331" s="35">
        <v>0.32947426662500001</v>
      </c>
    </row>
    <row r="6332" spans="103:104" x14ac:dyDescent="0.3">
      <c r="CY6332" s="34" t="s">
        <v>7259</v>
      </c>
      <c r="CZ6332" s="35">
        <v>0.1106719808</v>
      </c>
    </row>
    <row r="6333" spans="103:104" x14ac:dyDescent="0.3">
      <c r="CY6333" s="34" t="s">
        <v>7260</v>
      </c>
      <c r="CZ6333" s="35">
        <v>6.7014000000000004E-2</v>
      </c>
    </row>
    <row r="6334" spans="103:104" x14ac:dyDescent="0.3">
      <c r="CY6334" s="34" t="s">
        <v>7261</v>
      </c>
      <c r="CZ6334" s="35">
        <v>0.11132736</v>
      </c>
    </row>
    <row r="6335" spans="103:104" x14ac:dyDescent="0.3">
      <c r="CY6335" s="34" t="s">
        <v>7262</v>
      </c>
      <c r="CZ6335" s="35">
        <v>5.7586399999999996E-2</v>
      </c>
    </row>
    <row r="6336" spans="103:104" x14ac:dyDescent="0.3">
      <c r="CY6336" s="34" t="s">
        <v>7263</v>
      </c>
      <c r="CZ6336" s="35">
        <v>6.3934560000000001E-2</v>
      </c>
    </row>
    <row r="6337" spans="103:104" x14ac:dyDescent="0.3">
      <c r="CY6337" s="34" t="s">
        <v>7264</v>
      </c>
      <c r="CZ6337" s="35">
        <v>1.985096E-3</v>
      </c>
    </row>
    <row r="6338" spans="103:104" x14ac:dyDescent="0.3">
      <c r="CY6338" s="34" t="s">
        <v>7265</v>
      </c>
      <c r="CZ6338" s="35">
        <v>8.8027199999999998E-4</v>
      </c>
    </row>
    <row r="6339" spans="103:104" x14ac:dyDescent="0.3">
      <c r="CY6339" s="34" t="s">
        <v>7266</v>
      </c>
      <c r="CZ6339" s="35">
        <v>8.5220659999999998E-4</v>
      </c>
    </row>
    <row r="6340" spans="103:104" x14ac:dyDescent="0.3">
      <c r="CY6340" s="34" t="s">
        <v>7267</v>
      </c>
      <c r="CZ6340" s="35">
        <v>1.0245869354666667E-3</v>
      </c>
    </row>
    <row r="6341" spans="103:104" x14ac:dyDescent="0.3">
      <c r="CY6341" s="34" t="s">
        <v>7268</v>
      </c>
      <c r="CZ6341" s="35">
        <v>4.7301490000000009E-2</v>
      </c>
    </row>
    <row r="6342" spans="103:104" x14ac:dyDescent="0.3">
      <c r="CY6342" s="34" t="s">
        <v>7269</v>
      </c>
      <c r="CZ6342" s="35">
        <v>5.0537970000000002E-2</v>
      </c>
    </row>
    <row r="6343" spans="103:104" x14ac:dyDescent="0.3">
      <c r="CY6343" s="34" t="s">
        <v>7270</v>
      </c>
      <c r="CZ6343" s="35">
        <v>5.1503792350000008E-2</v>
      </c>
    </row>
    <row r="6344" spans="103:104" x14ac:dyDescent="0.3">
      <c r="CY6344" s="34" t="s">
        <v>7271</v>
      </c>
      <c r="CZ6344" s="35">
        <v>2.3150594250000003E-2</v>
      </c>
    </row>
    <row r="6345" spans="103:104" x14ac:dyDescent="0.3">
      <c r="CY6345" s="34" t="s">
        <v>7272</v>
      </c>
      <c r="CZ6345" s="35">
        <v>3.039488768E-2</v>
      </c>
    </row>
    <row r="6346" spans="103:104" x14ac:dyDescent="0.3">
      <c r="CY6346" s="34" t="s">
        <v>7273</v>
      </c>
      <c r="CZ6346" s="35">
        <v>4.1345813333333332E-3</v>
      </c>
    </row>
    <row r="6347" spans="103:104" x14ac:dyDescent="0.3">
      <c r="CY6347" s="34" t="s">
        <v>7274</v>
      </c>
      <c r="CZ6347" s="35">
        <v>6.9648400000000004E-4</v>
      </c>
    </row>
    <row r="6348" spans="103:104" x14ac:dyDescent="0.3">
      <c r="CY6348" s="34" t="s">
        <v>7275</v>
      </c>
      <c r="CZ6348" s="35">
        <v>4.9916160000000002E-4</v>
      </c>
    </row>
    <row r="6349" spans="103:104" x14ac:dyDescent="0.3">
      <c r="CY6349" s="34" t="s">
        <v>7276</v>
      </c>
      <c r="CZ6349" s="35">
        <v>6.5299028799999988E-3</v>
      </c>
    </row>
    <row r="6350" spans="103:104" x14ac:dyDescent="0.3">
      <c r="CY6350" s="34" t="s">
        <v>7277</v>
      </c>
      <c r="CZ6350" s="35">
        <v>6.5299028799999997E-3</v>
      </c>
    </row>
    <row r="6351" spans="103:104" x14ac:dyDescent="0.3">
      <c r="CY6351" s="34" t="s">
        <v>7278</v>
      </c>
      <c r="CZ6351" s="35">
        <v>8.9274053333333343E-3</v>
      </c>
    </row>
    <row r="6352" spans="103:104" x14ac:dyDescent="0.3">
      <c r="CY6352" s="34" t="s">
        <v>7279</v>
      </c>
      <c r="CZ6352" s="35">
        <v>1.7522159999999995E-2</v>
      </c>
    </row>
    <row r="6353" spans="103:104" x14ac:dyDescent="0.3">
      <c r="CY6353" s="34" t="s">
        <v>7280</v>
      </c>
      <c r="CZ6353" s="35">
        <v>8.5033946700000008E-3</v>
      </c>
    </row>
    <row r="6354" spans="103:104" x14ac:dyDescent="0.3">
      <c r="CY6354" s="34" t="s">
        <v>7281</v>
      </c>
      <c r="CZ6354" s="35">
        <v>1.1051176000000001E-2</v>
      </c>
    </row>
    <row r="6355" spans="103:104" x14ac:dyDescent="0.3">
      <c r="CY6355" s="34" t="s">
        <v>7282</v>
      </c>
      <c r="CZ6355" s="35">
        <v>1.5080553599999998E-3</v>
      </c>
    </row>
    <row r="6356" spans="103:104" x14ac:dyDescent="0.3">
      <c r="CY6356" s="34" t="s">
        <v>7283</v>
      </c>
      <c r="CZ6356" s="35">
        <v>4.4113440000000006E-4</v>
      </c>
    </row>
    <row r="6357" spans="103:104" x14ac:dyDescent="0.3">
      <c r="CY6357" s="34" t="s">
        <v>7284</v>
      </c>
      <c r="CZ6357" s="35">
        <v>5.8476769999999999E-3</v>
      </c>
    </row>
    <row r="6358" spans="103:104" x14ac:dyDescent="0.3">
      <c r="CY6358" s="34" t="s">
        <v>7285</v>
      </c>
      <c r="CZ6358" s="35">
        <v>1.3514214855555555E-2</v>
      </c>
    </row>
    <row r="6359" spans="103:104" x14ac:dyDescent="0.3">
      <c r="CY6359" s="34" t="s">
        <v>7286</v>
      </c>
      <c r="CZ6359" s="35">
        <v>8.3374653333333324E-4</v>
      </c>
    </row>
    <row r="6360" spans="103:104" x14ac:dyDescent="0.3">
      <c r="CY6360" s="34" t="s">
        <v>7287</v>
      </c>
      <c r="CZ6360" s="35">
        <v>7.0355519999999987E-4</v>
      </c>
    </row>
    <row r="6361" spans="103:104" x14ac:dyDescent="0.3">
      <c r="CY6361" s="34" t="s">
        <v>7288</v>
      </c>
      <c r="CZ6361" s="35">
        <v>7.7129394720000001E-3</v>
      </c>
    </row>
    <row r="6362" spans="103:104" x14ac:dyDescent="0.3">
      <c r="CY6362" s="34" t="s">
        <v>7289</v>
      </c>
      <c r="CZ6362" s="35">
        <v>1.143965E-3</v>
      </c>
    </row>
    <row r="6363" spans="103:104" x14ac:dyDescent="0.3">
      <c r="CY6363" s="34" t="s">
        <v>7290</v>
      </c>
      <c r="CZ6363" s="35">
        <v>4.1713840000000002E-2</v>
      </c>
    </row>
    <row r="6364" spans="103:104" x14ac:dyDescent="0.3">
      <c r="CY6364" s="34" t="s">
        <v>7291</v>
      </c>
      <c r="CZ6364" s="35">
        <v>1.8811791999999997E-2</v>
      </c>
    </row>
    <row r="6365" spans="103:104" x14ac:dyDescent="0.3">
      <c r="CY6365" s="34" t="s">
        <v>7292</v>
      </c>
      <c r="CZ6365" s="35">
        <v>9.7048399999999997E-4</v>
      </c>
    </row>
    <row r="6366" spans="103:104" x14ac:dyDescent="0.3">
      <c r="CY6366" s="34" t="s">
        <v>7293</v>
      </c>
      <c r="CZ6366" s="35">
        <v>2.6718266666666667E-3</v>
      </c>
    </row>
    <row r="6367" spans="103:104" x14ac:dyDescent="0.3">
      <c r="CY6367" s="34" t="s">
        <v>7294</v>
      </c>
      <c r="CZ6367" s="35">
        <v>6.1289039999999997E-4</v>
      </c>
    </row>
    <row r="6368" spans="103:104" x14ac:dyDescent="0.3">
      <c r="CY6368" s="34" t="s">
        <v>7295</v>
      </c>
      <c r="CZ6368" s="35">
        <v>0.13102800000000001</v>
      </c>
    </row>
    <row r="6369" spans="103:104" x14ac:dyDescent="0.3">
      <c r="CY6369" s="34" t="s">
        <v>7296</v>
      </c>
      <c r="CZ6369" s="35">
        <v>1.174556E-2</v>
      </c>
    </row>
    <row r="6370" spans="103:104" x14ac:dyDescent="0.3">
      <c r="CY6370" s="34" t="s">
        <v>7297</v>
      </c>
      <c r="CZ6370" s="35">
        <v>1.128556E-2</v>
      </c>
    </row>
    <row r="6371" spans="103:104" x14ac:dyDescent="0.3">
      <c r="CY6371" s="34" t="s">
        <v>7298</v>
      </c>
      <c r="CZ6371" s="35">
        <v>7.2611846400000004E-3</v>
      </c>
    </row>
    <row r="6372" spans="103:104" x14ac:dyDescent="0.3">
      <c r="CY6372" s="34" t="s">
        <v>7299</v>
      </c>
      <c r="CZ6372" s="35">
        <v>1.1716500000000001E-2</v>
      </c>
    </row>
    <row r="6373" spans="103:104" x14ac:dyDescent="0.3">
      <c r="CY6373" s="34" t="s">
        <v>7300</v>
      </c>
      <c r="CZ6373" s="35">
        <v>1.1716500000000001E-2</v>
      </c>
    </row>
    <row r="6374" spans="103:104" x14ac:dyDescent="0.3">
      <c r="CY6374" s="34" t="s">
        <v>7301</v>
      </c>
      <c r="CZ6374" s="35">
        <v>9.2090355555555559E-4</v>
      </c>
    </row>
    <row r="6375" spans="103:104" x14ac:dyDescent="0.3">
      <c r="CY6375" s="34" t="s">
        <v>7302</v>
      </c>
      <c r="CZ6375" s="35">
        <v>4.1880595555555559E-4</v>
      </c>
    </row>
    <row r="6376" spans="103:104" x14ac:dyDescent="0.3">
      <c r="CY6376" s="34" t="s">
        <v>7303</v>
      </c>
      <c r="CZ6376" s="35">
        <v>3.8824740000000003E-3</v>
      </c>
    </row>
    <row r="6377" spans="103:104" x14ac:dyDescent="0.3">
      <c r="CY6377" s="34" t="s">
        <v>7304</v>
      </c>
      <c r="CZ6377" s="35">
        <v>1.3102552E-2</v>
      </c>
    </row>
    <row r="6378" spans="103:104" x14ac:dyDescent="0.3">
      <c r="CY6378" s="34" t="s">
        <v>7305</v>
      </c>
      <c r="CZ6378" s="35">
        <v>1.6554623999999997E-2</v>
      </c>
    </row>
    <row r="6379" spans="103:104" x14ac:dyDescent="0.3">
      <c r="CY6379" s="34" t="s">
        <v>7306</v>
      </c>
      <c r="CZ6379" s="35">
        <v>2.1491333349999999E-2</v>
      </c>
    </row>
    <row r="6380" spans="103:104" x14ac:dyDescent="0.3">
      <c r="CY6380" s="34" t="s">
        <v>7307</v>
      </c>
      <c r="CZ6380" s="35">
        <v>2.343301335E-2</v>
      </c>
    </row>
    <row r="6381" spans="103:104" x14ac:dyDescent="0.3">
      <c r="CY6381" s="34" t="s">
        <v>7308</v>
      </c>
      <c r="CZ6381" s="35">
        <v>2.141042135E-2</v>
      </c>
    </row>
    <row r="6382" spans="103:104" x14ac:dyDescent="0.3">
      <c r="CY6382" s="34" t="s">
        <v>7309</v>
      </c>
      <c r="CZ6382" s="35">
        <v>2.5766773350000001E-2</v>
      </c>
    </row>
    <row r="6383" spans="103:104" x14ac:dyDescent="0.3">
      <c r="CY6383" s="34" t="s">
        <v>7310</v>
      </c>
      <c r="CZ6383" s="35">
        <v>2.343301335E-2</v>
      </c>
    </row>
    <row r="6384" spans="103:104" x14ac:dyDescent="0.3">
      <c r="CY6384" s="34" t="s">
        <v>7311</v>
      </c>
      <c r="CZ6384" s="35">
        <v>2.8953040000000003E-2</v>
      </c>
    </row>
    <row r="6385" spans="103:104" x14ac:dyDescent="0.3">
      <c r="CY6385" s="34" t="s">
        <v>7312</v>
      </c>
      <c r="CZ6385" s="35">
        <v>2.0150336000000005E-2</v>
      </c>
    </row>
    <row r="6386" spans="103:104" x14ac:dyDescent="0.3">
      <c r="CY6386" s="34" t="s">
        <v>7313</v>
      </c>
      <c r="CZ6386" s="35">
        <v>8.6643771504000006E-3</v>
      </c>
    </row>
    <row r="6387" spans="103:104" x14ac:dyDescent="0.3">
      <c r="CY6387" s="34" t="s">
        <v>7314</v>
      </c>
      <c r="CZ6387" s="35">
        <v>9.9981720000000013E-3</v>
      </c>
    </row>
    <row r="6388" spans="103:104" x14ac:dyDescent="0.3">
      <c r="CY6388" s="34" t="s">
        <v>7315</v>
      </c>
      <c r="CZ6388" s="35">
        <v>3.3728674200000003E-2</v>
      </c>
    </row>
    <row r="6389" spans="103:104" x14ac:dyDescent="0.3">
      <c r="CY6389" s="34" t="s">
        <v>7316</v>
      </c>
      <c r="CZ6389" s="35">
        <v>3.7219872000000001E-4</v>
      </c>
    </row>
    <row r="6390" spans="103:104" x14ac:dyDescent="0.3">
      <c r="CY6390" s="34" t="s">
        <v>7317</v>
      </c>
      <c r="CZ6390" s="35">
        <v>5.4060768000000002E-2</v>
      </c>
    </row>
    <row r="6391" spans="103:104" x14ac:dyDescent="0.3">
      <c r="CY6391" s="34" t="s">
        <v>7318</v>
      </c>
      <c r="CZ6391" s="35">
        <v>1.4345782399999998E-3</v>
      </c>
    </row>
    <row r="6392" spans="103:104" x14ac:dyDescent="0.3">
      <c r="CY6392" s="34" t="s">
        <v>7319</v>
      </c>
      <c r="CZ6392" s="35">
        <v>1.9178287999999997E-3</v>
      </c>
    </row>
    <row r="6393" spans="103:104" x14ac:dyDescent="0.3">
      <c r="CY6393" s="34" t="s">
        <v>7320</v>
      </c>
      <c r="CZ6393" s="35">
        <v>1.6838248000000001E-3</v>
      </c>
    </row>
    <row r="6394" spans="103:104" x14ac:dyDescent="0.3">
      <c r="CY6394" s="34" t="s">
        <v>7321</v>
      </c>
      <c r="CZ6394" s="35">
        <v>1.8456488000000001E-3</v>
      </c>
    </row>
    <row r="6395" spans="103:104" x14ac:dyDescent="0.3">
      <c r="CY6395" s="34" t="s">
        <v>7322</v>
      </c>
      <c r="CZ6395" s="35">
        <v>3.7546879999999998E-2</v>
      </c>
    </row>
    <row r="6396" spans="103:104" x14ac:dyDescent="0.3">
      <c r="CY6396" s="34" t="s">
        <v>7323</v>
      </c>
      <c r="CZ6396" s="35">
        <v>3.1020264000000005E-3</v>
      </c>
    </row>
    <row r="6397" spans="103:104" x14ac:dyDescent="0.3">
      <c r="CY6397" s="34" t="s">
        <v>7324</v>
      </c>
      <c r="CZ6397" s="35">
        <v>9.5802799999999998E-4</v>
      </c>
    </row>
    <row r="6398" spans="103:104" x14ac:dyDescent="0.3">
      <c r="CY6398" s="34" t="s">
        <v>7325</v>
      </c>
      <c r="CZ6398" s="35">
        <v>2.0415200000000002E-3</v>
      </c>
    </row>
    <row r="6399" spans="103:104" x14ac:dyDescent="0.3">
      <c r="CY6399" s="34" t="s">
        <v>7326</v>
      </c>
      <c r="CZ6399" s="35">
        <v>1.5274192000000001E-2</v>
      </c>
    </row>
    <row r="6400" spans="103:104" x14ac:dyDescent="0.3">
      <c r="CY6400" s="34" t="s">
        <v>7327</v>
      </c>
      <c r="CZ6400" s="35">
        <v>3.1238464000000001E-2</v>
      </c>
    </row>
    <row r="6401" spans="103:104" x14ac:dyDescent="0.3">
      <c r="CY6401" s="34" t="s">
        <v>7328</v>
      </c>
      <c r="CZ6401" s="35">
        <v>0.12876653333333332</v>
      </c>
    </row>
    <row r="6402" spans="103:104" x14ac:dyDescent="0.3">
      <c r="CY6402" s="34" t="s">
        <v>7329</v>
      </c>
      <c r="CZ6402" s="35">
        <v>0.12616445333333334</v>
      </c>
    </row>
    <row r="6403" spans="103:104" x14ac:dyDescent="0.3">
      <c r="CY6403" s="34" t="s">
        <v>7330</v>
      </c>
      <c r="CZ6403" s="35">
        <v>0.20975872000000001</v>
      </c>
    </row>
    <row r="6404" spans="103:104" x14ac:dyDescent="0.3">
      <c r="CY6404" s="34" t="s">
        <v>7331</v>
      </c>
      <c r="CZ6404" s="35">
        <v>0.20825279999999999</v>
      </c>
    </row>
    <row r="6405" spans="103:104" x14ac:dyDescent="0.3">
      <c r="CY6405" s="34" t="s">
        <v>7332</v>
      </c>
      <c r="CZ6405" s="35">
        <v>6.1331519999999994E-3</v>
      </c>
    </row>
    <row r="6406" spans="103:104" x14ac:dyDescent="0.3">
      <c r="CY6406" s="34" t="s">
        <v>7333</v>
      </c>
      <c r="CZ6406" s="35">
        <v>0.11343375999999999</v>
      </c>
    </row>
    <row r="6407" spans="103:104" x14ac:dyDescent="0.3">
      <c r="CY6407" s="34" t="s">
        <v>7334</v>
      </c>
      <c r="CZ6407" s="35">
        <v>2.4236080000000004E-2</v>
      </c>
    </row>
    <row r="6408" spans="103:104" x14ac:dyDescent="0.3">
      <c r="CY6408" s="34" t="s">
        <v>7335</v>
      </c>
      <c r="CZ6408" s="35">
        <v>7.3272587999999989E-4</v>
      </c>
    </row>
    <row r="6409" spans="103:104" x14ac:dyDescent="0.3">
      <c r="CY6409" s="34" t="s">
        <v>7336</v>
      </c>
      <c r="CZ6409" s="35">
        <v>5.1313095840000003E-2</v>
      </c>
    </row>
    <row r="6410" spans="103:104" x14ac:dyDescent="0.3">
      <c r="CY6410" s="34" t="s">
        <v>7337</v>
      </c>
      <c r="CZ6410" s="35">
        <v>0.22016416000000003</v>
      </c>
    </row>
    <row r="6411" spans="103:104" x14ac:dyDescent="0.3">
      <c r="CY6411" s="34" t="s">
        <v>7338</v>
      </c>
      <c r="CZ6411" s="35">
        <v>1.6650872000000001E-2</v>
      </c>
    </row>
    <row r="6412" spans="103:104" x14ac:dyDescent="0.3">
      <c r="CY6412" s="34" t="s">
        <v>7339</v>
      </c>
      <c r="CZ6412" s="35">
        <v>5.3545599999999995E-3</v>
      </c>
    </row>
    <row r="6413" spans="103:104" x14ac:dyDescent="0.3">
      <c r="CY6413" s="34" t="s">
        <v>7340</v>
      </c>
      <c r="CZ6413" s="35">
        <v>8.7251415466666673E-3</v>
      </c>
    </row>
    <row r="6414" spans="103:104" x14ac:dyDescent="0.3">
      <c r="CY6414" s="34" t="s">
        <v>7341</v>
      </c>
      <c r="CZ6414" s="35">
        <v>7.0519340000000002E-3</v>
      </c>
    </row>
    <row r="6415" spans="103:104" x14ac:dyDescent="0.3">
      <c r="CY6415" s="34" t="s">
        <v>7342</v>
      </c>
      <c r="CZ6415" s="35">
        <v>1.0274576000000001E-2</v>
      </c>
    </row>
    <row r="6416" spans="103:104" x14ac:dyDescent="0.3">
      <c r="CY6416" s="34" t="s">
        <v>7343</v>
      </c>
      <c r="CZ6416" s="35">
        <v>6.3618520000000003E-3</v>
      </c>
    </row>
    <row r="6417" spans="103:104" x14ac:dyDescent="0.3">
      <c r="CY6417" s="34" t="s">
        <v>7344</v>
      </c>
      <c r="CZ6417" s="35">
        <v>1.8408544000000006E-2</v>
      </c>
    </row>
    <row r="6418" spans="103:104" x14ac:dyDescent="0.3">
      <c r="CY6418" s="34" t="s">
        <v>7345</v>
      </c>
      <c r="CZ6418" s="35">
        <v>1.3936011999999999E-2</v>
      </c>
    </row>
    <row r="6419" spans="103:104" x14ac:dyDescent="0.3">
      <c r="CY6419" s="34" t="s">
        <v>7346</v>
      </c>
      <c r="CZ6419" s="35">
        <v>9.9300959999999994E-3</v>
      </c>
    </row>
    <row r="6420" spans="103:104" x14ac:dyDescent="0.3">
      <c r="CY6420" s="34" t="s">
        <v>7347</v>
      </c>
      <c r="CZ6420" s="35">
        <v>4.702772E-3</v>
      </c>
    </row>
    <row r="6421" spans="103:104" x14ac:dyDescent="0.3">
      <c r="CY6421" s="34" t="s">
        <v>7348</v>
      </c>
      <c r="CZ6421" s="35">
        <v>5.8081319999999999E-2</v>
      </c>
    </row>
    <row r="6422" spans="103:104" x14ac:dyDescent="0.3">
      <c r="CY6422" s="34" t="s">
        <v>7349</v>
      </c>
      <c r="CZ6422" s="35">
        <v>1.5185381333333334E-3</v>
      </c>
    </row>
    <row r="6423" spans="103:104" x14ac:dyDescent="0.3">
      <c r="CY6423" s="34" t="s">
        <v>7350</v>
      </c>
      <c r="CZ6423" s="35">
        <v>9.3958399999999993E-4</v>
      </c>
    </row>
    <row r="6424" spans="103:104" x14ac:dyDescent="0.3">
      <c r="CY6424" s="34" t="s">
        <v>7351</v>
      </c>
      <c r="CZ6424" s="35">
        <v>1.1183808E-3</v>
      </c>
    </row>
    <row r="6425" spans="103:104" x14ac:dyDescent="0.3">
      <c r="CY6425" s="34" t="s">
        <v>7352</v>
      </c>
      <c r="CZ6425" s="35">
        <v>1.6418959999999999E-3</v>
      </c>
    </row>
    <row r="6426" spans="103:104" x14ac:dyDescent="0.3">
      <c r="CY6426" s="34" t="s">
        <v>7353</v>
      </c>
      <c r="CZ6426" s="35">
        <v>1.964300704E-2</v>
      </c>
    </row>
    <row r="6427" spans="103:104" x14ac:dyDescent="0.3">
      <c r="CY6427" s="34" t="s">
        <v>7354</v>
      </c>
      <c r="CZ6427" s="35">
        <v>6.7626700000000004E-4</v>
      </c>
    </row>
    <row r="6428" spans="103:104" x14ac:dyDescent="0.3">
      <c r="CY6428" s="34" t="s">
        <v>7355</v>
      </c>
      <c r="CZ6428" s="35">
        <v>4.2125660000000009E-3</v>
      </c>
    </row>
    <row r="6429" spans="103:104" x14ac:dyDescent="0.3">
      <c r="CY6429" s="34" t="s">
        <v>7356</v>
      </c>
      <c r="CZ6429" s="35">
        <v>4.9896257999999995E-3</v>
      </c>
    </row>
    <row r="6430" spans="103:104" x14ac:dyDescent="0.3">
      <c r="CY6430" s="34" t="s">
        <v>7357</v>
      </c>
      <c r="CZ6430" s="35">
        <v>4.2125660000000009E-3</v>
      </c>
    </row>
    <row r="6431" spans="103:104" x14ac:dyDescent="0.3">
      <c r="CY6431" s="34" t="s">
        <v>7358</v>
      </c>
      <c r="CZ6431" s="35">
        <v>4.9896257999999995E-3</v>
      </c>
    </row>
    <row r="6432" spans="103:104" x14ac:dyDescent="0.3">
      <c r="CY6432" s="34" t="s">
        <v>7359</v>
      </c>
      <c r="CZ6432" s="35">
        <v>2.8057600000000002E-2</v>
      </c>
    </row>
    <row r="6433" spans="103:104" x14ac:dyDescent="0.3">
      <c r="CY6433" s="34" t="s">
        <v>7360</v>
      </c>
      <c r="CZ6433" s="35">
        <v>2.6314560000000001E-2</v>
      </c>
    </row>
    <row r="6434" spans="103:104" x14ac:dyDescent="0.3">
      <c r="CY6434" s="34" t="s">
        <v>7361</v>
      </c>
      <c r="CZ6434" s="35">
        <v>1.08117E-2</v>
      </c>
    </row>
    <row r="6435" spans="103:104" x14ac:dyDescent="0.3">
      <c r="CY6435" s="34" t="s">
        <v>7362</v>
      </c>
      <c r="CZ6435" s="35">
        <v>0.11274735999999999</v>
      </c>
    </row>
    <row r="6436" spans="103:104" x14ac:dyDescent="0.3">
      <c r="CY6436" s="34" t="s">
        <v>7363</v>
      </c>
      <c r="CZ6436" s="35">
        <v>0.11028</v>
      </c>
    </row>
    <row r="6437" spans="103:104" x14ac:dyDescent="0.3">
      <c r="CY6437" s="34" t="s">
        <v>7364</v>
      </c>
      <c r="CZ6437" s="35">
        <v>4.3126399999999995E-3</v>
      </c>
    </row>
    <row r="6438" spans="103:104" x14ac:dyDescent="0.3">
      <c r="CY6438" s="34" t="s">
        <v>7365</v>
      </c>
      <c r="CZ6438" s="35">
        <v>2.3380079999999999E-3</v>
      </c>
    </row>
    <row r="6439" spans="103:104" x14ac:dyDescent="0.3">
      <c r="CY6439" s="34" t="s">
        <v>7366</v>
      </c>
      <c r="CZ6439" s="35">
        <v>1.008896E-3</v>
      </c>
    </row>
    <row r="6440" spans="103:104" x14ac:dyDescent="0.3">
      <c r="CY6440" s="34" t="s">
        <v>7367</v>
      </c>
      <c r="CZ6440" s="35">
        <v>2.1714E-3</v>
      </c>
    </row>
    <row r="6441" spans="103:104" x14ac:dyDescent="0.3">
      <c r="CY6441" s="34" t="s">
        <v>7368</v>
      </c>
      <c r="CZ6441" s="35">
        <v>1.7548800000000001E-3</v>
      </c>
    </row>
    <row r="6442" spans="103:104" x14ac:dyDescent="0.3">
      <c r="CY6442" s="34" t="s">
        <v>7369</v>
      </c>
      <c r="CZ6442" s="35">
        <v>1.1884464000000003E-2</v>
      </c>
    </row>
    <row r="6443" spans="103:104" x14ac:dyDescent="0.3">
      <c r="CY6443" s="34" t="s">
        <v>7370</v>
      </c>
      <c r="CZ6443" s="35">
        <v>1.1884464000000003E-2</v>
      </c>
    </row>
    <row r="6444" spans="103:104" x14ac:dyDescent="0.3">
      <c r="CY6444" s="34" t="s">
        <v>7371</v>
      </c>
      <c r="CZ6444" s="35">
        <v>6.9330688E-3</v>
      </c>
    </row>
    <row r="6445" spans="103:104" x14ac:dyDescent="0.3">
      <c r="CY6445" s="34" t="s">
        <v>7372</v>
      </c>
      <c r="CZ6445" s="35">
        <v>7.1555328000000003E-4</v>
      </c>
    </row>
    <row r="6446" spans="103:104" x14ac:dyDescent="0.3">
      <c r="CY6446" s="34" t="s">
        <v>7373</v>
      </c>
      <c r="CZ6446" s="35">
        <v>3.782735999999999E-2</v>
      </c>
    </row>
    <row r="6447" spans="103:104" x14ac:dyDescent="0.3">
      <c r="CY6447" s="34" t="s">
        <v>7374</v>
      </c>
      <c r="CZ6447" s="35">
        <v>0.18255768</v>
      </c>
    </row>
    <row r="6448" spans="103:104" x14ac:dyDescent="0.3">
      <c r="CY6448" s="34" t="s">
        <v>7375</v>
      </c>
      <c r="CZ6448" s="35">
        <v>0.18605936000000001</v>
      </c>
    </row>
    <row r="6449" spans="103:104" x14ac:dyDescent="0.3">
      <c r="CY6449" s="34" t="s">
        <v>7376</v>
      </c>
      <c r="CZ6449" s="35">
        <v>3.7670544000000005E-4</v>
      </c>
    </row>
    <row r="6450" spans="103:104" x14ac:dyDescent="0.3">
      <c r="CY6450" s="34" t="s">
        <v>7377</v>
      </c>
      <c r="CZ6450" s="35">
        <v>4.2048284000000002E-4</v>
      </c>
    </row>
    <row r="6451" spans="103:104" x14ac:dyDescent="0.3">
      <c r="CY6451" s="34" t="s">
        <v>7378</v>
      </c>
      <c r="CZ6451" s="35">
        <v>1.551188E-2</v>
      </c>
    </row>
    <row r="6452" spans="103:104" x14ac:dyDescent="0.3">
      <c r="CY6452" s="34" t="s">
        <v>7379</v>
      </c>
      <c r="CZ6452" s="35">
        <v>1.8322439999999999E-2</v>
      </c>
    </row>
    <row r="6453" spans="103:104" x14ac:dyDescent="0.3">
      <c r="CY6453" s="34" t="s">
        <v>7380</v>
      </c>
      <c r="CZ6453" s="35">
        <v>2.1211519999999994E-2</v>
      </c>
    </row>
    <row r="6454" spans="103:104" x14ac:dyDescent="0.3">
      <c r="CY6454" s="34" t="s">
        <v>7381</v>
      </c>
      <c r="CZ6454" s="35">
        <v>1.4757905466666667E-2</v>
      </c>
    </row>
    <row r="6455" spans="103:104" x14ac:dyDescent="0.3">
      <c r="CY6455" s="34" t="s">
        <v>7382</v>
      </c>
      <c r="CZ6455" s="35">
        <v>3.7872202959999997E-2</v>
      </c>
    </row>
    <row r="6456" spans="103:104" x14ac:dyDescent="0.3">
      <c r="CY6456" s="34" t="s">
        <v>7383</v>
      </c>
      <c r="CZ6456" s="35">
        <v>1.8730003999999998E-2</v>
      </c>
    </row>
    <row r="6457" spans="103:104" x14ac:dyDescent="0.3">
      <c r="CY6457" s="34" t="s">
        <v>7384</v>
      </c>
      <c r="CZ6457" s="35">
        <v>0.20807260000000002</v>
      </c>
    </row>
    <row r="6458" spans="103:104" x14ac:dyDescent="0.3">
      <c r="CY6458" s="34" t="s">
        <v>7385</v>
      </c>
      <c r="CZ6458" s="35">
        <v>0.29319861333333336</v>
      </c>
    </row>
    <row r="6459" spans="103:104" x14ac:dyDescent="0.3">
      <c r="CY6459" s="34" t="s">
        <v>7386</v>
      </c>
      <c r="CZ6459" s="35">
        <v>1.9693640479999997E-3</v>
      </c>
    </row>
    <row r="6460" spans="103:104" x14ac:dyDescent="0.3">
      <c r="CY6460" s="34" t="s">
        <v>7387</v>
      </c>
      <c r="CZ6460" s="35">
        <v>1.7962456000000001E-3</v>
      </c>
    </row>
    <row r="6461" spans="103:104" x14ac:dyDescent="0.3">
      <c r="CY6461" s="34" t="s">
        <v>7388</v>
      </c>
      <c r="CZ6461" s="35">
        <v>7.0932413048000005E-3</v>
      </c>
    </row>
    <row r="6462" spans="103:104" x14ac:dyDescent="0.3">
      <c r="CY6462" s="34" t="s">
        <v>7389</v>
      </c>
      <c r="CZ6462" s="35">
        <v>6.7516640000000003E-2</v>
      </c>
    </row>
    <row r="6463" spans="103:104" x14ac:dyDescent="0.3">
      <c r="CY6463" s="34" t="s">
        <v>7390</v>
      </c>
      <c r="CZ6463" s="35">
        <v>2.1396520000000002E-2</v>
      </c>
    </row>
    <row r="6464" spans="103:104" x14ac:dyDescent="0.3">
      <c r="CY6464" s="34" t="s">
        <v>7391</v>
      </c>
      <c r="CZ6464" s="35">
        <v>3.3604071966666663E-2</v>
      </c>
    </row>
    <row r="6465" spans="103:104" x14ac:dyDescent="0.3">
      <c r="CY6465" s="34" t="s">
        <v>7392</v>
      </c>
      <c r="CZ6465" s="35">
        <v>1.4405780352E-2</v>
      </c>
    </row>
    <row r="6466" spans="103:104" x14ac:dyDescent="0.3">
      <c r="CY6466" s="34" t="s">
        <v>7393</v>
      </c>
      <c r="CZ6466" s="35">
        <v>1.436683433E-2</v>
      </c>
    </row>
    <row r="6467" spans="103:104" x14ac:dyDescent="0.3">
      <c r="CY6467" s="34" t="s">
        <v>7394</v>
      </c>
      <c r="CZ6467" s="35">
        <v>1.9264561322666667E-2</v>
      </c>
    </row>
    <row r="6468" spans="103:104" x14ac:dyDescent="0.3">
      <c r="CY6468" s="34" t="s">
        <v>7395</v>
      </c>
      <c r="CZ6468" s="35">
        <v>1.5529787093333332E-2</v>
      </c>
    </row>
    <row r="6469" spans="103:104" x14ac:dyDescent="0.3">
      <c r="CY6469" s="34" t="s">
        <v>7396</v>
      </c>
      <c r="CZ6469" s="35">
        <v>1.3354496000000002E-2</v>
      </c>
    </row>
    <row r="6470" spans="103:104" x14ac:dyDescent="0.3">
      <c r="CY6470" s="34" t="s">
        <v>7397</v>
      </c>
      <c r="CZ6470" s="35">
        <v>1.4748928E-2</v>
      </c>
    </row>
    <row r="6471" spans="103:104" x14ac:dyDescent="0.3">
      <c r="CY6471" s="34" t="s">
        <v>7398</v>
      </c>
      <c r="CZ6471" s="35">
        <v>1.2478672E-2</v>
      </c>
    </row>
    <row r="6472" spans="103:104" x14ac:dyDescent="0.3">
      <c r="CY6472" s="34" t="s">
        <v>7399</v>
      </c>
      <c r="CZ6472" s="35">
        <v>3.5999840000000005E-2</v>
      </c>
    </row>
    <row r="6473" spans="103:104" x14ac:dyDescent="0.3">
      <c r="CY6473" s="34" t="s">
        <v>7400</v>
      </c>
      <c r="CZ6473" s="35">
        <v>3.3758320000000001E-2</v>
      </c>
    </row>
    <row r="6474" spans="103:104" x14ac:dyDescent="0.3">
      <c r="CY6474" s="34" t="s">
        <v>7401</v>
      </c>
      <c r="CZ6474" s="35">
        <v>1.2585608E-2</v>
      </c>
    </row>
    <row r="6475" spans="103:104" x14ac:dyDescent="0.3">
      <c r="CY6475" s="34" t="s">
        <v>7402</v>
      </c>
      <c r="CZ6475" s="35">
        <v>1.0193615999999999E-2</v>
      </c>
    </row>
    <row r="6476" spans="103:104" x14ac:dyDescent="0.3">
      <c r="CY6476" s="34" t="s">
        <v>7403</v>
      </c>
      <c r="CZ6476" s="35">
        <v>0.13256248000000001</v>
      </c>
    </row>
    <row r="6477" spans="103:104" x14ac:dyDescent="0.3">
      <c r="CY6477" s="34" t="s">
        <v>7404</v>
      </c>
      <c r="CZ6477" s="35">
        <v>2.0952066666666668E-2</v>
      </c>
    </row>
    <row r="6478" spans="103:104" x14ac:dyDescent="0.3">
      <c r="CY6478" s="34" t="s">
        <v>7405</v>
      </c>
      <c r="CZ6478" s="35">
        <v>3.3565466666666668E-2</v>
      </c>
    </row>
    <row r="6479" spans="103:104" x14ac:dyDescent="0.3">
      <c r="CY6479" s="34" t="s">
        <v>7406</v>
      </c>
      <c r="CZ6479" s="35">
        <v>2.8112930000000001E-2</v>
      </c>
    </row>
    <row r="6480" spans="103:104" x14ac:dyDescent="0.3">
      <c r="CY6480" s="34" t="s">
        <v>7407</v>
      </c>
      <c r="CZ6480" s="35">
        <v>4.6499842289473688E-2</v>
      </c>
    </row>
    <row r="6481" spans="103:104" x14ac:dyDescent="0.3">
      <c r="CY6481" s="34" t="s">
        <v>7408</v>
      </c>
      <c r="CZ6481" s="35">
        <v>6.3436314799999996E-3</v>
      </c>
    </row>
    <row r="6482" spans="103:104" x14ac:dyDescent="0.3">
      <c r="CY6482" s="34" t="s">
        <v>7409</v>
      </c>
      <c r="CZ6482" s="35">
        <v>5.8592959999999999E-2</v>
      </c>
    </row>
    <row r="6483" spans="103:104" x14ac:dyDescent="0.3">
      <c r="CY6483" s="34" t="s">
        <v>7410</v>
      </c>
      <c r="CZ6483" s="35">
        <v>3.3940249999999997E-3</v>
      </c>
    </row>
    <row r="6484" spans="103:104" x14ac:dyDescent="0.3">
      <c r="CY6484" s="34" t="s">
        <v>7411</v>
      </c>
      <c r="CZ6484" s="35">
        <v>4.3747999999999995E-2</v>
      </c>
    </row>
    <row r="6485" spans="103:104" x14ac:dyDescent="0.3">
      <c r="CY6485" s="34" t="s">
        <v>7412</v>
      </c>
      <c r="CZ6485" s="35">
        <v>1.1437600000000001E-2</v>
      </c>
    </row>
    <row r="6486" spans="103:104" x14ac:dyDescent="0.3">
      <c r="CY6486" s="34" t="s">
        <v>7413</v>
      </c>
      <c r="CZ6486" s="35">
        <v>2.5492516E-2</v>
      </c>
    </row>
    <row r="6487" spans="103:104" x14ac:dyDescent="0.3">
      <c r="CY6487" s="34" t="s">
        <v>7414</v>
      </c>
      <c r="CZ6487" s="35">
        <v>2.3779280000000001E-3</v>
      </c>
    </row>
    <row r="6488" spans="103:104" x14ac:dyDescent="0.3">
      <c r="CY6488" s="34" t="s">
        <v>7415</v>
      </c>
      <c r="CZ6488" s="35">
        <v>2.4913434749999999E-3</v>
      </c>
    </row>
    <row r="6489" spans="103:104" x14ac:dyDescent="0.3">
      <c r="CY6489" s="34" t="s">
        <v>7416</v>
      </c>
      <c r="CZ6489" s="35">
        <v>5.0067199999999997E-4</v>
      </c>
    </row>
    <row r="6490" spans="103:104" x14ac:dyDescent="0.3">
      <c r="CY6490" s="34" t="s">
        <v>7417</v>
      </c>
      <c r="CZ6490" s="35">
        <v>1.1595480200000001E-2</v>
      </c>
    </row>
    <row r="6491" spans="103:104" x14ac:dyDescent="0.3">
      <c r="CY6491" s="34" t="s">
        <v>7418</v>
      </c>
      <c r="CZ6491" s="35">
        <v>2.7246879999999998E-3</v>
      </c>
    </row>
    <row r="6492" spans="103:104" x14ac:dyDescent="0.3">
      <c r="CY6492" s="34" t="s">
        <v>7419</v>
      </c>
      <c r="CZ6492" s="35">
        <v>8.988968E-4</v>
      </c>
    </row>
    <row r="6493" spans="103:104" x14ac:dyDescent="0.3">
      <c r="CY6493" s="34" t="s">
        <v>7420</v>
      </c>
      <c r="CZ6493" s="35">
        <v>1.4481301333333335E-3</v>
      </c>
    </row>
    <row r="6494" spans="103:104" x14ac:dyDescent="0.3">
      <c r="CY6494" s="34" t="s">
        <v>7421</v>
      </c>
      <c r="CZ6494" s="35">
        <v>8.4928399999999995E-4</v>
      </c>
    </row>
    <row r="6495" spans="103:104" x14ac:dyDescent="0.3">
      <c r="CY6495" s="34" t="s">
        <v>7422</v>
      </c>
      <c r="CZ6495" s="35">
        <v>2.3087610600000001E-3</v>
      </c>
    </row>
    <row r="6496" spans="103:104" x14ac:dyDescent="0.3">
      <c r="CY6496" s="34" t="s">
        <v>7423</v>
      </c>
      <c r="CZ6496" s="35">
        <v>2.9227999999999996E-4</v>
      </c>
    </row>
    <row r="6497" spans="103:104" x14ac:dyDescent="0.3">
      <c r="CY6497" s="34" t="s">
        <v>7424</v>
      </c>
      <c r="CZ6497" s="35">
        <v>8.3835500000000005E-4</v>
      </c>
    </row>
    <row r="6498" spans="103:104" x14ac:dyDescent="0.3">
      <c r="CY6498" s="34" t="s">
        <v>7425</v>
      </c>
      <c r="CZ6498" s="35">
        <v>1.7248883999999999E-2</v>
      </c>
    </row>
    <row r="6499" spans="103:104" x14ac:dyDescent="0.3">
      <c r="CY6499" s="34" t="s">
        <v>7426</v>
      </c>
      <c r="CZ6499" s="35">
        <v>1.9079957500000003E-3</v>
      </c>
    </row>
    <row r="6500" spans="103:104" x14ac:dyDescent="0.3">
      <c r="CY6500" s="34" t="s">
        <v>7427</v>
      </c>
      <c r="CZ6500" s="35">
        <v>1.5536776E-3</v>
      </c>
    </row>
    <row r="6501" spans="103:104" x14ac:dyDescent="0.3">
      <c r="CY6501" s="34" t="s">
        <v>7428</v>
      </c>
      <c r="CZ6501" s="35">
        <v>3.4552762999999998E-3</v>
      </c>
    </row>
    <row r="6502" spans="103:104" x14ac:dyDescent="0.3">
      <c r="CY6502" s="34" t="s">
        <v>7429</v>
      </c>
      <c r="CZ6502" s="35">
        <v>1.4368023999999997E-3</v>
      </c>
    </row>
    <row r="6503" spans="103:104" x14ac:dyDescent="0.3">
      <c r="CY6503" s="34" t="s">
        <v>7430</v>
      </c>
      <c r="CZ6503" s="35">
        <v>1.3199271999999999E-3</v>
      </c>
    </row>
    <row r="6504" spans="103:104" x14ac:dyDescent="0.3">
      <c r="CY6504" s="34" t="s">
        <v>7431</v>
      </c>
      <c r="CZ6504" s="35">
        <v>1.203052E-3</v>
      </c>
    </row>
    <row r="6505" spans="103:104" x14ac:dyDescent="0.3">
      <c r="CY6505" s="34" t="s">
        <v>7432</v>
      </c>
      <c r="CZ6505" s="35">
        <v>1.0861767999999997E-3</v>
      </c>
    </row>
    <row r="6506" spans="103:104" x14ac:dyDescent="0.3">
      <c r="CY6506" s="34" t="s">
        <v>7433</v>
      </c>
      <c r="CZ6506" s="35">
        <v>3.1039930666666667E-3</v>
      </c>
    </row>
    <row r="6507" spans="103:104" x14ac:dyDescent="0.3">
      <c r="CY6507" s="34" t="s">
        <v>7434</v>
      </c>
      <c r="CZ6507" s="35">
        <v>4.9301599999999998E-4</v>
      </c>
    </row>
    <row r="6508" spans="103:104" x14ac:dyDescent="0.3">
      <c r="CY6508" s="34" t="s">
        <v>7435</v>
      </c>
      <c r="CZ6508" s="35">
        <v>2.0594586666666668E-2</v>
      </c>
    </row>
    <row r="6509" spans="103:104" x14ac:dyDescent="0.3">
      <c r="CY6509" s="34" t="s">
        <v>7436</v>
      </c>
      <c r="CZ6509" s="35">
        <v>3.3394119999999999E-2</v>
      </c>
    </row>
    <row r="6510" spans="103:104" x14ac:dyDescent="0.3">
      <c r="CY6510" s="34" t="s">
        <v>7437</v>
      </c>
      <c r="CZ6510" s="35">
        <v>7.6561206666666678E-3</v>
      </c>
    </row>
    <row r="6511" spans="103:104" x14ac:dyDescent="0.3">
      <c r="CY6511" s="34" t="s">
        <v>7438</v>
      </c>
      <c r="CZ6511" s="35">
        <v>6.8528640000000002E-2</v>
      </c>
    </row>
    <row r="6512" spans="103:104" x14ac:dyDescent="0.3">
      <c r="CY6512" s="34" t="s">
        <v>7439</v>
      </c>
      <c r="CZ6512" s="35">
        <v>8.1224960000000013E-2</v>
      </c>
    </row>
    <row r="6513" spans="103:104" x14ac:dyDescent="0.3">
      <c r="CY6513" s="34" t="s">
        <v>7440</v>
      </c>
      <c r="CZ6513" s="35">
        <v>0.10820464</v>
      </c>
    </row>
    <row r="6514" spans="103:104" x14ac:dyDescent="0.3">
      <c r="CY6514" s="34" t="s">
        <v>7441</v>
      </c>
      <c r="CZ6514" s="35">
        <v>1.2072477119999999E-2</v>
      </c>
    </row>
    <row r="6515" spans="103:104" x14ac:dyDescent="0.3">
      <c r="CY6515" s="34" t="s">
        <v>7442</v>
      </c>
      <c r="CZ6515" s="35">
        <v>6.3758E-3</v>
      </c>
    </row>
    <row r="6516" spans="103:104" x14ac:dyDescent="0.3">
      <c r="CY6516" s="34" t="s">
        <v>7443</v>
      </c>
      <c r="CZ6516" s="35">
        <v>4.1010199999999995E-3</v>
      </c>
    </row>
    <row r="6517" spans="103:104" x14ac:dyDescent="0.3">
      <c r="CY6517" s="34" t="s">
        <v>7444</v>
      </c>
      <c r="CZ6517" s="35">
        <v>2.0345448000000006E-2</v>
      </c>
    </row>
    <row r="6518" spans="103:104" x14ac:dyDescent="0.3">
      <c r="CY6518" s="34" t="s">
        <v>7445</v>
      </c>
      <c r="CZ6518" s="35">
        <v>3.7021606400000004E-3</v>
      </c>
    </row>
    <row r="6519" spans="103:104" x14ac:dyDescent="0.3">
      <c r="CY6519" s="34" t="s">
        <v>7446</v>
      </c>
      <c r="CZ6519" s="35">
        <v>7.3456799999999989E-2</v>
      </c>
    </row>
    <row r="6520" spans="103:104" x14ac:dyDescent="0.3">
      <c r="CY6520" s="34" t="s">
        <v>7447</v>
      </c>
      <c r="CZ6520" s="35">
        <v>0.17578271999999998</v>
      </c>
    </row>
    <row r="6521" spans="103:104" x14ac:dyDescent="0.3">
      <c r="CY6521" s="34" t="s">
        <v>7448</v>
      </c>
      <c r="CZ6521" s="35">
        <v>3.2615085719999999E-2</v>
      </c>
    </row>
    <row r="6522" spans="103:104" x14ac:dyDescent="0.3">
      <c r="CY6522" s="34" t="s">
        <v>7449</v>
      </c>
      <c r="CZ6522" s="35">
        <v>2.3862610649999999E-3</v>
      </c>
    </row>
    <row r="6523" spans="103:104" x14ac:dyDescent="0.3">
      <c r="CY6523" s="34" t="s">
        <v>7450</v>
      </c>
      <c r="CZ6523" s="35">
        <v>0.29018999999999995</v>
      </c>
    </row>
    <row r="6524" spans="103:104" x14ac:dyDescent="0.3">
      <c r="CY6524" s="34" t="s">
        <v>7451</v>
      </c>
      <c r="CZ6524" s="35">
        <v>8.0060571499999997E-2</v>
      </c>
    </row>
    <row r="6525" spans="103:104" x14ac:dyDescent="0.3">
      <c r="CY6525" s="34" t="s">
        <v>7452</v>
      </c>
      <c r="CZ6525" s="35">
        <v>1.2826052693000001E-3</v>
      </c>
    </row>
    <row r="6526" spans="103:104" x14ac:dyDescent="0.3">
      <c r="CY6526" s="34" t="s">
        <v>7453</v>
      </c>
      <c r="CZ6526" s="35">
        <v>5.2820043780000007E-4</v>
      </c>
    </row>
    <row r="6527" spans="103:104" x14ac:dyDescent="0.3">
      <c r="CY6527" s="34" t="s">
        <v>7454</v>
      </c>
      <c r="CZ6527" s="35">
        <v>3.229908448E-3</v>
      </c>
    </row>
    <row r="6528" spans="103:104" x14ac:dyDescent="0.3">
      <c r="CY6528" s="34" t="s">
        <v>7455</v>
      </c>
      <c r="CZ6528" s="35">
        <v>2.4618400000000002E-2</v>
      </c>
    </row>
    <row r="6529" spans="103:104" x14ac:dyDescent="0.3">
      <c r="CY6529" s="34" t="s">
        <v>7456</v>
      </c>
      <c r="CZ6529" s="35">
        <v>1.7687895999999998E-2</v>
      </c>
    </row>
    <row r="6530" spans="103:104" x14ac:dyDescent="0.3">
      <c r="CY6530" s="34" t="s">
        <v>7457</v>
      </c>
      <c r="CZ6530" s="35">
        <v>0.10157184000000001</v>
      </c>
    </row>
    <row r="6531" spans="103:104" x14ac:dyDescent="0.3">
      <c r="CY6531" s="34" t="s">
        <v>7458</v>
      </c>
      <c r="CZ6531" s="35">
        <v>2.1120732500000003E-2</v>
      </c>
    </row>
    <row r="6532" spans="103:104" x14ac:dyDescent="0.3">
      <c r="CY6532" s="34" t="s">
        <v>7459</v>
      </c>
      <c r="CZ6532" s="35">
        <v>0.43173493335000002</v>
      </c>
    </row>
    <row r="6533" spans="103:104" x14ac:dyDescent="0.3">
      <c r="CY6533" s="34" t="s">
        <v>7460</v>
      </c>
      <c r="CZ6533" s="35">
        <v>2.7097460339999997E-3</v>
      </c>
    </row>
    <row r="6534" spans="103:104" x14ac:dyDescent="0.3">
      <c r="CY6534" s="34" t="s">
        <v>7461</v>
      </c>
      <c r="CZ6534" s="35">
        <v>8.7525453249999979E-3</v>
      </c>
    </row>
    <row r="6535" spans="103:104" x14ac:dyDescent="0.3">
      <c r="CY6535" s="34" t="s">
        <v>7462</v>
      </c>
      <c r="CZ6535" s="35">
        <v>3.950304E-3</v>
      </c>
    </row>
    <row r="6536" spans="103:104" x14ac:dyDescent="0.3">
      <c r="CY6536" s="34" t="s">
        <v>7463</v>
      </c>
      <c r="CZ6536" s="35">
        <v>1.0542964E-2</v>
      </c>
    </row>
    <row r="6537" spans="103:104" x14ac:dyDescent="0.3">
      <c r="CY6537" s="34" t="s">
        <v>7464</v>
      </c>
      <c r="CZ6537" s="35">
        <v>8.2144266700000003E-3</v>
      </c>
    </row>
    <row r="6538" spans="103:104" x14ac:dyDescent="0.3">
      <c r="CY6538" s="34" t="s">
        <v>7465</v>
      </c>
      <c r="CZ6538" s="35">
        <v>7.8003253333333328E-2</v>
      </c>
    </row>
    <row r="6539" spans="103:104" x14ac:dyDescent="0.3">
      <c r="CY6539" s="34" t="s">
        <v>7466</v>
      </c>
      <c r="CZ6539" s="35">
        <v>1.7018048000000001E-2</v>
      </c>
    </row>
    <row r="6540" spans="103:104" x14ac:dyDescent="0.3">
      <c r="CY6540" s="34" t="s">
        <v>7467</v>
      </c>
      <c r="CZ6540" s="35">
        <v>2.4441056000000003E-2</v>
      </c>
    </row>
    <row r="6541" spans="103:104" x14ac:dyDescent="0.3">
      <c r="CY6541" s="34" t="s">
        <v>7468</v>
      </c>
      <c r="CZ6541" s="35">
        <v>3.86802667E-2</v>
      </c>
    </row>
    <row r="6542" spans="103:104" x14ac:dyDescent="0.3">
      <c r="CY6542" s="34" t="s">
        <v>7469</v>
      </c>
      <c r="CZ6542" s="35">
        <v>6.3911316200000014E-3</v>
      </c>
    </row>
    <row r="6543" spans="103:104" x14ac:dyDescent="0.3">
      <c r="CY6543" s="34" t="s">
        <v>7470</v>
      </c>
      <c r="CZ6543" s="35">
        <v>8.7192900000000002E-4</v>
      </c>
    </row>
    <row r="6544" spans="103:104" x14ac:dyDescent="0.3">
      <c r="CY6544" s="34" t="s">
        <v>7471</v>
      </c>
      <c r="CZ6544" s="35">
        <v>8.2144266000000014E-3</v>
      </c>
    </row>
    <row r="6545" spans="103:104" x14ac:dyDescent="0.3">
      <c r="CY6545" s="34" t="s">
        <v>7472</v>
      </c>
      <c r="CZ6545" s="35">
        <v>4.0976050000000007E-3</v>
      </c>
    </row>
    <row r="6546" spans="103:104" x14ac:dyDescent="0.3">
      <c r="CY6546" s="34" t="s">
        <v>7473</v>
      </c>
      <c r="CZ6546" s="35">
        <v>1.6916959999999999E-3</v>
      </c>
    </row>
    <row r="6547" spans="103:104" x14ac:dyDescent="0.3">
      <c r="CY6547" s="34" t="s">
        <v>7474</v>
      </c>
      <c r="CZ6547" s="35">
        <v>2.2286726815999996E-3</v>
      </c>
    </row>
    <row r="6548" spans="103:104" x14ac:dyDescent="0.3">
      <c r="CY6548" s="34" t="s">
        <v>7475</v>
      </c>
      <c r="CZ6548" s="35">
        <v>2.3609599999999998E-4</v>
      </c>
    </row>
    <row r="6549" spans="103:104" x14ac:dyDescent="0.3">
      <c r="CY6549" s="34" t="s">
        <v>7476</v>
      </c>
      <c r="CZ6549" s="35">
        <v>1.7312319999999999E-3</v>
      </c>
    </row>
    <row r="6550" spans="103:104" x14ac:dyDescent="0.3">
      <c r="CY6550" s="34" t="s">
        <v>7477</v>
      </c>
      <c r="CZ6550" s="35">
        <v>0.10158396</v>
      </c>
    </row>
    <row r="6551" spans="103:104" x14ac:dyDescent="0.3">
      <c r="CY6551" s="34" t="s">
        <v>7478</v>
      </c>
      <c r="CZ6551" s="35">
        <v>0.12290022222222222</v>
      </c>
    </row>
    <row r="6552" spans="103:104" x14ac:dyDescent="0.3">
      <c r="CY6552" s="34" t="s">
        <v>7479</v>
      </c>
      <c r="CZ6552" s="35">
        <v>3.9171900000000003E-2</v>
      </c>
    </row>
    <row r="6553" spans="103:104" x14ac:dyDescent="0.3">
      <c r="CY6553" s="34" t="s">
        <v>7480</v>
      </c>
      <c r="CZ6553" s="35">
        <v>3.7525142857142861E-2</v>
      </c>
    </row>
    <row r="6554" spans="103:104" x14ac:dyDescent="0.3">
      <c r="CY6554" s="34" t="s">
        <v>7481</v>
      </c>
      <c r="CZ6554" s="35">
        <v>8.6243146666666673E-2</v>
      </c>
    </row>
    <row r="6555" spans="103:104" x14ac:dyDescent="0.3">
      <c r="CY6555" s="34" t="s">
        <v>7482</v>
      </c>
      <c r="CZ6555" s="35">
        <v>3.4272079999999997E-3</v>
      </c>
    </row>
    <row r="6556" spans="103:104" x14ac:dyDescent="0.3">
      <c r="CY6556" s="34" t="s">
        <v>7483</v>
      </c>
      <c r="CZ6556" s="35">
        <v>3.4558079999999999E-3</v>
      </c>
    </row>
    <row r="6557" spans="103:104" x14ac:dyDescent="0.3">
      <c r="CY6557" s="34" t="s">
        <v>7484</v>
      </c>
      <c r="CZ6557" s="35">
        <v>5.9327359999999992E-3</v>
      </c>
    </row>
    <row r="6558" spans="103:104" x14ac:dyDescent="0.3">
      <c r="CY6558" s="34" t="s">
        <v>7485</v>
      </c>
      <c r="CZ6558" s="35">
        <v>3.3370399999999999E-3</v>
      </c>
    </row>
    <row r="6559" spans="103:104" x14ac:dyDescent="0.3">
      <c r="CY6559" s="34" t="s">
        <v>7486</v>
      </c>
      <c r="CZ6559" s="35">
        <v>3.9446567164179106E-3</v>
      </c>
    </row>
    <row r="6560" spans="103:104" x14ac:dyDescent="0.3">
      <c r="CY6560" s="34" t="s">
        <v>7487</v>
      </c>
      <c r="CZ6560" s="35">
        <v>1.2129408E-2</v>
      </c>
    </row>
    <row r="6561" spans="103:104" x14ac:dyDescent="0.3">
      <c r="CY6561" s="34" t="s">
        <v>7488</v>
      </c>
      <c r="CZ6561" s="35">
        <v>3.3370399999999999E-3</v>
      </c>
    </row>
    <row r="6562" spans="103:104" x14ac:dyDescent="0.3">
      <c r="CY6562" s="34" t="s">
        <v>7489</v>
      </c>
      <c r="CZ6562" s="35">
        <v>6.8961919999999998E-3</v>
      </c>
    </row>
    <row r="6563" spans="103:104" x14ac:dyDescent="0.3">
      <c r="CY6563" s="34" t="s">
        <v>7490</v>
      </c>
      <c r="CZ6563" s="35">
        <v>4.0090080000000005E-3</v>
      </c>
    </row>
    <row r="6564" spans="103:104" x14ac:dyDescent="0.3">
      <c r="CY6564" s="34" t="s">
        <v>7491</v>
      </c>
      <c r="CZ6564" s="35">
        <v>7.293279999999999E-4</v>
      </c>
    </row>
    <row r="6565" spans="103:104" x14ac:dyDescent="0.3">
      <c r="CY6565" s="34" t="s">
        <v>7492</v>
      </c>
      <c r="CZ6565" s="35">
        <v>7.6340679999999995E-4</v>
      </c>
    </row>
    <row r="6566" spans="103:104" x14ac:dyDescent="0.3">
      <c r="CY6566" s="34" t="s">
        <v>7493</v>
      </c>
      <c r="CZ6566" s="35">
        <v>3.7405919999999996E-3</v>
      </c>
    </row>
    <row r="6567" spans="103:104" x14ac:dyDescent="0.3">
      <c r="CY6567" s="34" t="s">
        <v>7494</v>
      </c>
      <c r="CZ6567" s="35">
        <v>5.5241280000000001E-4</v>
      </c>
    </row>
    <row r="6568" spans="103:104" x14ac:dyDescent="0.3">
      <c r="CY6568" s="34" t="s">
        <v>7495</v>
      </c>
      <c r="CZ6568" s="35">
        <v>7.1850639999999997E-4</v>
      </c>
    </row>
    <row r="6569" spans="103:104" x14ac:dyDescent="0.3">
      <c r="CY6569" s="34" t="s">
        <v>7496</v>
      </c>
      <c r="CZ6569" s="35">
        <v>6.672999999999999E-4</v>
      </c>
    </row>
    <row r="6570" spans="103:104" x14ac:dyDescent="0.3">
      <c r="CY6570" s="34" t="s">
        <v>7497</v>
      </c>
      <c r="CZ6570" s="35">
        <v>6.7534999999999991E-4</v>
      </c>
    </row>
    <row r="6571" spans="103:104" x14ac:dyDescent="0.3">
      <c r="CY6571" s="34" t="s">
        <v>7498</v>
      </c>
      <c r="CZ6571" s="35">
        <v>6.4103119999999998E-4</v>
      </c>
    </row>
    <row r="6572" spans="103:104" x14ac:dyDescent="0.3">
      <c r="CY6572" s="34" t="s">
        <v>7499</v>
      </c>
      <c r="CZ6572" s="35">
        <v>7.3959466666666663E-4</v>
      </c>
    </row>
    <row r="6573" spans="103:104" x14ac:dyDescent="0.3">
      <c r="CY6573" s="34" t="s">
        <v>7500</v>
      </c>
      <c r="CZ6573" s="35">
        <v>8.2894160000000013E-4</v>
      </c>
    </row>
    <row r="6574" spans="103:104" x14ac:dyDescent="0.3">
      <c r="CY6574" s="34" t="s">
        <v>7501</v>
      </c>
      <c r="CZ6574" s="35">
        <v>6.0745120000000013E-4</v>
      </c>
    </row>
    <row r="6575" spans="103:104" x14ac:dyDescent="0.3">
      <c r="CY6575" s="34" t="s">
        <v>7502</v>
      </c>
      <c r="CZ6575" s="35">
        <v>8.0881600000000007E-4</v>
      </c>
    </row>
    <row r="6576" spans="103:104" x14ac:dyDescent="0.3">
      <c r="CY6576" s="34" t="s">
        <v>7503</v>
      </c>
      <c r="CZ6576" s="35">
        <v>7.0706999999999996E-4</v>
      </c>
    </row>
    <row r="6577" spans="103:104" x14ac:dyDescent="0.3">
      <c r="CY6577" s="34" t="s">
        <v>7504</v>
      </c>
      <c r="CZ6577" s="35">
        <v>4.9795199999999996E-4</v>
      </c>
    </row>
    <row r="6578" spans="103:104" x14ac:dyDescent="0.3">
      <c r="CY6578" s="34" t="s">
        <v>7505</v>
      </c>
      <c r="CZ6578" s="35">
        <v>4.7092977777777783E-3</v>
      </c>
    </row>
    <row r="6579" spans="103:104" x14ac:dyDescent="0.3">
      <c r="CY6579" s="34" t="s">
        <v>7506</v>
      </c>
      <c r="CZ6579" s="35">
        <v>7.6699999999999989E-4</v>
      </c>
    </row>
    <row r="6580" spans="103:104" x14ac:dyDescent="0.3">
      <c r="CY6580" s="34" t="s">
        <v>7507</v>
      </c>
      <c r="CZ6580" s="35">
        <v>2.3479060000000003E-2</v>
      </c>
    </row>
    <row r="6581" spans="103:104" x14ac:dyDescent="0.3">
      <c r="CY6581" s="34" t="s">
        <v>7508</v>
      </c>
      <c r="CZ6581" s="35">
        <v>5.6337599999999987E-4</v>
      </c>
    </row>
    <row r="6582" spans="103:104" x14ac:dyDescent="0.3">
      <c r="CY6582" s="34" t="s">
        <v>7509</v>
      </c>
      <c r="CZ6582" s="35">
        <v>4.7002928000000012E-3</v>
      </c>
    </row>
    <row r="6583" spans="103:104" x14ac:dyDescent="0.3">
      <c r="CY6583" s="34" t="s">
        <v>7510</v>
      </c>
      <c r="CZ6583" s="35">
        <v>3.9862080000000006E-3</v>
      </c>
    </row>
    <row r="6584" spans="103:104" x14ac:dyDescent="0.3">
      <c r="CY6584" s="34" t="s">
        <v>7511</v>
      </c>
      <c r="CZ6584" s="35">
        <v>2.3055256E-2</v>
      </c>
    </row>
    <row r="6585" spans="103:104" x14ac:dyDescent="0.3">
      <c r="CY6585" s="34" t="s">
        <v>7512</v>
      </c>
      <c r="CZ6585" s="35">
        <v>1.3609624000000001E-2</v>
      </c>
    </row>
    <row r="6586" spans="103:104" x14ac:dyDescent="0.3">
      <c r="CY6586" s="34" t="s">
        <v>7513</v>
      </c>
      <c r="CZ6586" s="35">
        <v>5.2568936000000004E-2</v>
      </c>
    </row>
    <row r="6587" spans="103:104" x14ac:dyDescent="0.3">
      <c r="CY6587" s="34" t="s">
        <v>7514</v>
      </c>
      <c r="CZ6587" s="35">
        <v>3.7567664000000001E-2</v>
      </c>
    </row>
    <row r="6588" spans="103:104" x14ac:dyDescent="0.3">
      <c r="CY6588" s="34" t="s">
        <v>7515</v>
      </c>
      <c r="CZ6588" s="35">
        <v>1.2935488E-2</v>
      </c>
    </row>
    <row r="6589" spans="103:104" x14ac:dyDescent="0.3">
      <c r="CY6589" s="34" t="s">
        <v>7516</v>
      </c>
      <c r="CZ6589" s="35">
        <v>0.77507508600000008</v>
      </c>
    </row>
    <row r="6590" spans="103:104" x14ac:dyDescent="0.3">
      <c r="CY6590" s="34" t="s">
        <v>7517</v>
      </c>
      <c r="CZ6590" s="35">
        <v>7.3432597777777775E-3</v>
      </c>
    </row>
    <row r="6591" spans="103:104" x14ac:dyDescent="0.3">
      <c r="CY6591" s="34" t="s">
        <v>7518</v>
      </c>
      <c r="CZ6591" s="35">
        <v>3.4358208E-4</v>
      </c>
    </row>
    <row r="6592" spans="103:104" x14ac:dyDescent="0.3">
      <c r="CY6592" s="34" t="s">
        <v>7519</v>
      </c>
      <c r="CZ6592" s="35">
        <v>2.3342720000000004E-2</v>
      </c>
    </row>
    <row r="6593" spans="103:104" x14ac:dyDescent="0.3">
      <c r="CY6593" s="34" t="s">
        <v>7520</v>
      </c>
      <c r="CZ6593" s="35">
        <v>3.3551360000000002E-2</v>
      </c>
    </row>
    <row r="6594" spans="103:104" x14ac:dyDescent="0.3">
      <c r="CY6594" s="34" t="s">
        <v>7521</v>
      </c>
      <c r="CZ6594" s="35">
        <v>6.8316210000000002E-2</v>
      </c>
    </row>
    <row r="6595" spans="103:104" x14ac:dyDescent="0.3">
      <c r="CY6595" s="34" t="s">
        <v>7522</v>
      </c>
      <c r="CZ6595" s="35">
        <v>4.19163E-3</v>
      </c>
    </row>
    <row r="6596" spans="103:104" x14ac:dyDescent="0.3">
      <c r="CY6596" s="34" t="s">
        <v>7523</v>
      </c>
      <c r="CZ6596" s="35">
        <v>1.1084180000000001E-3</v>
      </c>
    </row>
    <row r="6597" spans="103:104" x14ac:dyDescent="0.3">
      <c r="CY6597" s="34" t="s">
        <v>7524</v>
      </c>
      <c r="CZ6597" s="35">
        <v>5.2205999999999997E-4</v>
      </c>
    </row>
    <row r="6598" spans="103:104" x14ac:dyDescent="0.3">
      <c r="CY6598" s="34" t="s">
        <v>7525</v>
      </c>
      <c r="CZ6598" s="35">
        <v>8.5043625458325001E-2</v>
      </c>
    </row>
    <row r="6599" spans="103:104" x14ac:dyDescent="0.3">
      <c r="CY6599" s="34" t="s">
        <v>7526</v>
      </c>
      <c r="CZ6599" s="35">
        <v>4.8529029999999994E-2</v>
      </c>
    </row>
    <row r="6600" spans="103:104" x14ac:dyDescent="0.3">
      <c r="CY6600" s="34" t="s">
        <v>7527</v>
      </c>
      <c r="CZ6600" s="35">
        <v>3.3977349999999996E-2</v>
      </c>
    </row>
    <row r="6601" spans="103:104" x14ac:dyDescent="0.3">
      <c r="CY6601" s="34" t="s">
        <v>7528</v>
      </c>
      <c r="CZ6601" s="35">
        <v>3.0938359999999998E-2</v>
      </c>
    </row>
    <row r="6602" spans="103:104" x14ac:dyDescent="0.3">
      <c r="CY6602" s="34" t="s">
        <v>7529</v>
      </c>
      <c r="CZ6602" s="35">
        <v>3.0938359999999998E-2</v>
      </c>
    </row>
    <row r="6603" spans="103:104" x14ac:dyDescent="0.3">
      <c r="CY6603" s="34" t="s">
        <v>7530</v>
      </c>
      <c r="CZ6603" s="35">
        <v>1.373230665E-2</v>
      </c>
    </row>
    <row r="6604" spans="103:104" x14ac:dyDescent="0.3">
      <c r="CY6604" s="34" t="s">
        <v>7531</v>
      </c>
      <c r="CZ6604" s="35">
        <v>2.6932279999999999E-2</v>
      </c>
    </row>
    <row r="6605" spans="103:104" x14ac:dyDescent="0.3">
      <c r="CY6605" s="34" t="s">
        <v>7532</v>
      </c>
      <c r="CZ6605" s="35">
        <v>4.4772550000000001E-2</v>
      </c>
    </row>
    <row r="6606" spans="103:104" x14ac:dyDescent="0.3">
      <c r="CY6606" s="34" t="s">
        <v>7533</v>
      </c>
      <c r="CZ6606" s="35">
        <v>5.3316669999999997E-2</v>
      </c>
    </row>
    <row r="6607" spans="103:104" x14ac:dyDescent="0.3">
      <c r="CY6607" s="34" t="s">
        <v>7534</v>
      </c>
      <c r="CZ6607" s="35">
        <v>1.89479088E-2</v>
      </c>
    </row>
    <row r="6608" spans="103:104" x14ac:dyDescent="0.3">
      <c r="CY6608" s="34" t="s">
        <v>7535</v>
      </c>
      <c r="CZ6608" s="35">
        <v>1.89479088E-2</v>
      </c>
    </row>
    <row r="6609" spans="103:104" x14ac:dyDescent="0.3">
      <c r="CY6609" s="34" t="s">
        <v>7536</v>
      </c>
      <c r="CZ6609" s="35">
        <v>5.2928133333333335E-3</v>
      </c>
    </row>
    <row r="6610" spans="103:104" x14ac:dyDescent="0.3">
      <c r="CY6610" s="34" t="s">
        <v>7537</v>
      </c>
      <c r="CZ6610" s="35">
        <v>1.8475263399999999E-3</v>
      </c>
    </row>
    <row r="6611" spans="103:104" x14ac:dyDescent="0.3">
      <c r="CY6611" s="34" t="s">
        <v>7538</v>
      </c>
      <c r="CZ6611" s="35">
        <v>0.52636934000000002</v>
      </c>
    </row>
    <row r="6612" spans="103:104" x14ac:dyDescent="0.3">
      <c r="CY6612" s="34" t="s">
        <v>7539</v>
      </c>
      <c r="CZ6612" s="35">
        <v>0.54078599999999988</v>
      </c>
    </row>
    <row r="6613" spans="103:104" x14ac:dyDescent="0.3">
      <c r="CY6613" s="34" t="s">
        <v>7540</v>
      </c>
      <c r="CZ6613" s="35">
        <v>1.5857639999999999E-2</v>
      </c>
    </row>
    <row r="6614" spans="103:104" x14ac:dyDescent="0.3">
      <c r="CY6614" s="34" t="s">
        <v>7541</v>
      </c>
      <c r="CZ6614" s="35">
        <v>6.5972512000000002E-3</v>
      </c>
    </row>
    <row r="6615" spans="103:104" x14ac:dyDescent="0.3">
      <c r="CY6615" s="34" t="s">
        <v>7542</v>
      </c>
      <c r="CZ6615" s="35">
        <v>3.6901920000000001E-3</v>
      </c>
    </row>
    <row r="6616" spans="103:104" x14ac:dyDescent="0.3">
      <c r="CY6616" s="34" t="s">
        <v>7543</v>
      </c>
      <c r="CZ6616" s="35">
        <v>5.4485640000000004E-3</v>
      </c>
    </row>
    <row r="6617" spans="103:104" x14ac:dyDescent="0.3">
      <c r="CY6617" s="34" t="s">
        <v>7544</v>
      </c>
      <c r="CZ6617" s="35">
        <v>3.1007598059999999E-2</v>
      </c>
    </row>
    <row r="6618" spans="103:104" x14ac:dyDescent="0.3">
      <c r="CY6618" s="34" t="s">
        <v>7545</v>
      </c>
      <c r="CZ6618" s="35">
        <v>2.2478695999999999E-2</v>
      </c>
    </row>
    <row r="6619" spans="103:104" x14ac:dyDescent="0.3">
      <c r="CY6619" s="34" t="s">
        <v>7546</v>
      </c>
      <c r="CZ6619" s="35">
        <v>3.8655680000000005E-2</v>
      </c>
    </row>
    <row r="6620" spans="103:104" x14ac:dyDescent="0.3">
      <c r="CY6620" s="34" t="s">
        <v>7547</v>
      </c>
      <c r="CZ6620" s="35">
        <v>9.9666639999999983E-3</v>
      </c>
    </row>
    <row r="6621" spans="103:104" x14ac:dyDescent="0.3">
      <c r="CY6621" s="34" t="s">
        <v>7548</v>
      </c>
      <c r="CZ6621" s="35">
        <v>4.8984559999999998E-3</v>
      </c>
    </row>
    <row r="6622" spans="103:104" x14ac:dyDescent="0.3">
      <c r="CY6622" s="34" t="s">
        <v>7549</v>
      </c>
      <c r="CZ6622" s="35">
        <v>2.2294748000000002E-3</v>
      </c>
    </row>
    <row r="6623" spans="103:104" x14ac:dyDescent="0.3">
      <c r="CY6623" s="34" t="s">
        <v>7550</v>
      </c>
      <c r="CZ6623" s="35">
        <v>6.7868130434782598E-2</v>
      </c>
    </row>
    <row r="6624" spans="103:104" x14ac:dyDescent="0.3">
      <c r="CY6624" s="34" t="s">
        <v>7551</v>
      </c>
      <c r="CZ6624" s="35">
        <v>7.5817359999999986E-3</v>
      </c>
    </row>
    <row r="6625" spans="103:104" x14ac:dyDescent="0.3">
      <c r="CY6625" s="34" t="s">
        <v>7552</v>
      </c>
      <c r="CZ6625" s="35">
        <v>7.5817359999999986E-3</v>
      </c>
    </row>
    <row r="6626" spans="103:104" x14ac:dyDescent="0.3">
      <c r="CY6626" s="34" t="s">
        <v>7553</v>
      </c>
      <c r="CZ6626" s="35">
        <v>9.153931199999998E-3</v>
      </c>
    </row>
    <row r="6627" spans="103:104" x14ac:dyDescent="0.3">
      <c r="CY6627" s="34" t="s">
        <v>7554</v>
      </c>
      <c r="CZ6627" s="35">
        <v>7.1109040000000008E-4</v>
      </c>
    </row>
    <row r="6628" spans="103:104" x14ac:dyDescent="0.3">
      <c r="CY6628" s="34" t="s">
        <v>7555</v>
      </c>
      <c r="CZ6628" s="35">
        <v>1.1841999999999998E-3</v>
      </c>
    </row>
    <row r="6629" spans="103:104" x14ac:dyDescent="0.3">
      <c r="CY6629" s="34" t="s">
        <v>7556</v>
      </c>
      <c r="CZ6629" s="35">
        <v>1.7225253333333336E-2</v>
      </c>
    </row>
    <row r="6630" spans="103:104" x14ac:dyDescent="0.3">
      <c r="CY6630" s="34" t="s">
        <v>7557</v>
      </c>
      <c r="CZ6630" s="35">
        <v>1.6303984E-4</v>
      </c>
    </row>
    <row r="6631" spans="103:104" x14ac:dyDescent="0.3">
      <c r="CY6631" s="34" t="s">
        <v>7558</v>
      </c>
      <c r="CZ6631" s="35">
        <v>3.9098240000000001E-3</v>
      </c>
    </row>
    <row r="6632" spans="103:104" x14ac:dyDescent="0.3">
      <c r="CY6632" s="34" t="s">
        <v>7559</v>
      </c>
      <c r="CZ6632" s="35">
        <v>1.6429463999999999E-3</v>
      </c>
    </row>
    <row r="6633" spans="103:104" x14ac:dyDescent="0.3">
      <c r="CY6633" s="34" t="s">
        <v>7560</v>
      </c>
      <c r="CZ6633" s="35">
        <v>0.23153968</v>
      </c>
    </row>
    <row r="6634" spans="103:104" x14ac:dyDescent="0.3">
      <c r="CY6634" s="34" t="s">
        <v>7561</v>
      </c>
      <c r="CZ6634" s="35">
        <v>0.30977760000000004</v>
      </c>
    </row>
    <row r="6635" spans="103:104" x14ac:dyDescent="0.3">
      <c r="CY6635" s="34" t="s">
        <v>7562</v>
      </c>
      <c r="CZ6635" s="35">
        <v>1.9752440000000003E-2</v>
      </c>
    </row>
    <row r="6636" spans="103:104" x14ac:dyDescent="0.3">
      <c r="CY6636" s="34" t="s">
        <v>7563</v>
      </c>
      <c r="CZ6636" s="35">
        <v>2.4333512935999998E-2</v>
      </c>
    </row>
    <row r="6637" spans="103:104" x14ac:dyDescent="0.3">
      <c r="CY6637" s="34" t="s">
        <v>7564</v>
      </c>
      <c r="CZ6637" s="35">
        <v>1.7931162559999998E-3</v>
      </c>
    </row>
    <row r="6638" spans="103:104" x14ac:dyDescent="0.3">
      <c r="CY6638" s="34" t="s">
        <v>7565</v>
      </c>
      <c r="CZ6638" s="35">
        <v>1.7931162559999998E-3</v>
      </c>
    </row>
    <row r="6639" spans="103:104" x14ac:dyDescent="0.3">
      <c r="CY6639" s="34" t="s">
        <v>7566</v>
      </c>
      <c r="CZ6639" s="35">
        <v>3.6590800000000007E-2</v>
      </c>
    </row>
    <row r="6640" spans="103:104" x14ac:dyDescent="0.3">
      <c r="CY6640" s="34" t="s">
        <v>7567</v>
      </c>
      <c r="CZ6640" s="35">
        <v>0.13817536</v>
      </c>
    </row>
    <row r="6641" spans="103:104" x14ac:dyDescent="0.3">
      <c r="CY6641" s="34" t="s">
        <v>7568</v>
      </c>
      <c r="CZ6641" s="35">
        <v>0.13817536</v>
      </c>
    </row>
    <row r="6642" spans="103:104" x14ac:dyDescent="0.3">
      <c r="CY6642" s="34" t="s">
        <v>7569</v>
      </c>
      <c r="CZ6642" s="35">
        <v>1.8070900000000001E-2</v>
      </c>
    </row>
    <row r="6643" spans="103:104" x14ac:dyDescent="0.3">
      <c r="CY6643" s="34" t="s">
        <v>7570</v>
      </c>
      <c r="CZ6643" s="35">
        <v>2.1029560000000003E-2</v>
      </c>
    </row>
    <row r="6644" spans="103:104" x14ac:dyDescent="0.3">
      <c r="CY6644" s="34" t="s">
        <v>7571</v>
      </c>
      <c r="CZ6644" s="35">
        <v>1.5338229333333333E-2</v>
      </c>
    </row>
    <row r="6645" spans="103:104" x14ac:dyDescent="0.3">
      <c r="CY6645" s="34" t="s">
        <v>7572</v>
      </c>
      <c r="CZ6645" s="35">
        <v>7.8636363636363637E-4</v>
      </c>
    </row>
    <row r="6646" spans="103:104" x14ac:dyDescent="0.3">
      <c r="CY6646" s="34" t="s">
        <v>7573</v>
      </c>
      <c r="CZ6646" s="35">
        <v>0.13580431999999998</v>
      </c>
    </row>
    <row r="6647" spans="103:104" x14ac:dyDescent="0.3">
      <c r="CY6647" s="34" t="s">
        <v>7574</v>
      </c>
      <c r="CZ6647" s="35">
        <v>0.13580431999999998</v>
      </c>
    </row>
    <row r="6648" spans="103:104" x14ac:dyDescent="0.3">
      <c r="CY6648" s="34" t="s">
        <v>7575</v>
      </c>
      <c r="CZ6648" s="35">
        <v>0.43042608000000004</v>
      </c>
    </row>
    <row r="6649" spans="103:104" x14ac:dyDescent="0.3">
      <c r="CY6649" s="34" t="s">
        <v>7576</v>
      </c>
      <c r="CZ6649" s="35">
        <v>7.545184000000002E-2</v>
      </c>
    </row>
    <row r="6650" spans="103:104" x14ac:dyDescent="0.3">
      <c r="CY6650" s="34" t="s">
        <v>7577</v>
      </c>
      <c r="CZ6650" s="35">
        <v>0.2166624</v>
      </c>
    </row>
    <row r="6651" spans="103:104" x14ac:dyDescent="0.3">
      <c r="CY6651" s="34" t="s">
        <v>7578</v>
      </c>
      <c r="CZ6651" s="35">
        <v>7.8169999999999989E-2</v>
      </c>
    </row>
    <row r="6652" spans="103:104" x14ac:dyDescent="0.3">
      <c r="CY6652" s="34" t="s">
        <v>7579</v>
      </c>
      <c r="CZ6652" s="35">
        <v>2.7917896000000001E-2</v>
      </c>
    </row>
    <row r="6653" spans="103:104" x14ac:dyDescent="0.3">
      <c r="CY6653" s="34" t="s">
        <v>7580</v>
      </c>
      <c r="CZ6653" s="35">
        <v>0.15765760000000001</v>
      </c>
    </row>
    <row r="6654" spans="103:104" x14ac:dyDescent="0.3">
      <c r="CY6654" s="34" t="s">
        <v>7581</v>
      </c>
      <c r="CZ6654" s="35">
        <v>2.7749762000000001E-2</v>
      </c>
    </row>
    <row r="6655" spans="103:104" x14ac:dyDescent="0.3">
      <c r="CY6655" s="34" t="s">
        <v>7582</v>
      </c>
      <c r="CZ6655" s="35">
        <v>3.1390306266666668E-2</v>
      </c>
    </row>
    <row r="6656" spans="103:104" x14ac:dyDescent="0.3">
      <c r="CY6656" s="34" t="s">
        <v>7583</v>
      </c>
      <c r="CZ6656" s="35">
        <v>1.2468799584E-3</v>
      </c>
    </row>
    <row r="6657" spans="103:104" x14ac:dyDescent="0.3">
      <c r="CY6657" s="34" t="s">
        <v>7584</v>
      </c>
      <c r="CZ6657" s="35">
        <v>2.7520959999999999E-4</v>
      </c>
    </row>
    <row r="6658" spans="103:104" x14ac:dyDescent="0.3">
      <c r="CY6658" s="34" t="s">
        <v>7585</v>
      </c>
      <c r="CZ6658" s="35">
        <v>0.12935470399999999</v>
      </c>
    </row>
    <row r="6659" spans="103:104" x14ac:dyDescent="0.3">
      <c r="CY6659" s="34" t="s">
        <v>7586</v>
      </c>
      <c r="CZ6659" s="35">
        <v>2.5168749951999997E-2</v>
      </c>
    </row>
    <row r="6660" spans="103:104" x14ac:dyDescent="0.3">
      <c r="CY6660" s="34" t="s">
        <v>7587</v>
      </c>
      <c r="CZ6660" s="35">
        <v>3.0954754285714291E-3</v>
      </c>
    </row>
    <row r="6661" spans="103:104" x14ac:dyDescent="0.3">
      <c r="CY6661" s="34" t="s">
        <v>7588</v>
      </c>
      <c r="CZ6661" s="35">
        <v>0.2149652</v>
      </c>
    </row>
    <row r="6662" spans="103:104" x14ac:dyDescent="0.3">
      <c r="CY6662" s="34" t="s">
        <v>7589</v>
      </c>
      <c r="CZ6662" s="35">
        <v>5.5595447199999995E-2</v>
      </c>
    </row>
    <row r="6663" spans="103:104" x14ac:dyDescent="0.3">
      <c r="CY6663" s="34" t="s">
        <v>7590</v>
      </c>
      <c r="CZ6663" s="35">
        <v>1.4689000000000001E-2</v>
      </c>
    </row>
    <row r="6664" spans="103:104" x14ac:dyDescent="0.3">
      <c r="CY6664" s="34" t="s">
        <v>7591</v>
      </c>
      <c r="CZ6664" s="35">
        <v>1.4689000000000001E-2</v>
      </c>
    </row>
    <row r="6665" spans="103:104" x14ac:dyDescent="0.3">
      <c r="CY6665" s="34" t="s">
        <v>7592</v>
      </c>
      <c r="CZ6665" s="35">
        <v>3.0992063364705887E-2</v>
      </c>
    </row>
    <row r="6666" spans="103:104" x14ac:dyDescent="0.3">
      <c r="CY6666" s="34" t="s">
        <v>7593</v>
      </c>
      <c r="CZ6666" s="35">
        <v>8.2075399999999993E-2</v>
      </c>
    </row>
    <row r="6667" spans="103:104" x14ac:dyDescent="0.3">
      <c r="CY6667" s="34" t="s">
        <v>7594</v>
      </c>
      <c r="CZ6667" s="35">
        <v>5.8911679999999994E-2</v>
      </c>
    </row>
    <row r="6668" spans="103:104" x14ac:dyDescent="0.3">
      <c r="CY6668" s="34" t="s">
        <v>7595</v>
      </c>
      <c r="CZ6668" s="35">
        <v>4.8827716000000007E-2</v>
      </c>
    </row>
    <row r="6669" spans="103:104" x14ac:dyDescent="0.3">
      <c r="CY6669" s="34" t="s">
        <v>7596</v>
      </c>
      <c r="CZ6669" s="35">
        <v>5.5861839999999992E-3</v>
      </c>
    </row>
    <row r="6670" spans="103:104" x14ac:dyDescent="0.3">
      <c r="CY6670" s="34" t="s">
        <v>7597</v>
      </c>
      <c r="CZ6670" s="35">
        <v>5.5861839999999992E-3</v>
      </c>
    </row>
    <row r="6671" spans="103:104" x14ac:dyDescent="0.3">
      <c r="CY6671" s="34" t="s">
        <v>7598</v>
      </c>
      <c r="CZ6671" s="35">
        <v>2.4417600000000001E-2</v>
      </c>
    </row>
    <row r="6672" spans="103:104" x14ac:dyDescent="0.3">
      <c r="CY6672" s="34" t="s">
        <v>7599</v>
      </c>
      <c r="CZ6672" s="35">
        <v>2.9689479999999997E-2</v>
      </c>
    </row>
    <row r="6673" spans="103:104" x14ac:dyDescent="0.3">
      <c r="CY6673" s="34" t="s">
        <v>7600</v>
      </c>
      <c r="CZ6673" s="35">
        <v>1.07677624E-2</v>
      </c>
    </row>
    <row r="6674" spans="103:104" x14ac:dyDescent="0.3">
      <c r="CY6674" s="34" t="s">
        <v>7601</v>
      </c>
      <c r="CZ6674" s="35">
        <v>0.10403152</v>
      </c>
    </row>
    <row r="6675" spans="103:104" x14ac:dyDescent="0.3">
      <c r="CY6675" s="34" t="s">
        <v>7602</v>
      </c>
      <c r="CZ6675" s="35">
        <v>0.17372223999999997</v>
      </c>
    </row>
    <row r="6676" spans="103:104" x14ac:dyDescent="0.3">
      <c r="CY6676" s="34" t="s">
        <v>7603</v>
      </c>
      <c r="CZ6676" s="35">
        <v>0.24045088000000003</v>
      </c>
    </row>
    <row r="6677" spans="103:104" x14ac:dyDescent="0.3">
      <c r="CY6677" s="34" t="s">
        <v>7604</v>
      </c>
      <c r="CZ6677" s="35">
        <v>1.9603928269999998E-2</v>
      </c>
    </row>
    <row r="6678" spans="103:104" x14ac:dyDescent="0.3">
      <c r="CY6678" s="34" t="s">
        <v>7605</v>
      </c>
      <c r="CZ6678" s="35">
        <v>0.21233549599999998</v>
      </c>
    </row>
    <row r="6679" spans="103:104" x14ac:dyDescent="0.3">
      <c r="CY6679" s="34" t="s">
        <v>7606</v>
      </c>
      <c r="CZ6679" s="35">
        <v>1.9661803776E-3</v>
      </c>
    </row>
    <row r="6680" spans="103:104" x14ac:dyDescent="0.3">
      <c r="CY6680" s="34" t="s">
        <v>7607</v>
      </c>
      <c r="CZ6680" s="35">
        <v>6.7785834733399997E-2</v>
      </c>
    </row>
    <row r="6681" spans="103:104" x14ac:dyDescent="0.3">
      <c r="CY6681" s="34" t="s">
        <v>7608</v>
      </c>
      <c r="CZ6681" s="35">
        <v>3.2618210000000002E-2</v>
      </c>
    </row>
    <row r="6682" spans="103:104" x14ac:dyDescent="0.3">
      <c r="CY6682" s="34" t="s">
        <v>7609</v>
      </c>
      <c r="CZ6682" s="35">
        <v>6.7100064000000001E-2</v>
      </c>
    </row>
    <row r="6683" spans="103:104" x14ac:dyDescent="0.3">
      <c r="CY6683" s="34" t="s">
        <v>7610</v>
      </c>
      <c r="CZ6683" s="35">
        <v>7.6035563636363641E-3</v>
      </c>
    </row>
    <row r="6684" spans="103:104" x14ac:dyDescent="0.3">
      <c r="CY6684" s="34" t="s">
        <v>7611</v>
      </c>
      <c r="CZ6684" s="35">
        <v>7.6035563636363641E-3</v>
      </c>
    </row>
    <row r="6685" spans="103:104" x14ac:dyDescent="0.3">
      <c r="CY6685" s="34" t="s">
        <v>7612</v>
      </c>
      <c r="CZ6685" s="35">
        <v>3.8845730000000002E-2</v>
      </c>
    </row>
    <row r="6686" spans="103:104" x14ac:dyDescent="0.3">
      <c r="CY6686" s="34" t="s">
        <v>7613</v>
      </c>
      <c r="CZ6686" s="35">
        <v>7.4053519999999987E-3</v>
      </c>
    </row>
    <row r="6687" spans="103:104" x14ac:dyDescent="0.3">
      <c r="CY6687" s="34" t="s">
        <v>7614</v>
      </c>
      <c r="CZ6687" s="35">
        <v>2.922247E-2</v>
      </c>
    </row>
    <row r="6688" spans="103:104" x14ac:dyDescent="0.3">
      <c r="CY6688" s="34" t="s">
        <v>7615</v>
      </c>
      <c r="CZ6688" s="35">
        <v>5.0612200448000001E-2</v>
      </c>
    </row>
    <row r="6689" spans="103:104" x14ac:dyDescent="0.3">
      <c r="CY6689" s="34" t="s">
        <v>7616</v>
      </c>
      <c r="CZ6689" s="35">
        <v>2.0823320000000003E-2</v>
      </c>
    </row>
    <row r="6690" spans="103:104" x14ac:dyDescent="0.3">
      <c r="CY6690" s="34" t="s">
        <v>7617</v>
      </c>
      <c r="CZ6690" s="35">
        <v>4.6849252479999999E-2</v>
      </c>
    </row>
    <row r="6691" spans="103:104" x14ac:dyDescent="0.3">
      <c r="CY6691" s="34" t="s">
        <v>7618</v>
      </c>
      <c r="CZ6691" s="35">
        <v>3.8980912E-2</v>
      </c>
    </row>
    <row r="6692" spans="103:104" x14ac:dyDescent="0.3">
      <c r="CY6692" s="34" t="s">
        <v>7619</v>
      </c>
      <c r="CZ6692" s="35">
        <v>2.1413208E-2</v>
      </c>
    </row>
    <row r="6693" spans="103:104" x14ac:dyDescent="0.3">
      <c r="CY6693" s="34" t="s">
        <v>7620</v>
      </c>
      <c r="CZ6693" s="35">
        <v>1.6935800000000001E-2</v>
      </c>
    </row>
    <row r="6694" spans="103:104" x14ac:dyDescent="0.3">
      <c r="CY6694" s="34" t="s">
        <v>7621</v>
      </c>
      <c r="CZ6694" s="35">
        <v>1.71357296E-2</v>
      </c>
    </row>
    <row r="6695" spans="103:104" x14ac:dyDescent="0.3">
      <c r="CY6695" s="34" t="s">
        <v>7622</v>
      </c>
      <c r="CZ6695" s="35">
        <v>8.1166271680000006E-3</v>
      </c>
    </row>
    <row r="6696" spans="103:104" x14ac:dyDescent="0.3">
      <c r="CY6696" s="34" t="s">
        <v>7623</v>
      </c>
      <c r="CZ6696" s="35">
        <v>6.9813802699999995E-4</v>
      </c>
    </row>
    <row r="6697" spans="103:104" x14ac:dyDescent="0.3">
      <c r="CY6697" s="34" t="s">
        <v>7624</v>
      </c>
      <c r="CZ6697" s="35">
        <v>2.2009538666666668E-2</v>
      </c>
    </row>
    <row r="6698" spans="103:104" x14ac:dyDescent="0.3">
      <c r="CY6698" s="34" t="s">
        <v>7625</v>
      </c>
      <c r="CZ6698" s="35">
        <v>4.3782608000000004E-3</v>
      </c>
    </row>
    <row r="6699" spans="103:104" x14ac:dyDescent="0.3">
      <c r="CY6699" s="34" t="s">
        <v>7626</v>
      </c>
      <c r="CZ6699" s="35">
        <v>8.7705200000000004E-3</v>
      </c>
    </row>
    <row r="6700" spans="103:104" x14ac:dyDescent="0.3">
      <c r="CY6700" s="34" t="s">
        <v>7627</v>
      </c>
      <c r="CZ6700" s="35">
        <v>6.3125820000000006E-3</v>
      </c>
    </row>
    <row r="6701" spans="103:104" x14ac:dyDescent="0.3">
      <c r="CY6701" s="34" t="s">
        <v>7628</v>
      </c>
      <c r="CZ6701" s="35">
        <v>3.9916140000000001E-3</v>
      </c>
    </row>
    <row r="6702" spans="103:104" x14ac:dyDescent="0.3">
      <c r="CY6702" s="34" t="s">
        <v>7629</v>
      </c>
      <c r="CZ6702" s="35">
        <v>3.6918860000000001E-3</v>
      </c>
    </row>
    <row r="6703" spans="103:104" x14ac:dyDescent="0.3">
      <c r="CY6703" s="34" t="s">
        <v>7630</v>
      </c>
      <c r="CZ6703" s="35">
        <v>7.7792209999999994E-4</v>
      </c>
    </row>
    <row r="6704" spans="103:104" x14ac:dyDescent="0.3">
      <c r="CY6704" s="34" t="s">
        <v>7631</v>
      </c>
      <c r="CZ6704" s="35">
        <v>8.7038510000000003E-4</v>
      </c>
    </row>
    <row r="6705" spans="103:104" x14ac:dyDescent="0.3">
      <c r="CY6705" s="34" t="s">
        <v>7632</v>
      </c>
      <c r="CZ6705" s="35">
        <v>7.0548275200000015E-4</v>
      </c>
    </row>
    <row r="6706" spans="103:104" x14ac:dyDescent="0.3">
      <c r="CY6706" s="34" t="s">
        <v>7633</v>
      </c>
      <c r="CZ6706" s="35">
        <v>9.5484393813333342E-4</v>
      </c>
    </row>
    <row r="6707" spans="103:104" x14ac:dyDescent="0.3">
      <c r="CY6707" s="34" t="s">
        <v>7634</v>
      </c>
      <c r="CZ6707" s="35">
        <v>8.949013333333333E-4</v>
      </c>
    </row>
    <row r="6708" spans="103:104" x14ac:dyDescent="0.3">
      <c r="CY6708" s="34" t="s">
        <v>7635</v>
      </c>
      <c r="CZ6708" s="35">
        <v>1.2717426600000001E-2</v>
      </c>
    </row>
    <row r="6709" spans="103:104" x14ac:dyDescent="0.3">
      <c r="CY6709" s="34" t="s">
        <v>7636</v>
      </c>
      <c r="CZ6709" s="35">
        <v>6.3286533333333332E-3</v>
      </c>
    </row>
    <row r="6710" spans="103:104" x14ac:dyDescent="0.3">
      <c r="CY6710" s="34" t="s">
        <v>7637</v>
      </c>
      <c r="CZ6710" s="35">
        <v>0.10223</v>
      </c>
    </row>
    <row r="6711" spans="103:104" x14ac:dyDescent="0.3">
      <c r="CY6711" s="34" t="s">
        <v>7638</v>
      </c>
      <c r="CZ6711" s="35">
        <v>3.4587930519999998E-4</v>
      </c>
    </row>
    <row r="6712" spans="103:104" x14ac:dyDescent="0.3">
      <c r="CY6712" s="34" t="s">
        <v>7639</v>
      </c>
      <c r="CZ6712" s="35">
        <v>2.3489666666666666E-2</v>
      </c>
    </row>
    <row r="6713" spans="103:104" x14ac:dyDescent="0.3">
      <c r="CY6713" s="34" t="s">
        <v>7640</v>
      </c>
      <c r="CZ6713" s="35">
        <v>3.5151047499999991E-2</v>
      </c>
    </row>
    <row r="6714" spans="103:104" x14ac:dyDescent="0.3">
      <c r="CY6714" s="34" t="s">
        <v>7641</v>
      </c>
      <c r="CZ6714" s="35">
        <v>1.2622964000000001E-3</v>
      </c>
    </row>
    <row r="6715" spans="103:104" x14ac:dyDescent="0.3">
      <c r="CY6715" s="34" t="s">
        <v>7642</v>
      </c>
      <c r="CZ6715" s="35">
        <v>4.4850045200000001E-2</v>
      </c>
    </row>
    <row r="6716" spans="103:104" x14ac:dyDescent="0.3">
      <c r="CY6716" s="34" t="s">
        <v>7643</v>
      </c>
      <c r="CZ6716" s="35">
        <v>4.1129715550000001E-2</v>
      </c>
    </row>
    <row r="6717" spans="103:104" x14ac:dyDescent="0.3">
      <c r="CY6717" s="34" t="s">
        <v>7644</v>
      </c>
      <c r="CZ6717" s="35">
        <v>1.0887351469999999E-2</v>
      </c>
    </row>
    <row r="6718" spans="103:104" x14ac:dyDescent="0.3">
      <c r="CY6718" s="34" t="s">
        <v>7645</v>
      </c>
      <c r="CZ6718" s="35">
        <v>1.3355224000000001E-2</v>
      </c>
    </row>
    <row r="6719" spans="103:104" x14ac:dyDescent="0.3">
      <c r="CY6719" s="34" t="s">
        <v>7646</v>
      </c>
      <c r="CZ6719" s="35">
        <v>9.8849440000000011E-2</v>
      </c>
    </row>
    <row r="6720" spans="103:104" x14ac:dyDescent="0.3">
      <c r="CY6720" s="34" t="s">
        <v>7647</v>
      </c>
      <c r="CZ6720" s="35">
        <v>9.1334680000000005E-4</v>
      </c>
    </row>
    <row r="6721" spans="103:104" x14ac:dyDescent="0.3">
      <c r="CY6721" s="34" t="s">
        <v>7648</v>
      </c>
      <c r="CZ6721" s="35">
        <v>0.12931863999999998</v>
      </c>
    </row>
    <row r="6722" spans="103:104" x14ac:dyDescent="0.3">
      <c r="CY6722" s="34" t="s">
        <v>7649</v>
      </c>
      <c r="CZ6722" s="35">
        <v>1.9145312000000001E-2</v>
      </c>
    </row>
    <row r="6723" spans="103:104" x14ac:dyDescent="0.3">
      <c r="CY6723" s="34" t="s">
        <v>7650</v>
      </c>
      <c r="CZ6723" s="35">
        <v>2.4163947636363634E-3</v>
      </c>
    </row>
    <row r="6724" spans="103:104" x14ac:dyDescent="0.3">
      <c r="CY6724" s="34" t="s">
        <v>7651</v>
      </c>
      <c r="CZ6724" s="35">
        <v>3.1018759999999999E-2</v>
      </c>
    </row>
    <row r="6725" spans="103:104" x14ac:dyDescent="0.3">
      <c r="CY6725" s="34" t="s">
        <v>7652</v>
      </c>
      <c r="CZ6725" s="35">
        <v>2.3256801339999997E-2</v>
      </c>
    </row>
    <row r="6726" spans="103:104" x14ac:dyDescent="0.3">
      <c r="CY6726" s="34" t="s">
        <v>7653</v>
      </c>
      <c r="CZ6726" s="35">
        <v>0.12163520000000001</v>
      </c>
    </row>
    <row r="6727" spans="103:104" x14ac:dyDescent="0.3">
      <c r="CY6727" s="34" t="s">
        <v>7654</v>
      </c>
      <c r="CZ6727" s="35">
        <v>2.7612186335999999E-2</v>
      </c>
    </row>
    <row r="6728" spans="103:104" x14ac:dyDescent="0.3">
      <c r="CY6728" s="34" t="s">
        <v>7655</v>
      </c>
      <c r="CZ6728" s="35">
        <v>0.12613088</v>
      </c>
    </row>
    <row r="6729" spans="103:104" x14ac:dyDescent="0.3">
      <c r="CY6729" s="34" t="s">
        <v>7656</v>
      </c>
      <c r="CZ6729" s="35">
        <v>0.1029661667</v>
      </c>
    </row>
    <row r="6730" spans="103:104" x14ac:dyDescent="0.3">
      <c r="CY6730" s="34" t="s">
        <v>7657</v>
      </c>
      <c r="CZ6730" s="35">
        <v>2.5029216000000003E-2</v>
      </c>
    </row>
    <row r="6731" spans="103:104" x14ac:dyDescent="0.3">
      <c r="CY6731" s="34" t="s">
        <v>7658</v>
      </c>
      <c r="CZ6731" s="35">
        <v>3.5530295999999999E-3</v>
      </c>
    </row>
    <row r="6732" spans="103:104" x14ac:dyDescent="0.3">
      <c r="CY6732" s="34" t="s">
        <v>7659</v>
      </c>
      <c r="CZ6732" s="35">
        <v>1.41795168E-2</v>
      </c>
    </row>
    <row r="6733" spans="103:104" x14ac:dyDescent="0.3">
      <c r="CY6733" s="34" t="s">
        <v>7660</v>
      </c>
      <c r="CZ6733" s="35">
        <v>2.5029216E-2</v>
      </c>
    </row>
    <row r="6734" spans="103:104" x14ac:dyDescent="0.3">
      <c r="CY6734" s="34" t="s">
        <v>7661</v>
      </c>
      <c r="CZ6734" s="35">
        <v>6.3618519999999994E-3</v>
      </c>
    </row>
    <row r="6735" spans="103:104" x14ac:dyDescent="0.3">
      <c r="CY6735" s="34" t="s">
        <v>7662</v>
      </c>
      <c r="CZ6735" s="35">
        <v>1.64348208E-2</v>
      </c>
    </row>
    <row r="6736" spans="103:104" x14ac:dyDescent="0.3">
      <c r="CY6736" s="34" t="s">
        <v>7663</v>
      </c>
      <c r="CZ6736" s="35">
        <v>9.3984063999999999E-3</v>
      </c>
    </row>
    <row r="6737" spans="103:104" x14ac:dyDescent="0.3">
      <c r="CY6737" s="34" t="s">
        <v>7664</v>
      </c>
      <c r="CZ6737" s="35">
        <v>2.3438003200000002E-2</v>
      </c>
    </row>
    <row r="6738" spans="103:104" x14ac:dyDescent="0.3">
      <c r="CY6738" s="34" t="s">
        <v>7665</v>
      </c>
      <c r="CZ6738" s="35">
        <v>6.2742224000000004E-3</v>
      </c>
    </row>
    <row r="6739" spans="103:104" x14ac:dyDescent="0.3">
      <c r="CY6739" s="34" t="s">
        <v>7666</v>
      </c>
      <c r="CZ6739" s="35">
        <v>4.5589279999999994E-3</v>
      </c>
    </row>
    <row r="6740" spans="103:104" x14ac:dyDescent="0.3">
      <c r="CY6740" s="34" t="s">
        <v>7667</v>
      </c>
      <c r="CZ6740" s="35">
        <v>7.0731356666666667E-3</v>
      </c>
    </row>
    <row r="6741" spans="103:104" x14ac:dyDescent="0.3">
      <c r="CY6741" s="34" t="s">
        <v>7668</v>
      </c>
      <c r="CZ6741" s="35">
        <v>0.68569000000000002</v>
      </c>
    </row>
    <row r="6742" spans="103:104" x14ac:dyDescent="0.3">
      <c r="CY6742" s="34" t="s">
        <v>7669</v>
      </c>
      <c r="CZ6742" s="35">
        <v>0.19844266666666668</v>
      </c>
    </row>
    <row r="6743" spans="103:104" x14ac:dyDescent="0.3">
      <c r="CY6743" s="34" t="s">
        <v>7670</v>
      </c>
      <c r="CZ6743" s="35">
        <v>2.7799706699999999E-2</v>
      </c>
    </row>
    <row r="6744" spans="103:104" x14ac:dyDescent="0.3">
      <c r="CY6744" s="34" t="s">
        <v>7671</v>
      </c>
      <c r="CZ6744" s="35">
        <v>1.5320774135999999E-3</v>
      </c>
    </row>
    <row r="6745" spans="103:104" x14ac:dyDescent="0.3">
      <c r="CY6745" s="34" t="s">
        <v>7672</v>
      </c>
      <c r="CZ6745" s="35">
        <v>7.2837080000000007E-3</v>
      </c>
    </row>
    <row r="6746" spans="103:104" x14ac:dyDescent="0.3">
      <c r="CY6746" s="34" t="s">
        <v>7673</v>
      </c>
      <c r="CZ6746" s="35">
        <v>2.4954595839999996E-2</v>
      </c>
    </row>
    <row r="6747" spans="103:104" x14ac:dyDescent="0.3">
      <c r="CY6747" s="34" t="s">
        <v>7674</v>
      </c>
      <c r="CZ6747" s="35">
        <v>8.1841888000000002E-2</v>
      </c>
    </row>
    <row r="6748" spans="103:104" x14ac:dyDescent="0.3">
      <c r="CY6748" s="34" t="s">
        <v>7675</v>
      </c>
      <c r="CZ6748" s="35">
        <v>7.4256544000000008E-2</v>
      </c>
    </row>
    <row r="6749" spans="103:104" x14ac:dyDescent="0.3">
      <c r="CY6749" s="34" t="s">
        <v>7676</v>
      </c>
      <c r="CZ6749" s="35">
        <v>7.80944E-4</v>
      </c>
    </row>
    <row r="6750" spans="103:104" x14ac:dyDescent="0.3">
      <c r="CY6750" s="34" t="s">
        <v>7677</v>
      </c>
      <c r="CZ6750" s="35">
        <v>5.1220960000000003E-2</v>
      </c>
    </row>
    <row r="6751" spans="103:104" x14ac:dyDescent="0.3">
      <c r="CY6751" s="34" t="s">
        <v>7678</v>
      </c>
      <c r="CZ6751" s="35">
        <v>7.80944E-4</v>
      </c>
    </row>
    <row r="6752" spans="103:104" x14ac:dyDescent="0.3">
      <c r="CY6752" s="34" t="s">
        <v>7679</v>
      </c>
      <c r="CZ6752" s="35">
        <v>1.256224E-3</v>
      </c>
    </row>
    <row r="6753" spans="103:104" x14ac:dyDescent="0.3">
      <c r="CY6753" s="34" t="s">
        <v>7680</v>
      </c>
      <c r="CZ6753" s="35">
        <v>1.501376133E-2</v>
      </c>
    </row>
    <row r="6754" spans="103:104" x14ac:dyDescent="0.3">
      <c r="CY6754" s="34" t="s">
        <v>7681</v>
      </c>
      <c r="CZ6754" s="35">
        <v>1.6479521149999999E-2</v>
      </c>
    </row>
    <row r="6755" spans="103:104" x14ac:dyDescent="0.3">
      <c r="CY6755" s="34" t="s">
        <v>7682</v>
      </c>
      <c r="CZ6755" s="35">
        <v>1.1593260000000001E-2</v>
      </c>
    </row>
    <row r="6756" spans="103:104" x14ac:dyDescent="0.3">
      <c r="CY6756" s="34" t="s">
        <v>7683</v>
      </c>
      <c r="CZ6756" s="35">
        <v>1.1593260000000001E-2</v>
      </c>
    </row>
    <row r="6757" spans="103:104" x14ac:dyDescent="0.3">
      <c r="CY6757" s="34" t="s">
        <v>7684</v>
      </c>
      <c r="CZ6757" s="35">
        <v>1.3505300000000001E-2</v>
      </c>
    </row>
    <row r="6758" spans="103:104" x14ac:dyDescent="0.3">
      <c r="CY6758" s="34" t="s">
        <v>7685</v>
      </c>
      <c r="CZ6758" s="35">
        <v>0.11643343199999999</v>
      </c>
    </row>
    <row r="6759" spans="103:104" x14ac:dyDescent="0.3">
      <c r="CY6759" s="34" t="s">
        <v>7686</v>
      </c>
      <c r="CZ6759" s="35">
        <v>1.6208594666666666E-2</v>
      </c>
    </row>
    <row r="6760" spans="103:104" x14ac:dyDescent="0.3">
      <c r="CY6760" s="34" t="s">
        <v>7687</v>
      </c>
      <c r="CZ6760" s="35">
        <v>1.0983889336000001E-2</v>
      </c>
    </row>
    <row r="6761" spans="103:104" x14ac:dyDescent="0.3">
      <c r="CY6761" s="34" t="s">
        <v>7688</v>
      </c>
      <c r="CZ6761" s="35">
        <v>5.8001881488888879E-2</v>
      </c>
    </row>
    <row r="6762" spans="103:104" x14ac:dyDescent="0.3">
      <c r="CY6762" s="34" t="s">
        <v>7689</v>
      </c>
      <c r="CZ6762" s="35">
        <v>6.4113876400000002E-3</v>
      </c>
    </row>
    <row r="6763" spans="103:104" x14ac:dyDescent="0.3">
      <c r="CY6763" s="34" t="s">
        <v>7690</v>
      </c>
      <c r="CZ6763" s="35">
        <v>8.7597039999999987E-2</v>
      </c>
    </row>
    <row r="6764" spans="103:104" x14ac:dyDescent="0.3">
      <c r="CY6764" s="34" t="s">
        <v>7691</v>
      </c>
      <c r="CZ6764" s="35">
        <v>8.1184480000000003E-3</v>
      </c>
    </row>
    <row r="6765" spans="103:104" x14ac:dyDescent="0.3">
      <c r="CY6765" s="34" t="s">
        <v>7692</v>
      </c>
      <c r="CZ6765" s="35">
        <v>1.1529412105263159E-2</v>
      </c>
    </row>
    <row r="6766" spans="103:104" x14ac:dyDescent="0.3">
      <c r="CY6766" s="34" t="s">
        <v>7693</v>
      </c>
      <c r="CZ6766" s="35">
        <v>3.9457249999999999E-2</v>
      </c>
    </row>
    <row r="6767" spans="103:104" x14ac:dyDescent="0.3">
      <c r="CY6767" s="34" t="s">
        <v>7694</v>
      </c>
      <c r="CZ6767" s="35">
        <v>6.9935960000000005E-2</v>
      </c>
    </row>
    <row r="6768" spans="103:104" x14ac:dyDescent="0.3">
      <c r="CY6768" s="34" t="s">
        <v>7695</v>
      </c>
      <c r="CZ6768" s="35">
        <v>6.9935960000000005E-2</v>
      </c>
    </row>
    <row r="6769" spans="103:104" x14ac:dyDescent="0.3">
      <c r="CY6769" s="34" t="s">
        <v>7696</v>
      </c>
      <c r="CZ6769" s="35">
        <v>0.18018210000000001</v>
      </c>
    </row>
    <row r="6770" spans="103:104" x14ac:dyDescent="0.3">
      <c r="CY6770" s="34" t="s">
        <v>7697</v>
      </c>
      <c r="CZ6770" s="35">
        <v>0.18018210000000001</v>
      </c>
    </row>
    <row r="6771" spans="103:104" x14ac:dyDescent="0.3">
      <c r="CY6771" s="34" t="s">
        <v>7698</v>
      </c>
      <c r="CZ6771" s="35">
        <v>6.6639680000000007E-2</v>
      </c>
    </row>
    <row r="6772" spans="103:104" x14ac:dyDescent="0.3">
      <c r="CY6772" s="34" t="s">
        <v>7699</v>
      </c>
      <c r="CZ6772" s="35">
        <v>6.6639680000000007E-2</v>
      </c>
    </row>
    <row r="6773" spans="103:104" x14ac:dyDescent="0.3">
      <c r="CY6773" s="34" t="s">
        <v>7700</v>
      </c>
      <c r="CZ6773" s="35">
        <v>5.0131863999999998E-2</v>
      </c>
    </row>
    <row r="6774" spans="103:104" x14ac:dyDescent="0.3">
      <c r="CY6774" s="34" t="s">
        <v>7701</v>
      </c>
      <c r="CZ6774" s="35">
        <v>5.0131863999999991E-2</v>
      </c>
    </row>
    <row r="6775" spans="103:104" x14ac:dyDescent="0.3">
      <c r="CY6775" s="34" t="s">
        <v>7702</v>
      </c>
      <c r="CZ6775" s="35">
        <v>8.6879499999999998E-2</v>
      </c>
    </row>
    <row r="6776" spans="103:104" x14ac:dyDescent="0.3">
      <c r="CY6776" s="34" t="s">
        <v>7703</v>
      </c>
      <c r="CZ6776" s="35">
        <v>7.2426240000000003E-2</v>
      </c>
    </row>
    <row r="6777" spans="103:104" x14ac:dyDescent="0.3">
      <c r="CY6777" s="34" t="s">
        <v>7704</v>
      </c>
      <c r="CZ6777" s="35">
        <v>7.2552240000000004E-2</v>
      </c>
    </row>
    <row r="6778" spans="103:104" x14ac:dyDescent="0.3">
      <c r="CY6778" s="34" t="s">
        <v>7705</v>
      </c>
      <c r="CZ6778" s="35">
        <v>3.4189215999999994E-2</v>
      </c>
    </row>
    <row r="6779" spans="103:104" x14ac:dyDescent="0.3">
      <c r="CY6779" s="34" t="s">
        <v>7706</v>
      </c>
      <c r="CZ6779" s="35">
        <v>3.4189215999999994E-2</v>
      </c>
    </row>
    <row r="6780" spans="103:104" x14ac:dyDescent="0.3">
      <c r="CY6780" s="34" t="s">
        <v>7707</v>
      </c>
      <c r="CZ6780" s="35">
        <v>9.8592640000000009E-2</v>
      </c>
    </row>
    <row r="6781" spans="103:104" x14ac:dyDescent="0.3">
      <c r="CY6781" s="34" t="s">
        <v>7708</v>
      </c>
      <c r="CZ6781" s="35">
        <v>9.8592640000000009E-2</v>
      </c>
    </row>
    <row r="6782" spans="103:104" x14ac:dyDescent="0.3">
      <c r="CY6782" s="34" t="s">
        <v>7709</v>
      </c>
      <c r="CZ6782" s="35">
        <v>5.0983207999999995E-2</v>
      </c>
    </row>
    <row r="6783" spans="103:104" x14ac:dyDescent="0.3">
      <c r="CY6783" s="34" t="s">
        <v>7710</v>
      </c>
      <c r="CZ6783" s="35">
        <v>0.14691832000000002</v>
      </c>
    </row>
    <row r="6784" spans="103:104" x14ac:dyDescent="0.3">
      <c r="CY6784" s="34" t="s">
        <v>7711</v>
      </c>
      <c r="CZ6784" s="35">
        <v>0.14691832000000002</v>
      </c>
    </row>
    <row r="6785" spans="103:104" x14ac:dyDescent="0.3">
      <c r="CY6785" s="34" t="s">
        <v>7712</v>
      </c>
      <c r="CZ6785" s="35">
        <v>4.8500623999999999E-2</v>
      </c>
    </row>
    <row r="6786" spans="103:104" x14ac:dyDescent="0.3">
      <c r="CY6786" s="34" t="s">
        <v>7713</v>
      </c>
      <c r="CZ6786" s="35">
        <v>4.9822879999999996E-3</v>
      </c>
    </row>
    <row r="6787" spans="103:104" x14ac:dyDescent="0.3">
      <c r="CY6787" s="34" t="s">
        <v>7714</v>
      </c>
      <c r="CZ6787" s="35">
        <v>0.10692365</v>
      </c>
    </row>
    <row r="6788" spans="103:104" x14ac:dyDescent="0.3">
      <c r="CY6788" s="34" t="s">
        <v>7715</v>
      </c>
      <c r="CZ6788" s="35">
        <v>2.8503460000000001E-2</v>
      </c>
    </row>
    <row r="6789" spans="103:104" x14ac:dyDescent="0.3">
      <c r="CY6789" s="34" t="s">
        <v>7716</v>
      </c>
      <c r="CZ6789" s="35">
        <v>1.7243056000000003E-2</v>
      </c>
    </row>
    <row r="6790" spans="103:104" x14ac:dyDescent="0.3">
      <c r="CY6790" s="34" t="s">
        <v>7717</v>
      </c>
      <c r="CZ6790" s="35">
        <v>4.0845026E-2</v>
      </c>
    </row>
    <row r="6791" spans="103:104" x14ac:dyDescent="0.3">
      <c r="CY6791" s="34" t="s">
        <v>7718</v>
      </c>
      <c r="CZ6791" s="35">
        <v>8.1660603759999992E-2</v>
      </c>
    </row>
    <row r="6792" spans="103:104" x14ac:dyDescent="0.3">
      <c r="CY6792" s="34" t="s">
        <v>7719</v>
      </c>
      <c r="CZ6792" s="35">
        <v>1.218382E-2</v>
      </c>
    </row>
    <row r="6793" spans="103:104" x14ac:dyDescent="0.3">
      <c r="CY6793" s="34" t="s">
        <v>7720</v>
      </c>
      <c r="CZ6793" s="35">
        <v>1.5164574925E-2</v>
      </c>
    </row>
    <row r="6794" spans="103:104" x14ac:dyDescent="0.3">
      <c r="CY6794" s="34" t="s">
        <v>7721</v>
      </c>
      <c r="CZ6794" s="35">
        <v>1.7027829399999998E-3</v>
      </c>
    </row>
    <row r="6795" spans="103:104" x14ac:dyDescent="0.3">
      <c r="CY6795" s="34" t="s">
        <v>7722</v>
      </c>
      <c r="CZ6795" s="35">
        <v>5.0252450000000002E-3</v>
      </c>
    </row>
    <row r="6796" spans="103:104" x14ac:dyDescent="0.3">
      <c r="CY6796" s="34" t="s">
        <v>7723</v>
      </c>
      <c r="CZ6796" s="35">
        <v>1.1525013333333336E-2</v>
      </c>
    </row>
    <row r="6797" spans="103:104" x14ac:dyDescent="0.3">
      <c r="CY6797" s="34" t="s">
        <v>7724</v>
      </c>
      <c r="CZ6797" s="35">
        <v>5.0976258E-3</v>
      </c>
    </row>
    <row r="6798" spans="103:104" x14ac:dyDescent="0.3">
      <c r="CY6798" s="34" t="s">
        <v>7725</v>
      </c>
      <c r="CZ6798" s="35">
        <v>5.0976258E-3</v>
      </c>
    </row>
    <row r="6799" spans="103:104" x14ac:dyDescent="0.3">
      <c r="CY6799" s="34" t="s">
        <v>7726</v>
      </c>
      <c r="CZ6799" s="35">
        <v>6.6941600000000004E-2</v>
      </c>
    </row>
    <row r="6800" spans="103:104" x14ac:dyDescent="0.3">
      <c r="CY6800" s="34" t="s">
        <v>7727</v>
      </c>
      <c r="CZ6800" s="35">
        <v>5.39860214E-2</v>
      </c>
    </row>
    <row r="6801" spans="103:104" x14ac:dyDescent="0.3">
      <c r="CY6801" s="34" t="s">
        <v>7728</v>
      </c>
      <c r="CZ6801" s="35">
        <v>5.4004533399999999E-2</v>
      </c>
    </row>
    <row r="6802" spans="103:104" x14ac:dyDescent="0.3">
      <c r="CY6802" s="34" t="s">
        <v>7729</v>
      </c>
      <c r="CZ6802" s="35">
        <v>1.4992339200000001E-2</v>
      </c>
    </row>
    <row r="6803" spans="103:104" x14ac:dyDescent="0.3">
      <c r="CY6803" s="34" t="s">
        <v>7730</v>
      </c>
      <c r="CZ6803" s="35">
        <v>2.1798566666666663E-3</v>
      </c>
    </row>
    <row r="6804" spans="103:104" x14ac:dyDescent="0.3">
      <c r="CY6804" s="34" t="s">
        <v>7731</v>
      </c>
      <c r="CZ6804" s="35">
        <v>2.6163771666666666E-3</v>
      </c>
    </row>
    <row r="6805" spans="103:104" x14ac:dyDescent="0.3">
      <c r="CY6805" s="34" t="s">
        <v>7732</v>
      </c>
      <c r="CZ6805" s="35">
        <v>2.1786634624999996E-3</v>
      </c>
    </row>
    <row r="6806" spans="103:104" x14ac:dyDescent="0.3">
      <c r="CY6806" s="34" t="s">
        <v>7733</v>
      </c>
      <c r="CZ6806" s="35">
        <v>2.5316639999999999E-3</v>
      </c>
    </row>
    <row r="6807" spans="103:104" x14ac:dyDescent="0.3">
      <c r="CY6807" s="34" t="s">
        <v>7734</v>
      </c>
      <c r="CZ6807" s="35">
        <v>3.507104E-3</v>
      </c>
    </row>
    <row r="6808" spans="103:104" x14ac:dyDescent="0.3">
      <c r="CY6808" s="34" t="s">
        <v>7735</v>
      </c>
      <c r="CZ6808" s="35">
        <v>3.033904E-3</v>
      </c>
    </row>
    <row r="6809" spans="103:104" x14ac:dyDescent="0.3">
      <c r="CY6809" s="34" t="s">
        <v>7736</v>
      </c>
      <c r="CZ6809" s="35">
        <v>1.9611333333333335E-3</v>
      </c>
    </row>
    <row r="6810" spans="103:104" x14ac:dyDescent="0.3">
      <c r="CY6810" s="34" t="s">
        <v>7737</v>
      </c>
      <c r="CZ6810" s="35">
        <v>6.09640025E-3</v>
      </c>
    </row>
    <row r="6811" spans="103:104" x14ac:dyDescent="0.3">
      <c r="CY6811" s="34" t="s">
        <v>7738</v>
      </c>
      <c r="CZ6811" s="35">
        <v>2.76635795325E-2</v>
      </c>
    </row>
    <row r="6812" spans="103:104" x14ac:dyDescent="0.3">
      <c r="CY6812" s="34" t="s">
        <v>7739</v>
      </c>
      <c r="CZ6812" s="35">
        <v>3.2519391999999994E-2</v>
      </c>
    </row>
    <row r="6813" spans="103:104" x14ac:dyDescent="0.3">
      <c r="CY6813" s="34" t="s">
        <v>7740</v>
      </c>
      <c r="CZ6813" s="35">
        <v>2.2302929688000003E-2</v>
      </c>
    </row>
    <row r="6814" spans="103:104" x14ac:dyDescent="0.3">
      <c r="CY6814" s="34" t="s">
        <v>7741</v>
      </c>
      <c r="CZ6814" s="35">
        <v>8.4447680000000018E-3</v>
      </c>
    </row>
    <row r="6815" spans="103:104" x14ac:dyDescent="0.3">
      <c r="CY6815" s="34" t="s">
        <v>7742</v>
      </c>
      <c r="CZ6815" s="35">
        <v>6.7189449999999996E-3</v>
      </c>
    </row>
    <row r="6816" spans="103:104" x14ac:dyDescent="0.3">
      <c r="CY6816" s="34" t="s">
        <v>7743</v>
      </c>
      <c r="CZ6816" s="35">
        <v>3.1032895999999997E-3</v>
      </c>
    </row>
    <row r="6817" spans="103:104" x14ac:dyDescent="0.3">
      <c r="CY6817" s="34" t="s">
        <v>7744</v>
      </c>
      <c r="CZ6817" s="35">
        <v>7.5936904000000012E-3</v>
      </c>
    </row>
    <row r="6818" spans="103:104" x14ac:dyDescent="0.3">
      <c r="CY6818" s="34" t="s">
        <v>7745</v>
      </c>
      <c r="CZ6818" s="35">
        <v>1.1127205333333334E-3</v>
      </c>
    </row>
    <row r="6819" spans="103:104" x14ac:dyDescent="0.3">
      <c r="CY6819" s="34" t="s">
        <v>7746</v>
      </c>
      <c r="CZ6819" s="35">
        <v>3.8333840000000001E-2</v>
      </c>
    </row>
    <row r="6820" spans="103:104" x14ac:dyDescent="0.3">
      <c r="CY6820" s="34" t="s">
        <v>7747</v>
      </c>
      <c r="CZ6820" s="35">
        <v>5.4021199999999998E-2</v>
      </c>
    </row>
    <row r="6821" spans="103:104" x14ac:dyDescent="0.3">
      <c r="CY6821" s="34" t="s">
        <v>7748</v>
      </c>
      <c r="CZ6821" s="35">
        <v>5.1332240000000001E-2</v>
      </c>
    </row>
    <row r="6822" spans="103:104" x14ac:dyDescent="0.3">
      <c r="CY6822" s="34" t="s">
        <v>7749</v>
      </c>
      <c r="CZ6822" s="35">
        <v>1.8463469824E-2</v>
      </c>
    </row>
    <row r="6823" spans="103:104" x14ac:dyDescent="0.3">
      <c r="CY6823" s="34" t="s">
        <v>7750</v>
      </c>
      <c r="CZ6823" s="35">
        <v>6.5524457142857137E-2</v>
      </c>
    </row>
    <row r="6824" spans="103:104" x14ac:dyDescent="0.3">
      <c r="CY6824" s="34" t="s">
        <v>7751</v>
      </c>
      <c r="CZ6824" s="35">
        <v>1.6901800000000003E-3</v>
      </c>
    </row>
    <row r="6825" spans="103:104" x14ac:dyDescent="0.3">
      <c r="CY6825" s="34" t="s">
        <v>7752</v>
      </c>
      <c r="CZ6825" s="35">
        <v>2.7931620000000001E-3</v>
      </c>
    </row>
    <row r="6826" spans="103:104" x14ac:dyDescent="0.3">
      <c r="CY6826" s="34" t="s">
        <v>7753</v>
      </c>
      <c r="CZ6826" s="35">
        <v>1.2520384</v>
      </c>
    </row>
    <row r="6827" spans="103:104" x14ac:dyDescent="0.3">
      <c r="CY6827" s="34" t="s">
        <v>7754</v>
      </c>
      <c r="CZ6827" s="35">
        <v>0.61005719999999997</v>
      </c>
    </row>
    <row r="6828" spans="103:104" x14ac:dyDescent="0.3">
      <c r="CY6828" s="34" t="s">
        <v>7755</v>
      </c>
      <c r="CZ6828" s="35">
        <v>1.1004896</v>
      </c>
    </row>
    <row r="6829" spans="103:104" x14ac:dyDescent="0.3">
      <c r="CY6829" s="34" t="s">
        <v>7756</v>
      </c>
      <c r="CZ6829" s="35">
        <v>0.57689000000000001</v>
      </c>
    </row>
    <row r="6830" spans="103:104" x14ac:dyDescent="0.3">
      <c r="CY6830" s="34" t="s">
        <v>7757</v>
      </c>
      <c r="CZ6830" s="35">
        <v>4.382556000000001E-3</v>
      </c>
    </row>
    <row r="6831" spans="103:104" x14ac:dyDescent="0.3">
      <c r="CY6831" s="34" t="s">
        <v>7758</v>
      </c>
      <c r="CZ6831" s="35">
        <v>1.9614383999999999E-2</v>
      </c>
    </row>
    <row r="6832" spans="103:104" x14ac:dyDescent="0.3">
      <c r="CY6832" s="34" t="s">
        <v>7759</v>
      </c>
      <c r="CZ6832" s="35">
        <v>1.8059375999999999E-2</v>
      </c>
    </row>
    <row r="6833" spans="103:104" x14ac:dyDescent="0.3">
      <c r="CY6833" s="34" t="s">
        <v>7760</v>
      </c>
      <c r="CZ6833" s="35">
        <v>1.4505260000000001E-2</v>
      </c>
    </row>
    <row r="6834" spans="103:104" x14ac:dyDescent="0.3">
      <c r="CY6834" s="34" t="s">
        <v>7761</v>
      </c>
      <c r="CZ6834" s="35">
        <v>1.4566666666666667E-4</v>
      </c>
    </row>
    <row r="6835" spans="103:104" x14ac:dyDescent="0.3">
      <c r="CY6835" s="34" t="s">
        <v>7762</v>
      </c>
      <c r="CZ6835" s="35">
        <v>1.223546E-2</v>
      </c>
    </row>
    <row r="6836" spans="103:104" x14ac:dyDescent="0.3">
      <c r="CY6836" s="34" t="s">
        <v>7763</v>
      </c>
      <c r="CZ6836" s="35">
        <v>1.6048099999999999E-2</v>
      </c>
    </row>
    <row r="6837" spans="103:104" x14ac:dyDescent="0.3">
      <c r="CY6837" s="34" t="s">
        <v>7764</v>
      </c>
      <c r="CZ6837" s="35">
        <v>2.352452E-2</v>
      </c>
    </row>
    <row r="6838" spans="103:104" x14ac:dyDescent="0.3">
      <c r="CY6838" s="34" t="s">
        <v>7765</v>
      </c>
      <c r="CZ6838" s="35">
        <v>3.6654879999999994E-2</v>
      </c>
    </row>
    <row r="6839" spans="103:104" x14ac:dyDescent="0.3">
      <c r="CY6839" s="34" t="s">
        <v>7766</v>
      </c>
      <c r="CZ6839" s="35">
        <v>6.3670399999999988E-2</v>
      </c>
    </row>
    <row r="6840" spans="103:104" x14ac:dyDescent="0.3">
      <c r="CY6840" s="34" t="s">
        <v>7767</v>
      </c>
      <c r="CZ6840" s="35">
        <v>3.1509720000000001E-3</v>
      </c>
    </row>
    <row r="6841" spans="103:104" x14ac:dyDescent="0.3">
      <c r="CY6841" s="34" t="s">
        <v>7768</v>
      </c>
      <c r="CZ6841" s="35">
        <v>6.8100575999999993E-4</v>
      </c>
    </row>
    <row r="6842" spans="103:104" x14ac:dyDescent="0.3">
      <c r="CY6842" s="34" t="s">
        <v>7769</v>
      </c>
      <c r="CZ6842" s="35">
        <v>7.8874559999999993E-3</v>
      </c>
    </row>
    <row r="6843" spans="103:104" x14ac:dyDescent="0.3">
      <c r="CY6843" s="34" t="s">
        <v>7770</v>
      </c>
      <c r="CZ6843" s="35">
        <v>2.71067111E-2</v>
      </c>
    </row>
    <row r="6844" spans="103:104" x14ac:dyDescent="0.3">
      <c r="CY6844" s="34" t="s">
        <v>7771</v>
      </c>
      <c r="CZ6844" s="35">
        <v>0.16429029339999998</v>
      </c>
    </row>
    <row r="6845" spans="103:104" x14ac:dyDescent="0.3">
      <c r="CY6845" s="34" t="s">
        <v>7772</v>
      </c>
      <c r="CZ6845" s="35">
        <v>1.9154453300000006E-2</v>
      </c>
    </row>
    <row r="6846" spans="103:104" x14ac:dyDescent="0.3">
      <c r="CY6846" s="34" t="s">
        <v>7773</v>
      </c>
      <c r="CZ6846" s="35">
        <v>3.22050272E-2</v>
      </c>
    </row>
    <row r="6847" spans="103:104" x14ac:dyDescent="0.3">
      <c r="CY6847" s="34" t="s">
        <v>7774</v>
      </c>
      <c r="CZ6847" s="35">
        <v>3.3789933333333341E-2</v>
      </c>
    </row>
    <row r="6848" spans="103:104" x14ac:dyDescent="0.3">
      <c r="CY6848" s="34" t="s">
        <v>7775</v>
      </c>
      <c r="CZ6848" s="35">
        <v>5.9529385216000007E-3</v>
      </c>
    </row>
    <row r="6849" spans="103:104" x14ac:dyDescent="0.3">
      <c r="CY6849" s="34" t="s">
        <v>7776</v>
      </c>
      <c r="CZ6849" s="35">
        <v>0.28202420849999998</v>
      </c>
    </row>
    <row r="6850" spans="103:104" x14ac:dyDescent="0.3">
      <c r="CY6850" s="34" t="s">
        <v>7777</v>
      </c>
      <c r="CZ6850" s="35">
        <v>1.2734688000000001E-2</v>
      </c>
    </row>
    <row r="6851" spans="103:104" x14ac:dyDescent="0.3">
      <c r="CY6851" s="34" t="s">
        <v>7778</v>
      </c>
      <c r="CZ6851" s="35">
        <v>6.5768628056000001E-3</v>
      </c>
    </row>
    <row r="6852" spans="103:104" x14ac:dyDescent="0.3">
      <c r="CY6852" s="34" t="s">
        <v>7779</v>
      </c>
      <c r="CZ6852" s="35">
        <v>1.5448562660000002E-2</v>
      </c>
    </row>
    <row r="6853" spans="103:104" x14ac:dyDescent="0.3">
      <c r="CY6853" s="34" t="s">
        <v>7780</v>
      </c>
      <c r="CZ6853" s="35">
        <v>0.25121760000000004</v>
      </c>
    </row>
    <row r="6854" spans="103:104" x14ac:dyDescent="0.3">
      <c r="CY6854" s="34" t="s">
        <v>7781</v>
      </c>
      <c r="CZ6854" s="35">
        <v>7.4876799999999993E-2</v>
      </c>
    </row>
    <row r="6855" spans="103:104" x14ac:dyDescent="0.3">
      <c r="CY6855" s="34" t="s">
        <v>7782</v>
      </c>
      <c r="CZ6855" s="35">
        <v>2.1454078800000001E-4</v>
      </c>
    </row>
    <row r="6856" spans="103:104" x14ac:dyDescent="0.3">
      <c r="CY6856" s="34" t="s">
        <v>7783</v>
      </c>
      <c r="CZ6856" s="35">
        <v>1.2058417777777778E-3</v>
      </c>
    </row>
    <row r="6857" spans="103:104" x14ac:dyDescent="0.3">
      <c r="CY6857" s="34" t="s">
        <v>7784</v>
      </c>
      <c r="CZ6857" s="35">
        <v>8.5954044444444436E-4</v>
      </c>
    </row>
    <row r="6858" spans="103:104" x14ac:dyDescent="0.3">
      <c r="CY6858" s="34" t="s">
        <v>7785</v>
      </c>
      <c r="CZ6858" s="35">
        <v>9.80484E-4</v>
      </c>
    </row>
    <row r="6859" spans="103:104" x14ac:dyDescent="0.3">
      <c r="CY6859" s="34" t="s">
        <v>7786</v>
      </c>
      <c r="CZ6859" s="35">
        <v>1.0773111999999999E-3</v>
      </c>
    </row>
    <row r="6860" spans="103:104" x14ac:dyDescent="0.3">
      <c r="CY6860" s="34" t="s">
        <v>7787</v>
      </c>
      <c r="CZ6860" s="35">
        <v>8.274720000000001E-4</v>
      </c>
    </row>
    <row r="6861" spans="103:104" x14ac:dyDescent="0.3">
      <c r="CY6861" s="34" t="s">
        <v>7788</v>
      </c>
      <c r="CZ6861" s="35">
        <v>2.1356622222222224E-3</v>
      </c>
    </row>
    <row r="6862" spans="103:104" x14ac:dyDescent="0.3">
      <c r="CY6862" s="34" t="s">
        <v>7789</v>
      </c>
      <c r="CZ6862" s="35">
        <v>3.01338325E-3</v>
      </c>
    </row>
    <row r="6863" spans="103:104" x14ac:dyDescent="0.3">
      <c r="CY6863" s="34" t="s">
        <v>7790</v>
      </c>
      <c r="CZ6863" s="35">
        <v>4.7874815999999999E-3</v>
      </c>
    </row>
    <row r="6864" spans="103:104" x14ac:dyDescent="0.3">
      <c r="CY6864" s="34" t="s">
        <v>7791</v>
      </c>
      <c r="CZ6864" s="35">
        <v>3.7721026699999998E-3</v>
      </c>
    </row>
    <row r="6865" spans="103:104" x14ac:dyDescent="0.3">
      <c r="CY6865" s="34" t="s">
        <v>7792</v>
      </c>
      <c r="CZ6865" s="35">
        <v>4.9479999999999993E-3</v>
      </c>
    </row>
    <row r="6866" spans="103:104" x14ac:dyDescent="0.3">
      <c r="CY6866" s="34" t="s">
        <v>7793</v>
      </c>
      <c r="CZ6866" s="35">
        <v>1.0769296000000001E-2</v>
      </c>
    </row>
    <row r="6867" spans="103:104" x14ac:dyDescent="0.3">
      <c r="CY6867" s="34" t="s">
        <v>7794</v>
      </c>
      <c r="CZ6867" s="35">
        <v>3.8469066666666669E-3</v>
      </c>
    </row>
    <row r="6868" spans="103:104" x14ac:dyDescent="0.3">
      <c r="CY6868" s="34" t="s">
        <v>7795</v>
      </c>
      <c r="CZ6868" s="35">
        <v>7.2634480000000013E-3</v>
      </c>
    </row>
    <row r="6869" spans="103:104" x14ac:dyDescent="0.3">
      <c r="CY6869" s="34" t="s">
        <v>7796</v>
      </c>
      <c r="CZ6869" s="35">
        <v>9.2037600000000018E-3</v>
      </c>
    </row>
    <row r="6870" spans="103:104" x14ac:dyDescent="0.3">
      <c r="CY6870" s="34" t="s">
        <v>7797</v>
      </c>
      <c r="CZ6870" s="35">
        <v>0.11053262</v>
      </c>
    </row>
    <row r="6871" spans="103:104" x14ac:dyDescent="0.3">
      <c r="CY6871" s="34" t="s">
        <v>7798</v>
      </c>
      <c r="CZ6871" s="35">
        <v>5.9103066666666655E-2</v>
      </c>
    </row>
    <row r="6872" spans="103:104" x14ac:dyDescent="0.3">
      <c r="CY6872" s="34" t="s">
        <v>7799</v>
      </c>
      <c r="CZ6872" s="35">
        <v>0.17139063999999998</v>
      </c>
    </row>
    <row r="6873" spans="103:104" x14ac:dyDescent="0.3">
      <c r="CY6873" s="34" t="s">
        <v>7800</v>
      </c>
      <c r="CZ6873" s="35">
        <v>4.2591407839999998E-2</v>
      </c>
    </row>
    <row r="6874" spans="103:104" x14ac:dyDescent="0.3">
      <c r="CY6874" s="34" t="s">
        <v>7801</v>
      </c>
      <c r="CZ6874" s="35">
        <v>3.0296719999999999E-2</v>
      </c>
    </row>
    <row r="6875" spans="103:104" x14ac:dyDescent="0.3">
      <c r="CY6875" s="34" t="s">
        <v>7802</v>
      </c>
      <c r="CZ6875" s="35">
        <v>1.342216E-3</v>
      </c>
    </row>
    <row r="6876" spans="103:104" x14ac:dyDescent="0.3">
      <c r="CY6876" s="34" t="s">
        <v>7803</v>
      </c>
      <c r="CZ6876" s="35">
        <v>1.6137807999999998E-3</v>
      </c>
    </row>
    <row r="6877" spans="103:104" x14ac:dyDescent="0.3">
      <c r="CY6877" s="34" t="s">
        <v>7804</v>
      </c>
      <c r="CZ6877" s="35">
        <v>3.2174479999999999E-3</v>
      </c>
    </row>
    <row r="6878" spans="103:104" x14ac:dyDescent="0.3">
      <c r="CY6878" s="34" t="s">
        <v>7805</v>
      </c>
      <c r="CZ6878" s="35">
        <v>8.9227839999999978E-3</v>
      </c>
    </row>
    <row r="6879" spans="103:104" x14ac:dyDescent="0.3">
      <c r="CY6879" s="34" t="s">
        <v>7806</v>
      </c>
      <c r="CZ6879" s="35">
        <v>1.0157728E-2</v>
      </c>
    </row>
    <row r="6880" spans="103:104" x14ac:dyDescent="0.3">
      <c r="CY6880" s="34" t="s">
        <v>7807</v>
      </c>
      <c r="CZ6880" s="35">
        <v>3.5902080000000001E-3</v>
      </c>
    </row>
    <row r="6881" spans="103:104" x14ac:dyDescent="0.3">
      <c r="CY6881" s="34" t="s">
        <v>7808</v>
      </c>
      <c r="CZ6881" s="35">
        <v>2.0849328E-2</v>
      </c>
    </row>
    <row r="6882" spans="103:104" x14ac:dyDescent="0.3">
      <c r="CY6882" s="34" t="s">
        <v>7809</v>
      </c>
      <c r="CZ6882" s="35">
        <v>1.5805600006659998E-2</v>
      </c>
    </row>
    <row r="6883" spans="103:104" x14ac:dyDescent="0.3">
      <c r="CY6883" s="34" t="s">
        <v>7810</v>
      </c>
      <c r="CZ6883" s="35">
        <v>1.1866032E-2</v>
      </c>
    </row>
    <row r="6884" spans="103:104" x14ac:dyDescent="0.3">
      <c r="CY6884" s="34" t="s">
        <v>7811</v>
      </c>
      <c r="CZ6884" s="35">
        <v>1.0157727999999998E-2</v>
      </c>
    </row>
    <row r="6885" spans="103:104" x14ac:dyDescent="0.3">
      <c r="CY6885" s="34" t="s">
        <v>7812</v>
      </c>
      <c r="CZ6885" s="35">
        <v>2.9995906599999999E-3</v>
      </c>
    </row>
    <row r="6886" spans="103:104" x14ac:dyDescent="0.3">
      <c r="CY6886" s="34" t="s">
        <v>7813</v>
      </c>
      <c r="CZ6886" s="35">
        <v>5.3745346727272717E-3</v>
      </c>
    </row>
    <row r="6887" spans="103:104" x14ac:dyDescent="0.3">
      <c r="CY6887" s="34" t="s">
        <v>7814</v>
      </c>
      <c r="CZ6887" s="35">
        <v>4.3030480000000012E-3</v>
      </c>
    </row>
    <row r="6888" spans="103:104" x14ac:dyDescent="0.3">
      <c r="CY6888" s="34" t="s">
        <v>7815</v>
      </c>
      <c r="CZ6888" s="35">
        <v>2.1157951578947374E-3</v>
      </c>
    </row>
    <row r="6889" spans="103:104" x14ac:dyDescent="0.3">
      <c r="CY6889" s="34" t="s">
        <v>7816</v>
      </c>
      <c r="CZ6889" s="35">
        <v>1.8527208447999998E-2</v>
      </c>
    </row>
    <row r="6890" spans="103:104" x14ac:dyDescent="0.3">
      <c r="CY6890" s="34" t="s">
        <v>7817</v>
      </c>
      <c r="CZ6890" s="35">
        <v>2.0740808448000001E-2</v>
      </c>
    </row>
    <row r="6891" spans="103:104" x14ac:dyDescent="0.3">
      <c r="CY6891" s="34" t="s">
        <v>7818</v>
      </c>
      <c r="CZ6891" s="35">
        <v>1.6363079999999999E-3</v>
      </c>
    </row>
    <row r="6892" spans="103:104" x14ac:dyDescent="0.3">
      <c r="CY6892" s="34" t="s">
        <v>7819</v>
      </c>
      <c r="CZ6892" s="35">
        <v>3.46898E-2</v>
      </c>
    </row>
    <row r="6893" spans="103:104" x14ac:dyDescent="0.3">
      <c r="CY6893" s="34" t="s">
        <v>7820</v>
      </c>
      <c r="CZ6893" s="35">
        <v>9.5206666875000002E-3</v>
      </c>
    </row>
    <row r="6894" spans="103:104" x14ac:dyDescent="0.3">
      <c r="CY6894" s="34" t="s">
        <v>7821</v>
      </c>
      <c r="CZ6894" s="35">
        <v>2.2726720000000003E-3</v>
      </c>
    </row>
    <row r="6895" spans="103:104" x14ac:dyDescent="0.3">
      <c r="CY6895" s="34" t="s">
        <v>7822</v>
      </c>
      <c r="CZ6895" s="35">
        <v>1.7165069618055553E-2</v>
      </c>
    </row>
    <row r="6896" spans="103:104" x14ac:dyDescent="0.3">
      <c r="CY6896" s="34" t="s">
        <v>7823</v>
      </c>
      <c r="CZ6896" s="35">
        <v>1.346614E-2</v>
      </c>
    </row>
    <row r="6897" spans="103:104" x14ac:dyDescent="0.3">
      <c r="CY6897" s="34" t="s">
        <v>7824</v>
      </c>
      <c r="CZ6897" s="35">
        <v>3.0160240000000001E-2</v>
      </c>
    </row>
    <row r="6898" spans="103:104" x14ac:dyDescent="0.3">
      <c r="CY6898" s="34" t="s">
        <v>7825</v>
      </c>
      <c r="CZ6898" s="35">
        <v>1.4819026599999998E-2</v>
      </c>
    </row>
    <row r="6899" spans="103:104" x14ac:dyDescent="0.3">
      <c r="CY6899" s="34" t="s">
        <v>7826</v>
      </c>
      <c r="CZ6899" s="35">
        <v>4.8799999999999994E-4</v>
      </c>
    </row>
    <row r="6900" spans="103:104" x14ac:dyDescent="0.3">
      <c r="CY6900" s="34" t="s">
        <v>7827</v>
      </c>
      <c r="CZ6900" s="35">
        <v>4.4512288000000001E-4</v>
      </c>
    </row>
    <row r="6901" spans="103:104" x14ac:dyDescent="0.3">
      <c r="CY6901" s="34" t="s">
        <v>7828</v>
      </c>
      <c r="CZ6901" s="35">
        <v>2.4367497000000002E-2</v>
      </c>
    </row>
    <row r="6902" spans="103:104" x14ac:dyDescent="0.3">
      <c r="CY6902" s="34" t="s">
        <v>7829</v>
      </c>
      <c r="CZ6902" s="35">
        <v>7.2918400000000002E-4</v>
      </c>
    </row>
    <row r="6903" spans="103:104" x14ac:dyDescent="0.3">
      <c r="CY6903" s="34" t="s">
        <v>7830</v>
      </c>
      <c r="CZ6903" s="35">
        <v>2.05960445E-3</v>
      </c>
    </row>
    <row r="6904" spans="103:104" x14ac:dyDescent="0.3">
      <c r="CY6904" s="34" t="s">
        <v>7831</v>
      </c>
      <c r="CZ6904" s="35">
        <v>9.2296520000000014E-3</v>
      </c>
    </row>
    <row r="6905" spans="103:104" x14ac:dyDescent="0.3">
      <c r="CY6905" s="34" t="s">
        <v>7832</v>
      </c>
      <c r="CZ6905" s="35">
        <v>9.7755440000000006E-3</v>
      </c>
    </row>
    <row r="6906" spans="103:104" x14ac:dyDescent="0.3">
      <c r="CY6906" s="34" t="s">
        <v>7833</v>
      </c>
      <c r="CZ6906" s="35">
        <v>0.10331282159999999</v>
      </c>
    </row>
    <row r="6907" spans="103:104" x14ac:dyDescent="0.3">
      <c r="CY6907" s="34" t="s">
        <v>7834</v>
      </c>
      <c r="CZ6907" s="35">
        <v>1.6383626675000001E-3</v>
      </c>
    </row>
    <row r="6908" spans="103:104" x14ac:dyDescent="0.3">
      <c r="CY6908" s="34" t="s">
        <v>7835</v>
      </c>
      <c r="CZ6908" s="35">
        <v>2.4522042660000002E-3</v>
      </c>
    </row>
    <row r="6909" spans="103:104" x14ac:dyDescent="0.3">
      <c r="CY6909" s="34" t="s">
        <v>7836</v>
      </c>
      <c r="CZ6909" s="35">
        <v>1.231961866E-3</v>
      </c>
    </row>
    <row r="6910" spans="103:104" x14ac:dyDescent="0.3">
      <c r="CY6910" s="34" t="s">
        <v>7837</v>
      </c>
      <c r="CZ6910" s="35">
        <v>1.4590530659999998E-3</v>
      </c>
    </row>
    <row r="6911" spans="103:104" x14ac:dyDescent="0.3">
      <c r="CY6911" s="34" t="s">
        <v>7838</v>
      </c>
      <c r="CZ6911" s="35">
        <v>0.1284546667</v>
      </c>
    </row>
    <row r="6912" spans="103:104" x14ac:dyDescent="0.3">
      <c r="CY6912" s="34" t="s">
        <v>7839</v>
      </c>
      <c r="CZ6912" s="35">
        <v>1.126514E-2</v>
      </c>
    </row>
    <row r="6913" spans="103:104" x14ac:dyDescent="0.3">
      <c r="CY6913" s="34" t="s">
        <v>7840</v>
      </c>
      <c r="CZ6913" s="35">
        <v>1.126514E-2</v>
      </c>
    </row>
    <row r="6914" spans="103:104" x14ac:dyDescent="0.3">
      <c r="CY6914" s="34" t="s">
        <v>7841</v>
      </c>
      <c r="CZ6914" s="35">
        <v>6.9695239999999995E-3</v>
      </c>
    </row>
    <row r="6915" spans="103:104" x14ac:dyDescent="0.3">
      <c r="CY6915" s="34" t="s">
        <v>7842</v>
      </c>
      <c r="CZ6915" s="35">
        <v>6.9695240000000004E-3</v>
      </c>
    </row>
    <row r="6916" spans="103:104" x14ac:dyDescent="0.3">
      <c r="CY6916" s="34" t="s">
        <v>7843</v>
      </c>
      <c r="CZ6916" s="35">
        <v>6.4516040000000014E-3</v>
      </c>
    </row>
    <row r="6917" spans="103:104" x14ac:dyDescent="0.3">
      <c r="CY6917" s="34" t="s">
        <v>7844</v>
      </c>
      <c r="CZ6917" s="35">
        <v>4.4714450000000003E-2</v>
      </c>
    </row>
    <row r="6918" spans="103:104" x14ac:dyDescent="0.3">
      <c r="CY6918" s="34" t="s">
        <v>7845</v>
      </c>
      <c r="CZ6918" s="35">
        <v>1.3930239999999999E-3</v>
      </c>
    </row>
    <row r="6919" spans="103:104" x14ac:dyDescent="0.3">
      <c r="CY6919" s="34" t="s">
        <v>7846</v>
      </c>
      <c r="CZ6919" s="35">
        <v>3.3445372000000004E-3</v>
      </c>
    </row>
    <row r="6920" spans="103:104" x14ac:dyDescent="0.3">
      <c r="CY6920" s="34" t="s">
        <v>7847</v>
      </c>
      <c r="CZ6920" s="35">
        <v>1.4416666000000001E-3</v>
      </c>
    </row>
    <row r="6921" spans="103:104" x14ac:dyDescent="0.3">
      <c r="CY6921" s="34" t="s">
        <v>7848</v>
      </c>
      <c r="CZ6921" s="35">
        <v>5.7666660000000008E-4</v>
      </c>
    </row>
    <row r="6922" spans="103:104" x14ac:dyDescent="0.3">
      <c r="CY6922" s="34" t="s">
        <v>7849</v>
      </c>
      <c r="CZ6922" s="35">
        <v>4.3881409999999996E-2</v>
      </c>
    </row>
    <row r="6923" spans="103:104" x14ac:dyDescent="0.3">
      <c r="CY6923" s="34" t="s">
        <v>7850</v>
      </c>
      <c r="CZ6923" s="35">
        <v>4.3881409999999996E-2</v>
      </c>
    </row>
    <row r="6924" spans="103:104" x14ac:dyDescent="0.3">
      <c r="CY6924" s="34" t="s">
        <v>7851</v>
      </c>
      <c r="CZ6924" s="35">
        <v>5.1991688000000001E-2</v>
      </c>
    </row>
    <row r="6925" spans="103:104" x14ac:dyDescent="0.3">
      <c r="CY6925" s="34" t="s">
        <v>7852</v>
      </c>
      <c r="CZ6925" s="35">
        <v>2.9800063999999998E-2</v>
      </c>
    </row>
    <row r="6926" spans="103:104" x14ac:dyDescent="0.3">
      <c r="CY6926" s="34" t="s">
        <v>7853</v>
      </c>
      <c r="CZ6926" s="35">
        <v>4.3544392000000001E-2</v>
      </c>
    </row>
    <row r="6927" spans="103:104" x14ac:dyDescent="0.3">
      <c r="CY6927" s="34" t="s">
        <v>7854</v>
      </c>
      <c r="CZ6927" s="35">
        <v>8.0787935999999991E-2</v>
      </c>
    </row>
    <row r="6928" spans="103:104" x14ac:dyDescent="0.3">
      <c r="CY6928" s="34" t="s">
        <v>7855</v>
      </c>
      <c r="CZ6928" s="35">
        <v>0.10247068800000002</v>
      </c>
    </row>
    <row r="6929" spans="103:104" x14ac:dyDescent="0.3">
      <c r="CY6929" s="34" t="s">
        <v>7856</v>
      </c>
      <c r="CZ6929" s="35">
        <v>5.3417280000000002E-4</v>
      </c>
    </row>
    <row r="6930" spans="103:104" x14ac:dyDescent="0.3">
      <c r="CY6930" s="34" t="s">
        <v>7857</v>
      </c>
      <c r="CZ6930" s="35">
        <v>6.1489279999999997E-4</v>
      </c>
    </row>
    <row r="6931" spans="103:104" x14ac:dyDescent="0.3">
      <c r="CY6931" s="34" t="s">
        <v>7858</v>
      </c>
      <c r="CZ6931" s="35">
        <v>2.2161839999999999E-2</v>
      </c>
    </row>
    <row r="6932" spans="103:104" x14ac:dyDescent="0.3">
      <c r="CY6932" s="34" t="s">
        <v>7859</v>
      </c>
      <c r="CZ6932" s="35">
        <v>0.11749888</v>
      </c>
    </row>
    <row r="6933" spans="103:104" x14ac:dyDescent="0.3">
      <c r="CY6933" s="34" t="s">
        <v>7860</v>
      </c>
      <c r="CZ6933" s="35">
        <v>0.11749888</v>
      </c>
    </row>
    <row r="6934" spans="103:104" x14ac:dyDescent="0.3">
      <c r="CY6934" s="34" t="s">
        <v>7861</v>
      </c>
      <c r="CZ6934" s="35">
        <v>0.11834888</v>
      </c>
    </row>
    <row r="6935" spans="103:104" x14ac:dyDescent="0.3">
      <c r="CY6935" s="34" t="s">
        <v>7862</v>
      </c>
      <c r="CZ6935" s="35">
        <v>2.6822143999999999E-2</v>
      </c>
    </row>
    <row r="6936" spans="103:104" x14ac:dyDescent="0.3">
      <c r="CY6936" s="34" t="s">
        <v>7863</v>
      </c>
      <c r="CZ6936" s="35">
        <v>2.6822143999999996E-2</v>
      </c>
    </row>
    <row r="6937" spans="103:104" x14ac:dyDescent="0.3">
      <c r="CY6937" s="34" t="s">
        <v>7864</v>
      </c>
      <c r="CZ6937" s="35">
        <v>8.407232000000001E-4</v>
      </c>
    </row>
    <row r="6938" spans="103:104" x14ac:dyDescent="0.3">
      <c r="CY6938" s="34" t="s">
        <v>7865</v>
      </c>
      <c r="CZ6938" s="35">
        <v>3.5446456000000001E-2</v>
      </c>
    </row>
    <row r="6939" spans="103:104" x14ac:dyDescent="0.3">
      <c r="CY6939" s="34" t="s">
        <v>7866</v>
      </c>
      <c r="CZ6939" s="35">
        <v>3.6752800000000002E-2</v>
      </c>
    </row>
    <row r="6940" spans="103:104" x14ac:dyDescent="0.3">
      <c r="CY6940" s="34" t="s">
        <v>7867</v>
      </c>
      <c r="CZ6940" s="35">
        <v>1.7846591200000001E-2</v>
      </c>
    </row>
    <row r="6941" spans="103:104" x14ac:dyDescent="0.3">
      <c r="CY6941" s="34" t="s">
        <v>7868</v>
      </c>
      <c r="CZ6941" s="35">
        <v>1.7846591200000001E-2</v>
      </c>
    </row>
    <row r="6942" spans="103:104" x14ac:dyDescent="0.3">
      <c r="CY6942" s="34" t="s">
        <v>7869</v>
      </c>
      <c r="CZ6942" s="35">
        <v>2.3687466999999999E-3</v>
      </c>
    </row>
    <row r="6943" spans="103:104" x14ac:dyDescent="0.3">
      <c r="CY6943" s="34" t="s">
        <v>7870</v>
      </c>
      <c r="CZ6943" s="35">
        <v>6.5662999999999989E-3</v>
      </c>
    </row>
    <row r="6944" spans="103:104" x14ac:dyDescent="0.3">
      <c r="CY6944" s="34" t="s">
        <v>7871</v>
      </c>
      <c r="CZ6944" s="35">
        <v>3.0715267200000004E-2</v>
      </c>
    </row>
    <row r="6945" spans="103:104" x14ac:dyDescent="0.3">
      <c r="CY6945" s="34" t="s">
        <v>7872</v>
      </c>
      <c r="CZ6945" s="35">
        <v>3.1144560000000003E-4</v>
      </c>
    </row>
    <row r="6946" spans="103:104" x14ac:dyDescent="0.3">
      <c r="CY6946" s="34" t="s">
        <v>7873</v>
      </c>
      <c r="CZ6946" s="35">
        <v>4.5314839999999998E-4</v>
      </c>
    </row>
    <row r="6947" spans="103:104" x14ac:dyDescent="0.3">
      <c r="CY6947" s="34" t="s">
        <v>7874</v>
      </c>
      <c r="CZ6947" s="35">
        <v>6.9886640000000006E-4</v>
      </c>
    </row>
    <row r="6948" spans="103:104" x14ac:dyDescent="0.3">
      <c r="CY6948" s="34" t="s">
        <v>7875</v>
      </c>
      <c r="CZ6948" s="35">
        <v>1.34088E-3</v>
      </c>
    </row>
    <row r="6949" spans="103:104" x14ac:dyDescent="0.3">
      <c r="CY6949" s="34" t="s">
        <v>7876</v>
      </c>
      <c r="CZ6949" s="35">
        <v>5.5893200000000001E-3</v>
      </c>
    </row>
    <row r="6950" spans="103:104" x14ac:dyDescent="0.3">
      <c r="CY6950" s="34" t="s">
        <v>7877</v>
      </c>
      <c r="CZ6950" s="35">
        <v>2.65940003E-2</v>
      </c>
    </row>
    <row r="6951" spans="103:104" x14ac:dyDescent="0.3">
      <c r="CY6951" s="34" t="s">
        <v>7878</v>
      </c>
      <c r="CZ6951" s="35">
        <v>6.9437760000000005E-3</v>
      </c>
    </row>
    <row r="6952" spans="103:104" x14ac:dyDescent="0.3">
      <c r="CY6952" s="34" t="s">
        <v>7879</v>
      </c>
      <c r="CZ6952" s="35">
        <v>7.7618399999999999E-3</v>
      </c>
    </row>
    <row r="6953" spans="103:104" x14ac:dyDescent="0.3">
      <c r="CY6953" s="34" t="s">
        <v>7880</v>
      </c>
      <c r="CZ6953" s="35">
        <v>3.3000919999999997E-3</v>
      </c>
    </row>
    <row r="6954" spans="103:104" x14ac:dyDescent="0.3">
      <c r="CY6954" s="34" t="s">
        <v>7881</v>
      </c>
      <c r="CZ6954" s="35">
        <v>1.3531232000000001E-2</v>
      </c>
    </row>
    <row r="6955" spans="103:104" x14ac:dyDescent="0.3">
      <c r="CY6955" s="34" t="s">
        <v>7882</v>
      </c>
      <c r="CZ6955" s="35">
        <v>2.3530906699999996E-2</v>
      </c>
    </row>
    <row r="6956" spans="103:104" x14ac:dyDescent="0.3">
      <c r="CY6956" s="34" t="s">
        <v>7883</v>
      </c>
      <c r="CZ6956" s="35">
        <v>5.5790100000000002E-2</v>
      </c>
    </row>
    <row r="6957" spans="103:104" x14ac:dyDescent="0.3">
      <c r="CY6957" s="34" t="s">
        <v>7884</v>
      </c>
      <c r="CZ6957" s="35">
        <v>2.4781252266666665E-2</v>
      </c>
    </row>
    <row r="6958" spans="103:104" x14ac:dyDescent="0.3">
      <c r="CY6958" s="34" t="s">
        <v>7885</v>
      </c>
      <c r="CZ6958" s="35">
        <v>1.4321040000000002E-2</v>
      </c>
    </row>
    <row r="6959" spans="103:104" x14ac:dyDescent="0.3">
      <c r="CY6959" s="34" t="s">
        <v>7886</v>
      </c>
      <c r="CZ6959" s="35">
        <v>7.079543529411764E-4</v>
      </c>
    </row>
    <row r="6960" spans="103:104" x14ac:dyDescent="0.3">
      <c r="CY6960" s="34" t="s">
        <v>7887</v>
      </c>
      <c r="CZ6960" s="35">
        <v>2.0380244235294119E-4</v>
      </c>
    </row>
    <row r="6961" spans="103:104" x14ac:dyDescent="0.3">
      <c r="CY6961" s="34" t="s">
        <v>7888</v>
      </c>
      <c r="CZ6961" s="35">
        <v>4.7036160000000007E-4</v>
      </c>
    </row>
    <row r="6962" spans="103:104" x14ac:dyDescent="0.3">
      <c r="CY6962" s="34" t="s">
        <v>7889</v>
      </c>
      <c r="CZ6962" s="35">
        <v>3.1595117200000002E-2</v>
      </c>
    </row>
    <row r="6963" spans="103:104" x14ac:dyDescent="0.3">
      <c r="CY6963" s="34" t="s">
        <v>7890</v>
      </c>
      <c r="CZ6963" s="35">
        <v>2.6955619128000003E-2</v>
      </c>
    </row>
    <row r="6964" spans="103:104" x14ac:dyDescent="0.3">
      <c r="CY6964" s="34" t="s">
        <v>7891</v>
      </c>
      <c r="CZ6964" s="35">
        <v>4.6669279999999999E-3</v>
      </c>
    </row>
    <row r="6965" spans="103:104" x14ac:dyDescent="0.3">
      <c r="CY6965" s="34" t="s">
        <v>7892</v>
      </c>
      <c r="CZ6965" s="35">
        <v>1.4839199999999999E-3</v>
      </c>
    </row>
    <row r="6966" spans="103:104" x14ac:dyDescent="0.3">
      <c r="CY6966" s="34" t="s">
        <v>7893</v>
      </c>
      <c r="CZ6966" s="35">
        <v>1.0020849999999998E-2</v>
      </c>
    </row>
    <row r="6967" spans="103:104" x14ac:dyDescent="0.3">
      <c r="CY6967" s="34" t="s">
        <v>7894</v>
      </c>
      <c r="CZ6967" s="35">
        <v>3.3338515999999999E-2</v>
      </c>
    </row>
    <row r="6968" spans="103:104" x14ac:dyDescent="0.3">
      <c r="CY6968" s="34" t="s">
        <v>7895</v>
      </c>
      <c r="CZ6968" s="35">
        <v>1.1922219999999999E-2</v>
      </c>
    </row>
    <row r="6969" spans="103:104" x14ac:dyDescent="0.3">
      <c r="CY6969" s="34" t="s">
        <v>7896</v>
      </c>
      <c r="CZ6969" s="35">
        <v>2.4461280000000001E-3</v>
      </c>
    </row>
    <row r="6970" spans="103:104" x14ac:dyDescent="0.3">
      <c r="CY6970" s="34" t="s">
        <v>7897</v>
      </c>
      <c r="CZ6970" s="35">
        <v>2.33914E-2</v>
      </c>
    </row>
    <row r="6971" spans="103:104" x14ac:dyDescent="0.3">
      <c r="CY6971" s="34" t="s">
        <v>7898</v>
      </c>
      <c r="CZ6971" s="35">
        <v>5.1357145000000002E-3</v>
      </c>
    </row>
    <row r="6972" spans="103:104" x14ac:dyDescent="0.3">
      <c r="CY6972" s="34" t="s">
        <v>7899</v>
      </c>
      <c r="CZ6972" s="35">
        <v>2.8461529839999999E-2</v>
      </c>
    </row>
    <row r="6973" spans="103:104" x14ac:dyDescent="0.3">
      <c r="CY6973" s="34" t="s">
        <v>7900</v>
      </c>
      <c r="CZ6973" s="35">
        <v>8.7975119999999987E-3</v>
      </c>
    </row>
    <row r="6974" spans="103:104" x14ac:dyDescent="0.3">
      <c r="CY6974" s="34" t="s">
        <v>7901</v>
      </c>
      <c r="CZ6974" s="35">
        <v>1.6808109333333335E-2</v>
      </c>
    </row>
    <row r="6975" spans="103:104" x14ac:dyDescent="0.3">
      <c r="CY6975" s="34" t="s">
        <v>7902</v>
      </c>
      <c r="CZ6975" s="35">
        <v>0.11145718066666667</v>
      </c>
    </row>
    <row r="6976" spans="103:104" x14ac:dyDescent="0.3">
      <c r="CY6976" s="34" t="s">
        <v>7903</v>
      </c>
      <c r="CZ6976" s="35">
        <v>1.6593346120000001E-2</v>
      </c>
    </row>
    <row r="6977" spans="103:104" x14ac:dyDescent="0.3">
      <c r="CY6977" s="34" t="s">
        <v>7904</v>
      </c>
      <c r="CZ6977" s="35">
        <v>3.8089407999999998E-2</v>
      </c>
    </row>
    <row r="6978" spans="103:104" x14ac:dyDescent="0.3">
      <c r="CY6978" s="34" t="s">
        <v>7905</v>
      </c>
      <c r="CZ6978" s="35">
        <v>1.0701044E-3</v>
      </c>
    </row>
    <row r="6979" spans="103:104" x14ac:dyDescent="0.3">
      <c r="CY6979" s="34" t="s">
        <v>7906</v>
      </c>
      <c r="CZ6979" s="35">
        <v>3.2730880000000006E-4</v>
      </c>
    </row>
    <row r="6980" spans="103:104" x14ac:dyDescent="0.3">
      <c r="CY6980" s="34" t="s">
        <v>7907</v>
      </c>
      <c r="CZ6980" s="35">
        <v>3.6785479999999998E-3</v>
      </c>
    </row>
    <row r="6981" spans="103:104" x14ac:dyDescent="0.3">
      <c r="CY6981" s="34" t="s">
        <v>7908</v>
      </c>
      <c r="CZ6981" s="35">
        <v>2.1893939999999997E-2</v>
      </c>
    </row>
    <row r="6982" spans="103:104" x14ac:dyDescent="0.3">
      <c r="CY6982" s="34" t="s">
        <v>7909</v>
      </c>
      <c r="CZ6982" s="35">
        <v>4.4956872000000002E-2</v>
      </c>
    </row>
    <row r="6983" spans="103:104" x14ac:dyDescent="0.3">
      <c r="CY6983" s="34" t="s">
        <v>7910</v>
      </c>
      <c r="CZ6983" s="35">
        <v>1.4840033333333334E-2</v>
      </c>
    </row>
    <row r="6984" spans="103:104" x14ac:dyDescent="0.3">
      <c r="CY6984" s="34" t="s">
        <v>7911</v>
      </c>
      <c r="CZ6984" s="35">
        <v>1.4436692000000001E-2</v>
      </c>
    </row>
    <row r="6985" spans="103:104" x14ac:dyDescent="0.3">
      <c r="CY6985" s="34" t="s">
        <v>7912</v>
      </c>
      <c r="CZ6985" s="35">
        <v>8.0676272800000014E-3</v>
      </c>
    </row>
    <row r="6986" spans="103:104" x14ac:dyDescent="0.3">
      <c r="CY6986" s="34" t="s">
        <v>7913</v>
      </c>
      <c r="CZ6986" s="35">
        <v>1.0745000000000003E-2</v>
      </c>
    </row>
    <row r="6987" spans="103:104" x14ac:dyDescent="0.3">
      <c r="CY6987" s="34" t="s">
        <v>7914</v>
      </c>
      <c r="CZ6987" s="35">
        <v>1.0745000000000001E-2</v>
      </c>
    </row>
    <row r="6988" spans="103:104" x14ac:dyDescent="0.3">
      <c r="CY6988" s="34" t="s">
        <v>7915</v>
      </c>
      <c r="CZ6988" s="35">
        <v>0.12891064000000002</v>
      </c>
    </row>
    <row r="6989" spans="103:104" x14ac:dyDescent="0.3">
      <c r="CY6989" s="34" t="s">
        <v>7916</v>
      </c>
      <c r="CZ6989" s="35">
        <v>2.63938334E-2</v>
      </c>
    </row>
    <row r="6990" spans="103:104" x14ac:dyDescent="0.3">
      <c r="CY6990" s="34" t="s">
        <v>7917</v>
      </c>
      <c r="CZ6990" s="35">
        <v>2.5742853749999999E-2</v>
      </c>
    </row>
    <row r="6991" spans="103:104" x14ac:dyDescent="0.3">
      <c r="CY6991" s="34" t="s">
        <v>7918</v>
      </c>
      <c r="CZ6991" s="35">
        <v>2.5428440000000003E-3</v>
      </c>
    </row>
    <row r="6992" spans="103:104" x14ac:dyDescent="0.3">
      <c r="CY6992" s="34" t="s">
        <v>7919</v>
      </c>
      <c r="CZ6992" s="35">
        <v>9.6008866050000002E-2</v>
      </c>
    </row>
    <row r="6993" spans="103:104" x14ac:dyDescent="0.3">
      <c r="CY6993" s="34" t="s">
        <v>7920</v>
      </c>
      <c r="CZ6993" s="35">
        <v>7.2083039999999996E-3</v>
      </c>
    </row>
    <row r="6994" spans="103:104" x14ac:dyDescent="0.3">
      <c r="CY6994" s="34" t="s">
        <v>7921</v>
      </c>
      <c r="CZ6994" s="35">
        <v>5.2972638000000011E-3</v>
      </c>
    </row>
    <row r="6995" spans="103:104" x14ac:dyDescent="0.3">
      <c r="CY6995" s="34" t="s">
        <v>7922</v>
      </c>
      <c r="CZ6995" s="35">
        <v>4.9402378400000009E-2</v>
      </c>
    </row>
    <row r="6996" spans="103:104" x14ac:dyDescent="0.3">
      <c r="CY6996" s="34" t="s">
        <v>7923</v>
      </c>
      <c r="CZ6996" s="35">
        <v>8.8590794400000006E-2</v>
      </c>
    </row>
    <row r="6997" spans="103:104" x14ac:dyDescent="0.3">
      <c r="CY6997" s="34" t="s">
        <v>7924</v>
      </c>
      <c r="CZ6997" s="35">
        <v>5.3769359999999995E-2</v>
      </c>
    </row>
    <row r="6998" spans="103:104" x14ac:dyDescent="0.3">
      <c r="CY6998" s="34" t="s">
        <v>7925</v>
      </c>
      <c r="CZ6998" s="35">
        <v>0.15471228000000001</v>
      </c>
    </row>
    <row r="6999" spans="103:104" x14ac:dyDescent="0.3">
      <c r="CY6999" s="34" t="s">
        <v>7926</v>
      </c>
      <c r="CZ6999" s="35">
        <v>0.15471228000000001</v>
      </c>
    </row>
    <row r="7000" spans="103:104" x14ac:dyDescent="0.3">
      <c r="CY7000" s="34" t="s">
        <v>7927</v>
      </c>
      <c r="CZ7000" s="35">
        <v>0.15556228000000002</v>
      </c>
    </row>
    <row r="7001" spans="103:104" x14ac:dyDescent="0.3">
      <c r="CY7001" s="34" t="s">
        <v>7928</v>
      </c>
      <c r="CZ7001" s="35">
        <v>0.16293878400000003</v>
      </c>
    </row>
    <row r="7002" spans="103:104" x14ac:dyDescent="0.3">
      <c r="CY7002" s="34" t="s">
        <v>7929</v>
      </c>
      <c r="CZ7002" s="35">
        <v>0.16293878400000003</v>
      </c>
    </row>
    <row r="7003" spans="103:104" x14ac:dyDescent="0.3">
      <c r="CY7003" s="34" t="s">
        <v>7930</v>
      </c>
      <c r="CZ7003" s="35">
        <v>0.16293878400000003</v>
      </c>
    </row>
    <row r="7004" spans="103:104" x14ac:dyDescent="0.3">
      <c r="CY7004" s="34" t="s">
        <v>7931</v>
      </c>
      <c r="CZ7004" s="35">
        <v>0.16620834400000001</v>
      </c>
    </row>
    <row r="7005" spans="103:104" x14ac:dyDescent="0.3">
      <c r="CY7005" s="34" t="s">
        <v>7932</v>
      </c>
      <c r="CZ7005" s="35">
        <v>0.16535834399999999</v>
      </c>
    </row>
    <row r="7006" spans="103:104" x14ac:dyDescent="0.3">
      <c r="CY7006" s="34" t="s">
        <v>7933</v>
      </c>
      <c r="CZ7006" s="35">
        <v>2.6214173342857142E-2</v>
      </c>
    </row>
    <row r="7007" spans="103:104" x14ac:dyDescent="0.3">
      <c r="CY7007" s="34" t="s">
        <v>7934</v>
      </c>
      <c r="CZ7007" s="35">
        <v>5.0145813333333338E-3</v>
      </c>
    </row>
    <row r="7008" spans="103:104" x14ac:dyDescent="0.3">
      <c r="CY7008" s="34" t="s">
        <v>7935</v>
      </c>
      <c r="CZ7008" s="35">
        <v>3.0160239999999998E-2</v>
      </c>
    </row>
    <row r="7009" spans="103:104" x14ac:dyDescent="0.3">
      <c r="CY7009" s="34" t="s">
        <v>7936</v>
      </c>
      <c r="CZ7009" s="35">
        <v>3.0160239999999998E-2</v>
      </c>
    </row>
    <row r="7010" spans="103:104" x14ac:dyDescent="0.3">
      <c r="CY7010" s="34" t="s">
        <v>7937</v>
      </c>
      <c r="CZ7010" s="35">
        <v>1.1078344E-3</v>
      </c>
    </row>
    <row r="7011" spans="103:104" x14ac:dyDescent="0.3">
      <c r="CY7011" s="34" t="s">
        <v>7938</v>
      </c>
      <c r="CZ7011" s="35">
        <v>3.0924719999999999E-2</v>
      </c>
    </row>
    <row r="7012" spans="103:104" x14ac:dyDescent="0.3">
      <c r="CY7012" s="34" t="s">
        <v>7939</v>
      </c>
      <c r="CZ7012" s="35">
        <v>1.7916488224999999E-2</v>
      </c>
    </row>
    <row r="7013" spans="103:104" x14ac:dyDescent="0.3">
      <c r="CY7013" s="34" t="s">
        <v>7940</v>
      </c>
      <c r="CZ7013" s="35">
        <v>1.7355013070000001E-2</v>
      </c>
    </row>
    <row r="7014" spans="103:104" x14ac:dyDescent="0.3">
      <c r="CY7014" s="34" t="s">
        <v>7941</v>
      </c>
      <c r="CZ7014" s="35">
        <v>3.9799728560000001E-4</v>
      </c>
    </row>
    <row r="7015" spans="103:104" x14ac:dyDescent="0.3">
      <c r="CY7015" s="34" t="s">
        <v>7942</v>
      </c>
      <c r="CZ7015" s="35">
        <v>5.9255879999999997E-2</v>
      </c>
    </row>
    <row r="7016" spans="103:104" x14ac:dyDescent="0.3">
      <c r="CY7016" s="34" t="s">
        <v>7943</v>
      </c>
      <c r="CZ7016" s="35">
        <v>3.7545920000000003E-2</v>
      </c>
    </row>
    <row r="7017" spans="103:104" x14ac:dyDescent="0.3">
      <c r="CY7017" s="34" t="s">
        <v>7944</v>
      </c>
      <c r="CZ7017" s="35">
        <v>3.2784800000000003E-2</v>
      </c>
    </row>
    <row r="7018" spans="103:104" x14ac:dyDescent="0.3">
      <c r="CY7018" s="34" t="s">
        <v>7945</v>
      </c>
      <c r="CZ7018" s="35">
        <v>5.9078617999999998E-3</v>
      </c>
    </row>
    <row r="7019" spans="103:104" x14ac:dyDescent="0.3">
      <c r="CY7019" s="34" t="s">
        <v>7946</v>
      </c>
      <c r="CZ7019" s="35">
        <v>1.5245912E-2</v>
      </c>
    </row>
    <row r="7020" spans="103:104" x14ac:dyDescent="0.3">
      <c r="CY7020" s="34" t="s">
        <v>7947</v>
      </c>
      <c r="CZ7020" s="35">
        <v>7.7129394720000001E-3</v>
      </c>
    </row>
    <row r="7021" spans="103:104" x14ac:dyDescent="0.3">
      <c r="CY7021" s="34" t="s">
        <v>7948</v>
      </c>
      <c r="CZ7021" s="35">
        <v>1.6557622000000001E-2</v>
      </c>
    </row>
    <row r="7022" spans="103:104" x14ac:dyDescent="0.3">
      <c r="CY7022" s="34" t="s">
        <v>7949</v>
      </c>
      <c r="CZ7022" s="35">
        <v>1.1586422000000001E-2</v>
      </c>
    </row>
    <row r="7023" spans="103:104" x14ac:dyDescent="0.3">
      <c r="CY7023" s="34" t="s">
        <v>7950</v>
      </c>
      <c r="CZ7023" s="35">
        <v>8.9839199999999994E-2</v>
      </c>
    </row>
    <row r="7024" spans="103:104" x14ac:dyDescent="0.3">
      <c r="CY7024" s="34" t="s">
        <v>7951</v>
      </c>
      <c r="CZ7024" s="35">
        <v>5.6058559999999993E-3</v>
      </c>
    </row>
    <row r="7025" spans="103:104" x14ac:dyDescent="0.3">
      <c r="CY7025" s="34" t="s">
        <v>7952</v>
      </c>
      <c r="CZ7025" s="35">
        <v>1.46658E-2</v>
      </c>
    </row>
    <row r="7026" spans="103:104" x14ac:dyDescent="0.3">
      <c r="CY7026" s="34" t="s">
        <v>7953</v>
      </c>
      <c r="CZ7026" s="35">
        <v>1.6975848000000002E-2</v>
      </c>
    </row>
    <row r="7027" spans="103:104" x14ac:dyDescent="0.3">
      <c r="CY7027" s="34" t="s">
        <v>7954</v>
      </c>
      <c r="CZ7027" s="35">
        <v>1.7969671999999999E-2</v>
      </c>
    </row>
    <row r="7028" spans="103:104" x14ac:dyDescent="0.3">
      <c r="CY7028" s="34" t="s">
        <v>7955</v>
      </c>
      <c r="CZ7028" s="35">
        <v>1.8541984000000001E-2</v>
      </c>
    </row>
    <row r="7029" spans="103:104" x14ac:dyDescent="0.3">
      <c r="CY7029" s="34" t="s">
        <v>7956</v>
      </c>
      <c r="CZ7029" s="35">
        <v>1.9979920000000002E-2</v>
      </c>
    </row>
    <row r="7030" spans="103:104" x14ac:dyDescent="0.3">
      <c r="CY7030" s="34" t="s">
        <v>7957</v>
      </c>
      <c r="CZ7030" s="35">
        <v>8.8854176000000007E-3</v>
      </c>
    </row>
    <row r="7031" spans="103:104" x14ac:dyDescent="0.3">
      <c r="CY7031" s="34" t="s">
        <v>7958</v>
      </c>
      <c r="CZ7031" s="35">
        <v>5.9195410000000004E-3</v>
      </c>
    </row>
    <row r="7032" spans="103:104" x14ac:dyDescent="0.3">
      <c r="CY7032" s="34" t="s">
        <v>7959</v>
      </c>
      <c r="CZ7032" s="35">
        <v>7.5589709999999994E-3</v>
      </c>
    </row>
    <row r="7033" spans="103:104" x14ac:dyDescent="0.3">
      <c r="CY7033" s="34" t="s">
        <v>7960</v>
      </c>
      <c r="CZ7033" s="35">
        <v>1.3891013329999998E-2</v>
      </c>
    </row>
    <row r="7034" spans="103:104" x14ac:dyDescent="0.3">
      <c r="CY7034" s="34" t="s">
        <v>7961</v>
      </c>
      <c r="CZ7034" s="35">
        <v>5.1309742299999999E-3</v>
      </c>
    </row>
    <row r="7035" spans="103:104" x14ac:dyDescent="0.3">
      <c r="CY7035" s="34" t="s">
        <v>7962</v>
      </c>
      <c r="CZ7035" s="35">
        <v>1.2746902850000002E-2</v>
      </c>
    </row>
    <row r="7036" spans="103:104" x14ac:dyDescent="0.3">
      <c r="CY7036" s="34" t="s">
        <v>7963</v>
      </c>
      <c r="CZ7036" s="35">
        <v>1.6464831999999999E-2</v>
      </c>
    </row>
    <row r="7037" spans="103:104" x14ac:dyDescent="0.3">
      <c r="CY7037" s="34" t="s">
        <v>7964</v>
      </c>
      <c r="CZ7037" s="35">
        <v>2.4346306240000001E-2</v>
      </c>
    </row>
    <row r="7038" spans="103:104" x14ac:dyDescent="0.3">
      <c r="CY7038" s="34" t="s">
        <v>7965</v>
      </c>
      <c r="CZ7038" s="35">
        <v>1.3367574855E-2</v>
      </c>
    </row>
    <row r="7039" spans="103:104" x14ac:dyDescent="0.3">
      <c r="CY7039" s="34" t="s">
        <v>7966</v>
      </c>
      <c r="CZ7039" s="35">
        <v>1.2585078999999999E-2</v>
      </c>
    </row>
    <row r="7040" spans="103:104" x14ac:dyDescent="0.3">
      <c r="CY7040" s="34" t="s">
        <v>7967</v>
      </c>
      <c r="CZ7040" s="35">
        <v>1.2585078899999999E-2</v>
      </c>
    </row>
    <row r="7041" spans="103:104" x14ac:dyDescent="0.3">
      <c r="CY7041" s="34" t="s">
        <v>7968</v>
      </c>
      <c r="CZ7041" s="35">
        <v>3.9230960000000002E-2</v>
      </c>
    </row>
    <row r="7042" spans="103:104" x14ac:dyDescent="0.3">
      <c r="CY7042" s="34" t="s">
        <v>7969</v>
      </c>
      <c r="CZ7042" s="35">
        <v>2.9328399999999999E-3</v>
      </c>
    </row>
    <row r="7043" spans="103:104" x14ac:dyDescent="0.3">
      <c r="CY7043" s="34" t="s">
        <v>7970</v>
      </c>
      <c r="CZ7043" s="35">
        <v>8.6031680000000002E-4</v>
      </c>
    </row>
    <row r="7044" spans="103:104" x14ac:dyDescent="0.3">
      <c r="CY7044" s="34" t="s">
        <v>7971</v>
      </c>
      <c r="CZ7044" s="35">
        <v>2.4590911999999999E-2</v>
      </c>
    </row>
    <row r="7045" spans="103:104" x14ac:dyDescent="0.3">
      <c r="CY7045" s="34" t="s">
        <v>7972</v>
      </c>
      <c r="CZ7045" s="35">
        <v>0.172998666</v>
      </c>
    </row>
    <row r="7046" spans="103:104" x14ac:dyDescent="0.3">
      <c r="CY7046" s="34" t="s">
        <v>7973</v>
      </c>
      <c r="CZ7046" s="35">
        <v>8.6691600000000004E-3</v>
      </c>
    </row>
    <row r="7047" spans="103:104" x14ac:dyDescent="0.3">
      <c r="CY7047" s="34" t="s">
        <v>7974</v>
      </c>
      <c r="CZ7047" s="35">
        <v>4.4594759999999995E-3</v>
      </c>
    </row>
    <row r="7048" spans="103:104" x14ac:dyDescent="0.3">
      <c r="CY7048" s="34" t="s">
        <v>7975</v>
      </c>
      <c r="CZ7048" s="35">
        <v>2.198348E-2</v>
      </c>
    </row>
    <row r="7049" spans="103:104" x14ac:dyDescent="0.3">
      <c r="CY7049" s="34" t="s">
        <v>7976</v>
      </c>
      <c r="CZ7049" s="35">
        <v>0.11973779999999999</v>
      </c>
    </row>
    <row r="7050" spans="103:104" x14ac:dyDescent="0.3">
      <c r="CY7050" s="34" t="s">
        <v>7977</v>
      </c>
      <c r="CZ7050" s="35">
        <v>3.5942050000000003E-2</v>
      </c>
    </row>
    <row r="7051" spans="103:104" x14ac:dyDescent="0.3">
      <c r="CY7051" s="34" t="s">
        <v>7978</v>
      </c>
      <c r="CZ7051" s="35">
        <v>5.4279399999999998E-2</v>
      </c>
    </row>
    <row r="7052" spans="103:104" x14ac:dyDescent="0.3">
      <c r="CY7052" s="34" t="s">
        <v>7979</v>
      </c>
      <c r="CZ7052" s="35">
        <v>2.352452E-2</v>
      </c>
    </row>
    <row r="7053" spans="103:104" x14ac:dyDescent="0.3">
      <c r="CY7053" s="34" t="s">
        <v>7980</v>
      </c>
      <c r="CZ7053" s="35">
        <v>1.2927003999999999E-2</v>
      </c>
    </row>
    <row r="7054" spans="103:104" x14ac:dyDescent="0.3">
      <c r="CY7054" s="34" t="s">
        <v>7981</v>
      </c>
      <c r="CZ7054" s="35">
        <v>1.6445678699999997E-2</v>
      </c>
    </row>
    <row r="7055" spans="103:104" x14ac:dyDescent="0.3">
      <c r="CY7055" s="34" t="s">
        <v>7982</v>
      </c>
      <c r="CZ7055" s="35">
        <v>1.6445678699999997E-2</v>
      </c>
    </row>
    <row r="7056" spans="103:104" x14ac:dyDescent="0.3">
      <c r="CY7056" s="34" t="s">
        <v>7983</v>
      </c>
      <c r="CZ7056" s="35">
        <v>3.0018559999999998E-3</v>
      </c>
    </row>
    <row r="7057" spans="103:104" x14ac:dyDescent="0.3">
      <c r="CY7057" s="34" t="s">
        <v>7984</v>
      </c>
      <c r="CZ7057" s="35">
        <v>3.7398951999999999E-2</v>
      </c>
    </row>
    <row r="7058" spans="103:104" x14ac:dyDescent="0.3">
      <c r="CY7058" s="34" t="s">
        <v>7985</v>
      </c>
      <c r="CZ7058" s="35">
        <v>5.9195410000000004E-3</v>
      </c>
    </row>
    <row r="7059" spans="103:104" x14ac:dyDescent="0.3">
      <c r="CY7059" s="34" t="s">
        <v>7986</v>
      </c>
      <c r="CZ7059" s="35">
        <v>3.6821659999999997E-3</v>
      </c>
    </row>
    <row r="7060" spans="103:104" x14ac:dyDescent="0.3">
      <c r="CY7060" s="34" t="s">
        <v>7987</v>
      </c>
      <c r="CZ7060" s="35">
        <v>0.15042449999999999</v>
      </c>
    </row>
    <row r="7061" spans="103:104" x14ac:dyDescent="0.3">
      <c r="CY7061" s="34" t="s">
        <v>7988</v>
      </c>
      <c r="CZ7061" s="35">
        <v>2.51160907E-2</v>
      </c>
    </row>
    <row r="7062" spans="103:104" x14ac:dyDescent="0.3">
      <c r="CY7062" s="34" t="s">
        <v>7989</v>
      </c>
      <c r="CZ7062" s="35">
        <v>2.0416929999999998E-3</v>
      </c>
    </row>
    <row r="7063" spans="103:104" x14ac:dyDescent="0.3">
      <c r="CY7063" s="34" t="s">
        <v>7990</v>
      </c>
      <c r="CZ7063" s="35">
        <v>2.7010600000000003E-2</v>
      </c>
    </row>
    <row r="7064" spans="103:104" x14ac:dyDescent="0.3">
      <c r="CY7064" s="34" t="s">
        <v>7991</v>
      </c>
      <c r="CZ7064" s="35">
        <v>2.2038187755102041E-2</v>
      </c>
    </row>
    <row r="7065" spans="103:104" x14ac:dyDescent="0.3">
      <c r="CY7065" s="34" t="s">
        <v>7992</v>
      </c>
      <c r="CZ7065" s="35">
        <v>1.0308283999999999E-2</v>
      </c>
    </row>
    <row r="7066" spans="103:104" x14ac:dyDescent="0.3">
      <c r="CY7066" s="34" t="s">
        <v>7993</v>
      </c>
      <c r="CZ7066" s="35">
        <v>3.82518348E-3</v>
      </c>
    </row>
    <row r="7067" spans="103:104" x14ac:dyDescent="0.3">
      <c r="CY7067" s="34" t="s">
        <v>7994</v>
      </c>
      <c r="CZ7067" s="35">
        <v>8.094539999999999E-3</v>
      </c>
    </row>
    <row r="7068" spans="103:104" x14ac:dyDescent="0.3">
      <c r="CY7068" s="34" t="s">
        <v>7995</v>
      </c>
      <c r="CZ7068" s="35">
        <v>1.6701799999999999E-2</v>
      </c>
    </row>
    <row r="7069" spans="103:104" x14ac:dyDescent="0.3">
      <c r="CY7069" s="34" t="s">
        <v>7996</v>
      </c>
      <c r="CZ7069" s="35">
        <v>3.3650095999999997E-2</v>
      </c>
    </row>
    <row r="7070" spans="103:104" x14ac:dyDescent="0.3">
      <c r="CY7070" s="34" t="s">
        <v>7997</v>
      </c>
      <c r="CZ7070" s="35">
        <v>2.5245514933333333E-3</v>
      </c>
    </row>
    <row r="7071" spans="103:104" x14ac:dyDescent="0.3">
      <c r="CY7071" s="34" t="s">
        <v>7998</v>
      </c>
      <c r="CZ7071" s="35">
        <v>3.3642049066666666E-3</v>
      </c>
    </row>
    <row r="7072" spans="103:104" x14ac:dyDescent="0.3">
      <c r="CY7072" s="34" t="s">
        <v>7999</v>
      </c>
      <c r="CZ7072" s="35">
        <v>1.0937039999999999E-2</v>
      </c>
    </row>
    <row r="7073" spans="103:104" x14ac:dyDescent="0.3">
      <c r="CY7073" s="34" t="s">
        <v>8000</v>
      </c>
      <c r="CZ7073" s="35">
        <v>5.3799999999999996E-4</v>
      </c>
    </row>
    <row r="7074" spans="103:104" x14ac:dyDescent="0.3">
      <c r="CY7074" s="34" t="s">
        <v>8001</v>
      </c>
      <c r="CZ7074" s="35">
        <v>1.9536456000000002E-3</v>
      </c>
    </row>
    <row r="7075" spans="103:104" x14ac:dyDescent="0.3">
      <c r="CY7075" s="34" t="s">
        <v>8002</v>
      </c>
      <c r="CZ7075" s="35">
        <v>3.4234933333333328E-3</v>
      </c>
    </row>
    <row r="7076" spans="103:104" x14ac:dyDescent="0.3">
      <c r="CY7076" s="34" t="s">
        <v>8003</v>
      </c>
      <c r="CZ7076" s="35">
        <v>2.4471040000000003E-3</v>
      </c>
    </row>
    <row r="7077" spans="103:104" x14ac:dyDescent="0.3">
      <c r="CY7077" s="34" t="s">
        <v>8004</v>
      </c>
      <c r="CZ7077" s="35">
        <v>1.0377006133333333E-2</v>
      </c>
    </row>
    <row r="7078" spans="103:104" x14ac:dyDescent="0.3">
      <c r="CY7078" s="34" t="s">
        <v>8005</v>
      </c>
      <c r="CZ7078" s="35">
        <v>9.3788319999999999E-4</v>
      </c>
    </row>
    <row r="7079" spans="103:104" x14ac:dyDescent="0.3">
      <c r="CY7079" s="34" t="s">
        <v>8006</v>
      </c>
      <c r="CZ7079" s="35">
        <v>9.5689439999999994E-4</v>
      </c>
    </row>
    <row r="7080" spans="103:104" x14ac:dyDescent="0.3">
      <c r="CY7080" s="34" t="s">
        <v>8007</v>
      </c>
      <c r="CZ7080" s="35">
        <v>1.4944000000000001E-2</v>
      </c>
    </row>
    <row r="7081" spans="103:104" x14ac:dyDescent="0.3">
      <c r="CY7081" s="34" t="s">
        <v>8008</v>
      </c>
      <c r="CZ7081" s="35">
        <v>2.3419665280000001E-3</v>
      </c>
    </row>
    <row r="7082" spans="103:104" x14ac:dyDescent="0.3">
      <c r="CY7082" s="34" t="s">
        <v>8009</v>
      </c>
      <c r="CZ7082" s="35">
        <v>2.6907403839999997E-2</v>
      </c>
    </row>
    <row r="7083" spans="103:104" x14ac:dyDescent="0.3">
      <c r="CY7083" s="34" t="s">
        <v>8010</v>
      </c>
      <c r="CZ7083" s="35">
        <v>1.4210076234666667E-2</v>
      </c>
    </row>
    <row r="7084" spans="103:104" x14ac:dyDescent="0.3">
      <c r="CY7084" s="34" t="s">
        <v>8011</v>
      </c>
      <c r="CZ7084" s="35">
        <v>2.0783301333333334E-2</v>
      </c>
    </row>
    <row r="7085" spans="103:104" x14ac:dyDescent="0.3">
      <c r="CY7085" s="34" t="s">
        <v>8012</v>
      </c>
      <c r="CZ7085" s="35">
        <v>1.2101680000000004E-2</v>
      </c>
    </row>
    <row r="7086" spans="103:104" x14ac:dyDescent="0.3">
      <c r="CY7086" s="34" t="s">
        <v>8013</v>
      </c>
      <c r="CZ7086" s="35">
        <v>8.822039999999998E-3</v>
      </c>
    </row>
    <row r="7087" spans="103:104" x14ac:dyDescent="0.3">
      <c r="CY7087" s="34" t="s">
        <v>8014</v>
      </c>
      <c r="CZ7087" s="35">
        <v>3.3848075076923076E-3</v>
      </c>
    </row>
    <row r="7088" spans="103:104" x14ac:dyDescent="0.3">
      <c r="CY7088" s="34" t="s">
        <v>8015</v>
      </c>
      <c r="CZ7088" s="35">
        <v>6.1705733333333327E-3</v>
      </c>
    </row>
    <row r="7089" spans="103:104" x14ac:dyDescent="0.3">
      <c r="CY7089" s="34" t="s">
        <v>8016</v>
      </c>
      <c r="CZ7089" s="35">
        <v>3.7114719999999999E-3</v>
      </c>
    </row>
    <row r="7090" spans="103:104" x14ac:dyDescent="0.3">
      <c r="CY7090" s="34" t="s">
        <v>8017</v>
      </c>
      <c r="CZ7090" s="35">
        <v>2.3019652799999997E-3</v>
      </c>
    </row>
    <row r="7091" spans="103:104" x14ac:dyDescent="0.3">
      <c r="CY7091" s="34" t="s">
        <v>8018</v>
      </c>
      <c r="CZ7091" s="35">
        <v>1.3478437319999999E-3</v>
      </c>
    </row>
    <row r="7092" spans="103:104" x14ac:dyDescent="0.3">
      <c r="CY7092" s="34" t="s">
        <v>8019</v>
      </c>
      <c r="CZ7092" s="35">
        <v>1.6753256800000002E-3</v>
      </c>
    </row>
    <row r="7093" spans="103:104" x14ac:dyDescent="0.3">
      <c r="CY7093" s="34" t="s">
        <v>8020</v>
      </c>
      <c r="CZ7093" s="35">
        <v>1.67532568E-3</v>
      </c>
    </row>
    <row r="7094" spans="103:104" x14ac:dyDescent="0.3">
      <c r="CY7094" s="34" t="s">
        <v>8021</v>
      </c>
      <c r="CZ7094" s="35">
        <v>8.1154263999999989E-4</v>
      </c>
    </row>
    <row r="7095" spans="103:104" x14ac:dyDescent="0.3">
      <c r="CY7095" s="34" t="s">
        <v>8022</v>
      </c>
      <c r="CZ7095" s="35">
        <v>3.8195555200000002E-3</v>
      </c>
    </row>
    <row r="7096" spans="103:104" x14ac:dyDescent="0.3">
      <c r="CY7096" s="34" t="s">
        <v>8023</v>
      </c>
      <c r="CZ7096" s="35">
        <v>3.2910213333333335E-3</v>
      </c>
    </row>
    <row r="7097" spans="103:104" x14ac:dyDescent="0.3">
      <c r="CY7097" s="34" t="s">
        <v>8024</v>
      </c>
      <c r="CZ7097" s="35">
        <v>9.4892933333333342E-4</v>
      </c>
    </row>
    <row r="7098" spans="103:104" x14ac:dyDescent="0.3">
      <c r="CY7098" s="34" t="s">
        <v>8025</v>
      </c>
      <c r="CZ7098" s="35">
        <v>1.921892E-2</v>
      </c>
    </row>
    <row r="7099" spans="103:104" x14ac:dyDescent="0.3">
      <c r="CY7099" s="34" t="s">
        <v>8026</v>
      </c>
      <c r="CZ7099" s="35">
        <v>8.1622513599999991E-3</v>
      </c>
    </row>
    <row r="7100" spans="103:104" x14ac:dyDescent="0.3">
      <c r="CY7100" s="34" t="s">
        <v>8027</v>
      </c>
      <c r="CZ7100" s="35">
        <v>8.1622513599999991E-3</v>
      </c>
    </row>
    <row r="7101" spans="103:104" x14ac:dyDescent="0.3">
      <c r="CY7101" s="34" t="s">
        <v>8028</v>
      </c>
      <c r="CZ7101" s="35">
        <v>5.8943493333333333E-3</v>
      </c>
    </row>
    <row r="7102" spans="103:104" x14ac:dyDescent="0.3">
      <c r="CY7102" s="34" t="s">
        <v>8029</v>
      </c>
      <c r="CZ7102" s="35">
        <v>4.3392000000000002E-4</v>
      </c>
    </row>
    <row r="7103" spans="103:104" x14ac:dyDescent="0.3">
      <c r="CY7103" s="34" t="s">
        <v>8030</v>
      </c>
      <c r="CZ7103" s="35">
        <v>3.98976E-4</v>
      </c>
    </row>
    <row r="7104" spans="103:104" x14ac:dyDescent="0.3">
      <c r="CY7104" s="34" t="s">
        <v>8031</v>
      </c>
      <c r="CZ7104" s="35">
        <v>7.8154620952380948E-4</v>
      </c>
    </row>
    <row r="7105" spans="103:104" x14ac:dyDescent="0.3">
      <c r="CY7105" s="34" t="s">
        <v>8032</v>
      </c>
      <c r="CZ7105" s="35">
        <v>6.5659680000000002E-4</v>
      </c>
    </row>
    <row r="7106" spans="103:104" x14ac:dyDescent="0.3">
      <c r="CY7106" s="34" t="s">
        <v>8033</v>
      </c>
      <c r="CZ7106" s="35">
        <v>1.4936279999999999E-3</v>
      </c>
    </row>
    <row r="7107" spans="103:104" x14ac:dyDescent="0.3">
      <c r="CY7107" s="34" t="s">
        <v>8034</v>
      </c>
      <c r="CZ7107" s="35">
        <v>1.4211186128571428E-2</v>
      </c>
    </row>
    <row r="7108" spans="103:104" x14ac:dyDescent="0.3">
      <c r="CY7108" s="34" t="s">
        <v>8035</v>
      </c>
      <c r="CZ7108" s="35">
        <v>9.3236320000000001E-3</v>
      </c>
    </row>
    <row r="7109" spans="103:104" x14ac:dyDescent="0.3">
      <c r="CY7109" s="34" t="s">
        <v>8036</v>
      </c>
      <c r="CZ7109" s="35">
        <v>3.9595200000000003E-4</v>
      </c>
    </row>
    <row r="7110" spans="103:104" x14ac:dyDescent="0.3">
      <c r="CY7110" s="34" t="s">
        <v>8037</v>
      </c>
      <c r="CZ7110" s="35">
        <v>3.5372333714285718E-3</v>
      </c>
    </row>
    <row r="7111" spans="103:104" x14ac:dyDescent="0.3">
      <c r="CY7111" s="34" t="s">
        <v>8038</v>
      </c>
      <c r="CZ7111" s="35">
        <v>1.3362300000000001E-2</v>
      </c>
    </row>
    <row r="7112" spans="103:104" x14ac:dyDescent="0.3">
      <c r="CY7112" s="34" t="s">
        <v>8039</v>
      </c>
      <c r="CZ7112" s="35">
        <v>3.6153756800000001</v>
      </c>
    </row>
    <row r="7113" spans="103:104" x14ac:dyDescent="0.3">
      <c r="CY7113" s="34" t="s">
        <v>8040</v>
      </c>
      <c r="CZ7113" s="35">
        <v>1.6149510400000001E-2</v>
      </c>
    </row>
    <row r="7114" spans="103:104" x14ac:dyDescent="0.3">
      <c r="CY7114" s="34" t="s">
        <v>8041</v>
      </c>
      <c r="CZ7114" s="35">
        <v>0.66341320000000015</v>
      </c>
    </row>
    <row r="7115" spans="103:104" x14ac:dyDescent="0.3">
      <c r="CY7115" s="34" t="s">
        <v>8042</v>
      </c>
      <c r="CZ7115" s="35">
        <v>6.7022667500000002E-4</v>
      </c>
    </row>
    <row r="7116" spans="103:104" x14ac:dyDescent="0.3">
      <c r="CY7116" s="34" t="s">
        <v>8043</v>
      </c>
      <c r="CZ7116" s="35">
        <v>9.5831080000000014E-4</v>
      </c>
    </row>
    <row r="7117" spans="103:104" x14ac:dyDescent="0.3">
      <c r="CY7117" s="34" t="s">
        <v>8044</v>
      </c>
      <c r="CZ7117" s="35">
        <v>0.21865000000000001</v>
      </c>
    </row>
    <row r="7118" spans="103:104" x14ac:dyDescent="0.3">
      <c r="CY7118" s="34" t="s">
        <v>8045</v>
      </c>
      <c r="CZ7118" s="35">
        <v>0.52834759999999992</v>
      </c>
    </row>
    <row r="7119" spans="103:104" x14ac:dyDescent="0.3">
      <c r="CY7119" s="34" t="s">
        <v>8046</v>
      </c>
      <c r="CZ7119" s="35">
        <v>5.6343980000000005E-3</v>
      </c>
    </row>
    <row r="7120" spans="103:104" x14ac:dyDescent="0.3">
      <c r="CY7120" s="34" t="s">
        <v>8047</v>
      </c>
      <c r="CZ7120" s="35">
        <v>9.8044759999999981E-2</v>
      </c>
    </row>
    <row r="7121" spans="103:104" x14ac:dyDescent="0.3">
      <c r="CY7121" s="34" t="s">
        <v>8048</v>
      </c>
      <c r="CZ7121" s="35">
        <v>2.7139786666666662E-2</v>
      </c>
    </row>
    <row r="7122" spans="103:104" x14ac:dyDescent="0.3">
      <c r="CY7122" s="34" t="s">
        <v>8049</v>
      </c>
      <c r="CZ7122" s="35">
        <v>7.5836080000000004E-3</v>
      </c>
    </row>
    <row r="7123" spans="103:104" x14ac:dyDescent="0.3">
      <c r="CY7123" s="34" t="s">
        <v>8050</v>
      </c>
      <c r="CZ7123" s="35">
        <v>9.1225824000000001E-4</v>
      </c>
    </row>
    <row r="7124" spans="103:104" x14ac:dyDescent="0.3">
      <c r="CY7124" s="34" t="s">
        <v>8051</v>
      </c>
      <c r="CZ7124" s="35">
        <v>1.040224E-3</v>
      </c>
    </row>
    <row r="7125" spans="103:104" x14ac:dyDescent="0.3">
      <c r="CY7125" s="34" t="s">
        <v>8052</v>
      </c>
      <c r="CZ7125" s="35">
        <v>9.7270096000000002E-4</v>
      </c>
    </row>
    <row r="7126" spans="103:104" x14ac:dyDescent="0.3">
      <c r="CY7126" s="34" t="s">
        <v>8053</v>
      </c>
      <c r="CZ7126" s="35">
        <v>1.4971494666666668E-2</v>
      </c>
    </row>
    <row r="7127" spans="103:104" x14ac:dyDescent="0.3">
      <c r="CY7127" s="34" t="s">
        <v>8054</v>
      </c>
      <c r="CZ7127" s="35">
        <v>9.1786799999999996E-4</v>
      </c>
    </row>
    <row r="7128" spans="103:104" x14ac:dyDescent="0.3">
      <c r="CY7128" s="34" t="s">
        <v>8055</v>
      </c>
      <c r="CZ7128" s="35">
        <v>2.3519999999999998E-5</v>
      </c>
    </row>
    <row r="7129" spans="103:104" x14ac:dyDescent="0.3">
      <c r="CY7129" s="34" t="s">
        <v>8056</v>
      </c>
      <c r="CZ7129" s="35">
        <v>0.32053567999999999</v>
      </c>
    </row>
    <row r="7130" spans="103:104" x14ac:dyDescent="0.3">
      <c r="CY7130" s="34" t="s">
        <v>8057</v>
      </c>
      <c r="CZ7130" s="35">
        <v>0.74304800000000004</v>
      </c>
    </row>
    <row r="7131" spans="103:104" x14ac:dyDescent="0.3">
      <c r="CY7131" s="34" t="s">
        <v>8058</v>
      </c>
      <c r="CZ7131" s="35">
        <v>0.13467312000000001</v>
      </c>
    </row>
    <row r="7132" spans="103:104" x14ac:dyDescent="0.3">
      <c r="CY7132" s="34" t="s">
        <v>8059</v>
      </c>
      <c r="CZ7132" s="35">
        <v>1.1001851712500002E-2</v>
      </c>
    </row>
    <row r="7133" spans="103:104" x14ac:dyDescent="0.3">
      <c r="CY7133" s="34" t="s">
        <v>8060</v>
      </c>
      <c r="CZ7133" s="35">
        <v>0.21668127999999998</v>
      </c>
    </row>
    <row r="7134" spans="103:104" x14ac:dyDescent="0.3">
      <c r="CY7134" s="34" t="s">
        <v>8061</v>
      </c>
      <c r="CZ7134" s="35">
        <v>0.46249871999999997</v>
      </c>
    </row>
    <row r="7135" spans="103:104" x14ac:dyDescent="0.3">
      <c r="CY7135" s="34" t="s">
        <v>8062</v>
      </c>
      <c r="CZ7135" s="35">
        <v>0.16165952</v>
      </c>
    </row>
    <row r="7136" spans="103:104" x14ac:dyDescent="0.3">
      <c r="CY7136" s="34" t="s">
        <v>8063</v>
      </c>
      <c r="CZ7136" s="35">
        <v>3.6058800000000002E-2</v>
      </c>
    </row>
    <row r="7137" spans="103:104" x14ac:dyDescent="0.3">
      <c r="CY7137" s="34" t="s">
        <v>8064</v>
      </c>
      <c r="CZ7137" s="35">
        <v>6.7980280000000004E-2</v>
      </c>
    </row>
    <row r="7138" spans="103:104" x14ac:dyDescent="0.3">
      <c r="CY7138" s="34" t="s">
        <v>8065</v>
      </c>
      <c r="CZ7138" s="35">
        <v>0.15696847999999999</v>
      </c>
    </row>
    <row r="7139" spans="103:104" x14ac:dyDescent="0.3">
      <c r="CY7139" s="34" t="s">
        <v>8066</v>
      </c>
      <c r="CZ7139" s="35">
        <v>0.19405572000000001</v>
      </c>
    </row>
    <row r="7140" spans="103:104" x14ac:dyDescent="0.3">
      <c r="CY7140" s="34" t="s">
        <v>8067</v>
      </c>
      <c r="CZ7140" s="35">
        <v>0.12626031999999998</v>
      </c>
    </row>
    <row r="7141" spans="103:104" x14ac:dyDescent="0.3">
      <c r="CY7141" s="34" t="s">
        <v>8068</v>
      </c>
      <c r="CZ7141" s="35">
        <v>4.7702020000000003E-3</v>
      </c>
    </row>
    <row r="7142" spans="103:104" x14ac:dyDescent="0.3">
      <c r="CY7142" s="34" t="s">
        <v>8069</v>
      </c>
      <c r="CZ7142" s="35">
        <v>2.0247999999999999E-2</v>
      </c>
    </row>
    <row r="7143" spans="103:104" x14ac:dyDescent="0.3">
      <c r="CY7143" s="34" t="s">
        <v>8070</v>
      </c>
      <c r="CZ7143" s="35">
        <v>2.2639430400000003E-3</v>
      </c>
    </row>
    <row r="7144" spans="103:104" x14ac:dyDescent="0.3">
      <c r="CY7144" s="34" t="s">
        <v>8071</v>
      </c>
      <c r="CZ7144" s="35">
        <v>1.7839002714285714E-3</v>
      </c>
    </row>
    <row r="7145" spans="103:104" x14ac:dyDescent="0.3">
      <c r="CY7145" s="34" t="s">
        <v>8072</v>
      </c>
      <c r="CZ7145" s="35">
        <v>1.3634640000000002E-2</v>
      </c>
    </row>
    <row r="7146" spans="103:104" x14ac:dyDescent="0.3">
      <c r="CY7146" s="34" t="s">
        <v>8073</v>
      </c>
      <c r="CZ7146" s="35">
        <v>1.3634640000000002E-2</v>
      </c>
    </row>
    <row r="7147" spans="103:104" x14ac:dyDescent="0.3">
      <c r="CY7147" s="34" t="s">
        <v>8074</v>
      </c>
      <c r="CZ7147" s="35">
        <v>1.1997127949999999E-2</v>
      </c>
    </row>
    <row r="7148" spans="103:104" x14ac:dyDescent="0.3">
      <c r="CY7148" s="34" t="s">
        <v>8075</v>
      </c>
      <c r="CZ7148" s="35">
        <v>1.3491984533333334E-2</v>
      </c>
    </row>
    <row r="7149" spans="103:104" x14ac:dyDescent="0.3">
      <c r="CY7149" s="34" t="s">
        <v>8076</v>
      </c>
      <c r="CZ7149" s="35">
        <v>8.198304E-3</v>
      </c>
    </row>
    <row r="7150" spans="103:104" x14ac:dyDescent="0.3">
      <c r="CY7150" s="34" t="s">
        <v>8077</v>
      </c>
      <c r="CZ7150" s="35">
        <v>2.5222666649999999E-2</v>
      </c>
    </row>
    <row r="7151" spans="103:104" x14ac:dyDescent="0.3">
      <c r="CY7151" s="34" t="s">
        <v>8078</v>
      </c>
      <c r="CZ7151" s="35">
        <v>2.5222666649999999E-2</v>
      </c>
    </row>
    <row r="7152" spans="103:104" x14ac:dyDescent="0.3">
      <c r="CY7152" s="34" t="s">
        <v>8079</v>
      </c>
      <c r="CZ7152" s="35">
        <v>2.5222666649999999E-2</v>
      </c>
    </row>
    <row r="7153" spans="103:104" x14ac:dyDescent="0.3">
      <c r="CY7153" s="34" t="s">
        <v>8080</v>
      </c>
      <c r="CZ7153" s="35">
        <v>1.3023676E-3</v>
      </c>
    </row>
    <row r="7154" spans="103:104" x14ac:dyDescent="0.3">
      <c r="CY7154" s="34" t="s">
        <v>8081</v>
      </c>
      <c r="CZ7154" s="35">
        <v>2.6036868736000002E-2</v>
      </c>
    </row>
    <row r="7155" spans="103:104" x14ac:dyDescent="0.3">
      <c r="CY7155" s="34" t="s">
        <v>8082</v>
      </c>
      <c r="CZ7155" s="35">
        <v>6.5067413333333331E-3</v>
      </c>
    </row>
    <row r="7156" spans="103:104" x14ac:dyDescent="0.3">
      <c r="CY7156" s="34" t="s">
        <v>8083</v>
      </c>
      <c r="CZ7156" s="35">
        <v>4.3819692941176474E-4</v>
      </c>
    </row>
    <row r="7157" spans="103:104" x14ac:dyDescent="0.3">
      <c r="CY7157" s="34" t="s">
        <v>8084</v>
      </c>
      <c r="CZ7157" s="35">
        <v>7.1113452941176474E-4</v>
      </c>
    </row>
    <row r="7158" spans="103:104" x14ac:dyDescent="0.3">
      <c r="CY7158" s="34" t="s">
        <v>8085</v>
      </c>
      <c r="CZ7158" s="35">
        <v>1.1615672488675E-2</v>
      </c>
    </row>
    <row r="7159" spans="103:104" x14ac:dyDescent="0.3">
      <c r="CY7159" s="34" t="s">
        <v>8086</v>
      </c>
      <c r="CZ7159" s="35">
        <v>7.779135999999999E-2</v>
      </c>
    </row>
    <row r="7160" spans="103:104" x14ac:dyDescent="0.3">
      <c r="CY7160" s="34" t="s">
        <v>8087</v>
      </c>
      <c r="CZ7160" s="35">
        <v>8.6670436000000003E-2</v>
      </c>
    </row>
    <row r="7161" spans="103:104" x14ac:dyDescent="0.3">
      <c r="CY7161" s="34" t="s">
        <v>8088</v>
      </c>
      <c r="CZ7161" s="35">
        <v>8.3865919999999997E-2</v>
      </c>
    </row>
    <row r="7162" spans="103:104" x14ac:dyDescent="0.3">
      <c r="CY7162" s="34" t="s">
        <v>8089</v>
      </c>
      <c r="CZ7162" s="35">
        <v>9.1298383999999996E-2</v>
      </c>
    </row>
    <row r="7163" spans="103:104" x14ac:dyDescent="0.3">
      <c r="CY7163" s="34" t="s">
        <v>8090</v>
      </c>
      <c r="CZ7163" s="35">
        <v>9.1298383999999996E-2</v>
      </c>
    </row>
    <row r="7164" spans="103:104" x14ac:dyDescent="0.3">
      <c r="CY7164" s="34" t="s">
        <v>8091</v>
      </c>
      <c r="CZ7164" s="35">
        <v>5.9129279999999996E-3</v>
      </c>
    </row>
    <row r="7165" spans="103:104" x14ac:dyDescent="0.3">
      <c r="CY7165" s="34" t="s">
        <v>8092</v>
      </c>
      <c r="CZ7165" s="35">
        <v>6.9976000000000001E-4</v>
      </c>
    </row>
    <row r="7166" spans="103:104" x14ac:dyDescent="0.3">
      <c r="CY7166" s="34" t="s">
        <v>8093</v>
      </c>
      <c r="CZ7166" s="35">
        <v>8.3902499999999991E-2</v>
      </c>
    </row>
    <row r="7167" spans="103:104" x14ac:dyDescent="0.3">
      <c r="CY7167" s="34" t="s">
        <v>8094</v>
      </c>
      <c r="CZ7167" s="35">
        <v>2.7233611999999997E-2</v>
      </c>
    </row>
    <row r="7168" spans="103:104" x14ac:dyDescent="0.3">
      <c r="CY7168" s="34" t="s">
        <v>8095</v>
      </c>
      <c r="CZ7168" s="35">
        <v>0.11340621325</v>
      </c>
    </row>
    <row r="7169" spans="103:104" x14ac:dyDescent="0.3">
      <c r="CY7169" s="34" t="s">
        <v>8096</v>
      </c>
      <c r="CZ7169" s="35">
        <v>4.0566919999999998E-3</v>
      </c>
    </row>
    <row r="7170" spans="103:104" x14ac:dyDescent="0.3">
      <c r="CY7170" s="34" t="s">
        <v>8097</v>
      </c>
      <c r="CZ7170" s="35">
        <v>5.5325013999999997E-3</v>
      </c>
    </row>
    <row r="7171" spans="103:104" x14ac:dyDescent="0.3">
      <c r="CY7171" s="34" t="s">
        <v>8098</v>
      </c>
      <c r="CZ7171" s="35">
        <v>0.17827016000000001</v>
      </c>
    </row>
    <row r="7172" spans="103:104" x14ac:dyDescent="0.3">
      <c r="CY7172" s="34" t="s">
        <v>8099</v>
      </c>
      <c r="CZ7172" s="35">
        <v>1.4918670799999999E-3</v>
      </c>
    </row>
    <row r="7173" spans="103:104" x14ac:dyDescent="0.3">
      <c r="CY7173" s="34" t="s">
        <v>8100</v>
      </c>
      <c r="CZ7173" s="35">
        <v>6.4537540000000008E-3</v>
      </c>
    </row>
    <row r="7174" spans="103:104" x14ac:dyDescent="0.3">
      <c r="CY7174" s="34" t="s">
        <v>8101</v>
      </c>
      <c r="CZ7174" s="35">
        <v>1.1470983200000001E-3</v>
      </c>
    </row>
    <row r="7175" spans="103:104" x14ac:dyDescent="0.3">
      <c r="CY7175" s="34" t="s">
        <v>8102</v>
      </c>
      <c r="CZ7175" s="35">
        <v>1.90914904E-3</v>
      </c>
    </row>
    <row r="7176" spans="103:104" x14ac:dyDescent="0.3">
      <c r="CY7176" s="34" t="s">
        <v>8103</v>
      </c>
      <c r="CZ7176" s="35">
        <v>8.3761625000000006E-2</v>
      </c>
    </row>
    <row r="7177" spans="103:104" x14ac:dyDescent="0.3">
      <c r="CY7177" s="34" t="s">
        <v>8104</v>
      </c>
      <c r="CZ7177" s="35">
        <v>2.9872519199999999E-2</v>
      </c>
    </row>
    <row r="7178" spans="103:104" x14ac:dyDescent="0.3">
      <c r="CY7178" s="34" t="s">
        <v>8105</v>
      </c>
      <c r="CZ7178" s="35">
        <v>0.30936705400000003</v>
      </c>
    </row>
    <row r="7179" spans="103:104" x14ac:dyDescent="0.3">
      <c r="CY7179" s="34" t="s">
        <v>8106</v>
      </c>
      <c r="CZ7179" s="35">
        <v>8.6448678400000004E-4</v>
      </c>
    </row>
    <row r="7180" spans="103:104" x14ac:dyDescent="0.3">
      <c r="CY7180" s="34" t="s">
        <v>8107</v>
      </c>
      <c r="CZ7180" s="35">
        <v>3.5452079999999997E-2</v>
      </c>
    </row>
    <row r="7181" spans="103:104" x14ac:dyDescent="0.3">
      <c r="CY7181" s="34" t="s">
        <v>8108</v>
      </c>
      <c r="CZ7181" s="35">
        <v>4.7664103999999999E-2</v>
      </c>
    </row>
    <row r="7182" spans="103:104" x14ac:dyDescent="0.3">
      <c r="CY7182" s="34" t="s">
        <v>8109</v>
      </c>
      <c r="CZ7182" s="35">
        <v>4.6741319999999996E-2</v>
      </c>
    </row>
    <row r="7183" spans="103:104" x14ac:dyDescent="0.3">
      <c r="CY7183" s="34" t="s">
        <v>8110</v>
      </c>
      <c r="CZ7183" s="35">
        <v>2.649025E-2</v>
      </c>
    </row>
    <row r="7184" spans="103:104" x14ac:dyDescent="0.3">
      <c r="CY7184" s="34" t="s">
        <v>8111</v>
      </c>
      <c r="CZ7184" s="35">
        <v>5.6187282688000004E-3</v>
      </c>
    </row>
    <row r="7185" spans="103:104" x14ac:dyDescent="0.3">
      <c r="CY7185" s="34" t="s">
        <v>8112</v>
      </c>
      <c r="CZ7185" s="35">
        <v>3.1968275999999997E-2</v>
      </c>
    </row>
    <row r="7186" spans="103:104" x14ac:dyDescent="0.3">
      <c r="CY7186" s="34" t="s">
        <v>8113</v>
      </c>
      <c r="CZ7186" s="35">
        <v>7.0364400000000001E-4</v>
      </c>
    </row>
    <row r="7187" spans="103:104" x14ac:dyDescent="0.3">
      <c r="CY7187" s="34" t="s">
        <v>8114</v>
      </c>
      <c r="CZ7187" s="35">
        <v>2.3421047272727274E-4</v>
      </c>
    </row>
    <row r="7188" spans="103:104" x14ac:dyDescent="0.3">
      <c r="CY7188" s="34" t="s">
        <v>8115</v>
      </c>
      <c r="CZ7188" s="35">
        <v>7.3115599999999995E-4</v>
      </c>
    </row>
    <row r="7189" spans="103:104" x14ac:dyDescent="0.3">
      <c r="CY7189" s="34" t="s">
        <v>8116</v>
      </c>
      <c r="CZ7189" s="35">
        <v>1.5071992884566664E-2</v>
      </c>
    </row>
    <row r="7190" spans="103:104" x14ac:dyDescent="0.3">
      <c r="CY7190" s="34" t="s">
        <v>8117</v>
      </c>
      <c r="CZ7190" s="35">
        <v>6.5765089999999995E-3</v>
      </c>
    </row>
    <row r="7191" spans="103:104" x14ac:dyDescent="0.3">
      <c r="CY7191" s="34" t="s">
        <v>8118</v>
      </c>
      <c r="CZ7191" s="35">
        <v>3.1847359999999998E-2</v>
      </c>
    </row>
    <row r="7192" spans="103:104" x14ac:dyDescent="0.3">
      <c r="CY7192" s="34" t="s">
        <v>8119</v>
      </c>
      <c r="CZ7192" s="35">
        <v>3.1552896000000004E-2</v>
      </c>
    </row>
    <row r="7193" spans="103:104" x14ac:dyDescent="0.3">
      <c r="CY7193" s="34" t="s">
        <v>8120</v>
      </c>
      <c r="CZ7193" s="35">
        <v>9.6259600000000002E-4</v>
      </c>
    </row>
    <row r="7194" spans="103:104" x14ac:dyDescent="0.3">
      <c r="CY7194" s="34" t="s">
        <v>8121</v>
      </c>
      <c r="CZ7194" s="35">
        <v>0.47144399999999997</v>
      </c>
    </row>
    <row r="7195" spans="103:104" x14ac:dyDescent="0.3">
      <c r="CY7195" s="34" t="s">
        <v>8122</v>
      </c>
      <c r="CZ7195" s="35">
        <v>6.2928039999999991E-2</v>
      </c>
    </row>
    <row r="7196" spans="103:104" x14ac:dyDescent="0.3">
      <c r="CY7196" s="34" t="s">
        <v>8123</v>
      </c>
      <c r="CZ7196" s="35">
        <v>3.4121005999999997E-3</v>
      </c>
    </row>
    <row r="7197" spans="103:104" x14ac:dyDescent="0.3">
      <c r="CY7197" s="34" t="s">
        <v>8124</v>
      </c>
      <c r="CZ7197" s="35">
        <v>3.4121005999999997E-3</v>
      </c>
    </row>
    <row r="7198" spans="103:104" x14ac:dyDescent="0.3">
      <c r="CY7198" s="34" t="s">
        <v>8125</v>
      </c>
      <c r="CZ7198" s="35">
        <v>1.2085705454545454E-2</v>
      </c>
    </row>
    <row r="7199" spans="103:104" x14ac:dyDescent="0.3">
      <c r="CY7199" s="34" t="s">
        <v>8126</v>
      </c>
      <c r="CZ7199" s="35">
        <v>1.5455154666666669E-2</v>
      </c>
    </row>
    <row r="7200" spans="103:104" x14ac:dyDescent="0.3">
      <c r="CY7200" s="34" t="s">
        <v>8127</v>
      </c>
      <c r="CZ7200" s="35">
        <v>6.5311200000000005E-3</v>
      </c>
    </row>
    <row r="7201" spans="103:104" x14ac:dyDescent="0.3">
      <c r="CY7201" s="34" t="s">
        <v>8128</v>
      </c>
      <c r="CZ7201" s="35">
        <v>5.4546479999999994E-3</v>
      </c>
    </row>
    <row r="7202" spans="103:104" x14ac:dyDescent="0.3">
      <c r="CY7202" s="34" t="s">
        <v>8129</v>
      </c>
      <c r="CZ7202" s="35">
        <v>2.1029280000000001E-2</v>
      </c>
    </row>
    <row r="7203" spans="103:104" x14ac:dyDescent="0.3">
      <c r="CY7203" s="34" t="s">
        <v>8130</v>
      </c>
      <c r="CZ7203" s="35">
        <v>1.7984656319999997E-2</v>
      </c>
    </row>
    <row r="7204" spans="103:104" x14ac:dyDescent="0.3">
      <c r="CY7204" s="34" t="s">
        <v>8131</v>
      </c>
      <c r="CZ7204" s="35">
        <v>2.6042599999999996E-4</v>
      </c>
    </row>
    <row r="7205" spans="103:104" x14ac:dyDescent="0.3">
      <c r="CY7205" s="34" t="s">
        <v>8132</v>
      </c>
      <c r="CZ7205" s="35">
        <v>1.0454954399999999E-2</v>
      </c>
    </row>
    <row r="7206" spans="103:104" x14ac:dyDescent="0.3">
      <c r="CY7206" s="34" t="s">
        <v>8133</v>
      </c>
      <c r="CZ7206" s="35">
        <v>8.8053064000000025E-3</v>
      </c>
    </row>
    <row r="7207" spans="103:104" x14ac:dyDescent="0.3">
      <c r="CY7207" s="34" t="s">
        <v>8134</v>
      </c>
      <c r="CZ7207" s="35">
        <v>1.1161946399999999E-2</v>
      </c>
    </row>
    <row r="7208" spans="103:104" x14ac:dyDescent="0.3">
      <c r="CY7208" s="34" t="s">
        <v>8135</v>
      </c>
      <c r="CZ7208" s="35">
        <v>6.7313465599999995E-3</v>
      </c>
    </row>
    <row r="7209" spans="103:104" x14ac:dyDescent="0.3">
      <c r="CY7209" s="34" t="s">
        <v>8136</v>
      </c>
      <c r="CZ7209" s="35">
        <v>3.2066384000000003E-2</v>
      </c>
    </row>
    <row r="7210" spans="103:104" x14ac:dyDescent="0.3">
      <c r="CY7210" s="34" t="s">
        <v>8137</v>
      </c>
      <c r="CZ7210" s="35">
        <v>4.5889759999999998E-3</v>
      </c>
    </row>
    <row r="7211" spans="103:104" x14ac:dyDescent="0.3">
      <c r="CY7211" s="34" t="s">
        <v>8138</v>
      </c>
      <c r="CZ7211" s="35">
        <v>1.1832261328571427E-2</v>
      </c>
    </row>
    <row r="7212" spans="103:104" x14ac:dyDescent="0.3">
      <c r="CY7212" s="34" t="s">
        <v>8139</v>
      </c>
      <c r="CZ7212" s="35">
        <v>2.5599416E-2</v>
      </c>
    </row>
    <row r="7213" spans="103:104" x14ac:dyDescent="0.3">
      <c r="CY7213" s="34" t="s">
        <v>8140</v>
      </c>
      <c r="CZ7213" s="35">
        <v>3.8427616000000003E-3</v>
      </c>
    </row>
    <row r="7214" spans="103:104" x14ac:dyDescent="0.3">
      <c r="CY7214" s="34" t="s">
        <v>8141</v>
      </c>
      <c r="CZ7214" s="35">
        <v>3.2653259999999998E-3</v>
      </c>
    </row>
    <row r="7215" spans="103:104" x14ac:dyDescent="0.3">
      <c r="CY7215" s="34" t="s">
        <v>8142</v>
      </c>
      <c r="CZ7215" s="35">
        <v>0.28722784000000001</v>
      </c>
    </row>
    <row r="7216" spans="103:104" x14ac:dyDescent="0.3">
      <c r="CY7216" s="34" t="s">
        <v>8143</v>
      </c>
      <c r="CZ7216" s="35">
        <v>9.9257440000000016E-2</v>
      </c>
    </row>
    <row r="7217" spans="103:104" x14ac:dyDescent="0.3">
      <c r="CY7217" s="34" t="s">
        <v>8144</v>
      </c>
      <c r="CZ7217" s="35">
        <v>2.8697975999999997E-3</v>
      </c>
    </row>
    <row r="7218" spans="103:104" x14ac:dyDescent="0.3">
      <c r="CY7218" s="34" t="s">
        <v>8145</v>
      </c>
      <c r="CZ7218" s="35">
        <v>1.7873368000000001E-2</v>
      </c>
    </row>
    <row r="7219" spans="103:104" x14ac:dyDescent="0.3">
      <c r="CY7219" s="34" t="s">
        <v>8146</v>
      </c>
      <c r="CZ7219" s="35">
        <v>4.06585E-2</v>
      </c>
    </row>
    <row r="7220" spans="103:104" x14ac:dyDescent="0.3">
      <c r="CY7220" s="34" t="s">
        <v>8147</v>
      </c>
      <c r="CZ7220" s="35">
        <v>1.7957359999999998E-3</v>
      </c>
    </row>
    <row r="7221" spans="103:104" x14ac:dyDescent="0.3">
      <c r="CY7221" s="34" t="s">
        <v>8148</v>
      </c>
      <c r="CZ7221" s="35">
        <v>4.9970142687999999E-2</v>
      </c>
    </row>
    <row r="7222" spans="103:104" x14ac:dyDescent="0.3">
      <c r="CY7222" s="34" t="s">
        <v>8149</v>
      </c>
      <c r="CZ7222" s="35">
        <v>5.2500517600000005E-2</v>
      </c>
    </row>
    <row r="7223" spans="103:104" x14ac:dyDescent="0.3">
      <c r="CY7223" s="34" t="s">
        <v>8150</v>
      </c>
      <c r="CZ7223" s="35">
        <v>4.1938932800000002E-2</v>
      </c>
    </row>
    <row r="7224" spans="103:104" x14ac:dyDescent="0.3">
      <c r="CY7224" s="34" t="s">
        <v>8151</v>
      </c>
      <c r="CZ7224" s="35">
        <v>8.4242148666666666E-3</v>
      </c>
    </row>
    <row r="7225" spans="103:104" x14ac:dyDescent="0.3">
      <c r="CY7225" s="34" t="s">
        <v>8152</v>
      </c>
      <c r="CZ7225" s="35">
        <v>2.6110400000000002E-3</v>
      </c>
    </row>
    <row r="7226" spans="103:104" x14ac:dyDescent="0.3">
      <c r="CY7226" s="34" t="s">
        <v>8153</v>
      </c>
      <c r="CZ7226" s="35">
        <v>3.4349039999999999E-3</v>
      </c>
    </row>
    <row r="7227" spans="103:104" x14ac:dyDescent="0.3">
      <c r="CY7227" s="34" t="s">
        <v>8154</v>
      </c>
      <c r="CZ7227" s="35">
        <v>1.7201787999999999E-2</v>
      </c>
    </row>
    <row r="7228" spans="103:104" x14ac:dyDescent="0.3">
      <c r="CY7228" s="34" t="s">
        <v>8155</v>
      </c>
      <c r="CZ7228" s="35">
        <v>3.7222866799999999E-3</v>
      </c>
    </row>
    <row r="7229" spans="103:104" x14ac:dyDescent="0.3">
      <c r="CY7229" s="34" t="s">
        <v>8156</v>
      </c>
      <c r="CZ7229" s="35">
        <v>1.2228716000000001E-2</v>
      </c>
    </row>
    <row r="7230" spans="103:104" x14ac:dyDescent="0.3">
      <c r="CY7230" s="34" t="s">
        <v>8157</v>
      </c>
      <c r="CZ7230" s="35">
        <v>1.50653E-2</v>
      </c>
    </row>
    <row r="7231" spans="103:104" x14ac:dyDescent="0.3">
      <c r="CY7231" s="34" t="s">
        <v>8158</v>
      </c>
      <c r="CZ7231" s="35">
        <v>2.1744593450000002E-2</v>
      </c>
    </row>
    <row r="7232" spans="103:104" x14ac:dyDescent="0.3">
      <c r="CY7232" s="34" t="s">
        <v>8159</v>
      </c>
      <c r="CZ7232" s="35">
        <v>3.3048679999999999E-3</v>
      </c>
    </row>
    <row r="7233" spans="103:104" x14ac:dyDescent="0.3">
      <c r="CY7233" s="34" t="s">
        <v>8160</v>
      </c>
      <c r="CZ7233" s="35">
        <v>8.0760663999999996E-2</v>
      </c>
    </row>
    <row r="7234" spans="103:104" x14ac:dyDescent="0.3">
      <c r="CY7234" s="34" t="s">
        <v>8161</v>
      </c>
      <c r="CZ7234" s="35">
        <v>9.9379575999999997E-2</v>
      </c>
    </row>
    <row r="7235" spans="103:104" x14ac:dyDescent="0.3">
      <c r="CY7235" s="34" t="s">
        <v>8162</v>
      </c>
      <c r="CZ7235" s="35">
        <v>4.8978476159999996E-3</v>
      </c>
    </row>
    <row r="7236" spans="103:104" x14ac:dyDescent="0.3">
      <c r="CY7236" s="34" t="s">
        <v>8163</v>
      </c>
      <c r="CZ7236" s="35">
        <v>3.9630466750000008E-3</v>
      </c>
    </row>
    <row r="7237" spans="103:104" x14ac:dyDescent="0.3">
      <c r="CY7237" s="34" t="s">
        <v>8164</v>
      </c>
      <c r="CZ7237" s="35">
        <v>1.4309428E-3</v>
      </c>
    </row>
    <row r="7238" spans="103:104" x14ac:dyDescent="0.3">
      <c r="CY7238" s="34" t="s">
        <v>8165</v>
      </c>
      <c r="CZ7238" s="35">
        <v>1.7680797312500001E-3</v>
      </c>
    </row>
    <row r="7239" spans="103:104" x14ac:dyDescent="0.3">
      <c r="CY7239" s="34" t="s">
        <v>8166</v>
      </c>
      <c r="CZ7239" s="35">
        <v>3.6052800000000002E-3</v>
      </c>
    </row>
    <row r="7240" spans="103:104" x14ac:dyDescent="0.3">
      <c r="CY7240" s="34" t="s">
        <v>8167</v>
      </c>
      <c r="CZ7240" s="35">
        <v>1.1096573586679998E-3</v>
      </c>
    </row>
    <row r="7241" spans="103:104" x14ac:dyDescent="0.3">
      <c r="CY7241" s="34" t="s">
        <v>8168</v>
      </c>
      <c r="CZ7241" s="35">
        <v>1.3038876000000001E-3</v>
      </c>
    </row>
    <row r="7242" spans="103:104" x14ac:dyDescent="0.3">
      <c r="CY7242" s="34" t="s">
        <v>8169</v>
      </c>
      <c r="CZ7242" s="35">
        <v>1.3322170127999999E-3</v>
      </c>
    </row>
    <row r="7243" spans="103:104" x14ac:dyDescent="0.3">
      <c r="CY7243" s="34" t="s">
        <v>8170</v>
      </c>
      <c r="CZ7243" s="35">
        <v>1.815084E-3</v>
      </c>
    </row>
    <row r="7244" spans="103:104" x14ac:dyDescent="0.3">
      <c r="CY7244" s="34" t="s">
        <v>8171</v>
      </c>
      <c r="CZ7244" s="35">
        <v>2.0306655999999998E-3</v>
      </c>
    </row>
    <row r="7245" spans="103:104" x14ac:dyDescent="0.3">
      <c r="CY7245" s="34" t="s">
        <v>8172</v>
      </c>
      <c r="CZ7245" s="35">
        <v>2.1153881599999995E-3</v>
      </c>
    </row>
    <row r="7246" spans="103:104" x14ac:dyDescent="0.3">
      <c r="CY7246" s="34" t="s">
        <v>8173</v>
      </c>
      <c r="CZ7246" s="35">
        <v>2.0379040000000001E-3</v>
      </c>
    </row>
    <row r="7247" spans="103:104" x14ac:dyDescent="0.3">
      <c r="CY7247" s="34" t="s">
        <v>8174</v>
      </c>
      <c r="CZ7247" s="35">
        <v>1.3139039999999999E-3</v>
      </c>
    </row>
    <row r="7248" spans="103:104" x14ac:dyDescent="0.3">
      <c r="CY7248" s="34" t="s">
        <v>8175</v>
      </c>
      <c r="CZ7248" s="35">
        <v>1.7591632000000003E-3</v>
      </c>
    </row>
    <row r="7249" spans="103:104" x14ac:dyDescent="0.3">
      <c r="CY7249" s="34" t="s">
        <v>8176</v>
      </c>
      <c r="CZ7249" s="35">
        <v>1.4602751248000002E-3</v>
      </c>
    </row>
    <row r="7250" spans="103:104" x14ac:dyDescent="0.3">
      <c r="CY7250" s="34" t="s">
        <v>8177</v>
      </c>
      <c r="CZ7250" s="35">
        <v>1.1347464720000001E-3</v>
      </c>
    </row>
    <row r="7251" spans="103:104" x14ac:dyDescent="0.3">
      <c r="CY7251" s="34" t="s">
        <v>8178</v>
      </c>
      <c r="CZ7251" s="35">
        <v>1.2630624000000003E-3</v>
      </c>
    </row>
    <row r="7252" spans="103:104" x14ac:dyDescent="0.3">
      <c r="CY7252" s="34" t="s">
        <v>8179</v>
      </c>
      <c r="CZ7252" s="35">
        <v>9.2003142079999996E-4</v>
      </c>
    </row>
    <row r="7253" spans="103:104" x14ac:dyDescent="0.3">
      <c r="CY7253" s="34" t="s">
        <v>8180</v>
      </c>
      <c r="CZ7253" s="35">
        <v>7.1873864000000006E-4</v>
      </c>
    </row>
    <row r="7254" spans="103:104" x14ac:dyDescent="0.3">
      <c r="CY7254" s="34" t="s">
        <v>8181</v>
      </c>
      <c r="CZ7254" s="35">
        <v>2.0956640000000001E-3</v>
      </c>
    </row>
    <row r="7255" spans="103:104" x14ac:dyDescent="0.3">
      <c r="CY7255" s="34" t="s">
        <v>8182</v>
      </c>
      <c r="CZ7255" s="35">
        <v>0.21796859784615386</v>
      </c>
    </row>
    <row r="7256" spans="103:104" x14ac:dyDescent="0.3">
      <c r="CY7256" s="34" t="s">
        <v>8183</v>
      </c>
      <c r="CZ7256" s="35">
        <v>0.22107616000000002</v>
      </c>
    </row>
    <row r="7257" spans="103:104" x14ac:dyDescent="0.3">
      <c r="CY7257" s="34" t="s">
        <v>8184</v>
      </c>
      <c r="CZ7257" s="35">
        <v>1.0151946774193548E-3</v>
      </c>
    </row>
    <row r="7258" spans="103:104" x14ac:dyDescent="0.3">
      <c r="CY7258" s="34" t="s">
        <v>8185</v>
      </c>
      <c r="CZ7258" s="35">
        <v>0.11022977439999999</v>
      </c>
    </row>
    <row r="7259" spans="103:104" x14ac:dyDescent="0.3">
      <c r="CY7259" s="34" t="s">
        <v>8186</v>
      </c>
      <c r="CZ7259" s="35">
        <v>1.6059585337837839E-2</v>
      </c>
    </row>
    <row r="7260" spans="103:104" x14ac:dyDescent="0.3">
      <c r="CY7260" s="34" t="s">
        <v>8187</v>
      </c>
      <c r="CZ7260" s="35">
        <v>1.8399400000000003E-2</v>
      </c>
    </row>
    <row r="7261" spans="103:104" x14ac:dyDescent="0.3">
      <c r="CY7261" s="34" t="s">
        <v>8188</v>
      </c>
      <c r="CZ7261" s="35">
        <v>2.0006200000000002E-2</v>
      </c>
    </row>
    <row r="7262" spans="103:104" x14ac:dyDescent="0.3">
      <c r="CY7262" s="34" t="s">
        <v>8189</v>
      </c>
      <c r="CZ7262" s="35">
        <v>3.2328473599999998E-2</v>
      </c>
    </row>
    <row r="7263" spans="103:104" x14ac:dyDescent="0.3">
      <c r="CY7263" s="34" t="s">
        <v>8190</v>
      </c>
      <c r="CZ7263" s="35">
        <v>3.2328473599999998E-2</v>
      </c>
    </row>
    <row r="7264" spans="103:104" x14ac:dyDescent="0.3">
      <c r="CY7264" s="34" t="s">
        <v>8191</v>
      </c>
      <c r="CZ7264" s="35">
        <v>7.2475200000000004E-3</v>
      </c>
    </row>
    <row r="7265" spans="103:104" x14ac:dyDescent="0.3">
      <c r="CY7265" s="34" t="s">
        <v>8192</v>
      </c>
      <c r="CZ7265" s="35">
        <v>8.8328160000000003E-3</v>
      </c>
    </row>
    <row r="7266" spans="103:104" x14ac:dyDescent="0.3">
      <c r="CY7266" s="34" t="s">
        <v>8193</v>
      </c>
      <c r="CZ7266" s="35">
        <v>6.6975749999999999E-3</v>
      </c>
    </row>
    <row r="7267" spans="103:104" x14ac:dyDescent="0.3">
      <c r="CY7267" s="34" t="s">
        <v>8194</v>
      </c>
      <c r="CZ7267" s="35">
        <v>0.11309807500000001</v>
      </c>
    </row>
    <row r="7268" spans="103:104" x14ac:dyDescent="0.3">
      <c r="CY7268" s="34" t="s">
        <v>8195</v>
      </c>
      <c r="CZ7268" s="35">
        <v>4.5856133333333333E-2</v>
      </c>
    </row>
    <row r="7269" spans="103:104" x14ac:dyDescent="0.3">
      <c r="CY7269" s="34" t="s">
        <v>8196</v>
      </c>
      <c r="CZ7269" s="35">
        <v>2.5877506666666671E-2</v>
      </c>
    </row>
    <row r="7270" spans="103:104" x14ac:dyDescent="0.3">
      <c r="CY7270" s="34" t="s">
        <v>8197</v>
      </c>
      <c r="CZ7270" s="35">
        <v>0.10770647999999999</v>
      </c>
    </row>
    <row r="7271" spans="103:104" x14ac:dyDescent="0.3">
      <c r="CY7271" s="34" t="s">
        <v>8198</v>
      </c>
      <c r="CZ7271" s="35">
        <v>1.0125784000000001E-2</v>
      </c>
    </row>
    <row r="7272" spans="103:104" x14ac:dyDescent="0.3">
      <c r="CY7272" s="34" t="s">
        <v>8199</v>
      </c>
      <c r="CZ7272" s="35">
        <v>3.9638959999999994E-2</v>
      </c>
    </row>
    <row r="7273" spans="103:104" x14ac:dyDescent="0.3">
      <c r="CY7273" s="34" t="s">
        <v>8200</v>
      </c>
      <c r="CZ7273" s="35">
        <v>1.772768E-4</v>
      </c>
    </row>
    <row r="7274" spans="103:104" x14ac:dyDescent="0.3">
      <c r="CY7274" s="34" t="s">
        <v>8201</v>
      </c>
      <c r="CZ7274" s="35">
        <v>4.8519999999999998E-4</v>
      </c>
    </row>
    <row r="7275" spans="103:104" x14ac:dyDescent="0.3">
      <c r="CY7275" s="34" t="s">
        <v>8202</v>
      </c>
      <c r="CZ7275" s="35">
        <v>4.5367279999999996E-4</v>
      </c>
    </row>
    <row r="7276" spans="103:104" x14ac:dyDescent="0.3">
      <c r="CY7276" s="34" t="s">
        <v>8203</v>
      </c>
      <c r="CZ7276" s="35">
        <v>0.12835608000000001</v>
      </c>
    </row>
    <row r="7277" spans="103:104" x14ac:dyDescent="0.3">
      <c r="CY7277" s="34" t="s">
        <v>8204</v>
      </c>
      <c r="CZ7277" s="35">
        <v>1.3358199999999999E-3</v>
      </c>
    </row>
    <row r="7278" spans="103:104" x14ac:dyDescent="0.3">
      <c r="CY7278" s="34" t="s">
        <v>8205</v>
      </c>
      <c r="CZ7278" s="35">
        <v>3.3541599999999998E-2</v>
      </c>
    </row>
    <row r="7279" spans="103:104" x14ac:dyDescent="0.3">
      <c r="CY7279" s="34" t="s">
        <v>8206</v>
      </c>
      <c r="CZ7279" s="35">
        <v>1.1477728E-2</v>
      </c>
    </row>
    <row r="7280" spans="103:104" x14ac:dyDescent="0.3">
      <c r="CY7280" s="34" t="s">
        <v>8207</v>
      </c>
      <c r="CZ7280" s="35">
        <v>1.340632E-3</v>
      </c>
    </row>
    <row r="7281" spans="103:104" x14ac:dyDescent="0.3">
      <c r="CY7281" s="34" t="s">
        <v>8208</v>
      </c>
      <c r="CZ7281" s="35">
        <v>1.2846570649999998E-3</v>
      </c>
    </row>
    <row r="7282" spans="103:104" x14ac:dyDescent="0.3">
      <c r="CY7282" s="34" t="s">
        <v>8209</v>
      </c>
      <c r="CZ7282" s="35">
        <v>9.0199999999999985E-3</v>
      </c>
    </row>
    <row r="7283" spans="103:104" x14ac:dyDescent="0.3">
      <c r="CY7283" s="34" t="s">
        <v>8210</v>
      </c>
      <c r="CZ7283" s="35">
        <v>7.0186960000000005E-3</v>
      </c>
    </row>
    <row r="7284" spans="103:104" x14ac:dyDescent="0.3">
      <c r="CY7284" s="34" t="s">
        <v>8211</v>
      </c>
      <c r="CZ7284" s="35">
        <v>0.12498800000000002</v>
      </c>
    </row>
    <row r="7285" spans="103:104" x14ac:dyDescent="0.3">
      <c r="CY7285" s="34" t="s">
        <v>8212</v>
      </c>
      <c r="CZ7285" s="35">
        <v>9.9547400000000008E-2</v>
      </c>
    </row>
    <row r="7286" spans="103:104" x14ac:dyDescent="0.3">
      <c r="CY7286" s="34" t="s">
        <v>8213</v>
      </c>
      <c r="CZ7286" s="35">
        <v>3.8354133333333332E-2</v>
      </c>
    </row>
    <row r="7287" spans="103:104" x14ac:dyDescent="0.3">
      <c r="CY7287" s="34" t="s">
        <v>8214</v>
      </c>
      <c r="CZ7287" s="35">
        <v>0.12083844000000001</v>
      </c>
    </row>
    <row r="7288" spans="103:104" x14ac:dyDescent="0.3">
      <c r="CY7288" s="34" t="s">
        <v>8215</v>
      </c>
      <c r="CZ7288" s="35">
        <v>9.1612199999999991E-2</v>
      </c>
    </row>
    <row r="7289" spans="103:104" x14ac:dyDescent="0.3">
      <c r="CY7289" s="34" t="s">
        <v>8216</v>
      </c>
      <c r="CZ7289" s="35">
        <v>0.1367322</v>
      </c>
    </row>
    <row r="7290" spans="103:104" x14ac:dyDescent="0.3">
      <c r="CY7290" s="34" t="s">
        <v>8217</v>
      </c>
      <c r="CZ7290" s="35">
        <v>0.11955108</v>
      </c>
    </row>
    <row r="7291" spans="103:104" x14ac:dyDescent="0.3">
      <c r="CY7291" s="34" t="s">
        <v>8218</v>
      </c>
      <c r="CZ7291" s="35">
        <v>8.5264039999999999E-2</v>
      </c>
    </row>
    <row r="7292" spans="103:104" x14ac:dyDescent="0.3">
      <c r="CY7292" s="34" t="s">
        <v>8219</v>
      </c>
      <c r="CZ7292" s="35">
        <v>0.11817332</v>
      </c>
    </row>
    <row r="7293" spans="103:104" x14ac:dyDescent="0.3">
      <c r="CY7293" s="34" t="s">
        <v>8220</v>
      </c>
      <c r="CZ7293" s="35">
        <v>2.2066773333333331E-2</v>
      </c>
    </row>
    <row r="7294" spans="103:104" x14ac:dyDescent="0.3">
      <c r="CY7294" s="34" t="s">
        <v>8221</v>
      </c>
      <c r="CZ7294" s="35">
        <v>7.4146080000000005E-3</v>
      </c>
    </row>
    <row r="7295" spans="103:104" x14ac:dyDescent="0.3">
      <c r="CY7295" s="34" t="s">
        <v>8222</v>
      </c>
      <c r="CZ7295" s="35">
        <v>9.1154240000000004E-3</v>
      </c>
    </row>
    <row r="7296" spans="103:104" x14ac:dyDescent="0.3">
      <c r="CY7296" s="34" t="s">
        <v>8223</v>
      </c>
      <c r="CZ7296" s="35">
        <v>1.0404608000000001E-2</v>
      </c>
    </row>
    <row r="7297" spans="103:104" x14ac:dyDescent="0.3">
      <c r="CY7297" s="34" t="s">
        <v>8224</v>
      </c>
      <c r="CZ7297" s="35">
        <v>7.4146080000000005E-3</v>
      </c>
    </row>
    <row r="7298" spans="103:104" x14ac:dyDescent="0.3">
      <c r="CY7298" s="34" t="s">
        <v>8225</v>
      </c>
      <c r="CZ7298" s="35">
        <v>9.1154240000000004E-3</v>
      </c>
    </row>
    <row r="7299" spans="103:104" x14ac:dyDescent="0.3">
      <c r="CY7299" s="34" t="s">
        <v>8226</v>
      </c>
      <c r="CZ7299" s="35">
        <v>1.0404608000000001E-2</v>
      </c>
    </row>
    <row r="7300" spans="103:104" x14ac:dyDescent="0.3">
      <c r="CY7300" s="34" t="s">
        <v>8227</v>
      </c>
      <c r="CZ7300" s="35">
        <v>2.389094765384615E-2</v>
      </c>
    </row>
    <row r="7301" spans="103:104" x14ac:dyDescent="0.3">
      <c r="CY7301" s="34" t="s">
        <v>8228</v>
      </c>
      <c r="CZ7301" s="35">
        <v>7.1198399999999988E-3</v>
      </c>
    </row>
    <row r="7302" spans="103:104" x14ac:dyDescent="0.3">
      <c r="CY7302" s="34" t="s">
        <v>8229</v>
      </c>
      <c r="CZ7302" s="35">
        <v>1.5759743999999999E-2</v>
      </c>
    </row>
    <row r="7303" spans="103:104" x14ac:dyDescent="0.3">
      <c r="CY7303" s="34" t="s">
        <v>8230</v>
      </c>
      <c r="CZ7303" s="35">
        <v>2.665104E-4</v>
      </c>
    </row>
    <row r="7304" spans="103:104" x14ac:dyDescent="0.3">
      <c r="CY7304" s="34" t="s">
        <v>8231</v>
      </c>
      <c r="CZ7304" s="35">
        <v>3.0336719999999998E-3</v>
      </c>
    </row>
    <row r="7305" spans="103:104" x14ac:dyDescent="0.3">
      <c r="CY7305" s="34" t="s">
        <v>8232</v>
      </c>
      <c r="CZ7305" s="35">
        <v>2.080648E-3</v>
      </c>
    </row>
    <row r="7306" spans="103:104" x14ac:dyDescent="0.3">
      <c r="CY7306" s="34" t="s">
        <v>8233</v>
      </c>
      <c r="CZ7306" s="35">
        <v>1.1291200000000002E-3</v>
      </c>
    </row>
    <row r="7307" spans="103:104" x14ac:dyDescent="0.3">
      <c r="CY7307" s="34" t="s">
        <v>8234</v>
      </c>
      <c r="CZ7307" s="35">
        <v>8.7767874285714278E-3</v>
      </c>
    </row>
    <row r="7308" spans="103:104" x14ac:dyDescent="0.3">
      <c r="CY7308" s="34" t="s">
        <v>8235</v>
      </c>
      <c r="CZ7308" s="35">
        <v>0.11343631554285714</v>
      </c>
    </row>
    <row r="7309" spans="103:104" x14ac:dyDescent="0.3">
      <c r="CY7309" s="34" t="s">
        <v>8236</v>
      </c>
      <c r="CZ7309" s="35">
        <v>6.2271980000000005E-2</v>
      </c>
    </row>
    <row r="7310" spans="103:104" x14ac:dyDescent="0.3">
      <c r="CY7310" s="34" t="s">
        <v>8237</v>
      </c>
      <c r="CZ7310" s="35">
        <v>6.1214199999999996E-2</v>
      </c>
    </row>
    <row r="7311" spans="103:104" x14ac:dyDescent="0.3">
      <c r="CY7311" s="34" t="s">
        <v>8238</v>
      </c>
      <c r="CZ7311" s="35">
        <v>0.11200480000000002</v>
      </c>
    </row>
    <row r="7312" spans="103:104" x14ac:dyDescent="0.3">
      <c r="CY7312" s="34" t="s">
        <v>8239</v>
      </c>
      <c r="CZ7312" s="35">
        <v>0.16833808</v>
      </c>
    </row>
    <row r="7313" spans="103:104" x14ac:dyDescent="0.3">
      <c r="CY7313" s="34" t="s">
        <v>8240</v>
      </c>
      <c r="CZ7313" s="35">
        <v>2.0006200000000002E-2</v>
      </c>
    </row>
    <row r="7314" spans="103:104" x14ac:dyDescent="0.3">
      <c r="CY7314" s="34" t="s">
        <v>8241</v>
      </c>
      <c r="CZ7314" s="35">
        <v>5.8220000000000002E-5</v>
      </c>
    </row>
    <row r="7315" spans="103:104" x14ac:dyDescent="0.3">
      <c r="CY7315" s="34" t="s">
        <v>8242</v>
      </c>
      <c r="CZ7315" s="35">
        <v>7.1740000000000001E-5</v>
      </c>
    </row>
    <row r="7316" spans="103:104" x14ac:dyDescent="0.3">
      <c r="CY7316" s="34" t="s">
        <v>8243</v>
      </c>
      <c r="CZ7316" s="35">
        <v>7.1925400000000001E-4</v>
      </c>
    </row>
    <row r="7317" spans="103:104" x14ac:dyDescent="0.3">
      <c r="CY7317" s="34" t="s">
        <v>8244</v>
      </c>
      <c r="CZ7317" s="35">
        <v>1.0032779999999998E-3</v>
      </c>
    </row>
    <row r="7318" spans="103:104" x14ac:dyDescent="0.3">
      <c r="CY7318" s="34" t="s">
        <v>8245</v>
      </c>
      <c r="CZ7318" s="35">
        <v>5.0320000000000009E-3</v>
      </c>
    </row>
    <row r="7319" spans="103:104" x14ac:dyDescent="0.3">
      <c r="CY7319" s="34" t="s">
        <v>8246</v>
      </c>
      <c r="CZ7319" s="35">
        <v>4.0171591999999992E-2</v>
      </c>
    </row>
    <row r="7320" spans="103:104" x14ac:dyDescent="0.3">
      <c r="CY7320" s="34" t="s">
        <v>8247</v>
      </c>
      <c r="CZ7320" s="35">
        <v>0.32609959999999999</v>
      </c>
    </row>
    <row r="7321" spans="103:104" x14ac:dyDescent="0.3">
      <c r="CY7321" s="34" t="s">
        <v>8248</v>
      </c>
      <c r="CZ7321" s="35">
        <v>3.9068788000000002E-3</v>
      </c>
    </row>
    <row r="7322" spans="103:104" x14ac:dyDescent="0.3">
      <c r="CY7322" s="34" t="s">
        <v>8249</v>
      </c>
      <c r="CZ7322" s="35">
        <v>7.4781226666666666E-3</v>
      </c>
    </row>
    <row r="7323" spans="103:104" x14ac:dyDescent="0.3">
      <c r="CY7323" s="34" t="s">
        <v>8250</v>
      </c>
      <c r="CZ7323" s="35">
        <v>1.9853250526315789E-2</v>
      </c>
    </row>
    <row r="7324" spans="103:104" x14ac:dyDescent="0.3">
      <c r="CY7324" s="34" t="s">
        <v>8251</v>
      </c>
      <c r="CZ7324" s="35">
        <v>8.1826800000000012E-3</v>
      </c>
    </row>
    <row r="7325" spans="103:104" x14ac:dyDescent="0.3">
      <c r="CY7325" s="34" t="s">
        <v>8252</v>
      </c>
      <c r="CZ7325" s="35">
        <v>4.2956209920000003E-4</v>
      </c>
    </row>
    <row r="7326" spans="103:104" x14ac:dyDescent="0.3">
      <c r="CY7326" s="34" t="s">
        <v>8253</v>
      </c>
      <c r="CZ7326" s="35">
        <v>1.5932863999999998E-2</v>
      </c>
    </row>
    <row r="7327" spans="103:104" x14ac:dyDescent="0.3">
      <c r="CY7327" s="34" t="s">
        <v>8254</v>
      </c>
      <c r="CZ7327" s="35">
        <v>5.1514400000000002E-3</v>
      </c>
    </row>
    <row r="7328" spans="103:104" x14ac:dyDescent="0.3">
      <c r="CY7328" s="34" t="s">
        <v>8255</v>
      </c>
      <c r="CZ7328" s="35">
        <v>2.9812320000000003E-3</v>
      </c>
    </row>
    <row r="7329" spans="103:104" x14ac:dyDescent="0.3">
      <c r="CY7329" s="34" t="s">
        <v>8256</v>
      </c>
      <c r="CZ7329" s="35">
        <v>1.4988186666666666E-3</v>
      </c>
    </row>
    <row r="7330" spans="103:104" x14ac:dyDescent="0.3">
      <c r="CY7330" s="34" t="s">
        <v>8257</v>
      </c>
      <c r="CZ7330" s="35">
        <v>2.989008E-3</v>
      </c>
    </row>
    <row r="7331" spans="103:104" x14ac:dyDescent="0.3">
      <c r="CY7331" s="34" t="s">
        <v>8258</v>
      </c>
      <c r="CZ7331" s="35">
        <v>3.0063746031746032E-3</v>
      </c>
    </row>
    <row r="7332" spans="103:104" x14ac:dyDescent="0.3">
      <c r="CY7332" s="34" t="s">
        <v>8259</v>
      </c>
      <c r="CZ7332" s="35">
        <v>8.2786320000000004E-4</v>
      </c>
    </row>
    <row r="7333" spans="103:104" x14ac:dyDescent="0.3">
      <c r="CY7333" s="34" t="s">
        <v>8260</v>
      </c>
      <c r="CZ7333" s="35">
        <v>0.13514404945054945</v>
      </c>
    </row>
    <row r="7334" spans="103:104" x14ac:dyDescent="0.3">
      <c r="CY7334" s="34" t="s">
        <v>8261</v>
      </c>
      <c r="CZ7334" s="35">
        <v>2.6879594666666669E-3</v>
      </c>
    </row>
    <row r="7335" spans="103:104" x14ac:dyDescent="0.3">
      <c r="CY7335" s="34" t="s">
        <v>8262</v>
      </c>
      <c r="CZ7335" s="35">
        <v>2.4801866666666665E-2</v>
      </c>
    </row>
    <row r="7336" spans="103:104" x14ac:dyDescent="0.3">
      <c r="CY7336" s="34" t="s">
        <v>8263</v>
      </c>
      <c r="CZ7336" s="35">
        <v>1.532332667E-2</v>
      </c>
    </row>
    <row r="7337" spans="103:104" x14ac:dyDescent="0.3">
      <c r="CY7337" s="34" t="s">
        <v>8264</v>
      </c>
      <c r="CZ7337" s="35">
        <v>1.3557296000000002E-3</v>
      </c>
    </row>
    <row r="7338" spans="103:104" x14ac:dyDescent="0.3">
      <c r="CY7338" s="34" t="s">
        <v>8265</v>
      </c>
      <c r="CZ7338" s="35">
        <v>3.1624592000000003E-3</v>
      </c>
    </row>
    <row r="7339" spans="103:104" x14ac:dyDescent="0.3">
      <c r="CY7339" s="34" t="s">
        <v>8266</v>
      </c>
      <c r="CZ7339" s="35">
        <v>4.4425599999999997E-4</v>
      </c>
    </row>
    <row r="7340" spans="103:104" x14ac:dyDescent="0.3">
      <c r="CY7340" s="34" t="s">
        <v>8267</v>
      </c>
      <c r="CZ7340" s="35">
        <v>3.3300601999999999E-2</v>
      </c>
    </row>
    <row r="7341" spans="103:104" x14ac:dyDescent="0.3">
      <c r="CY7341" s="34" t="s">
        <v>8268</v>
      </c>
      <c r="CZ7341" s="35">
        <v>1.517255802142857E-3</v>
      </c>
    </row>
    <row r="7342" spans="103:104" x14ac:dyDescent="0.3">
      <c r="CY7342" s="34" t="s">
        <v>8269</v>
      </c>
      <c r="CZ7342" s="35">
        <v>0.10469255903999999</v>
      </c>
    </row>
    <row r="7343" spans="103:104" x14ac:dyDescent="0.3">
      <c r="CY7343" s="34" t="s">
        <v>8270</v>
      </c>
      <c r="CZ7343" s="35">
        <v>5.2349095499999998E-2</v>
      </c>
    </row>
    <row r="7344" spans="103:104" x14ac:dyDescent="0.3">
      <c r="CY7344" s="34" t="s">
        <v>8271</v>
      </c>
      <c r="CZ7344" s="35">
        <v>3.7994920000000002E-3</v>
      </c>
    </row>
    <row r="7345" spans="103:104" x14ac:dyDescent="0.3">
      <c r="CY7345" s="34" t="s">
        <v>8272</v>
      </c>
      <c r="CZ7345" s="35">
        <v>5.8031599999999988E-4</v>
      </c>
    </row>
    <row r="7346" spans="103:104" x14ac:dyDescent="0.3">
      <c r="CY7346" s="34" t="s">
        <v>8273</v>
      </c>
      <c r="CZ7346" s="35">
        <v>2.8556245333333334E-3</v>
      </c>
    </row>
    <row r="7347" spans="103:104" x14ac:dyDescent="0.3">
      <c r="CY7347" s="34" t="s">
        <v>8274</v>
      </c>
      <c r="CZ7347" s="35">
        <v>7.3271880000000001E-3</v>
      </c>
    </row>
    <row r="7348" spans="103:104" x14ac:dyDescent="0.3">
      <c r="CY7348" s="34" t="s">
        <v>8275</v>
      </c>
      <c r="CZ7348" s="35">
        <v>7.8983040000000004E-2</v>
      </c>
    </row>
    <row r="7349" spans="103:104" x14ac:dyDescent="0.3">
      <c r="CY7349" s="34" t="s">
        <v>8276</v>
      </c>
      <c r="CZ7349" s="35">
        <v>9.591203999999999E-2</v>
      </c>
    </row>
    <row r="7350" spans="103:104" x14ac:dyDescent="0.3">
      <c r="CY7350" s="34" t="s">
        <v>8277</v>
      </c>
      <c r="CZ7350" s="35">
        <v>8.8950224000000008E-2</v>
      </c>
    </row>
    <row r="7351" spans="103:104" x14ac:dyDescent="0.3">
      <c r="CY7351" s="34" t="s">
        <v>8278</v>
      </c>
      <c r="CZ7351" s="35">
        <v>0.11202786000000001</v>
      </c>
    </row>
    <row r="7352" spans="103:104" x14ac:dyDescent="0.3">
      <c r="CY7352" s="34" t="s">
        <v>8279</v>
      </c>
      <c r="CZ7352" s="35">
        <v>0.13447223999999999</v>
      </c>
    </row>
    <row r="7353" spans="103:104" x14ac:dyDescent="0.3">
      <c r="CY7353" s="34" t="s">
        <v>8280</v>
      </c>
      <c r="CZ7353" s="35">
        <v>0.12298880999999999</v>
      </c>
    </row>
    <row r="7354" spans="103:104" x14ac:dyDescent="0.3">
      <c r="CY7354" s="34" t="s">
        <v>8281</v>
      </c>
      <c r="CZ7354" s="35">
        <v>4.9112914000000001E-2</v>
      </c>
    </row>
    <row r="7355" spans="103:104" x14ac:dyDescent="0.3">
      <c r="CY7355" s="34" t="s">
        <v>8282</v>
      </c>
      <c r="CZ7355" s="35">
        <v>5.2198039999999993E-4</v>
      </c>
    </row>
    <row r="7356" spans="103:104" x14ac:dyDescent="0.3">
      <c r="CY7356" s="34" t="s">
        <v>8283</v>
      </c>
      <c r="CZ7356" s="35">
        <v>7.0591480000000003E-4</v>
      </c>
    </row>
    <row r="7357" spans="103:104" x14ac:dyDescent="0.3">
      <c r="CY7357" s="34" t="s">
        <v>8284</v>
      </c>
      <c r="CZ7357" s="35">
        <v>1.0208291999999999E-2</v>
      </c>
    </row>
    <row r="7358" spans="103:104" x14ac:dyDescent="0.3">
      <c r="CY7358" s="34" t="s">
        <v>8285</v>
      </c>
      <c r="CZ7358" s="35">
        <v>9.7536040000000008E-3</v>
      </c>
    </row>
    <row r="7359" spans="103:104" x14ac:dyDescent="0.3">
      <c r="CY7359" s="34" t="s">
        <v>8286</v>
      </c>
      <c r="CZ7359" s="35">
        <v>1.2175199999999999E-3</v>
      </c>
    </row>
    <row r="7360" spans="103:104" x14ac:dyDescent="0.3">
      <c r="CY7360" s="34" t="s">
        <v>8287</v>
      </c>
      <c r="CZ7360" s="35">
        <v>1.2618514657142857E-2</v>
      </c>
    </row>
    <row r="7361" spans="103:104" x14ac:dyDescent="0.3">
      <c r="CY7361" s="34" t="s">
        <v>8288</v>
      </c>
      <c r="CZ7361" s="35">
        <v>1.2618514657142855E-2</v>
      </c>
    </row>
    <row r="7362" spans="103:104" x14ac:dyDescent="0.3">
      <c r="CY7362" s="34" t="s">
        <v>8289</v>
      </c>
      <c r="CZ7362" s="35">
        <v>1.5996712351999998E-2</v>
      </c>
    </row>
    <row r="7363" spans="103:104" x14ac:dyDescent="0.3">
      <c r="CY7363" s="34" t="s">
        <v>8290</v>
      </c>
      <c r="CZ7363" s="35">
        <v>2.9446047039999999E-2</v>
      </c>
    </row>
    <row r="7364" spans="103:104" x14ac:dyDescent="0.3">
      <c r="CY7364" s="34" t="s">
        <v>8291</v>
      </c>
      <c r="CZ7364" s="35">
        <v>2.4662605333333334E-2</v>
      </c>
    </row>
    <row r="7365" spans="103:104" x14ac:dyDescent="0.3">
      <c r="CY7365" s="34" t="s">
        <v>8292</v>
      </c>
      <c r="CZ7365" s="35">
        <v>2.2139348E-2</v>
      </c>
    </row>
    <row r="7366" spans="103:104" x14ac:dyDescent="0.3">
      <c r="CY7366" s="34" t="s">
        <v>8293</v>
      </c>
      <c r="CZ7366" s="35">
        <v>5.2009280000000005E-2</v>
      </c>
    </row>
    <row r="7367" spans="103:104" x14ac:dyDescent="0.3">
      <c r="CY7367" s="34" t="s">
        <v>8294</v>
      </c>
      <c r="CZ7367" s="35">
        <v>2.2669776000000001E-3</v>
      </c>
    </row>
    <row r="7368" spans="103:104" x14ac:dyDescent="0.3">
      <c r="CY7368" s="34" t="s">
        <v>8295</v>
      </c>
      <c r="CZ7368" s="35">
        <v>3.1709306666666665E-3</v>
      </c>
    </row>
    <row r="7369" spans="103:104" x14ac:dyDescent="0.3">
      <c r="CY7369" s="34" t="s">
        <v>8296</v>
      </c>
      <c r="CZ7369" s="35">
        <v>0.10617312</v>
      </c>
    </row>
    <row r="7370" spans="103:104" x14ac:dyDescent="0.3">
      <c r="CY7370" s="34" t="s">
        <v>8297</v>
      </c>
      <c r="CZ7370" s="35">
        <v>1.5341186200000001E-2</v>
      </c>
    </row>
    <row r="7371" spans="103:104" x14ac:dyDescent="0.3">
      <c r="CY7371" s="34" t="s">
        <v>8298</v>
      </c>
      <c r="CZ7371" s="35">
        <v>1.7852760000000002E-2</v>
      </c>
    </row>
    <row r="7372" spans="103:104" x14ac:dyDescent="0.3">
      <c r="CY7372" s="34" t="s">
        <v>8299</v>
      </c>
      <c r="CZ7372" s="35">
        <v>2.6913040000000006E-2</v>
      </c>
    </row>
    <row r="7373" spans="103:104" x14ac:dyDescent="0.3">
      <c r="CY7373" s="34" t="s">
        <v>8300</v>
      </c>
      <c r="CZ7373" s="35">
        <v>1.0286112E-2</v>
      </c>
    </row>
    <row r="7374" spans="103:104" x14ac:dyDescent="0.3">
      <c r="CY7374" s="34" t="s">
        <v>8301</v>
      </c>
      <c r="CZ7374" s="35">
        <v>2.9222256000000002E-2</v>
      </c>
    </row>
    <row r="7375" spans="103:104" x14ac:dyDescent="0.3">
      <c r="CY7375" s="34" t="s">
        <v>8302</v>
      </c>
      <c r="CZ7375" s="35">
        <v>2.7799706649999999E-2</v>
      </c>
    </row>
    <row r="7376" spans="103:104" x14ac:dyDescent="0.3">
      <c r="CY7376" s="34" t="s">
        <v>8303</v>
      </c>
      <c r="CZ7376" s="35">
        <v>2.7875599999999997E-2</v>
      </c>
    </row>
    <row r="7377" spans="103:104" x14ac:dyDescent="0.3">
      <c r="CY7377" s="34" t="s">
        <v>8304</v>
      </c>
      <c r="CZ7377" s="35">
        <v>8.1228399999999992E-3</v>
      </c>
    </row>
    <row r="7378" spans="103:104" x14ac:dyDescent="0.3">
      <c r="CY7378" s="34" t="s">
        <v>8305</v>
      </c>
      <c r="CZ7378" s="35">
        <v>2.6760669866666667E-3</v>
      </c>
    </row>
    <row r="7379" spans="103:104" x14ac:dyDescent="0.3">
      <c r="CY7379" s="34" t="s">
        <v>8306</v>
      </c>
      <c r="CZ7379" s="35">
        <v>4.6292E-3</v>
      </c>
    </row>
    <row r="7380" spans="103:104" x14ac:dyDescent="0.3">
      <c r="CY7380" s="34" t="s">
        <v>8307</v>
      </c>
      <c r="CZ7380" s="35">
        <v>3.6482857333333335E-3</v>
      </c>
    </row>
    <row r="7381" spans="103:104" x14ac:dyDescent="0.3">
      <c r="CY7381" s="34" t="s">
        <v>8308</v>
      </c>
      <c r="CZ7381" s="35">
        <v>1.5759743999999999E-2</v>
      </c>
    </row>
    <row r="7382" spans="103:104" x14ac:dyDescent="0.3">
      <c r="CY7382" s="34" t="s">
        <v>8309</v>
      </c>
      <c r="CZ7382" s="35">
        <v>3.9167679999999996E-2</v>
      </c>
    </row>
    <row r="7383" spans="103:104" x14ac:dyDescent="0.3">
      <c r="CY7383" s="34" t="s">
        <v>8310</v>
      </c>
      <c r="CZ7383" s="35">
        <v>1.7581925315789473E-2</v>
      </c>
    </row>
    <row r="7384" spans="103:104" x14ac:dyDescent="0.3">
      <c r="CY7384" s="34" t="s">
        <v>8311</v>
      </c>
      <c r="CZ7384" s="35">
        <v>2.98796E-3</v>
      </c>
    </row>
    <row r="7385" spans="103:104" x14ac:dyDescent="0.3">
      <c r="CY7385" s="34" t="s">
        <v>8312</v>
      </c>
      <c r="CZ7385" s="35">
        <v>3.2173999999999999E-4</v>
      </c>
    </row>
    <row r="7386" spans="103:104" x14ac:dyDescent="0.3">
      <c r="CY7386" s="34" t="s">
        <v>8313</v>
      </c>
      <c r="CZ7386" s="35">
        <v>2.1012399999999997E-2</v>
      </c>
    </row>
    <row r="7387" spans="103:104" x14ac:dyDescent="0.3">
      <c r="CY7387" s="34" t="s">
        <v>8314</v>
      </c>
      <c r="CZ7387" s="35">
        <v>3.7133919999999998E-3</v>
      </c>
    </row>
    <row r="7388" spans="103:104" x14ac:dyDescent="0.3">
      <c r="CY7388" s="34" t="s">
        <v>8315</v>
      </c>
      <c r="CZ7388" s="35">
        <v>1.6052513349999998E-3</v>
      </c>
    </row>
    <row r="7389" spans="103:104" x14ac:dyDescent="0.3">
      <c r="CY7389" s="34" t="s">
        <v>8316</v>
      </c>
      <c r="CZ7389" s="35">
        <v>1.3718106649999999E-3</v>
      </c>
    </row>
    <row r="7390" spans="103:104" x14ac:dyDescent="0.3">
      <c r="CY7390" s="34" t="s">
        <v>8317</v>
      </c>
      <c r="CZ7390" s="35">
        <v>8.2943840000000001E-3</v>
      </c>
    </row>
    <row r="7391" spans="103:104" x14ac:dyDescent="0.3">
      <c r="CY7391" s="34" t="s">
        <v>8318</v>
      </c>
      <c r="CZ7391" s="35">
        <v>4.9729279999999989E-3</v>
      </c>
    </row>
    <row r="7392" spans="103:104" x14ac:dyDescent="0.3">
      <c r="CY7392" s="34" t="s">
        <v>8319</v>
      </c>
      <c r="CZ7392" s="35">
        <v>1.2185188000000001E-2</v>
      </c>
    </row>
    <row r="7393" spans="103:104" x14ac:dyDescent="0.3">
      <c r="CY7393" s="34" t="s">
        <v>8320</v>
      </c>
      <c r="CZ7393" s="35">
        <v>3.3412807200000005E-2</v>
      </c>
    </row>
    <row r="7394" spans="103:104" x14ac:dyDescent="0.3">
      <c r="CY7394" s="34" t="s">
        <v>8321</v>
      </c>
      <c r="CZ7394" s="35">
        <v>3.4016586666666669E-3</v>
      </c>
    </row>
    <row r="7395" spans="103:104" x14ac:dyDescent="0.3">
      <c r="CY7395" s="34" t="s">
        <v>8322</v>
      </c>
      <c r="CZ7395" s="35">
        <v>2.1029280000000001E-2</v>
      </c>
    </row>
    <row r="7396" spans="103:104" x14ac:dyDescent="0.3">
      <c r="CY7396" s="34" t="s">
        <v>8323</v>
      </c>
      <c r="CZ7396" s="35">
        <v>4.8051359999999998E-3</v>
      </c>
    </row>
    <row r="7397" spans="103:104" x14ac:dyDescent="0.3">
      <c r="CY7397" s="34" t="s">
        <v>8324</v>
      </c>
      <c r="CZ7397" s="35">
        <v>9.7402108749999987E-3</v>
      </c>
    </row>
    <row r="7398" spans="103:104" x14ac:dyDescent="0.3">
      <c r="CY7398" s="34" t="s">
        <v>8325</v>
      </c>
      <c r="CZ7398" s="35">
        <v>6.4773080000000002E-3</v>
      </c>
    </row>
    <row r="7399" spans="103:104" x14ac:dyDescent="0.3">
      <c r="CY7399" s="34" t="s">
        <v>8326</v>
      </c>
      <c r="CZ7399" s="35">
        <v>1.2871232000000001E-3</v>
      </c>
    </row>
    <row r="7400" spans="103:104" x14ac:dyDescent="0.3">
      <c r="CY7400" s="34" t="s">
        <v>8327</v>
      </c>
      <c r="CZ7400" s="35">
        <v>2.3562542222222226E-2</v>
      </c>
    </row>
    <row r="7401" spans="103:104" x14ac:dyDescent="0.3">
      <c r="CY7401" s="34" t="s">
        <v>8328</v>
      </c>
      <c r="CZ7401" s="35">
        <v>3.292264E-3</v>
      </c>
    </row>
    <row r="7402" spans="103:104" x14ac:dyDescent="0.3">
      <c r="CY7402" s="34" t="s">
        <v>8329</v>
      </c>
      <c r="CZ7402" s="35">
        <v>3.2429880000000001E-2</v>
      </c>
    </row>
    <row r="7403" spans="103:104" x14ac:dyDescent="0.3">
      <c r="CY7403" s="34" t="s">
        <v>8330</v>
      </c>
      <c r="CZ7403" s="35">
        <v>2.4143040000000001E-2</v>
      </c>
    </row>
    <row r="7404" spans="103:104" x14ac:dyDescent="0.3">
      <c r="CY7404" s="34" t="s">
        <v>8331</v>
      </c>
      <c r="CZ7404" s="35">
        <v>2.6555519999999998E-3</v>
      </c>
    </row>
    <row r="7405" spans="103:104" x14ac:dyDescent="0.3">
      <c r="CY7405" s="34" t="s">
        <v>8332</v>
      </c>
      <c r="CZ7405" s="35">
        <v>1.0903039999999999E-2</v>
      </c>
    </row>
    <row r="7406" spans="103:104" x14ac:dyDescent="0.3">
      <c r="CY7406" s="34" t="s">
        <v>8333</v>
      </c>
      <c r="CZ7406" s="35">
        <v>2.6520080000000004E-3</v>
      </c>
    </row>
    <row r="7407" spans="103:104" x14ac:dyDescent="0.3">
      <c r="CY7407" s="34" t="s">
        <v>8334</v>
      </c>
      <c r="CZ7407" s="35">
        <v>2.2653000000000003E-2</v>
      </c>
    </row>
    <row r="7408" spans="103:104" x14ac:dyDescent="0.3">
      <c r="CY7408" s="34" t="s">
        <v>8335</v>
      </c>
      <c r="CZ7408" s="35">
        <v>0.44885079999999999</v>
      </c>
    </row>
    <row r="7409" spans="103:104" x14ac:dyDescent="0.3">
      <c r="CY7409" s="34" t="s">
        <v>8336</v>
      </c>
      <c r="CZ7409" s="35">
        <v>8.1854160000000009E-4</v>
      </c>
    </row>
    <row r="7410" spans="103:104" x14ac:dyDescent="0.3">
      <c r="CY7410" s="34" t="s">
        <v>8337</v>
      </c>
      <c r="CZ7410" s="35">
        <v>6.5875839999999996E-3</v>
      </c>
    </row>
    <row r="7411" spans="103:104" x14ac:dyDescent="0.3">
      <c r="CY7411" s="34" t="s">
        <v>8338</v>
      </c>
      <c r="CZ7411" s="35">
        <v>6.4073120000000003E-4</v>
      </c>
    </row>
    <row r="7412" spans="103:104" x14ac:dyDescent="0.3">
      <c r="CY7412" s="34" t="s">
        <v>8339</v>
      </c>
      <c r="CZ7412" s="35">
        <v>2.2936504000000003E-2</v>
      </c>
    </row>
    <row r="7413" spans="103:104" x14ac:dyDescent="0.3">
      <c r="CY7413" s="34" t="s">
        <v>8340</v>
      </c>
      <c r="CZ7413" s="35">
        <v>5.8621120000000009E-3</v>
      </c>
    </row>
    <row r="7414" spans="103:104" x14ac:dyDescent="0.3">
      <c r="CY7414" s="34" t="s">
        <v>8341</v>
      </c>
      <c r="CZ7414" s="35">
        <v>0.12511855999999999</v>
      </c>
    </row>
    <row r="7415" spans="103:104" x14ac:dyDescent="0.3">
      <c r="CY7415" s="34" t="s">
        <v>8342</v>
      </c>
      <c r="CZ7415" s="35">
        <v>1.9813248000000003E-3</v>
      </c>
    </row>
    <row r="7416" spans="103:104" x14ac:dyDescent="0.3">
      <c r="CY7416" s="34" t="s">
        <v>8343</v>
      </c>
      <c r="CZ7416" s="35">
        <v>2.387180571428572E-3</v>
      </c>
    </row>
    <row r="7417" spans="103:104" x14ac:dyDescent="0.3">
      <c r="CY7417" s="34" t="s">
        <v>8344</v>
      </c>
      <c r="CZ7417" s="35">
        <v>5.3570786874999998E-2</v>
      </c>
    </row>
    <row r="7418" spans="103:104" x14ac:dyDescent="0.3">
      <c r="CY7418" s="34" t="s">
        <v>8345</v>
      </c>
      <c r="CZ7418" s="35">
        <v>1.4401183999999999E-2</v>
      </c>
    </row>
    <row r="7419" spans="103:104" x14ac:dyDescent="0.3">
      <c r="CY7419" s="34" t="s">
        <v>8346</v>
      </c>
      <c r="CZ7419" s="35">
        <v>0.12835983999999998</v>
      </c>
    </row>
    <row r="7420" spans="103:104" x14ac:dyDescent="0.3">
      <c r="CY7420" s="34" t="s">
        <v>8347</v>
      </c>
      <c r="CZ7420" s="35">
        <v>5.0536319999999995E-4</v>
      </c>
    </row>
    <row r="7421" spans="103:104" x14ac:dyDescent="0.3">
      <c r="CY7421" s="34" t="s">
        <v>8348</v>
      </c>
      <c r="CZ7421" s="35">
        <v>8.6039588571428579E-4</v>
      </c>
    </row>
    <row r="7422" spans="103:104" x14ac:dyDescent="0.3">
      <c r="CY7422" s="34" t="s">
        <v>8349</v>
      </c>
      <c r="CZ7422" s="35">
        <v>0.11337</v>
      </c>
    </row>
    <row r="7423" spans="103:104" x14ac:dyDescent="0.3">
      <c r="CY7423" s="34" t="s">
        <v>8350</v>
      </c>
      <c r="CZ7423" s="35">
        <v>2.4724160000000002E-2</v>
      </c>
    </row>
    <row r="7424" spans="103:104" x14ac:dyDescent="0.3">
      <c r="CY7424" s="34" t="s">
        <v>8351</v>
      </c>
      <c r="CZ7424" s="35">
        <v>0.28722784000000001</v>
      </c>
    </row>
    <row r="7425" spans="103:104" x14ac:dyDescent="0.3">
      <c r="CY7425" s="34" t="s">
        <v>8352</v>
      </c>
      <c r="CZ7425" s="35">
        <v>0.28722784000000001</v>
      </c>
    </row>
    <row r="7426" spans="103:104" x14ac:dyDescent="0.3">
      <c r="CY7426" s="34" t="s">
        <v>8353</v>
      </c>
      <c r="CZ7426" s="35">
        <v>0.134273</v>
      </c>
    </row>
    <row r="7427" spans="103:104" x14ac:dyDescent="0.3">
      <c r="CY7427" s="34" t="s">
        <v>8354</v>
      </c>
      <c r="CZ7427" s="35">
        <v>7.4876800000000007E-2</v>
      </c>
    </row>
    <row r="7428" spans="103:104" x14ac:dyDescent="0.3">
      <c r="CY7428" s="34" t="s">
        <v>8355</v>
      </c>
      <c r="CZ7428" s="35">
        <v>9.6944320000000014E-2</v>
      </c>
    </row>
    <row r="7429" spans="103:104" x14ac:dyDescent="0.3">
      <c r="CY7429" s="34" t="s">
        <v>8356</v>
      </c>
      <c r="CZ7429" s="35">
        <v>1.4248553499999999E-3</v>
      </c>
    </row>
    <row r="7430" spans="103:104" x14ac:dyDescent="0.3">
      <c r="CY7430" s="34" t="s">
        <v>8357</v>
      </c>
      <c r="CZ7430" s="35">
        <v>3.2453439999999998E-3</v>
      </c>
    </row>
    <row r="7431" spans="103:104" x14ac:dyDescent="0.3">
      <c r="CY7431" s="34" t="s">
        <v>8358</v>
      </c>
      <c r="CZ7431" s="35">
        <v>2.3841928000000002E-2</v>
      </c>
    </row>
    <row r="7432" spans="103:104" x14ac:dyDescent="0.3">
      <c r="CY7432" s="34" t="s">
        <v>8359</v>
      </c>
      <c r="CZ7432" s="35">
        <v>2.7771880000000002E-2</v>
      </c>
    </row>
    <row r="7433" spans="103:104" x14ac:dyDescent="0.3">
      <c r="CY7433" s="34" t="s">
        <v>8360</v>
      </c>
      <c r="CZ7433" s="35">
        <v>1.9557143150000001E-2</v>
      </c>
    </row>
    <row r="7434" spans="103:104" x14ac:dyDescent="0.3">
      <c r="CY7434" s="34" t="s">
        <v>8361</v>
      </c>
      <c r="CZ7434" s="35">
        <v>2.8782720000000001E-2</v>
      </c>
    </row>
    <row r="7435" spans="103:104" x14ac:dyDescent="0.3">
      <c r="CY7435" s="34" t="s">
        <v>8362</v>
      </c>
      <c r="CZ7435" s="35">
        <v>2.8782720000000001E-2</v>
      </c>
    </row>
    <row r="7436" spans="103:104" x14ac:dyDescent="0.3">
      <c r="CY7436" s="34" t="s">
        <v>8363</v>
      </c>
      <c r="CZ7436" s="35">
        <v>2.8168703999999999E-2</v>
      </c>
    </row>
    <row r="7437" spans="103:104" x14ac:dyDescent="0.3">
      <c r="CY7437" s="34" t="s">
        <v>8364</v>
      </c>
      <c r="CZ7437" s="35">
        <v>3.1238783999999999E-2</v>
      </c>
    </row>
    <row r="7438" spans="103:104" x14ac:dyDescent="0.3">
      <c r="CY7438" s="34" t="s">
        <v>8365</v>
      </c>
      <c r="CZ7438" s="35">
        <v>3.1238783999999999E-2</v>
      </c>
    </row>
    <row r="7439" spans="103:104" x14ac:dyDescent="0.3">
      <c r="CY7439" s="34" t="s">
        <v>8366</v>
      </c>
      <c r="CZ7439" s="35">
        <v>0.21333198400000003</v>
      </c>
    </row>
    <row r="7440" spans="103:104" x14ac:dyDescent="0.3">
      <c r="CY7440" s="34" t="s">
        <v>8367</v>
      </c>
      <c r="CZ7440" s="35">
        <v>5.6025680000000001E-2</v>
      </c>
    </row>
    <row r="7441" spans="103:104" x14ac:dyDescent="0.3">
      <c r="CY7441" s="34" t="s">
        <v>8368</v>
      </c>
      <c r="CZ7441" s="35">
        <v>2.6630120000000002E-3</v>
      </c>
    </row>
    <row r="7442" spans="103:104" x14ac:dyDescent="0.3">
      <c r="CY7442" s="34" t="s">
        <v>8369</v>
      </c>
      <c r="CZ7442" s="35">
        <v>1.4358533333333335E-2</v>
      </c>
    </row>
    <row r="7443" spans="103:104" x14ac:dyDescent="0.3">
      <c r="CY7443" s="34" t="s">
        <v>8370</v>
      </c>
      <c r="CZ7443" s="35">
        <v>1.4358533333333335E-2</v>
      </c>
    </row>
    <row r="7444" spans="103:104" x14ac:dyDescent="0.3">
      <c r="CY7444" s="34" t="s">
        <v>8371</v>
      </c>
      <c r="CZ7444" s="35">
        <v>9.441312000000002E-3</v>
      </c>
    </row>
    <row r="7445" spans="103:104" x14ac:dyDescent="0.3">
      <c r="CY7445" s="34" t="s">
        <v>8372</v>
      </c>
      <c r="CZ7445" s="35">
        <v>7.5096799999999991E-2</v>
      </c>
    </row>
    <row r="7446" spans="103:104" x14ac:dyDescent="0.3">
      <c r="CY7446" s="34" t="s">
        <v>8373</v>
      </c>
      <c r="CZ7446" s="35">
        <v>2.0577350799999999E-3</v>
      </c>
    </row>
    <row r="7447" spans="103:104" x14ac:dyDescent="0.3">
      <c r="CY7447" s="34" t="s">
        <v>8374</v>
      </c>
      <c r="CZ7447" s="35">
        <v>9.6216519999999992E-4</v>
      </c>
    </row>
    <row r="7448" spans="103:104" x14ac:dyDescent="0.3">
      <c r="CY7448" s="34" t="s">
        <v>8375</v>
      </c>
      <c r="CZ7448" s="35">
        <v>0.32465450000000001</v>
      </c>
    </row>
    <row r="7449" spans="103:104" x14ac:dyDescent="0.3">
      <c r="CY7449" s="34" t="s">
        <v>8376</v>
      </c>
      <c r="CZ7449" s="35">
        <v>0.21720020000000001</v>
      </c>
    </row>
    <row r="7450" spans="103:104" x14ac:dyDescent="0.3">
      <c r="CY7450" s="34" t="s">
        <v>8377</v>
      </c>
      <c r="CZ7450" s="35">
        <v>3.6473026666666666E-3</v>
      </c>
    </row>
    <row r="7451" spans="103:104" x14ac:dyDescent="0.3">
      <c r="CY7451" s="34" t="s">
        <v>8378</v>
      </c>
      <c r="CZ7451" s="35">
        <v>6.6491680000000004E-4</v>
      </c>
    </row>
    <row r="7452" spans="103:104" x14ac:dyDescent="0.3">
      <c r="CY7452" s="34" t="s">
        <v>8379</v>
      </c>
      <c r="CZ7452" s="35">
        <v>1.1811312E-3</v>
      </c>
    </row>
    <row r="7453" spans="103:104" x14ac:dyDescent="0.3">
      <c r="CY7453" s="34" t="s">
        <v>8380</v>
      </c>
      <c r="CZ7453" s="35">
        <v>2.8718799999999998E-3</v>
      </c>
    </row>
    <row r="7454" spans="103:104" x14ac:dyDescent="0.3">
      <c r="CY7454" s="34" t="s">
        <v>8381</v>
      </c>
      <c r="CZ7454" s="35">
        <v>7.6229320000000007E-3</v>
      </c>
    </row>
    <row r="7455" spans="103:104" x14ac:dyDescent="0.3">
      <c r="CY7455" s="34" t="s">
        <v>8382</v>
      </c>
      <c r="CZ7455" s="35">
        <v>4.1259759999999999E-2</v>
      </c>
    </row>
    <row r="7456" spans="103:104" x14ac:dyDescent="0.3">
      <c r="CY7456" s="34" t="s">
        <v>8383</v>
      </c>
      <c r="CZ7456" s="35">
        <v>4.8644032000000004E-2</v>
      </c>
    </row>
    <row r="7457" spans="103:104" x14ac:dyDescent="0.3">
      <c r="CY7457" s="34" t="s">
        <v>8384</v>
      </c>
      <c r="CZ7457" s="35">
        <v>5.1791839999999999E-2</v>
      </c>
    </row>
    <row r="7458" spans="103:104" x14ac:dyDescent="0.3">
      <c r="CY7458" s="34" t="s">
        <v>8385</v>
      </c>
      <c r="CZ7458" s="35">
        <v>2.0267239999999999E-2</v>
      </c>
    </row>
    <row r="7459" spans="103:104" x14ac:dyDescent="0.3">
      <c r="CY7459" s="34" t="s">
        <v>8386</v>
      </c>
      <c r="CZ7459" s="35">
        <v>1.4302216000000001E-2</v>
      </c>
    </row>
    <row r="7460" spans="103:104" x14ac:dyDescent="0.3">
      <c r="CY7460" s="34" t="s">
        <v>8387</v>
      </c>
      <c r="CZ7460" s="35">
        <v>1.1893901335714286E-2</v>
      </c>
    </row>
    <row r="7461" spans="103:104" x14ac:dyDescent="0.3">
      <c r="CY7461" s="34" t="s">
        <v>8388</v>
      </c>
      <c r="CZ7461" s="35">
        <v>3.2579516800000001E-3</v>
      </c>
    </row>
    <row r="7462" spans="103:104" x14ac:dyDescent="0.3">
      <c r="CY7462" s="34" t="s">
        <v>8389</v>
      </c>
      <c r="CZ7462" s="35">
        <v>2.1915273885714285E-3</v>
      </c>
    </row>
    <row r="7463" spans="103:104" x14ac:dyDescent="0.3">
      <c r="CY7463" s="34" t="s">
        <v>8390</v>
      </c>
      <c r="CZ7463" s="35">
        <v>1.9758701333333333E-2</v>
      </c>
    </row>
    <row r="7464" spans="103:104" x14ac:dyDescent="0.3">
      <c r="CY7464" s="34" t="s">
        <v>8391</v>
      </c>
      <c r="CZ7464" s="35">
        <v>3.1037766600000002E-2</v>
      </c>
    </row>
    <row r="7465" spans="103:104" x14ac:dyDescent="0.3">
      <c r="CY7465" s="34" t="s">
        <v>8392</v>
      </c>
      <c r="CZ7465" s="35">
        <v>8.988191999999999E-3</v>
      </c>
    </row>
    <row r="7466" spans="103:104" x14ac:dyDescent="0.3">
      <c r="CY7466" s="34" t="s">
        <v>8393</v>
      </c>
      <c r="CZ7466" s="35">
        <v>4.5206833333333333E-3</v>
      </c>
    </row>
    <row r="7467" spans="103:104" x14ac:dyDescent="0.3">
      <c r="CY7467" s="34" t="s">
        <v>8394</v>
      </c>
      <c r="CZ7467" s="35">
        <v>4.1665200000000006E-2</v>
      </c>
    </row>
    <row r="7468" spans="103:104" x14ac:dyDescent="0.3">
      <c r="CY7468" s="34" t="s">
        <v>8395</v>
      </c>
      <c r="CZ7468" s="35">
        <v>0.2220280496</v>
      </c>
    </row>
    <row r="7469" spans="103:104" x14ac:dyDescent="0.3">
      <c r="CY7469" s="34" t="s">
        <v>8396</v>
      </c>
      <c r="CZ7469" s="35">
        <v>0.10732158</v>
      </c>
    </row>
    <row r="7470" spans="103:104" x14ac:dyDescent="0.3">
      <c r="CY7470" s="34" t="s">
        <v>8397</v>
      </c>
      <c r="CZ7470" s="35">
        <v>2.4075149999999994E-3</v>
      </c>
    </row>
    <row r="7471" spans="103:104" x14ac:dyDescent="0.3">
      <c r="CY7471" s="34" t="s">
        <v>8398</v>
      </c>
      <c r="CZ7471" s="35">
        <v>1.282364E-3</v>
      </c>
    </row>
    <row r="7472" spans="103:104" x14ac:dyDescent="0.3">
      <c r="CY7472" s="34" t="s">
        <v>8399</v>
      </c>
      <c r="CZ7472" s="35">
        <v>1.7302295999999998E-3</v>
      </c>
    </row>
    <row r="7473" spans="103:104" x14ac:dyDescent="0.3">
      <c r="CY7473" s="34" t="s">
        <v>8400</v>
      </c>
      <c r="CZ7473" s="35">
        <v>1.1519999999999999E-4</v>
      </c>
    </row>
    <row r="7474" spans="103:104" x14ac:dyDescent="0.3">
      <c r="CY7474" s="34" t="s">
        <v>8401</v>
      </c>
      <c r="CZ7474" s="35">
        <v>2.7826549999999999E-2</v>
      </c>
    </row>
    <row r="7475" spans="103:104" x14ac:dyDescent="0.3">
      <c r="CY7475" s="34" t="s">
        <v>8402</v>
      </c>
      <c r="CZ7475" s="35">
        <v>1.667368E-2</v>
      </c>
    </row>
    <row r="7476" spans="103:104" x14ac:dyDescent="0.3">
      <c r="CY7476" s="34" t="s">
        <v>8403</v>
      </c>
      <c r="CZ7476" s="35">
        <v>1.4820692000000002E-2</v>
      </c>
    </row>
    <row r="7477" spans="103:104" x14ac:dyDescent="0.3">
      <c r="CY7477" s="34" t="s">
        <v>8404</v>
      </c>
      <c r="CZ7477" s="35">
        <v>6.1007120000000005E-2</v>
      </c>
    </row>
    <row r="7478" spans="103:104" x14ac:dyDescent="0.3">
      <c r="CY7478" s="34" t="s">
        <v>8405</v>
      </c>
      <c r="CZ7478" s="35">
        <v>5.2204373999999998E-3</v>
      </c>
    </row>
    <row r="7479" spans="103:104" x14ac:dyDescent="0.3">
      <c r="CY7479" s="34" t="s">
        <v>8406</v>
      </c>
      <c r="CZ7479" s="35">
        <v>6.4764799999999997E-3</v>
      </c>
    </row>
    <row r="7480" spans="103:104" x14ac:dyDescent="0.3">
      <c r="CY7480" s="34" t="s">
        <v>8407</v>
      </c>
      <c r="CZ7480" s="35">
        <v>3.3125013325000001E-2</v>
      </c>
    </row>
    <row r="7481" spans="103:104" x14ac:dyDescent="0.3">
      <c r="CY7481" s="34" t="s">
        <v>8408</v>
      </c>
      <c r="CZ7481" s="35">
        <v>1.5331669324999998E-2</v>
      </c>
    </row>
    <row r="7482" spans="103:104" x14ac:dyDescent="0.3">
      <c r="CY7482" s="34" t="s">
        <v>8409</v>
      </c>
      <c r="CZ7482" s="35">
        <v>2.2709660600000001E-2</v>
      </c>
    </row>
    <row r="7483" spans="103:104" x14ac:dyDescent="0.3">
      <c r="CY7483" s="34" t="s">
        <v>8410</v>
      </c>
      <c r="CZ7483" s="35">
        <v>0.1197428</v>
      </c>
    </row>
    <row r="7484" spans="103:104" x14ac:dyDescent="0.3">
      <c r="CY7484" s="34" t="s">
        <v>8411</v>
      </c>
      <c r="CZ7484" s="35">
        <v>7.1286666874999997E-4</v>
      </c>
    </row>
    <row r="7485" spans="103:104" x14ac:dyDescent="0.3">
      <c r="CY7485" s="34" t="s">
        <v>8412</v>
      </c>
      <c r="CZ7485" s="35">
        <v>1.6876839999999998E-3</v>
      </c>
    </row>
    <row r="7486" spans="103:104" x14ac:dyDescent="0.3">
      <c r="CY7486" s="34" t="s">
        <v>8413</v>
      </c>
      <c r="CZ7486" s="35">
        <v>1.4828388E-2</v>
      </c>
    </row>
    <row r="7487" spans="103:104" x14ac:dyDescent="0.3">
      <c r="CY7487" s="34" t="s">
        <v>8414</v>
      </c>
      <c r="CZ7487" s="35">
        <v>2.2449317324999998E-3</v>
      </c>
    </row>
    <row r="7488" spans="103:104" x14ac:dyDescent="0.3">
      <c r="CY7488" s="34" t="s">
        <v>8415</v>
      </c>
      <c r="CZ7488" s="35">
        <v>6.5452339999999987E-3</v>
      </c>
    </row>
    <row r="7489" spans="103:104" x14ac:dyDescent="0.3">
      <c r="CY7489" s="34" t="s">
        <v>8416</v>
      </c>
      <c r="CZ7489" s="35">
        <v>1.9123946300000003E-2</v>
      </c>
    </row>
    <row r="7490" spans="103:104" x14ac:dyDescent="0.3">
      <c r="CY7490" s="34" t="s">
        <v>8417</v>
      </c>
      <c r="CZ7490" s="35">
        <v>4.6918222748518184E-3</v>
      </c>
    </row>
    <row r="7491" spans="103:104" x14ac:dyDescent="0.3">
      <c r="CY7491" s="34" t="s">
        <v>8418</v>
      </c>
      <c r="CZ7491" s="35">
        <v>5.7353730000000002E-3</v>
      </c>
    </row>
    <row r="7492" spans="103:104" x14ac:dyDescent="0.3">
      <c r="CY7492" s="34" t="s">
        <v>8419</v>
      </c>
      <c r="CZ7492" s="35">
        <v>7.4403940000000002E-2</v>
      </c>
    </row>
    <row r="7493" spans="103:104" x14ac:dyDescent="0.3">
      <c r="CY7493" s="34" t="s">
        <v>8420</v>
      </c>
      <c r="CZ7493" s="35">
        <v>8.5148372999999999E-2</v>
      </c>
    </row>
    <row r="7494" spans="103:104" x14ac:dyDescent="0.3">
      <c r="CY7494" s="34" t="s">
        <v>8421</v>
      </c>
      <c r="CZ7494" s="35">
        <v>3.3037919999999998E-2</v>
      </c>
    </row>
    <row r="7495" spans="103:104" x14ac:dyDescent="0.3">
      <c r="CY7495" s="34" t="s">
        <v>8422</v>
      </c>
      <c r="CZ7495" s="35">
        <v>0.25650000000000001</v>
      </c>
    </row>
    <row r="7496" spans="103:104" x14ac:dyDescent="0.3">
      <c r="CY7496" s="34" t="s">
        <v>8423</v>
      </c>
      <c r="CZ7496" s="35">
        <v>0.26916345600000002</v>
      </c>
    </row>
    <row r="7497" spans="103:104" x14ac:dyDescent="0.3">
      <c r="CY7497" s="34" t="s">
        <v>8424</v>
      </c>
      <c r="CZ7497" s="35">
        <v>2.5649999999999999E-2</v>
      </c>
    </row>
    <row r="7498" spans="103:104" x14ac:dyDescent="0.3">
      <c r="CY7498" s="34" t="s">
        <v>8425</v>
      </c>
      <c r="CZ7498" s="35">
        <v>5.0749999999999997E-2</v>
      </c>
    </row>
    <row r="7499" spans="103:104" x14ac:dyDescent="0.3">
      <c r="CY7499" s="34" t="s">
        <v>8426</v>
      </c>
      <c r="CZ7499" s="35">
        <v>8.1941333279999997E-3</v>
      </c>
    </row>
    <row r="7500" spans="103:104" x14ac:dyDescent="0.3">
      <c r="CY7500" s="34" t="s">
        <v>8427</v>
      </c>
      <c r="CZ7500" s="35">
        <v>8.1941333279999997E-3</v>
      </c>
    </row>
    <row r="7501" spans="103:104" x14ac:dyDescent="0.3">
      <c r="CY7501" s="34" t="s">
        <v>8428</v>
      </c>
      <c r="CZ7501" s="35">
        <v>3.7192160000000004E-3</v>
      </c>
    </row>
    <row r="7502" spans="103:104" x14ac:dyDescent="0.3">
      <c r="CY7502" s="34" t="s">
        <v>8429</v>
      </c>
      <c r="CZ7502" s="35">
        <v>5.1387199999999996E-4</v>
      </c>
    </row>
    <row r="7503" spans="103:104" x14ac:dyDescent="0.3">
      <c r="CY7503" s="34" t="s">
        <v>8430</v>
      </c>
      <c r="CZ7503" s="35">
        <v>0.13825927200000002</v>
      </c>
    </row>
    <row r="7504" spans="103:104" x14ac:dyDescent="0.3">
      <c r="CY7504" s="34" t="s">
        <v>8431</v>
      </c>
      <c r="CZ7504" s="35">
        <v>4.3733158000000001E-2</v>
      </c>
    </row>
    <row r="7505" spans="103:104" x14ac:dyDescent="0.3">
      <c r="CY7505" s="34" t="s">
        <v>8432</v>
      </c>
      <c r="CZ7505" s="35">
        <v>1.2714053724E-2</v>
      </c>
    </row>
    <row r="7506" spans="103:104" x14ac:dyDescent="0.3">
      <c r="CY7506" s="34" t="s">
        <v>8433</v>
      </c>
      <c r="CZ7506" s="35">
        <v>1.6108639999999998E-3</v>
      </c>
    </row>
    <row r="7507" spans="103:104" x14ac:dyDescent="0.3">
      <c r="CY7507" s="34" t="s">
        <v>8434</v>
      </c>
      <c r="CZ7507" s="35">
        <v>2.0940896000000001E-3</v>
      </c>
    </row>
    <row r="7508" spans="103:104" x14ac:dyDescent="0.3">
      <c r="CY7508" s="34" t="s">
        <v>8435</v>
      </c>
      <c r="CZ7508" s="35">
        <v>4.6698036363636355E-3</v>
      </c>
    </row>
    <row r="7509" spans="103:104" x14ac:dyDescent="0.3">
      <c r="CY7509" s="34" t="s">
        <v>8436</v>
      </c>
      <c r="CZ7509" s="35">
        <v>1.8308283636363639E-3</v>
      </c>
    </row>
    <row r="7510" spans="103:104" x14ac:dyDescent="0.3">
      <c r="CY7510" s="34" t="s">
        <v>8437</v>
      </c>
      <c r="CZ7510" s="35">
        <v>1.4146240000000001E-2</v>
      </c>
    </row>
    <row r="7511" spans="103:104" x14ac:dyDescent="0.3">
      <c r="CY7511" s="34" t="s">
        <v>8438</v>
      </c>
      <c r="CZ7511" s="35">
        <v>1.5103567333333335E-2</v>
      </c>
    </row>
    <row r="7512" spans="103:104" x14ac:dyDescent="0.3">
      <c r="CY7512" s="34" t="s">
        <v>8439</v>
      </c>
      <c r="CZ7512" s="35">
        <v>6.2051200000000006E-3</v>
      </c>
    </row>
    <row r="7513" spans="103:104" x14ac:dyDescent="0.3">
      <c r="CY7513" s="34" t="s">
        <v>8440</v>
      </c>
      <c r="CZ7513" s="35">
        <v>2.4417600000000001E-2</v>
      </c>
    </row>
    <row r="7514" spans="103:104" x14ac:dyDescent="0.3">
      <c r="CY7514" s="34" t="s">
        <v>8441</v>
      </c>
      <c r="CZ7514" s="35">
        <v>2.6708099999999999E-2</v>
      </c>
    </row>
    <row r="7515" spans="103:104" x14ac:dyDescent="0.3">
      <c r="CY7515" s="34" t="s">
        <v>8442</v>
      </c>
      <c r="CZ7515" s="35">
        <v>1.8934552533333333E-2</v>
      </c>
    </row>
    <row r="7516" spans="103:104" x14ac:dyDescent="0.3">
      <c r="CY7516" s="34" t="s">
        <v>8443</v>
      </c>
      <c r="CZ7516" s="35">
        <v>2.4157255999999998E-2</v>
      </c>
    </row>
    <row r="7517" spans="103:104" x14ac:dyDescent="0.3">
      <c r="CY7517" s="34" t="s">
        <v>8444</v>
      </c>
      <c r="CZ7517" s="35">
        <v>1.0980230999999998E-2</v>
      </c>
    </row>
    <row r="7518" spans="103:104" x14ac:dyDescent="0.3">
      <c r="CY7518" s="34" t="s">
        <v>8445</v>
      </c>
      <c r="CZ7518" s="35">
        <v>5.0978879999999997E-2</v>
      </c>
    </row>
    <row r="7519" spans="103:104" x14ac:dyDescent="0.3">
      <c r="CY7519" s="34" t="s">
        <v>8446</v>
      </c>
      <c r="CZ7519" s="35">
        <v>2.0142765333333333E-2</v>
      </c>
    </row>
    <row r="7520" spans="103:104" x14ac:dyDescent="0.3">
      <c r="CY7520" s="34" t="s">
        <v>8447</v>
      </c>
      <c r="CZ7520" s="35">
        <v>7.9438800000000004E-3</v>
      </c>
    </row>
    <row r="7521" spans="103:104" x14ac:dyDescent="0.3">
      <c r="CY7521" s="34" t="s">
        <v>8448</v>
      </c>
      <c r="CZ7521" s="35">
        <v>1.9911152000000004E-3</v>
      </c>
    </row>
    <row r="7522" spans="103:104" x14ac:dyDescent="0.3">
      <c r="CY7522" s="34" t="s">
        <v>8449</v>
      </c>
      <c r="CZ7522" s="35">
        <v>1.2585313799999999E-2</v>
      </c>
    </row>
    <row r="7523" spans="103:104" x14ac:dyDescent="0.3">
      <c r="CY7523" s="34" t="s">
        <v>8450</v>
      </c>
      <c r="CZ7523" s="35">
        <v>2.6147932999999998E-2</v>
      </c>
    </row>
    <row r="7524" spans="103:104" x14ac:dyDescent="0.3">
      <c r="CY7524" s="34" t="s">
        <v>8451</v>
      </c>
      <c r="CZ7524" s="35">
        <v>1.7516358692307693E-2</v>
      </c>
    </row>
    <row r="7525" spans="103:104" x14ac:dyDescent="0.3">
      <c r="CY7525" s="34" t="s">
        <v>8452</v>
      </c>
      <c r="CZ7525" s="35">
        <v>1.82954E-2</v>
      </c>
    </row>
    <row r="7526" spans="103:104" x14ac:dyDescent="0.3">
      <c r="CY7526" s="34" t="s">
        <v>8453</v>
      </c>
      <c r="CZ7526" s="35">
        <v>2.0038440000000001E-2</v>
      </c>
    </row>
    <row r="7527" spans="103:104" x14ac:dyDescent="0.3">
      <c r="CY7527" s="34" t="s">
        <v>8454</v>
      </c>
      <c r="CZ7527" s="35">
        <v>0.11200480000000002</v>
      </c>
    </row>
    <row r="7528" spans="103:104" x14ac:dyDescent="0.3">
      <c r="CY7528" s="34" t="s">
        <v>8455</v>
      </c>
      <c r="CZ7528" s="35">
        <v>0.16637183999999997</v>
      </c>
    </row>
    <row r="7529" spans="103:104" x14ac:dyDescent="0.3">
      <c r="CY7529" s="34" t="s">
        <v>8456</v>
      </c>
      <c r="CZ7529" s="35">
        <v>7.2290697360000003E-2</v>
      </c>
    </row>
    <row r="7530" spans="103:104" x14ac:dyDescent="0.3">
      <c r="CY7530" s="34" t="s">
        <v>8457</v>
      </c>
      <c r="CZ7530" s="35">
        <v>7.3992066240000001E-2</v>
      </c>
    </row>
    <row r="7531" spans="103:104" x14ac:dyDescent="0.3">
      <c r="CY7531" s="34" t="s">
        <v>8458</v>
      </c>
      <c r="CZ7531" s="35">
        <v>5.280928E-2</v>
      </c>
    </row>
    <row r="7532" spans="103:104" x14ac:dyDescent="0.3">
      <c r="CY7532" s="34" t="s">
        <v>8459</v>
      </c>
      <c r="CZ7532" s="35">
        <v>6.6230639999999997E-3</v>
      </c>
    </row>
    <row r="7533" spans="103:104" x14ac:dyDescent="0.3">
      <c r="CY7533" s="34" t="s">
        <v>8460</v>
      </c>
      <c r="CZ7533" s="35">
        <v>2.564404E-2</v>
      </c>
    </row>
    <row r="7534" spans="103:104" x14ac:dyDescent="0.3">
      <c r="CY7534" s="34" t="s">
        <v>8461</v>
      </c>
      <c r="CZ7534" s="35">
        <v>0.24480743999999999</v>
      </c>
    </row>
    <row r="7535" spans="103:104" x14ac:dyDescent="0.3">
      <c r="CY7535" s="34" t="s">
        <v>8462</v>
      </c>
      <c r="CZ7535" s="35">
        <v>5.3055986916666666E-2</v>
      </c>
    </row>
    <row r="7536" spans="103:104" x14ac:dyDescent="0.3">
      <c r="CY7536" s="34" t="s">
        <v>8463</v>
      </c>
      <c r="CZ7536" s="35">
        <v>7.3660399999999999E-3</v>
      </c>
    </row>
    <row r="7537" spans="103:104" x14ac:dyDescent="0.3">
      <c r="CY7537" s="34" t="s">
        <v>8464</v>
      </c>
      <c r="CZ7537" s="35">
        <v>1.5601779680000001E-3</v>
      </c>
    </row>
    <row r="7538" spans="103:104" x14ac:dyDescent="0.3">
      <c r="CY7538" s="34" t="s">
        <v>8465</v>
      </c>
      <c r="CZ7538" s="35">
        <v>3.8349413636363638E-3</v>
      </c>
    </row>
    <row r="7539" spans="103:104" x14ac:dyDescent="0.3">
      <c r="CY7539" s="34" t="s">
        <v>8466</v>
      </c>
      <c r="CZ7539" s="35">
        <v>8.85472E-4</v>
      </c>
    </row>
    <row r="7540" spans="103:104" x14ac:dyDescent="0.3">
      <c r="CY7540" s="34" t="s">
        <v>8467</v>
      </c>
      <c r="CZ7540" s="35">
        <v>7.0398000000000006E-3</v>
      </c>
    </row>
    <row r="7541" spans="103:104" x14ac:dyDescent="0.3">
      <c r="CY7541" s="34" t="s">
        <v>8468</v>
      </c>
      <c r="CZ7541" s="35">
        <v>6.8942000000000005E-3</v>
      </c>
    </row>
    <row r="7542" spans="103:104" x14ac:dyDescent="0.3">
      <c r="CY7542" s="34" t="s">
        <v>8469</v>
      </c>
      <c r="CZ7542" s="35">
        <v>3.3844368999999992E-2</v>
      </c>
    </row>
    <row r="7543" spans="103:104" x14ac:dyDescent="0.3">
      <c r="CY7543" s="34" t="s">
        <v>8470</v>
      </c>
      <c r="CZ7543" s="35">
        <v>3.5985493599999994E-2</v>
      </c>
    </row>
    <row r="7544" spans="103:104" x14ac:dyDescent="0.3">
      <c r="CY7544" s="34" t="s">
        <v>8471</v>
      </c>
      <c r="CZ7544" s="35">
        <v>3.5812993599999995E-2</v>
      </c>
    </row>
    <row r="7545" spans="103:104" x14ac:dyDescent="0.3">
      <c r="CY7545" s="34" t="s">
        <v>8472</v>
      </c>
      <c r="CZ7545" s="35">
        <v>3.5812993599999995E-2</v>
      </c>
    </row>
    <row r="7546" spans="103:104" x14ac:dyDescent="0.3">
      <c r="CY7546" s="34" t="s">
        <v>8473</v>
      </c>
      <c r="CZ7546" s="35">
        <v>6.7867200000000003E-2</v>
      </c>
    </row>
    <row r="7547" spans="103:104" x14ac:dyDescent="0.3">
      <c r="CY7547" s="34" t="s">
        <v>8474</v>
      </c>
      <c r="CZ7547" s="35">
        <v>3.1636520000000001E-2</v>
      </c>
    </row>
    <row r="7548" spans="103:104" x14ac:dyDescent="0.3">
      <c r="CY7548" s="34" t="s">
        <v>8475</v>
      </c>
      <c r="CZ7548" s="35">
        <v>3.1636520000000001E-2</v>
      </c>
    </row>
    <row r="7549" spans="103:104" x14ac:dyDescent="0.3">
      <c r="CY7549" s="34" t="s">
        <v>8476</v>
      </c>
      <c r="CZ7549" s="35">
        <v>1.02783584E-2</v>
      </c>
    </row>
    <row r="7550" spans="103:104" x14ac:dyDescent="0.3">
      <c r="CY7550" s="34" t="s">
        <v>8477</v>
      </c>
      <c r="CZ7550" s="35">
        <v>1.6517971000000003E-2</v>
      </c>
    </row>
    <row r="7551" spans="103:104" x14ac:dyDescent="0.3">
      <c r="CY7551" s="34" t="s">
        <v>8478</v>
      </c>
      <c r="CZ7551" s="35">
        <v>1.9845847981332487E-2</v>
      </c>
    </row>
    <row r="7552" spans="103:104" x14ac:dyDescent="0.3">
      <c r="CY7552" s="34" t="s">
        <v>8479</v>
      </c>
      <c r="CZ7552" s="35">
        <v>1.9212605391975002E-2</v>
      </c>
    </row>
    <row r="7553" spans="103:104" x14ac:dyDescent="0.3">
      <c r="CY7553" s="34" t="s">
        <v>8480</v>
      </c>
      <c r="CZ7553" s="35">
        <v>0.41978760000000004</v>
      </c>
    </row>
    <row r="7554" spans="103:104" x14ac:dyDescent="0.3">
      <c r="CY7554" s="34" t="s">
        <v>8481</v>
      </c>
      <c r="CZ7554" s="35">
        <v>1.329113334E-2</v>
      </c>
    </row>
    <row r="7555" spans="103:104" x14ac:dyDescent="0.3">
      <c r="CY7555" s="34" t="s">
        <v>8482</v>
      </c>
      <c r="CZ7555" s="35">
        <v>1.333264E-3</v>
      </c>
    </row>
    <row r="7556" spans="103:104" x14ac:dyDescent="0.3">
      <c r="CY7556" s="34" t="s">
        <v>8483</v>
      </c>
      <c r="CZ7556" s="35">
        <v>8.8479159999999991E-3</v>
      </c>
    </row>
    <row r="7557" spans="103:104" x14ac:dyDescent="0.3">
      <c r="CY7557" s="34" t="s">
        <v>8484</v>
      </c>
      <c r="CZ7557" s="35">
        <v>0.18429093325000004</v>
      </c>
    </row>
    <row r="7558" spans="103:104" x14ac:dyDescent="0.3">
      <c r="CY7558" s="34" t="s">
        <v>8485</v>
      </c>
      <c r="CZ7558" s="35">
        <v>0.11292613333333332</v>
      </c>
    </row>
    <row r="7559" spans="103:104" x14ac:dyDescent="0.3">
      <c r="CY7559" s="34" t="s">
        <v>8486</v>
      </c>
      <c r="CZ7559" s="35">
        <v>4.9773700000000004E-2</v>
      </c>
    </row>
    <row r="7560" spans="103:104" x14ac:dyDescent="0.3">
      <c r="CY7560" s="34" t="s">
        <v>8487</v>
      </c>
      <c r="CZ7560" s="35">
        <v>5.1991688000000001E-2</v>
      </c>
    </row>
    <row r="7561" spans="103:104" x14ac:dyDescent="0.3">
      <c r="CY7561" s="34" t="s">
        <v>8488</v>
      </c>
      <c r="CZ7561" s="35">
        <v>1.9734928</v>
      </c>
    </row>
    <row r="7562" spans="103:104" x14ac:dyDescent="0.3">
      <c r="CY7562" s="34" t="s">
        <v>8489</v>
      </c>
      <c r="CZ7562" s="35">
        <v>0.5287792</v>
      </c>
    </row>
    <row r="7563" spans="103:104" x14ac:dyDescent="0.3">
      <c r="CY7563" s="34" t="s">
        <v>8490</v>
      </c>
      <c r="CZ7563" s="35">
        <v>8.8002000000000011E-2</v>
      </c>
    </row>
    <row r="7564" spans="103:104" x14ac:dyDescent="0.3">
      <c r="CY7564" s="34" t="s">
        <v>8491</v>
      </c>
      <c r="CZ7564" s="35">
        <v>2.6656929999999999E-2</v>
      </c>
    </row>
    <row r="7565" spans="103:104" x14ac:dyDescent="0.3">
      <c r="CY7565" s="34" t="s">
        <v>8492</v>
      </c>
      <c r="CZ7565" s="35">
        <v>2.9618639999999998E-2</v>
      </c>
    </row>
    <row r="7566" spans="103:104" x14ac:dyDescent="0.3">
      <c r="CY7566" s="34" t="s">
        <v>8493</v>
      </c>
      <c r="CZ7566" s="35">
        <v>3.2830369999999998E-2</v>
      </c>
    </row>
    <row r="7567" spans="103:104" x14ac:dyDescent="0.3">
      <c r="CY7567" s="34" t="s">
        <v>8494</v>
      </c>
      <c r="CZ7567" s="35">
        <v>2.253028E-2</v>
      </c>
    </row>
    <row r="7568" spans="103:104" x14ac:dyDescent="0.3">
      <c r="CY7568" s="34" t="s">
        <v>8495</v>
      </c>
      <c r="CZ7568" s="35">
        <v>2.8187599999999997E-2</v>
      </c>
    </row>
    <row r="7569" spans="103:104" x14ac:dyDescent="0.3">
      <c r="CY7569" s="34" t="s">
        <v>8496</v>
      </c>
      <c r="CZ7569" s="35">
        <v>4.8792080000000002E-2</v>
      </c>
    </row>
    <row r="7570" spans="103:104" x14ac:dyDescent="0.3">
      <c r="CY7570" s="34" t="s">
        <v>8497</v>
      </c>
      <c r="CZ7570" s="35">
        <v>0.37513919999999995</v>
      </c>
    </row>
    <row r="7571" spans="103:104" x14ac:dyDescent="0.3">
      <c r="CY7571" s="34" t="s">
        <v>8498</v>
      </c>
      <c r="CZ7571" s="35">
        <v>4.6783142400000005E-2</v>
      </c>
    </row>
    <row r="7572" spans="103:104" x14ac:dyDescent="0.3">
      <c r="CY7572" s="34" t="s">
        <v>8499</v>
      </c>
      <c r="CZ7572" s="35">
        <v>2.9124354333333331E-2</v>
      </c>
    </row>
    <row r="7573" spans="103:104" x14ac:dyDescent="0.3">
      <c r="CY7573" s="34" t="s">
        <v>8500</v>
      </c>
      <c r="CZ7573" s="35">
        <v>1.9769439999999999E-2</v>
      </c>
    </row>
    <row r="7574" spans="103:104" x14ac:dyDescent="0.3">
      <c r="CY7574" s="34" t="s">
        <v>8501</v>
      </c>
      <c r="CZ7574" s="35">
        <v>1.9769439999999999E-2</v>
      </c>
    </row>
    <row r="7575" spans="103:104" x14ac:dyDescent="0.3">
      <c r="CY7575" s="34" t="s">
        <v>8502</v>
      </c>
      <c r="CZ7575" s="35">
        <v>2.0729573248E-2</v>
      </c>
    </row>
    <row r="7576" spans="103:104" x14ac:dyDescent="0.3">
      <c r="CY7576" s="34" t="s">
        <v>8503</v>
      </c>
      <c r="CZ7576" s="35">
        <v>9.1769480000000007E-3</v>
      </c>
    </row>
    <row r="7577" spans="103:104" x14ac:dyDescent="0.3">
      <c r="CY7577" s="34" t="s">
        <v>8504</v>
      </c>
      <c r="CZ7577" s="35">
        <v>5.7003199999999997E-2</v>
      </c>
    </row>
    <row r="7578" spans="103:104" x14ac:dyDescent="0.3">
      <c r="CY7578" s="34" t="s">
        <v>8505</v>
      </c>
      <c r="CZ7578" s="35">
        <v>2.9676676600000002E-3</v>
      </c>
    </row>
    <row r="7579" spans="103:104" x14ac:dyDescent="0.3">
      <c r="CY7579" s="34" t="s">
        <v>8506</v>
      </c>
      <c r="CZ7579" s="35">
        <v>1.4015021299999999E-3</v>
      </c>
    </row>
    <row r="7580" spans="103:104" x14ac:dyDescent="0.3">
      <c r="CY7580" s="34" t="s">
        <v>8507</v>
      </c>
      <c r="CZ7580" s="35">
        <v>7.7536799999999989E-2</v>
      </c>
    </row>
    <row r="7581" spans="103:104" x14ac:dyDescent="0.3">
      <c r="CY7581" s="34" t="s">
        <v>8508</v>
      </c>
      <c r="CZ7581" s="35">
        <v>9.8653839999999993E-2</v>
      </c>
    </row>
    <row r="7582" spans="103:104" x14ac:dyDescent="0.3">
      <c r="CY7582" s="34" t="s">
        <v>8509</v>
      </c>
      <c r="CZ7582" s="35">
        <v>2.9976093999999997E-3</v>
      </c>
    </row>
    <row r="7583" spans="103:104" x14ac:dyDescent="0.3">
      <c r="CY7583" s="34" t="s">
        <v>8510</v>
      </c>
      <c r="CZ7583" s="35">
        <v>3.2208835599999998E-3</v>
      </c>
    </row>
    <row r="7584" spans="103:104" x14ac:dyDescent="0.3">
      <c r="CY7584" s="34" t="s">
        <v>8511</v>
      </c>
      <c r="CZ7584" s="35">
        <v>6.0343371428571435E-2</v>
      </c>
    </row>
    <row r="7585" spans="103:104" x14ac:dyDescent="0.3">
      <c r="CY7585" s="34" t="s">
        <v>8512</v>
      </c>
      <c r="CZ7585" s="35">
        <v>0.21655775999999999</v>
      </c>
    </row>
    <row r="7586" spans="103:104" x14ac:dyDescent="0.3">
      <c r="CY7586" s="34" t="s">
        <v>8513</v>
      </c>
      <c r="CZ7586" s="35">
        <v>1.0966239999999999E-2</v>
      </c>
    </row>
    <row r="7587" spans="103:104" x14ac:dyDescent="0.3">
      <c r="CY7587" s="34" t="s">
        <v>8514</v>
      </c>
      <c r="CZ7587" s="35">
        <v>0.15211884540000001</v>
      </c>
    </row>
    <row r="7588" spans="103:104" x14ac:dyDescent="0.3">
      <c r="CY7588" s="34" t="s">
        <v>8515</v>
      </c>
      <c r="CZ7588" s="35">
        <v>8.8788884800000013E-3</v>
      </c>
    </row>
    <row r="7589" spans="103:104" x14ac:dyDescent="0.3">
      <c r="CY7589" s="34" t="s">
        <v>8516</v>
      </c>
      <c r="CZ7589" s="35">
        <v>6.9520160000000001E-3</v>
      </c>
    </row>
    <row r="7590" spans="103:104" x14ac:dyDescent="0.3">
      <c r="CY7590" s="34" t="s">
        <v>8517</v>
      </c>
      <c r="CZ7590" s="35">
        <v>6.7390186999999992E-3</v>
      </c>
    </row>
    <row r="7591" spans="103:104" x14ac:dyDescent="0.3">
      <c r="CY7591" s="34" t="s">
        <v>8518</v>
      </c>
      <c r="CZ7591" s="35">
        <v>1.1952127999999999E-2</v>
      </c>
    </row>
    <row r="7592" spans="103:104" x14ac:dyDescent="0.3">
      <c r="CY7592" s="34" t="s">
        <v>8519</v>
      </c>
      <c r="CZ7592" s="35">
        <v>1.1789888E-2</v>
      </c>
    </row>
    <row r="7593" spans="103:104" x14ac:dyDescent="0.3">
      <c r="CY7593" s="34" t="s">
        <v>8520</v>
      </c>
      <c r="CZ7593" s="35">
        <v>3.6256577833333331E-3</v>
      </c>
    </row>
    <row r="7594" spans="103:104" x14ac:dyDescent="0.3">
      <c r="CY7594" s="34" t="s">
        <v>8521</v>
      </c>
      <c r="CZ7594" s="35">
        <v>3.831592E-3</v>
      </c>
    </row>
    <row r="7595" spans="103:104" x14ac:dyDescent="0.3">
      <c r="CY7595" s="34" t="s">
        <v>8522</v>
      </c>
      <c r="CZ7595" s="35">
        <v>1.7915799999999999E-2</v>
      </c>
    </row>
    <row r="7596" spans="103:104" x14ac:dyDescent="0.3">
      <c r="CY7596" s="34" t="s">
        <v>8523</v>
      </c>
      <c r="CZ7596" s="35">
        <v>2.0857960000000002E-2</v>
      </c>
    </row>
    <row r="7597" spans="103:104" x14ac:dyDescent="0.3">
      <c r="CY7597" s="34" t="s">
        <v>8524</v>
      </c>
      <c r="CZ7597" s="35">
        <v>2.8785939868000002E-2</v>
      </c>
    </row>
    <row r="7598" spans="103:104" x14ac:dyDescent="0.3">
      <c r="CY7598" s="34" t="s">
        <v>8525</v>
      </c>
      <c r="CZ7598" s="35">
        <v>1.3060940492800001E-2</v>
      </c>
    </row>
    <row r="7599" spans="103:104" x14ac:dyDescent="0.3">
      <c r="CY7599" s="34" t="s">
        <v>8526</v>
      </c>
      <c r="CZ7599" s="35">
        <v>1.3147394191999999E-2</v>
      </c>
    </row>
    <row r="7600" spans="103:104" x14ac:dyDescent="0.3">
      <c r="CY7600" s="34" t="s">
        <v>8527</v>
      </c>
      <c r="CZ7600" s="35">
        <v>3.9376129999999995E-2</v>
      </c>
    </row>
    <row r="7601" spans="103:104" x14ac:dyDescent="0.3">
      <c r="CY7601" s="34" t="s">
        <v>8528</v>
      </c>
      <c r="CZ7601" s="35">
        <v>2.33914E-2</v>
      </c>
    </row>
    <row r="7602" spans="103:104" x14ac:dyDescent="0.3">
      <c r="CY7602" s="34" t="s">
        <v>8529</v>
      </c>
      <c r="CZ7602" s="35">
        <v>0.36272840000000006</v>
      </c>
    </row>
    <row r="7603" spans="103:104" x14ac:dyDescent="0.3">
      <c r="CY7603" s="34" t="s">
        <v>8530</v>
      </c>
      <c r="CZ7603" s="35">
        <v>0.35536840000000008</v>
      </c>
    </row>
    <row r="7604" spans="103:104" x14ac:dyDescent="0.3">
      <c r="CY7604" s="34" t="s">
        <v>8531</v>
      </c>
      <c r="CZ7604" s="35">
        <v>0.15185419999999999</v>
      </c>
    </row>
    <row r="7605" spans="103:104" x14ac:dyDescent="0.3">
      <c r="CY7605" s="34" t="s">
        <v>8532</v>
      </c>
      <c r="CZ7605" s="35">
        <v>6.0113440000000004E-2</v>
      </c>
    </row>
    <row r="7606" spans="103:104" x14ac:dyDescent="0.3">
      <c r="CY7606" s="34" t="s">
        <v>8533</v>
      </c>
      <c r="CZ7606" s="35">
        <v>3.770595999999999E-2</v>
      </c>
    </row>
    <row r="7607" spans="103:104" x14ac:dyDescent="0.3">
      <c r="CY7607" s="34" t="s">
        <v>8534</v>
      </c>
      <c r="CZ7607" s="35">
        <v>2.9813360000000007E-3</v>
      </c>
    </row>
    <row r="7608" spans="103:104" x14ac:dyDescent="0.3">
      <c r="CY7608" s="34" t="s">
        <v>8535</v>
      </c>
      <c r="CZ7608" s="35">
        <v>6.0805760000000007E-3</v>
      </c>
    </row>
    <row r="7609" spans="103:104" x14ac:dyDescent="0.3">
      <c r="CY7609" s="34" t="s">
        <v>8536</v>
      </c>
      <c r="CZ7609" s="35">
        <v>1.2126751999999999E-3</v>
      </c>
    </row>
    <row r="7610" spans="103:104" x14ac:dyDescent="0.3">
      <c r="CY7610" s="34" t="s">
        <v>8537</v>
      </c>
      <c r="CZ7610" s="35">
        <v>3.8566064E-3</v>
      </c>
    </row>
    <row r="7611" spans="103:104" x14ac:dyDescent="0.3">
      <c r="CY7611" s="34" t="s">
        <v>8538</v>
      </c>
      <c r="CZ7611" s="35">
        <v>6.1576141250000004E-3</v>
      </c>
    </row>
    <row r="7612" spans="103:104" x14ac:dyDescent="0.3">
      <c r="CY7612" s="34" t="s">
        <v>8539</v>
      </c>
      <c r="CZ7612" s="35">
        <v>4.8048933249999993E-3</v>
      </c>
    </row>
    <row r="7613" spans="103:104" x14ac:dyDescent="0.3">
      <c r="CY7613" s="34" t="s">
        <v>8540</v>
      </c>
      <c r="CZ7613" s="35">
        <v>1.8522640000000003E-2</v>
      </c>
    </row>
    <row r="7614" spans="103:104" x14ac:dyDescent="0.3">
      <c r="CY7614" s="34" t="s">
        <v>8541</v>
      </c>
      <c r="CZ7614" s="35">
        <v>1.197002547368421E-2</v>
      </c>
    </row>
    <row r="7615" spans="103:104" x14ac:dyDescent="0.3">
      <c r="CY7615" s="34" t="s">
        <v>8542</v>
      </c>
      <c r="CZ7615" s="35">
        <v>5.2407359999999993E-2</v>
      </c>
    </row>
    <row r="7616" spans="103:104" x14ac:dyDescent="0.3">
      <c r="CY7616" s="34" t="s">
        <v>8543</v>
      </c>
      <c r="CZ7616" s="35">
        <v>5.3175359999999998E-2</v>
      </c>
    </row>
    <row r="7617" spans="103:104" x14ac:dyDescent="0.3">
      <c r="CY7617" s="34" t="s">
        <v>8544</v>
      </c>
      <c r="CZ7617" s="35">
        <v>2.3811519999999996E-2</v>
      </c>
    </row>
    <row r="7618" spans="103:104" x14ac:dyDescent="0.3">
      <c r="CY7618" s="34" t="s">
        <v>8545</v>
      </c>
      <c r="CZ7618" s="35">
        <v>0.11980387734</v>
      </c>
    </row>
    <row r="7619" spans="103:104" x14ac:dyDescent="0.3">
      <c r="CY7619" s="34" t="s">
        <v>8546</v>
      </c>
      <c r="CZ7619" s="35">
        <v>1.306944E-3</v>
      </c>
    </row>
    <row r="7620" spans="103:104" x14ac:dyDescent="0.3">
      <c r="CY7620" s="34" t="s">
        <v>8547</v>
      </c>
      <c r="CZ7620" s="35">
        <v>1.306944E-3</v>
      </c>
    </row>
    <row r="7621" spans="103:104" x14ac:dyDescent="0.3">
      <c r="CY7621" s="34" t="s">
        <v>8548</v>
      </c>
      <c r="CZ7621" s="35">
        <v>7.7329320000000014E-3</v>
      </c>
    </row>
    <row r="7622" spans="103:104" x14ac:dyDescent="0.3">
      <c r="CY7622" s="34" t="s">
        <v>8549</v>
      </c>
      <c r="CZ7622" s="35">
        <v>5.2045279999999999E-2</v>
      </c>
    </row>
    <row r="7623" spans="103:104" x14ac:dyDescent="0.3">
      <c r="CY7623" s="34" t="s">
        <v>8550</v>
      </c>
      <c r="CZ7623" s="35">
        <v>1.0158357333333331E-2</v>
      </c>
    </row>
    <row r="7624" spans="103:104" x14ac:dyDescent="0.3">
      <c r="CY7624" s="34" t="s">
        <v>8551</v>
      </c>
      <c r="CZ7624" s="35">
        <v>1.6066479999999998E-2</v>
      </c>
    </row>
    <row r="7625" spans="103:104" x14ac:dyDescent="0.3">
      <c r="CY7625" s="34" t="s">
        <v>8552</v>
      </c>
      <c r="CZ7625" s="35">
        <v>2.7253279999999998E-2</v>
      </c>
    </row>
    <row r="7626" spans="103:104" x14ac:dyDescent="0.3">
      <c r="CY7626" s="34" t="s">
        <v>8553</v>
      </c>
      <c r="CZ7626" s="35">
        <v>2.5872839999999998E-2</v>
      </c>
    </row>
    <row r="7627" spans="103:104" x14ac:dyDescent="0.3">
      <c r="CY7627" s="34" t="s">
        <v>8554</v>
      </c>
      <c r="CZ7627" s="35">
        <v>9.689360000000001E-3</v>
      </c>
    </row>
    <row r="7628" spans="103:104" x14ac:dyDescent="0.3">
      <c r="CY7628" s="34" t="s">
        <v>8555</v>
      </c>
      <c r="CZ7628" s="35">
        <v>9.3932099999999991E-3</v>
      </c>
    </row>
    <row r="7629" spans="103:104" x14ac:dyDescent="0.3">
      <c r="CY7629" s="34" t="s">
        <v>8556</v>
      </c>
      <c r="CZ7629" s="35">
        <v>9.3932099999999991E-3</v>
      </c>
    </row>
    <row r="7630" spans="103:104" x14ac:dyDescent="0.3">
      <c r="CY7630" s="34" t="s">
        <v>8557</v>
      </c>
      <c r="CZ7630" s="35">
        <v>1.5437204000000001E-2</v>
      </c>
    </row>
    <row r="7631" spans="103:104" x14ac:dyDescent="0.3">
      <c r="CY7631" s="34" t="s">
        <v>8558</v>
      </c>
      <c r="CZ7631" s="35">
        <v>1.8636520000000004E-2</v>
      </c>
    </row>
    <row r="7632" spans="103:104" x14ac:dyDescent="0.3">
      <c r="CY7632" s="34" t="s">
        <v>8559</v>
      </c>
      <c r="CZ7632" s="35">
        <v>0.14123556670000001</v>
      </c>
    </row>
    <row r="7633" spans="103:104" x14ac:dyDescent="0.3">
      <c r="CY7633" s="34" t="s">
        <v>8560</v>
      </c>
      <c r="CZ7633" s="35">
        <v>0.14123556670000001</v>
      </c>
    </row>
    <row r="7634" spans="103:104" x14ac:dyDescent="0.3">
      <c r="CY7634" s="34" t="s">
        <v>8561</v>
      </c>
      <c r="CZ7634" s="35">
        <v>7.3208413250000007E-3</v>
      </c>
    </row>
    <row r="7635" spans="103:104" x14ac:dyDescent="0.3">
      <c r="CY7635" s="34" t="s">
        <v>8562</v>
      </c>
      <c r="CZ7635" s="35">
        <v>8.622465E-2</v>
      </c>
    </row>
    <row r="7636" spans="103:104" x14ac:dyDescent="0.3">
      <c r="CY7636" s="34" t="s">
        <v>8563</v>
      </c>
      <c r="CZ7636" s="35">
        <v>0.21516000000000002</v>
      </c>
    </row>
    <row r="7637" spans="103:104" x14ac:dyDescent="0.3">
      <c r="CY7637" s="34" t="s">
        <v>8564</v>
      </c>
      <c r="CZ7637" s="35">
        <v>1.5818940200000001E-3</v>
      </c>
    </row>
    <row r="7638" spans="103:104" x14ac:dyDescent="0.3">
      <c r="CY7638" s="34" t="s">
        <v>8565</v>
      </c>
      <c r="CZ7638" s="35">
        <v>3.5044728000000001E-3</v>
      </c>
    </row>
    <row r="7639" spans="103:104" x14ac:dyDescent="0.3">
      <c r="CY7639" s="34" t="s">
        <v>8566</v>
      </c>
      <c r="CZ7639" s="35">
        <v>3.1214696E-2</v>
      </c>
    </row>
    <row r="7640" spans="103:104" x14ac:dyDescent="0.3">
      <c r="CY7640" s="34" t="s">
        <v>8567</v>
      </c>
      <c r="CZ7640" s="35">
        <v>1.1722324275000001E-2</v>
      </c>
    </row>
    <row r="7641" spans="103:104" x14ac:dyDescent="0.3">
      <c r="CY7641" s="34" t="s">
        <v>8568</v>
      </c>
      <c r="CZ7641" s="35">
        <v>2.4557455999999998E-3</v>
      </c>
    </row>
    <row r="7642" spans="103:104" x14ac:dyDescent="0.3">
      <c r="CY7642" s="34" t="s">
        <v>8569</v>
      </c>
      <c r="CZ7642" s="35">
        <v>1.1945950857142857E-2</v>
      </c>
    </row>
    <row r="7643" spans="103:104" x14ac:dyDescent="0.3">
      <c r="CY7643" s="34" t="s">
        <v>8570</v>
      </c>
      <c r="CZ7643" s="35">
        <v>6.5621257142857133E-3</v>
      </c>
    </row>
    <row r="7644" spans="103:104" x14ac:dyDescent="0.3">
      <c r="CY7644" s="34" t="s">
        <v>8571</v>
      </c>
      <c r="CZ7644" s="35">
        <v>4.9361879999999993E-3</v>
      </c>
    </row>
    <row r="7645" spans="103:104" x14ac:dyDescent="0.3">
      <c r="CY7645" s="34" t="s">
        <v>8572</v>
      </c>
      <c r="CZ7645" s="35">
        <v>2.6415093400000002E-3</v>
      </c>
    </row>
    <row r="7646" spans="103:104" x14ac:dyDescent="0.3">
      <c r="CY7646" s="34" t="s">
        <v>8573</v>
      </c>
      <c r="CZ7646" s="35">
        <v>3.98836912E-4</v>
      </c>
    </row>
    <row r="7647" spans="103:104" x14ac:dyDescent="0.3">
      <c r="CY7647" s="34" t="s">
        <v>8574</v>
      </c>
      <c r="CZ7647" s="35">
        <v>1.0669840000000002E-3</v>
      </c>
    </row>
    <row r="7648" spans="103:104" x14ac:dyDescent="0.3">
      <c r="CY7648" s="34" t="s">
        <v>8575</v>
      </c>
      <c r="CZ7648" s="35">
        <v>3.7376205800000006E-2</v>
      </c>
    </row>
    <row r="7649" spans="103:104" x14ac:dyDescent="0.3">
      <c r="CY7649" s="34" t="s">
        <v>8576</v>
      </c>
      <c r="CZ7649" s="35">
        <v>1.4208200000000002E-3</v>
      </c>
    </row>
    <row r="7650" spans="103:104" x14ac:dyDescent="0.3">
      <c r="CY7650" s="34" t="s">
        <v>8577</v>
      </c>
      <c r="CZ7650" s="35">
        <v>2.05612408E-3</v>
      </c>
    </row>
    <row r="7651" spans="103:104" x14ac:dyDescent="0.3">
      <c r="CY7651" s="34" t="s">
        <v>8578</v>
      </c>
      <c r="CZ7651" s="35">
        <v>1.6282600000000001E-3</v>
      </c>
    </row>
    <row r="7652" spans="103:104" x14ac:dyDescent="0.3">
      <c r="CY7652" s="34" t="s">
        <v>8579</v>
      </c>
      <c r="CZ7652" s="35">
        <v>4.4996799999999997E-2</v>
      </c>
    </row>
    <row r="7653" spans="103:104" x14ac:dyDescent="0.3">
      <c r="CY7653" s="34" t="s">
        <v>8580</v>
      </c>
      <c r="CZ7653" s="35">
        <v>6.2860400000000011E-2</v>
      </c>
    </row>
    <row r="7654" spans="103:104" x14ac:dyDescent="0.3">
      <c r="CY7654" s="34" t="s">
        <v>8581</v>
      </c>
      <c r="CZ7654" s="35">
        <v>6.0369220000000001E-3</v>
      </c>
    </row>
    <row r="7655" spans="103:104" x14ac:dyDescent="0.3">
      <c r="CY7655" s="34" t="s">
        <v>8582</v>
      </c>
      <c r="CZ7655" s="35">
        <v>1.6961245999999996E-2</v>
      </c>
    </row>
    <row r="7656" spans="103:104" x14ac:dyDescent="0.3">
      <c r="CY7656" s="34" t="s">
        <v>8583</v>
      </c>
      <c r="CZ7656" s="35">
        <v>2.8970616000000001E-2</v>
      </c>
    </row>
    <row r="7657" spans="103:104" x14ac:dyDescent="0.3">
      <c r="CY7657" s="34" t="s">
        <v>8584</v>
      </c>
      <c r="CZ7657" s="35">
        <v>1.9859760000000001E-2</v>
      </c>
    </row>
    <row r="7658" spans="103:104" x14ac:dyDescent="0.3">
      <c r="CY7658" s="34" t="s">
        <v>8585</v>
      </c>
      <c r="CZ7658" s="35">
        <v>6.3730999999999996E-3</v>
      </c>
    </row>
    <row r="7659" spans="103:104" x14ac:dyDescent="0.3">
      <c r="CY7659" s="34" t="s">
        <v>8586</v>
      </c>
      <c r="CZ7659" s="35">
        <v>6.4500240000000004E-3</v>
      </c>
    </row>
    <row r="7660" spans="103:104" x14ac:dyDescent="0.3">
      <c r="CY7660" s="34" t="s">
        <v>8587</v>
      </c>
      <c r="CZ7660" s="35">
        <v>3.2351599999999999E-3</v>
      </c>
    </row>
    <row r="7661" spans="103:104" x14ac:dyDescent="0.3">
      <c r="CY7661" s="34" t="s">
        <v>8588</v>
      </c>
      <c r="CZ7661" s="35">
        <v>3.2988100000000001E-3</v>
      </c>
    </row>
    <row r="7662" spans="103:104" x14ac:dyDescent="0.3">
      <c r="CY7662" s="34" t="s">
        <v>8589</v>
      </c>
      <c r="CZ7662" s="35">
        <v>6.6639822250000008E-2</v>
      </c>
    </row>
    <row r="7663" spans="103:104" x14ac:dyDescent="0.3">
      <c r="CY7663" s="34" t="s">
        <v>8590</v>
      </c>
      <c r="CZ7663" s="35">
        <v>1.311071544668E-2</v>
      </c>
    </row>
    <row r="7664" spans="103:104" x14ac:dyDescent="0.3">
      <c r="CY7664" s="34" t="s">
        <v>8591</v>
      </c>
      <c r="CZ7664" s="35">
        <v>2.4708879999999999E-2</v>
      </c>
    </row>
    <row r="7665" spans="103:104" x14ac:dyDescent="0.3">
      <c r="CY7665" s="34" t="s">
        <v>8592</v>
      </c>
      <c r="CZ7665" s="35">
        <v>1.4880000008325E-2</v>
      </c>
    </row>
    <row r="7666" spans="103:104" x14ac:dyDescent="0.3">
      <c r="CY7666" s="34" t="s">
        <v>8593</v>
      </c>
      <c r="CZ7666" s="35">
        <v>3.172432E-2</v>
      </c>
    </row>
    <row r="7667" spans="103:104" x14ac:dyDescent="0.3">
      <c r="CY7667" s="34" t="s">
        <v>8594</v>
      </c>
      <c r="CZ7667" s="35">
        <v>2.1346800000000003E-2</v>
      </c>
    </row>
    <row r="7668" spans="103:104" x14ac:dyDescent="0.3">
      <c r="CY7668" s="34" t="s">
        <v>8595</v>
      </c>
      <c r="CZ7668" s="35">
        <v>8.3123306999999987E-3</v>
      </c>
    </row>
    <row r="7669" spans="103:104" x14ac:dyDescent="0.3">
      <c r="CY7669" s="34" t="s">
        <v>8596</v>
      </c>
      <c r="CZ7669" s="35">
        <v>2.2543010133333329E-3</v>
      </c>
    </row>
    <row r="7670" spans="103:104" x14ac:dyDescent="0.3">
      <c r="CY7670" s="34" t="s">
        <v>8597</v>
      </c>
      <c r="CZ7670" s="35">
        <v>6.0584893333333334E-3</v>
      </c>
    </row>
    <row r="7671" spans="103:104" x14ac:dyDescent="0.3">
      <c r="CY7671" s="34" t="s">
        <v>8598</v>
      </c>
      <c r="CZ7671" s="35">
        <v>1.9843759999999998E-2</v>
      </c>
    </row>
    <row r="7672" spans="103:104" x14ac:dyDescent="0.3">
      <c r="CY7672" s="34" t="s">
        <v>8599</v>
      </c>
      <c r="CZ7672" s="35">
        <v>0.16246151149999999</v>
      </c>
    </row>
    <row r="7673" spans="103:104" x14ac:dyDescent="0.3">
      <c r="CY7673" s="34" t="s">
        <v>8600</v>
      </c>
      <c r="CZ7673" s="35">
        <v>3.7851904000000013E-2</v>
      </c>
    </row>
    <row r="7674" spans="103:104" x14ac:dyDescent="0.3">
      <c r="CY7674" s="34" t="s">
        <v>8601</v>
      </c>
      <c r="CZ7674" s="35">
        <v>3.66304E-2</v>
      </c>
    </row>
    <row r="7675" spans="103:104" x14ac:dyDescent="0.3">
      <c r="CY7675" s="34" t="s">
        <v>8602</v>
      </c>
      <c r="CZ7675" s="35">
        <v>2.3747263999999997E-2</v>
      </c>
    </row>
    <row r="7676" spans="103:104" x14ac:dyDescent="0.3">
      <c r="CY7676" s="34" t="s">
        <v>8603</v>
      </c>
      <c r="CZ7676" s="35">
        <v>4.82992E-2</v>
      </c>
    </row>
    <row r="7677" spans="103:104" x14ac:dyDescent="0.3">
      <c r="CY7677" s="34" t="s">
        <v>8604</v>
      </c>
      <c r="CZ7677" s="35">
        <v>2.6703360000000002E-2</v>
      </c>
    </row>
    <row r="7678" spans="103:104" x14ac:dyDescent="0.3">
      <c r="CY7678" s="34" t="s">
        <v>8605</v>
      </c>
      <c r="CZ7678" s="35">
        <v>3.2562047999999996E-2</v>
      </c>
    </row>
    <row r="7679" spans="103:104" x14ac:dyDescent="0.3">
      <c r="CY7679" s="34" t="s">
        <v>8606</v>
      </c>
      <c r="CZ7679" s="35">
        <v>3.0592959999999995E-2</v>
      </c>
    </row>
    <row r="7680" spans="103:104" x14ac:dyDescent="0.3">
      <c r="CY7680" s="34" t="s">
        <v>8607</v>
      </c>
      <c r="CZ7680" s="35">
        <v>1.8683743999999995E-2</v>
      </c>
    </row>
    <row r="7681" spans="103:104" x14ac:dyDescent="0.3">
      <c r="CY7681" s="34" t="s">
        <v>8608</v>
      </c>
      <c r="CZ7681" s="35">
        <v>4.2561279999999996E-3</v>
      </c>
    </row>
    <row r="7682" spans="103:104" x14ac:dyDescent="0.3">
      <c r="CY7682" s="34" t="s">
        <v>8609</v>
      </c>
      <c r="CZ7682" s="35">
        <v>4.4111519999999998E-3</v>
      </c>
    </row>
    <row r="7683" spans="103:104" x14ac:dyDescent="0.3">
      <c r="CY7683" s="34" t="s">
        <v>8610</v>
      </c>
      <c r="CZ7683" s="35">
        <v>4.4387519999999989E-3</v>
      </c>
    </row>
    <row r="7684" spans="103:104" x14ac:dyDescent="0.3">
      <c r="CY7684" s="34" t="s">
        <v>8611</v>
      </c>
      <c r="CZ7684" s="35">
        <v>4.9319840000000004E-3</v>
      </c>
    </row>
    <row r="7685" spans="103:104" x14ac:dyDescent="0.3">
      <c r="CY7685" s="34" t="s">
        <v>8612</v>
      </c>
      <c r="CZ7685" s="35">
        <v>7.0005920000000008E-3</v>
      </c>
    </row>
    <row r="7686" spans="103:104" x14ac:dyDescent="0.3">
      <c r="CY7686" s="34" t="s">
        <v>8613</v>
      </c>
      <c r="CZ7686" s="35">
        <v>7.0005920000000008E-3</v>
      </c>
    </row>
    <row r="7687" spans="103:104" x14ac:dyDescent="0.3">
      <c r="CY7687" s="34" t="s">
        <v>8614</v>
      </c>
      <c r="CZ7687" s="35">
        <v>8.0131360000000006E-3</v>
      </c>
    </row>
    <row r="7688" spans="103:104" x14ac:dyDescent="0.3">
      <c r="CY7688" s="34" t="s">
        <v>8615</v>
      </c>
      <c r="CZ7688" s="35">
        <v>8.0131359999999988E-3</v>
      </c>
    </row>
    <row r="7689" spans="103:104" x14ac:dyDescent="0.3">
      <c r="CY7689" s="34" t="s">
        <v>8616</v>
      </c>
      <c r="CZ7689" s="35">
        <v>8.4902880000000003E-3</v>
      </c>
    </row>
    <row r="7690" spans="103:104" x14ac:dyDescent="0.3">
      <c r="CY7690" s="34" t="s">
        <v>8617</v>
      </c>
      <c r="CZ7690" s="35">
        <v>8.4902880000000003E-3</v>
      </c>
    </row>
    <row r="7691" spans="103:104" x14ac:dyDescent="0.3">
      <c r="CY7691" s="34" t="s">
        <v>8618</v>
      </c>
      <c r="CZ7691" s="35">
        <v>9.8847199999999996E-3</v>
      </c>
    </row>
    <row r="7692" spans="103:104" x14ac:dyDescent="0.3">
      <c r="CY7692" s="34" t="s">
        <v>8619</v>
      </c>
      <c r="CZ7692" s="35">
        <v>9.8927200000000007E-3</v>
      </c>
    </row>
    <row r="7693" spans="103:104" x14ac:dyDescent="0.3">
      <c r="CY7693" s="34" t="s">
        <v>8620</v>
      </c>
      <c r="CZ7693" s="35">
        <v>1.0233328E-2</v>
      </c>
    </row>
    <row r="7694" spans="103:104" x14ac:dyDescent="0.3">
      <c r="CY7694" s="34" t="s">
        <v>8621</v>
      </c>
      <c r="CZ7694" s="35">
        <v>1.0233328E-2</v>
      </c>
    </row>
    <row r="7695" spans="103:104" x14ac:dyDescent="0.3">
      <c r="CY7695" s="34" t="s">
        <v>8622</v>
      </c>
      <c r="CZ7695" s="35">
        <v>1.135736E-2</v>
      </c>
    </row>
    <row r="7696" spans="103:104" x14ac:dyDescent="0.3">
      <c r="CY7696" s="34" t="s">
        <v>8623</v>
      </c>
      <c r="CZ7696" s="35">
        <v>1.23074134E-2</v>
      </c>
    </row>
    <row r="7697" spans="103:104" x14ac:dyDescent="0.3">
      <c r="CY7697" s="34" t="s">
        <v>8624</v>
      </c>
      <c r="CZ7697" s="35">
        <v>1.1456693400000001E-2</v>
      </c>
    </row>
    <row r="7698" spans="103:104" x14ac:dyDescent="0.3">
      <c r="CY7698" s="34" t="s">
        <v>8625</v>
      </c>
      <c r="CZ7698" s="35">
        <v>1.4519285399999998E-2</v>
      </c>
    </row>
    <row r="7699" spans="103:104" x14ac:dyDescent="0.3">
      <c r="CY7699" s="34" t="s">
        <v>8626</v>
      </c>
      <c r="CZ7699" s="35">
        <v>1.4519285399999998E-2</v>
      </c>
    </row>
    <row r="7700" spans="103:104" x14ac:dyDescent="0.3">
      <c r="CY7700" s="34" t="s">
        <v>8627</v>
      </c>
      <c r="CZ7700" s="35">
        <v>0.49253576000000004</v>
      </c>
    </row>
    <row r="7701" spans="103:104" x14ac:dyDescent="0.3">
      <c r="CY7701" s="34" t="s">
        <v>8628</v>
      </c>
      <c r="CZ7701" s="35">
        <v>2.97495968E-3</v>
      </c>
    </row>
    <row r="7702" spans="103:104" x14ac:dyDescent="0.3">
      <c r="CY7702" s="34" t="s">
        <v>8629</v>
      </c>
      <c r="CZ7702" s="35">
        <v>7.0364400000000001E-4</v>
      </c>
    </row>
    <row r="7703" spans="103:104" x14ac:dyDescent="0.3">
      <c r="CY7703" s="34" t="s">
        <v>8630</v>
      </c>
      <c r="CZ7703" s="35">
        <v>1.2321792E-3</v>
      </c>
    </row>
    <row r="7704" spans="103:104" x14ac:dyDescent="0.3">
      <c r="CY7704" s="34" t="s">
        <v>8631</v>
      </c>
      <c r="CZ7704" s="35">
        <v>5.6920319999999996E-4</v>
      </c>
    </row>
    <row r="7705" spans="103:104" x14ac:dyDescent="0.3">
      <c r="CY7705" s="34" t="s">
        <v>8632</v>
      </c>
      <c r="CZ7705" s="35">
        <v>2.0059714714285717E-2</v>
      </c>
    </row>
    <row r="7706" spans="103:104" x14ac:dyDescent="0.3">
      <c r="CY7706" s="34" t="s">
        <v>8633</v>
      </c>
      <c r="CZ7706" s="35">
        <v>0.1765216</v>
      </c>
    </row>
    <row r="7707" spans="103:104" x14ac:dyDescent="0.3">
      <c r="CY7707" s="34" t="s">
        <v>8634</v>
      </c>
      <c r="CZ7707" s="35">
        <v>4.1369083011100006E-3</v>
      </c>
    </row>
    <row r="7708" spans="103:104" x14ac:dyDescent="0.3">
      <c r="CY7708" s="34" t="s">
        <v>8635</v>
      </c>
      <c r="CZ7708" s="35">
        <v>5.8849946692307699E-3</v>
      </c>
    </row>
    <row r="7709" spans="103:104" x14ac:dyDescent="0.3">
      <c r="CY7709" s="34" t="s">
        <v>8636</v>
      </c>
      <c r="CZ7709" s="35">
        <v>6.1364984615384617E-3</v>
      </c>
    </row>
    <row r="7710" spans="103:104" x14ac:dyDescent="0.3">
      <c r="CY7710" s="34" t="s">
        <v>8637</v>
      </c>
      <c r="CZ7710" s="35">
        <v>1.3660296000000001E-2</v>
      </c>
    </row>
    <row r="7711" spans="103:104" x14ac:dyDescent="0.3">
      <c r="CY7711" s="34" t="s">
        <v>8638</v>
      </c>
      <c r="CZ7711" s="35">
        <v>1.4185039999999999E-3</v>
      </c>
    </row>
    <row r="7712" spans="103:104" x14ac:dyDescent="0.3">
      <c r="CY7712" s="34" t="s">
        <v>8639</v>
      </c>
      <c r="CZ7712" s="35">
        <v>2.7547599999999998E-3</v>
      </c>
    </row>
    <row r="7713" spans="103:104" x14ac:dyDescent="0.3">
      <c r="CY7713" s="34" t="s">
        <v>8640</v>
      </c>
      <c r="CZ7713" s="35">
        <v>1.3692049999999999E-2</v>
      </c>
    </row>
    <row r="7714" spans="103:104" x14ac:dyDescent="0.3">
      <c r="CY7714" s="34" t="s">
        <v>8641</v>
      </c>
      <c r="CZ7714" s="35">
        <v>1.3692049999999999E-2</v>
      </c>
    </row>
    <row r="7715" spans="103:104" x14ac:dyDescent="0.3">
      <c r="CY7715" s="34" t="s">
        <v>8642</v>
      </c>
      <c r="CZ7715" s="35">
        <v>8.7975119999999987E-3</v>
      </c>
    </row>
    <row r="7716" spans="103:104" x14ac:dyDescent="0.3">
      <c r="CY7716" s="34" t="s">
        <v>8643</v>
      </c>
      <c r="CZ7716" s="35">
        <v>8.7975119999999987E-3</v>
      </c>
    </row>
    <row r="7717" spans="103:104" x14ac:dyDescent="0.3">
      <c r="CY7717" s="34" t="s">
        <v>8644</v>
      </c>
      <c r="CZ7717" s="35">
        <v>6.7973946666666663E-4</v>
      </c>
    </row>
    <row r="7718" spans="103:104" x14ac:dyDescent="0.3">
      <c r="CY7718" s="34" t="s">
        <v>8645</v>
      </c>
      <c r="CZ7718" s="35">
        <v>1.6588266666666665E-3</v>
      </c>
    </row>
    <row r="7719" spans="103:104" x14ac:dyDescent="0.3">
      <c r="CY7719" s="34" t="s">
        <v>8646</v>
      </c>
      <c r="CZ7719" s="35">
        <v>8.9773706666666682E-3</v>
      </c>
    </row>
    <row r="7720" spans="103:104" x14ac:dyDescent="0.3">
      <c r="CY7720" s="34" t="s">
        <v>8647</v>
      </c>
      <c r="CZ7720" s="35">
        <v>3.1153464000000006E-2</v>
      </c>
    </row>
    <row r="7721" spans="103:104" x14ac:dyDescent="0.3">
      <c r="CY7721" s="34" t="s">
        <v>8648</v>
      </c>
      <c r="CZ7721" s="35">
        <v>1.5018057599999999E-2</v>
      </c>
    </row>
    <row r="7722" spans="103:104" x14ac:dyDescent="0.3">
      <c r="CY7722" s="34" t="s">
        <v>8649</v>
      </c>
      <c r="CZ7722" s="35">
        <v>2.734465333E-2</v>
      </c>
    </row>
    <row r="7723" spans="103:104" x14ac:dyDescent="0.3">
      <c r="CY7723" s="34" t="s">
        <v>8650</v>
      </c>
      <c r="CZ7723" s="35">
        <v>2.734465333E-2</v>
      </c>
    </row>
    <row r="7724" spans="103:104" x14ac:dyDescent="0.3">
      <c r="CY7724" s="34" t="s">
        <v>8651</v>
      </c>
      <c r="CZ7724" s="35">
        <v>3.174884E-2</v>
      </c>
    </row>
    <row r="7725" spans="103:104" x14ac:dyDescent="0.3">
      <c r="CY7725" s="34" t="s">
        <v>8652</v>
      </c>
      <c r="CZ7725" s="35">
        <v>4.5697120000000001E-2</v>
      </c>
    </row>
    <row r="7726" spans="103:104" x14ac:dyDescent="0.3">
      <c r="CY7726" s="34" t="s">
        <v>8653</v>
      </c>
      <c r="CZ7726" s="35">
        <v>7.3703400000000004E-3</v>
      </c>
    </row>
    <row r="7727" spans="103:104" x14ac:dyDescent="0.3">
      <c r="CY7727" s="34" t="s">
        <v>8654</v>
      </c>
      <c r="CZ7727" s="35">
        <v>3.3729616000000005E-3</v>
      </c>
    </row>
    <row r="7728" spans="103:104" x14ac:dyDescent="0.3">
      <c r="CY7728" s="34" t="s">
        <v>8655</v>
      </c>
      <c r="CZ7728" s="35">
        <v>7.6320266666666673E-3</v>
      </c>
    </row>
    <row r="7729" spans="103:104" x14ac:dyDescent="0.3">
      <c r="CY7729" s="34" t="s">
        <v>8656</v>
      </c>
      <c r="CZ7729" s="35">
        <v>7.6320266666666664E-3</v>
      </c>
    </row>
    <row r="7730" spans="103:104" x14ac:dyDescent="0.3">
      <c r="CY7730" s="34" t="s">
        <v>8657</v>
      </c>
      <c r="CZ7730" s="35">
        <v>7.9002799999999991E-3</v>
      </c>
    </row>
    <row r="7731" spans="103:104" x14ac:dyDescent="0.3">
      <c r="CY7731" s="34" t="s">
        <v>8658</v>
      </c>
      <c r="CZ7731" s="35">
        <v>2.7740885400000005E-3</v>
      </c>
    </row>
    <row r="7732" spans="103:104" x14ac:dyDescent="0.3">
      <c r="CY7732" s="34" t="s">
        <v>8659</v>
      </c>
      <c r="CZ7732" s="35">
        <v>2.9767255999999999E-2</v>
      </c>
    </row>
    <row r="7733" spans="103:104" x14ac:dyDescent="0.3">
      <c r="CY7733" s="34" t="s">
        <v>8660</v>
      </c>
      <c r="CZ7733" s="35">
        <v>6.5279839999999997E-3</v>
      </c>
    </row>
    <row r="7734" spans="103:104" x14ac:dyDescent="0.3">
      <c r="CY7734" s="34" t="s">
        <v>8661</v>
      </c>
      <c r="CZ7734" s="35">
        <v>0.13623579999999999</v>
      </c>
    </row>
    <row r="7735" spans="103:104" x14ac:dyDescent="0.3">
      <c r="CY7735" s="34" t="s">
        <v>8662</v>
      </c>
      <c r="CZ7735" s="35">
        <v>2.8170776000000001E-3</v>
      </c>
    </row>
    <row r="7736" spans="103:104" x14ac:dyDescent="0.3">
      <c r="CY7736" s="34" t="s">
        <v>8663</v>
      </c>
      <c r="CZ7736" s="35">
        <v>2.0414743999999999E-2</v>
      </c>
    </row>
    <row r="7737" spans="103:104" x14ac:dyDescent="0.3">
      <c r="CY7737" s="34" t="s">
        <v>8664</v>
      </c>
      <c r="CZ7737" s="35">
        <v>2.3478560000000006E-2</v>
      </c>
    </row>
    <row r="7738" spans="103:104" x14ac:dyDescent="0.3">
      <c r="CY7738" s="34" t="s">
        <v>8665</v>
      </c>
      <c r="CZ7738" s="35">
        <v>2.2021039999999999E-2</v>
      </c>
    </row>
    <row r="7739" spans="103:104" x14ac:dyDescent="0.3">
      <c r="CY7739" s="34" t="s">
        <v>8666</v>
      </c>
      <c r="CZ7739" s="35">
        <v>7.6979399999999997E-4</v>
      </c>
    </row>
    <row r="7740" spans="103:104" x14ac:dyDescent="0.3">
      <c r="CY7740" s="34" t="s">
        <v>8667</v>
      </c>
      <c r="CZ7740" s="35">
        <v>1.9640479999999998E-2</v>
      </c>
    </row>
    <row r="7741" spans="103:104" x14ac:dyDescent="0.3">
      <c r="CY7741" s="34" t="s">
        <v>8668</v>
      </c>
      <c r="CZ7741" s="35">
        <v>1.6027274666666667E-2</v>
      </c>
    </row>
    <row r="7742" spans="103:104" x14ac:dyDescent="0.3">
      <c r="CY7742" s="34" t="s">
        <v>8669</v>
      </c>
      <c r="CZ7742" s="35">
        <v>2.1496520000000002E-2</v>
      </c>
    </row>
    <row r="7743" spans="103:104" x14ac:dyDescent="0.3">
      <c r="CY7743" s="34" t="s">
        <v>8670</v>
      </c>
      <c r="CZ7743" s="35">
        <v>1.0018853333333335E-3</v>
      </c>
    </row>
    <row r="7744" spans="103:104" x14ac:dyDescent="0.3">
      <c r="CY7744" s="34" t="s">
        <v>8671</v>
      </c>
      <c r="CZ7744" s="35">
        <v>1.2833419999999998E-3</v>
      </c>
    </row>
    <row r="7745" spans="103:104" x14ac:dyDescent="0.3">
      <c r="CY7745" s="34" t="s">
        <v>8672</v>
      </c>
      <c r="CZ7745" s="35">
        <v>1.567288E-2</v>
      </c>
    </row>
    <row r="7746" spans="103:104" x14ac:dyDescent="0.3">
      <c r="CY7746" s="34" t="s">
        <v>8673</v>
      </c>
      <c r="CZ7746" s="35">
        <v>1.0033558328125001E-2</v>
      </c>
    </row>
    <row r="7747" spans="103:104" x14ac:dyDescent="0.3">
      <c r="CY7747" s="34" t="s">
        <v>8674</v>
      </c>
      <c r="CZ7747" s="35">
        <v>9.085152E-4</v>
      </c>
    </row>
    <row r="7748" spans="103:104" x14ac:dyDescent="0.3">
      <c r="CY7748" s="34" t="s">
        <v>8675</v>
      </c>
      <c r="CZ7748" s="35">
        <v>2.5554052300000001E-2</v>
      </c>
    </row>
    <row r="7749" spans="103:104" x14ac:dyDescent="0.3">
      <c r="CY7749" s="34" t="s">
        <v>8676</v>
      </c>
      <c r="CZ7749" s="35">
        <v>2.5554052300000001E-2</v>
      </c>
    </row>
    <row r="7750" spans="103:104" x14ac:dyDescent="0.3">
      <c r="CY7750" s="34" t="s">
        <v>8677</v>
      </c>
      <c r="CZ7750" s="35">
        <v>3.2185405299999997E-2</v>
      </c>
    </row>
    <row r="7751" spans="103:104" x14ac:dyDescent="0.3">
      <c r="CY7751" s="34" t="s">
        <v>8678</v>
      </c>
      <c r="CZ7751" s="35">
        <v>8.1993400000000003E-4</v>
      </c>
    </row>
    <row r="7752" spans="103:104" x14ac:dyDescent="0.3">
      <c r="CY7752" s="34" t="s">
        <v>8679</v>
      </c>
      <c r="CZ7752" s="35">
        <v>1.1983988000000001E-2</v>
      </c>
    </row>
    <row r="7753" spans="103:104" x14ac:dyDescent="0.3">
      <c r="CY7753" s="34" t="s">
        <v>8680</v>
      </c>
      <c r="CZ7753" s="35">
        <v>2.752228E-2</v>
      </c>
    </row>
    <row r="7754" spans="103:104" x14ac:dyDescent="0.3">
      <c r="CY7754" s="34" t="s">
        <v>8681</v>
      </c>
      <c r="CZ7754" s="35">
        <v>1.1539700000000002E-2</v>
      </c>
    </row>
    <row r="7755" spans="103:104" x14ac:dyDescent="0.3">
      <c r="CY7755" s="34" t="s">
        <v>8682</v>
      </c>
      <c r="CZ7755" s="35">
        <v>9.6666000000000005E-4</v>
      </c>
    </row>
    <row r="7756" spans="103:104" x14ac:dyDescent="0.3">
      <c r="CY7756" s="34" t="s">
        <v>8683</v>
      </c>
      <c r="CZ7756" s="35">
        <v>8.5000015999999996E-4</v>
      </c>
    </row>
    <row r="7757" spans="103:104" x14ac:dyDescent="0.3">
      <c r="CY7757" s="34" t="s">
        <v>8684</v>
      </c>
      <c r="CZ7757" s="35">
        <v>1.0879416000000002E-3</v>
      </c>
    </row>
    <row r="7758" spans="103:104" x14ac:dyDescent="0.3">
      <c r="CY7758" s="34" t="s">
        <v>8685</v>
      </c>
      <c r="CZ7758" s="35">
        <v>1.0879416000000002E-3</v>
      </c>
    </row>
    <row r="7759" spans="103:104" x14ac:dyDescent="0.3">
      <c r="CY7759" s="34" t="s">
        <v>8686</v>
      </c>
      <c r="CZ7759" s="35">
        <v>1.197189856187291E-3</v>
      </c>
    </row>
    <row r="7760" spans="103:104" x14ac:dyDescent="0.3">
      <c r="CY7760" s="34" t="s">
        <v>8687</v>
      </c>
      <c r="CZ7760" s="35">
        <v>4.4124226676923069E-3</v>
      </c>
    </row>
    <row r="7761" spans="103:104" x14ac:dyDescent="0.3">
      <c r="CY7761" s="34" t="s">
        <v>8688</v>
      </c>
      <c r="CZ7761" s="35">
        <v>2.7612560000000001E-2</v>
      </c>
    </row>
    <row r="7762" spans="103:104" x14ac:dyDescent="0.3">
      <c r="CY7762" s="34" t="s">
        <v>8689</v>
      </c>
      <c r="CZ7762" s="35">
        <v>2.1099888E-3</v>
      </c>
    </row>
    <row r="7763" spans="103:104" x14ac:dyDescent="0.3">
      <c r="CY7763" s="34" t="s">
        <v>8690</v>
      </c>
      <c r="CZ7763" s="35">
        <v>6.6017590000000004E-3</v>
      </c>
    </row>
    <row r="7764" spans="103:104" x14ac:dyDescent="0.3">
      <c r="CY7764" s="34" t="s">
        <v>8691</v>
      </c>
      <c r="CZ7764" s="35">
        <v>3.5882788599999999E-3</v>
      </c>
    </row>
    <row r="7765" spans="103:104" x14ac:dyDescent="0.3">
      <c r="CY7765" s="34" t="s">
        <v>8692</v>
      </c>
      <c r="CZ7765" s="35">
        <v>1.8316492E-2</v>
      </c>
    </row>
    <row r="7766" spans="103:104" x14ac:dyDescent="0.3">
      <c r="CY7766" s="34" t="s">
        <v>8693</v>
      </c>
      <c r="CZ7766" s="35">
        <v>5.2360720000000005E-3</v>
      </c>
    </row>
    <row r="7767" spans="103:104" x14ac:dyDescent="0.3">
      <c r="CY7767" s="34" t="s">
        <v>8694</v>
      </c>
      <c r="CZ7767" s="35">
        <v>9.6438586749999985E-3</v>
      </c>
    </row>
    <row r="7768" spans="103:104" x14ac:dyDescent="0.3">
      <c r="CY7768" s="34" t="s">
        <v>8695</v>
      </c>
      <c r="CZ7768" s="35">
        <v>2.13590736E-2</v>
      </c>
    </row>
    <row r="7769" spans="103:104" x14ac:dyDescent="0.3">
      <c r="CY7769" s="34" t="s">
        <v>8696</v>
      </c>
      <c r="CZ7769" s="35">
        <v>9.9990400000000003E-4</v>
      </c>
    </row>
    <row r="7770" spans="103:104" x14ac:dyDescent="0.3">
      <c r="CY7770" s="34" t="s">
        <v>8697</v>
      </c>
      <c r="CZ7770" s="35">
        <v>4.0346399999999997E-4</v>
      </c>
    </row>
    <row r="7771" spans="103:104" x14ac:dyDescent="0.3">
      <c r="CY7771" s="34" t="s">
        <v>8698</v>
      </c>
      <c r="CZ7771" s="35">
        <v>3.2797920000000001E-3</v>
      </c>
    </row>
    <row r="7772" spans="103:104" x14ac:dyDescent="0.3">
      <c r="CY7772" s="34" t="s">
        <v>8699</v>
      </c>
      <c r="CZ7772" s="35">
        <v>2.0015907640000001E-3</v>
      </c>
    </row>
    <row r="7773" spans="103:104" x14ac:dyDescent="0.3">
      <c r="CY7773" s="34" t="s">
        <v>8700</v>
      </c>
      <c r="CZ7773" s="35">
        <v>1.0122228E-3</v>
      </c>
    </row>
    <row r="7774" spans="103:104" x14ac:dyDescent="0.3">
      <c r="CY7774" s="34" t="s">
        <v>8701</v>
      </c>
      <c r="CZ7774" s="35">
        <v>3.8398906499999999E-3</v>
      </c>
    </row>
    <row r="7775" spans="103:104" x14ac:dyDescent="0.3">
      <c r="CY7775" s="34" t="s">
        <v>8702</v>
      </c>
      <c r="CZ7775" s="35">
        <v>3.8533573499999999E-3</v>
      </c>
    </row>
    <row r="7776" spans="103:104" x14ac:dyDescent="0.3">
      <c r="CY7776" s="34" t="s">
        <v>8703</v>
      </c>
      <c r="CZ7776" s="35">
        <v>9.3994799999999991E-4</v>
      </c>
    </row>
    <row r="7777" spans="103:104" x14ac:dyDescent="0.3">
      <c r="CY7777" s="34" t="s">
        <v>8704</v>
      </c>
      <c r="CZ7777" s="35">
        <v>3.5682079999999998E-3</v>
      </c>
    </row>
    <row r="7778" spans="103:104" x14ac:dyDescent="0.3">
      <c r="CY7778" s="34" t="s">
        <v>8705</v>
      </c>
      <c r="CZ7778" s="35">
        <v>4.403456E-3</v>
      </c>
    </row>
    <row r="7779" spans="103:104" x14ac:dyDescent="0.3">
      <c r="CY7779" s="34" t="s">
        <v>8706</v>
      </c>
      <c r="CZ7779" s="35">
        <v>9.258680200000001E-3</v>
      </c>
    </row>
    <row r="7780" spans="103:104" x14ac:dyDescent="0.3">
      <c r="CY7780" s="34" t="s">
        <v>8707</v>
      </c>
      <c r="CZ7780" s="35">
        <v>1.8030959999999999E-3</v>
      </c>
    </row>
    <row r="7781" spans="103:104" x14ac:dyDescent="0.3">
      <c r="CY7781" s="34" t="s">
        <v>8708</v>
      </c>
      <c r="CZ7781" s="35">
        <v>1.0845340000000002E-2</v>
      </c>
    </row>
    <row r="7782" spans="103:104" x14ac:dyDescent="0.3">
      <c r="CY7782" s="34" t="s">
        <v>8709</v>
      </c>
      <c r="CZ7782" s="35">
        <v>2.449428E-3</v>
      </c>
    </row>
    <row r="7783" spans="103:104" x14ac:dyDescent="0.3">
      <c r="CY7783" s="34" t="s">
        <v>8710</v>
      </c>
      <c r="CZ7783" s="35">
        <v>2.2309279999999996E-3</v>
      </c>
    </row>
    <row r="7784" spans="103:104" x14ac:dyDescent="0.3">
      <c r="CY7784" s="34" t="s">
        <v>8711</v>
      </c>
      <c r="CZ7784" s="35">
        <v>1.26532E-2</v>
      </c>
    </row>
    <row r="7785" spans="103:104" x14ac:dyDescent="0.3">
      <c r="CY7785" s="34" t="s">
        <v>8712</v>
      </c>
      <c r="CZ7785" s="35">
        <v>1.4680042666666667E-2</v>
      </c>
    </row>
    <row r="7786" spans="103:104" x14ac:dyDescent="0.3">
      <c r="CY7786" s="34" t="s">
        <v>8713</v>
      </c>
      <c r="CZ7786" s="35">
        <v>1.4685376E-2</v>
      </c>
    </row>
    <row r="7787" spans="103:104" x14ac:dyDescent="0.3">
      <c r="CY7787" s="34" t="s">
        <v>8714</v>
      </c>
      <c r="CZ7787" s="35">
        <v>6.6978179999999998E-2</v>
      </c>
    </row>
    <row r="7788" spans="103:104" x14ac:dyDescent="0.3">
      <c r="CY7788" s="34" t="s">
        <v>8715</v>
      </c>
      <c r="CZ7788" s="35">
        <v>4.2008134000000003E-2</v>
      </c>
    </row>
    <row r="7789" spans="103:104" x14ac:dyDescent="0.3">
      <c r="CY7789" s="34" t="s">
        <v>8716</v>
      </c>
      <c r="CZ7789" s="35">
        <v>3.9490928E-4</v>
      </c>
    </row>
    <row r="7790" spans="103:104" x14ac:dyDescent="0.3">
      <c r="CY7790" s="34" t="s">
        <v>8717</v>
      </c>
      <c r="CZ7790" s="35">
        <v>5.6803912000000006E-4</v>
      </c>
    </row>
    <row r="7791" spans="103:104" x14ac:dyDescent="0.3">
      <c r="CY7791" s="34" t="s">
        <v>8718</v>
      </c>
      <c r="CZ7791" s="35">
        <v>2.1635249600000001E-3</v>
      </c>
    </row>
    <row r="7792" spans="103:104" x14ac:dyDescent="0.3">
      <c r="CY7792" s="34" t="s">
        <v>8719</v>
      </c>
      <c r="CZ7792" s="35">
        <v>8.3517599999999997E-3</v>
      </c>
    </row>
    <row r="7793" spans="103:104" x14ac:dyDescent="0.3">
      <c r="CY7793" s="34" t="s">
        <v>8720</v>
      </c>
      <c r="CZ7793" s="35">
        <v>7.7155340000000003E-2</v>
      </c>
    </row>
    <row r="7794" spans="103:104" x14ac:dyDescent="0.3">
      <c r="CY7794" s="34" t="s">
        <v>8721</v>
      </c>
      <c r="CZ7794" s="35">
        <v>9.4766550000000005E-2</v>
      </c>
    </row>
    <row r="7795" spans="103:104" x14ac:dyDescent="0.3">
      <c r="CY7795" s="34" t="s">
        <v>8722</v>
      </c>
      <c r="CZ7795" s="35">
        <v>9.9938470000000001E-2</v>
      </c>
    </row>
    <row r="7796" spans="103:104" x14ac:dyDescent="0.3">
      <c r="CY7796" s="34" t="s">
        <v>8723</v>
      </c>
      <c r="CZ7796" s="35">
        <v>2.6561084E-3</v>
      </c>
    </row>
    <row r="7797" spans="103:104" x14ac:dyDescent="0.3">
      <c r="CY7797" s="34" t="s">
        <v>8724</v>
      </c>
      <c r="CZ7797" s="35">
        <v>9.1393799999999997E-2</v>
      </c>
    </row>
    <row r="7798" spans="103:104" x14ac:dyDescent="0.3">
      <c r="CY7798" s="34" t="s">
        <v>8725</v>
      </c>
      <c r="CZ7798" s="35">
        <v>1.6523822222222219E-3</v>
      </c>
    </row>
    <row r="7799" spans="103:104" x14ac:dyDescent="0.3">
      <c r="CY7799" s="34" t="s">
        <v>8726</v>
      </c>
      <c r="CZ7799" s="35">
        <v>1.8099488000000004E-2</v>
      </c>
    </row>
    <row r="7800" spans="103:104" x14ac:dyDescent="0.3">
      <c r="CY7800" s="34" t="s">
        <v>8727</v>
      </c>
      <c r="CZ7800" s="35">
        <v>7.4937679999999993E-2</v>
      </c>
    </row>
    <row r="7801" spans="103:104" x14ac:dyDescent="0.3">
      <c r="CY7801" s="34" t="s">
        <v>8728</v>
      </c>
      <c r="CZ7801" s="35">
        <v>7.9217032870499988E-3</v>
      </c>
    </row>
    <row r="7802" spans="103:104" x14ac:dyDescent="0.3">
      <c r="CY7802" s="34" t="s">
        <v>8729</v>
      </c>
      <c r="CZ7802" s="35">
        <v>4.2920959999999996E-3</v>
      </c>
    </row>
    <row r="7803" spans="103:104" x14ac:dyDescent="0.3">
      <c r="CY7803" s="34" t="s">
        <v>8730</v>
      </c>
      <c r="CZ7803" s="35">
        <v>5.0535120000000003E-2</v>
      </c>
    </row>
    <row r="7804" spans="103:104" x14ac:dyDescent="0.3">
      <c r="CY7804" s="34" t="s">
        <v>8731</v>
      </c>
      <c r="CZ7804" s="35">
        <v>1.5150640000000002E-3</v>
      </c>
    </row>
    <row r="7805" spans="103:104" x14ac:dyDescent="0.3">
      <c r="CY7805" s="34" t="s">
        <v>8732</v>
      </c>
      <c r="CZ7805" s="35">
        <v>2.8846613333333338E-3</v>
      </c>
    </row>
    <row r="7806" spans="103:104" x14ac:dyDescent="0.3">
      <c r="CY7806" s="34" t="s">
        <v>8733</v>
      </c>
      <c r="CZ7806" s="35">
        <v>3.6866186666666662E-2</v>
      </c>
    </row>
    <row r="7807" spans="103:104" x14ac:dyDescent="0.3">
      <c r="CY7807" s="34" t="s">
        <v>8734</v>
      </c>
      <c r="CZ7807" s="35">
        <v>7.432873999999999E-2</v>
      </c>
    </row>
    <row r="7808" spans="103:104" x14ac:dyDescent="0.3">
      <c r="CY7808" s="34" t="s">
        <v>8735</v>
      </c>
      <c r="CZ7808" s="35">
        <v>6.7112738461538451E-2</v>
      </c>
    </row>
    <row r="7809" spans="103:104" x14ac:dyDescent="0.3">
      <c r="CY7809" s="34" t="s">
        <v>8736</v>
      </c>
      <c r="CZ7809" s="35">
        <v>3.5330266399999999E-3</v>
      </c>
    </row>
    <row r="7810" spans="103:104" x14ac:dyDescent="0.3">
      <c r="CY7810" s="34" t="s">
        <v>8737</v>
      </c>
      <c r="CZ7810" s="35">
        <v>4.3274904200000006E-2</v>
      </c>
    </row>
    <row r="7811" spans="103:104" x14ac:dyDescent="0.3">
      <c r="CY7811" s="34" t="s">
        <v>8738</v>
      </c>
      <c r="CZ7811" s="35">
        <v>5.4327977749999996E-3</v>
      </c>
    </row>
    <row r="7812" spans="103:104" x14ac:dyDescent="0.3">
      <c r="CY7812" s="34" t="s">
        <v>8739</v>
      </c>
      <c r="CZ7812" s="35">
        <v>7.3190480000000002E-2</v>
      </c>
    </row>
    <row r="7813" spans="103:104" x14ac:dyDescent="0.3">
      <c r="CY7813" s="34" t="s">
        <v>8740</v>
      </c>
      <c r="CZ7813" s="35">
        <v>6.0626000000000006E-2</v>
      </c>
    </row>
    <row r="7814" spans="103:104" x14ac:dyDescent="0.3">
      <c r="CY7814" s="34" t="s">
        <v>8741</v>
      </c>
      <c r="CZ7814" s="35">
        <v>3.65908E-2</v>
      </c>
    </row>
    <row r="7815" spans="103:104" x14ac:dyDescent="0.3">
      <c r="CY7815" s="34" t="s">
        <v>8742</v>
      </c>
      <c r="CZ7815" s="35">
        <v>1.2041626666666666E-2</v>
      </c>
    </row>
    <row r="7816" spans="103:104" x14ac:dyDescent="0.3">
      <c r="CY7816" s="34" t="s">
        <v>8743</v>
      </c>
      <c r="CZ7816" s="35">
        <v>2.8707867666666668E-2</v>
      </c>
    </row>
    <row r="7817" spans="103:104" x14ac:dyDescent="0.3">
      <c r="CY7817" s="34" t="s">
        <v>8744</v>
      </c>
      <c r="CZ7817" s="35">
        <v>5.7877519999999995E-2</v>
      </c>
    </row>
    <row r="7818" spans="103:104" x14ac:dyDescent="0.3">
      <c r="CY7818" s="34" t="s">
        <v>8745</v>
      </c>
      <c r="CZ7818" s="35">
        <v>6.9787599999999991E-2</v>
      </c>
    </row>
    <row r="7819" spans="103:104" x14ac:dyDescent="0.3">
      <c r="CY7819" s="34" t="s">
        <v>8746</v>
      </c>
      <c r="CZ7819" s="35">
        <v>4.0076880000000002E-2</v>
      </c>
    </row>
    <row r="7820" spans="103:104" x14ac:dyDescent="0.3">
      <c r="CY7820" s="34" t="s">
        <v>8747</v>
      </c>
      <c r="CZ7820" s="35">
        <v>5.1071760000000001E-2</v>
      </c>
    </row>
    <row r="7821" spans="103:104" x14ac:dyDescent="0.3">
      <c r="CY7821" s="34" t="s">
        <v>8748</v>
      </c>
      <c r="CZ7821" s="35">
        <v>4.9370320000000002E-2</v>
      </c>
    </row>
    <row r="7822" spans="103:104" x14ac:dyDescent="0.3">
      <c r="CY7822" s="34" t="s">
        <v>8749</v>
      </c>
      <c r="CZ7822" s="35">
        <v>2.8753640000000004E-2</v>
      </c>
    </row>
    <row r="7823" spans="103:104" x14ac:dyDescent="0.3">
      <c r="CY7823" s="34" t="s">
        <v>8750</v>
      </c>
      <c r="CZ7823" s="35">
        <v>2.8753640000000004E-2</v>
      </c>
    </row>
    <row r="7824" spans="103:104" x14ac:dyDescent="0.3">
      <c r="CY7824" s="34" t="s">
        <v>8751</v>
      </c>
      <c r="CZ7824" s="35">
        <v>1.8039823999999999E-3</v>
      </c>
    </row>
    <row r="7825" spans="103:104" x14ac:dyDescent="0.3">
      <c r="CY7825" s="34" t="s">
        <v>8752</v>
      </c>
      <c r="CZ7825" s="35">
        <v>7.2858640000000006E-4</v>
      </c>
    </row>
    <row r="7826" spans="103:104" x14ac:dyDescent="0.3">
      <c r="CY7826" s="34" t="s">
        <v>8753</v>
      </c>
      <c r="CZ7826" s="35">
        <v>1.7299280000000002E-4</v>
      </c>
    </row>
    <row r="7827" spans="103:104" x14ac:dyDescent="0.3">
      <c r="CY7827" s="34" t="s">
        <v>8754</v>
      </c>
      <c r="CZ7827" s="35">
        <v>6.7313413333333332E-3</v>
      </c>
    </row>
    <row r="7828" spans="103:104" x14ac:dyDescent="0.3">
      <c r="CY7828" s="34" t="s">
        <v>8755</v>
      </c>
      <c r="CZ7828" s="35">
        <v>9.1184000000000013E-4</v>
      </c>
    </row>
    <row r="7829" spans="103:104" x14ac:dyDescent="0.3">
      <c r="CY7829" s="34" t="s">
        <v>8756</v>
      </c>
      <c r="CZ7829" s="35">
        <v>1.7565486225000003E-3</v>
      </c>
    </row>
    <row r="7830" spans="103:104" x14ac:dyDescent="0.3">
      <c r="CY7830" s="34" t="s">
        <v>8757</v>
      </c>
      <c r="CZ7830" s="35">
        <v>9.8730453349999987E-4</v>
      </c>
    </row>
    <row r="7831" spans="103:104" x14ac:dyDescent="0.3">
      <c r="CY7831" s="34" t="s">
        <v>8758</v>
      </c>
      <c r="CZ7831" s="35">
        <v>2.6818440000000001E-3</v>
      </c>
    </row>
    <row r="7832" spans="103:104" x14ac:dyDescent="0.3">
      <c r="CY7832" s="34" t="s">
        <v>8759</v>
      </c>
      <c r="CZ7832" s="35">
        <v>1.1078344E-3</v>
      </c>
    </row>
    <row r="7833" spans="103:104" x14ac:dyDescent="0.3">
      <c r="CY7833" s="34" t="s">
        <v>8760</v>
      </c>
      <c r="CZ7833" s="35">
        <v>1.1716176E-3</v>
      </c>
    </row>
    <row r="7834" spans="103:104" x14ac:dyDescent="0.3">
      <c r="CY7834" s="34" t="s">
        <v>8761</v>
      </c>
      <c r="CZ7834" s="35">
        <v>2.0058056000000005E-3</v>
      </c>
    </row>
    <row r="7835" spans="103:104" x14ac:dyDescent="0.3">
      <c r="CY7835" s="34" t="s">
        <v>8762</v>
      </c>
      <c r="CZ7835" s="35">
        <v>1.7182663999999997E-3</v>
      </c>
    </row>
    <row r="7836" spans="103:104" x14ac:dyDescent="0.3">
      <c r="CY7836" s="34" t="s">
        <v>8763</v>
      </c>
      <c r="CZ7836" s="35">
        <v>1.2750571428600001E-3</v>
      </c>
    </row>
    <row r="7837" spans="103:104" x14ac:dyDescent="0.3">
      <c r="CY7837" s="34" t="s">
        <v>8764</v>
      </c>
      <c r="CZ7837" s="35">
        <v>1.0267155428599999E-3</v>
      </c>
    </row>
    <row r="7838" spans="103:104" x14ac:dyDescent="0.3">
      <c r="CY7838" s="34" t="s">
        <v>8765</v>
      </c>
      <c r="CZ7838" s="35">
        <v>3.9349386625000003E-2</v>
      </c>
    </row>
    <row r="7839" spans="103:104" x14ac:dyDescent="0.3">
      <c r="CY7839" s="34" t="s">
        <v>8766</v>
      </c>
      <c r="CZ7839" s="35">
        <v>0.12117863324999999</v>
      </c>
    </row>
    <row r="7840" spans="103:104" x14ac:dyDescent="0.3">
      <c r="CY7840" s="34" t="s">
        <v>8767</v>
      </c>
      <c r="CZ7840" s="35">
        <v>0.12752679332</v>
      </c>
    </row>
    <row r="7841" spans="103:104" x14ac:dyDescent="0.3">
      <c r="CY7841" s="34" t="s">
        <v>8768</v>
      </c>
      <c r="CZ7841" s="35">
        <v>0.13598615999999997</v>
      </c>
    </row>
    <row r="7842" spans="103:104" x14ac:dyDescent="0.3">
      <c r="CY7842" s="34" t="s">
        <v>8769</v>
      </c>
      <c r="CZ7842" s="35">
        <v>1.2031703999999999E-2</v>
      </c>
    </row>
    <row r="7843" spans="103:104" x14ac:dyDescent="0.3">
      <c r="CY7843" s="34" t="s">
        <v>8770</v>
      </c>
      <c r="CZ7843" s="35">
        <v>1.1252002000000001E-2</v>
      </c>
    </row>
    <row r="7844" spans="103:104" x14ac:dyDescent="0.3">
      <c r="CY7844" s="34" t="s">
        <v>8771</v>
      </c>
      <c r="CZ7844" s="35">
        <v>9.811813332500001E-4</v>
      </c>
    </row>
    <row r="7845" spans="103:104" x14ac:dyDescent="0.3">
      <c r="CY7845" s="34" t="s">
        <v>8772</v>
      </c>
      <c r="CZ7845" s="35">
        <v>4.9857600000000003E-4</v>
      </c>
    </row>
    <row r="7846" spans="103:104" x14ac:dyDescent="0.3">
      <c r="CY7846" s="34" t="s">
        <v>8773</v>
      </c>
      <c r="CZ7846" s="35">
        <v>2.4257457836363634E-2</v>
      </c>
    </row>
    <row r="7847" spans="103:104" x14ac:dyDescent="0.3">
      <c r="CY7847" s="34" t="s">
        <v>8774</v>
      </c>
      <c r="CZ7847" s="35">
        <v>0.10272148000000002</v>
      </c>
    </row>
    <row r="7848" spans="103:104" x14ac:dyDescent="0.3">
      <c r="CY7848" s="34" t="s">
        <v>8775</v>
      </c>
      <c r="CZ7848" s="35">
        <v>0.14101147999999997</v>
      </c>
    </row>
    <row r="7849" spans="103:104" x14ac:dyDescent="0.3">
      <c r="CY7849" s="34" t="s">
        <v>8776</v>
      </c>
      <c r="CZ7849" s="35">
        <v>9.1612200000000005E-2</v>
      </c>
    </row>
    <row r="7850" spans="103:104" x14ac:dyDescent="0.3">
      <c r="CY7850" s="34" t="s">
        <v>8777</v>
      </c>
      <c r="CZ7850" s="35">
        <v>3.8118799999999994E-2</v>
      </c>
    </row>
    <row r="7851" spans="103:104" x14ac:dyDescent="0.3">
      <c r="CY7851" s="34" t="s">
        <v>8778</v>
      </c>
      <c r="CZ7851" s="35">
        <v>7.6663964100000009E-2</v>
      </c>
    </row>
    <row r="7852" spans="103:104" x14ac:dyDescent="0.3">
      <c r="CY7852" s="34" t="s">
        <v>8779</v>
      </c>
      <c r="CZ7852" s="35">
        <v>0.19635343999999996</v>
      </c>
    </row>
    <row r="7853" spans="103:104" x14ac:dyDescent="0.3">
      <c r="CY7853" s="34" t="s">
        <v>8780</v>
      </c>
      <c r="CZ7853" s="35">
        <v>8.9234599999999983E-2</v>
      </c>
    </row>
    <row r="7854" spans="103:104" x14ac:dyDescent="0.3">
      <c r="CY7854" s="34" t="s">
        <v>8781</v>
      </c>
      <c r="CZ7854" s="35">
        <v>0.10340284</v>
      </c>
    </row>
    <row r="7855" spans="103:104" x14ac:dyDescent="0.3">
      <c r="CY7855" s="34" t="s">
        <v>8782</v>
      </c>
      <c r="CZ7855" s="35">
        <v>4.3961319999999998E-2</v>
      </c>
    </row>
    <row r="7856" spans="103:104" x14ac:dyDescent="0.3">
      <c r="CY7856" s="34" t="s">
        <v>8783</v>
      </c>
      <c r="CZ7856" s="35">
        <v>1.2507200000000001E-2</v>
      </c>
    </row>
    <row r="7857" spans="103:104" x14ac:dyDescent="0.3">
      <c r="CY7857" s="34" t="s">
        <v>8784</v>
      </c>
      <c r="CZ7857" s="35">
        <v>4.5562667000000001E-2</v>
      </c>
    </row>
    <row r="7858" spans="103:104" x14ac:dyDescent="0.3">
      <c r="CY7858" s="34" t="s">
        <v>8785</v>
      </c>
      <c r="CZ7858" s="35">
        <v>1.1656790556000001E-2</v>
      </c>
    </row>
    <row r="7859" spans="103:104" x14ac:dyDescent="0.3">
      <c r="CY7859" s="34" t="s">
        <v>8786</v>
      </c>
      <c r="CZ7859" s="35">
        <v>9.1382640000000001E-2</v>
      </c>
    </row>
    <row r="7860" spans="103:104" x14ac:dyDescent="0.3">
      <c r="CY7860" s="34" t="s">
        <v>8787</v>
      </c>
      <c r="CZ7860" s="35">
        <v>4.3961319999999998E-2</v>
      </c>
    </row>
    <row r="7861" spans="103:104" x14ac:dyDescent="0.3">
      <c r="CY7861" s="34" t="s">
        <v>8788</v>
      </c>
      <c r="CZ7861" s="35">
        <v>0.103402752</v>
      </c>
    </row>
    <row r="7862" spans="103:104" x14ac:dyDescent="0.3">
      <c r="CY7862" s="34" t="s">
        <v>8789</v>
      </c>
      <c r="CZ7862" s="35">
        <v>4.9971375999999998E-2</v>
      </c>
    </row>
    <row r="7863" spans="103:104" x14ac:dyDescent="0.3">
      <c r="CY7863" s="34" t="s">
        <v>8790</v>
      </c>
      <c r="CZ7863" s="35">
        <v>6.4939999999999998E-3</v>
      </c>
    </row>
    <row r="7864" spans="103:104" x14ac:dyDescent="0.3">
      <c r="CY7864" s="34" t="s">
        <v>8791</v>
      </c>
      <c r="CZ7864" s="35">
        <v>0.27710304000000002</v>
      </c>
    </row>
    <row r="7865" spans="103:104" x14ac:dyDescent="0.3">
      <c r="CY7865" s="34" t="s">
        <v>8792</v>
      </c>
      <c r="CZ7865" s="35">
        <v>4.117316E-2</v>
      </c>
    </row>
    <row r="7866" spans="103:104" x14ac:dyDescent="0.3">
      <c r="CY7866" s="34" t="s">
        <v>8793</v>
      </c>
      <c r="CZ7866" s="35">
        <v>4.8292799999999998E-4</v>
      </c>
    </row>
    <row r="7867" spans="103:104" x14ac:dyDescent="0.3">
      <c r="CY7867" s="34" t="s">
        <v>8794</v>
      </c>
      <c r="CZ7867" s="35">
        <v>3.9325600000000003E-4</v>
      </c>
    </row>
    <row r="7868" spans="103:104" x14ac:dyDescent="0.3">
      <c r="CY7868" s="34" t="s">
        <v>8795</v>
      </c>
      <c r="CZ7868" s="35">
        <v>3.3579080000000006E-3</v>
      </c>
    </row>
    <row r="7869" spans="103:104" x14ac:dyDescent="0.3">
      <c r="CY7869" s="34" t="s">
        <v>8796</v>
      </c>
      <c r="CZ7869" s="35">
        <v>2.6836942399999998E-3</v>
      </c>
    </row>
    <row r="7870" spans="103:104" x14ac:dyDescent="0.3">
      <c r="CY7870" s="34" t="s">
        <v>8797</v>
      </c>
      <c r="CZ7870" s="35">
        <v>0.14001911999999997</v>
      </c>
    </row>
    <row r="7871" spans="103:104" x14ac:dyDescent="0.3">
      <c r="CY7871" s="34" t="s">
        <v>8798</v>
      </c>
      <c r="CZ7871" s="35">
        <v>0.49686575999999993</v>
      </c>
    </row>
    <row r="7872" spans="103:104" x14ac:dyDescent="0.3">
      <c r="CY7872" s="34" t="s">
        <v>8799</v>
      </c>
      <c r="CZ7872" s="35">
        <v>7.2746720000000003E-3</v>
      </c>
    </row>
    <row r="7873" spans="103:104" x14ac:dyDescent="0.3">
      <c r="CY7873" s="34" t="s">
        <v>8800</v>
      </c>
      <c r="CZ7873" s="35">
        <v>3.0099456000000005E-4</v>
      </c>
    </row>
    <row r="7874" spans="103:104" x14ac:dyDescent="0.3">
      <c r="CY7874" s="34" t="s">
        <v>8801</v>
      </c>
      <c r="CZ7874" s="35">
        <v>0.39694160000000001</v>
      </c>
    </row>
    <row r="7875" spans="103:104" x14ac:dyDescent="0.3">
      <c r="CY7875" s="34" t="s">
        <v>8802</v>
      </c>
      <c r="CZ7875" s="35">
        <v>1.4677199999999998E-4</v>
      </c>
    </row>
    <row r="7876" spans="103:104" x14ac:dyDescent="0.3">
      <c r="CY7876" s="34" t="s">
        <v>8803</v>
      </c>
      <c r="CZ7876" s="35">
        <v>1.6289917330000001E-2</v>
      </c>
    </row>
    <row r="7877" spans="103:104" x14ac:dyDescent="0.3">
      <c r="CY7877" s="34" t="s">
        <v>8804</v>
      </c>
      <c r="CZ7877" s="35">
        <v>0.39368239999999999</v>
      </c>
    </row>
    <row r="7878" spans="103:104" x14ac:dyDescent="0.3">
      <c r="CY7878" s="34" t="s">
        <v>8805</v>
      </c>
      <c r="CZ7878" s="35">
        <v>9.8682400000000017E-2</v>
      </c>
    </row>
    <row r="7879" spans="103:104" x14ac:dyDescent="0.3">
      <c r="CY7879" s="34" t="s">
        <v>8806</v>
      </c>
      <c r="CZ7879" s="35">
        <v>1.7306111999999998E-2</v>
      </c>
    </row>
    <row r="7880" spans="103:104" x14ac:dyDescent="0.3">
      <c r="CY7880" s="34" t="s">
        <v>8807</v>
      </c>
      <c r="CZ7880" s="35">
        <v>3.3129679999999999E-3</v>
      </c>
    </row>
    <row r="7881" spans="103:104" x14ac:dyDescent="0.3">
      <c r="CY7881" s="34" t="s">
        <v>8808</v>
      </c>
      <c r="CZ7881" s="35">
        <v>2.0412560000000004E-3</v>
      </c>
    </row>
    <row r="7882" spans="103:104" x14ac:dyDescent="0.3">
      <c r="CY7882" s="34" t="s">
        <v>8809</v>
      </c>
      <c r="CZ7882" s="35">
        <v>2.0288586636363636E-2</v>
      </c>
    </row>
    <row r="7883" spans="103:104" x14ac:dyDescent="0.3">
      <c r="CY7883" s="34" t="s">
        <v>8810</v>
      </c>
      <c r="CZ7883" s="35">
        <v>7.243606000000001E-2</v>
      </c>
    </row>
    <row r="7884" spans="103:104" x14ac:dyDescent="0.3">
      <c r="CY7884" s="34" t="s">
        <v>8811</v>
      </c>
      <c r="CZ7884" s="35">
        <v>3.1530720000000005E-2</v>
      </c>
    </row>
    <row r="7885" spans="103:104" x14ac:dyDescent="0.3">
      <c r="CY7885" s="34" t="s">
        <v>8812</v>
      </c>
      <c r="CZ7885" s="35">
        <v>2.3220480000000002E-2</v>
      </c>
    </row>
    <row r="7886" spans="103:104" x14ac:dyDescent="0.3">
      <c r="CY7886" s="34" t="s">
        <v>8813</v>
      </c>
      <c r="CZ7886" s="35">
        <v>3.6908799999999999E-2</v>
      </c>
    </row>
    <row r="7887" spans="103:104" x14ac:dyDescent="0.3">
      <c r="CY7887" s="34" t="s">
        <v>8814</v>
      </c>
      <c r="CZ7887" s="35">
        <v>1.3691200000000001E-3</v>
      </c>
    </row>
    <row r="7888" spans="103:104" x14ac:dyDescent="0.3">
      <c r="CY7888" s="34" t="s">
        <v>8815</v>
      </c>
      <c r="CZ7888" s="35">
        <v>8.1309565217391297E-4</v>
      </c>
    </row>
    <row r="7889" spans="103:104" x14ac:dyDescent="0.3">
      <c r="CY7889" s="34" t="s">
        <v>8816</v>
      </c>
      <c r="CZ7889" s="35">
        <v>8.6891279999999991E-3</v>
      </c>
    </row>
    <row r="7890" spans="103:104" x14ac:dyDescent="0.3">
      <c r="CY7890" s="34" t="s">
        <v>8817</v>
      </c>
      <c r="CZ7890" s="35">
        <v>3.431712E-2</v>
      </c>
    </row>
    <row r="7891" spans="103:104" x14ac:dyDescent="0.3">
      <c r="CY7891" s="34" t="s">
        <v>8818</v>
      </c>
      <c r="CZ7891" s="35">
        <v>0.19207260000000001</v>
      </c>
    </row>
    <row r="7892" spans="103:104" x14ac:dyDescent="0.3">
      <c r="CY7892" s="34" t="s">
        <v>8819</v>
      </c>
      <c r="CZ7892" s="35">
        <v>0.17490443835616437</v>
      </c>
    </row>
    <row r="7893" spans="103:104" x14ac:dyDescent="0.3">
      <c r="CY7893" s="34" t="s">
        <v>8820</v>
      </c>
      <c r="CZ7893" s="35">
        <v>0.12146992000000001</v>
      </c>
    </row>
    <row r="7894" spans="103:104" x14ac:dyDescent="0.3">
      <c r="CY7894" s="34" t="s">
        <v>8821</v>
      </c>
      <c r="CZ7894" s="35">
        <v>5.6846400000000005E-2</v>
      </c>
    </row>
    <row r="7895" spans="103:104" x14ac:dyDescent="0.3">
      <c r="CY7895" s="34" t="s">
        <v>8822</v>
      </c>
      <c r="CZ7895" s="35">
        <v>7.6203199999999994E-4</v>
      </c>
    </row>
    <row r="7896" spans="103:104" x14ac:dyDescent="0.3">
      <c r="CY7896" s="34" t="s">
        <v>8823</v>
      </c>
      <c r="CZ7896" s="35">
        <v>4.9912239999999998E-4</v>
      </c>
    </row>
    <row r="7897" spans="103:104" x14ac:dyDescent="0.3">
      <c r="CY7897" s="34" t="s">
        <v>8824</v>
      </c>
      <c r="CZ7897" s="35">
        <v>2.8791279999999999E-2</v>
      </c>
    </row>
    <row r="7898" spans="103:104" x14ac:dyDescent="0.3">
      <c r="CY7898" s="34" t="s">
        <v>8825</v>
      </c>
      <c r="CZ7898" s="35">
        <v>2.7166600000000003E-2</v>
      </c>
    </row>
    <row r="7899" spans="103:104" x14ac:dyDescent="0.3">
      <c r="CY7899" s="34" t="s">
        <v>8826</v>
      </c>
      <c r="CZ7899" s="35">
        <v>0.13261068000000001</v>
      </c>
    </row>
    <row r="7900" spans="103:104" x14ac:dyDescent="0.3">
      <c r="CY7900" s="34" t="s">
        <v>8827</v>
      </c>
      <c r="CZ7900" s="35">
        <v>5.9650240000000007E-2</v>
      </c>
    </row>
    <row r="7901" spans="103:104" x14ac:dyDescent="0.3">
      <c r="CY7901" s="34" t="s">
        <v>8828</v>
      </c>
      <c r="CZ7901" s="35">
        <v>0.1948144</v>
      </c>
    </row>
    <row r="7902" spans="103:104" x14ac:dyDescent="0.3">
      <c r="CY7902" s="34" t="s">
        <v>8829</v>
      </c>
      <c r="CZ7902" s="35">
        <v>8.9234599999999997E-2</v>
      </c>
    </row>
    <row r="7903" spans="103:104" x14ac:dyDescent="0.3">
      <c r="CY7903" s="34" t="s">
        <v>8830</v>
      </c>
      <c r="CZ7903" s="35">
        <v>0.23984148</v>
      </c>
    </row>
    <row r="7904" spans="103:104" x14ac:dyDescent="0.3">
      <c r="CY7904" s="34" t="s">
        <v>8831</v>
      </c>
      <c r="CZ7904" s="35">
        <v>0.11218064</v>
      </c>
    </row>
    <row r="7905" spans="103:104" x14ac:dyDescent="0.3">
      <c r="CY7905" s="34" t="s">
        <v>8832</v>
      </c>
      <c r="CZ7905" s="35">
        <v>1.3746251428571428E-2</v>
      </c>
    </row>
    <row r="7906" spans="103:104" x14ac:dyDescent="0.3">
      <c r="CY7906" s="34" t="s">
        <v>8833</v>
      </c>
      <c r="CZ7906" s="35">
        <v>3.3714200000000002E-4</v>
      </c>
    </row>
    <row r="7907" spans="103:104" x14ac:dyDescent="0.3">
      <c r="CY7907" s="34" t="s">
        <v>8834</v>
      </c>
      <c r="CZ7907" s="35">
        <v>5.150336000000001E-3</v>
      </c>
    </row>
    <row r="7908" spans="103:104" x14ac:dyDescent="0.3">
      <c r="CY7908" s="34" t="s">
        <v>8835</v>
      </c>
      <c r="CZ7908" s="35">
        <v>5.150336000000001E-3</v>
      </c>
    </row>
    <row r="7909" spans="103:104" x14ac:dyDescent="0.3">
      <c r="CY7909" s="34" t="s">
        <v>8836</v>
      </c>
      <c r="CZ7909" s="35">
        <v>3.6911553333333333E-2</v>
      </c>
    </row>
    <row r="7910" spans="103:104" x14ac:dyDescent="0.3">
      <c r="CY7910" s="34" t="s">
        <v>8837</v>
      </c>
      <c r="CZ7910" s="35">
        <v>1.3293325333333335E-2</v>
      </c>
    </row>
    <row r="7911" spans="103:104" x14ac:dyDescent="0.3">
      <c r="CY7911" s="34" t="s">
        <v>8838</v>
      </c>
      <c r="CZ7911" s="35">
        <v>6.3383999999999996E-2</v>
      </c>
    </row>
    <row r="7912" spans="103:104" x14ac:dyDescent="0.3">
      <c r="CY7912" s="34" t="s">
        <v>8839</v>
      </c>
      <c r="CZ7912" s="35">
        <v>1.6966032000000002E-3</v>
      </c>
    </row>
    <row r="7913" spans="103:104" x14ac:dyDescent="0.3">
      <c r="CY7913" s="34" t="s">
        <v>8840</v>
      </c>
      <c r="CZ7913" s="35">
        <v>9.3737600000000001E-3</v>
      </c>
    </row>
    <row r="7914" spans="103:104" x14ac:dyDescent="0.3">
      <c r="CY7914" s="34" t="s">
        <v>8841</v>
      </c>
      <c r="CZ7914" s="35">
        <v>9.3737600000000001E-3</v>
      </c>
    </row>
    <row r="7915" spans="103:104" x14ac:dyDescent="0.3">
      <c r="CY7915" s="34" t="s">
        <v>8842</v>
      </c>
      <c r="CZ7915" s="35">
        <v>1.442387335E-2</v>
      </c>
    </row>
    <row r="7916" spans="103:104" x14ac:dyDescent="0.3">
      <c r="CY7916" s="34" t="s">
        <v>8843</v>
      </c>
      <c r="CZ7916" s="35">
        <v>2.752228E-2</v>
      </c>
    </row>
    <row r="7917" spans="103:104" x14ac:dyDescent="0.3">
      <c r="CY7917" s="34" t="s">
        <v>8844</v>
      </c>
      <c r="CZ7917" s="35">
        <v>9.9498800000000004E-4</v>
      </c>
    </row>
    <row r="7918" spans="103:104" x14ac:dyDescent="0.3">
      <c r="CY7918" s="34" t="s">
        <v>8845</v>
      </c>
      <c r="CZ7918" s="35">
        <v>1.5770463999999998E-2</v>
      </c>
    </row>
    <row r="7919" spans="103:104" x14ac:dyDescent="0.3">
      <c r="CY7919" s="34" t="s">
        <v>8846</v>
      </c>
      <c r="CZ7919" s="35">
        <v>0.18870819999999999</v>
      </c>
    </row>
    <row r="7920" spans="103:104" x14ac:dyDescent="0.3">
      <c r="CY7920" s="34" t="s">
        <v>8847</v>
      </c>
      <c r="CZ7920" s="35">
        <v>0.22042967999999999</v>
      </c>
    </row>
    <row r="7921" spans="103:104" x14ac:dyDescent="0.3">
      <c r="CY7921" s="34" t="s">
        <v>8848</v>
      </c>
      <c r="CZ7921" s="35">
        <v>2.4105279999999999E-3</v>
      </c>
    </row>
    <row r="7922" spans="103:104" x14ac:dyDescent="0.3">
      <c r="CY7922" s="34" t="s">
        <v>8849</v>
      </c>
      <c r="CZ7922" s="35">
        <v>5.0476880000000007E-3</v>
      </c>
    </row>
    <row r="7923" spans="103:104" x14ac:dyDescent="0.3">
      <c r="CY7923" s="34" t="s">
        <v>8850</v>
      </c>
      <c r="CZ7923" s="35">
        <v>0.11459279999999999</v>
      </c>
    </row>
    <row r="7924" spans="103:104" x14ac:dyDescent="0.3">
      <c r="CY7924" s="34" t="s">
        <v>8851</v>
      </c>
      <c r="CZ7924" s="35">
        <v>6.1445000000000007E-3</v>
      </c>
    </row>
    <row r="7925" spans="103:104" x14ac:dyDescent="0.3">
      <c r="CY7925" s="34" t="s">
        <v>8852</v>
      </c>
      <c r="CZ7925" s="35">
        <v>7.9637920000000001E-2</v>
      </c>
    </row>
    <row r="7926" spans="103:104" x14ac:dyDescent="0.3">
      <c r="CY7926" s="34" t="s">
        <v>8853</v>
      </c>
      <c r="CZ7926" s="35">
        <v>0.105477</v>
      </c>
    </row>
    <row r="7927" spans="103:104" x14ac:dyDescent="0.3">
      <c r="CY7927" s="34" t="s">
        <v>8854</v>
      </c>
      <c r="CZ7927" s="35">
        <v>0.12479466666666668</v>
      </c>
    </row>
    <row r="7928" spans="103:104" x14ac:dyDescent="0.3">
      <c r="CY7928" s="34" t="s">
        <v>8855</v>
      </c>
      <c r="CZ7928" s="35">
        <v>8.6857600000000014E-4</v>
      </c>
    </row>
    <row r="7929" spans="103:104" x14ac:dyDescent="0.3">
      <c r="CY7929" s="34" t="s">
        <v>8856</v>
      </c>
      <c r="CZ7929" s="35">
        <v>4.9590399999999993E-2</v>
      </c>
    </row>
    <row r="7930" spans="103:104" x14ac:dyDescent="0.3">
      <c r="CY7930" s="34" t="s">
        <v>8857</v>
      </c>
      <c r="CZ7930" s="35">
        <v>1.028396E-2</v>
      </c>
    </row>
    <row r="7931" spans="103:104" x14ac:dyDescent="0.3">
      <c r="CY7931" s="34" t="s">
        <v>8858</v>
      </c>
      <c r="CZ7931" s="35">
        <v>2.7196412000000003E-2</v>
      </c>
    </row>
    <row r="7932" spans="103:104" x14ac:dyDescent="0.3">
      <c r="CY7932" s="34" t="s">
        <v>8859</v>
      </c>
      <c r="CZ7932" s="35">
        <v>1.1497423999999999E-2</v>
      </c>
    </row>
    <row r="7933" spans="103:104" x14ac:dyDescent="0.3">
      <c r="CY7933" s="34" t="s">
        <v>8860</v>
      </c>
      <c r="CZ7933" s="35">
        <v>3.2945919999999994E-3</v>
      </c>
    </row>
    <row r="7934" spans="103:104" x14ac:dyDescent="0.3">
      <c r="CY7934" s="34" t="s">
        <v>8861</v>
      </c>
      <c r="CZ7934" s="35">
        <v>5.6972559999999995E-3</v>
      </c>
    </row>
    <row r="7935" spans="103:104" x14ac:dyDescent="0.3">
      <c r="CY7935" s="34" t="s">
        <v>8862</v>
      </c>
      <c r="CZ7935" s="35">
        <v>1.2140264000000001E-2</v>
      </c>
    </row>
    <row r="7936" spans="103:104" x14ac:dyDescent="0.3">
      <c r="CY7936" s="34" t="s">
        <v>8863</v>
      </c>
      <c r="CZ7936" s="35">
        <v>2.3967976000000002E-2</v>
      </c>
    </row>
    <row r="7937" spans="103:104" x14ac:dyDescent="0.3">
      <c r="CY7937" s="34" t="s">
        <v>8864</v>
      </c>
      <c r="CZ7937" s="35">
        <v>2.814807466666667E-3</v>
      </c>
    </row>
    <row r="7938" spans="103:104" x14ac:dyDescent="0.3">
      <c r="CY7938" s="34" t="s">
        <v>8865</v>
      </c>
      <c r="CZ7938" s="35">
        <v>1.4776249999999999E-2</v>
      </c>
    </row>
    <row r="7939" spans="103:104" x14ac:dyDescent="0.3">
      <c r="CY7939" s="34" t="s">
        <v>8866</v>
      </c>
      <c r="CZ7939" s="35">
        <v>1.9678400000000002E-2</v>
      </c>
    </row>
    <row r="7940" spans="103:104" x14ac:dyDescent="0.3">
      <c r="CY7940" s="34" t="s">
        <v>8867</v>
      </c>
      <c r="CZ7940" s="35">
        <v>1.9678400000000002E-2</v>
      </c>
    </row>
    <row r="7941" spans="103:104" x14ac:dyDescent="0.3">
      <c r="CY7941" s="34" t="s">
        <v>8868</v>
      </c>
      <c r="CZ7941" s="35">
        <v>3.7026759999999998E-3</v>
      </c>
    </row>
    <row r="7942" spans="103:104" x14ac:dyDescent="0.3">
      <c r="CY7942" s="34" t="s">
        <v>8869</v>
      </c>
      <c r="CZ7942" s="35">
        <v>3.7026759999999994E-3</v>
      </c>
    </row>
    <row r="7943" spans="103:104" x14ac:dyDescent="0.3">
      <c r="CY7943" s="34" t="s">
        <v>8870</v>
      </c>
      <c r="CZ7943" s="35">
        <v>1.8192232000000003E-2</v>
      </c>
    </row>
    <row r="7944" spans="103:104" x14ac:dyDescent="0.3">
      <c r="CY7944" s="34" t="s">
        <v>8871</v>
      </c>
      <c r="CZ7944" s="35">
        <v>1.8192232000000003E-2</v>
      </c>
    </row>
    <row r="7945" spans="103:104" x14ac:dyDescent="0.3">
      <c r="CY7945" s="34" t="s">
        <v>8872</v>
      </c>
      <c r="CZ7945" s="35">
        <v>1.7674370249999998E-2</v>
      </c>
    </row>
    <row r="7946" spans="103:104" x14ac:dyDescent="0.3">
      <c r="CY7946" s="34" t="s">
        <v>8873</v>
      </c>
      <c r="CZ7946" s="35">
        <v>1.7674370250000002E-2</v>
      </c>
    </row>
    <row r="7947" spans="103:104" x14ac:dyDescent="0.3">
      <c r="CY7947" s="34" t="s">
        <v>8874</v>
      </c>
      <c r="CZ7947" s="35">
        <v>1.8385231049999999E-2</v>
      </c>
    </row>
    <row r="7948" spans="103:104" x14ac:dyDescent="0.3">
      <c r="CY7948" s="34" t="s">
        <v>8875</v>
      </c>
      <c r="CZ7948" s="35">
        <v>9.2028297199999998E-3</v>
      </c>
    </row>
    <row r="7949" spans="103:104" x14ac:dyDescent="0.3">
      <c r="CY7949" s="34" t="s">
        <v>8876</v>
      </c>
      <c r="CZ7949" s="35">
        <v>1.2095670518518517E-2</v>
      </c>
    </row>
    <row r="7950" spans="103:104" x14ac:dyDescent="0.3">
      <c r="CY7950" s="34" t="s">
        <v>8877</v>
      </c>
      <c r="CZ7950" s="35">
        <v>2.5317754666666667E-3</v>
      </c>
    </row>
    <row r="7951" spans="103:104" x14ac:dyDescent="0.3">
      <c r="CY7951" s="34" t="s">
        <v>8878</v>
      </c>
      <c r="CZ7951" s="35">
        <v>4.9561568E-3</v>
      </c>
    </row>
    <row r="7952" spans="103:104" x14ac:dyDescent="0.3">
      <c r="CY7952" s="34" t="s">
        <v>8879</v>
      </c>
      <c r="CZ7952" s="35">
        <v>2.0811484444444445E-2</v>
      </c>
    </row>
    <row r="7953" spans="103:104" x14ac:dyDescent="0.3">
      <c r="CY7953" s="34" t="s">
        <v>8880</v>
      </c>
      <c r="CZ7953" s="35">
        <v>8.5300319999999999E-3</v>
      </c>
    </row>
    <row r="7954" spans="103:104" x14ac:dyDescent="0.3">
      <c r="CY7954" s="34" t="s">
        <v>8881</v>
      </c>
      <c r="CZ7954" s="35">
        <v>1.5220086133333333E-2</v>
      </c>
    </row>
    <row r="7955" spans="103:104" x14ac:dyDescent="0.3">
      <c r="CY7955" s="34" t="s">
        <v>8882</v>
      </c>
      <c r="CZ7955" s="35">
        <v>2.6883264E-2</v>
      </c>
    </row>
    <row r="7956" spans="103:104" x14ac:dyDescent="0.3">
      <c r="CY7956" s="34" t="s">
        <v>8883</v>
      </c>
      <c r="CZ7956" s="35">
        <v>2.6883264E-2</v>
      </c>
    </row>
    <row r="7957" spans="103:104" x14ac:dyDescent="0.3">
      <c r="CY7957" s="34" t="s">
        <v>8884</v>
      </c>
      <c r="CZ7957" s="35">
        <v>2.6883264E-2</v>
      </c>
    </row>
    <row r="7958" spans="103:104" x14ac:dyDescent="0.3">
      <c r="CY7958" s="34" t="s">
        <v>8885</v>
      </c>
      <c r="CZ7958" s="35">
        <v>2.6883264E-2</v>
      </c>
    </row>
    <row r="7959" spans="103:104" x14ac:dyDescent="0.3">
      <c r="CY7959" s="34" t="s">
        <v>8886</v>
      </c>
      <c r="CZ7959" s="35">
        <v>4.0183199999999995E-2</v>
      </c>
    </row>
    <row r="7960" spans="103:104" x14ac:dyDescent="0.3">
      <c r="CY7960" s="34" t="s">
        <v>8887</v>
      </c>
      <c r="CZ7960" s="35">
        <v>4.0183199999999995E-2</v>
      </c>
    </row>
    <row r="7961" spans="103:104" x14ac:dyDescent="0.3">
      <c r="CY7961" s="34" t="s">
        <v>8888</v>
      </c>
      <c r="CZ7961" s="35">
        <v>4.0183199999999995E-2</v>
      </c>
    </row>
    <row r="7962" spans="103:104" x14ac:dyDescent="0.3">
      <c r="CY7962" s="34" t="s">
        <v>8889</v>
      </c>
      <c r="CZ7962" s="35">
        <v>4.0183199999999995E-2</v>
      </c>
    </row>
    <row r="7963" spans="103:104" x14ac:dyDescent="0.3">
      <c r="CY7963" s="34" t="s">
        <v>8890</v>
      </c>
      <c r="CZ7963" s="35">
        <v>4.0183199999999995E-2</v>
      </c>
    </row>
    <row r="7964" spans="103:104" x14ac:dyDescent="0.3">
      <c r="CY7964" s="34" t="s">
        <v>8891</v>
      </c>
      <c r="CZ7964" s="35">
        <v>4.0183199999999995E-2</v>
      </c>
    </row>
    <row r="7965" spans="103:104" x14ac:dyDescent="0.3">
      <c r="CY7965" s="34" t="s">
        <v>8892</v>
      </c>
      <c r="CZ7965" s="35">
        <v>3.6813600000000002E-2</v>
      </c>
    </row>
    <row r="7966" spans="103:104" x14ac:dyDescent="0.3">
      <c r="CY7966" s="34" t="s">
        <v>8893</v>
      </c>
      <c r="CZ7966" s="35">
        <v>3.84672E-2</v>
      </c>
    </row>
    <row r="7967" spans="103:104" x14ac:dyDescent="0.3">
      <c r="CY7967" s="34" t="s">
        <v>8894</v>
      </c>
      <c r="CZ7967" s="35">
        <v>2.8160928000000002E-2</v>
      </c>
    </row>
    <row r="7968" spans="103:104" x14ac:dyDescent="0.3">
      <c r="CY7968" s="34" t="s">
        <v>8895</v>
      </c>
      <c r="CZ7968" s="35">
        <v>2.8160928000000002E-2</v>
      </c>
    </row>
    <row r="7969" spans="103:104" x14ac:dyDescent="0.3">
      <c r="CY7969" s="34" t="s">
        <v>8896</v>
      </c>
      <c r="CZ7969" s="35">
        <v>3.2779359999999994E-2</v>
      </c>
    </row>
    <row r="7970" spans="103:104" x14ac:dyDescent="0.3">
      <c r="CY7970" s="34" t="s">
        <v>8897</v>
      </c>
      <c r="CZ7970" s="35">
        <v>3.6011679999999997E-2</v>
      </c>
    </row>
    <row r="7971" spans="103:104" x14ac:dyDescent="0.3">
      <c r="CY7971" s="34" t="s">
        <v>8898</v>
      </c>
      <c r="CZ7971" s="35">
        <v>3.6011679999999997E-2</v>
      </c>
    </row>
    <row r="7972" spans="103:104" x14ac:dyDescent="0.3">
      <c r="CY7972" s="34" t="s">
        <v>8899</v>
      </c>
      <c r="CZ7972" s="35">
        <v>4.0123007999999995E-2</v>
      </c>
    </row>
    <row r="7973" spans="103:104" x14ac:dyDescent="0.3">
      <c r="CY7973" s="34" t="s">
        <v>8900</v>
      </c>
      <c r="CZ7973" s="35">
        <v>3.2140799999999997E-2</v>
      </c>
    </row>
    <row r="7974" spans="103:104" x14ac:dyDescent="0.3">
      <c r="CY7974" s="34" t="s">
        <v>8901</v>
      </c>
      <c r="CZ7974" s="35">
        <v>3.2140799999999997E-2</v>
      </c>
    </row>
    <row r="7975" spans="103:104" x14ac:dyDescent="0.3">
      <c r="CY7975" s="34" t="s">
        <v>8902</v>
      </c>
      <c r="CZ7975" s="35">
        <v>3.2140799999999997E-2</v>
      </c>
    </row>
    <row r="7976" spans="103:104" x14ac:dyDescent="0.3">
      <c r="CY7976" s="34" t="s">
        <v>8903</v>
      </c>
      <c r="CZ7976" s="35">
        <v>3.2140799999999997E-2</v>
      </c>
    </row>
    <row r="7977" spans="103:104" x14ac:dyDescent="0.3">
      <c r="CY7977" s="34" t="s">
        <v>8904</v>
      </c>
      <c r="CZ7977" s="35">
        <v>3.2140799999999997E-2</v>
      </c>
    </row>
    <row r="7978" spans="103:104" x14ac:dyDescent="0.3">
      <c r="CY7978" s="34" t="s">
        <v>8905</v>
      </c>
      <c r="CZ7978" s="35">
        <v>3.7366943999999999E-2</v>
      </c>
    </row>
    <row r="7979" spans="103:104" x14ac:dyDescent="0.3">
      <c r="CY7979" s="34" t="s">
        <v>8906</v>
      </c>
      <c r="CZ7979" s="35">
        <v>3.7666944000000001E-2</v>
      </c>
    </row>
    <row r="7980" spans="103:104" x14ac:dyDescent="0.3">
      <c r="CY7980" s="34" t="s">
        <v>8907</v>
      </c>
      <c r="CZ7980" s="35">
        <v>4.3807103999999993E-2</v>
      </c>
    </row>
    <row r="7981" spans="103:104" x14ac:dyDescent="0.3">
      <c r="CY7981" s="34" t="s">
        <v>8908</v>
      </c>
      <c r="CZ7981" s="35">
        <v>4.3807103999999993E-2</v>
      </c>
    </row>
    <row r="7982" spans="103:104" x14ac:dyDescent="0.3">
      <c r="CY7982" s="34" t="s">
        <v>8909</v>
      </c>
      <c r="CZ7982" s="35">
        <v>5.6648959999999998E-2</v>
      </c>
    </row>
    <row r="7983" spans="103:104" x14ac:dyDescent="0.3">
      <c r="CY7983" s="34" t="s">
        <v>8910</v>
      </c>
      <c r="CZ7983" s="35">
        <v>5.6648959999999998E-2</v>
      </c>
    </row>
    <row r="7984" spans="103:104" x14ac:dyDescent="0.3">
      <c r="CY7984" s="34" t="s">
        <v>8911</v>
      </c>
      <c r="CZ7984" s="35">
        <v>5.6648959999999998E-2</v>
      </c>
    </row>
    <row r="7985" spans="103:104" x14ac:dyDescent="0.3">
      <c r="CY7985" s="34" t="s">
        <v>8912</v>
      </c>
      <c r="CZ7985" s="35">
        <v>5.6648959999999998E-2</v>
      </c>
    </row>
    <row r="7986" spans="103:104" x14ac:dyDescent="0.3">
      <c r="CY7986" s="34" t="s">
        <v>8913</v>
      </c>
      <c r="CZ7986" s="35">
        <v>5.6648959999999998E-2</v>
      </c>
    </row>
    <row r="7987" spans="103:104" x14ac:dyDescent="0.3">
      <c r="CY7987" s="34" t="s">
        <v>8914</v>
      </c>
      <c r="CZ7987" s="35">
        <v>5.6648959999999998E-2</v>
      </c>
    </row>
    <row r="7988" spans="103:104" x14ac:dyDescent="0.3">
      <c r="CY7988" s="34" t="s">
        <v>8915</v>
      </c>
      <c r="CZ7988" s="35">
        <v>7.3985520000000005E-4</v>
      </c>
    </row>
    <row r="7989" spans="103:104" x14ac:dyDescent="0.3">
      <c r="CY7989" s="34" t="s">
        <v>8916</v>
      </c>
      <c r="CZ7989" s="35">
        <v>1.0650647999999999E-2</v>
      </c>
    </row>
    <row r="7990" spans="103:104" x14ac:dyDescent="0.3">
      <c r="CY7990" s="34" t="s">
        <v>8917</v>
      </c>
      <c r="CZ7990" s="35">
        <v>0.11927520000000001</v>
      </c>
    </row>
    <row r="7991" spans="103:104" x14ac:dyDescent="0.3">
      <c r="CY7991" s="34" t="s">
        <v>8918</v>
      </c>
      <c r="CZ7991" s="35">
        <v>2.0735960000000001E-2</v>
      </c>
    </row>
    <row r="7992" spans="103:104" x14ac:dyDescent="0.3">
      <c r="CY7992" s="34" t="s">
        <v>8919</v>
      </c>
      <c r="CZ7992" s="35">
        <v>1.6334680000000001E-2</v>
      </c>
    </row>
    <row r="7993" spans="103:104" x14ac:dyDescent="0.3">
      <c r="CY7993" s="34" t="s">
        <v>8920</v>
      </c>
      <c r="CZ7993" s="35">
        <v>3.6997509999999997E-2</v>
      </c>
    </row>
    <row r="7994" spans="103:104" x14ac:dyDescent="0.3">
      <c r="CY7994" s="34" t="s">
        <v>8921</v>
      </c>
      <c r="CZ7994" s="35">
        <v>3.1880709999999993E-2</v>
      </c>
    </row>
    <row r="7995" spans="103:104" x14ac:dyDescent="0.3">
      <c r="CY7995" s="34" t="s">
        <v>8922</v>
      </c>
      <c r="CZ7995" s="35">
        <v>5.9199439999999999E-2</v>
      </c>
    </row>
    <row r="7996" spans="103:104" x14ac:dyDescent="0.3">
      <c r="CY7996" s="34" t="s">
        <v>8923</v>
      </c>
      <c r="CZ7996" s="35">
        <v>5.9199439999999999E-2</v>
      </c>
    </row>
    <row r="7997" spans="103:104" x14ac:dyDescent="0.3">
      <c r="CY7997" s="34" t="s">
        <v>8924</v>
      </c>
      <c r="CZ7997" s="35">
        <v>3.4519840000000003E-2</v>
      </c>
    </row>
    <row r="7998" spans="103:104" x14ac:dyDescent="0.3">
      <c r="CY7998" s="34" t="s">
        <v>8925</v>
      </c>
      <c r="CZ7998" s="35">
        <v>2.9427412112000003E-2</v>
      </c>
    </row>
    <row r="7999" spans="103:104" x14ac:dyDescent="0.3">
      <c r="CY7999" s="34" t="s">
        <v>8926</v>
      </c>
      <c r="CZ7999" s="35">
        <v>1.9515896000000001E-2</v>
      </c>
    </row>
    <row r="8000" spans="103:104" x14ac:dyDescent="0.3">
      <c r="CY8000" s="34" t="s">
        <v>8927</v>
      </c>
      <c r="CZ8000" s="35">
        <v>1.7672119999999999E-2</v>
      </c>
    </row>
    <row r="8001" spans="103:104" x14ac:dyDescent="0.3">
      <c r="CY8001" s="34" t="s">
        <v>8928</v>
      </c>
      <c r="CZ8001" s="35">
        <v>1.9515896000000001E-2</v>
      </c>
    </row>
    <row r="8002" spans="103:104" x14ac:dyDescent="0.3">
      <c r="CY8002" s="34" t="s">
        <v>8929</v>
      </c>
      <c r="CZ8002" s="35">
        <v>2.1963740000000001E-3</v>
      </c>
    </row>
    <row r="8003" spans="103:104" x14ac:dyDescent="0.3">
      <c r="CY8003" s="34" t="s">
        <v>8930</v>
      </c>
      <c r="CZ8003" s="35">
        <v>2.2864335E-2</v>
      </c>
    </row>
    <row r="8004" spans="103:104" x14ac:dyDescent="0.3">
      <c r="CY8004" s="34" t="s">
        <v>8931</v>
      </c>
      <c r="CZ8004" s="35">
        <v>2.6329615000000001E-2</v>
      </c>
    </row>
    <row r="8005" spans="103:104" x14ac:dyDescent="0.3">
      <c r="CY8005" s="34" t="s">
        <v>8932</v>
      </c>
      <c r="CZ8005" s="35">
        <v>3.6349462499999999E-2</v>
      </c>
    </row>
    <row r="8006" spans="103:104" x14ac:dyDescent="0.3">
      <c r="CY8006" s="34" t="s">
        <v>8933</v>
      </c>
      <c r="CZ8006" s="35">
        <v>1.5224862240000002E-3</v>
      </c>
    </row>
    <row r="8007" spans="103:104" x14ac:dyDescent="0.3">
      <c r="CY8007" s="34" t="s">
        <v>8934</v>
      </c>
      <c r="CZ8007" s="35">
        <v>3.25946E-3</v>
      </c>
    </row>
    <row r="8008" spans="103:104" x14ac:dyDescent="0.3">
      <c r="CY8008" s="34" t="s">
        <v>8935</v>
      </c>
      <c r="CZ8008" s="35">
        <v>3.2594599999999996E-3</v>
      </c>
    </row>
    <row r="8009" spans="103:104" x14ac:dyDescent="0.3">
      <c r="CY8009" s="34" t="s">
        <v>8936</v>
      </c>
      <c r="CZ8009" s="35">
        <v>7.3848639999999993E-2</v>
      </c>
    </row>
    <row r="8010" spans="103:104" x14ac:dyDescent="0.3">
      <c r="CY8010" s="34" t="s">
        <v>8937</v>
      </c>
      <c r="CZ8010" s="35">
        <v>4.7591312000000004E-2</v>
      </c>
    </row>
    <row r="8011" spans="103:104" x14ac:dyDescent="0.3">
      <c r="CY8011" s="34" t="s">
        <v>8938</v>
      </c>
      <c r="CZ8011" s="35">
        <v>5.1938879999999998E-3</v>
      </c>
    </row>
    <row r="8012" spans="103:104" x14ac:dyDescent="0.3">
      <c r="CY8012" s="34" t="s">
        <v>8939</v>
      </c>
      <c r="CZ8012" s="35">
        <v>6.5354560000000006E-2</v>
      </c>
    </row>
    <row r="8013" spans="103:104" x14ac:dyDescent="0.3">
      <c r="CY8013" s="34" t="s">
        <v>8940</v>
      </c>
      <c r="CZ8013" s="35">
        <v>2.4794950400000002E-2</v>
      </c>
    </row>
    <row r="8014" spans="103:104" x14ac:dyDescent="0.3">
      <c r="CY8014" s="34" t="s">
        <v>8941</v>
      </c>
      <c r="CZ8014" s="35">
        <v>4.0416639999999995E-3</v>
      </c>
    </row>
    <row r="8015" spans="103:104" x14ac:dyDescent="0.3">
      <c r="CY8015" s="34" t="s">
        <v>8942</v>
      </c>
      <c r="CZ8015" s="35">
        <v>6.6635562599999991E-3</v>
      </c>
    </row>
    <row r="8016" spans="103:104" x14ac:dyDescent="0.3">
      <c r="CY8016" s="34" t="s">
        <v>8943</v>
      </c>
      <c r="CZ8016" s="35">
        <v>2.1651632000000001E-2</v>
      </c>
    </row>
    <row r="8017" spans="103:104" x14ac:dyDescent="0.3">
      <c r="CY8017" s="34" t="s">
        <v>8944</v>
      </c>
      <c r="CZ8017" s="35">
        <v>7.9086079999999993E-3</v>
      </c>
    </row>
    <row r="8018" spans="103:104" x14ac:dyDescent="0.3">
      <c r="CY8018" s="34" t="s">
        <v>8945</v>
      </c>
      <c r="CZ8018" s="35">
        <v>1.9939792000000001E-2</v>
      </c>
    </row>
    <row r="8019" spans="103:104" x14ac:dyDescent="0.3">
      <c r="CY8019" s="34" t="s">
        <v>8946</v>
      </c>
      <c r="CZ8019" s="35">
        <v>6.1757546499999995E-3</v>
      </c>
    </row>
    <row r="8020" spans="103:104" x14ac:dyDescent="0.3">
      <c r="CY8020" s="34" t="s">
        <v>8947</v>
      </c>
      <c r="CZ8020" s="35">
        <v>7.4488395000000002E-3</v>
      </c>
    </row>
    <row r="8021" spans="103:104" x14ac:dyDescent="0.3">
      <c r="CY8021" s="34" t="s">
        <v>8948</v>
      </c>
      <c r="CZ8021" s="35">
        <v>2.488456E-3</v>
      </c>
    </row>
    <row r="8022" spans="103:104" x14ac:dyDescent="0.3">
      <c r="CY8022" s="34" t="s">
        <v>8949</v>
      </c>
      <c r="CZ8022" s="35">
        <v>1.6461144E-2</v>
      </c>
    </row>
    <row r="8023" spans="103:104" x14ac:dyDescent="0.3">
      <c r="CY8023" s="34" t="s">
        <v>8950</v>
      </c>
      <c r="CZ8023" s="35">
        <v>8.0794464000000007E-3</v>
      </c>
    </row>
    <row r="8024" spans="103:104" x14ac:dyDescent="0.3">
      <c r="CY8024" s="34" t="s">
        <v>8951</v>
      </c>
      <c r="CZ8024" s="35">
        <v>7.2296907000000002E-3</v>
      </c>
    </row>
    <row r="8025" spans="103:104" x14ac:dyDescent="0.3">
      <c r="CY8025" s="34" t="s">
        <v>8952</v>
      </c>
      <c r="CZ8025" s="35">
        <v>2.7577919999999999E-4</v>
      </c>
    </row>
    <row r="8026" spans="103:104" x14ac:dyDescent="0.3">
      <c r="CY8026" s="34" t="s">
        <v>8953</v>
      </c>
      <c r="CZ8026" s="35">
        <v>0.17632204000000001</v>
      </c>
    </row>
    <row r="8027" spans="103:104" x14ac:dyDescent="0.3">
      <c r="CY8027" s="34" t="s">
        <v>8954</v>
      </c>
      <c r="CZ8027" s="35">
        <v>8.1585920000000006E-2</v>
      </c>
    </row>
    <row r="8028" spans="103:104" x14ac:dyDescent="0.3">
      <c r="CY8028" s="34" t="s">
        <v>8955</v>
      </c>
      <c r="CZ8028" s="35">
        <v>7.8723968000000012E-4</v>
      </c>
    </row>
    <row r="8029" spans="103:104" x14ac:dyDescent="0.3">
      <c r="CY8029" s="34" t="s">
        <v>8956</v>
      </c>
      <c r="CZ8029" s="35">
        <v>2.951904E-2</v>
      </c>
    </row>
    <row r="8030" spans="103:104" x14ac:dyDescent="0.3">
      <c r="CY8030" s="34" t="s">
        <v>8957</v>
      </c>
      <c r="CZ8030" s="35">
        <v>2.1496520000000002E-2</v>
      </c>
    </row>
    <row r="8031" spans="103:104" x14ac:dyDescent="0.3">
      <c r="CY8031" s="34" t="s">
        <v>8958</v>
      </c>
      <c r="CZ8031" s="35">
        <v>3.243438E-3</v>
      </c>
    </row>
    <row r="8032" spans="103:104" x14ac:dyDescent="0.3">
      <c r="CY8032" s="34" t="s">
        <v>8959</v>
      </c>
      <c r="CZ8032" s="35">
        <v>3.2361579999999998E-3</v>
      </c>
    </row>
    <row r="8033" spans="103:104" x14ac:dyDescent="0.3">
      <c r="CY8033" s="34" t="s">
        <v>8960</v>
      </c>
      <c r="CZ8033" s="35">
        <v>3.4198219999999999E-3</v>
      </c>
    </row>
    <row r="8034" spans="103:104" x14ac:dyDescent="0.3">
      <c r="CY8034" s="34" t="s">
        <v>8961</v>
      </c>
      <c r="CZ8034" s="35">
        <v>3.6180459999999998E-3</v>
      </c>
    </row>
    <row r="8035" spans="103:104" x14ac:dyDescent="0.3">
      <c r="CY8035" s="34" t="s">
        <v>8962</v>
      </c>
      <c r="CZ8035" s="35">
        <v>3.6180459999999998E-3</v>
      </c>
    </row>
    <row r="8036" spans="103:104" x14ac:dyDescent="0.3">
      <c r="CY8036" s="34" t="s">
        <v>8963</v>
      </c>
      <c r="CZ8036" s="35">
        <v>5.3565093250000008E-2</v>
      </c>
    </row>
    <row r="8037" spans="103:104" x14ac:dyDescent="0.3">
      <c r="CY8037" s="34" t="s">
        <v>8964</v>
      </c>
      <c r="CZ8037" s="35">
        <v>0.10261848</v>
      </c>
    </row>
    <row r="8038" spans="103:104" x14ac:dyDescent="0.3">
      <c r="CY8038" s="34" t="s">
        <v>8965</v>
      </c>
      <c r="CZ8038" s="35">
        <v>1.6271351999999999E-2</v>
      </c>
    </row>
    <row r="8039" spans="103:104" x14ac:dyDescent="0.3">
      <c r="CY8039" s="34" t="s">
        <v>8966</v>
      </c>
      <c r="CZ8039" s="35">
        <v>4.7041719999999995E-3</v>
      </c>
    </row>
    <row r="8040" spans="103:104" x14ac:dyDescent="0.3">
      <c r="CY8040" s="34" t="s">
        <v>8967</v>
      </c>
      <c r="CZ8040" s="35">
        <v>0.22532584</v>
      </c>
    </row>
    <row r="8041" spans="103:104" x14ac:dyDescent="0.3">
      <c r="CY8041" s="34" t="s">
        <v>8968</v>
      </c>
      <c r="CZ8041" s="35">
        <v>3.9718906666666668E-3</v>
      </c>
    </row>
    <row r="8042" spans="103:104" x14ac:dyDescent="0.3">
      <c r="CY8042" s="34" t="s">
        <v>8969</v>
      </c>
      <c r="CZ8042" s="35">
        <v>1.9342912000000002E-3</v>
      </c>
    </row>
    <row r="8043" spans="103:104" x14ac:dyDescent="0.3">
      <c r="CY8043" s="34" t="s">
        <v>8970</v>
      </c>
      <c r="CZ8043" s="35">
        <v>8.8473600000000012E-4</v>
      </c>
    </row>
    <row r="8044" spans="103:104" x14ac:dyDescent="0.3">
      <c r="CY8044" s="34" t="s">
        <v>8971</v>
      </c>
      <c r="CZ8044" s="35">
        <v>1.1544658E-3</v>
      </c>
    </row>
    <row r="8045" spans="103:104" x14ac:dyDescent="0.3">
      <c r="CY8045" s="34" t="s">
        <v>8972</v>
      </c>
      <c r="CZ8045" s="35">
        <v>2.4619024999999999E-3</v>
      </c>
    </row>
    <row r="8046" spans="103:104" x14ac:dyDescent="0.3">
      <c r="CY8046" s="34" t="s">
        <v>8973</v>
      </c>
      <c r="CZ8046" s="35">
        <v>1.214089E-3</v>
      </c>
    </row>
    <row r="8047" spans="103:104" x14ac:dyDescent="0.3">
      <c r="CY8047" s="34" t="s">
        <v>8974</v>
      </c>
      <c r="CZ8047" s="35">
        <v>1.9022634639999998E-3</v>
      </c>
    </row>
    <row r="8048" spans="103:104" x14ac:dyDescent="0.3">
      <c r="CY8048" s="34" t="s">
        <v>8975</v>
      </c>
      <c r="CZ8048" s="35">
        <v>4.900397647058824E-3</v>
      </c>
    </row>
    <row r="8049" spans="103:104" x14ac:dyDescent="0.3">
      <c r="CY8049" s="34" t="s">
        <v>8976</v>
      </c>
      <c r="CZ8049" s="35">
        <v>9.0369000000000005E-2</v>
      </c>
    </row>
    <row r="8050" spans="103:104" x14ac:dyDescent="0.3">
      <c r="CY8050" s="34" t="s">
        <v>8977</v>
      </c>
      <c r="CZ8050" s="35">
        <v>5.7276989333333334E-2</v>
      </c>
    </row>
    <row r="8051" spans="103:104" x14ac:dyDescent="0.3">
      <c r="CY8051" s="34" t="s">
        <v>8978</v>
      </c>
      <c r="CZ8051" s="35">
        <v>1.8563587555555554E-4</v>
      </c>
    </row>
    <row r="8052" spans="103:104" x14ac:dyDescent="0.3">
      <c r="CY8052" s="34" t="s">
        <v>8979</v>
      </c>
      <c r="CZ8052" s="35">
        <v>1.1626823200000001E-2</v>
      </c>
    </row>
    <row r="8053" spans="103:104" x14ac:dyDescent="0.3">
      <c r="CY8053" s="34" t="s">
        <v>8980</v>
      </c>
      <c r="CZ8053" s="35">
        <v>1.5202083200000003E-2</v>
      </c>
    </row>
    <row r="8054" spans="103:104" x14ac:dyDescent="0.3">
      <c r="CY8054" s="34" t="s">
        <v>8981</v>
      </c>
      <c r="CZ8054" s="35">
        <v>1.42289136E-2</v>
      </c>
    </row>
    <row r="8055" spans="103:104" x14ac:dyDescent="0.3">
      <c r="CY8055" s="34" t="s">
        <v>8982</v>
      </c>
      <c r="CZ8055" s="35">
        <v>1.5437456E-2</v>
      </c>
    </row>
    <row r="8056" spans="103:104" x14ac:dyDescent="0.3">
      <c r="CY8056" s="34" t="s">
        <v>8983</v>
      </c>
      <c r="CZ8056" s="35">
        <v>1.4662651733333334E-2</v>
      </c>
    </row>
    <row r="8057" spans="103:104" x14ac:dyDescent="0.3">
      <c r="CY8057" s="34" t="s">
        <v>8984</v>
      </c>
      <c r="CZ8057" s="35">
        <v>2.3834880000000003E-2</v>
      </c>
    </row>
    <row r="8058" spans="103:104" x14ac:dyDescent="0.3">
      <c r="CY8058" s="34" t="s">
        <v>8985</v>
      </c>
      <c r="CZ8058" s="35">
        <v>5.3147199999999993E-3</v>
      </c>
    </row>
    <row r="8059" spans="103:104" x14ac:dyDescent="0.3">
      <c r="CY8059" s="34" t="s">
        <v>8986</v>
      </c>
      <c r="CZ8059" s="35">
        <v>5.3147199999999993E-3</v>
      </c>
    </row>
    <row r="8060" spans="103:104" x14ac:dyDescent="0.3">
      <c r="CY8060" s="34" t="s">
        <v>8987</v>
      </c>
      <c r="CZ8060" s="35">
        <v>5.8100799999999996E-3</v>
      </c>
    </row>
    <row r="8061" spans="103:104" x14ac:dyDescent="0.3">
      <c r="CY8061" s="34" t="s">
        <v>8988</v>
      </c>
      <c r="CZ8061" s="35">
        <v>5.8100799999999996E-3</v>
      </c>
    </row>
    <row r="8062" spans="103:104" x14ac:dyDescent="0.3">
      <c r="CY8062" s="34" t="s">
        <v>8989</v>
      </c>
      <c r="CZ8062" s="35">
        <v>3.6331751999999998E-3</v>
      </c>
    </row>
    <row r="8063" spans="103:104" x14ac:dyDescent="0.3">
      <c r="CY8063" s="34" t="s">
        <v>8990</v>
      </c>
      <c r="CZ8063" s="35">
        <v>4.7653493599999997E-3</v>
      </c>
    </row>
    <row r="8064" spans="103:104" x14ac:dyDescent="0.3">
      <c r="CY8064" s="34" t="s">
        <v>8991</v>
      </c>
      <c r="CZ8064" s="35">
        <v>4.7653493599999997E-3</v>
      </c>
    </row>
    <row r="8065" spans="103:104" x14ac:dyDescent="0.3">
      <c r="CY8065" s="34" t="s">
        <v>8992</v>
      </c>
      <c r="CZ8065" s="35">
        <v>6.9508559999999992E-3</v>
      </c>
    </row>
    <row r="8066" spans="103:104" x14ac:dyDescent="0.3">
      <c r="CY8066" s="34" t="s">
        <v>8993</v>
      </c>
      <c r="CZ8066" s="35">
        <v>6.9508559999999992E-3</v>
      </c>
    </row>
    <row r="8067" spans="103:104" x14ac:dyDescent="0.3">
      <c r="CY8067" s="34" t="s">
        <v>8994</v>
      </c>
      <c r="CZ8067" s="35">
        <v>2.0702786666666668E-3</v>
      </c>
    </row>
    <row r="8068" spans="103:104" x14ac:dyDescent="0.3">
      <c r="CY8068" s="34" t="s">
        <v>8995</v>
      </c>
      <c r="CZ8068" s="35">
        <v>7.9422799999999995E-3</v>
      </c>
    </row>
    <row r="8069" spans="103:104" x14ac:dyDescent="0.3">
      <c r="CY8069" s="34" t="s">
        <v>8996</v>
      </c>
      <c r="CZ8069" s="35">
        <v>7.9422799999999995E-3</v>
      </c>
    </row>
    <row r="8070" spans="103:104" x14ac:dyDescent="0.3">
      <c r="CY8070" s="34" t="s">
        <v>8997</v>
      </c>
      <c r="CZ8070" s="35">
        <v>2.0577160000000002E-3</v>
      </c>
    </row>
    <row r="8071" spans="103:104" x14ac:dyDescent="0.3">
      <c r="CY8071" s="34" t="s">
        <v>8998</v>
      </c>
      <c r="CZ8071" s="35">
        <v>3.1659520000000001E-3</v>
      </c>
    </row>
    <row r="8072" spans="103:104" x14ac:dyDescent="0.3">
      <c r="CY8072" s="34" t="s">
        <v>8999</v>
      </c>
      <c r="CZ8072" s="35">
        <v>2.4202600000000001E-2</v>
      </c>
    </row>
    <row r="8073" spans="103:104" x14ac:dyDescent="0.3">
      <c r="CY8073" s="34" t="s">
        <v>9000</v>
      </c>
      <c r="CZ8073" s="35">
        <v>5.8895466666666657E-4</v>
      </c>
    </row>
    <row r="8074" spans="103:104" x14ac:dyDescent="0.3">
      <c r="CY8074" s="34" t="s">
        <v>9001</v>
      </c>
      <c r="CZ8074" s="35">
        <v>2.9749037600000001E-3</v>
      </c>
    </row>
    <row r="8075" spans="103:104" x14ac:dyDescent="0.3">
      <c r="CY8075" s="34" t="s">
        <v>9002</v>
      </c>
      <c r="CZ8075" s="35">
        <v>9.1854240000000004E-2</v>
      </c>
    </row>
    <row r="8076" spans="103:104" x14ac:dyDescent="0.3">
      <c r="CY8076" s="34" t="s">
        <v>9003</v>
      </c>
      <c r="CZ8076" s="35">
        <v>1.7610400000000002E-2</v>
      </c>
    </row>
    <row r="8077" spans="103:104" x14ac:dyDescent="0.3">
      <c r="CY8077" s="34" t="s">
        <v>9004</v>
      </c>
      <c r="CZ8077" s="35">
        <v>1.7610400000000002E-2</v>
      </c>
    </row>
    <row r="8078" spans="103:104" x14ac:dyDescent="0.3">
      <c r="CY8078" s="34" t="s">
        <v>9005</v>
      </c>
      <c r="CZ8078" s="35">
        <v>9.7820666666666666E-4</v>
      </c>
    </row>
    <row r="8079" spans="103:104" x14ac:dyDescent="0.3">
      <c r="CY8079" s="34" t="s">
        <v>9006</v>
      </c>
      <c r="CZ8079" s="35">
        <v>3.2693159999999999E-2</v>
      </c>
    </row>
    <row r="8080" spans="103:104" x14ac:dyDescent="0.3">
      <c r="CY8080" s="34" t="s">
        <v>9007</v>
      </c>
      <c r="CZ8080" s="35">
        <v>2.22000667E-3</v>
      </c>
    </row>
    <row r="8081" spans="103:104" x14ac:dyDescent="0.3">
      <c r="CY8081" s="34" t="s">
        <v>9008</v>
      </c>
      <c r="CZ8081" s="35">
        <v>7.9475600000000011E-3</v>
      </c>
    </row>
    <row r="8082" spans="103:104" x14ac:dyDescent="0.3">
      <c r="CY8082" s="34" t="s">
        <v>9009</v>
      </c>
      <c r="CZ8082" s="35">
        <v>1.2093166400000001E-2</v>
      </c>
    </row>
    <row r="8083" spans="103:104" x14ac:dyDescent="0.3">
      <c r="CY8083" s="34" t="s">
        <v>9010</v>
      </c>
      <c r="CZ8083" s="35">
        <v>1.2123966400000002E-2</v>
      </c>
    </row>
    <row r="8084" spans="103:104" x14ac:dyDescent="0.3">
      <c r="CY8084" s="34" t="s">
        <v>9011</v>
      </c>
      <c r="CZ8084" s="35">
        <v>8.5051504000000014E-3</v>
      </c>
    </row>
    <row r="8085" spans="103:104" x14ac:dyDescent="0.3">
      <c r="CY8085" s="34" t="s">
        <v>9012</v>
      </c>
      <c r="CZ8085" s="35">
        <v>4.5332759999999993E-2</v>
      </c>
    </row>
    <row r="8086" spans="103:104" x14ac:dyDescent="0.3">
      <c r="CY8086" s="34" t="s">
        <v>9013</v>
      </c>
      <c r="CZ8086" s="35">
        <v>2.508E-5</v>
      </c>
    </row>
    <row r="8087" spans="103:104" x14ac:dyDescent="0.3">
      <c r="CY8087" s="34" t="s">
        <v>9014</v>
      </c>
      <c r="CZ8087" s="35">
        <v>3.2485893333333332E-3</v>
      </c>
    </row>
    <row r="8088" spans="103:104" x14ac:dyDescent="0.3">
      <c r="CY8088" s="34" t="s">
        <v>9015</v>
      </c>
      <c r="CZ8088" s="35">
        <v>6.6563560000000008E-2</v>
      </c>
    </row>
    <row r="8089" spans="103:104" x14ac:dyDescent="0.3">
      <c r="CY8089" s="34" t="s">
        <v>9016</v>
      </c>
      <c r="CZ8089" s="35">
        <v>7.432873999999999E-2</v>
      </c>
    </row>
    <row r="8090" spans="103:104" x14ac:dyDescent="0.3">
      <c r="CY8090" s="34" t="s">
        <v>9017</v>
      </c>
      <c r="CZ8090" s="35">
        <v>7.432873999999999E-2</v>
      </c>
    </row>
    <row r="8091" spans="103:104" x14ac:dyDescent="0.3">
      <c r="CY8091" s="34" t="s">
        <v>9018</v>
      </c>
      <c r="CZ8091" s="35">
        <v>4.5763180800000004E-2</v>
      </c>
    </row>
    <row r="8092" spans="103:104" x14ac:dyDescent="0.3">
      <c r="CY8092" s="34" t="s">
        <v>9019</v>
      </c>
      <c r="CZ8092" s="35">
        <v>1.7222735999999999E-2</v>
      </c>
    </row>
    <row r="8093" spans="103:104" x14ac:dyDescent="0.3">
      <c r="CY8093" s="34" t="s">
        <v>9020</v>
      </c>
      <c r="CZ8093" s="35">
        <v>0.19683160999999999</v>
      </c>
    </row>
    <row r="8094" spans="103:104" x14ac:dyDescent="0.3">
      <c r="CY8094" s="34" t="s">
        <v>9021</v>
      </c>
      <c r="CZ8094" s="35">
        <v>0.30284719999999998</v>
      </c>
    </row>
    <row r="8095" spans="103:104" x14ac:dyDescent="0.3">
      <c r="CY8095" s="34" t="s">
        <v>9022</v>
      </c>
      <c r="CZ8095" s="35">
        <v>0.11118533335</v>
      </c>
    </row>
    <row r="8096" spans="103:104" x14ac:dyDescent="0.3">
      <c r="CY8096" s="34" t="s">
        <v>9023</v>
      </c>
      <c r="CZ8096" s="35">
        <v>0.22419381334999999</v>
      </c>
    </row>
    <row r="8097" spans="103:104" x14ac:dyDescent="0.3">
      <c r="CY8097" s="34" t="s">
        <v>9024</v>
      </c>
      <c r="CZ8097" s="35">
        <v>3.0893835400000002E-3</v>
      </c>
    </row>
    <row r="8098" spans="103:104" x14ac:dyDescent="0.3">
      <c r="CY8098" s="34" t="s">
        <v>9025</v>
      </c>
      <c r="CZ8098" s="35">
        <v>3.8874301666666665E-3</v>
      </c>
    </row>
    <row r="8099" spans="103:104" x14ac:dyDescent="0.3">
      <c r="CY8099" s="34" t="s">
        <v>9026</v>
      </c>
      <c r="CZ8099" s="35">
        <v>2.387235111111111E-2</v>
      </c>
    </row>
    <row r="8100" spans="103:104" x14ac:dyDescent="0.3">
      <c r="CY8100" s="34" t="s">
        <v>9027</v>
      </c>
      <c r="CZ8100" s="35">
        <v>1.9315389473684209E-2</v>
      </c>
    </row>
    <row r="8101" spans="103:104" x14ac:dyDescent="0.3">
      <c r="CY8101" s="34" t="s">
        <v>9028</v>
      </c>
      <c r="CZ8101" s="35">
        <v>9.3235299999999993E-2</v>
      </c>
    </row>
    <row r="8102" spans="103:104" x14ac:dyDescent="0.3">
      <c r="CY8102" s="34" t="s">
        <v>9029</v>
      </c>
      <c r="CZ8102" s="35">
        <v>6.7231139999999995E-2</v>
      </c>
    </row>
    <row r="8103" spans="103:104" x14ac:dyDescent="0.3">
      <c r="CY8103" s="34" t="s">
        <v>9030</v>
      </c>
      <c r="CZ8103" s="35">
        <v>2.9321119999999999E-2</v>
      </c>
    </row>
    <row r="8104" spans="103:104" x14ac:dyDescent="0.3">
      <c r="CY8104" s="34" t="s">
        <v>9031</v>
      </c>
      <c r="CZ8104" s="35">
        <v>1.47388E-2</v>
      </c>
    </row>
    <row r="8105" spans="103:104" x14ac:dyDescent="0.3">
      <c r="CY8105" s="34" t="s">
        <v>9032</v>
      </c>
      <c r="CZ8105" s="35">
        <v>5.7451192E-3</v>
      </c>
    </row>
    <row r="8106" spans="103:104" x14ac:dyDescent="0.3">
      <c r="CY8106" s="34" t="s">
        <v>9033</v>
      </c>
      <c r="CZ8106" s="35">
        <v>2.6863599999999996E-3</v>
      </c>
    </row>
    <row r="8107" spans="103:104" x14ac:dyDescent="0.3">
      <c r="CY8107" s="34" t="s">
        <v>9034</v>
      </c>
      <c r="CZ8107" s="35">
        <v>2.4201920000000002E-2</v>
      </c>
    </row>
    <row r="8108" spans="103:104" x14ac:dyDescent="0.3">
      <c r="CY8108" s="34" t="s">
        <v>9035</v>
      </c>
      <c r="CZ8108" s="35">
        <v>1.2801057357142856E-2</v>
      </c>
    </row>
    <row r="8109" spans="103:104" x14ac:dyDescent="0.3">
      <c r="CY8109" s="34" t="s">
        <v>9036</v>
      </c>
      <c r="CZ8109" s="35">
        <v>1.2058111999999998E-3</v>
      </c>
    </row>
    <row r="8110" spans="103:104" x14ac:dyDescent="0.3">
      <c r="CY8110" s="34" t="s">
        <v>9037</v>
      </c>
      <c r="CZ8110" s="35">
        <v>9.2398666153846142E-3</v>
      </c>
    </row>
    <row r="8111" spans="103:104" x14ac:dyDescent="0.3">
      <c r="CY8111" s="34" t="s">
        <v>9038</v>
      </c>
      <c r="CZ8111" s="35">
        <v>3.0715040000000001E-3</v>
      </c>
    </row>
    <row r="8112" spans="103:104" x14ac:dyDescent="0.3">
      <c r="CY8112" s="34" t="s">
        <v>9039</v>
      </c>
      <c r="CZ8112" s="35">
        <v>2.7871360000000001E-2</v>
      </c>
    </row>
    <row r="8113" spans="103:104" x14ac:dyDescent="0.3">
      <c r="CY8113" s="34" t="s">
        <v>9040</v>
      </c>
      <c r="CZ8113" s="35">
        <v>1.873056E-2</v>
      </c>
    </row>
    <row r="8114" spans="103:104" x14ac:dyDescent="0.3">
      <c r="CY8114" s="34" t="s">
        <v>9041</v>
      </c>
      <c r="CZ8114" s="35">
        <v>4.3378120000000006E-2</v>
      </c>
    </row>
    <row r="8115" spans="103:104" x14ac:dyDescent="0.3">
      <c r="CY8115" s="34" t="s">
        <v>9042</v>
      </c>
      <c r="CZ8115" s="35">
        <v>4.5516000000000001E-2</v>
      </c>
    </row>
    <row r="8116" spans="103:104" x14ac:dyDescent="0.3">
      <c r="CY8116" s="34" t="s">
        <v>9043</v>
      </c>
      <c r="CZ8116" s="35">
        <v>4.7217440000000006E-2</v>
      </c>
    </row>
    <row r="8117" spans="103:104" x14ac:dyDescent="0.3">
      <c r="CY8117" s="34" t="s">
        <v>9044</v>
      </c>
      <c r="CZ8117" s="35">
        <v>4.7417120000000007E-2</v>
      </c>
    </row>
    <row r="8118" spans="103:104" x14ac:dyDescent="0.3">
      <c r="CY8118" s="34" t="s">
        <v>9045</v>
      </c>
      <c r="CZ8118" s="35">
        <v>1.3782998999999997E-2</v>
      </c>
    </row>
    <row r="8119" spans="103:104" x14ac:dyDescent="0.3">
      <c r="CY8119" s="34" t="s">
        <v>9046</v>
      </c>
      <c r="CZ8119" s="35">
        <v>1.1381199999999999E-2</v>
      </c>
    </row>
    <row r="8120" spans="103:104" x14ac:dyDescent="0.3">
      <c r="CY8120" s="34" t="s">
        <v>9047</v>
      </c>
      <c r="CZ8120" s="35">
        <v>0.97520240000000002</v>
      </c>
    </row>
    <row r="8121" spans="103:104" x14ac:dyDescent="0.3">
      <c r="CY8121" s="34" t="s">
        <v>9048</v>
      </c>
      <c r="CZ8121" s="35">
        <v>0.39637239999999996</v>
      </c>
    </row>
    <row r="8122" spans="103:104" x14ac:dyDescent="0.3">
      <c r="CY8122" s="34" t="s">
        <v>9049</v>
      </c>
      <c r="CZ8122" s="35">
        <v>0.30296719999999994</v>
      </c>
    </row>
    <row r="8123" spans="103:104" x14ac:dyDescent="0.3">
      <c r="CY8123" s="34" t="s">
        <v>9050</v>
      </c>
      <c r="CZ8123" s="35">
        <v>5.943528E-2</v>
      </c>
    </row>
    <row r="8124" spans="103:104" x14ac:dyDescent="0.3">
      <c r="CY8124" s="34" t="s">
        <v>9051</v>
      </c>
      <c r="CZ8124" s="35">
        <v>5.943528E-2</v>
      </c>
    </row>
    <row r="8125" spans="103:104" x14ac:dyDescent="0.3">
      <c r="CY8125" s="34" t="s">
        <v>9052</v>
      </c>
      <c r="CZ8125" s="35">
        <v>6.7048239999999995E-2</v>
      </c>
    </row>
    <row r="8126" spans="103:104" x14ac:dyDescent="0.3">
      <c r="CY8126" s="34" t="s">
        <v>9053</v>
      </c>
      <c r="CZ8126" s="35">
        <v>5.8103159999999994E-2</v>
      </c>
    </row>
    <row r="8127" spans="103:104" x14ac:dyDescent="0.3">
      <c r="CY8127" s="34" t="s">
        <v>9054</v>
      </c>
      <c r="CZ8127" s="35">
        <v>6.7048239999999995E-2</v>
      </c>
    </row>
    <row r="8128" spans="103:104" x14ac:dyDescent="0.3">
      <c r="CY8128" s="34" t="s">
        <v>9055</v>
      </c>
      <c r="CZ8128" s="35">
        <v>1.6110992000000001E-2</v>
      </c>
    </row>
    <row r="8129" spans="103:104" x14ac:dyDescent="0.3">
      <c r="CY8129" s="34" t="s">
        <v>9056</v>
      </c>
      <c r="CZ8129" s="35">
        <v>8.0055578947368423E-4</v>
      </c>
    </row>
    <row r="8130" spans="103:104" x14ac:dyDescent="0.3">
      <c r="CY8130" s="34" t="s">
        <v>9057</v>
      </c>
      <c r="CZ8130" s="35">
        <v>7.2512896650000006E-3</v>
      </c>
    </row>
    <row r="8131" spans="103:104" x14ac:dyDescent="0.3">
      <c r="CY8131" s="34" t="s">
        <v>9058</v>
      </c>
      <c r="CZ8131" s="35">
        <v>1.591754285714286E-2</v>
      </c>
    </row>
    <row r="8132" spans="103:104" x14ac:dyDescent="0.3">
      <c r="CY8132" s="34" t="s">
        <v>9059</v>
      </c>
      <c r="CZ8132" s="35">
        <v>4.8179312000000002E-2</v>
      </c>
    </row>
    <row r="8133" spans="103:104" x14ac:dyDescent="0.3">
      <c r="CY8133" s="34" t="s">
        <v>9060</v>
      </c>
      <c r="CZ8133" s="35">
        <v>6.5716899999999998E-3</v>
      </c>
    </row>
    <row r="8134" spans="103:104" x14ac:dyDescent="0.3">
      <c r="CY8134" s="34" t="s">
        <v>9061</v>
      </c>
      <c r="CZ8134" s="35">
        <v>4.8209726666666661E-3</v>
      </c>
    </row>
    <row r="8135" spans="103:104" x14ac:dyDescent="0.3">
      <c r="CY8135" s="34" t="s">
        <v>9062</v>
      </c>
      <c r="CZ8135" s="35">
        <v>4.8101379999999999E-2</v>
      </c>
    </row>
    <row r="8136" spans="103:104" x14ac:dyDescent="0.3">
      <c r="CY8136" s="34" t="s">
        <v>9063</v>
      </c>
      <c r="CZ8136" s="35">
        <v>2.5098720000000001E-2</v>
      </c>
    </row>
    <row r="8137" spans="103:104" x14ac:dyDescent="0.3">
      <c r="CY8137" s="34" t="s">
        <v>9064</v>
      </c>
      <c r="CZ8137" s="35">
        <v>6.4831890849999995E-3</v>
      </c>
    </row>
    <row r="8138" spans="103:104" x14ac:dyDescent="0.3">
      <c r="CY8138" s="34" t="s">
        <v>9065</v>
      </c>
      <c r="CZ8138" s="35">
        <v>6.5481314640000003E-3</v>
      </c>
    </row>
    <row r="8139" spans="103:104" x14ac:dyDescent="0.3">
      <c r="CY8139" s="34" t="s">
        <v>9066</v>
      </c>
      <c r="CZ8139" s="35">
        <v>1.17248005E-2</v>
      </c>
    </row>
    <row r="8140" spans="103:104" x14ac:dyDescent="0.3">
      <c r="CY8140" s="34" t="s">
        <v>9067</v>
      </c>
      <c r="CZ8140" s="35">
        <v>2.6376517333333335E-2</v>
      </c>
    </row>
    <row r="8141" spans="103:104" x14ac:dyDescent="0.3">
      <c r="CY8141" s="34" t="s">
        <v>9068</v>
      </c>
      <c r="CZ8141" s="35">
        <v>1.0626024000000001E-2</v>
      </c>
    </row>
    <row r="8142" spans="103:104" x14ac:dyDescent="0.3">
      <c r="CY8142" s="34" t="s">
        <v>9069</v>
      </c>
      <c r="CZ8142" s="35">
        <v>1.8436435999999998E-3</v>
      </c>
    </row>
    <row r="8143" spans="103:104" x14ac:dyDescent="0.3">
      <c r="CY8143" s="34" t="s">
        <v>9070</v>
      </c>
      <c r="CZ8143" s="35">
        <v>3.4685714285714289E-3</v>
      </c>
    </row>
    <row r="8144" spans="103:104" x14ac:dyDescent="0.3">
      <c r="CY8144" s="34" t="s">
        <v>9071</v>
      </c>
      <c r="CZ8144" s="35">
        <v>8.5289433400000003E-2</v>
      </c>
    </row>
    <row r="8145" spans="103:104" x14ac:dyDescent="0.3">
      <c r="CY8145" s="34" t="s">
        <v>9072</v>
      </c>
      <c r="CZ8145" s="35">
        <v>0.11732367339999999</v>
      </c>
    </row>
    <row r="8146" spans="103:104" x14ac:dyDescent="0.3">
      <c r="CY8146" s="34" t="s">
        <v>9073</v>
      </c>
      <c r="CZ8146" s="35">
        <v>1.1915184000000001E-2</v>
      </c>
    </row>
    <row r="8147" spans="103:104" x14ac:dyDescent="0.3">
      <c r="CY8147" s="34" t="s">
        <v>9074</v>
      </c>
      <c r="CZ8147" s="35">
        <v>1.4273629333333333E-2</v>
      </c>
    </row>
    <row r="8148" spans="103:104" x14ac:dyDescent="0.3">
      <c r="CY8148" s="34" t="s">
        <v>9075</v>
      </c>
      <c r="CZ8148" s="35">
        <v>1.4068853350000002E-2</v>
      </c>
    </row>
    <row r="8149" spans="103:104" x14ac:dyDescent="0.3">
      <c r="CY8149" s="34" t="s">
        <v>9076</v>
      </c>
      <c r="CZ8149" s="35">
        <v>1.90171734E-2</v>
      </c>
    </row>
    <row r="8150" spans="103:104" x14ac:dyDescent="0.3">
      <c r="CY8150" s="34" t="s">
        <v>9077</v>
      </c>
      <c r="CZ8150" s="35">
        <v>1.9017173300000002E-2</v>
      </c>
    </row>
    <row r="8151" spans="103:104" x14ac:dyDescent="0.3">
      <c r="CY8151" s="34" t="s">
        <v>9078</v>
      </c>
      <c r="CZ8151" s="35">
        <v>1.9017173275862071E-2</v>
      </c>
    </row>
    <row r="8152" spans="103:104" x14ac:dyDescent="0.3">
      <c r="CY8152" s="34" t="s">
        <v>9079</v>
      </c>
      <c r="CZ8152" s="35">
        <v>2.06666135E-2</v>
      </c>
    </row>
    <row r="8153" spans="103:104" x14ac:dyDescent="0.3">
      <c r="CY8153" s="34" t="s">
        <v>9080</v>
      </c>
      <c r="CZ8153" s="35">
        <v>9.0652053333333329E-3</v>
      </c>
    </row>
    <row r="8154" spans="103:104" x14ac:dyDescent="0.3">
      <c r="CY8154" s="34" t="s">
        <v>9081</v>
      </c>
      <c r="CZ8154" s="35">
        <v>1.4273629333333333E-2</v>
      </c>
    </row>
    <row r="8155" spans="103:104" x14ac:dyDescent="0.3">
      <c r="CY8155" s="34" t="s">
        <v>9082</v>
      </c>
      <c r="CZ8155" s="35">
        <v>6.4377119999999999E-3</v>
      </c>
    </row>
    <row r="8156" spans="103:104" x14ac:dyDescent="0.3">
      <c r="CY8156" s="34" t="s">
        <v>9083</v>
      </c>
      <c r="CZ8156" s="35">
        <v>3.8613200000000001E-3</v>
      </c>
    </row>
    <row r="8157" spans="103:104" x14ac:dyDescent="0.3">
      <c r="CY8157" s="34" t="s">
        <v>9084</v>
      </c>
      <c r="CZ8157" s="35">
        <v>2.098568E-2</v>
      </c>
    </row>
    <row r="8158" spans="103:104" x14ac:dyDescent="0.3">
      <c r="CY8158" s="34" t="s">
        <v>9085</v>
      </c>
      <c r="CZ8158" s="35">
        <v>4.9663600000000002E-2</v>
      </c>
    </row>
    <row r="8159" spans="103:104" x14ac:dyDescent="0.3">
      <c r="CY8159" s="34" t="s">
        <v>9086</v>
      </c>
      <c r="CZ8159" s="35">
        <v>6.30304E-2</v>
      </c>
    </row>
    <row r="8160" spans="103:104" x14ac:dyDescent="0.3">
      <c r="CY8160" s="34" t="s">
        <v>9087</v>
      </c>
      <c r="CZ8160" s="35">
        <v>0.23571799999999998</v>
      </c>
    </row>
    <row r="8161" spans="103:104" x14ac:dyDescent="0.3">
      <c r="CY8161" s="34" t="s">
        <v>9088</v>
      </c>
      <c r="CZ8161" s="35">
        <v>1.1159706674999999E-2</v>
      </c>
    </row>
    <row r="8162" spans="103:104" x14ac:dyDescent="0.3">
      <c r="CY8162" s="34" t="s">
        <v>9089</v>
      </c>
      <c r="CZ8162" s="35">
        <v>1.7751279999999998E-2</v>
      </c>
    </row>
    <row r="8163" spans="103:104" x14ac:dyDescent="0.3">
      <c r="CY8163" s="34" t="s">
        <v>9090</v>
      </c>
      <c r="CZ8163" s="35">
        <v>1.419364E-2</v>
      </c>
    </row>
    <row r="8164" spans="103:104" x14ac:dyDescent="0.3">
      <c r="CY8164" s="34" t="s">
        <v>9091</v>
      </c>
      <c r="CZ8164" s="35">
        <v>1.1383700000000001E-3</v>
      </c>
    </row>
    <row r="8165" spans="103:104" x14ac:dyDescent="0.3">
      <c r="CY8165" s="34" t="s">
        <v>9092</v>
      </c>
      <c r="CZ8165" s="35">
        <v>0.14454076760000001</v>
      </c>
    </row>
    <row r="8166" spans="103:104" x14ac:dyDescent="0.3">
      <c r="CY8166" s="34" t="s">
        <v>9093</v>
      </c>
      <c r="CZ8166" s="35">
        <v>4.7044304E-3</v>
      </c>
    </row>
    <row r="8167" spans="103:104" x14ac:dyDescent="0.3">
      <c r="CY8167" s="34" t="s">
        <v>9094</v>
      </c>
      <c r="CZ8167" s="35">
        <v>4.6676304E-3</v>
      </c>
    </row>
    <row r="8168" spans="103:104" x14ac:dyDescent="0.3">
      <c r="CY8168" s="34" t="s">
        <v>9095</v>
      </c>
      <c r="CZ8168" s="35">
        <v>4.6667999999999997E-4</v>
      </c>
    </row>
    <row r="8169" spans="103:104" x14ac:dyDescent="0.3">
      <c r="CY8169" s="34" t="s">
        <v>9096</v>
      </c>
      <c r="CZ8169" s="35">
        <v>7.0980680000000018E-2</v>
      </c>
    </row>
    <row r="8170" spans="103:104" x14ac:dyDescent="0.3">
      <c r="CY8170" s="34" t="s">
        <v>9097</v>
      </c>
      <c r="CZ8170" s="35">
        <v>6.8417000000000006E-2</v>
      </c>
    </row>
    <row r="8171" spans="103:104" x14ac:dyDescent="0.3">
      <c r="CY8171" s="34" t="s">
        <v>9098</v>
      </c>
      <c r="CZ8171" s="35">
        <v>6.9393640000000006E-2</v>
      </c>
    </row>
    <row r="8172" spans="103:104" x14ac:dyDescent="0.3">
      <c r="CY8172" s="34" t="s">
        <v>9099</v>
      </c>
      <c r="CZ8172" s="35">
        <v>6.9393640000000006E-2</v>
      </c>
    </row>
    <row r="8173" spans="103:104" x14ac:dyDescent="0.3">
      <c r="CY8173" s="34" t="s">
        <v>9100</v>
      </c>
      <c r="CZ8173" s="35">
        <v>7.7053866999999996E-3</v>
      </c>
    </row>
    <row r="8174" spans="103:104" x14ac:dyDescent="0.3">
      <c r="CY8174" s="34" t="s">
        <v>9101</v>
      </c>
      <c r="CZ8174" s="35">
        <v>0.27335100000000001</v>
      </c>
    </row>
    <row r="8175" spans="103:104" x14ac:dyDescent="0.3">
      <c r="CY8175" s="34" t="s">
        <v>9102</v>
      </c>
      <c r="CZ8175" s="35">
        <v>1.5636533333333333E-3</v>
      </c>
    </row>
    <row r="8176" spans="103:104" x14ac:dyDescent="0.3">
      <c r="CY8176" s="34" t="s">
        <v>9103</v>
      </c>
      <c r="CZ8176" s="35">
        <v>4.551179666666666E-2</v>
      </c>
    </row>
    <row r="8177" spans="103:104" x14ac:dyDescent="0.3">
      <c r="CY8177" s="34" t="s">
        <v>9104</v>
      </c>
      <c r="CZ8177" s="35">
        <v>1.5962426600000003E-3</v>
      </c>
    </row>
    <row r="8178" spans="103:104" x14ac:dyDescent="0.3">
      <c r="CY8178" s="34" t="s">
        <v>9105</v>
      </c>
      <c r="CZ8178" s="35">
        <v>1.3636200000000001E-3</v>
      </c>
    </row>
    <row r="8179" spans="103:104" x14ac:dyDescent="0.3">
      <c r="CY8179" s="34" t="s">
        <v>9106</v>
      </c>
      <c r="CZ8179" s="35">
        <v>3.7471359999999999E-3</v>
      </c>
    </row>
    <row r="8180" spans="103:104" x14ac:dyDescent="0.3">
      <c r="CY8180" s="34" t="s">
        <v>9107</v>
      </c>
      <c r="CZ8180" s="35">
        <v>3.7471359999999999E-3</v>
      </c>
    </row>
    <row r="8181" spans="103:104" x14ac:dyDescent="0.3">
      <c r="CY8181" s="34" t="s">
        <v>9108</v>
      </c>
      <c r="CZ8181" s="35">
        <v>6.9877865999999991E-4</v>
      </c>
    </row>
    <row r="8182" spans="103:104" x14ac:dyDescent="0.3">
      <c r="CY8182" s="34" t="s">
        <v>9109</v>
      </c>
      <c r="CZ8182" s="35">
        <v>3.1296039999999998E-3</v>
      </c>
    </row>
    <row r="8183" spans="103:104" x14ac:dyDescent="0.3">
      <c r="CY8183" s="34" t="s">
        <v>9110</v>
      </c>
      <c r="CZ8183" s="35">
        <v>3.1296039999999998E-3</v>
      </c>
    </row>
    <row r="8184" spans="103:104" x14ac:dyDescent="0.3">
      <c r="CY8184" s="34" t="s">
        <v>9111</v>
      </c>
      <c r="CZ8184" s="35">
        <v>1.1479424E-2</v>
      </c>
    </row>
    <row r="8185" spans="103:104" x14ac:dyDescent="0.3">
      <c r="CY8185" s="34" t="s">
        <v>9112</v>
      </c>
      <c r="CZ8185" s="35">
        <v>1.1479424E-2</v>
      </c>
    </row>
    <row r="8186" spans="103:104" x14ac:dyDescent="0.3">
      <c r="CY8186" s="34" t="s">
        <v>9113</v>
      </c>
      <c r="CZ8186" s="35">
        <v>2.5300840000000002E-2</v>
      </c>
    </row>
    <row r="8187" spans="103:104" x14ac:dyDescent="0.3">
      <c r="CY8187" s="34" t="s">
        <v>9114</v>
      </c>
      <c r="CZ8187" s="35">
        <v>2.5300840000000002E-2</v>
      </c>
    </row>
    <row r="8188" spans="103:104" x14ac:dyDescent="0.3">
      <c r="CY8188" s="34" t="s">
        <v>9115</v>
      </c>
      <c r="CZ8188" s="35">
        <v>1.415344E-3</v>
      </c>
    </row>
    <row r="8189" spans="103:104" x14ac:dyDescent="0.3">
      <c r="CY8189" s="34" t="s">
        <v>9116</v>
      </c>
      <c r="CZ8189" s="35">
        <v>2.0361828400000002E-3</v>
      </c>
    </row>
    <row r="8190" spans="103:104" x14ac:dyDescent="0.3">
      <c r="CY8190" s="34" t="s">
        <v>9117</v>
      </c>
      <c r="CZ8190" s="35">
        <v>6.3024680000000013E-2</v>
      </c>
    </row>
    <row r="8191" spans="103:104" x14ac:dyDescent="0.3">
      <c r="CY8191" s="34" t="s">
        <v>9118</v>
      </c>
      <c r="CZ8191" s="35">
        <v>0.46806399999999998</v>
      </c>
    </row>
    <row r="8192" spans="103:104" x14ac:dyDescent="0.3">
      <c r="CY8192" s="34" t="s">
        <v>9119</v>
      </c>
      <c r="CZ8192" s="35">
        <v>1.658472E-3</v>
      </c>
    </row>
    <row r="8193" spans="103:104" x14ac:dyDescent="0.3">
      <c r="CY8193" s="34" t="s">
        <v>9120</v>
      </c>
      <c r="CZ8193" s="35">
        <v>8.5443600000000008E-3</v>
      </c>
    </row>
    <row r="8194" spans="103:104" x14ac:dyDescent="0.3">
      <c r="CY8194" s="34" t="s">
        <v>9121</v>
      </c>
      <c r="CZ8194" s="35">
        <v>1.3706919999999999E-2</v>
      </c>
    </row>
    <row r="8195" spans="103:104" x14ac:dyDescent="0.3">
      <c r="CY8195" s="34" t="s">
        <v>9122</v>
      </c>
      <c r="CZ8195" s="35">
        <v>1.5312500000000001E-3</v>
      </c>
    </row>
    <row r="8196" spans="103:104" x14ac:dyDescent="0.3">
      <c r="CY8196" s="34" t="s">
        <v>9123</v>
      </c>
      <c r="CZ8196" s="35">
        <v>6.0052359999999997E-3</v>
      </c>
    </row>
    <row r="8197" spans="103:104" x14ac:dyDescent="0.3">
      <c r="CY8197" s="34" t="s">
        <v>9124</v>
      </c>
      <c r="CZ8197" s="35">
        <v>1.4199887999999999E-2</v>
      </c>
    </row>
    <row r="8198" spans="103:104" x14ac:dyDescent="0.3">
      <c r="CY8198" s="34" t="s">
        <v>9125</v>
      </c>
      <c r="CZ8198" s="35">
        <v>1.4199887999999999E-2</v>
      </c>
    </row>
    <row r="8199" spans="103:104" x14ac:dyDescent="0.3">
      <c r="CY8199" s="34" t="s">
        <v>9126</v>
      </c>
      <c r="CZ8199" s="35">
        <v>1.3722927999999999E-2</v>
      </c>
    </row>
    <row r="8200" spans="103:104" x14ac:dyDescent="0.3">
      <c r="CY8200" s="34" t="s">
        <v>9127</v>
      </c>
      <c r="CZ8200" s="35">
        <v>2.3796480000000002E-2</v>
      </c>
    </row>
    <row r="8201" spans="103:104" x14ac:dyDescent="0.3">
      <c r="CY8201" s="34" t="s">
        <v>9128</v>
      </c>
      <c r="CZ8201" s="35">
        <v>1.658472E-3</v>
      </c>
    </row>
    <row r="8202" spans="103:104" x14ac:dyDescent="0.3">
      <c r="CY8202" s="34" t="s">
        <v>9129</v>
      </c>
      <c r="CZ8202" s="35">
        <v>6.3321872000000001E-2</v>
      </c>
    </row>
    <row r="8203" spans="103:104" x14ac:dyDescent="0.3">
      <c r="CY8203" s="34" t="s">
        <v>9130</v>
      </c>
      <c r="CZ8203" s="35">
        <v>5.4824999999999999E-2</v>
      </c>
    </row>
    <row r="8204" spans="103:104" x14ac:dyDescent="0.3">
      <c r="CY8204" s="34" t="s">
        <v>9131</v>
      </c>
      <c r="CZ8204" s="35">
        <v>1.348242E-2</v>
      </c>
    </row>
    <row r="8205" spans="103:104" x14ac:dyDescent="0.3">
      <c r="CY8205" s="34" t="s">
        <v>9132</v>
      </c>
      <c r="CZ8205" s="35">
        <v>3.9351080000000005E-3</v>
      </c>
    </row>
    <row r="8206" spans="103:104" x14ac:dyDescent="0.3">
      <c r="CY8206" s="34" t="s">
        <v>9133</v>
      </c>
      <c r="CZ8206" s="35">
        <v>1.0964973333333334E-2</v>
      </c>
    </row>
    <row r="8207" spans="103:104" x14ac:dyDescent="0.3">
      <c r="CY8207" s="34" t="s">
        <v>9134</v>
      </c>
      <c r="CZ8207" s="35">
        <v>3.7351599999999995E-4</v>
      </c>
    </row>
    <row r="8208" spans="103:104" x14ac:dyDescent="0.3">
      <c r="CY8208" s="34" t="s">
        <v>9135</v>
      </c>
      <c r="CZ8208" s="35">
        <v>4.0242540703517592E-2</v>
      </c>
    </row>
    <row r="8209" spans="103:104" x14ac:dyDescent="0.3">
      <c r="CY8209" s="34" t="s">
        <v>9136</v>
      </c>
      <c r="CZ8209" s="35">
        <v>4.3267504000000005E-2</v>
      </c>
    </row>
    <row r="8210" spans="103:104" x14ac:dyDescent="0.3">
      <c r="CY8210" s="34" t="s">
        <v>9137</v>
      </c>
      <c r="CZ8210" s="35">
        <v>4.2101560000000003E-2</v>
      </c>
    </row>
    <row r="8211" spans="103:104" x14ac:dyDescent="0.3">
      <c r="CY8211" s="34" t="s">
        <v>9138</v>
      </c>
      <c r="CZ8211" s="35">
        <v>4.1324264000000006E-2</v>
      </c>
    </row>
    <row r="8212" spans="103:104" x14ac:dyDescent="0.3">
      <c r="CY8212" s="34" t="s">
        <v>9139</v>
      </c>
      <c r="CZ8212" s="35">
        <v>3.5340479999999997E-3</v>
      </c>
    </row>
    <row r="8213" spans="103:104" x14ac:dyDescent="0.3">
      <c r="CY8213" s="34" t="s">
        <v>9140</v>
      </c>
      <c r="CZ8213" s="35">
        <v>1.388326E-2</v>
      </c>
    </row>
    <row r="8214" spans="103:104" x14ac:dyDescent="0.3">
      <c r="CY8214" s="34" t="s">
        <v>9141</v>
      </c>
      <c r="CZ8214" s="35">
        <v>7.9316715789473691E-2</v>
      </c>
    </row>
    <row r="8215" spans="103:104" x14ac:dyDescent="0.3">
      <c r="CY8215" s="34" t="s">
        <v>9142</v>
      </c>
      <c r="CZ8215" s="35">
        <v>1.260064E-3</v>
      </c>
    </row>
    <row r="8216" spans="103:104" x14ac:dyDescent="0.3">
      <c r="CY8216" s="34" t="s">
        <v>9143</v>
      </c>
      <c r="CZ8216" s="35">
        <v>2.7021100000000006E-3</v>
      </c>
    </row>
    <row r="8217" spans="103:104" x14ac:dyDescent="0.3">
      <c r="CY8217" s="34" t="s">
        <v>9144</v>
      </c>
      <c r="CZ8217" s="35">
        <v>3.8911640000000004E-2</v>
      </c>
    </row>
    <row r="8218" spans="103:104" x14ac:dyDescent="0.3">
      <c r="CY8218" s="34" t="s">
        <v>9145</v>
      </c>
      <c r="CZ8218" s="35">
        <v>0.11887984000000001</v>
      </c>
    </row>
    <row r="8219" spans="103:104" x14ac:dyDescent="0.3">
      <c r="CY8219" s="34" t="s">
        <v>9146</v>
      </c>
      <c r="CZ8219" s="35">
        <v>4.7962204444444448E-2</v>
      </c>
    </row>
    <row r="8220" spans="103:104" x14ac:dyDescent="0.3">
      <c r="CY8220" s="34" t="s">
        <v>9147</v>
      </c>
      <c r="CZ8220" s="35">
        <v>4.8703466666666665E-3</v>
      </c>
    </row>
    <row r="8221" spans="103:104" x14ac:dyDescent="0.3">
      <c r="CY8221" s="34" t="s">
        <v>9148</v>
      </c>
      <c r="CZ8221" s="35">
        <v>0.23604940000000002</v>
      </c>
    </row>
    <row r="8222" spans="103:104" x14ac:dyDescent="0.3">
      <c r="CY8222" s="34" t="s">
        <v>9149</v>
      </c>
      <c r="CZ8222" s="35">
        <v>5.9199439999999999E-2</v>
      </c>
    </row>
    <row r="8223" spans="103:104" x14ac:dyDescent="0.3">
      <c r="CY8223" s="34" t="s">
        <v>9150</v>
      </c>
      <c r="CZ8223" s="35">
        <v>1.1285890600000001E-2</v>
      </c>
    </row>
    <row r="8224" spans="103:104" x14ac:dyDescent="0.3">
      <c r="CY8224" s="34" t="s">
        <v>9151</v>
      </c>
      <c r="CZ8224" s="35">
        <v>5.3982579999999995E-2</v>
      </c>
    </row>
    <row r="8225" spans="103:104" x14ac:dyDescent="0.3">
      <c r="CY8225" s="34" t="s">
        <v>9152</v>
      </c>
      <c r="CZ8225" s="35">
        <v>1.8744400000000001E-2</v>
      </c>
    </row>
    <row r="8226" spans="103:104" x14ac:dyDescent="0.3">
      <c r="CY8226" s="34" t="s">
        <v>9153</v>
      </c>
      <c r="CZ8226" s="35">
        <v>1.3876672E-2</v>
      </c>
    </row>
    <row r="8227" spans="103:104" x14ac:dyDescent="0.3">
      <c r="CY8227" s="34" t="s">
        <v>9154</v>
      </c>
      <c r="CZ8227" s="35">
        <v>5.7196327499999998E-2</v>
      </c>
    </row>
    <row r="8228" spans="103:104" x14ac:dyDescent="0.3">
      <c r="CY8228" s="34" t="s">
        <v>9155</v>
      </c>
      <c r="CZ8228" s="35">
        <v>4.0552167600000001E-2</v>
      </c>
    </row>
    <row r="8229" spans="103:104" x14ac:dyDescent="0.3">
      <c r="CY8229" s="34" t="s">
        <v>9156</v>
      </c>
      <c r="CZ8229" s="35">
        <v>0.17026021329999999</v>
      </c>
    </row>
    <row r="8230" spans="103:104" x14ac:dyDescent="0.3">
      <c r="CY8230" s="34" t="s">
        <v>9157</v>
      </c>
      <c r="CZ8230" s="35">
        <v>8.8192000000000001E-4</v>
      </c>
    </row>
    <row r="8231" spans="103:104" x14ac:dyDescent="0.3">
      <c r="CY8231" s="34" t="s">
        <v>9158</v>
      </c>
      <c r="CZ8231" s="35">
        <v>0.23604933350000001</v>
      </c>
    </row>
    <row r="8232" spans="103:104" x14ac:dyDescent="0.3">
      <c r="CY8232" s="34" t="s">
        <v>9159</v>
      </c>
      <c r="CZ8232" s="35">
        <v>0.1051348</v>
      </c>
    </row>
    <row r="8233" spans="103:104" x14ac:dyDescent="0.3">
      <c r="CY8233" s="34" t="s">
        <v>9160</v>
      </c>
      <c r="CZ8233" s="35">
        <v>4.6274799999999998E-2</v>
      </c>
    </row>
    <row r="8234" spans="103:104" x14ac:dyDescent="0.3">
      <c r="CY8234" s="34" t="s">
        <v>9161</v>
      </c>
      <c r="CZ8234" s="35">
        <v>3.7927040000000002E-2</v>
      </c>
    </row>
    <row r="8235" spans="103:104" x14ac:dyDescent="0.3">
      <c r="CY8235" s="34" t="s">
        <v>9162</v>
      </c>
      <c r="CZ8235" s="35">
        <v>2.2845328E-3</v>
      </c>
    </row>
    <row r="8236" spans="103:104" x14ac:dyDescent="0.3">
      <c r="CY8236" s="34" t="s">
        <v>9163</v>
      </c>
      <c r="CZ8236" s="35">
        <v>3.9780959999999995E-3</v>
      </c>
    </row>
    <row r="8237" spans="103:104" x14ac:dyDescent="0.3">
      <c r="CY8237" s="34" t="s">
        <v>9164</v>
      </c>
      <c r="CZ8237" s="35">
        <v>6.4791440000000009E-3</v>
      </c>
    </row>
    <row r="8238" spans="103:104" x14ac:dyDescent="0.3">
      <c r="CY8238" s="34" t="s">
        <v>9165</v>
      </c>
      <c r="CZ8238" s="35">
        <v>5.0390240000000003E-2</v>
      </c>
    </row>
    <row r="8239" spans="103:104" x14ac:dyDescent="0.3">
      <c r="CY8239" s="34" t="s">
        <v>9166</v>
      </c>
      <c r="CZ8239" s="35">
        <v>2.2911018666666666E-3</v>
      </c>
    </row>
    <row r="8240" spans="103:104" x14ac:dyDescent="0.3">
      <c r="CY8240" s="34" t="s">
        <v>9167</v>
      </c>
      <c r="CZ8240" s="35">
        <v>9.9095920000000004E-2</v>
      </c>
    </row>
    <row r="8241" spans="103:104" x14ac:dyDescent="0.3">
      <c r="CY8241" s="34" t="s">
        <v>9168</v>
      </c>
      <c r="CZ8241" s="35">
        <v>4.137536E-2</v>
      </c>
    </row>
    <row r="8242" spans="103:104" x14ac:dyDescent="0.3">
      <c r="CY8242" s="34" t="s">
        <v>9169</v>
      </c>
      <c r="CZ8242" s="35">
        <v>1.0451720000000001E-2</v>
      </c>
    </row>
    <row r="8243" spans="103:104" x14ac:dyDescent="0.3">
      <c r="CY8243" s="34" t="s">
        <v>9170</v>
      </c>
      <c r="CZ8243" s="35">
        <v>1.8187472E-3</v>
      </c>
    </row>
    <row r="8244" spans="103:104" x14ac:dyDescent="0.3">
      <c r="CY8244" s="34" t="s">
        <v>9171</v>
      </c>
      <c r="CZ8244" s="35">
        <v>5.7213199999999994E-3</v>
      </c>
    </row>
    <row r="8245" spans="103:104" x14ac:dyDescent="0.3">
      <c r="CY8245" s="34" t="s">
        <v>9172</v>
      </c>
      <c r="CZ8245" s="35">
        <v>0.22866706667500003</v>
      </c>
    </row>
    <row r="8246" spans="103:104" x14ac:dyDescent="0.3">
      <c r="CY8246" s="34" t="s">
        <v>9173</v>
      </c>
      <c r="CZ8246" s="35">
        <v>0.220731866675</v>
      </c>
    </row>
    <row r="8247" spans="103:104" x14ac:dyDescent="0.3">
      <c r="CY8247" s="34" t="s">
        <v>9174</v>
      </c>
      <c r="CZ8247" s="35">
        <v>1.541184E-2</v>
      </c>
    </row>
    <row r="8248" spans="103:104" x14ac:dyDescent="0.3">
      <c r="CY8248" s="34" t="s">
        <v>9175</v>
      </c>
      <c r="CZ8248" s="35">
        <v>1.5411840000000001E-2</v>
      </c>
    </row>
    <row r="8249" spans="103:104" x14ac:dyDescent="0.3">
      <c r="CY8249" s="34" t="s">
        <v>9176</v>
      </c>
      <c r="CZ8249" s="35">
        <v>1.3525800000000001E-2</v>
      </c>
    </row>
    <row r="8250" spans="103:104" x14ac:dyDescent="0.3">
      <c r="CY8250" s="34" t="s">
        <v>9177</v>
      </c>
      <c r="CZ8250" s="35">
        <v>1.3525800000000001E-2</v>
      </c>
    </row>
    <row r="8251" spans="103:104" x14ac:dyDescent="0.3">
      <c r="CY8251" s="34" t="s">
        <v>9178</v>
      </c>
      <c r="CZ8251" s="35">
        <v>1.2797279999999999E-2</v>
      </c>
    </row>
    <row r="8252" spans="103:104" x14ac:dyDescent="0.3">
      <c r="CY8252" s="34" t="s">
        <v>9179</v>
      </c>
      <c r="CZ8252" s="35">
        <v>7.3055200000000002E-3</v>
      </c>
    </row>
    <row r="8253" spans="103:104" x14ac:dyDescent="0.3">
      <c r="CY8253" s="34" t="s">
        <v>9180</v>
      </c>
      <c r="CZ8253" s="35">
        <v>2.7462400000000001E-3</v>
      </c>
    </row>
    <row r="8254" spans="103:104" x14ac:dyDescent="0.3">
      <c r="CY8254" s="34" t="s">
        <v>9181</v>
      </c>
      <c r="CZ8254" s="35">
        <v>6.2169424000000002E-4</v>
      </c>
    </row>
    <row r="8255" spans="103:104" x14ac:dyDescent="0.3">
      <c r="CY8255" s="34" t="s">
        <v>9182</v>
      </c>
      <c r="CZ8255" s="35">
        <v>4.4164799999999997E-2</v>
      </c>
    </row>
    <row r="8256" spans="103:104" x14ac:dyDescent="0.3">
      <c r="CY8256" s="34" t="s">
        <v>9183</v>
      </c>
      <c r="CZ8256" s="35">
        <v>4.4164799999999997E-2</v>
      </c>
    </row>
    <row r="8257" spans="103:104" x14ac:dyDescent="0.3">
      <c r="CY8257" s="34" t="s">
        <v>9184</v>
      </c>
      <c r="CZ8257" s="35">
        <v>0.19959568</v>
      </c>
    </row>
    <row r="8258" spans="103:104" x14ac:dyDescent="0.3">
      <c r="CY8258" s="34" t="s">
        <v>9185</v>
      </c>
      <c r="CZ8258" s="35">
        <v>7.8842400000000007E-3</v>
      </c>
    </row>
    <row r="8259" spans="103:104" x14ac:dyDescent="0.3">
      <c r="CY8259" s="34" t="s">
        <v>9186</v>
      </c>
      <c r="CZ8259" s="35">
        <v>3.2853599999999997E-2</v>
      </c>
    </row>
    <row r="8260" spans="103:104" x14ac:dyDescent="0.3">
      <c r="CY8260" s="34" t="s">
        <v>9187</v>
      </c>
      <c r="CZ8260" s="35">
        <v>3.2853599999999997E-2</v>
      </c>
    </row>
    <row r="8261" spans="103:104" x14ac:dyDescent="0.3">
      <c r="CY8261" s="34" t="s">
        <v>9188</v>
      </c>
      <c r="CZ8261" s="35">
        <v>3.5825251199999996E-3</v>
      </c>
    </row>
    <row r="8262" spans="103:104" x14ac:dyDescent="0.3">
      <c r="CY8262" s="34" t="s">
        <v>9189</v>
      </c>
      <c r="CZ8262" s="35">
        <v>1.4628304E-3</v>
      </c>
    </row>
    <row r="8263" spans="103:104" x14ac:dyDescent="0.3">
      <c r="CY8263" s="34" t="s">
        <v>9190</v>
      </c>
      <c r="CZ8263" s="35">
        <v>8.3580160000000001E-2</v>
      </c>
    </row>
    <row r="8264" spans="103:104" x14ac:dyDescent="0.3">
      <c r="CY8264" s="34" t="s">
        <v>9191</v>
      </c>
      <c r="CZ8264" s="35">
        <v>3.3617479999999998E-2</v>
      </c>
    </row>
    <row r="8265" spans="103:104" x14ac:dyDescent="0.3">
      <c r="CY8265" s="34" t="s">
        <v>9192</v>
      </c>
      <c r="CZ8265" s="35">
        <v>2.7771879999999999E-2</v>
      </c>
    </row>
    <row r="8266" spans="103:104" x14ac:dyDescent="0.3">
      <c r="CY8266" s="34" t="s">
        <v>9193</v>
      </c>
      <c r="CZ8266" s="35">
        <v>1.2932928E-2</v>
      </c>
    </row>
    <row r="8267" spans="103:104" x14ac:dyDescent="0.3">
      <c r="CY8267" s="34" t="s">
        <v>9194</v>
      </c>
      <c r="CZ8267" s="35">
        <v>1.2932928E-2</v>
      </c>
    </row>
    <row r="8268" spans="103:104" x14ac:dyDescent="0.3">
      <c r="CY8268" s="34" t="s">
        <v>9195</v>
      </c>
      <c r="CZ8268" s="35">
        <v>1.226397335E-2</v>
      </c>
    </row>
    <row r="8269" spans="103:104" x14ac:dyDescent="0.3">
      <c r="CY8269" s="34" t="s">
        <v>9196</v>
      </c>
      <c r="CZ8269" s="35">
        <v>1.3290198549999998E-2</v>
      </c>
    </row>
    <row r="8270" spans="103:104" x14ac:dyDescent="0.3">
      <c r="CY8270" s="34" t="s">
        <v>9197</v>
      </c>
      <c r="CZ8270" s="35">
        <v>1.3983559400000001E-2</v>
      </c>
    </row>
    <row r="8271" spans="103:104" x14ac:dyDescent="0.3">
      <c r="CY8271" s="34" t="s">
        <v>9198</v>
      </c>
      <c r="CZ8271" s="35">
        <v>1.3987682999999999E-2</v>
      </c>
    </row>
    <row r="8272" spans="103:104" x14ac:dyDescent="0.3">
      <c r="CY8272" s="34" t="s">
        <v>9199</v>
      </c>
      <c r="CZ8272" s="35">
        <v>1.5564960000000001E-2</v>
      </c>
    </row>
    <row r="8273" spans="103:104" x14ac:dyDescent="0.3">
      <c r="CY8273" s="34" t="s">
        <v>9200</v>
      </c>
      <c r="CZ8273" s="35">
        <v>1.7601403966699999E-2</v>
      </c>
    </row>
    <row r="8274" spans="103:104" x14ac:dyDescent="0.3">
      <c r="CY8274" s="34" t="s">
        <v>9201</v>
      </c>
      <c r="CZ8274" s="35">
        <v>2.1033684800000001E-2</v>
      </c>
    </row>
    <row r="8275" spans="103:104" x14ac:dyDescent="0.3">
      <c r="CY8275" s="34" t="s">
        <v>9202</v>
      </c>
      <c r="CZ8275" s="35">
        <v>1.6268106633300004E-2</v>
      </c>
    </row>
    <row r="8276" spans="103:104" x14ac:dyDescent="0.3">
      <c r="CY8276" s="34" t="s">
        <v>9203</v>
      </c>
      <c r="CZ8276" s="35">
        <v>5.1036000000000007E-3</v>
      </c>
    </row>
    <row r="8277" spans="103:104" x14ac:dyDescent="0.3">
      <c r="CY8277" s="34" t="s">
        <v>9204</v>
      </c>
      <c r="CZ8277" s="35">
        <v>1.3980832E-2</v>
      </c>
    </row>
    <row r="8278" spans="103:104" x14ac:dyDescent="0.3">
      <c r="CY8278" s="34" t="s">
        <v>9205</v>
      </c>
      <c r="CZ8278" s="35">
        <v>1.2479328E-3</v>
      </c>
    </row>
    <row r="8279" spans="103:104" x14ac:dyDescent="0.3">
      <c r="CY8279" s="34" t="s">
        <v>9206</v>
      </c>
      <c r="CZ8279" s="35">
        <v>2.1158652E-2</v>
      </c>
    </row>
    <row r="8280" spans="103:104" x14ac:dyDescent="0.3">
      <c r="CY8280" s="34" t="s">
        <v>9207</v>
      </c>
      <c r="CZ8280" s="35">
        <v>1.5004020000000002E-2</v>
      </c>
    </row>
    <row r="8281" spans="103:104" x14ac:dyDescent="0.3">
      <c r="CY8281" s="34" t="s">
        <v>9208</v>
      </c>
      <c r="CZ8281" s="35">
        <v>2.0985673599999997E-2</v>
      </c>
    </row>
    <row r="8282" spans="103:104" x14ac:dyDescent="0.3">
      <c r="CY8282" s="34" t="s">
        <v>9209</v>
      </c>
      <c r="CZ8282" s="35">
        <v>2.1720860000000002E-2</v>
      </c>
    </row>
    <row r="8283" spans="103:104" x14ac:dyDescent="0.3">
      <c r="CY8283" s="34" t="s">
        <v>9210</v>
      </c>
      <c r="CZ8283" s="35">
        <v>4.8266240000000002E-2</v>
      </c>
    </row>
    <row r="8284" spans="103:104" x14ac:dyDescent="0.3">
      <c r="CY8284" s="34" t="s">
        <v>9211</v>
      </c>
      <c r="CZ8284" s="35">
        <v>3.5301908E-2</v>
      </c>
    </row>
    <row r="8285" spans="103:104" x14ac:dyDescent="0.3">
      <c r="CY8285" s="34" t="s">
        <v>9212</v>
      </c>
      <c r="CZ8285" s="35">
        <v>2.4777600000000004E-2</v>
      </c>
    </row>
    <row r="8286" spans="103:104" x14ac:dyDescent="0.3">
      <c r="CY8286" s="34" t="s">
        <v>9213</v>
      </c>
      <c r="CZ8286" s="35">
        <v>2.3658560000000006E-2</v>
      </c>
    </row>
    <row r="8287" spans="103:104" x14ac:dyDescent="0.3">
      <c r="CY8287" s="34" t="s">
        <v>9214</v>
      </c>
      <c r="CZ8287" s="35">
        <v>1.461104E-3</v>
      </c>
    </row>
    <row r="8288" spans="103:104" x14ac:dyDescent="0.3">
      <c r="CY8288" s="34" t="s">
        <v>9215</v>
      </c>
      <c r="CZ8288" s="35">
        <v>7.9709999999999989E-3</v>
      </c>
    </row>
    <row r="8289" spans="103:104" x14ac:dyDescent="0.3">
      <c r="CY8289" s="34" t="s">
        <v>9216</v>
      </c>
      <c r="CZ8289" s="35">
        <v>7.5881600000000009E-3</v>
      </c>
    </row>
    <row r="8290" spans="103:104" x14ac:dyDescent="0.3">
      <c r="CY8290" s="34" t="s">
        <v>9217</v>
      </c>
      <c r="CZ8290" s="35">
        <v>9.3708239999999998E-3</v>
      </c>
    </row>
    <row r="8291" spans="103:104" x14ac:dyDescent="0.3">
      <c r="CY8291" s="34" t="s">
        <v>9218</v>
      </c>
      <c r="CZ8291" s="35">
        <v>2.520352E-3</v>
      </c>
    </row>
    <row r="8292" spans="103:104" x14ac:dyDescent="0.3">
      <c r="CY8292" s="34" t="s">
        <v>9219</v>
      </c>
      <c r="CZ8292" s="35">
        <v>7.2147199999999991E-4</v>
      </c>
    </row>
    <row r="8293" spans="103:104" x14ac:dyDescent="0.3">
      <c r="CY8293" s="34" t="s">
        <v>9220</v>
      </c>
      <c r="CZ8293" s="35">
        <v>1.657756E-3</v>
      </c>
    </row>
    <row r="8294" spans="103:104" x14ac:dyDescent="0.3">
      <c r="CY8294" s="34" t="s">
        <v>9221</v>
      </c>
      <c r="CZ8294" s="35">
        <v>3.1328893333333337E-2</v>
      </c>
    </row>
    <row r="8295" spans="103:104" x14ac:dyDescent="0.3">
      <c r="CY8295" s="34" t="s">
        <v>9222</v>
      </c>
      <c r="CZ8295" s="35">
        <v>4.1672733428571432E-2</v>
      </c>
    </row>
    <row r="8296" spans="103:104" x14ac:dyDescent="0.3">
      <c r="CY8296" s="34" t="s">
        <v>9223</v>
      </c>
      <c r="CZ8296" s="35">
        <v>9.3874948533333336E-2</v>
      </c>
    </row>
    <row r="8297" spans="103:104" x14ac:dyDescent="0.3">
      <c r="CY8297" s="34" t="s">
        <v>9224</v>
      </c>
      <c r="CZ8297" s="35">
        <v>0.10149190856666666</v>
      </c>
    </row>
    <row r="8298" spans="103:104" x14ac:dyDescent="0.3">
      <c r="CY8298" s="34" t="s">
        <v>9225</v>
      </c>
      <c r="CZ8298" s="35">
        <v>2.3362400000000003E-3</v>
      </c>
    </row>
    <row r="8299" spans="103:104" x14ac:dyDescent="0.3">
      <c r="CY8299" s="34" t="s">
        <v>9226</v>
      </c>
      <c r="CZ8299" s="35">
        <v>1.191264E-3</v>
      </c>
    </row>
    <row r="8300" spans="103:104" x14ac:dyDescent="0.3">
      <c r="CY8300" s="34" t="s">
        <v>9227</v>
      </c>
      <c r="CZ8300" s="35">
        <v>4.1580191999999998E-3</v>
      </c>
    </row>
    <row r="8301" spans="103:104" x14ac:dyDescent="0.3">
      <c r="CY8301" s="34" t="s">
        <v>9228</v>
      </c>
      <c r="CZ8301" s="35">
        <v>2.2157279999999997E-3</v>
      </c>
    </row>
    <row r="8302" spans="103:104" x14ac:dyDescent="0.3">
      <c r="CY8302" s="34" t="s">
        <v>9229</v>
      </c>
      <c r="CZ8302" s="35">
        <v>5.9843120000000003E-4</v>
      </c>
    </row>
    <row r="8303" spans="103:104" x14ac:dyDescent="0.3">
      <c r="CY8303" s="34" t="s">
        <v>9230</v>
      </c>
      <c r="CZ8303" s="35">
        <v>0.1225205867</v>
      </c>
    </row>
    <row r="8304" spans="103:104" x14ac:dyDescent="0.3">
      <c r="CY8304" s="34" t="s">
        <v>9231</v>
      </c>
      <c r="CZ8304" s="35">
        <v>1.3706919999999999E-2</v>
      </c>
    </row>
    <row r="8305" spans="103:104" x14ac:dyDescent="0.3">
      <c r="CY8305" s="34" t="s">
        <v>9232</v>
      </c>
      <c r="CZ8305" s="35">
        <v>0.15653259999999999</v>
      </c>
    </row>
    <row r="8306" spans="103:104" x14ac:dyDescent="0.3">
      <c r="CY8306" s="34" t="s">
        <v>9233</v>
      </c>
      <c r="CZ8306" s="35">
        <v>2.7499999999999998E-3</v>
      </c>
    </row>
    <row r="8307" spans="103:104" x14ac:dyDescent="0.3">
      <c r="CY8307" s="34" t="s">
        <v>9234</v>
      </c>
      <c r="CZ8307" s="35">
        <v>2.0488146666666669E-2</v>
      </c>
    </row>
    <row r="8308" spans="103:104" x14ac:dyDescent="0.3">
      <c r="CY8308" s="34" t="s">
        <v>9235</v>
      </c>
      <c r="CZ8308" s="35">
        <v>5.6508905333333331E-2</v>
      </c>
    </row>
    <row r="8309" spans="103:104" x14ac:dyDescent="0.3">
      <c r="CY8309" s="34" t="s">
        <v>9236</v>
      </c>
      <c r="CZ8309" s="35">
        <v>3.2784566000000001E-2</v>
      </c>
    </row>
    <row r="8310" spans="103:104" x14ac:dyDescent="0.3">
      <c r="CY8310" s="34" t="s">
        <v>9237</v>
      </c>
      <c r="CZ8310" s="35">
        <v>2.4806439999999997E-3</v>
      </c>
    </row>
    <row r="8311" spans="103:104" x14ac:dyDescent="0.3">
      <c r="CY8311" s="34" t="s">
        <v>9238</v>
      </c>
      <c r="CZ8311" s="35">
        <v>4.5441057254901954E-3</v>
      </c>
    </row>
    <row r="8312" spans="103:104" x14ac:dyDescent="0.3">
      <c r="CY8312" s="34" t="s">
        <v>9239</v>
      </c>
      <c r="CZ8312" s="35">
        <v>3.7536224E-2</v>
      </c>
    </row>
    <row r="8313" spans="103:104" x14ac:dyDescent="0.3">
      <c r="CY8313" s="34" t="s">
        <v>9240</v>
      </c>
      <c r="CZ8313" s="35">
        <v>2.1928000000000004E-3</v>
      </c>
    </row>
    <row r="8314" spans="103:104" x14ac:dyDescent="0.3">
      <c r="CY8314" s="34" t="s">
        <v>9241</v>
      </c>
      <c r="CZ8314" s="35">
        <v>1.1291667861111111E-2</v>
      </c>
    </row>
    <row r="8315" spans="103:104" x14ac:dyDescent="0.3">
      <c r="CY8315" s="34" t="s">
        <v>9242</v>
      </c>
      <c r="CZ8315" s="35">
        <v>2.5264648000000004E-2</v>
      </c>
    </row>
    <row r="8316" spans="103:104" x14ac:dyDescent="0.3">
      <c r="CY8316" s="34" t="s">
        <v>9243</v>
      </c>
      <c r="CZ8316" s="35">
        <v>2.6605624000000001E-2</v>
      </c>
    </row>
    <row r="8317" spans="103:104" x14ac:dyDescent="0.3">
      <c r="CY8317" s="34" t="s">
        <v>9244</v>
      </c>
      <c r="CZ8317" s="35">
        <v>5.5506800000000005E-3</v>
      </c>
    </row>
    <row r="8318" spans="103:104" x14ac:dyDescent="0.3">
      <c r="CY8318" s="34" t="s">
        <v>9245</v>
      </c>
      <c r="CZ8318" s="35">
        <v>1.9066400000000002E-3</v>
      </c>
    </row>
    <row r="8319" spans="103:104" x14ac:dyDescent="0.3">
      <c r="CY8319" s="34" t="s">
        <v>9246</v>
      </c>
      <c r="CZ8319" s="35">
        <v>1.3428692000000001E-3</v>
      </c>
    </row>
    <row r="8320" spans="103:104" x14ac:dyDescent="0.3">
      <c r="CY8320" s="34" t="s">
        <v>9247</v>
      </c>
      <c r="CZ8320" s="35">
        <v>3.7747818600000001E-3</v>
      </c>
    </row>
    <row r="8321" spans="103:104" x14ac:dyDescent="0.3">
      <c r="CY8321" s="34" t="s">
        <v>9248</v>
      </c>
      <c r="CZ8321" s="35">
        <v>2.21827598E-2</v>
      </c>
    </row>
    <row r="8322" spans="103:104" x14ac:dyDescent="0.3">
      <c r="CY8322" s="34" t="s">
        <v>9249</v>
      </c>
      <c r="CZ8322" s="35">
        <v>2.21827598E-2</v>
      </c>
    </row>
    <row r="8323" spans="103:104" x14ac:dyDescent="0.3">
      <c r="CY8323" s="34" t="s">
        <v>9250</v>
      </c>
      <c r="CZ8323" s="35">
        <v>1.6651515555555559E-2</v>
      </c>
    </row>
    <row r="8324" spans="103:104" x14ac:dyDescent="0.3">
      <c r="CY8324" s="34" t="s">
        <v>9251</v>
      </c>
      <c r="CZ8324" s="35">
        <v>1.6651515555555559E-2</v>
      </c>
    </row>
    <row r="8325" spans="103:104" x14ac:dyDescent="0.3">
      <c r="CY8325" s="34" t="s">
        <v>9252</v>
      </c>
      <c r="CZ8325" s="35">
        <v>4.4216960000000007E-2</v>
      </c>
    </row>
    <row r="8326" spans="103:104" x14ac:dyDescent="0.3">
      <c r="CY8326" s="34" t="s">
        <v>9253</v>
      </c>
      <c r="CZ8326" s="35">
        <v>1.6289917334000002E-2</v>
      </c>
    </row>
    <row r="8327" spans="103:104" x14ac:dyDescent="0.3">
      <c r="CY8327" s="34" t="s">
        <v>9254</v>
      </c>
      <c r="CZ8327" s="35">
        <v>2.3815680000000001E-3</v>
      </c>
    </row>
    <row r="8328" spans="103:104" x14ac:dyDescent="0.3">
      <c r="CY8328" s="34" t="s">
        <v>9255</v>
      </c>
      <c r="CZ8328" s="35">
        <v>1.2537671999999999E-3</v>
      </c>
    </row>
    <row r="8329" spans="103:104" x14ac:dyDescent="0.3">
      <c r="CY8329" s="34" t="s">
        <v>9256</v>
      </c>
      <c r="CZ8329" s="35">
        <v>5.4850560000000001E-4</v>
      </c>
    </row>
    <row r="8330" spans="103:104" x14ac:dyDescent="0.3">
      <c r="CY8330" s="34" t="s">
        <v>9257</v>
      </c>
      <c r="CZ8330" s="35">
        <v>2.3889280000000002E-3</v>
      </c>
    </row>
    <row r="8331" spans="103:104" x14ac:dyDescent="0.3">
      <c r="CY8331" s="34" t="s">
        <v>9258</v>
      </c>
      <c r="CZ8331" s="35">
        <v>5.9289120000000008E-4</v>
      </c>
    </row>
    <row r="8332" spans="103:104" x14ac:dyDescent="0.3">
      <c r="CY8332" s="34" t="s">
        <v>9259</v>
      </c>
      <c r="CZ8332" s="35">
        <v>3.0277544E-2</v>
      </c>
    </row>
    <row r="8333" spans="103:104" x14ac:dyDescent="0.3">
      <c r="CY8333" s="34" t="s">
        <v>9260</v>
      </c>
      <c r="CZ8333" s="35">
        <v>1.2211791359999998E-2</v>
      </c>
    </row>
    <row r="8334" spans="103:104" x14ac:dyDescent="0.3">
      <c r="CY8334" s="34" t="s">
        <v>9261</v>
      </c>
      <c r="CZ8334" s="35">
        <v>6.2597455999999996E-2</v>
      </c>
    </row>
    <row r="8335" spans="103:104" x14ac:dyDescent="0.3">
      <c r="CY8335" s="34" t="s">
        <v>9262</v>
      </c>
      <c r="CZ8335" s="35">
        <v>3.9574261329999999E-2</v>
      </c>
    </row>
    <row r="8336" spans="103:104" x14ac:dyDescent="0.3">
      <c r="CY8336" s="34" t="s">
        <v>9263</v>
      </c>
      <c r="CZ8336" s="35">
        <v>3.0366966380000002E-2</v>
      </c>
    </row>
    <row r="8337" spans="103:104" x14ac:dyDescent="0.3">
      <c r="CY8337" s="34" t="s">
        <v>9264</v>
      </c>
      <c r="CZ8337" s="35">
        <v>1.373900946E-2</v>
      </c>
    </row>
    <row r="8338" spans="103:104" x14ac:dyDescent="0.3">
      <c r="CY8338" s="34" t="s">
        <v>9265</v>
      </c>
      <c r="CZ8338" s="35">
        <v>2.5181605333333334E-3</v>
      </c>
    </row>
    <row r="8339" spans="103:104" x14ac:dyDescent="0.3">
      <c r="CY8339" s="34" t="s">
        <v>9266</v>
      </c>
      <c r="CZ8339" s="35">
        <v>2.2358146700000001E-2</v>
      </c>
    </row>
    <row r="8340" spans="103:104" x14ac:dyDescent="0.3">
      <c r="CY8340" s="34" t="s">
        <v>9267</v>
      </c>
      <c r="CZ8340" s="35">
        <v>1.6511626666666666E-3</v>
      </c>
    </row>
    <row r="8341" spans="103:104" x14ac:dyDescent="0.3">
      <c r="CY8341" s="34" t="s">
        <v>9268</v>
      </c>
      <c r="CZ8341" s="35">
        <v>1.304314E-3</v>
      </c>
    </row>
    <row r="8342" spans="103:104" x14ac:dyDescent="0.3">
      <c r="CY8342" s="34" t="s">
        <v>9269</v>
      </c>
      <c r="CZ8342" s="35">
        <v>7.9562799999999996E-3</v>
      </c>
    </row>
    <row r="8343" spans="103:104" x14ac:dyDescent="0.3">
      <c r="CY8343" s="34" t="s">
        <v>9270</v>
      </c>
      <c r="CZ8343" s="35">
        <v>1.8426784000000001E-3</v>
      </c>
    </row>
    <row r="8344" spans="103:104" x14ac:dyDescent="0.3">
      <c r="CY8344" s="34" t="s">
        <v>9271</v>
      </c>
      <c r="CZ8344" s="35">
        <v>5.1430398133333333E-3</v>
      </c>
    </row>
    <row r="8345" spans="103:104" x14ac:dyDescent="0.3">
      <c r="CY8345" s="34" t="s">
        <v>9272</v>
      </c>
      <c r="CZ8345" s="35">
        <v>4.2175954933333336E-3</v>
      </c>
    </row>
    <row r="8346" spans="103:104" x14ac:dyDescent="0.3">
      <c r="CY8346" s="34" t="s">
        <v>9273</v>
      </c>
      <c r="CZ8346" s="35">
        <v>4.9009550000000002E-3</v>
      </c>
    </row>
    <row r="8347" spans="103:104" x14ac:dyDescent="0.3">
      <c r="CY8347" s="34" t="s">
        <v>9274</v>
      </c>
      <c r="CZ8347" s="35">
        <v>1.2421310000000001E-3</v>
      </c>
    </row>
    <row r="8348" spans="103:104" x14ac:dyDescent="0.3">
      <c r="CY8348" s="34" t="s">
        <v>9275</v>
      </c>
      <c r="CZ8348" s="35">
        <v>7.6833200000000004E-4</v>
      </c>
    </row>
    <row r="8349" spans="103:104" x14ac:dyDescent="0.3">
      <c r="CY8349" s="34" t="s">
        <v>9276</v>
      </c>
      <c r="CZ8349" s="35">
        <v>1.6124600000000003E-2</v>
      </c>
    </row>
    <row r="8350" spans="103:104" x14ac:dyDescent="0.3">
      <c r="CY8350" s="34" t="s">
        <v>9277</v>
      </c>
      <c r="CZ8350" s="35">
        <v>5.4768199999999994E-3</v>
      </c>
    </row>
    <row r="8351" spans="103:104" x14ac:dyDescent="0.3">
      <c r="CY8351" s="34" t="s">
        <v>9278</v>
      </c>
      <c r="CZ8351" s="35">
        <v>8.1451749999999989E-2</v>
      </c>
    </row>
    <row r="8352" spans="103:104" x14ac:dyDescent="0.3">
      <c r="CY8352" s="34" t="s">
        <v>9279</v>
      </c>
      <c r="CZ8352" s="35">
        <v>5.7178499999999993E-2</v>
      </c>
    </row>
    <row r="8353" spans="103:104" x14ac:dyDescent="0.3">
      <c r="CY8353" s="34" t="s">
        <v>9280</v>
      </c>
      <c r="CZ8353" s="35">
        <v>3.6540740000000002E-2</v>
      </c>
    </row>
    <row r="8354" spans="103:104" x14ac:dyDescent="0.3">
      <c r="CY8354" s="34" t="s">
        <v>9281</v>
      </c>
      <c r="CZ8354" s="35">
        <v>3.6540740000000009E-2</v>
      </c>
    </row>
    <row r="8355" spans="103:104" x14ac:dyDescent="0.3">
      <c r="CY8355" s="34" t="s">
        <v>9282</v>
      </c>
      <c r="CZ8355" s="35">
        <v>3.9159459999999993E-2</v>
      </c>
    </row>
    <row r="8356" spans="103:104" x14ac:dyDescent="0.3">
      <c r="CY8356" s="34" t="s">
        <v>9283</v>
      </c>
      <c r="CZ8356" s="35">
        <v>3.915946E-2</v>
      </c>
    </row>
    <row r="8357" spans="103:104" x14ac:dyDescent="0.3">
      <c r="CY8357" s="34" t="s">
        <v>9284</v>
      </c>
      <c r="CZ8357" s="35">
        <v>2.992676E-2</v>
      </c>
    </row>
    <row r="8358" spans="103:104" x14ac:dyDescent="0.3">
      <c r="CY8358" s="34" t="s">
        <v>9285</v>
      </c>
      <c r="CZ8358" s="35">
        <v>4.3728000000000003E-2</v>
      </c>
    </row>
    <row r="8359" spans="103:104" x14ac:dyDescent="0.3">
      <c r="CY8359" s="34" t="s">
        <v>9286</v>
      </c>
      <c r="CZ8359" s="35">
        <v>2.2577333333333332E-4</v>
      </c>
    </row>
    <row r="8360" spans="103:104" x14ac:dyDescent="0.3">
      <c r="CY8360" s="34" t="s">
        <v>9287</v>
      </c>
      <c r="CZ8360" s="35">
        <v>4.2387466666666661E-3</v>
      </c>
    </row>
    <row r="8361" spans="103:104" x14ac:dyDescent="0.3">
      <c r="CY8361" s="34" t="s">
        <v>9288</v>
      </c>
      <c r="CZ8361" s="35">
        <v>0.11065668000000001</v>
      </c>
    </row>
    <row r="8362" spans="103:104" x14ac:dyDescent="0.3">
      <c r="CY8362" s="34" t="s">
        <v>9289</v>
      </c>
      <c r="CZ8362" s="35">
        <v>0.12270800000000001</v>
      </c>
    </row>
    <row r="8363" spans="103:104" x14ac:dyDescent="0.3">
      <c r="CY8363" s="34" t="s">
        <v>9290</v>
      </c>
      <c r="CZ8363" s="35">
        <v>3.8565439999999999E-3</v>
      </c>
    </row>
    <row r="8364" spans="103:104" x14ac:dyDescent="0.3">
      <c r="CY8364" s="34" t="s">
        <v>9291</v>
      </c>
      <c r="CZ8364" s="35">
        <v>6.888772E-2</v>
      </c>
    </row>
    <row r="8365" spans="103:104" x14ac:dyDescent="0.3">
      <c r="CY8365" s="34" t="s">
        <v>9292</v>
      </c>
      <c r="CZ8365" s="35">
        <v>5.4465520000000003E-3</v>
      </c>
    </row>
    <row r="8366" spans="103:104" x14ac:dyDescent="0.3">
      <c r="CY8366" s="34" t="s">
        <v>9293</v>
      </c>
      <c r="CZ8366" s="35">
        <v>6.3720775999999993E-2</v>
      </c>
    </row>
    <row r="8367" spans="103:104" x14ac:dyDescent="0.3">
      <c r="CY8367" s="34" t="s">
        <v>9294</v>
      </c>
      <c r="CZ8367" s="35">
        <v>6.3234111999999995E-2</v>
      </c>
    </row>
    <row r="8368" spans="103:104" x14ac:dyDescent="0.3">
      <c r="CY8368" s="34" t="s">
        <v>9295</v>
      </c>
      <c r="CZ8368" s="35">
        <v>6.1233799999999992E-4</v>
      </c>
    </row>
    <row r="8369" spans="103:104" x14ac:dyDescent="0.3">
      <c r="CY8369" s="34" t="s">
        <v>9296</v>
      </c>
      <c r="CZ8369" s="35">
        <v>3.0973494999999993E-2</v>
      </c>
    </row>
    <row r="8370" spans="103:104" x14ac:dyDescent="0.3">
      <c r="CY8370" s="34" t="s">
        <v>9297</v>
      </c>
      <c r="CZ8370" s="35">
        <v>0.49344991966700003</v>
      </c>
    </row>
    <row r="8371" spans="103:104" x14ac:dyDescent="0.3">
      <c r="CY8371" s="34" t="s">
        <v>9298</v>
      </c>
      <c r="CZ8371" s="35">
        <v>0.29298999999999997</v>
      </c>
    </row>
    <row r="8372" spans="103:104" x14ac:dyDescent="0.3">
      <c r="CY8372" s="34" t="s">
        <v>9299</v>
      </c>
      <c r="CZ8372" s="35">
        <v>0.39727001219999997</v>
      </c>
    </row>
    <row r="8373" spans="103:104" x14ac:dyDescent="0.3">
      <c r="CY8373" s="34" t="s">
        <v>9300</v>
      </c>
      <c r="CZ8373" s="35">
        <v>0.46771119999999999</v>
      </c>
    </row>
    <row r="8374" spans="103:104" x14ac:dyDescent="0.3">
      <c r="CY8374" s="34" t="s">
        <v>9301</v>
      </c>
      <c r="CZ8374" s="35">
        <v>1.7015680000000001E-3</v>
      </c>
    </row>
    <row r="8375" spans="103:104" x14ac:dyDescent="0.3">
      <c r="CY8375" s="34" t="s">
        <v>9302</v>
      </c>
      <c r="CZ8375" s="35">
        <v>1.6504832000000002E-3</v>
      </c>
    </row>
    <row r="8376" spans="103:104" x14ac:dyDescent="0.3">
      <c r="CY8376" s="34" t="s">
        <v>9303</v>
      </c>
      <c r="CZ8376" s="35">
        <v>1.9410488000000002E-3</v>
      </c>
    </row>
    <row r="8377" spans="103:104" x14ac:dyDescent="0.3">
      <c r="CY8377" s="34" t="s">
        <v>9304</v>
      </c>
      <c r="CZ8377" s="35">
        <v>4.6214857142499999E-4</v>
      </c>
    </row>
    <row r="8378" spans="103:104" x14ac:dyDescent="0.3">
      <c r="CY8378" s="34" t="s">
        <v>9305</v>
      </c>
      <c r="CZ8378" s="35">
        <v>4.9657840000000009E-3</v>
      </c>
    </row>
    <row r="8379" spans="103:104" x14ac:dyDescent="0.3">
      <c r="CY8379" s="34" t="s">
        <v>9306</v>
      </c>
      <c r="CZ8379" s="35">
        <v>1.9618240000000002E-2</v>
      </c>
    </row>
    <row r="8380" spans="103:104" x14ac:dyDescent="0.3">
      <c r="CY8380" s="34" t="s">
        <v>9307</v>
      </c>
      <c r="CZ8380" s="35">
        <v>7.8808120000000009E-3</v>
      </c>
    </row>
    <row r="8381" spans="103:104" x14ac:dyDescent="0.3">
      <c r="CY8381" s="34" t="s">
        <v>9308</v>
      </c>
      <c r="CZ8381" s="35">
        <v>8.2835000000000009E-3</v>
      </c>
    </row>
    <row r="8382" spans="103:104" x14ac:dyDescent="0.3">
      <c r="CY8382" s="34" t="s">
        <v>9309</v>
      </c>
      <c r="CZ8382" s="35">
        <v>8.6861879999999992E-3</v>
      </c>
    </row>
    <row r="8383" spans="103:104" x14ac:dyDescent="0.3">
      <c r="CY8383" s="34" t="s">
        <v>9310</v>
      </c>
      <c r="CZ8383" s="35">
        <v>0.245562</v>
      </c>
    </row>
    <row r="8384" spans="103:104" x14ac:dyDescent="0.3">
      <c r="CY8384" s="34" t="s">
        <v>9311</v>
      </c>
      <c r="CZ8384" s="35">
        <v>8.9391160000000004E-3</v>
      </c>
    </row>
    <row r="8385" spans="103:104" x14ac:dyDescent="0.3">
      <c r="CY8385" s="34" t="s">
        <v>9312</v>
      </c>
      <c r="CZ8385" s="35">
        <v>8.9391160000000004E-3</v>
      </c>
    </row>
    <row r="8386" spans="103:104" x14ac:dyDescent="0.3">
      <c r="CY8386" s="34" t="s">
        <v>9313</v>
      </c>
      <c r="CZ8386" s="35">
        <v>2.640464E-2</v>
      </c>
    </row>
    <row r="8387" spans="103:104" x14ac:dyDescent="0.3">
      <c r="CY8387" s="34" t="s">
        <v>9314</v>
      </c>
      <c r="CZ8387" s="35">
        <v>2.1981439999999994E-2</v>
      </c>
    </row>
    <row r="8388" spans="103:104" x14ac:dyDescent="0.3">
      <c r="CY8388" s="34" t="s">
        <v>9315</v>
      </c>
      <c r="CZ8388" s="35">
        <v>1.722096E-2</v>
      </c>
    </row>
    <row r="8389" spans="103:104" x14ac:dyDescent="0.3">
      <c r="CY8389" s="34" t="s">
        <v>9316</v>
      </c>
      <c r="CZ8389" s="35">
        <v>1.5764405333333335E-2</v>
      </c>
    </row>
    <row r="8390" spans="103:104" x14ac:dyDescent="0.3">
      <c r="CY8390" s="34" t="s">
        <v>9317</v>
      </c>
      <c r="CZ8390" s="35">
        <v>4.4274200000000005E-3</v>
      </c>
    </row>
    <row r="8391" spans="103:104" x14ac:dyDescent="0.3">
      <c r="CY8391" s="34" t="s">
        <v>9318</v>
      </c>
      <c r="CZ8391" s="35">
        <v>7.8986146680000008E-2</v>
      </c>
    </row>
    <row r="8392" spans="103:104" x14ac:dyDescent="0.3">
      <c r="CY8392" s="34" t="s">
        <v>9319</v>
      </c>
      <c r="CZ8392" s="35">
        <v>0.11920005332</v>
      </c>
    </row>
    <row r="8393" spans="103:104" x14ac:dyDescent="0.3">
      <c r="CY8393" s="34" t="s">
        <v>9320</v>
      </c>
      <c r="CZ8393" s="35">
        <v>0.10707562000000001</v>
      </c>
    </row>
    <row r="8394" spans="103:104" x14ac:dyDescent="0.3">
      <c r="CY8394" s="34" t="s">
        <v>9321</v>
      </c>
      <c r="CZ8394" s="35">
        <v>0.15424599999999999</v>
      </c>
    </row>
    <row r="8395" spans="103:104" x14ac:dyDescent="0.3">
      <c r="CY8395" s="34" t="s">
        <v>9322</v>
      </c>
      <c r="CZ8395" s="35">
        <v>0.15424599999999999</v>
      </c>
    </row>
    <row r="8396" spans="103:104" x14ac:dyDescent="0.3">
      <c r="CY8396" s="34" t="s">
        <v>9323</v>
      </c>
      <c r="CZ8396" s="35">
        <v>1.4049295999999999E-2</v>
      </c>
    </row>
    <row r="8397" spans="103:104" x14ac:dyDescent="0.3">
      <c r="CY8397" s="34" t="s">
        <v>9324</v>
      </c>
      <c r="CZ8397" s="35">
        <v>1.4049295999999999E-2</v>
      </c>
    </row>
    <row r="8398" spans="103:104" x14ac:dyDescent="0.3">
      <c r="CY8398" s="34" t="s">
        <v>9325</v>
      </c>
      <c r="CZ8398" s="35">
        <v>2.380357335E-3</v>
      </c>
    </row>
    <row r="8399" spans="103:104" x14ac:dyDescent="0.3">
      <c r="CY8399" s="34" t="s">
        <v>9326</v>
      </c>
      <c r="CZ8399" s="35">
        <v>7.2091439999999998E-3</v>
      </c>
    </row>
    <row r="8400" spans="103:104" x14ac:dyDescent="0.3">
      <c r="CY8400" s="34" t="s">
        <v>9327</v>
      </c>
      <c r="CZ8400" s="35">
        <v>3.2173999999999999E-4</v>
      </c>
    </row>
    <row r="8401" spans="103:104" x14ac:dyDescent="0.3">
      <c r="CY8401" s="34" t="s">
        <v>9328</v>
      </c>
      <c r="CZ8401" s="35">
        <v>1.6700584E-3</v>
      </c>
    </row>
    <row r="8402" spans="103:104" x14ac:dyDescent="0.3">
      <c r="CY8402" s="34" t="s">
        <v>9329</v>
      </c>
      <c r="CZ8402" s="35">
        <v>9.8441760000000001E-4</v>
      </c>
    </row>
    <row r="8403" spans="103:104" x14ac:dyDescent="0.3">
      <c r="CY8403" s="34" t="s">
        <v>9330</v>
      </c>
      <c r="CZ8403" s="35">
        <v>9.8441760000000001E-4</v>
      </c>
    </row>
    <row r="8404" spans="103:104" x14ac:dyDescent="0.3">
      <c r="CY8404" s="34" t="s">
        <v>9331</v>
      </c>
      <c r="CZ8404" s="35">
        <v>1.8705470000000002E-2</v>
      </c>
    </row>
    <row r="8405" spans="103:104" x14ac:dyDescent="0.3">
      <c r="CY8405" s="34" t="s">
        <v>9332</v>
      </c>
      <c r="CZ8405" s="35">
        <v>1.846194E-2</v>
      </c>
    </row>
    <row r="8406" spans="103:104" x14ac:dyDescent="0.3">
      <c r="CY8406" s="34" t="s">
        <v>9333</v>
      </c>
      <c r="CZ8406" s="35">
        <v>2.1880119999999996E-3</v>
      </c>
    </row>
    <row r="8407" spans="103:104" x14ac:dyDescent="0.3">
      <c r="CY8407" s="34" t="s">
        <v>9334</v>
      </c>
      <c r="CZ8407" s="35">
        <v>3.4693856000000002E-4</v>
      </c>
    </row>
    <row r="8408" spans="103:104" x14ac:dyDescent="0.3">
      <c r="CY8408" s="34" t="s">
        <v>9335</v>
      </c>
      <c r="CZ8408" s="35">
        <v>3.695096E-4</v>
      </c>
    </row>
    <row r="8409" spans="103:104" x14ac:dyDescent="0.3">
      <c r="CY8409" s="34" t="s">
        <v>9336</v>
      </c>
      <c r="CZ8409" s="35">
        <v>0.14235539999999997</v>
      </c>
    </row>
    <row r="8410" spans="103:104" x14ac:dyDescent="0.3">
      <c r="CY8410" s="34" t="s">
        <v>9337</v>
      </c>
      <c r="CZ8410" s="35">
        <v>7.4974279999999996E-3</v>
      </c>
    </row>
    <row r="8411" spans="103:104" x14ac:dyDescent="0.3">
      <c r="CY8411" s="34" t="s">
        <v>9338</v>
      </c>
      <c r="CZ8411" s="35">
        <v>1.944392E-2</v>
      </c>
    </row>
    <row r="8412" spans="103:104" x14ac:dyDescent="0.3">
      <c r="CY8412" s="34" t="s">
        <v>9339</v>
      </c>
      <c r="CZ8412" s="35">
        <v>0.13287216000000002</v>
      </c>
    </row>
    <row r="8413" spans="103:104" x14ac:dyDescent="0.3">
      <c r="CY8413" s="34" t="s">
        <v>9340</v>
      </c>
      <c r="CZ8413" s="35">
        <v>3.3300602666666665E-2</v>
      </c>
    </row>
    <row r="8414" spans="103:104" x14ac:dyDescent="0.3">
      <c r="CY8414" s="34" t="s">
        <v>9341</v>
      </c>
      <c r="CZ8414" s="35">
        <v>6.8235200000000011E-4</v>
      </c>
    </row>
    <row r="8415" spans="103:104" x14ac:dyDescent="0.3">
      <c r="CY8415" s="34" t="s">
        <v>9342</v>
      </c>
      <c r="CZ8415" s="35">
        <v>6.8235200000000011E-4</v>
      </c>
    </row>
    <row r="8416" spans="103:104" x14ac:dyDescent="0.3">
      <c r="CY8416" s="34" t="s">
        <v>9343</v>
      </c>
      <c r="CZ8416" s="35">
        <v>0.15738391999999998</v>
      </c>
    </row>
    <row r="8417" spans="103:104" x14ac:dyDescent="0.3">
      <c r="CY8417" s="34" t="s">
        <v>9344</v>
      </c>
      <c r="CZ8417" s="35">
        <v>0.18255768</v>
      </c>
    </row>
    <row r="8418" spans="103:104" x14ac:dyDescent="0.3">
      <c r="CY8418" s="34" t="s">
        <v>9345</v>
      </c>
      <c r="CZ8418" s="35">
        <v>0.13554633999999999</v>
      </c>
    </row>
    <row r="8419" spans="103:104" x14ac:dyDescent="0.3">
      <c r="CY8419" s="34" t="s">
        <v>9346</v>
      </c>
      <c r="CZ8419" s="35">
        <v>6.5570728000000009E-2</v>
      </c>
    </row>
    <row r="8420" spans="103:104" x14ac:dyDescent="0.3">
      <c r="CY8420" s="34" t="s">
        <v>9347</v>
      </c>
      <c r="CZ8420" s="35">
        <v>9.2647439999999984E-3</v>
      </c>
    </row>
    <row r="8421" spans="103:104" x14ac:dyDescent="0.3">
      <c r="CY8421" s="34" t="s">
        <v>9348</v>
      </c>
      <c r="CZ8421" s="35">
        <v>9.6042934000000011E-4</v>
      </c>
    </row>
    <row r="8422" spans="103:104" x14ac:dyDescent="0.3">
      <c r="CY8422" s="34" t="s">
        <v>9349</v>
      </c>
      <c r="CZ8422" s="35">
        <v>4.0372271999999994E-2</v>
      </c>
    </row>
    <row r="8423" spans="103:104" x14ac:dyDescent="0.3">
      <c r="CY8423" s="34" t="s">
        <v>9350</v>
      </c>
      <c r="CZ8423" s="35">
        <v>1.5572000000000001E-3</v>
      </c>
    </row>
    <row r="8424" spans="103:104" x14ac:dyDescent="0.3">
      <c r="CY8424" s="34" t="s">
        <v>9351</v>
      </c>
      <c r="CZ8424" s="35">
        <v>6.7943519999999992E-3</v>
      </c>
    </row>
    <row r="8425" spans="103:104" x14ac:dyDescent="0.3">
      <c r="CY8425" s="34" t="s">
        <v>9352</v>
      </c>
      <c r="CZ8425" s="35">
        <v>5.1987840000000001E-4</v>
      </c>
    </row>
    <row r="8426" spans="103:104" x14ac:dyDescent="0.3">
      <c r="CY8426" s="34" t="s">
        <v>9353</v>
      </c>
      <c r="CZ8426" s="35">
        <v>3.6110016000000001E-4</v>
      </c>
    </row>
    <row r="8427" spans="103:104" x14ac:dyDescent="0.3">
      <c r="CY8427" s="34" t="s">
        <v>9354</v>
      </c>
      <c r="CZ8427" s="35">
        <v>6.1233800000000003E-4</v>
      </c>
    </row>
    <row r="8428" spans="103:104" x14ac:dyDescent="0.3">
      <c r="CY8428" s="34" t="s">
        <v>9355</v>
      </c>
      <c r="CZ8428" s="35">
        <v>8.0244610000000001E-3</v>
      </c>
    </row>
    <row r="8429" spans="103:104" x14ac:dyDescent="0.3">
      <c r="CY8429" s="34" t="s">
        <v>9356</v>
      </c>
      <c r="CZ8429" s="35">
        <v>8.2457199999999998E-3</v>
      </c>
    </row>
    <row r="8430" spans="103:104" x14ac:dyDescent="0.3">
      <c r="CY8430" s="34" t="s">
        <v>9357</v>
      </c>
      <c r="CZ8430" s="35">
        <v>8.979336000000001E-3</v>
      </c>
    </row>
    <row r="8431" spans="103:104" x14ac:dyDescent="0.3">
      <c r="CY8431" s="34" t="s">
        <v>9358</v>
      </c>
      <c r="CZ8431" s="35">
        <v>7.0476208888888897E-3</v>
      </c>
    </row>
    <row r="8432" spans="103:104" x14ac:dyDescent="0.3">
      <c r="CY8432" s="34" t="s">
        <v>9359</v>
      </c>
      <c r="CZ8432" s="35">
        <v>7.2560528732394363E-3</v>
      </c>
    </row>
    <row r="8433" spans="103:104" x14ac:dyDescent="0.3">
      <c r="CY8433" s="34" t="s">
        <v>9360</v>
      </c>
      <c r="CZ8433" s="35">
        <v>6.1747875555555557E-3</v>
      </c>
    </row>
    <row r="8434" spans="103:104" x14ac:dyDescent="0.3">
      <c r="CY8434" s="34" t="s">
        <v>9361</v>
      </c>
      <c r="CZ8434" s="35">
        <v>9.6228400000000019E-2</v>
      </c>
    </row>
    <row r="8435" spans="103:104" x14ac:dyDescent="0.3">
      <c r="CY8435" s="34" t="s">
        <v>9362</v>
      </c>
      <c r="CZ8435" s="35">
        <v>3.89498E-2</v>
      </c>
    </row>
    <row r="8436" spans="103:104" x14ac:dyDescent="0.3">
      <c r="CY8436" s="34" t="s">
        <v>9363</v>
      </c>
      <c r="CZ8436" s="35">
        <v>2.3995731600000001E-3</v>
      </c>
    </row>
    <row r="8437" spans="103:104" x14ac:dyDescent="0.3">
      <c r="CY8437" s="34" t="s">
        <v>9364</v>
      </c>
      <c r="CZ8437" s="35">
        <v>3.2269299999999998E-3</v>
      </c>
    </row>
    <row r="8438" spans="103:104" x14ac:dyDescent="0.3">
      <c r="CY8438" s="34" t="s">
        <v>9365</v>
      </c>
      <c r="CZ8438" s="35">
        <v>2.8604246399999999E-3</v>
      </c>
    </row>
    <row r="8439" spans="103:104" x14ac:dyDescent="0.3">
      <c r="CY8439" s="34" t="s">
        <v>9366</v>
      </c>
      <c r="CZ8439" s="35">
        <v>7.3486308000000014E-2</v>
      </c>
    </row>
    <row r="8440" spans="103:104" x14ac:dyDescent="0.3">
      <c r="CY8440" s="34" t="s">
        <v>9367</v>
      </c>
      <c r="CZ8440" s="35">
        <v>6.970425999999999E-2</v>
      </c>
    </row>
    <row r="8441" spans="103:104" x14ac:dyDescent="0.3">
      <c r="CY8441" s="34" t="s">
        <v>9368</v>
      </c>
      <c r="CZ8441" s="35">
        <v>4.9091424000000002E-3</v>
      </c>
    </row>
    <row r="8442" spans="103:104" x14ac:dyDescent="0.3">
      <c r="CY8442" s="34" t="s">
        <v>9369</v>
      </c>
      <c r="CZ8442" s="35">
        <v>5.3021376000000004E-3</v>
      </c>
    </row>
    <row r="8443" spans="103:104" x14ac:dyDescent="0.3">
      <c r="CY8443" s="34" t="s">
        <v>9370</v>
      </c>
      <c r="CZ8443" s="35">
        <v>5.7963328000000007E-3</v>
      </c>
    </row>
    <row r="8444" spans="103:104" x14ac:dyDescent="0.3">
      <c r="CY8444" s="34" t="s">
        <v>9371</v>
      </c>
      <c r="CZ8444" s="35">
        <v>5.6951328000000006E-3</v>
      </c>
    </row>
    <row r="8445" spans="103:104" x14ac:dyDescent="0.3">
      <c r="CY8445" s="34" t="s">
        <v>9372</v>
      </c>
      <c r="CZ8445" s="35">
        <v>5.9889519999999996E-3</v>
      </c>
    </row>
    <row r="8446" spans="103:104" x14ac:dyDescent="0.3">
      <c r="CY8446" s="34" t="s">
        <v>9373</v>
      </c>
      <c r="CZ8446" s="35">
        <v>9.654610000000001E-3</v>
      </c>
    </row>
    <row r="8447" spans="103:104" x14ac:dyDescent="0.3">
      <c r="CY8447" s="34" t="s">
        <v>9374</v>
      </c>
      <c r="CZ8447" s="35">
        <v>4.7652666999999996E-2</v>
      </c>
    </row>
    <row r="8448" spans="103:104" x14ac:dyDescent="0.3">
      <c r="CY8448" s="34" t="s">
        <v>9375</v>
      </c>
      <c r="CZ8448" s="35">
        <v>4.7652666999999996E-2</v>
      </c>
    </row>
    <row r="8449" spans="103:104" x14ac:dyDescent="0.3">
      <c r="CY8449" s="34" t="s">
        <v>9376</v>
      </c>
      <c r="CZ8449" s="35">
        <v>3.7414280000000001E-2</v>
      </c>
    </row>
    <row r="8450" spans="103:104" x14ac:dyDescent="0.3">
      <c r="CY8450" s="34" t="s">
        <v>9377</v>
      </c>
      <c r="CZ8450" s="35">
        <v>1.4098171200000002E-3</v>
      </c>
    </row>
    <row r="8451" spans="103:104" x14ac:dyDescent="0.3">
      <c r="CY8451" s="34" t="s">
        <v>9378</v>
      </c>
      <c r="CZ8451" s="35">
        <v>0.11163500000000001</v>
      </c>
    </row>
    <row r="8452" spans="103:104" x14ac:dyDescent="0.3">
      <c r="CY8452" s="34" t="s">
        <v>9379</v>
      </c>
      <c r="CZ8452" s="35">
        <v>1.7985799999999999E-3</v>
      </c>
    </row>
    <row r="8453" spans="103:104" x14ac:dyDescent="0.3">
      <c r="CY8453" s="34" t="s">
        <v>9380</v>
      </c>
      <c r="CZ8453" s="35">
        <v>4.0565050666666663E-3</v>
      </c>
    </row>
    <row r="8454" spans="103:104" x14ac:dyDescent="0.3">
      <c r="CY8454" s="34" t="s">
        <v>9381</v>
      </c>
      <c r="CZ8454" s="35">
        <v>4.8896308000000001E-3</v>
      </c>
    </row>
    <row r="8455" spans="103:104" x14ac:dyDescent="0.3">
      <c r="CY8455" s="34" t="s">
        <v>9382</v>
      </c>
      <c r="CZ8455" s="35">
        <v>9.8426298666666676E-3</v>
      </c>
    </row>
    <row r="8456" spans="103:104" x14ac:dyDescent="0.3">
      <c r="CY8456" s="34" t="s">
        <v>9383</v>
      </c>
      <c r="CZ8456" s="35">
        <v>5.073370666666667E-3</v>
      </c>
    </row>
    <row r="8457" spans="103:104" x14ac:dyDescent="0.3">
      <c r="CY8457" s="34" t="s">
        <v>9384</v>
      </c>
      <c r="CZ8457" s="35">
        <v>2.4639066666666668E-3</v>
      </c>
    </row>
    <row r="8458" spans="103:104" x14ac:dyDescent="0.3">
      <c r="CY8458" s="34" t="s">
        <v>9385</v>
      </c>
      <c r="CZ8458" s="35">
        <v>2.0738448E-2</v>
      </c>
    </row>
    <row r="8459" spans="103:104" x14ac:dyDescent="0.3">
      <c r="CY8459" s="34" t="s">
        <v>9386</v>
      </c>
      <c r="CZ8459" s="35">
        <v>4.1100400000000002E-2</v>
      </c>
    </row>
    <row r="8460" spans="103:104" x14ac:dyDescent="0.3">
      <c r="CY8460" s="34" t="s">
        <v>9387</v>
      </c>
      <c r="CZ8460" s="35">
        <v>1.4434902400000001E-2</v>
      </c>
    </row>
    <row r="8461" spans="103:104" x14ac:dyDescent="0.3">
      <c r="CY8461" s="34" t="s">
        <v>9388</v>
      </c>
      <c r="CZ8461" s="35">
        <v>3.2454719999999999E-2</v>
      </c>
    </row>
    <row r="8462" spans="103:104" x14ac:dyDescent="0.3">
      <c r="CY8462" s="34" t="s">
        <v>9389</v>
      </c>
      <c r="CZ8462" s="35">
        <v>6.7454239999999999E-2</v>
      </c>
    </row>
    <row r="8463" spans="103:104" x14ac:dyDescent="0.3">
      <c r="CY8463" s="34" t="s">
        <v>9390</v>
      </c>
      <c r="CZ8463" s="35">
        <v>2.129956668E-2</v>
      </c>
    </row>
    <row r="8464" spans="103:104" x14ac:dyDescent="0.3">
      <c r="CY8464" s="34" t="s">
        <v>9391</v>
      </c>
      <c r="CZ8464" s="35">
        <v>1.3233253299999999E-2</v>
      </c>
    </row>
    <row r="8465" spans="103:104" x14ac:dyDescent="0.3">
      <c r="CY8465" s="34" t="s">
        <v>9392</v>
      </c>
      <c r="CZ8465" s="35">
        <v>1.3233253299999999E-2</v>
      </c>
    </row>
    <row r="8466" spans="103:104" x14ac:dyDescent="0.3">
      <c r="CY8466" s="34" t="s">
        <v>9393</v>
      </c>
      <c r="CZ8466" s="35">
        <v>2.5913006699999998E-2</v>
      </c>
    </row>
    <row r="8467" spans="103:104" x14ac:dyDescent="0.3">
      <c r="CY8467" s="34" t="s">
        <v>9394</v>
      </c>
      <c r="CZ8467" s="35">
        <v>2.5913006699999998E-2</v>
      </c>
    </row>
    <row r="8468" spans="103:104" x14ac:dyDescent="0.3">
      <c r="CY8468" s="34" t="s">
        <v>9395</v>
      </c>
      <c r="CZ8468" s="35">
        <v>1.7448612E-3</v>
      </c>
    </row>
    <row r="8469" spans="103:104" x14ac:dyDescent="0.3">
      <c r="CY8469" s="34" t="s">
        <v>9396</v>
      </c>
      <c r="CZ8469" s="35">
        <v>1.7152211999999999E-3</v>
      </c>
    </row>
    <row r="8470" spans="103:104" x14ac:dyDescent="0.3">
      <c r="CY8470" s="34" t="s">
        <v>9397</v>
      </c>
      <c r="CZ8470" s="35">
        <v>2.096012E-3</v>
      </c>
    </row>
    <row r="8471" spans="103:104" x14ac:dyDescent="0.3">
      <c r="CY8471" s="34" t="s">
        <v>9398</v>
      </c>
      <c r="CZ8471" s="35">
        <v>1.6844959999999999E-2</v>
      </c>
    </row>
    <row r="8472" spans="103:104" x14ac:dyDescent="0.3">
      <c r="CY8472" s="34" t="s">
        <v>9399</v>
      </c>
      <c r="CZ8472" s="35">
        <v>1.5096320000000002E-2</v>
      </c>
    </row>
    <row r="8473" spans="103:104" x14ac:dyDescent="0.3">
      <c r="CY8473" s="34" t="s">
        <v>9400</v>
      </c>
      <c r="CZ8473" s="35">
        <v>8.6497600000000005E-4</v>
      </c>
    </row>
    <row r="8474" spans="103:104" x14ac:dyDescent="0.3">
      <c r="CY8474" s="34" t="s">
        <v>9401</v>
      </c>
      <c r="CZ8474" s="35">
        <v>1.2504260000000002E-3</v>
      </c>
    </row>
    <row r="8475" spans="103:104" x14ac:dyDescent="0.3">
      <c r="CY8475" s="34" t="s">
        <v>9402</v>
      </c>
      <c r="CZ8475" s="35">
        <v>1.2701986666666667E-3</v>
      </c>
    </row>
    <row r="8476" spans="103:104" x14ac:dyDescent="0.3">
      <c r="CY8476" s="34" t="s">
        <v>9403</v>
      </c>
      <c r="CZ8476" s="35">
        <v>3.2632625999999998E-2</v>
      </c>
    </row>
    <row r="8477" spans="103:104" x14ac:dyDescent="0.3">
      <c r="CY8477" s="34" t="s">
        <v>9404</v>
      </c>
      <c r="CZ8477" s="35">
        <v>2.0442160000000002E-3</v>
      </c>
    </row>
    <row r="8478" spans="103:104" x14ac:dyDescent="0.3">
      <c r="CY8478" s="34" t="s">
        <v>9405</v>
      </c>
      <c r="CZ8478" s="35">
        <v>2.8235572500000003E-3</v>
      </c>
    </row>
    <row r="8479" spans="103:104" x14ac:dyDescent="0.3">
      <c r="CY8479" s="34" t="s">
        <v>9406</v>
      </c>
      <c r="CZ8479" s="35">
        <v>5.4555359999999995E-3</v>
      </c>
    </row>
    <row r="8480" spans="103:104" x14ac:dyDescent="0.3">
      <c r="CY8480" s="34" t="s">
        <v>9407</v>
      </c>
      <c r="CZ8480" s="35">
        <v>3.4169884999999999E-3</v>
      </c>
    </row>
    <row r="8481" spans="103:104" x14ac:dyDescent="0.3">
      <c r="CY8481" s="34" t="s">
        <v>9408</v>
      </c>
      <c r="CZ8481" s="35">
        <v>1.3679999999999999E-2</v>
      </c>
    </row>
    <row r="8482" spans="103:104" x14ac:dyDescent="0.3">
      <c r="CY8482" s="34" t="s">
        <v>9409</v>
      </c>
      <c r="CZ8482" s="35">
        <v>1.0188910400000001E-2</v>
      </c>
    </row>
    <row r="8483" spans="103:104" x14ac:dyDescent="0.3">
      <c r="CY8483" s="34" t="s">
        <v>9410</v>
      </c>
      <c r="CZ8483" s="35">
        <v>0.14813012403100775</v>
      </c>
    </row>
    <row r="8484" spans="103:104" x14ac:dyDescent="0.3">
      <c r="CY8484" s="34" t="s">
        <v>9411</v>
      </c>
      <c r="CZ8484" s="35">
        <v>1.6905800000000001E-3</v>
      </c>
    </row>
    <row r="8485" spans="103:104" x14ac:dyDescent="0.3">
      <c r="CY8485" s="34" t="s">
        <v>9412</v>
      </c>
      <c r="CZ8485" s="35">
        <v>2.3996138799999997E-2</v>
      </c>
    </row>
    <row r="8486" spans="103:104" x14ac:dyDescent="0.3">
      <c r="CY8486" s="34" t="s">
        <v>9413</v>
      </c>
      <c r="CZ8486" s="35">
        <v>6.7356571427500003E-4</v>
      </c>
    </row>
    <row r="8487" spans="103:104" x14ac:dyDescent="0.3">
      <c r="CY8487" s="34" t="s">
        <v>9414</v>
      </c>
      <c r="CZ8487" s="35">
        <v>7.4575359999999992E-4</v>
      </c>
    </row>
    <row r="8488" spans="103:104" x14ac:dyDescent="0.3">
      <c r="CY8488" s="34" t="s">
        <v>9415</v>
      </c>
      <c r="CZ8488" s="35">
        <v>4.8561599999999991E-4</v>
      </c>
    </row>
    <row r="8489" spans="103:104" x14ac:dyDescent="0.3">
      <c r="CY8489" s="34" t="s">
        <v>9416</v>
      </c>
      <c r="CZ8489" s="35">
        <v>6.2788800000000006E-4</v>
      </c>
    </row>
    <row r="8490" spans="103:104" x14ac:dyDescent="0.3">
      <c r="CY8490" s="34" t="s">
        <v>9417</v>
      </c>
      <c r="CZ8490" s="35">
        <v>5.5600320000000008E-4</v>
      </c>
    </row>
    <row r="8491" spans="103:104" x14ac:dyDescent="0.3">
      <c r="CY8491" s="34" t="s">
        <v>9418</v>
      </c>
      <c r="CZ8491" s="35">
        <v>5.0075839999999994E-4</v>
      </c>
    </row>
    <row r="8492" spans="103:104" x14ac:dyDescent="0.3">
      <c r="CY8492" s="34" t="s">
        <v>9419</v>
      </c>
      <c r="CZ8492" s="35">
        <v>5.6964799999999996E-4</v>
      </c>
    </row>
    <row r="8493" spans="103:104" x14ac:dyDescent="0.3">
      <c r="CY8493" s="34" t="s">
        <v>9420</v>
      </c>
      <c r="CZ8493" s="35">
        <v>5.9519040000000003E-4</v>
      </c>
    </row>
    <row r="8494" spans="103:104" x14ac:dyDescent="0.3">
      <c r="CY8494" s="34" t="s">
        <v>9421</v>
      </c>
      <c r="CZ8494" s="35">
        <v>6.0567360000000003E-4</v>
      </c>
    </row>
    <row r="8495" spans="103:104" x14ac:dyDescent="0.3">
      <c r="CY8495" s="34" t="s">
        <v>9422</v>
      </c>
      <c r="CZ8495" s="35">
        <v>6.9044400000000002E-4</v>
      </c>
    </row>
    <row r="8496" spans="103:104" x14ac:dyDescent="0.3">
      <c r="CY8496" s="34" t="s">
        <v>9423</v>
      </c>
      <c r="CZ8496" s="35">
        <v>4.2870720000000003E-4</v>
      </c>
    </row>
    <row r="8497" spans="103:104" x14ac:dyDescent="0.3">
      <c r="CY8497" s="34" t="s">
        <v>9424</v>
      </c>
      <c r="CZ8497" s="35">
        <v>5.3423291000000005E-2</v>
      </c>
    </row>
    <row r="8498" spans="103:104" x14ac:dyDescent="0.3">
      <c r="CY8498" s="34" t="s">
        <v>9425</v>
      </c>
      <c r="CZ8498" s="35">
        <v>7.2449199999999997E-4</v>
      </c>
    </row>
    <row r="8499" spans="103:104" x14ac:dyDescent="0.3">
      <c r="CY8499" s="34" t="s">
        <v>9426</v>
      </c>
      <c r="CZ8499" s="35">
        <v>0.73813725000000008</v>
      </c>
    </row>
    <row r="8500" spans="103:104" x14ac:dyDescent="0.3">
      <c r="CY8500" s="34" t="s">
        <v>9427</v>
      </c>
      <c r="CZ8500" s="35">
        <v>3.7781074399999997E-4</v>
      </c>
    </row>
    <row r="8501" spans="103:104" x14ac:dyDescent="0.3">
      <c r="CY8501" s="34" t="s">
        <v>9428</v>
      </c>
      <c r="CZ8501" s="35">
        <v>0.10405979999999999</v>
      </c>
    </row>
    <row r="8502" spans="103:104" x14ac:dyDescent="0.3">
      <c r="CY8502" s="34" t="s">
        <v>9429</v>
      </c>
      <c r="CZ8502" s="35">
        <v>0.10272148000000002</v>
      </c>
    </row>
    <row r="8503" spans="103:104" x14ac:dyDescent="0.3">
      <c r="CY8503" s="34" t="s">
        <v>9430</v>
      </c>
      <c r="CZ8503" s="35">
        <v>2.8211497100000003E-2</v>
      </c>
    </row>
    <row r="8504" spans="103:104" x14ac:dyDescent="0.3">
      <c r="CY8504" s="34" t="s">
        <v>9431</v>
      </c>
      <c r="CZ8504" s="35">
        <v>3.181792E-2</v>
      </c>
    </row>
    <row r="8505" spans="103:104" x14ac:dyDescent="0.3">
      <c r="CY8505" s="34" t="s">
        <v>9432</v>
      </c>
      <c r="CZ8505" s="35">
        <v>3.5943897099999997E-2</v>
      </c>
    </row>
    <row r="8506" spans="103:104" x14ac:dyDescent="0.3">
      <c r="CY8506" s="34" t="s">
        <v>9433</v>
      </c>
      <c r="CZ8506" s="35">
        <v>5.1466449999999997E-2</v>
      </c>
    </row>
    <row r="8507" spans="103:104" x14ac:dyDescent="0.3">
      <c r="CY8507" s="34" t="s">
        <v>9434</v>
      </c>
      <c r="CZ8507" s="35">
        <v>6.6513119999999995E-2</v>
      </c>
    </row>
    <row r="8508" spans="103:104" x14ac:dyDescent="0.3">
      <c r="CY8508" s="34" t="s">
        <v>9435</v>
      </c>
      <c r="CZ8508" s="35">
        <v>1.1853233780000002E-2</v>
      </c>
    </row>
    <row r="8509" spans="103:104" x14ac:dyDescent="0.3">
      <c r="CY8509" s="34" t="s">
        <v>9436</v>
      </c>
      <c r="CZ8509" s="35">
        <v>2.5992560000000001E-2</v>
      </c>
    </row>
    <row r="8510" spans="103:104" x14ac:dyDescent="0.3">
      <c r="CY8510" s="34" t="s">
        <v>9437</v>
      </c>
      <c r="CZ8510" s="35">
        <v>7.39348E-3</v>
      </c>
    </row>
    <row r="8511" spans="103:104" x14ac:dyDescent="0.3">
      <c r="CY8511" s="34" t="s">
        <v>9438</v>
      </c>
      <c r="CZ8511" s="35">
        <v>6.835014444444446E-3</v>
      </c>
    </row>
    <row r="8512" spans="103:104" x14ac:dyDescent="0.3">
      <c r="CY8512" s="34" t="s">
        <v>9439</v>
      </c>
      <c r="CZ8512" s="35">
        <v>3.3877119999999998E-3</v>
      </c>
    </row>
    <row r="8513" spans="103:104" x14ac:dyDescent="0.3">
      <c r="CY8513" s="34" t="s">
        <v>9440</v>
      </c>
      <c r="CZ8513" s="35">
        <v>2.1191342857142859E-3</v>
      </c>
    </row>
    <row r="8514" spans="103:104" x14ac:dyDescent="0.3">
      <c r="CY8514" s="34" t="s">
        <v>9441</v>
      </c>
      <c r="CZ8514" s="35">
        <v>6.3869439999999986E-3</v>
      </c>
    </row>
    <row r="8515" spans="103:104" x14ac:dyDescent="0.3">
      <c r="CY8515" s="34" t="s">
        <v>9442</v>
      </c>
      <c r="CZ8515" s="35">
        <v>2.645893333333333E-3</v>
      </c>
    </row>
    <row r="8516" spans="103:104" x14ac:dyDescent="0.3">
      <c r="CY8516" s="34" t="s">
        <v>9443</v>
      </c>
      <c r="CZ8516" s="35">
        <v>2.8365519999999998E-2</v>
      </c>
    </row>
    <row r="8517" spans="103:104" x14ac:dyDescent="0.3">
      <c r="CY8517" s="34" t="s">
        <v>9444</v>
      </c>
      <c r="CZ8517" s="35">
        <v>3.8943200000000002E-3</v>
      </c>
    </row>
    <row r="8518" spans="103:104" x14ac:dyDescent="0.3">
      <c r="CY8518" s="34" t="s">
        <v>9445</v>
      </c>
      <c r="CZ8518" s="35">
        <v>7.3198846999999994E-3</v>
      </c>
    </row>
    <row r="8519" spans="103:104" x14ac:dyDescent="0.3">
      <c r="CY8519" s="34" t="s">
        <v>9446</v>
      </c>
      <c r="CZ8519" s="35">
        <v>6.3651399999999997E-2</v>
      </c>
    </row>
    <row r="8520" spans="103:104" x14ac:dyDescent="0.3">
      <c r="CY8520" s="34" t="s">
        <v>9447</v>
      </c>
      <c r="CZ8520" s="35">
        <v>0.15398751999999996</v>
      </c>
    </row>
    <row r="8521" spans="103:104" x14ac:dyDescent="0.3">
      <c r="CY8521" s="34" t="s">
        <v>9448</v>
      </c>
      <c r="CZ8521" s="35">
        <v>8.2341920000000013E-2</v>
      </c>
    </row>
    <row r="8522" spans="103:104" x14ac:dyDescent="0.3">
      <c r="CY8522" s="34" t="s">
        <v>9449</v>
      </c>
      <c r="CZ8522" s="35">
        <v>6.1336000000000002E-2</v>
      </c>
    </row>
    <row r="8523" spans="103:104" x14ac:dyDescent="0.3">
      <c r="CY8523" s="34" t="s">
        <v>9450</v>
      </c>
      <c r="CZ8523" s="35">
        <v>5.9081439999999999E-2</v>
      </c>
    </row>
    <row r="8524" spans="103:104" x14ac:dyDescent="0.3">
      <c r="CY8524" s="34" t="s">
        <v>9451</v>
      </c>
      <c r="CZ8524" s="35">
        <v>5.9081439999999999E-2</v>
      </c>
    </row>
    <row r="8525" spans="103:104" x14ac:dyDescent="0.3">
      <c r="CY8525" s="34" t="s">
        <v>9452</v>
      </c>
      <c r="CZ8525" s="35">
        <v>1.0620416000000001E-2</v>
      </c>
    </row>
    <row r="8526" spans="103:104" x14ac:dyDescent="0.3">
      <c r="CY8526" s="34" t="s">
        <v>9453</v>
      </c>
      <c r="CZ8526" s="35">
        <v>2.9096874666666669E-3</v>
      </c>
    </row>
    <row r="8527" spans="103:104" x14ac:dyDescent="0.3">
      <c r="CY8527" s="34" t="s">
        <v>9454</v>
      </c>
      <c r="CZ8527" s="35">
        <v>3.0065426625000002E-3</v>
      </c>
    </row>
    <row r="8528" spans="103:104" x14ac:dyDescent="0.3">
      <c r="CY8528" s="34" t="s">
        <v>9455</v>
      </c>
      <c r="CZ8528" s="35">
        <v>7.9150001066666665E-4</v>
      </c>
    </row>
    <row r="8529" spans="103:104" x14ac:dyDescent="0.3">
      <c r="CY8529" s="34" t="s">
        <v>9456</v>
      </c>
      <c r="CZ8529" s="35">
        <v>4.4079871999999996E-3</v>
      </c>
    </row>
    <row r="8530" spans="103:104" x14ac:dyDescent="0.3">
      <c r="CY8530" s="34" t="s">
        <v>9457</v>
      </c>
      <c r="CZ8530" s="35">
        <v>3.4193498679999999E-3</v>
      </c>
    </row>
    <row r="8531" spans="103:104" x14ac:dyDescent="0.3">
      <c r="CY8531" s="34" t="s">
        <v>9458</v>
      </c>
      <c r="CZ8531" s="35">
        <v>1.472E-4</v>
      </c>
    </row>
    <row r="8532" spans="103:104" x14ac:dyDescent="0.3">
      <c r="CY8532" s="34" t="s">
        <v>9459</v>
      </c>
      <c r="CZ8532" s="35">
        <v>1.2487762000000001E-2</v>
      </c>
    </row>
    <row r="8533" spans="103:104" x14ac:dyDescent="0.3">
      <c r="CY8533" s="34" t="s">
        <v>9460</v>
      </c>
      <c r="CZ8533" s="35">
        <v>2.4989280000000001E-3</v>
      </c>
    </row>
    <row r="8534" spans="103:104" x14ac:dyDescent="0.3">
      <c r="CY8534" s="34" t="s">
        <v>9461</v>
      </c>
      <c r="CZ8534" s="35">
        <v>5.368088E-3</v>
      </c>
    </row>
    <row r="8535" spans="103:104" x14ac:dyDescent="0.3">
      <c r="CY8535" s="34" t="s">
        <v>9462</v>
      </c>
      <c r="CZ8535" s="35">
        <v>2.4882400000000001E-3</v>
      </c>
    </row>
    <row r="8536" spans="103:104" x14ac:dyDescent="0.3">
      <c r="CY8536" s="34" t="s">
        <v>9463</v>
      </c>
      <c r="CZ8536" s="35">
        <v>3.904879E-3</v>
      </c>
    </row>
    <row r="8537" spans="103:104" x14ac:dyDescent="0.3">
      <c r="CY8537" s="34" t="s">
        <v>9464</v>
      </c>
      <c r="CZ8537" s="35">
        <v>1.2542439999999998E-3</v>
      </c>
    </row>
    <row r="8538" spans="103:104" x14ac:dyDescent="0.3">
      <c r="CY8538" s="34" t="s">
        <v>9465</v>
      </c>
      <c r="CZ8538" s="35">
        <v>4.2089600000000003E-3</v>
      </c>
    </row>
    <row r="8539" spans="103:104" x14ac:dyDescent="0.3">
      <c r="CY8539" s="34" t="s">
        <v>9466</v>
      </c>
      <c r="CZ8539" s="35">
        <v>3.4847040000000004E-3</v>
      </c>
    </row>
    <row r="8540" spans="103:104" x14ac:dyDescent="0.3">
      <c r="CY8540" s="34" t="s">
        <v>9467</v>
      </c>
      <c r="CZ8540" s="35">
        <v>1.6079104E-2</v>
      </c>
    </row>
    <row r="8541" spans="103:104" x14ac:dyDescent="0.3">
      <c r="CY8541" s="34" t="s">
        <v>9468</v>
      </c>
      <c r="CZ8541" s="35">
        <v>0.108117</v>
      </c>
    </row>
    <row r="8542" spans="103:104" x14ac:dyDescent="0.3">
      <c r="CY8542" s="34" t="s">
        <v>9469</v>
      </c>
      <c r="CZ8542" s="35">
        <v>0.10811699999999999</v>
      </c>
    </row>
    <row r="8543" spans="103:104" x14ac:dyDescent="0.3">
      <c r="CY8543" s="34" t="s">
        <v>9470</v>
      </c>
      <c r="CZ8543" s="35">
        <v>7.1962720000000008E-2</v>
      </c>
    </row>
    <row r="8544" spans="103:104" x14ac:dyDescent="0.3">
      <c r="CY8544" s="34" t="s">
        <v>9471</v>
      </c>
      <c r="CZ8544" s="35">
        <v>6.1336000000000002E-2</v>
      </c>
    </row>
    <row r="8545" spans="103:104" x14ac:dyDescent="0.3">
      <c r="CY8545" s="34" t="s">
        <v>9472</v>
      </c>
      <c r="CZ8545" s="35">
        <v>4.7778560000000005E-3</v>
      </c>
    </row>
    <row r="8546" spans="103:104" x14ac:dyDescent="0.3">
      <c r="CY8546" s="34" t="s">
        <v>9473</v>
      </c>
      <c r="CZ8546" s="35">
        <v>3.8451333324999996E-2</v>
      </c>
    </row>
    <row r="8547" spans="103:104" x14ac:dyDescent="0.3">
      <c r="CY8547" s="34" t="s">
        <v>9474</v>
      </c>
      <c r="CZ8547" s="35">
        <v>7.3675480000000002E-2</v>
      </c>
    </row>
    <row r="8548" spans="103:104" x14ac:dyDescent="0.3">
      <c r="CY8548" s="34" t="s">
        <v>9475</v>
      </c>
      <c r="CZ8548" s="35">
        <v>7.5741800000000012E-2</v>
      </c>
    </row>
    <row r="8549" spans="103:104" x14ac:dyDescent="0.3">
      <c r="CY8549" s="34" t="s">
        <v>9476</v>
      </c>
      <c r="CZ8549" s="35">
        <v>7.2382600000000019E-2</v>
      </c>
    </row>
    <row r="8550" spans="103:104" x14ac:dyDescent="0.3">
      <c r="CY8550" s="34" t="s">
        <v>9477</v>
      </c>
      <c r="CZ8550" s="35">
        <v>7.2382600000000019E-2</v>
      </c>
    </row>
    <row r="8551" spans="103:104" x14ac:dyDescent="0.3">
      <c r="CY8551" s="34" t="s">
        <v>9478</v>
      </c>
      <c r="CZ8551" s="35">
        <v>8.5994120000000021E-2</v>
      </c>
    </row>
    <row r="8552" spans="103:104" x14ac:dyDescent="0.3">
      <c r="CY8552" s="34" t="s">
        <v>9479</v>
      </c>
      <c r="CZ8552" s="35">
        <v>5.9539200000000006E-3</v>
      </c>
    </row>
    <row r="8553" spans="103:104" x14ac:dyDescent="0.3">
      <c r="CY8553" s="34" t="s">
        <v>9480</v>
      </c>
      <c r="CZ8553" s="35">
        <v>3.3999399999999999E-2</v>
      </c>
    </row>
    <row r="8554" spans="103:104" x14ac:dyDescent="0.3">
      <c r="CY8554" s="34" t="s">
        <v>9481</v>
      </c>
      <c r="CZ8554" s="35">
        <v>1.03380572E-3</v>
      </c>
    </row>
    <row r="8555" spans="103:104" x14ac:dyDescent="0.3">
      <c r="CY8555" s="34" t="s">
        <v>9482</v>
      </c>
      <c r="CZ8555" s="35">
        <v>1.8852160000000001E-3</v>
      </c>
    </row>
    <row r="8556" spans="103:104" x14ac:dyDescent="0.3">
      <c r="CY8556" s="34" t="s">
        <v>9483</v>
      </c>
      <c r="CZ8556" s="35">
        <v>3.4101200000000005E-2</v>
      </c>
    </row>
    <row r="8557" spans="103:104" x14ac:dyDescent="0.3">
      <c r="CY8557" s="34" t="s">
        <v>9484</v>
      </c>
      <c r="CZ8557" s="35">
        <v>0.12040279999999999</v>
      </c>
    </row>
    <row r="8558" spans="103:104" x14ac:dyDescent="0.3">
      <c r="CY8558" s="34" t="s">
        <v>9485</v>
      </c>
      <c r="CZ8558" s="35">
        <v>1.7404944000000002E-2</v>
      </c>
    </row>
    <row r="8559" spans="103:104" x14ac:dyDescent="0.3">
      <c r="CY8559" s="34" t="s">
        <v>9486</v>
      </c>
      <c r="CZ8559" s="35">
        <v>1.0433330355555555E-2</v>
      </c>
    </row>
    <row r="8560" spans="103:104" x14ac:dyDescent="0.3">
      <c r="CY8560" s="34" t="s">
        <v>9487</v>
      </c>
      <c r="CZ8560" s="35">
        <v>4.1979813399999996E-2</v>
      </c>
    </row>
    <row r="8561" spans="103:104" x14ac:dyDescent="0.3">
      <c r="CY8561" s="34" t="s">
        <v>9488</v>
      </c>
      <c r="CZ8561" s="35">
        <v>4.0189973400000002E-2</v>
      </c>
    </row>
    <row r="8562" spans="103:104" x14ac:dyDescent="0.3">
      <c r="CY8562" s="34" t="s">
        <v>9489</v>
      </c>
      <c r="CZ8562" s="35">
        <v>5.7659040000000005E-3</v>
      </c>
    </row>
    <row r="8563" spans="103:104" x14ac:dyDescent="0.3">
      <c r="CY8563" s="34" t="s">
        <v>9490</v>
      </c>
      <c r="CZ8563" s="35">
        <v>2.9637320000000002E-2</v>
      </c>
    </row>
    <row r="8564" spans="103:104" x14ac:dyDescent="0.3">
      <c r="CY8564" s="34" t="s">
        <v>9491</v>
      </c>
      <c r="CZ8564" s="35">
        <v>2.4665006699999999E-2</v>
      </c>
    </row>
    <row r="8565" spans="103:104" x14ac:dyDescent="0.3">
      <c r="CY8565" s="34" t="s">
        <v>9492</v>
      </c>
      <c r="CZ8565" s="35">
        <v>3.9688920000000003E-2</v>
      </c>
    </row>
    <row r="8566" spans="103:104" x14ac:dyDescent="0.3">
      <c r="CY8566" s="34" t="s">
        <v>9493</v>
      </c>
      <c r="CZ8566" s="35">
        <v>8.3129400000000013E-3</v>
      </c>
    </row>
    <row r="8567" spans="103:104" x14ac:dyDescent="0.3">
      <c r="CY8567" s="34" t="s">
        <v>9494</v>
      </c>
      <c r="CZ8567" s="35">
        <v>1.3141586699999999E-2</v>
      </c>
    </row>
    <row r="8568" spans="103:104" x14ac:dyDescent="0.3">
      <c r="CY8568" s="34" t="s">
        <v>9495</v>
      </c>
      <c r="CZ8568" s="35">
        <v>4.8529029999999994E-2</v>
      </c>
    </row>
    <row r="8569" spans="103:104" x14ac:dyDescent="0.3">
      <c r="CY8569" s="34" t="s">
        <v>9496</v>
      </c>
      <c r="CZ8569" s="35">
        <v>8.8134859999999995E-2</v>
      </c>
    </row>
    <row r="8570" spans="103:104" x14ac:dyDescent="0.3">
      <c r="CY8570" s="34" t="s">
        <v>9497</v>
      </c>
      <c r="CZ8570" s="35">
        <v>4.9411999999999998E-3</v>
      </c>
    </row>
    <row r="8571" spans="103:104" x14ac:dyDescent="0.3">
      <c r="CY8571" s="34" t="s">
        <v>9498</v>
      </c>
      <c r="CZ8571" s="35">
        <v>8.2983680000000004E-3</v>
      </c>
    </row>
    <row r="8572" spans="103:104" x14ac:dyDescent="0.3">
      <c r="CY8572" s="34" t="s">
        <v>9499</v>
      </c>
      <c r="CZ8572" s="35">
        <v>8.4455680000000005E-3</v>
      </c>
    </row>
    <row r="8573" spans="103:104" x14ac:dyDescent="0.3">
      <c r="CY8573" s="34" t="s">
        <v>9500</v>
      </c>
      <c r="CZ8573" s="35">
        <v>3.4157759999999995E-2</v>
      </c>
    </row>
    <row r="8574" spans="103:104" x14ac:dyDescent="0.3">
      <c r="CY8574" s="34" t="s">
        <v>9501</v>
      </c>
      <c r="CZ8574" s="35">
        <v>4.1747759999999995E-2</v>
      </c>
    </row>
    <row r="8575" spans="103:104" x14ac:dyDescent="0.3">
      <c r="CY8575" s="34" t="s">
        <v>9502</v>
      </c>
      <c r="CZ8575" s="35">
        <v>2.8101775999999998E-2</v>
      </c>
    </row>
    <row r="8576" spans="103:104" x14ac:dyDescent="0.3">
      <c r="CY8576" s="34" t="s">
        <v>9503</v>
      </c>
      <c r="CZ8576" s="35">
        <v>2.8101775999999998E-2</v>
      </c>
    </row>
    <row r="8577" spans="103:104" x14ac:dyDescent="0.3">
      <c r="CY8577" s="34" t="s">
        <v>9504</v>
      </c>
      <c r="CZ8577" s="35">
        <v>0.11541779999999999</v>
      </c>
    </row>
    <row r="8578" spans="103:104" x14ac:dyDescent="0.3">
      <c r="CY8578" s="34" t="s">
        <v>9505</v>
      </c>
      <c r="CZ8578" s="35">
        <v>4.5973539999999997E-3</v>
      </c>
    </row>
    <row r="8579" spans="103:104" x14ac:dyDescent="0.3">
      <c r="CY8579" s="34" t="s">
        <v>9506</v>
      </c>
      <c r="CZ8579" s="35">
        <v>0.24801600000000001</v>
      </c>
    </row>
    <row r="8580" spans="103:104" x14ac:dyDescent="0.3">
      <c r="CY8580" s="34" t="s">
        <v>9507</v>
      </c>
      <c r="CZ8580" s="35">
        <v>6.8114720000000004E-2</v>
      </c>
    </row>
    <row r="8581" spans="103:104" x14ac:dyDescent="0.3">
      <c r="CY8581" s="34" t="s">
        <v>9508</v>
      </c>
      <c r="CZ8581" s="35">
        <v>6.8114720000000004E-2</v>
      </c>
    </row>
    <row r="8582" spans="103:104" x14ac:dyDescent="0.3">
      <c r="CY8582" s="34" t="s">
        <v>9509</v>
      </c>
      <c r="CZ8582" s="35">
        <v>6.8114720000000004E-2</v>
      </c>
    </row>
    <row r="8583" spans="103:104" x14ac:dyDescent="0.3">
      <c r="CY8583" s="34" t="s">
        <v>9510</v>
      </c>
      <c r="CZ8583" s="35">
        <v>4.0474580000000003E-3</v>
      </c>
    </row>
    <row r="8584" spans="103:104" x14ac:dyDescent="0.3">
      <c r="CY8584" s="34" t="s">
        <v>9511</v>
      </c>
      <c r="CZ8584" s="35">
        <v>9.1927000000000009E-2</v>
      </c>
    </row>
    <row r="8585" spans="103:104" x14ac:dyDescent="0.3">
      <c r="CY8585" s="34" t="s">
        <v>9512</v>
      </c>
      <c r="CZ8585" s="35">
        <v>4.3648800000000001E-2</v>
      </c>
    </row>
    <row r="8586" spans="103:104" x14ac:dyDescent="0.3">
      <c r="CY8586" s="34" t="s">
        <v>9513</v>
      </c>
      <c r="CZ8586" s="35">
        <v>0.11023874667000001</v>
      </c>
    </row>
    <row r="8587" spans="103:104" x14ac:dyDescent="0.3">
      <c r="CY8587" s="34" t="s">
        <v>9514</v>
      </c>
      <c r="CZ8587" s="35">
        <v>7.02672E-4</v>
      </c>
    </row>
    <row r="8588" spans="103:104" x14ac:dyDescent="0.3">
      <c r="CY8588" s="34" t="s">
        <v>9515</v>
      </c>
      <c r="CZ8588" s="35">
        <v>1.0804240000000001E-2</v>
      </c>
    </row>
    <row r="8589" spans="103:104" x14ac:dyDescent="0.3">
      <c r="CY8589" s="34" t="s">
        <v>9516</v>
      </c>
      <c r="CZ8589" s="35">
        <v>9.6706120000000003E-3</v>
      </c>
    </row>
    <row r="8590" spans="103:104" x14ac:dyDescent="0.3">
      <c r="CY8590" s="34" t="s">
        <v>9517</v>
      </c>
      <c r="CZ8590" s="35">
        <v>2.4335720000000002E-2</v>
      </c>
    </row>
    <row r="8591" spans="103:104" x14ac:dyDescent="0.3">
      <c r="CY8591" s="34" t="s">
        <v>9518</v>
      </c>
      <c r="CZ8591" s="35">
        <v>2.4335720000000002E-2</v>
      </c>
    </row>
    <row r="8592" spans="103:104" x14ac:dyDescent="0.3">
      <c r="CY8592" s="34" t="s">
        <v>9519</v>
      </c>
      <c r="CZ8592" s="35">
        <v>8.8891960000000003E-3</v>
      </c>
    </row>
    <row r="8593" spans="103:104" x14ac:dyDescent="0.3">
      <c r="CY8593" s="34" t="s">
        <v>9520</v>
      </c>
      <c r="CZ8593" s="35">
        <v>8.8891960000000003E-3</v>
      </c>
    </row>
    <row r="8594" spans="103:104" x14ac:dyDescent="0.3">
      <c r="CY8594" s="34" t="s">
        <v>9521</v>
      </c>
      <c r="CZ8594" s="35">
        <v>8.8891960000000003E-3</v>
      </c>
    </row>
    <row r="8595" spans="103:104" x14ac:dyDescent="0.3">
      <c r="CY8595" s="34" t="s">
        <v>9522</v>
      </c>
      <c r="CZ8595" s="35">
        <v>1.3451306666666667E-3</v>
      </c>
    </row>
    <row r="8596" spans="103:104" x14ac:dyDescent="0.3">
      <c r="CY8596" s="34" t="s">
        <v>9523</v>
      </c>
      <c r="CZ8596" s="35">
        <v>1.4537182319999998E-2</v>
      </c>
    </row>
    <row r="8597" spans="103:104" x14ac:dyDescent="0.3">
      <c r="CY8597" s="34" t="s">
        <v>9524</v>
      </c>
      <c r="CZ8597" s="35">
        <v>7.333384000000001E-3</v>
      </c>
    </row>
    <row r="8598" spans="103:104" x14ac:dyDescent="0.3">
      <c r="CY8598" s="34" t="s">
        <v>9525</v>
      </c>
      <c r="CZ8598" s="35">
        <v>1.6279317599999999E-2</v>
      </c>
    </row>
    <row r="8599" spans="103:104" x14ac:dyDescent="0.3">
      <c r="CY8599" s="34" t="s">
        <v>9526</v>
      </c>
      <c r="CZ8599" s="35">
        <v>2.3083951999999998E-2</v>
      </c>
    </row>
    <row r="8600" spans="103:104" x14ac:dyDescent="0.3">
      <c r="CY8600" s="34" t="s">
        <v>9527</v>
      </c>
      <c r="CZ8600" s="35">
        <v>4.6697380000000004E-2</v>
      </c>
    </row>
    <row r="8601" spans="103:104" x14ac:dyDescent="0.3">
      <c r="CY8601" s="34" t="s">
        <v>9528</v>
      </c>
      <c r="CZ8601" s="35">
        <v>4.6697380000000004E-2</v>
      </c>
    </row>
    <row r="8602" spans="103:104" x14ac:dyDescent="0.3">
      <c r="CY8602" s="34" t="s">
        <v>9529</v>
      </c>
      <c r="CZ8602" s="35">
        <v>1.9080970600000004E-2</v>
      </c>
    </row>
    <row r="8603" spans="103:104" x14ac:dyDescent="0.3">
      <c r="CY8603" s="34" t="s">
        <v>9530</v>
      </c>
      <c r="CZ8603" s="35">
        <v>8.0889799999999998E-2</v>
      </c>
    </row>
    <row r="8604" spans="103:104" x14ac:dyDescent="0.3">
      <c r="CY8604" s="34" t="s">
        <v>9531</v>
      </c>
      <c r="CZ8604" s="35">
        <v>7.5785480000000002E-2</v>
      </c>
    </row>
    <row r="8605" spans="103:104" x14ac:dyDescent="0.3">
      <c r="CY8605" s="34" t="s">
        <v>9532</v>
      </c>
      <c r="CZ8605" s="35">
        <v>8.0889799999999998E-2</v>
      </c>
    </row>
    <row r="8606" spans="103:104" x14ac:dyDescent="0.3">
      <c r="CY8606" s="34" t="s">
        <v>9533</v>
      </c>
      <c r="CZ8606" s="35">
        <v>7.2382600000000019E-2</v>
      </c>
    </row>
    <row r="8607" spans="103:104" x14ac:dyDescent="0.3">
      <c r="CY8607" s="34" t="s">
        <v>9534</v>
      </c>
      <c r="CZ8607" s="35">
        <v>7.2382600000000005E-2</v>
      </c>
    </row>
    <row r="8608" spans="103:104" x14ac:dyDescent="0.3">
      <c r="CY8608" s="34" t="s">
        <v>9535</v>
      </c>
      <c r="CZ8608" s="35">
        <v>0.13733059999999997</v>
      </c>
    </row>
    <row r="8609" spans="103:104" x14ac:dyDescent="0.3">
      <c r="CY8609" s="34" t="s">
        <v>9536</v>
      </c>
      <c r="CZ8609" s="35">
        <v>1.32041586614E-2</v>
      </c>
    </row>
    <row r="8610" spans="103:104" x14ac:dyDescent="0.3">
      <c r="CY8610" s="34" t="s">
        <v>9537</v>
      </c>
      <c r="CZ8610" s="35">
        <v>1.4185778717305263E-2</v>
      </c>
    </row>
    <row r="8611" spans="103:104" x14ac:dyDescent="0.3">
      <c r="CY8611" s="34" t="s">
        <v>9538</v>
      </c>
      <c r="CZ8611" s="35">
        <v>3.0601259999999998E-3</v>
      </c>
    </row>
    <row r="8612" spans="103:104" x14ac:dyDescent="0.3">
      <c r="CY8612" s="34" t="s">
        <v>9539</v>
      </c>
      <c r="CZ8612" s="35">
        <v>1.0275453333333335E-3</v>
      </c>
    </row>
    <row r="8613" spans="103:104" x14ac:dyDescent="0.3">
      <c r="CY8613" s="34" t="s">
        <v>9540</v>
      </c>
      <c r="CZ8613" s="35">
        <v>6.2407970000000002E-3</v>
      </c>
    </row>
    <row r="8614" spans="103:104" x14ac:dyDescent="0.3">
      <c r="CY8614" s="34" t="s">
        <v>9541</v>
      </c>
      <c r="CZ8614" s="35">
        <v>1.8985960000000002E-3</v>
      </c>
    </row>
    <row r="8615" spans="103:104" x14ac:dyDescent="0.3">
      <c r="CY8615" s="34" t="s">
        <v>9542</v>
      </c>
      <c r="CZ8615" s="35">
        <v>1.820068E-3</v>
      </c>
    </row>
    <row r="8616" spans="103:104" x14ac:dyDescent="0.3">
      <c r="CY8616" s="34" t="s">
        <v>9543</v>
      </c>
      <c r="CZ8616" s="35">
        <v>1.5836053333333332E-3</v>
      </c>
    </row>
    <row r="8617" spans="103:104" x14ac:dyDescent="0.3">
      <c r="CY8617" s="34" t="s">
        <v>9544</v>
      </c>
      <c r="CZ8617" s="35">
        <v>1.5343994285714287E-3</v>
      </c>
    </row>
    <row r="8618" spans="103:104" x14ac:dyDescent="0.3">
      <c r="CY8618" s="34" t="s">
        <v>9545</v>
      </c>
      <c r="CZ8618" s="35">
        <v>1.4197228571428571E-3</v>
      </c>
    </row>
    <row r="8619" spans="103:104" x14ac:dyDescent="0.3">
      <c r="CY8619" s="34" t="s">
        <v>9546</v>
      </c>
      <c r="CZ8619" s="35">
        <v>5.0779600000000003E-4</v>
      </c>
    </row>
    <row r="8620" spans="103:104" x14ac:dyDescent="0.3">
      <c r="CY8620" s="34" t="s">
        <v>9547</v>
      </c>
      <c r="CZ8620" s="35">
        <v>6.6413840000000002E-3</v>
      </c>
    </row>
    <row r="8621" spans="103:104" x14ac:dyDescent="0.3">
      <c r="CY8621" s="34" t="s">
        <v>9548</v>
      </c>
      <c r="CZ8621" s="35">
        <v>2.0568843999999998E-3</v>
      </c>
    </row>
    <row r="8622" spans="103:104" x14ac:dyDescent="0.3">
      <c r="CY8622" s="34" t="s">
        <v>9549</v>
      </c>
      <c r="CZ8622" s="35">
        <v>9.0212000000000001E-3</v>
      </c>
    </row>
    <row r="8623" spans="103:104" x14ac:dyDescent="0.3">
      <c r="CY8623" s="34" t="s">
        <v>9550</v>
      </c>
      <c r="CZ8623" s="35">
        <v>4.8326000000000008E-2</v>
      </c>
    </row>
    <row r="8624" spans="103:104" x14ac:dyDescent="0.3">
      <c r="CY8624" s="34" t="s">
        <v>9551</v>
      </c>
      <c r="CZ8624" s="35">
        <v>3.8472124000000006E-3</v>
      </c>
    </row>
    <row r="8625" spans="103:104" x14ac:dyDescent="0.3">
      <c r="CY8625" s="34" t="s">
        <v>9552</v>
      </c>
      <c r="CZ8625" s="35">
        <v>4.3399871999999999E-2</v>
      </c>
    </row>
    <row r="8626" spans="103:104" x14ac:dyDescent="0.3">
      <c r="CY8626" s="34" t="s">
        <v>9553</v>
      </c>
      <c r="CZ8626" s="35">
        <v>5.4637893299999997E-3</v>
      </c>
    </row>
    <row r="8627" spans="103:104" x14ac:dyDescent="0.3">
      <c r="CY8627" s="34" t="s">
        <v>9554</v>
      </c>
      <c r="CZ8627" s="35">
        <v>2.9824368E-3</v>
      </c>
    </row>
    <row r="8628" spans="103:104" x14ac:dyDescent="0.3">
      <c r="CY8628" s="34" t="s">
        <v>9555</v>
      </c>
      <c r="CZ8628" s="35">
        <v>6.4697999999999995E-3</v>
      </c>
    </row>
    <row r="8629" spans="103:104" x14ac:dyDescent="0.3">
      <c r="CY8629" s="34" t="s">
        <v>9556</v>
      </c>
      <c r="CZ8629" s="35">
        <v>1.1879085333333334E-2</v>
      </c>
    </row>
    <row r="8630" spans="103:104" x14ac:dyDescent="0.3">
      <c r="CY8630" s="34" t="s">
        <v>9557</v>
      </c>
      <c r="CZ8630" s="35">
        <v>5.1725760000000003E-2</v>
      </c>
    </row>
    <row r="8631" spans="103:104" x14ac:dyDescent="0.3">
      <c r="CY8631" s="34" t="s">
        <v>9558</v>
      </c>
      <c r="CZ8631" s="35">
        <v>6.7933199999999994E-3</v>
      </c>
    </row>
    <row r="8632" spans="103:104" x14ac:dyDescent="0.3">
      <c r="CY8632" s="34" t="s">
        <v>9559</v>
      </c>
      <c r="CZ8632" s="35">
        <v>3.6106879999999994E-2</v>
      </c>
    </row>
    <row r="8633" spans="103:104" x14ac:dyDescent="0.3">
      <c r="CY8633" s="34" t="s">
        <v>9560</v>
      </c>
      <c r="CZ8633" s="35">
        <v>4.8654560000000006E-3</v>
      </c>
    </row>
    <row r="8634" spans="103:104" x14ac:dyDescent="0.3">
      <c r="CY8634" s="34" t="s">
        <v>9561</v>
      </c>
      <c r="CZ8634" s="35">
        <v>9.3178320000000009E-2</v>
      </c>
    </row>
    <row r="8635" spans="103:104" x14ac:dyDescent="0.3">
      <c r="CY8635" s="34" t="s">
        <v>9562</v>
      </c>
      <c r="CZ8635" s="35">
        <v>1.45428E-2</v>
      </c>
    </row>
    <row r="8636" spans="103:104" x14ac:dyDescent="0.3">
      <c r="CY8636" s="34" t="s">
        <v>9563</v>
      </c>
      <c r="CZ8636" s="35">
        <v>1.9553119999999998E-3</v>
      </c>
    </row>
    <row r="8637" spans="103:104" x14ac:dyDescent="0.3">
      <c r="CY8637" s="34" t="s">
        <v>9564</v>
      </c>
      <c r="CZ8637" s="35">
        <v>1.6495935999999999E-2</v>
      </c>
    </row>
    <row r="8638" spans="103:104" x14ac:dyDescent="0.3">
      <c r="CY8638" s="34" t="s">
        <v>9565</v>
      </c>
      <c r="CZ8638" s="35">
        <v>2.0488360000000001E-2</v>
      </c>
    </row>
    <row r="8639" spans="103:104" x14ac:dyDescent="0.3">
      <c r="CY8639" s="34" t="s">
        <v>9566</v>
      </c>
      <c r="CZ8639" s="35">
        <v>6.8236399999999997E-4</v>
      </c>
    </row>
    <row r="8640" spans="103:104" x14ac:dyDescent="0.3">
      <c r="CY8640" s="34" t="s">
        <v>9567</v>
      </c>
      <c r="CZ8640" s="35">
        <v>2.226128E-3</v>
      </c>
    </row>
    <row r="8641" spans="103:104" x14ac:dyDescent="0.3">
      <c r="CY8641" s="34" t="s">
        <v>9568</v>
      </c>
      <c r="CZ8641" s="35">
        <v>4.8926560000000004E-3</v>
      </c>
    </row>
    <row r="8642" spans="103:104" x14ac:dyDescent="0.3">
      <c r="CY8642" s="34" t="s">
        <v>9569</v>
      </c>
      <c r="CZ8642" s="35">
        <v>1.1075586666666666E-2</v>
      </c>
    </row>
    <row r="8643" spans="103:104" x14ac:dyDescent="0.3">
      <c r="CY8643" s="34" t="s">
        <v>9570</v>
      </c>
      <c r="CZ8643" s="35">
        <v>2.6082853333333333E-3</v>
      </c>
    </row>
    <row r="8644" spans="103:104" x14ac:dyDescent="0.3">
      <c r="CY8644" s="34" t="s">
        <v>9571</v>
      </c>
      <c r="CZ8644" s="35">
        <v>4.4927588222222224E-2</v>
      </c>
    </row>
    <row r="8645" spans="103:104" x14ac:dyDescent="0.3">
      <c r="CY8645" s="34" t="s">
        <v>9572</v>
      </c>
      <c r="CZ8645" s="35">
        <v>5.2215200000000003E-2</v>
      </c>
    </row>
    <row r="8646" spans="103:104" x14ac:dyDescent="0.3">
      <c r="CY8646" s="34" t="s">
        <v>9573</v>
      </c>
      <c r="CZ8646" s="35">
        <v>5.2183199999999999E-2</v>
      </c>
    </row>
    <row r="8647" spans="103:104" x14ac:dyDescent="0.3">
      <c r="CY8647" s="34" t="s">
        <v>9574</v>
      </c>
      <c r="CZ8647" s="35">
        <v>5.7052120000000003E-3</v>
      </c>
    </row>
    <row r="8648" spans="103:104" x14ac:dyDescent="0.3">
      <c r="CY8648" s="34" t="s">
        <v>9575</v>
      </c>
      <c r="CZ8648" s="35">
        <v>3.0514599999999998E-3</v>
      </c>
    </row>
    <row r="8649" spans="103:104" x14ac:dyDescent="0.3">
      <c r="CY8649" s="34" t="s">
        <v>9576</v>
      </c>
      <c r="CZ8649" s="35">
        <v>2.1646119999999998E-3</v>
      </c>
    </row>
    <row r="8650" spans="103:104" x14ac:dyDescent="0.3">
      <c r="CY8650" s="34" t="s">
        <v>9577</v>
      </c>
      <c r="CZ8650" s="35">
        <v>5.5307680000000001E-3</v>
      </c>
    </row>
    <row r="8651" spans="103:104" x14ac:dyDescent="0.3">
      <c r="CY8651" s="34" t="s">
        <v>9578</v>
      </c>
      <c r="CZ8651" s="35">
        <v>3.6013600000000001E-3</v>
      </c>
    </row>
    <row r="8652" spans="103:104" x14ac:dyDescent="0.3">
      <c r="CY8652" s="34" t="s">
        <v>9579</v>
      </c>
      <c r="CZ8652" s="35">
        <v>6.3609011999999996E-3</v>
      </c>
    </row>
    <row r="8653" spans="103:104" x14ac:dyDescent="0.3">
      <c r="CY8653" s="34" t="s">
        <v>9580</v>
      </c>
      <c r="CZ8653" s="35">
        <v>6.5765139999999995E-3</v>
      </c>
    </row>
    <row r="8654" spans="103:104" x14ac:dyDescent="0.3">
      <c r="CY8654" s="34" t="s">
        <v>9581</v>
      </c>
      <c r="CZ8654" s="35">
        <v>1.7027846000000001E-3</v>
      </c>
    </row>
    <row r="8655" spans="103:104" x14ac:dyDescent="0.3">
      <c r="CY8655" s="34" t="s">
        <v>9582</v>
      </c>
      <c r="CZ8655" s="35">
        <v>1.1916930665217393E-2</v>
      </c>
    </row>
    <row r="8656" spans="103:104" x14ac:dyDescent="0.3">
      <c r="CY8656" s="34" t="s">
        <v>9583</v>
      </c>
      <c r="CZ8656" s="35">
        <v>2.42E-4</v>
      </c>
    </row>
    <row r="8657" spans="103:104" x14ac:dyDescent="0.3">
      <c r="CY8657" s="34" t="s">
        <v>9584</v>
      </c>
      <c r="CZ8657" s="35">
        <v>2.3102215999999997E-3</v>
      </c>
    </row>
    <row r="8658" spans="103:104" x14ac:dyDescent="0.3">
      <c r="CY8658" s="34" t="s">
        <v>9585</v>
      </c>
      <c r="CZ8658" s="35">
        <v>9.2850800000000011E-3</v>
      </c>
    </row>
    <row r="8659" spans="103:104" x14ac:dyDescent="0.3">
      <c r="CY8659" s="34" t="s">
        <v>9586</v>
      </c>
      <c r="CZ8659" s="35">
        <v>7.035168E-2</v>
      </c>
    </row>
    <row r="8660" spans="103:104" x14ac:dyDescent="0.3">
      <c r="CY8660" s="34" t="s">
        <v>9587</v>
      </c>
      <c r="CZ8660" s="35">
        <v>2.7886959999999998E-3</v>
      </c>
    </row>
    <row r="8661" spans="103:104" x14ac:dyDescent="0.3">
      <c r="CY8661" s="34" t="s">
        <v>9588</v>
      </c>
      <c r="CZ8661" s="35">
        <v>2.7886959999999998E-3</v>
      </c>
    </row>
    <row r="8662" spans="103:104" x14ac:dyDescent="0.3">
      <c r="CY8662" s="34" t="s">
        <v>9589</v>
      </c>
      <c r="CZ8662" s="35">
        <v>2.5193899999999998E-3</v>
      </c>
    </row>
    <row r="8663" spans="103:104" x14ac:dyDescent="0.3">
      <c r="CY8663" s="34" t="s">
        <v>9590</v>
      </c>
      <c r="CZ8663" s="35">
        <v>2.7055500000000001E-3</v>
      </c>
    </row>
    <row r="8664" spans="103:104" x14ac:dyDescent="0.3">
      <c r="CY8664" s="34" t="s">
        <v>9591</v>
      </c>
      <c r="CZ8664" s="35">
        <v>2.3022746799999997E-2</v>
      </c>
    </row>
    <row r="8665" spans="103:104" x14ac:dyDescent="0.3">
      <c r="CY8665" s="34" t="s">
        <v>9592</v>
      </c>
      <c r="CZ8665" s="35">
        <v>1.9874320000000004E-2</v>
      </c>
    </row>
    <row r="8666" spans="103:104" x14ac:dyDescent="0.3">
      <c r="CY8666" s="34" t="s">
        <v>9593</v>
      </c>
      <c r="CZ8666" s="35">
        <v>4.5212826666666664E-2</v>
      </c>
    </row>
    <row r="8667" spans="103:104" x14ac:dyDescent="0.3">
      <c r="CY8667" s="34" t="s">
        <v>9594</v>
      </c>
      <c r="CZ8667" s="35">
        <v>5.0779600000000003E-4</v>
      </c>
    </row>
    <row r="8668" spans="103:104" x14ac:dyDescent="0.3">
      <c r="CY8668" s="34" t="s">
        <v>9595</v>
      </c>
      <c r="CZ8668" s="35">
        <v>4.6907520000000003E-3</v>
      </c>
    </row>
    <row r="8669" spans="103:104" x14ac:dyDescent="0.3">
      <c r="CY8669" s="34" t="s">
        <v>9596</v>
      </c>
      <c r="CZ8669" s="35">
        <v>4.8972240000000004E-3</v>
      </c>
    </row>
    <row r="8670" spans="103:104" x14ac:dyDescent="0.3">
      <c r="CY8670" s="34" t="s">
        <v>9597</v>
      </c>
      <c r="CZ8670" s="35">
        <v>4.2580400000000003E-3</v>
      </c>
    </row>
    <row r="8671" spans="103:104" x14ac:dyDescent="0.3">
      <c r="CY8671" s="34" t="s">
        <v>9598</v>
      </c>
      <c r="CZ8671" s="35">
        <v>6.4562850000000005E-2</v>
      </c>
    </row>
    <row r="8672" spans="103:104" x14ac:dyDescent="0.3">
      <c r="CY8672" s="34" t="s">
        <v>9599</v>
      </c>
      <c r="CZ8672" s="35">
        <v>3.4393359999999998E-2</v>
      </c>
    </row>
    <row r="8673" spans="103:104" x14ac:dyDescent="0.3">
      <c r="CY8673" s="34" t="s">
        <v>9600</v>
      </c>
      <c r="CZ8673" s="35">
        <v>3.4393359999999998E-2</v>
      </c>
    </row>
    <row r="8674" spans="103:104" x14ac:dyDescent="0.3">
      <c r="CY8674" s="34" t="s">
        <v>9601</v>
      </c>
      <c r="CZ8674" s="35">
        <v>4.3975466666666668E-3</v>
      </c>
    </row>
    <row r="8675" spans="103:104" x14ac:dyDescent="0.3">
      <c r="CY8675" s="34" t="s">
        <v>9602</v>
      </c>
      <c r="CZ8675" s="35">
        <v>4.3975466666666668E-3</v>
      </c>
    </row>
    <row r="8676" spans="103:104" x14ac:dyDescent="0.3">
      <c r="CY8676" s="34" t="s">
        <v>9603</v>
      </c>
      <c r="CZ8676" s="35">
        <v>3.2213155555555553E-2</v>
      </c>
    </row>
    <row r="8677" spans="103:104" x14ac:dyDescent="0.3">
      <c r="CY8677" s="34" t="s">
        <v>9604</v>
      </c>
      <c r="CZ8677" s="35">
        <v>1.6997120000000001E-2</v>
      </c>
    </row>
    <row r="8678" spans="103:104" x14ac:dyDescent="0.3">
      <c r="CY8678" s="34" t="s">
        <v>9605</v>
      </c>
      <c r="CZ8678" s="35">
        <v>0.181830830272</v>
      </c>
    </row>
    <row r="8679" spans="103:104" x14ac:dyDescent="0.3">
      <c r="CY8679" s="34" t="s">
        <v>9606</v>
      </c>
      <c r="CZ8679" s="35">
        <v>6.3869439999999994E-3</v>
      </c>
    </row>
    <row r="8680" spans="103:104" x14ac:dyDescent="0.3">
      <c r="CY8680" s="34" t="s">
        <v>9607</v>
      </c>
      <c r="CZ8680" s="35">
        <v>0.10886285600000001</v>
      </c>
    </row>
    <row r="8681" spans="103:104" x14ac:dyDescent="0.3">
      <c r="CY8681" s="34" t="s">
        <v>9608</v>
      </c>
      <c r="CZ8681" s="35">
        <v>4.9988799999999998E-3</v>
      </c>
    </row>
    <row r="8682" spans="103:104" x14ac:dyDescent="0.3">
      <c r="CY8682" s="34" t="s">
        <v>9609</v>
      </c>
      <c r="CZ8682" s="35">
        <v>0.20356775999999999</v>
      </c>
    </row>
    <row r="8683" spans="103:104" x14ac:dyDescent="0.3">
      <c r="CY8683" s="34" t="s">
        <v>9610</v>
      </c>
      <c r="CZ8683" s="35">
        <v>9.929443083375001E-3</v>
      </c>
    </row>
    <row r="8684" spans="103:104" x14ac:dyDescent="0.3">
      <c r="CY8684" s="34" t="s">
        <v>9611</v>
      </c>
      <c r="CZ8684" s="35">
        <v>1.689576152E-2</v>
      </c>
    </row>
    <row r="8685" spans="103:104" x14ac:dyDescent="0.3">
      <c r="CY8685" s="34" t="s">
        <v>9612</v>
      </c>
      <c r="CZ8685" s="35">
        <v>5.9659040000000002E-3</v>
      </c>
    </row>
    <row r="8686" spans="103:104" x14ac:dyDescent="0.3">
      <c r="CY8686" s="34" t="s">
        <v>9613</v>
      </c>
      <c r="CZ8686" s="35">
        <v>2.8189040000000002E-2</v>
      </c>
    </row>
    <row r="8687" spans="103:104" x14ac:dyDescent="0.3">
      <c r="CY8687" s="34" t="s">
        <v>9614</v>
      </c>
      <c r="CZ8687" s="35">
        <v>3.1833419999999994E-2</v>
      </c>
    </row>
    <row r="8688" spans="103:104" x14ac:dyDescent="0.3">
      <c r="CY8688" s="34" t="s">
        <v>9615</v>
      </c>
      <c r="CZ8688" s="35">
        <v>3.4927040000000006E-2</v>
      </c>
    </row>
    <row r="8689" spans="103:104" x14ac:dyDescent="0.3">
      <c r="CY8689" s="34" t="s">
        <v>9616</v>
      </c>
      <c r="CZ8689" s="35">
        <v>1.1235168E-2</v>
      </c>
    </row>
    <row r="8690" spans="103:104" x14ac:dyDescent="0.3">
      <c r="CY8690" s="34" t="s">
        <v>9617</v>
      </c>
      <c r="CZ8690" s="35">
        <v>1.9877760000000001E-2</v>
      </c>
    </row>
    <row r="8691" spans="103:104" x14ac:dyDescent="0.3">
      <c r="CY8691" s="34" t="s">
        <v>9618</v>
      </c>
      <c r="CZ8691" s="35">
        <v>0.20040146469999998</v>
      </c>
    </row>
    <row r="8692" spans="103:104" x14ac:dyDescent="0.3">
      <c r="CY8692" s="34" t="s">
        <v>9619</v>
      </c>
      <c r="CZ8692" s="35">
        <v>9.9547399999999994E-2</v>
      </c>
    </row>
    <row r="8693" spans="103:104" x14ac:dyDescent="0.3">
      <c r="CY8693" s="34" t="s">
        <v>9620</v>
      </c>
      <c r="CZ8693" s="35">
        <v>5.1874999999999994E-3</v>
      </c>
    </row>
    <row r="8694" spans="103:104" x14ac:dyDescent="0.3">
      <c r="CY8694" s="34" t="s">
        <v>9621</v>
      </c>
      <c r="CZ8694" s="35">
        <v>0.1029974</v>
      </c>
    </row>
    <row r="8695" spans="103:104" x14ac:dyDescent="0.3">
      <c r="CY8695" s="34" t="s">
        <v>9622</v>
      </c>
      <c r="CZ8695" s="35">
        <v>9.5867400000000005E-2</v>
      </c>
    </row>
    <row r="8696" spans="103:104" x14ac:dyDescent="0.3">
      <c r="CY8696" s="34" t="s">
        <v>9623</v>
      </c>
      <c r="CZ8696" s="35">
        <v>6.4500000000000007E-4</v>
      </c>
    </row>
    <row r="8697" spans="103:104" x14ac:dyDescent="0.3">
      <c r="CY8697" s="34" t="s">
        <v>9624</v>
      </c>
      <c r="CZ8697" s="35">
        <v>9.5867400000000005E-2</v>
      </c>
    </row>
    <row r="8698" spans="103:104" x14ac:dyDescent="0.3">
      <c r="CY8698" s="34" t="s">
        <v>9625</v>
      </c>
      <c r="CZ8698" s="35">
        <v>8.4687000000000012E-2</v>
      </c>
    </row>
    <row r="8699" spans="103:104" x14ac:dyDescent="0.3">
      <c r="CY8699" s="34" t="s">
        <v>9626</v>
      </c>
      <c r="CZ8699" s="35">
        <v>1.5915680000000001E-2</v>
      </c>
    </row>
    <row r="8700" spans="103:104" x14ac:dyDescent="0.3">
      <c r="CY8700" s="34" t="s">
        <v>9627</v>
      </c>
      <c r="CZ8700" s="35">
        <v>3.9338080000000004E-3</v>
      </c>
    </row>
    <row r="8701" spans="103:104" x14ac:dyDescent="0.3">
      <c r="CY8701" s="34" t="s">
        <v>9628</v>
      </c>
      <c r="CZ8701" s="35">
        <v>3.9225653337499999E-2</v>
      </c>
    </row>
    <row r="8702" spans="103:104" x14ac:dyDescent="0.3">
      <c r="CY8702" s="34" t="s">
        <v>9629</v>
      </c>
      <c r="CZ8702" s="35">
        <v>2.4932039999999999E-2</v>
      </c>
    </row>
    <row r="8703" spans="103:104" x14ac:dyDescent="0.3">
      <c r="CY8703" s="34" t="s">
        <v>9630</v>
      </c>
      <c r="CZ8703" s="35">
        <v>1.0400536E-2</v>
      </c>
    </row>
    <row r="8704" spans="103:104" x14ac:dyDescent="0.3">
      <c r="CY8704" s="34" t="s">
        <v>9631</v>
      </c>
      <c r="CZ8704" s="35">
        <v>1.0400536E-2</v>
      </c>
    </row>
    <row r="8705" spans="103:104" x14ac:dyDescent="0.3">
      <c r="CY8705" s="34" t="s">
        <v>9632</v>
      </c>
      <c r="CZ8705" s="35">
        <v>1.6444416E-2</v>
      </c>
    </row>
    <row r="8706" spans="103:104" x14ac:dyDescent="0.3">
      <c r="CY8706" s="34" t="s">
        <v>9633</v>
      </c>
      <c r="CZ8706" s="35">
        <v>6.5009199999999989E-2</v>
      </c>
    </row>
    <row r="8707" spans="103:104" x14ac:dyDescent="0.3">
      <c r="CY8707" s="34" t="s">
        <v>9634</v>
      </c>
      <c r="CZ8707" s="35">
        <v>1.8799400000000001E-2</v>
      </c>
    </row>
    <row r="8708" spans="103:104" x14ac:dyDescent="0.3">
      <c r="CY8708" s="34" t="s">
        <v>9635</v>
      </c>
      <c r="CZ8708" s="35">
        <v>0.28499464479999997</v>
      </c>
    </row>
    <row r="8709" spans="103:104" x14ac:dyDescent="0.3">
      <c r="CY8709" s="34" t="s">
        <v>9636</v>
      </c>
      <c r="CZ8709" s="35">
        <v>2.9868266666666669E-3</v>
      </c>
    </row>
    <row r="8710" spans="103:104" x14ac:dyDescent="0.3">
      <c r="CY8710" s="34" t="s">
        <v>9637</v>
      </c>
      <c r="CZ8710" s="35">
        <v>0.14735559999999998</v>
      </c>
    </row>
    <row r="8711" spans="103:104" x14ac:dyDescent="0.3">
      <c r="CY8711" s="34" t="s">
        <v>9638</v>
      </c>
      <c r="CZ8711" s="35">
        <v>1.558746666E-2</v>
      </c>
    </row>
    <row r="8712" spans="103:104" x14ac:dyDescent="0.3">
      <c r="CY8712" s="34" t="s">
        <v>9639</v>
      </c>
      <c r="CZ8712" s="35">
        <v>1.5141E-3</v>
      </c>
    </row>
    <row r="8713" spans="103:104" x14ac:dyDescent="0.3">
      <c r="CY8713" s="34" t="s">
        <v>9640</v>
      </c>
      <c r="CZ8713" s="35">
        <v>2.613008E-3</v>
      </c>
    </row>
    <row r="8714" spans="103:104" x14ac:dyDescent="0.3">
      <c r="CY8714" s="34" t="s">
        <v>9641</v>
      </c>
      <c r="CZ8714" s="35">
        <v>5.0632800000000001E-4</v>
      </c>
    </row>
    <row r="8715" spans="103:104" x14ac:dyDescent="0.3">
      <c r="CY8715" s="34" t="s">
        <v>9642</v>
      </c>
      <c r="CZ8715" s="35">
        <v>8.4119679999999995E-4</v>
      </c>
    </row>
    <row r="8716" spans="103:104" x14ac:dyDescent="0.3">
      <c r="CY8716" s="34" t="s">
        <v>9643</v>
      </c>
      <c r="CZ8716" s="35">
        <v>8.5867200000000005E-2</v>
      </c>
    </row>
    <row r="8717" spans="103:104" x14ac:dyDescent="0.3">
      <c r="CY8717" s="34" t="s">
        <v>9644</v>
      </c>
      <c r="CZ8717" s="35">
        <v>9.0986447999999998E-2</v>
      </c>
    </row>
    <row r="8718" spans="103:104" x14ac:dyDescent="0.3">
      <c r="CY8718" s="34" t="s">
        <v>9645</v>
      </c>
      <c r="CZ8718" s="35">
        <v>1.1771624000000002E-3</v>
      </c>
    </row>
    <row r="8719" spans="103:104" x14ac:dyDescent="0.3">
      <c r="CY8719" s="34" t="s">
        <v>9646</v>
      </c>
      <c r="CZ8719" s="35">
        <v>1.3416709300000001E-2</v>
      </c>
    </row>
    <row r="8720" spans="103:104" x14ac:dyDescent="0.3">
      <c r="CY8720" s="34" t="s">
        <v>9647</v>
      </c>
      <c r="CZ8720" s="35">
        <v>5.9756879999999998E-4</v>
      </c>
    </row>
    <row r="8721" spans="103:104" x14ac:dyDescent="0.3">
      <c r="CY8721" s="34" t="s">
        <v>9648</v>
      </c>
      <c r="CZ8721" s="35">
        <v>6.083312E-4</v>
      </c>
    </row>
    <row r="8722" spans="103:104" x14ac:dyDescent="0.3">
      <c r="CY8722" s="34" t="s">
        <v>9649</v>
      </c>
      <c r="CZ8722" s="35">
        <v>5.5855085714285723E-4</v>
      </c>
    </row>
    <row r="8723" spans="103:104" x14ac:dyDescent="0.3">
      <c r="CY8723" s="34" t="s">
        <v>9650</v>
      </c>
      <c r="CZ8723" s="35">
        <v>2.0245199999999999E-4</v>
      </c>
    </row>
    <row r="8724" spans="103:104" x14ac:dyDescent="0.3">
      <c r="CY8724" s="34" t="s">
        <v>9651</v>
      </c>
      <c r="CZ8724" s="35">
        <v>1.2073640000000001E-3</v>
      </c>
    </row>
    <row r="8725" spans="103:104" x14ac:dyDescent="0.3">
      <c r="CY8725" s="34" t="s">
        <v>9652</v>
      </c>
      <c r="CZ8725" s="35">
        <v>5.8016800000000005E-4</v>
      </c>
    </row>
    <row r="8726" spans="103:104" x14ac:dyDescent="0.3">
      <c r="CY8726" s="34" t="s">
        <v>9653</v>
      </c>
      <c r="CZ8726" s="35">
        <v>4.9680079999999999E-4</v>
      </c>
    </row>
    <row r="8727" spans="103:104" x14ac:dyDescent="0.3">
      <c r="CY8727" s="34" t="s">
        <v>9654</v>
      </c>
      <c r="CZ8727" s="35">
        <v>6.7232879999999995E-2</v>
      </c>
    </row>
    <row r="8728" spans="103:104" x14ac:dyDescent="0.3">
      <c r="CY8728" s="34" t="s">
        <v>9655</v>
      </c>
      <c r="CZ8728" s="35">
        <v>2.0242184E-2</v>
      </c>
    </row>
    <row r="8729" spans="103:104" x14ac:dyDescent="0.3">
      <c r="CY8729" s="34" t="s">
        <v>9656</v>
      </c>
      <c r="CZ8729" s="35">
        <v>3.4930547999999999E-2</v>
      </c>
    </row>
    <row r="8730" spans="103:104" x14ac:dyDescent="0.3">
      <c r="CY8730" s="34" t="s">
        <v>9657</v>
      </c>
      <c r="CZ8730" s="35">
        <v>4.6543055999999999E-2</v>
      </c>
    </row>
    <row r="8731" spans="103:104" x14ac:dyDescent="0.3">
      <c r="CY8731" s="34" t="s">
        <v>9658</v>
      </c>
      <c r="CZ8731" s="35">
        <v>5.4735328000000007E-2</v>
      </c>
    </row>
    <row r="8732" spans="103:104" x14ac:dyDescent="0.3">
      <c r="CY8732" s="34" t="s">
        <v>9659</v>
      </c>
      <c r="CZ8732" s="35">
        <v>2.3194274300000005E-2</v>
      </c>
    </row>
    <row r="8733" spans="103:104" x14ac:dyDescent="0.3">
      <c r="CY8733" s="34" t="s">
        <v>9660</v>
      </c>
      <c r="CZ8733" s="35">
        <v>1.4878928E-2</v>
      </c>
    </row>
    <row r="8734" spans="103:104" x14ac:dyDescent="0.3">
      <c r="CY8734" s="34" t="s">
        <v>9661</v>
      </c>
      <c r="CZ8734" s="35">
        <v>2.398664E-3</v>
      </c>
    </row>
    <row r="8735" spans="103:104" x14ac:dyDescent="0.3">
      <c r="CY8735" s="34" t="s">
        <v>9662</v>
      </c>
      <c r="CZ8735" s="35">
        <v>2.9504525400000001E-3</v>
      </c>
    </row>
    <row r="8736" spans="103:104" x14ac:dyDescent="0.3">
      <c r="CY8736" s="34" t="s">
        <v>9663</v>
      </c>
      <c r="CZ8736" s="35">
        <v>7.4773306600000007E-3</v>
      </c>
    </row>
    <row r="8737" spans="103:104" x14ac:dyDescent="0.3">
      <c r="CY8737" s="34" t="s">
        <v>9664</v>
      </c>
      <c r="CZ8737" s="35">
        <v>1.1612418666666667E-2</v>
      </c>
    </row>
    <row r="8738" spans="103:104" x14ac:dyDescent="0.3">
      <c r="CY8738" s="34" t="s">
        <v>9665</v>
      </c>
      <c r="CZ8738" s="35">
        <v>3.0029752E-2</v>
      </c>
    </row>
    <row r="8739" spans="103:104" x14ac:dyDescent="0.3">
      <c r="CY8739" s="34" t="s">
        <v>9666</v>
      </c>
      <c r="CZ8739" s="35">
        <v>9.9270400000000023E-2</v>
      </c>
    </row>
    <row r="8740" spans="103:104" x14ac:dyDescent="0.3">
      <c r="CY8740" s="34" t="s">
        <v>9667</v>
      </c>
      <c r="CZ8740" s="35">
        <v>0.35332279999999999</v>
      </c>
    </row>
    <row r="8741" spans="103:104" x14ac:dyDescent="0.3">
      <c r="CY8741" s="34" t="s">
        <v>9668</v>
      </c>
      <c r="CZ8741" s="35">
        <v>2.6724600000000001E-2</v>
      </c>
    </row>
    <row r="8742" spans="103:104" x14ac:dyDescent="0.3">
      <c r="CY8742" s="34" t="s">
        <v>9669</v>
      </c>
      <c r="CZ8742" s="35">
        <v>0.20610426666666667</v>
      </c>
    </row>
    <row r="8743" spans="103:104" x14ac:dyDescent="0.3">
      <c r="CY8743" s="34" t="s">
        <v>9670</v>
      </c>
      <c r="CZ8743" s="35">
        <v>1.2355576E-2</v>
      </c>
    </row>
    <row r="8744" spans="103:104" x14ac:dyDescent="0.3">
      <c r="CY8744" s="34" t="s">
        <v>9671</v>
      </c>
      <c r="CZ8744" s="35">
        <v>1.2002808E-2</v>
      </c>
    </row>
    <row r="8745" spans="103:104" x14ac:dyDescent="0.3">
      <c r="CY8745" s="34" t="s">
        <v>9672</v>
      </c>
      <c r="CZ8745" s="35">
        <v>1.4E-2</v>
      </c>
    </row>
    <row r="8746" spans="103:104" x14ac:dyDescent="0.3">
      <c r="CY8746" s="34" t="s">
        <v>9673</v>
      </c>
      <c r="CZ8746" s="35">
        <v>4.1798405349999998E-2</v>
      </c>
    </row>
    <row r="8747" spans="103:104" x14ac:dyDescent="0.3">
      <c r="CY8747" s="34" t="s">
        <v>9674</v>
      </c>
      <c r="CZ8747" s="35">
        <v>4.0073784000000001E-2</v>
      </c>
    </row>
    <row r="8748" spans="103:104" x14ac:dyDescent="0.3">
      <c r="CY8748" s="34" t="s">
        <v>9675</v>
      </c>
      <c r="CZ8748" s="35">
        <v>1.660346E-2</v>
      </c>
    </row>
    <row r="8749" spans="103:104" x14ac:dyDescent="0.3">
      <c r="CY8749" s="34" t="s">
        <v>9676</v>
      </c>
      <c r="CZ8749" s="35">
        <v>1.9103846000000001E-2</v>
      </c>
    </row>
    <row r="8750" spans="103:104" x14ac:dyDescent="0.3">
      <c r="CY8750" s="34" t="s">
        <v>9677</v>
      </c>
      <c r="CZ8750" s="35">
        <v>3.0901102400000002E-2</v>
      </c>
    </row>
    <row r="8751" spans="103:104" x14ac:dyDescent="0.3">
      <c r="CY8751" s="34" t="s">
        <v>9678</v>
      </c>
      <c r="CZ8751" s="35">
        <v>0.12773773999999999</v>
      </c>
    </row>
    <row r="8752" spans="103:104" x14ac:dyDescent="0.3">
      <c r="CY8752" s="34" t="s">
        <v>9679</v>
      </c>
      <c r="CZ8752" s="35">
        <v>5.1123666599999999E-2</v>
      </c>
    </row>
    <row r="8753" spans="103:104" x14ac:dyDescent="0.3">
      <c r="CY8753" s="34" t="s">
        <v>9680</v>
      </c>
      <c r="CZ8753" s="35">
        <v>0.213331984</v>
      </c>
    </row>
    <row r="8754" spans="103:104" x14ac:dyDescent="0.3">
      <c r="CY8754" s="34" t="s">
        <v>9681</v>
      </c>
      <c r="CZ8754" s="35">
        <v>1.8503400000000003E-2</v>
      </c>
    </row>
    <row r="8755" spans="103:104" x14ac:dyDescent="0.3">
      <c r="CY8755" s="34" t="s">
        <v>9682</v>
      </c>
      <c r="CZ8755" s="35">
        <v>1.1086844799999998E-3</v>
      </c>
    </row>
    <row r="8756" spans="103:104" x14ac:dyDescent="0.3">
      <c r="CY8756" s="34" t="s">
        <v>9683</v>
      </c>
      <c r="CZ8756" s="35">
        <v>1.0365146666666668E-2</v>
      </c>
    </row>
    <row r="8757" spans="103:104" x14ac:dyDescent="0.3">
      <c r="CY8757" s="34" t="s">
        <v>9684</v>
      </c>
      <c r="CZ8757" s="35">
        <v>4.24263E-2</v>
      </c>
    </row>
    <row r="8758" spans="103:104" x14ac:dyDescent="0.3">
      <c r="CY8758" s="34" t="s">
        <v>9685</v>
      </c>
      <c r="CZ8758" s="35">
        <v>2.652552E-2</v>
      </c>
    </row>
    <row r="8759" spans="103:104" x14ac:dyDescent="0.3">
      <c r="CY8759" s="34" t="s">
        <v>9686</v>
      </c>
      <c r="CZ8759" s="35">
        <v>1.1871066671875E-2</v>
      </c>
    </row>
    <row r="8760" spans="103:104" x14ac:dyDescent="0.3">
      <c r="CY8760" s="34" t="s">
        <v>9687</v>
      </c>
      <c r="CZ8760" s="35">
        <v>3.3924240000000001E-2</v>
      </c>
    </row>
    <row r="8761" spans="103:104" x14ac:dyDescent="0.3">
      <c r="CY8761" s="34" t="s">
        <v>9688</v>
      </c>
      <c r="CZ8761" s="35">
        <v>3.2988900000000002E-2</v>
      </c>
    </row>
    <row r="8762" spans="103:104" x14ac:dyDescent="0.3">
      <c r="CY8762" s="34" t="s">
        <v>9689</v>
      </c>
      <c r="CZ8762" s="35">
        <v>4.5612E-2</v>
      </c>
    </row>
    <row r="8763" spans="103:104" x14ac:dyDescent="0.3">
      <c r="CY8763" s="34" t="s">
        <v>9690</v>
      </c>
      <c r="CZ8763" s="35">
        <v>5.4684000000000003E-2</v>
      </c>
    </row>
    <row r="8764" spans="103:104" x14ac:dyDescent="0.3">
      <c r="CY8764" s="34" t="s">
        <v>9691</v>
      </c>
      <c r="CZ8764" s="35">
        <v>7.4538450000000006E-2</v>
      </c>
    </row>
    <row r="8765" spans="103:104" x14ac:dyDescent="0.3">
      <c r="CY8765" s="34" t="s">
        <v>9692</v>
      </c>
      <c r="CZ8765" s="35">
        <v>0.13234871578947369</v>
      </c>
    </row>
    <row r="8766" spans="103:104" x14ac:dyDescent="0.3">
      <c r="CY8766" s="34" t="s">
        <v>9693</v>
      </c>
      <c r="CZ8766" s="35">
        <v>1.9775093511294122E-2</v>
      </c>
    </row>
    <row r="8767" spans="103:104" x14ac:dyDescent="0.3">
      <c r="CY8767" s="34" t="s">
        <v>9694</v>
      </c>
      <c r="CZ8767" s="35">
        <v>4.4319599999999998E-4</v>
      </c>
    </row>
    <row r="8768" spans="103:104" x14ac:dyDescent="0.3">
      <c r="CY8768" s="34" t="s">
        <v>9695</v>
      </c>
      <c r="CZ8768" s="35">
        <v>5.9729120000000008E-4</v>
      </c>
    </row>
    <row r="8769" spans="103:104" x14ac:dyDescent="0.3">
      <c r="CY8769" s="34" t="s">
        <v>9696</v>
      </c>
      <c r="CZ8769" s="35">
        <v>1.7215880000000003E-2</v>
      </c>
    </row>
    <row r="8770" spans="103:104" x14ac:dyDescent="0.3">
      <c r="CY8770" s="34" t="s">
        <v>9697</v>
      </c>
      <c r="CZ8770" s="35">
        <v>4.0252080000000003E-2</v>
      </c>
    </row>
    <row r="8771" spans="103:104" x14ac:dyDescent="0.3">
      <c r="CY8771" s="34" t="s">
        <v>9698</v>
      </c>
      <c r="CZ8771" s="35">
        <v>4.0252079999999996E-2</v>
      </c>
    </row>
    <row r="8772" spans="103:104" x14ac:dyDescent="0.3">
      <c r="CY8772" s="34" t="s">
        <v>9699</v>
      </c>
      <c r="CZ8772" s="35">
        <v>1.3664004000000002E-3</v>
      </c>
    </row>
    <row r="8773" spans="103:104" x14ac:dyDescent="0.3">
      <c r="CY8773" s="34" t="s">
        <v>9700</v>
      </c>
      <c r="CZ8773" s="35">
        <v>3.6594736000000001E-4</v>
      </c>
    </row>
    <row r="8774" spans="103:104" x14ac:dyDescent="0.3">
      <c r="CY8774" s="34" t="s">
        <v>9701</v>
      </c>
      <c r="CZ8774" s="35">
        <v>3.7457685333333331E-2</v>
      </c>
    </row>
    <row r="8775" spans="103:104" x14ac:dyDescent="0.3">
      <c r="CY8775" s="34" t="s">
        <v>9702</v>
      </c>
      <c r="CZ8775" s="35">
        <v>2.3465280000000001E-3</v>
      </c>
    </row>
    <row r="8776" spans="103:104" x14ac:dyDescent="0.3">
      <c r="CY8776" s="34" t="s">
        <v>9703</v>
      </c>
      <c r="CZ8776" s="35">
        <v>1.9536000000000002E-3</v>
      </c>
    </row>
    <row r="8777" spans="103:104" x14ac:dyDescent="0.3">
      <c r="CY8777" s="34" t="s">
        <v>9704</v>
      </c>
      <c r="CZ8777" s="35">
        <v>1.1734263999999999E-2</v>
      </c>
    </row>
    <row r="8778" spans="103:104" x14ac:dyDescent="0.3">
      <c r="CY8778" s="34" t="s">
        <v>9705</v>
      </c>
      <c r="CZ8778" s="35">
        <v>2.61576E-2</v>
      </c>
    </row>
    <row r="8779" spans="103:104" x14ac:dyDescent="0.3">
      <c r="CY8779" s="34" t="s">
        <v>9706</v>
      </c>
      <c r="CZ8779" s="35">
        <v>2.6165599999999997E-2</v>
      </c>
    </row>
    <row r="8780" spans="103:104" x14ac:dyDescent="0.3">
      <c r="CY8780" s="34" t="s">
        <v>9707</v>
      </c>
      <c r="CZ8780" s="35">
        <v>1.1323240000000002E-2</v>
      </c>
    </row>
    <row r="8781" spans="103:104" x14ac:dyDescent="0.3">
      <c r="CY8781" s="34" t="s">
        <v>9708</v>
      </c>
      <c r="CZ8781" s="35">
        <v>2.3041720000000002E-2</v>
      </c>
    </row>
    <row r="8782" spans="103:104" x14ac:dyDescent="0.3">
      <c r="CY8782" s="34" t="s">
        <v>9709</v>
      </c>
      <c r="CZ8782" s="35">
        <v>2.3181720000000003E-2</v>
      </c>
    </row>
    <row r="8783" spans="103:104" x14ac:dyDescent="0.3">
      <c r="CY8783" s="34" t="s">
        <v>9710</v>
      </c>
      <c r="CZ8783" s="35">
        <v>1.8393920000000005E-2</v>
      </c>
    </row>
    <row r="8784" spans="103:104" x14ac:dyDescent="0.3">
      <c r="CY8784" s="34" t="s">
        <v>9711</v>
      </c>
      <c r="CZ8784" s="35">
        <v>3.725565333335E-2</v>
      </c>
    </row>
    <row r="8785" spans="103:104" x14ac:dyDescent="0.3">
      <c r="CY8785" s="34" t="s">
        <v>9712</v>
      </c>
      <c r="CZ8785" s="35">
        <v>0.12642800000000001</v>
      </c>
    </row>
    <row r="8786" spans="103:104" x14ac:dyDescent="0.3">
      <c r="CY8786" s="34" t="s">
        <v>9713</v>
      </c>
      <c r="CZ8786" s="35">
        <v>8.1619640000000007E-3</v>
      </c>
    </row>
    <row r="8787" spans="103:104" x14ac:dyDescent="0.3">
      <c r="CY8787" s="34" t="s">
        <v>9714</v>
      </c>
      <c r="CZ8787" s="35">
        <v>4.1949800000000001E-3</v>
      </c>
    </row>
    <row r="8788" spans="103:104" x14ac:dyDescent="0.3">
      <c r="CY8788" s="34" t="s">
        <v>9715</v>
      </c>
      <c r="CZ8788" s="35">
        <v>0.18939039999999999</v>
      </c>
    </row>
    <row r="8789" spans="103:104" x14ac:dyDescent="0.3">
      <c r="CY8789" s="34" t="s">
        <v>9716</v>
      </c>
      <c r="CZ8789" s="35">
        <v>2.772428E-2</v>
      </c>
    </row>
    <row r="8790" spans="103:104" x14ac:dyDescent="0.3">
      <c r="CY8790" s="34" t="s">
        <v>9717</v>
      </c>
      <c r="CZ8790" s="35">
        <v>1.6748066666666668E-3</v>
      </c>
    </row>
    <row r="8791" spans="103:104" x14ac:dyDescent="0.3">
      <c r="CY8791" s="34" t="s">
        <v>9718</v>
      </c>
      <c r="CZ8791" s="35">
        <v>1.1462063675E-2</v>
      </c>
    </row>
    <row r="8792" spans="103:104" x14ac:dyDescent="0.3">
      <c r="CY8792" s="34" t="s">
        <v>9719</v>
      </c>
      <c r="CZ8792" s="35">
        <v>4.713088E-2</v>
      </c>
    </row>
    <row r="8793" spans="103:104" x14ac:dyDescent="0.3">
      <c r="CY8793" s="34" t="s">
        <v>9720</v>
      </c>
      <c r="CZ8793" s="35">
        <v>4.713088E-2</v>
      </c>
    </row>
    <row r="8794" spans="103:104" x14ac:dyDescent="0.3">
      <c r="CY8794" s="34" t="s">
        <v>9721</v>
      </c>
      <c r="CZ8794" s="35">
        <v>2.6610234666666666E-2</v>
      </c>
    </row>
    <row r="8795" spans="103:104" x14ac:dyDescent="0.3">
      <c r="CY8795" s="34" t="s">
        <v>9722</v>
      </c>
      <c r="CZ8795" s="35">
        <v>3.7073249999999995E-2</v>
      </c>
    </row>
    <row r="8796" spans="103:104" x14ac:dyDescent="0.3">
      <c r="CY8796" s="34" t="s">
        <v>9723</v>
      </c>
      <c r="CZ8796" s="35">
        <v>1.8476031999999996E-2</v>
      </c>
    </row>
    <row r="8797" spans="103:104" x14ac:dyDescent="0.3">
      <c r="CY8797" s="34" t="s">
        <v>9724</v>
      </c>
      <c r="CZ8797" s="35">
        <v>5.0899600000000006E-4</v>
      </c>
    </row>
    <row r="8798" spans="103:104" x14ac:dyDescent="0.3">
      <c r="CY8798" s="34" t="s">
        <v>9725</v>
      </c>
      <c r="CZ8798" s="35">
        <v>3.2356000000000003E-2</v>
      </c>
    </row>
    <row r="8799" spans="103:104" x14ac:dyDescent="0.3">
      <c r="CY8799" s="34" t="s">
        <v>9726</v>
      </c>
      <c r="CZ8799" s="35">
        <v>5.6070787280000006E-2</v>
      </c>
    </row>
    <row r="8800" spans="103:104" x14ac:dyDescent="0.3">
      <c r="CY8800" s="34" t="s">
        <v>9727</v>
      </c>
      <c r="CZ8800" s="35">
        <v>2.7860272E-3</v>
      </c>
    </row>
    <row r="8801" spans="103:104" x14ac:dyDescent="0.3">
      <c r="CY8801" s="34" t="s">
        <v>9728</v>
      </c>
      <c r="CZ8801" s="35">
        <v>9.1612199999999991E-2</v>
      </c>
    </row>
    <row r="8802" spans="103:104" x14ac:dyDescent="0.3">
      <c r="CY8802" s="34" t="s">
        <v>9729</v>
      </c>
      <c r="CZ8802" s="35">
        <v>2.360015E-3</v>
      </c>
    </row>
    <row r="8803" spans="103:104" x14ac:dyDescent="0.3">
      <c r="CY8803" s="34" t="s">
        <v>9730</v>
      </c>
      <c r="CZ8803" s="35">
        <v>1.009448E-3</v>
      </c>
    </row>
    <row r="8804" spans="103:104" x14ac:dyDescent="0.3">
      <c r="CY8804" s="34" t="s">
        <v>9731</v>
      </c>
      <c r="CZ8804" s="35">
        <v>9.3365439999999987E-3</v>
      </c>
    </row>
    <row r="8805" spans="103:104" x14ac:dyDescent="0.3">
      <c r="CY8805" s="34" t="s">
        <v>9732</v>
      </c>
      <c r="CZ8805" s="35">
        <v>0.19036919999999999</v>
      </c>
    </row>
    <row r="8806" spans="103:104" x14ac:dyDescent="0.3">
      <c r="CY8806" s="34" t="s">
        <v>9733</v>
      </c>
      <c r="CZ8806" s="35">
        <v>0.25064344</v>
      </c>
    </row>
    <row r="8807" spans="103:104" x14ac:dyDescent="0.3">
      <c r="CY8807" s="34" t="s">
        <v>9734</v>
      </c>
      <c r="CZ8807" s="35">
        <v>1.0028544E-2</v>
      </c>
    </row>
    <row r="8808" spans="103:104" x14ac:dyDescent="0.3">
      <c r="CY8808" s="34" t="s">
        <v>9735</v>
      </c>
      <c r="CZ8808" s="35">
        <v>8.4452880000000004E-3</v>
      </c>
    </row>
    <row r="8809" spans="103:104" x14ac:dyDescent="0.3">
      <c r="CY8809" s="34" t="s">
        <v>9736</v>
      </c>
      <c r="CZ8809" s="35">
        <v>1.9640479999999998E-2</v>
      </c>
    </row>
    <row r="8810" spans="103:104" x14ac:dyDescent="0.3">
      <c r="CY8810" s="34" t="s">
        <v>9737</v>
      </c>
      <c r="CZ8810" s="35">
        <v>3.0054832E-2</v>
      </c>
    </row>
    <row r="8811" spans="103:104" x14ac:dyDescent="0.3">
      <c r="CY8811" s="34" t="s">
        <v>9738</v>
      </c>
      <c r="CZ8811" s="35">
        <v>4.3248559999999998E-2</v>
      </c>
    </row>
    <row r="8812" spans="103:104" x14ac:dyDescent="0.3">
      <c r="CY8812" s="34" t="s">
        <v>9739</v>
      </c>
      <c r="CZ8812" s="35">
        <v>2.8905480000000001E-2</v>
      </c>
    </row>
    <row r="8813" spans="103:104" x14ac:dyDescent="0.3">
      <c r="CY8813" s="34" t="s">
        <v>9740</v>
      </c>
      <c r="CZ8813" s="35">
        <v>7.2788299999999986E-2</v>
      </c>
    </row>
    <row r="8814" spans="103:104" x14ac:dyDescent="0.3">
      <c r="CY8814" s="34" t="s">
        <v>9741</v>
      </c>
      <c r="CZ8814" s="35">
        <v>2.2913280000000001E-2</v>
      </c>
    </row>
    <row r="8815" spans="103:104" x14ac:dyDescent="0.3">
      <c r="CY8815" s="34" t="s">
        <v>9742</v>
      </c>
      <c r="CZ8815" s="35">
        <v>5.1172800000000003E-4</v>
      </c>
    </row>
    <row r="8816" spans="103:104" x14ac:dyDescent="0.3">
      <c r="CY8816" s="34" t="s">
        <v>9743</v>
      </c>
      <c r="CZ8816" s="35">
        <v>5.4142800000000005E-4</v>
      </c>
    </row>
    <row r="8817" spans="103:104" x14ac:dyDescent="0.3">
      <c r="CY8817" s="34" t="s">
        <v>9744</v>
      </c>
      <c r="CZ8817" s="35">
        <v>2.0212819999999999E-2</v>
      </c>
    </row>
    <row r="8818" spans="103:104" x14ac:dyDescent="0.3">
      <c r="CY8818" s="34" t="s">
        <v>9745</v>
      </c>
      <c r="CZ8818" s="35">
        <v>1.0546053333333333E-3</v>
      </c>
    </row>
    <row r="8819" spans="103:104" x14ac:dyDescent="0.3">
      <c r="CY8819" s="34" t="s">
        <v>9746</v>
      </c>
      <c r="CZ8819" s="35">
        <v>1.5619711999999999E-2</v>
      </c>
    </row>
    <row r="8820" spans="103:104" x14ac:dyDescent="0.3">
      <c r="CY8820" s="34" t="s">
        <v>9747</v>
      </c>
      <c r="CZ8820" s="35">
        <v>3.6257320000000003E-2</v>
      </c>
    </row>
    <row r="8821" spans="103:104" x14ac:dyDescent="0.3">
      <c r="CY8821" s="34" t="s">
        <v>9748</v>
      </c>
      <c r="CZ8821" s="35">
        <v>5.5552360000000003E-4</v>
      </c>
    </row>
    <row r="8822" spans="103:104" x14ac:dyDescent="0.3">
      <c r="CY8822" s="34" t="s">
        <v>9749</v>
      </c>
      <c r="CZ8822" s="35">
        <v>4.8790527999999998E-4</v>
      </c>
    </row>
    <row r="8823" spans="103:104" x14ac:dyDescent="0.3">
      <c r="CY8823" s="34" t="s">
        <v>9750</v>
      </c>
      <c r="CZ8823" s="35">
        <v>4.31636E-4</v>
      </c>
    </row>
    <row r="8824" spans="103:104" x14ac:dyDescent="0.3">
      <c r="CY8824" s="34" t="s">
        <v>9751</v>
      </c>
      <c r="CZ8824" s="35">
        <v>4.597472E-4</v>
      </c>
    </row>
    <row r="8825" spans="103:104" x14ac:dyDescent="0.3">
      <c r="CY8825" s="34" t="s">
        <v>9752</v>
      </c>
      <c r="CZ8825" s="35">
        <v>2.0130346666666666E-4</v>
      </c>
    </row>
    <row r="8826" spans="103:104" x14ac:dyDescent="0.3">
      <c r="CY8826" s="34" t="s">
        <v>9753</v>
      </c>
      <c r="CZ8826" s="35">
        <v>4.75988E-4</v>
      </c>
    </row>
    <row r="8827" spans="103:104" x14ac:dyDescent="0.3">
      <c r="CY8827" s="34" t="s">
        <v>9754</v>
      </c>
      <c r="CZ8827" s="35">
        <v>8.4405919999999994E-4</v>
      </c>
    </row>
    <row r="8828" spans="103:104" x14ac:dyDescent="0.3">
      <c r="CY8828" s="34" t="s">
        <v>9755</v>
      </c>
      <c r="CZ8828" s="35">
        <v>7.5981200000000001E-4</v>
      </c>
    </row>
    <row r="8829" spans="103:104" x14ac:dyDescent="0.3">
      <c r="CY8829" s="34" t="s">
        <v>9756</v>
      </c>
      <c r="CZ8829" s="35">
        <v>4.1240640000000006E-4</v>
      </c>
    </row>
    <row r="8830" spans="103:104" x14ac:dyDescent="0.3">
      <c r="CY8830" s="34" t="s">
        <v>9757</v>
      </c>
      <c r="CZ8830" s="35">
        <v>2.1156680000000001E-2</v>
      </c>
    </row>
    <row r="8831" spans="103:104" x14ac:dyDescent="0.3">
      <c r="CY8831" s="34" t="s">
        <v>9758</v>
      </c>
      <c r="CZ8831" s="35">
        <v>1.7069429283333333E-2</v>
      </c>
    </row>
    <row r="8832" spans="103:104" x14ac:dyDescent="0.3">
      <c r="CY8832" s="34" t="s">
        <v>9759</v>
      </c>
      <c r="CZ8832" s="35">
        <v>2.425404923076923E-3</v>
      </c>
    </row>
    <row r="8833" spans="103:104" x14ac:dyDescent="0.3">
      <c r="CY8833" s="34" t="s">
        <v>9760</v>
      </c>
      <c r="CZ8833" s="35">
        <v>5.8041760000000003E-3</v>
      </c>
    </row>
    <row r="8834" spans="103:104" x14ac:dyDescent="0.3">
      <c r="CY8834" s="34" t="s">
        <v>9761</v>
      </c>
      <c r="CZ8834" s="35">
        <v>3.5771559999999994E-2</v>
      </c>
    </row>
    <row r="8835" spans="103:104" x14ac:dyDescent="0.3">
      <c r="CY8835" s="34" t="s">
        <v>9762</v>
      </c>
      <c r="CZ8835" s="35">
        <v>3.431712E-2</v>
      </c>
    </row>
    <row r="8836" spans="103:104" x14ac:dyDescent="0.3">
      <c r="CY8836" s="34" t="s">
        <v>9763</v>
      </c>
      <c r="CZ8836" s="35">
        <v>1.025573867E-2</v>
      </c>
    </row>
    <row r="8837" spans="103:104" x14ac:dyDescent="0.3">
      <c r="CY8837" s="34" t="s">
        <v>9764</v>
      </c>
      <c r="CZ8837" s="35">
        <v>8.7677600000000012E-3</v>
      </c>
    </row>
    <row r="8838" spans="103:104" x14ac:dyDescent="0.3">
      <c r="CY8838" s="34" t="s">
        <v>9765</v>
      </c>
      <c r="CZ8838" s="35">
        <v>5.5628459999999998E-3</v>
      </c>
    </row>
    <row r="8839" spans="103:104" x14ac:dyDescent="0.3">
      <c r="CY8839" s="34" t="s">
        <v>9766</v>
      </c>
      <c r="CZ8839" s="35">
        <v>2.226128E-3</v>
      </c>
    </row>
    <row r="8840" spans="103:104" x14ac:dyDescent="0.3">
      <c r="CY8840" s="34" t="s">
        <v>9767</v>
      </c>
      <c r="CZ8840" s="35">
        <v>9.1440000000000011E-4</v>
      </c>
    </row>
    <row r="8841" spans="103:104" x14ac:dyDescent="0.3">
      <c r="CY8841" s="34" t="s">
        <v>9768</v>
      </c>
      <c r="CZ8841" s="35">
        <v>1.5608799999999999E-3</v>
      </c>
    </row>
    <row r="8842" spans="103:104" x14ac:dyDescent="0.3">
      <c r="CY8842" s="34" t="s">
        <v>9769</v>
      </c>
      <c r="CZ8842" s="35">
        <v>5.5332319999999997E-2</v>
      </c>
    </row>
    <row r="8843" spans="103:104" x14ac:dyDescent="0.3">
      <c r="CY8843" s="34" t="s">
        <v>9770</v>
      </c>
      <c r="CZ8843" s="35">
        <v>2.177753E-2</v>
      </c>
    </row>
    <row r="8844" spans="103:104" x14ac:dyDescent="0.3">
      <c r="CY8844" s="34" t="s">
        <v>9771</v>
      </c>
      <c r="CZ8844" s="35">
        <v>9.9156800000000014E-3</v>
      </c>
    </row>
    <row r="8845" spans="103:104" x14ac:dyDescent="0.3">
      <c r="CY8845" s="34" t="s">
        <v>9772</v>
      </c>
      <c r="CZ8845" s="35">
        <v>1.1123744000000001E-2</v>
      </c>
    </row>
    <row r="8846" spans="103:104" x14ac:dyDescent="0.3">
      <c r="CY8846" s="34" t="s">
        <v>9773</v>
      </c>
      <c r="CZ8846" s="35">
        <v>9.9156800000000014E-3</v>
      </c>
    </row>
    <row r="8847" spans="103:104" x14ac:dyDescent="0.3">
      <c r="CY8847" s="34" t="s">
        <v>9774</v>
      </c>
      <c r="CZ8847" s="35">
        <v>4.9234320000000002E-3</v>
      </c>
    </row>
    <row r="8848" spans="103:104" x14ac:dyDescent="0.3">
      <c r="CY8848" s="34" t="s">
        <v>9775</v>
      </c>
      <c r="CZ8848" s="35">
        <v>9.7570582499999995E-4</v>
      </c>
    </row>
    <row r="8849" spans="103:104" x14ac:dyDescent="0.3">
      <c r="CY8849" s="34" t="s">
        <v>9776</v>
      </c>
      <c r="CZ8849" s="35">
        <v>8.3099439999999997E-3</v>
      </c>
    </row>
    <row r="8850" spans="103:104" x14ac:dyDescent="0.3">
      <c r="CY8850" s="34" t="s">
        <v>9777</v>
      </c>
      <c r="CZ8850" s="35">
        <v>9.3994480000000012E-3</v>
      </c>
    </row>
    <row r="8851" spans="103:104" x14ac:dyDescent="0.3">
      <c r="CY8851" s="34" t="s">
        <v>9778</v>
      </c>
      <c r="CZ8851" s="35">
        <v>7.2224000000000003E-3</v>
      </c>
    </row>
    <row r="8852" spans="103:104" x14ac:dyDescent="0.3">
      <c r="CY8852" s="34" t="s">
        <v>9779</v>
      </c>
      <c r="CZ8852" s="35">
        <v>1.7110383999999999E-3</v>
      </c>
    </row>
    <row r="8853" spans="103:104" x14ac:dyDescent="0.3">
      <c r="CY8853" s="34" t="s">
        <v>9780</v>
      </c>
      <c r="CZ8853" s="35">
        <v>6.4010637866666664E-2</v>
      </c>
    </row>
    <row r="8854" spans="103:104" x14ac:dyDescent="0.3">
      <c r="CY8854" s="34" t="s">
        <v>9781</v>
      </c>
      <c r="CZ8854" s="35">
        <v>0.31963010000000003</v>
      </c>
    </row>
    <row r="8855" spans="103:104" x14ac:dyDescent="0.3">
      <c r="CY8855" s="34" t="s">
        <v>9782</v>
      </c>
      <c r="CZ8855" s="35">
        <v>1.3129139999999999E-3</v>
      </c>
    </row>
    <row r="8856" spans="103:104" x14ac:dyDescent="0.3">
      <c r="CY8856" s="34" t="s">
        <v>9783</v>
      </c>
      <c r="CZ8856" s="35">
        <v>5.2727039999999996E-4</v>
      </c>
    </row>
    <row r="8857" spans="103:104" x14ac:dyDescent="0.3">
      <c r="CY8857" s="34" t="s">
        <v>9784</v>
      </c>
      <c r="CZ8857" s="35">
        <v>6.7043382857500007E-4</v>
      </c>
    </row>
    <row r="8858" spans="103:104" x14ac:dyDescent="0.3">
      <c r="CY8858" s="34" t="s">
        <v>9785</v>
      </c>
      <c r="CZ8858" s="35">
        <v>6.1276880000000003E-4</v>
      </c>
    </row>
    <row r="8859" spans="103:104" x14ac:dyDescent="0.3">
      <c r="CY8859" s="34" t="s">
        <v>9786</v>
      </c>
      <c r="CZ8859" s="35">
        <v>6.522368E-4</v>
      </c>
    </row>
    <row r="8860" spans="103:104" x14ac:dyDescent="0.3">
      <c r="CY8860" s="34" t="s">
        <v>9787</v>
      </c>
      <c r="CZ8860" s="35">
        <v>6.4108800000000005E-4</v>
      </c>
    </row>
    <row r="8861" spans="103:104" x14ac:dyDescent="0.3">
      <c r="CY8861" s="34" t="s">
        <v>9788</v>
      </c>
      <c r="CZ8861" s="35">
        <v>6.4108800000000005E-4</v>
      </c>
    </row>
    <row r="8862" spans="103:104" x14ac:dyDescent="0.3">
      <c r="CY8862" s="34" t="s">
        <v>9789</v>
      </c>
      <c r="CZ8862" s="35">
        <v>1.7891146699999999E-2</v>
      </c>
    </row>
    <row r="8863" spans="103:104" x14ac:dyDescent="0.3">
      <c r="CY8863" s="34" t="s">
        <v>9790</v>
      </c>
      <c r="CZ8863" s="35">
        <v>0.28788320000000001</v>
      </c>
    </row>
    <row r="8864" spans="103:104" x14ac:dyDescent="0.3">
      <c r="CY8864" s="34" t="s">
        <v>9791</v>
      </c>
      <c r="CZ8864" s="35">
        <v>0.12200799999999999</v>
      </c>
    </row>
    <row r="8865" spans="103:104" x14ac:dyDescent="0.3">
      <c r="CY8865" s="34" t="s">
        <v>9792</v>
      </c>
      <c r="CZ8865" s="35">
        <v>0.1053082333</v>
      </c>
    </row>
    <row r="8866" spans="103:104" x14ac:dyDescent="0.3">
      <c r="CY8866" s="34" t="s">
        <v>9793</v>
      </c>
      <c r="CZ8866" s="35">
        <v>1.2156703999999999E-2</v>
      </c>
    </row>
    <row r="8867" spans="103:104" x14ac:dyDescent="0.3">
      <c r="CY8867" s="34" t="s">
        <v>9794</v>
      </c>
      <c r="CZ8867" s="35">
        <v>1.2923546666666667E-2</v>
      </c>
    </row>
    <row r="8868" spans="103:104" x14ac:dyDescent="0.3">
      <c r="CY8868" s="34" t="s">
        <v>9795</v>
      </c>
      <c r="CZ8868" s="35">
        <v>1.390952E-2</v>
      </c>
    </row>
    <row r="8869" spans="103:104" x14ac:dyDescent="0.3">
      <c r="CY8869" s="34" t="s">
        <v>9796</v>
      </c>
      <c r="CZ8869" s="35">
        <v>0.12317062000000001</v>
      </c>
    </row>
    <row r="8870" spans="103:104" x14ac:dyDescent="0.3">
      <c r="CY8870" s="34" t="s">
        <v>9797</v>
      </c>
      <c r="CZ8870" s="35">
        <v>0.10272147999999999</v>
      </c>
    </row>
    <row r="8871" spans="103:104" x14ac:dyDescent="0.3">
      <c r="CY8871" s="34" t="s">
        <v>9798</v>
      </c>
      <c r="CZ8871" s="35">
        <v>3.7011679999999998E-2</v>
      </c>
    </row>
    <row r="8872" spans="103:104" x14ac:dyDescent="0.3">
      <c r="CY8872" s="34" t="s">
        <v>9799</v>
      </c>
      <c r="CZ8872" s="35">
        <v>4.6794379999999993E-3</v>
      </c>
    </row>
    <row r="8873" spans="103:104" x14ac:dyDescent="0.3">
      <c r="CY8873" s="34" t="s">
        <v>9800</v>
      </c>
      <c r="CZ8873" s="35">
        <v>1.4481679999999999E-2</v>
      </c>
    </row>
    <row r="8874" spans="103:104" x14ac:dyDescent="0.3">
      <c r="CY8874" s="34" t="s">
        <v>9801</v>
      </c>
      <c r="CZ8874" s="35">
        <v>1.7846399999999998E-2</v>
      </c>
    </row>
    <row r="8875" spans="103:104" x14ac:dyDescent="0.3">
      <c r="CY8875" s="34" t="s">
        <v>9802</v>
      </c>
      <c r="CZ8875" s="35">
        <v>1.2958879999999999E-2</v>
      </c>
    </row>
    <row r="8876" spans="103:104" x14ac:dyDescent="0.3">
      <c r="CY8876" s="34" t="s">
        <v>9803</v>
      </c>
      <c r="CZ8876" s="35">
        <v>2.6540599999999999E-4</v>
      </c>
    </row>
    <row r="8877" spans="103:104" x14ac:dyDescent="0.3">
      <c r="CY8877" s="34" t="s">
        <v>9804</v>
      </c>
      <c r="CZ8877" s="35">
        <v>8.091781818181816E-2</v>
      </c>
    </row>
    <row r="8878" spans="103:104" x14ac:dyDescent="0.3">
      <c r="CY8878" s="34" t="s">
        <v>9805</v>
      </c>
      <c r="CZ8878" s="35">
        <v>4.245490670000001E-3</v>
      </c>
    </row>
    <row r="8879" spans="103:104" x14ac:dyDescent="0.3">
      <c r="CY8879" s="34" t="s">
        <v>9806</v>
      </c>
      <c r="CZ8879" s="35">
        <v>1.1814064000000001E-2</v>
      </c>
    </row>
    <row r="8880" spans="103:104" x14ac:dyDescent="0.3">
      <c r="CY8880" s="34" t="s">
        <v>9807</v>
      </c>
      <c r="CZ8880" s="35">
        <v>0.21072200000000002</v>
      </c>
    </row>
    <row r="8881" spans="103:104" x14ac:dyDescent="0.3">
      <c r="CY8881" s="34" t="s">
        <v>9808</v>
      </c>
      <c r="CZ8881" s="35">
        <v>0.18549299999999999</v>
      </c>
    </row>
    <row r="8882" spans="103:104" x14ac:dyDescent="0.3">
      <c r="CY8882" s="34" t="s">
        <v>9809</v>
      </c>
      <c r="CZ8882" s="35">
        <v>0.12739340000000002</v>
      </c>
    </row>
    <row r="8883" spans="103:104" x14ac:dyDescent="0.3">
      <c r="CY8883" s="34" t="s">
        <v>9810</v>
      </c>
      <c r="CZ8883" s="35">
        <v>5.5950239999999997E-3</v>
      </c>
    </row>
    <row r="8884" spans="103:104" x14ac:dyDescent="0.3">
      <c r="CY8884" s="34" t="s">
        <v>9811</v>
      </c>
      <c r="CZ8884" s="35">
        <v>2.4850604444444441E-2</v>
      </c>
    </row>
    <row r="8885" spans="103:104" x14ac:dyDescent="0.3">
      <c r="CY8885" s="34" t="s">
        <v>9812</v>
      </c>
      <c r="CZ8885" s="35">
        <v>9.1712000000000002E-2</v>
      </c>
    </row>
    <row r="8886" spans="103:104" x14ac:dyDescent="0.3">
      <c r="CY8886" s="34" t="s">
        <v>9813</v>
      </c>
      <c r="CZ8886" s="35">
        <v>3.9413400000000001E-2</v>
      </c>
    </row>
    <row r="8887" spans="103:104" x14ac:dyDescent="0.3">
      <c r="CY8887" s="34" t="s">
        <v>9814</v>
      </c>
      <c r="CZ8887" s="35">
        <v>1.4110080000000001E-3</v>
      </c>
    </row>
    <row r="8888" spans="103:104" x14ac:dyDescent="0.3">
      <c r="CY8888" s="34" t="s">
        <v>9815</v>
      </c>
      <c r="CZ8888" s="35">
        <v>9.2652320000000013E-4</v>
      </c>
    </row>
    <row r="8889" spans="103:104" x14ac:dyDescent="0.3">
      <c r="CY8889" s="34" t="s">
        <v>9816</v>
      </c>
      <c r="CZ8889" s="35">
        <v>1.6703519999999999E-3</v>
      </c>
    </row>
    <row r="8890" spans="103:104" x14ac:dyDescent="0.3">
      <c r="CY8890" s="34" t="s">
        <v>9817</v>
      </c>
      <c r="CZ8890" s="35">
        <v>1.5126880000000001E-3</v>
      </c>
    </row>
    <row r="8891" spans="103:104" x14ac:dyDescent="0.3">
      <c r="CY8891" s="34" t="s">
        <v>9818</v>
      </c>
      <c r="CZ8891" s="35">
        <v>4.3562960000000005E-2</v>
      </c>
    </row>
    <row r="8892" spans="103:104" x14ac:dyDescent="0.3">
      <c r="CY8892" s="34" t="s">
        <v>9819</v>
      </c>
      <c r="CZ8892" s="35">
        <v>0.13239593599999999</v>
      </c>
    </row>
    <row r="8893" spans="103:104" x14ac:dyDescent="0.3">
      <c r="CY8893" s="34" t="s">
        <v>9820</v>
      </c>
      <c r="CZ8893" s="35">
        <v>5.1489040000000002E-3</v>
      </c>
    </row>
    <row r="8894" spans="103:104" x14ac:dyDescent="0.3">
      <c r="CY8894" s="34" t="s">
        <v>9821</v>
      </c>
      <c r="CZ8894" s="35">
        <v>9.9547400000000008E-2</v>
      </c>
    </row>
    <row r="8895" spans="103:104" x14ac:dyDescent="0.3">
      <c r="CY8895" s="34" t="s">
        <v>9822</v>
      </c>
      <c r="CZ8895" s="35">
        <v>5.5758962599999993E-4</v>
      </c>
    </row>
    <row r="8896" spans="103:104" x14ac:dyDescent="0.3">
      <c r="CY8896" s="34" t="s">
        <v>9823</v>
      </c>
      <c r="CZ8896" s="35">
        <v>5.8113119999999999E-4</v>
      </c>
    </row>
    <row r="8897" spans="103:104" x14ac:dyDescent="0.3">
      <c r="CY8897" s="34" t="s">
        <v>9824</v>
      </c>
      <c r="CZ8897" s="35">
        <v>2.1665781333333335E-2</v>
      </c>
    </row>
    <row r="8898" spans="103:104" x14ac:dyDescent="0.3">
      <c r="CY8898" s="34" t="s">
        <v>9825</v>
      </c>
      <c r="CZ8898" s="35">
        <v>0.21780815382352939</v>
      </c>
    </row>
    <row r="8899" spans="103:104" x14ac:dyDescent="0.3">
      <c r="CY8899" s="34" t="s">
        <v>9826</v>
      </c>
      <c r="CZ8899" s="35">
        <v>2.2148088E-2</v>
      </c>
    </row>
    <row r="8900" spans="103:104" x14ac:dyDescent="0.3">
      <c r="CY8900" s="34" t="s">
        <v>9827</v>
      </c>
      <c r="CZ8900" s="35">
        <v>8.738058823529413E-3</v>
      </c>
    </row>
    <row r="8901" spans="103:104" x14ac:dyDescent="0.3">
      <c r="CY8901" s="34" t="s">
        <v>9828</v>
      </c>
      <c r="CZ8901" s="35">
        <v>5.587309599999999E-2</v>
      </c>
    </row>
    <row r="8902" spans="103:104" x14ac:dyDescent="0.3">
      <c r="CY8902" s="34" t="s">
        <v>9829</v>
      </c>
      <c r="CZ8902" s="35">
        <v>3.9306520000000005E-2</v>
      </c>
    </row>
    <row r="8903" spans="103:104" x14ac:dyDescent="0.3">
      <c r="CY8903" s="34" t="s">
        <v>9830</v>
      </c>
      <c r="CZ8903" s="35">
        <v>1.4127799999999998E-2</v>
      </c>
    </row>
    <row r="8904" spans="103:104" x14ac:dyDescent="0.3">
      <c r="CY8904" s="34" t="s">
        <v>9831</v>
      </c>
      <c r="CZ8904" s="35">
        <v>1.9022634639999998E-3</v>
      </c>
    </row>
    <row r="8905" spans="103:104" x14ac:dyDescent="0.3">
      <c r="CY8905" s="34" t="s">
        <v>9832</v>
      </c>
      <c r="CZ8905" s="35">
        <v>2.6685344E-2</v>
      </c>
    </row>
    <row r="8906" spans="103:104" x14ac:dyDescent="0.3">
      <c r="CY8906" s="34" t="s">
        <v>9833</v>
      </c>
      <c r="CZ8906" s="35">
        <v>3.4519840000000003E-2</v>
      </c>
    </row>
    <row r="8907" spans="103:104" x14ac:dyDescent="0.3">
      <c r="CY8907" s="34" t="s">
        <v>9834</v>
      </c>
      <c r="CZ8907" s="35">
        <v>2.5731823999999997E-2</v>
      </c>
    </row>
    <row r="8908" spans="103:104" x14ac:dyDescent="0.3">
      <c r="CY8908" s="34" t="s">
        <v>9835</v>
      </c>
      <c r="CZ8908" s="35">
        <v>3.099206494117647E-2</v>
      </c>
    </row>
    <row r="8909" spans="103:104" x14ac:dyDescent="0.3">
      <c r="CY8909" s="34" t="s">
        <v>9836</v>
      </c>
      <c r="CZ8909" s="35">
        <v>3.6915684705882357E-2</v>
      </c>
    </row>
    <row r="8910" spans="103:104" x14ac:dyDescent="0.3">
      <c r="CY8910" s="34" t="s">
        <v>9837</v>
      </c>
      <c r="CZ8910" s="35">
        <v>2.893670399999999E-2</v>
      </c>
    </row>
    <row r="8911" spans="103:104" x14ac:dyDescent="0.3">
      <c r="CY8911" s="34" t="s">
        <v>9838</v>
      </c>
      <c r="CZ8911" s="35">
        <v>2.7480665000000001E-2</v>
      </c>
    </row>
    <row r="8912" spans="103:104" x14ac:dyDescent="0.3">
      <c r="CY8912" s="34" t="s">
        <v>9839</v>
      </c>
      <c r="CZ8912" s="35">
        <v>2.7221830769230768E-2</v>
      </c>
    </row>
    <row r="8913" spans="103:104" x14ac:dyDescent="0.3">
      <c r="CY8913" s="34" t="s">
        <v>9840</v>
      </c>
      <c r="CZ8913" s="35">
        <v>2.6807695999999999E-2</v>
      </c>
    </row>
    <row r="8914" spans="103:104" x14ac:dyDescent="0.3">
      <c r="CY8914" s="34" t="s">
        <v>9841</v>
      </c>
      <c r="CZ8914" s="35">
        <v>3.1730885E-2</v>
      </c>
    </row>
    <row r="8915" spans="103:104" x14ac:dyDescent="0.3">
      <c r="CY8915" s="34" t="s">
        <v>9842</v>
      </c>
      <c r="CZ8915" s="35">
        <v>2.617804E-2</v>
      </c>
    </row>
    <row r="8916" spans="103:104" x14ac:dyDescent="0.3">
      <c r="CY8916" s="34" t="s">
        <v>9843</v>
      </c>
      <c r="CZ8916" s="35">
        <v>4.2980434999999997E-2</v>
      </c>
    </row>
    <row r="8917" spans="103:104" x14ac:dyDescent="0.3">
      <c r="CY8917" s="34" t="s">
        <v>9844</v>
      </c>
      <c r="CZ8917" s="35">
        <v>4.2980434999999997E-2</v>
      </c>
    </row>
    <row r="8918" spans="103:104" x14ac:dyDescent="0.3">
      <c r="CY8918" s="34" t="s">
        <v>9845</v>
      </c>
      <c r="CZ8918" s="35">
        <v>9.2263659999999997E-3</v>
      </c>
    </row>
    <row r="8919" spans="103:104" x14ac:dyDescent="0.3">
      <c r="CY8919" s="34" t="s">
        <v>9846</v>
      </c>
      <c r="CZ8919" s="35">
        <v>1.009643E-2</v>
      </c>
    </row>
    <row r="8920" spans="103:104" x14ac:dyDescent="0.3">
      <c r="CY8920" s="34" t="s">
        <v>9847</v>
      </c>
      <c r="CZ8920" s="35">
        <v>1.95941E-3</v>
      </c>
    </row>
    <row r="8921" spans="103:104" x14ac:dyDescent="0.3">
      <c r="CY8921" s="34" t="s">
        <v>9848</v>
      </c>
      <c r="CZ8921" s="35">
        <v>1.95941E-3</v>
      </c>
    </row>
    <row r="8922" spans="103:104" x14ac:dyDescent="0.3">
      <c r="CY8922" s="34" t="s">
        <v>9849</v>
      </c>
      <c r="CZ8922" s="35">
        <v>2.70260056E-2</v>
      </c>
    </row>
    <row r="8923" spans="103:104" x14ac:dyDescent="0.3">
      <c r="CY8923" s="34" t="s">
        <v>9850</v>
      </c>
      <c r="CZ8923" s="35">
        <v>9.9558647999999994E-4</v>
      </c>
    </row>
    <row r="8924" spans="103:104" x14ac:dyDescent="0.3">
      <c r="CY8924" s="34" t="s">
        <v>9851</v>
      </c>
      <c r="CZ8924" s="35">
        <v>9.9558647999999994E-4</v>
      </c>
    </row>
    <row r="8925" spans="103:104" x14ac:dyDescent="0.3">
      <c r="CY8925" s="34" t="s">
        <v>9852</v>
      </c>
      <c r="CZ8925" s="35">
        <v>8.1759821999999992E-3</v>
      </c>
    </row>
    <row r="8926" spans="103:104" x14ac:dyDescent="0.3">
      <c r="CY8926" s="34" t="s">
        <v>9853</v>
      </c>
      <c r="CZ8926" s="35">
        <v>8.342648891666667E-3</v>
      </c>
    </row>
    <row r="8927" spans="103:104" x14ac:dyDescent="0.3">
      <c r="CY8927" s="34" t="s">
        <v>9854</v>
      </c>
      <c r="CZ8927" s="35">
        <v>8.342648891666667E-3</v>
      </c>
    </row>
    <row r="8928" spans="103:104" x14ac:dyDescent="0.3">
      <c r="CY8928" s="34" t="s">
        <v>9855</v>
      </c>
      <c r="CZ8928" s="35">
        <v>8.34635255E-3</v>
      </c>
    </row>
    <row r="8929" spans="103:104" x14ac:dyDescent="0.3">
      <c r="CY8929" s="34" t="s">
        <v>9856</v>
      </c>
      <c r="CZ8929" s="35">
        <v>3.2173999999999999E-4</v>
      </c>
    </row>
    <row r="8930" spans="103:104" x14ac:dyDescent="0.3">
      <c r="CY8930" s="34" t="s">
        <v>9857</v>
      </c>
      <c r="CZ8930" s="35">
        <v>3.8319800000000001E-2</v>
      </c>
    </row>
    <row r="8931" spans="103:104" x14ac:dyDescent="0.3">
      <c r="CY8931" s="34" t="s">
        <v>9858</v>
      </c>
      <c r="CZ8931" s="35">
        <v>3.4942749999999998E-3</v>
      </c>
    </row>
    <row r="8932" spans="103:104" x14ac:dyDescent="0.3">
      <c r="CY8932" s="34" t="s">
        <v>9859</v>
      </c>
      <c r="CZ8932" s="35">
        <v>2.6606439999999998E-3</v>
      </c>
    </row>
    <row r="8933" spans="103:104" x14ac:dyDescent="0.3">
      <c r="CY8933" s="34" t="s">
        <v>9860</v>
      </c>
      <c r="CZ8933" s="35">
        <v>2.3740770000000001E-2</v>
      </c>
    </row>
    <row r="8934" spans="103:104" x14ac:dyDescent="0.3">
      <c r="CY8934" s="34" t="s">
        <v>9861</v>
      </c>
      <c r="CZ8934" s="35">
        <v>1.5970272000000001E-2</v>
      </c>
    </row>
    <row r="8935" spans="103:104" x14ac:dyDescent="0.3">
      <c r="CY8935" s="34" t="s">
        <v>9862</v>
      </c>
      <c r="CZ8935" s="35">
        <v>3.0939100000000001E-3</v>
      </c>
    </row>
    <row r="8936" spans="103:104" x14ac:dyDescent="0.3">
      <c r="CY8936" s="34" t="s">
        <v>9863</v>
      </c>
      <c r="CZ8936" s="35">
        <v>8.038112E-3</v>
      </c>
    </row>
    <row r="8937" spans="103:104" x14ac:dyDescent="0.3">
      <c r="CY8937" s="34" t="s">
        <v>9864</v>
      </c>
      <c r="CZ8937" s="35">
        <v>6.3660743609022571E-3</v>
      </c>
    </row>
    <row r="8938" spans="103:104" x14ac:dyDescent="0.3">
      <c r="CY8938" s="34" t="s">
        <v>9865</v>
      </c>
      <c r="CZ8938" s="35">
        <v>4.1983839999999994E-3</v>
      </c>
    </row>
    <row r="8939" spans="103:104" x14ac:dyDescent="0.3">
      <c r="CY8939" s="34" t="s">
        <v>9866</v>
      </c>
      <c r="CZ8939" s="35">
        <v>3.1890439999999998E-3</v>
      </c>
    </row>
    <row r="8940" spans="103:104" x14ac:dyDescent="0.3">
      <c r="CY8940" s="34" t="s">
        <v>9867</v>
      </c>
      <c r="CZ8940" s="35">
        <v>1.1954818E-3</v>
      </c>
    </row>
    <row r="8941" spans="103:104" x14ac:dyDescent="0.3">
      <c r="CY8941" s="34" t="s">
        <v>9868</v>
      </c>
      <c r="CZ8941" s="35">
        <v>0.17231984</v>
      </c>
    </row>
    <row r="8942" spans="103:104" x14ac:dyDescent="0.3">
      <c r="CY8942" s="34" t="s">
        <v>9869</v>
      </c>
      <c r="CZ8942" s="35">
        <v>1.4897128000000002</v>
      </c>
    </row>
    <row r="8943" spans="103:104" x14ac:dyDescent="0.3">
      <c r="CY8943" s="34" t="s">
        <v>9870</v>
      </c>
      <c r="CZ8943" s="35">
        <v>4.4084120000000004E-2</v>
      </c>
    </row>
    <row r="8944" spans="103:104" x14ac:dyDescent="0.3">
      <c r="CY8944" s="34" t="s">
        <v>9871</v>
      </c>
      <c r="CZ8944" s="35">
        <v>4.4084120000000004E-2</v>
      </c>
    </row>
    <row r="8945" spans="103:104" x14ac:dyDescent="0.3">
      <c r="CY8945" s="34" t="s">
        <v>9872</v>
      </c>
      <c r="CZ8945" s="35">
        <v>2.5169248000000005E-2</v>
      </c>
    </row>
    <row r="8946" spans="103:104" x14ac:dyDescent="0.3">
      <c r="CY8946" s="34" t="s">
        <v>9873</v>
      </c>
      <c r="CZ8946" s="35">
        <v>5.5665699999999999E-3</v>
      </c>
    </row>
    <row r="8947" spans="103:104" x14ac:dyDescent="0.3">
      <c r="CY8947" s="34" t="s">
        <v>9874</v>
      </c>
      <c r="CZ8947" s="35">
        <v>0.20006235999999999</v>
      </c>
    </row>
    <row r="8948" spans="103:104" x14ac:dyDescent="0.3">
      <c r="CY8948" s="34" t="s">
        <v>9875</v>
      </c>
      <c r="CZ8948" s="35">
        <v>5.1982660000000009E-3</v>
      </c>
    </row>
    <row r="8949" spans="103:104" x14ac:dyDescent="0.3">
      <c r="CY8949" s="34" t="s">
        <v>9876</v>
      </c>
      <c r="CZ8949" s="35">
        <v>5.2498500000000003E-3</v>
      </c>
    </row>
    <row r="8950" spans="103:104" x14ac:dyDescent="0.3">
      <c r="CY8950" s="34" t="s">
        <v>9877</v>
      </c>
      <c r="CZ8950" s="35">
        <v>1.3723076000000002E-2</v>
      </c>
    </row>
    <row r="8951" spans="103:104" x14ac:dyDescent="0.3">
      <c r="CY8951" s="34" t="s">
        <v>9878</v>
      </c>
      <c r="CZ8951" s="35">
        <v>1.3723076000000002E-2</v>
      </c>
    </row>
    <row r="8952" spans="103:104" x14ac:dyDescent="0.3">
      <c r="CY8952" s="34" t="s">
        <v>9879</v>
      </c>
      <c r="CZ8952" s="35">
        <v>7.2219604000000014E-3</v>
      </c>
    </row>
    <row r="8953" spans="103:104" x14ac:dyDescent="0.3">
      <c r="CY8953" s="34" t="s">
        <v>9880</v>
      </c>
      <c r="CZ8953" s="35">
        <v>7.2219604000000014E-3</v>
      </c>
    </row>
    <row r="8954" spans="103:104" x14ac:dyDescent="0.3">
      <c r="CY8954" s="34" t="s">
        <v>9881</v>
      </c>
      <c r="CZ8954" s="35">
        <v>1.0890740000000001E-2</v>
      </c>
    </row>
    <row r="8955" spans="103:104" x14ac:dyDescent="0.3">
      <c r="CY8955" s="34" t="s">
        <v>9882</v>
      </c>
      <c r="CZ8955" s="35">
        <v>2.8493279999999999E-3</v>
      </c>
    </row>
    <row r="8956" spans="103:104" x14ac:dyDescent="0.3">
      <c r="CY8956" s="34" t="s">
        <v>9883</v>
      </c>
      <c r="CZ8956" s="35">
        <v>1.591414E-3</v>
      </c>
    </row>
    <row r="8957" spans="103:104" x14ac:dyDescent="0.3">
      <c r="CY8957" s="34" t="s">
        <v>9884</v>
      </c>
      <c r="CZ8957" s="35">
        <v>1.2808416E-3</v>
      </c>
    </row>
    <row r="8958" spans="103:104" x14ac:dyDescent="0.3">
      <c r="CY8958" s="34" t="s">
        <v>9885</v>
      </c>
      <c r="CZ8958" s="35">
        <v>9.5480480000000006E-2</v>
      </c>
    </row>
    <row r="8959" spans="103:104" x14ac:dyDescent="0.3">
      <c r="CY8959" s="34" t="s">
        <v>9886</v>
      </c>
      <c r="CZ8959" s="35">
        <v>3.3104720000000004E-2</v>
      </c>
    </row>
    <row r="8960" spans="103:104" x14ac:dyDescent="0.3">
      <c r="CY8960" s="34" t="s">
        <v>9887</v>
      </c>
      <c r="CZ8960" s="35">
        <v>6.0219720000000013E-4</v>
      </c>
    </row>
    <row r="8961" spans="103:104" x14ac:dyDescent="0.3">
      <c r="CY8961" s="34" t="s">
        <v>9888</v>
      </c>
      <c r="CZ8961" s="35">
        <v>3.2331133333333331E-2</v>
      </c>
    </row>
    <row r="8962" spans="103:104" x14ac:dyDescent="0.3">
      <c r="CY8962" s="34" t="s">
        <v>9889</v>
      </c>
      <c r="CZ8962" s="35">
        <v>1.4113632000000001E-2</v>
      </c>
    </row>
    <row r="8963" spans="103:104" x14ac:dyDescent="0.3">
      <c r="CY8963" s="34" t="s">
        <v>9890</v>
      </c>
      <c r="CZ8963" s="35">
        <v>0.22661272533333332</v>
      </c>
    </row>
    <row r="8964" spans="103:104" x14ac:dyDescent="0.3">
      <c r="CY8964" s="34" t="s">
        <v>9891</v>
      </c>
      <c r="CZ8964" s="35">
        <v>1.390952E-2</v>
      </c>
    </row>
    <row r="8965" spans="103:104" x14ac:dyDescent="0.3">
      <c r="CY8965" s="34" t="s">
        <v>9892</v>
      </c>
      <c r="CZ8965" s="35">
        <v>1.6313379999999999E-2</v>
      </c>
    </row>
    <row r="8966" spans="103:104" x14ac:dyDescent="0.3">
      <c r="CY8966" s="34" t="s">
        <v>9893</v>
      </c>
      <c r="CZ8966" s="35">
        <v>3.9733333333333336E-4</v>
      </c>
    </row>
    <row r="8967" spans="103:104" x14ac:dyDescent="0.3">
      <c r="CY8967" s="34" t="s">
        <v>9894</v>
      </c>
      <c r="CZ8967" s="35">
        <v>6.5009371428571428E-3</v>
      </c>
    </row>
    <row r="8968" spans="103:104" x14ac:dyDescent="0.3">
      <c r="CY8968" s="34" t="s">
        <v>9895</v>
      </c>
      <c r="CZ8968" s="35">
        <v>7.7499428571428568E-3</v>
      </c>
    </row>
    <row r="8969" spans="103:104" x14ac:dyDescent="0.3">
      <c r="CY8969" s="34" t="s">
        <v>9896</v>
      </c>
      <c r="CZ8969" s="35">
        <v>7.484091428571429E-4</v>
      </c>
    </row>
    <row r="8970" spans="103:104" x14ac:dyDescent="0.3">
      <c r="CY8970" s="34" t="s">
        <v>9897</v>
      </c>
      <c r="CZ8970" s="35">
        <v>1.0389360000000001E-3</v>
      </c>
    </row>
    <row r="8971" spans="103:104" x14ac:dyDescent="0.3">
      <c r="CY8971" s="34" t="s">
        <v>9898</v>
      </c>
      <c r="CZ8971" s="35">
        <v>5.5740959999999999E-2</v>
      </c>
    </row>
    <row r="8972" spans="103:104" x14ac:dyDescent="0.3">
      <c r="CY8972" s="34" t="s">
        <v>9899</v>
      </c>
      <c r="CZ8972" s="35">
        <v>0.10163386667</v>
      </c>
    </row>
    <row r="8973" spans="103:104" x14ac:dyDescent="0.3">
      <c r="CY8973" s="34" t="s">
        <v>9900</v>
      </c>
      <c r="CZ8973" s="35">
        <v>0.16264026667000001</v>
      </c>
    </row>
    <row r="8974" spans="103:104" x14ac:dyDescent="0.3">
      <c r="CY8974" s="34" t="s">
        <v>9901</v>
      </c>
      <c r="CZ8974" s="35">
        <v>0.19460840000000001</v>
      </c>
    </row>
    <row r="8975" spans="103:104" x14ac:dyDescent="0.3">
      <c r="CY8975" s="34" t="s">
        <v>9902</v>
      </c>
      <c r="CZ8975" s="35">
        <v>3.7894879999999999E-2</v>
      </c>
    </row>
    <row r="8976" spans="103:104" x14ac:dyDescent="0.3">
      <c r="CY8976" s="34" t="s">
        <v>9903</v>
      </c>
      <c r="CZ8976" s="35">
        <v>3.7894879999999999E-2</v>
      </c>
    </row>
    <row r="8977" spans="103:104" x14ac:dyDescent="0.3">
      <c r="CY8977" s="34" t="s">
        <v>9904</v>
      </c>
      <c r="CZ8977" s="35">
        <v>3.8548439999999996E-3</v>
      </c>
    </row>
    <row r="8978" spans="103:104" x14ac:dyDescent="0.3">
      <c r="CY8978" s="34" t="s">
        <v>9905</v>
      </c>
      <c r="CZ8978" s="35">
        <v>2.9427640000000001E-3</v>
      </c>
    </row>
    <row r="8979" spans="103:104" x14ac:dyDescent="0.3">
      <c r="CY8979" s="34" t="s">
        <v>9906</v>
      </c>
      <c r="CZ8979" s="35">
        <v>4.8054040000000001E-3</v>
      </c>
    </row>
    <row r="8980" spans="103:104" x14ac:dyDescent="0.3">
      <c r="CY8980" s="34" t="s">
        <v>9907</v>
      </c>
      <c r="CZ8980" s="35">
        <v>5.3370539999999999E-3</v>
      </c>
    </row>
    <row r="8981" spans="103:104" x14ac:dyDescent="0.3">
      <c r="CY8981" s="34" t="s">
        <v>9908</v>
      </c>
      <c r="CZ8981" s="35">
        <v>8.6889359999999995E-3</v>
      </c>
    </row>
    <row r="8982" spans="103:104" x14ac:dyDescent="0.3">
      <c r="CY8982" s="34" t="s">
        <v>9909</v>
      </c>
      <c r="CZ8982" s="35">
        <v>6.8057600000000012E-4</v>
      </c>
    </row>
    <row r="8983" spans="103:104" x14ac:dyDescent="0.3">
      <c r="CY8983" s="34" t="s">
        <v>9910</v>
      </c>
      <c r="CZ8983" s="35">
        <v>4.8160586714285705E-3</v>
      </c>
    </row>
    <row r="8984" spans="103:104" x14ac:dyDescent="0.3">
      <c r="CY8984" s="34" t="s">
        <v>9911</v>
      </c>
      <c r="CZ8984" s="35">
        <v>8.8036000000000006E-4</v>
      </c>
    </row>
    <row r="8985" spans="103:104" x14ac:dyDescent="0.3">
      <c r="CY8985" s="34" t="s">
        <v>9912</v>
      </c>
      <c r="CZ8985" s="35">
        <v>2.0076422667999999E-2</v>
      </c>
    </row>
    <row r="8986" spans="103:104" x14ac:dyDescent="0.3">
      <c r="CY8986" s="34" t="s">
        <v>9913</v>
      </c>
      <c r="CZ8986" s="35">
        <v>5.7404573399999999E-2</v>
      </c>
    </row>
    <row r="8987" spans="103:104" x14ac:dyDescent="0.3">
      <c r="CY8987" s="34" t="s">
        <v>9914</v>
      </c>
      <c r="CZ8987" s="35">
        <v>3.2465500000000001E-2</v>
      </c>
    </row>
    <row r="8988" spans="103:104" x14ac:dyDescent="0.3">
      <c r="CY8988" s="34" t="s">
        <v>9915</v>
      </c>
      <c r="CZ8988" s="35">
        <v>3.8002220000000003E-2</v>
      </c>
    </row>
    <row r="8989" spans="103:104" x14ac:dyDescent="0.3">
      <c r="CY8989" s="34" t="s">
        <v>9916</v>
      </c>
      <c r="CZ8989" s="35">
        <v>3.7224844966666663E-2</v>
      </c>
    </row>
    <row r="8990" spans="103:104" x14ac:dyDescent="0.3">
      <c r="CY8990" s="34" t="s">
        <v>9917</v>
      </c>
      <c r="CZ8990" s="35">
        <v>0.2022148</v>
      </c>
    </row>
    <row r="8991" spans="103:104" x14ac:dyDescent="0.3">
      <c r="CY8991" s="34" t="s">
        <v>9918</v>
      </c>
      <c r="CZ8991" s="35">
        <v>5.9544868583333334E-2</v>
      </c>
    </row>
    <row r="8992" spans="103:104" x14ac:dyDescent="0.3">
      <c r="CY8992" s="34" t="s">
        <v>9919</v>
      </c>
      <c r="CZ8992" s="35">
        <v>3.1370920000000004E-2</v>
      </c>
    </row>
    <row r="8993" spans="103:104" x14ac:dyDescent="0.3">
      <c r="CY8993" s="34" t="s">
        <v>9920</v>
      </c>
      <c r="CZ8993" s="35">
        <v>1.0488952000000003E-2</v>
      </c>
    </row>
    <row r="8994" spans="103:104" x14ac:dyDescent="0.3">
      <c r="CY8994" s="34" t="s">
        <v>9921</v>
      </c>
      <c r="CZ8994" s="35">
        <v>9.6399680000000011E-4</v>
      </c>
    </row>
    <row r="8995" spans="103:104" x14ac:dyDescent="0.3">
      <c r="CY8995" s="34" t="s">
        <v>9922</v>
      </c>
      <c r="CZ8995" s="35">
        <v>1.267075E-2</v>
      </c>
    </row>
    <row r="8996" spans="103:104" x14ac:dyDescent="0.3">
      <c r="CY8996" s="34" t="s">
        <v>9923</v>
      </c>
      <c r="CZ8996" s="35">
        <v>5.6839559599999997E-3</v>
      </c>
    </row>
    <row r="8997" spans="103:104" x14ac:dyDescent="0.3">
      <c r="CY8997" s="34" t="s">
        <v>9924</v>
      </c>
      <c r="CZ8997" s="35">
        <v>6.7392000000000005E-4</v>
      </c>
    </row>
    <row r="8998" spans="103:104" x14ac:dyDescent="0.3">
      <c r="CY8998" s="34" t="s">
        <v>9925</v>
      </c>
      <c r="CZ8998" s="35">
        <v>4.7913312000000007E-2</v>
      </c>
    </row>
    <row r="8999" spans="103:104" x14ac:dyDescent="0.3">
      <c r="CY8999" s="34" t="s">
        <v>9926</v>
      </c>
      <c r="CZ8999" s="35">
        <v>4.1963039999999997E-3</v>
      </c>
    </row>
    <row r="9000" spans="103:104" x14ac:dyDescent="0.3">
      <c r="CY9000" s="34" t="s">
        <v>9927</v>
      </c>
      <c r="CZ9000" s="35">
        <v>4.4347040000000002E-3</v>
      </c>
    </row>
    <row r="9001" spans="103:104" x14ac:dyDescent="0.3">
      <c r="CY9001" s="34" t="s">
        <v>9928</v>
      </c>
      <c r="CZ9001" s="35">
        <v>8.8425227000000009E-3</v>
      </c>
    </row>
    <row r="9002" spans="103:104" x14ac:dyDescent="0.3">
      <c r="CY9002" s="34" t="s">
        <v>9929</v>
      </c>
      <c r="CZ9002" s="35">
        <v>1.0630906650000001E-2</v>
      </c>
    </row>
    <row r="9003" spans="103:104" x14ac:dyDescent="0.3">
      <c r="CY9003" s="34" t="s">
        <v>9930</v>
      </c>
      <c r="CZ9003" s="35">
        <v>6.2106239999999994E-4</v>
      </c>
    </row>
    <row r="9004" spans="103:104" x14ac:dyDescent="0.3">
      <c r="CY9004" s="34" t="s">
        <v>9931</v>
      </c>
      <c r="CZ9004" s="35">
        <v>1.0604116E-2</v>
      </c>
    </row>
    <row r="9005" spans="103:104" x14ac:dyDescent="0.3">
      <c r="CY9005" s="34" t="s">
        <v>9932</v>
      </c>
      <c r="CZ9005" s="35">
        <v>1.896996E-3</v>
      </c>
    </row>
    <row r="9006" spans="103:104" x14ac:dyDescent="0.3">
      <c r="CY9006" s="34" t="s">
        <v>9933</v>
      </c>
      <c r="CZ9006" s="35">
        <v>1.6176959999999998E-3</v>
      </c>
    </row>
    <row r="9007" spans="103:104" x14ac:dyDescent="0.3">
      <c r="CY9007" s="34" t="s">
        <v>9934</v>
      </c>
      <c r="CZ9007" s="35">
        <v>1.2905528000000001E-2</v>
      </c>
    </row>
    <row r="9008" spans="103:104" x14ac:dyDescent="0.3">
      <c r="CY9008" s="34" t="s">
        <v>9935</v>
      </c>
      <c r="CZ9008" s="35">
        <v>1.3002196518181819E-2</v>
      </c>
    </row>
    <row r="9009" spans="103:104" x14ac:dyDescent="0.3">
      <c r="CY9009" s="34" t="s">
        <v>9936</v>
      </c>
      <c r="CZ9009" s="35">
        <v>5.8119651818181817E-4</v>
      </c>
    </row>
    <row r="9010" spans="103:104" x14ac:dyDescent="0.3">
      <c r="CY9010" s="34" t="s">
        <v>9937</v>
      </c>
      <c r="CZ9010" s="35">
        <v>1.3011510681818182E-2</v>
      </c>
    </row>
    <row r="9011" spans="103:104" x14ac:dyDescent="0.3">
      <c r="CY9011" s="34" t="s">
        <v>9938</v>
      </c>
      <c r="CZ9011" s="35">
        <v>1.2994677318181819E-2</v>
      </c>
    </row>
    <row r="9012" spans="103:104" x14ac:dyDescent="0.3">
      <c r="CY9012" s="34" t="s">
        <v>9939</v>
      </c>
      <c r="CZ9012" s="35">
        <v>6.7197199999999993E-3</v>
      </c>
    </row>
    <row r="9013" spans="103:104" x14ac:dyDescent="0.3">
      <c r="CY9013" s="34" t="s">
        <v>9940</v>
      </c>
      <c r="CZ9013" s="35">
        <v>2.4884111999999999E-3</v>
      </c>
    </row>
    <row r="9014" spans="103:104" x14ac:dyDescent="0.3">
      <c r="CY9014" s="34" t="s">
        <v>9941</v>
      </c>
      <c r="CZ9014" s="35">
        <v>4.2566080000000002E-4</v>
      </c>
    </row>
    <row r="9015" spans="103:104" x14ac:dyDescent="0.3">
      <c r="CY9015" s="34" t="s">
        <v>9942</v>
      </c>
      <c r="CZ9015" s="35">
        <v>1.7525992000000001E-2</v>
      </c>
    </row>
    <row r="9016" spans="103:104" x14ac:dyDescent="0.3">
      <c r="CY9016" s="34" t="s">
        <v>9943</v>
      </c>
      <c r="CZ9016" s="35">
        <v>4.5762559999999999E-3</v>
      </c>
    </row>
    <row r="9017" spans="103:104" x14ac:dyDescent="0.3">
      <c r="CY9017" s="34" t="s">
        <v>9944</v>
      </c>
      <c r="CZ9017" s="35">
        <v>4.5549258000000001E-4</v>
      </c>
    </row>
    <row r="9018" spans="103:104" x14ac:dyDescent="0.3">
      <c r="CY9018" s="34" t="s">
        <v>9945</v>
      </c>
      <c r="CZ9018" s="35">
        <v>1.6177959999999998E-2</v>
      </c>
    </row>
    <row r="9019" spans="103:104" x14ac:dyDescent="0.3">
      <c r="CY9019" s="34" t="s">
        <v>9946</v>
      </c>
      <c r="CZ9019" s="35">
        <v>1.6177959999999998E-2</v>
      </c>
    </row>
    <row r="9020" spans="103:104" x14ac:dyDescent="0.3">
      <c r="CY9020" s="34" t="s">
        <v>9947</v>
      </c>
      <c r="CZ9020" s="35">
        <v>1.7414133333333334E-3</v>
      </c>
    </row>
    <row r="9021" spans="103:104" x14ac:dyDescent="0.3">
      <c r="CY9021" s="34" t="s">
        <v>9948</v>
      </c>
      <c r="CZ9021" s="35">
        <v>4.9236896666666665E-3</v>
      </c>
    </row>
    <row r="9022" spans="103:104" x14ac:dyDescent="0.3">
      <c r="CY9022" s="34" t="s">
        <v>9949</v>
      </c>
      <c r="CZ9022" s="35">
        <v>4.9236879999999998E-3</v>
      </c>
    </row>
    <row r="9023" spans="103:104" x14ac:dyDescent="0.3">
      <c r="CY9023" s="34" t="s">
        <v>9950</v>
      </c>
      <c r="CZ9023" s="35">
        <v>8.2861288000000005E-3</v>
      </c>
    </row>
    <row r="9024" spans="103:104" x14ac:dyDescent="0.3">
      <c r="CY9024" s="34" t="s">
        <v>9951</v>
      </c>
      <c r="CZ9024" s="35">
        <v>6.0793320000000007E-3</v>
      </c>
    </row>
    <row r="9025" spans="103:104" x14ac:dyDescent="0.3">
      <c r="CY9025" s="34" t="s">
        <v>9952</v>
      </c>
      <c r="CZ9025" s="35">
        <v>6.9263080000000017E-3</v>
      </c>
    </row>
    <row r="9026" spans="103:104" x14ac:dyDescent="0.3">
      <c r="CY9026" s="34" t="s">
        <v>9953</v>
      </c>
      <c r="CZ9026" s="35">
        <v>4.9236897999999996E-3</v>
      </c>
    </row>
    <row r="9027" spans="103:104" x14ac:dyDescent="0.3">
      <c r="CY9027" s="34" t="s">
        <v>9954</v>
      </c>
      <c r="CZ9027" s="35">
        <v>4.9236897766666669E-3</v>
      </c>
    </row>
    <row r="9028" spans="103:104" x14ac:dyDescent="0.3">
      <c r="CY9028" s="34" t="s">
        <v>9955</v>
      </c>
      <c r="CZ9028" s="35">
        <v>1.4771069333333335E-4</v>
      </c>
    </row>
    <row r="9029" spans="103:104" x14ac:dyDescent="0.3">
      <c r="CY9029" s="34" t="s">
        <v>9956</v>
      </c>
      <c r="CZ9029" s="35">
        <v>4.4434964482758616E-3</v>
      </c>
    </row>
    <row r="9030" spans="103:104" x14ac:dyDescent="0.3">
      <c r="CY9030" s="34" t="s">
        <v>9957</v>
      </c>
      <c r="CZ9030" s="35">
        <v>1.5146836000000002E-2</v>
      </c>
    </row>
    <row r="9031" spans="103:104" x14ac:dyDescent="0.3">
      <c r="CY9031" s="34" t="s">
        <v>9958</v>
      </c>
      <c r="CZ9031" s="35">
        <v>1.9022634666666669E-3</v>
      </c>
    </row>
    <row r="9032" spans="103:104" x14ac:dyDescent="0.3">
      <c r="CY9032" s="34" t="s">
        <v>9959</v>
      </c>
      <c r="CZ9032" s="35">
        <v>3.8810240000000006E-4</v>
      </c>
    </row>
    <row r="9033" spans="103:104" x14ac:dyDescent="0.3">
      <c r="CY9033" s="34" t="s">
        <v>9960</v>
      </c>
      <c r="CZ9033" s="35">
        <v>6.6088400000000004E-4</v>
      </c>
    </row>
    <row r="9034" spans="103:104" x14ac:dyDescent="0.3">
      <c r="CY9034" s="34" t="s">
        <v>9961</v>
      </c>
      <c r="CZ9034" s="35">
        <v>5.2584199999999998E-2</v>
      </c>
    </row>
    <row r="9035" spans="103:104" x14ac:dyDescent="0.3">
      <c r="CY9035" s="34" t="s">
        <v>9962</v>
      </c>
      <c r="CZ9035" s="35">
        <v>3.6983440000000006E-2</v>
      </c>
    </row>
    <row r="9036" spans="103:104" x14ac:dyDescent="0.3">
      <c r="CY9036" s="34" t="s">
        <v>9963</v>
      </c>
      <c r="CZ9036" s="35">
        <v>1.2014615999999999E-2</v>
      </c>
    </row>
    <row r="9037" spans="103:104" x14ac:dyDescent="0.3">
      <c r="CY9037" s="34" t="s">
        <v>9964</v>
      </c>
      <c r="CZ9037" s="35">
        <v>1.2014615999999999E-2</v>
      </c>
    </row>
    <row r="9038" spans="103:104" x14ac:dyDescent="0.3">
      <c r="CY9038" s="34" t="s">
        <v>9965</v>
      </c>
      <c r="CZ9038" s="35">
        <v>4.7644800000000003E-4</v>
      </c>
    </row>
    <row r="9039" spans="103:104" x14ac:dyDescent="0.3">
      <c r="CY9039" s="34" t="s">
        <v>9966</v>
      </c>
      <c r="CZ9039" s="35">
        <v>6.1256799999999997E-3</v>
      </c>
    </row>
    <row r="9040" spans="103:104" x14ac:dyDescent="0.3">
      <c r="CY9040" s="34" t="s">
        <v>9967</v>
      </c>
      <c r="CZ9040" s="35">
        <v>1.413844E-3</v>
      </c>
    </row>
    <row r="9041" spans="103:104" x14ac:dyDescent="0.3">
      <c r="CY9041" s="34" t="s">
        <v>9968</v>
      </c>
      <c r="CZ9041" s="35">
        <v>1.1534820000000001E-2</v>
      </c>
    </row>
    <row r="9042" spans="103:104" x14ac:dyDescent="0.3">
      <c r="CY9042" s="34" t="s">
        <v>9969</v>
      </c>
      <c r="CZ9042" s="35">
        <v>8.4913219999999998E-2</v>
      </c>
    </row>
    <row r="9043" spans="103:104" x14ac:dyDescent="0.3">
      <c r="CY9043" s="34" t="s">
        <v>9970</v>
      </c>
      <c r="CZ9043" s="35">
        <v>4.137536E-2</v>
      </c>
    </row>
    <row r="9044" spans="103:104" x14ac:dyDescent="0.3">
      <c r="CY9044" s="34" t="s">
        <v>9971</v>
      </c>
      <c r="CZ9044" s="35">
        <v>0.14913876000000001</v>
      </c>
    </row>
    <row r="9045" spans="103:104" x14ac:dyDescent="0.3">
      <c r="CY9045" s="34" t="s">
        <v>9972</v>
      </c>
      <c r="CZ9045" s="35">
        <v>7.2406880000000007E-2</v>
      </c>
    </row>
    <row r="9046" spans="103:104" x14ac:dyDescent="0.3">
      <c r="CY9046" s="34" t="s">
        <v>9973</v>
      </c>
      <c r="CZ9046" s="35">
        <v>0.11920129999999998</v>
      </c>
    </row>
    <row r="9047" spans="103:104" x14ac:dyDescent="0.3">
      <c r="CY9047" s="34" t="s">
        <v>9974</v>
      </c>
      <c r="CZ9047" s="35">
        <v>5.743815E-2</v>
      </c>
    </row>
    <row r="9048" spans="103:104" x14ac:dyDescent="0.3">
      <c r="CY9048" s="34" t="s">
        <v>9975</v>
      </c>
      <c r="CZ9048" s="35">
        <v>1.3296394675000002E-2</v>
      </c>
    </row>
    <row r="9049" spans="103:104" x14ac:dyDescent="0.3">
      <c r="CY9049" s="34" t="s">
        <v>9976</v>
      </c>
      <c r="CZ9049" s="35">
        <v>3.9545439999999994E-2</v>
      </c>
    </row>
    <row r="9050" spans="103:104" x14ac:dyDescent="0.3">
      <c r="CY9050" s="34" t="s">
        <v>9977</v>
      </c>
      <c r="CZ9050" s="35">
        <v>2.6950029342857142E-2</v>
      </c>
    </row>
    <row r="9051" spans="103:104" x14ac:dyDescent="0.3">
      <c r="CY9051" s="34" t="s">
        <v>9978</v>
      </c>
      <c r="CZ9051" s="35">
        <v>1.2035144000000001E-3</v>
      </c>
    </row>
    <row r="9052" spans="103:104" x14ac:dyDescent="0.3">
      <c r="CY9052" s="34" t="s">
        <v>9979</v>
      </c>
      <c r="CZ9052" s="35">
        <v>6.6710026666666668E-3</v>
      </c>
    </row>
    <row r="9053" spans="103:104" x14ac:dyDescent="0.3">
      <c r="CY9053" s="34" t="s">
        <v>9980</v>
      </c>
      <c r="CZ9053" s="35">
        <v>0.27023079999999999</v>
      </c>
    </row>
    <row r="9054" spans="103:104" x14ac:dyDescent="0.3">
      <c r="CY9054" s="34" t="s">
        <v>9981</v>
      </c>
      <c r="CZ9054" s="35">
        <v>3.5653866650000002E-3</v>
      </c>
    </row>
    <row r="9055" spans="103:104" x14ac:dyDescent="0.3">
      <c r="CY9055" s="34" t="s">
        <v>9982</v>
      </c>
      <c r="CZ9055" s="35">
        <v>7.0328639999999993E-4</v>
      </c>
    </row>
    <row r="9056" spans="103:104" x14ac:dyDescent="0.3">
      <c r="CY9056" s="34" t="s">
        <v>9983</v>
      </c>
      <c r="CZ9056" s="35">
        <v>4.6711445652173909E-2</v>
      </c>
    </row>
    <row r="9057" spans="103:104" x14ac:dyDescent="0.3">
      <c r="CY9057" s="34" t="s">
        <v>9984</v>
      </c>
      <c r="CZ9057" s="35">
        <v>0.106965</v>
      </c>
    </row>
    <row r="9058" spans="103:104" x14ac:dyDescent="0.3">
      <c r="CY9058" s="34" t="s">
        <v>9985</v>
      </c>
      <c r="CZ9058" s="35">
        <v>5.1874999999999994E-3</v>
      </c>
    </row>
    <row r="9059" spans="103:104" x14ac:dyDescent="0.3">
      <c r="CY9059" s="34" t="s">
        <v>9986</v>
      </c>
      <c r="CZ9059" s="35">
        <v>9.9835000000000007E-2</v>
      </c>
    </row>
    <row r="9060" spans="103:104" x14ac:dyDescent="0.3">
      <c r="CY9060" s="34" t="s">
        <v>9987</v>
      </c>
      <c r="CZ9060" s="35">
        <v>6.4499999999999996E-4</v>
      </c>
    </row>
    <row r="9061" spans="103:104" x14ac:dyDescent="0.3">
      <c r="CY9061" s="34" t="s">
        <v>9988</v>
      </c>
      <c r="CZ9061" s="35">
        <v>9.9835000000000007E-2</v>
      </c>
    </row>
    <row r="9062" spans="103:104" x14ac:dyDescent="0.3">
      <c r="CY9062" s="34" t="s">
        <v>9989</v>
      </c>
      <c r="CZ9062" s="35">
        <v>3.1117248E-2</v>
      </c>
    </row>
    <row r="9063" spans="103:104" x14ac:dyDescent="0.3">
      <c r="CY9063" s="34" t="s">
        <v>9990</v>
      </c>
      <c r="CZ9063" s="35">
        <v>1.7067492000000001E-3</v>
      </c>
    </row>
    <row r="9064" spans="103:104" x14ac:dyDescent="0.3">
      <c r="CY9064" s="34" t="s">
        <v>9991</v>
      </c>
      <c r="CZ9064" s="35">
        <v>2.0840716E-3</v>
      </c>
    </row>
    <row r="9065" spans="103:104" x14ac:dyDescent="0.3">
      <c r="CY9065" s="34" t="s">
        <v>9992</v>
      </c>
      <c r="CZ9065" s="35">
        <v>1.6528460000000001E-3</v>
      </c>
    </row>
    <row r="9066" spans="103:104" x14ac:dyDescent="0.3">
      <c r="CY9066" s="34" t="s">
        <v>9993</v>
      </c>
      <c r="CZ9066" s="35">
        <v>8.5285660000000002E-4</v>
      </c>
    </row>
    <row r="9067" spans="103:104" x14ac:dyDescent="0.3">
      <c r="CY9067" s="34" t="s">
        <v>9994</v>
      </c>
      <c r="CZ9067" s="35">
        <v>2.5856799999999998E-4</v>
      </c>
    </row>
    <row r="9068" spans="103:104" x14ac:dyDescent="0.3">
      <c r="CY9068" s="34" t="s">
        <v>9995</v>
      </c>
      <c r="CZ9068" s="35">
        <v>2.531624E-2</v>
      </c>
    </row>
    <row r="9069" spans="103:104" x14ac:dyDescent="0.3">
      <c r="CY9069" s="34" t="s">
        <v>9996</v>
      </c>
      <c r="CZ9069" s="35">
        <v>2.0686159999999999E-2</v>
      </c>
    </row>
    <row r="9070" spans="103:104" x14ac:dyDescent="0.3">
      <c r="CY9070" s="34" t="s">
        <v>9997</v>
      </c>
      <c r="CZ9070" s="35">
        <v>2.9594799999999997E-2</v>
      </c>
    </row>
    <row r="9071" spans="103:104" x14ac:dyDescent="0.3">
      <c r="CY9071" s="34" t="s">
        <v>9998</v>
      </c>
      <c r="CZ9071" s="35">
        <v>2.3054447999999998E-2</v>
      </c>
    </row>
    <row r="9072" spans="103:104" x14ac:dyDescent="0.3">
      <c r="CY9072" s="34" t="s">
        <v>9999</v>
      </c>
      <c r="CZ9072" s="35">
        <v>2.1997730000000004E-2</v>
      </c>
    </row>
    <row r="9073" spans="103:104" x14ac:dyDescent="0.3">
      <c r="CY9073" s="34" t="s">
        <v>10000</v>
      </c>
      <c r="CZ9073" s="35">
        <v>1.9414580000000001E-2</v>
      </c>
    </row>
    <row r="9074" spans="103:104" x14ac:dyDescent="0.3">
      <c r="CY9074" s="34" t="s">
        <v>10001</v>
      </c>
      <c r="CZ9074" s="35">
        <v>4.3937360000000002E-2</v>
      </c>
    </row>
    <row r="9075" spans="103:104" x14ac:dyDescent="0.3">
      <c r="CY9075" s="34" t="s">
        <v>10002</v>
      </c>
      <c r="CZ9075" s="35">
        <v>2.0502704E-2</v>
      </c>
    </row>
    <row r="9076" spans="103:104" x14ac:dyDescent="0.3">
      <c r="CY9076" s="34" t="s">
        <v>10003</v>
      </c>
      <c r="CZ9076" s="35">
        <v>1.875696E-2</v>
      </c>
    </row>
    <row r="9077" spans="103:104" x14ac:dyDescent="0.3">
      <c r="CY9077" s="34" t="s">
        <v>10004</v>
      </c>
      <c r="CZ9077" s="35">
        <v>0.17754599999999998</v>
      </c>
    </row>
    <row r="9078" spans="103:104" x14ac:dyDescent="0.3">
      <c r="CY9078" s="34" t="s">
        <v>10005</v>
      </c>
      <c r="CZ9078" s="35">
        <v>1.5465296000000002E-2</v>
      </c>
    </row>
    <row r="9079" spans="103:104" x14ac:dyDescent="0.3">
      <c r="CY9079" s="34" t="s">
        <v>10006</v>
      </c>
      <c r="CZ9079" s="35">
        <v>2.4824023999999997E-2</v>
      </c>
    </row>
    <row r="9080" spans="103:104" x14ac:dyDescent="0.3">
      <c r="CY9080" s="34" t="s">
        <v>10007</v>
      </c>
      <c r="CZ9080" s="35">
        <v>3.2546647999999997E-2</v>
      </c>
    </row>
    <row r="9081" spans="103:104" x14ac:dyDescent="0.3">
      <c r="CY9081" s="34" t="s">
        <v>10008</v>
      </c>
      <c r="CZ9081" s="35">
        <v>2.2573960000000004E-2</v>
      </c>
    </row>
    <row r="9082" spans="103:104" x14ac:dyDescent="0.3">
      <c r="CY9082" s="34" t="s">
        <v>10009</v>
      </c>
      <c r="CZ9082" s="35">
        <v>1.778403735E-2</v>
      </c>
    </row>
    <row r="9083" spans="103:104" x14ac:dyDescent="0.3">
      <c r="CY9083" s="34" t="s">
        <v>10010</v>
      </c>
      <c r="CZ9083" s="35">
        <v>5.8176199999999999E-3</v>
      </c>
    </row>
    <row r="9084" spans="103:104" x14ac:dyDescent="0.3">
      <c r="CY9084" s="34" t="s">
        <v>10011</v>
      </c>
      <c r="CZ9084" s="35">
        <v>3.57588E-2</v>
      </c>
    </row>
    <row r="9085" spans="103:104" x14ac:dyDescent="0.3">
      <c r="CY9085" s="34" t="s">
        <v>10012</v>
      </c>
      <c r="CZ9085" s="35">
        <v>5.6086560000000001E-3</v>
      </c>
    </row>
    <row r="9086" spans="103:104" x14ac:dyDescent="0.3">
      <c r="CY9086" s="34" t="s">
        <v>10013</v>
      </c>
      <c r="CZ9086" s="35">
        <v>0.32380120000000001</v>
      </c>
    </row>
    <row r="9087" spans="103:104" x14ac:dyDescent="0.3">
      <c r="CY9087" s="34" t="s">
        <v>10014</v>
      </c>
      <c r="CZ9087" s="35">
        <v>8.3547813329999998E-2</v>
      </c>
    </row>
    <row r="9088" spans="103:104" x14ac:dyDescent="0.3">
      <c r="CY9088" s="34" t="s">
        <v>10015</v>
      </c>
      <c r="CZ9088" s="35">
        <v>7.1564159999999996E-3</v>
      </c>
    </row>
    <row r="9089" spans="103:104" x14ac:dyDescent="0.3">
      <c r="CY9089" s="34" t="s">
        <v>10016</v>
      </c>
      <c r="CZ9089" s="35">
        <v>2.5400944000000003E-3</v>
      </c>
    </row>
    <row r="9090" spans="103:104" x14ac:dyDescent="0.3">
      <c r="CY9090" s="34" t="s">
        <v>10017</v>
      </c>
      <c r="CZ9090" s="35">
        <v>0.10523440000000001</v>
      </c>
    </row>
    <row r="9091" spans="103:104" x14ac:dyDescent="0.3">
      <c r="CY9091" s="34" t="s">
        <v>10018</v>
      </c>
      <c r="CZ9091" s="35">
        <v>2.0687400000000003E-3</v>
      </c>
    </row>
    <row r="9092" spans="103:104" x14ac:dyDescent="0.3">
      <c r="CY9092" s="34" t="s">
        <v>10019</v>
      </c>
      <c r="CZ9092" s="35">
        <v>9.8677399999999998E-2</v>
      </c>
    </row>
    <row r="9093" spans="103:104" x14ac:dyDescent="0.3">
      <c r="CY9093" s="34" t="s">
        <v>10020</v>
      </c>
      <c r="CZ9093" s="35">
        <v>5.6608580000000006E-2</v>
      </c>
    </row>
    <row r="9094" spans="103:104" x14ac:dyDescent="0.3">
      <c r="CY9094" s="34" t="s">
        <v>10021</v>
      </c>
      <c r="CZ9094" s="35">
        <v>9.9547400000000008E-2</v>
      </c>
    </row>
    <row r="9095" spans="103:104" x14ac:dyDescent="0.3">
      <c r="CY9095" s="34" t="s">
        <v>10022</v>
      </c>
      <c r="CZ9095" s="35">
        <v>8.0035960000000003E-2</v>
      </c>
    </row>
    <row r="9096" spans="103:104" x14ac:dyDescent="0.3">
      <c r="CY9096" s="34" t="s">
        <v>10023</v>
      </c>
      <c r="CZ9096" s="35">
        <v>0.16026975999999998</v>
      </c>
    </row>
    <row r="9097" spans="103:104" x14ac:dyDescent="0.3">
      <c r="CY9097" s="34" t="s">
        <v>10024</v>
      </c>
      <c r="CZ9097" s="35">
        <v>2.7178384000000003E-2</v>
      </c>
    </row>
    <row r="9098" spans="103:104" x14ac:dyDescent="0.3">
      <c r="CY9098" s="34" t="s">
        <v>10025</v>
      </c>
      <c r="CZ9098" s="35">
        <v>3.6368240000000003E-2</v>
      </c>
    </row>
    <row r="9099" spans="103:104" x14ac:dyDescent="0.3">
      <c r="CY9099" s="34" t="s">
        <v>10026</v>
      </c>
      <c r="CZ9099" s="35">
        <v>1.6689386680000001E-2</v>
      </c>
    </row>
    <row r="9100" spans="103:104" x14ac:dyDescent="0.3">
      <c r="CY9100" s="34" t="s">
        <v>10027</v>
      </c>
      <c r="CZ9100" s="35">
        <v>3.1032266671428575E-2</v>
      </c>
    </row>
    <row r="9101" spans="103:104" x14ac:dyDescent="0.3">
      <c r="CY9101" s="34" t="s">
        <v>10028</v>
      </c>
      <c r="CZ9101" s="35">
        <v>1.3429351999999999E-2</v>
      </c>
    </row>
    <row r="9102" spans="103:104" x14ac:dyDescent="0.3">
      <c r="CY9102" s="34" t="s">
        <v>10029</v>
      </c>
      <c r="CZ9102" s="35">
        <v>4.6128673684210533E-4</v>
      </c>
    </row>
    <row r="9103" spans="103:104" x14ac:dyDescent="0.3">
      <c r="CY9103" s="34" t="s">
        <v>10030</v>
      </c>
      <c r="CZ9103" s="35">
        <v>5.3138137500000002E-3</v>
      </c>
    </row>
    <row r="9104" spans="103:104" x14ac:dyDescent="0.3">
      <c r="CY9104" s="34" t="s">
        <v>10031</v>
      </c>
      <c r="CZ9104" s="35">
        <v>1.4377371428571429E-3</v>
      </c>
    </row>
    <row r="9105" spans="103:104" x14ac:dyDescent="0.3">
      <c r="CY9105" s="34" t="s">
        <v>10032</v>
      </c>
      <c r="CZ9105" s="35">
        <v>8.1111289999999989E-2</v>
      </c>
    </row>
    <row r="9106" spans="103:104" x14ac:dyDescent="0.3">
      <c r="CY9106" s="34" t="s">
        <v>10033</v>
      </c>
      <c r="CZ9106" s="35">
        <v>8.8789445750000001E-2</v>
      </c>
    </row>
    <row r="9107" spans="103:104" x14ac:dyDescent="0.3">
      <c r="CY9107" s="34" t="s">
        <v>10034</v>
      </c>
      <c r="CZ9107" s="35">
        <v>2.2365544000000001E-2</v>
      </c>
    </row>
    <row r="9108" spans="103:104" x14ac:dyDescent="0.3">
      <c r="CY9108" s="34" t="s">
        <v>10035</v>
      </c>
      <c r="CZ9108" s="35">
        <v>5.49702E-3</v>
      </c>
    </row>
    <row r="9109" spans="103:104" x14ac:dyDescent="0.3">
      <c r="CY9109" s="34" t="s">
        <v>10036</v>
      </c>
      <c r="CZ9109" s="35">
        <v>2.1092120000000001E-3</v>
      </c>
    </row>
    <row r="9110" spans="103:104" x14ac:dyDescent="0.3">
      <c r="CY9110" s="34" t="s">
        <v>10037</v>
      </c>
      <c r="CZ9110" s="35">
        <v>2.1785333300000003E-3</v>
      </c>
    </row>
    <row r="9111" spans="103:104" x14ac:dyDescent="0.3">
      <c r="CY9111" s="34" t="s">
        <v>10038</v>
      </c>
      <c r="CZ9111" s="35">
        <v>4.1399919999999995E-3</v>
      </c>
    </row>
    <row r="9112" spans="103:104" x14ac:dyDescent="0.3">
      <c r="CY9112" s="34" t="s">
        <v>10039</v>
      </c>
      <c r="CZ9112" s="35">
        <v>4.0607200000000003E-3</v>
      </c>
    </row>
    <row r="9113" spans="103:104" x14ac:dyDescent="0.3">
      <c r="CY9113" s="34" t="s">
        <v>10040</v>
      </c>
      <c r="CZ9113" s="35">
        <v>2.9933264000000003E-3</v>
      </c>
    </row>
    <row r="9114" spans="103:104" x14ac:dyDescent="0.3">
      <c r="CY9114" s="34" t="s">
        <v>10041</v>
      </c>
      <c r="CZ9114" s="35">
        <v>1.8169910000000004E-3</v>
      </c>
    </row>
    <row r="9115" spans="103:104" x14ac:dyDescent="0.3">
      <c r="CY9115" s="34" t="s">
        <v>10042</v>
      </c>
      <c r="CZ9115" s="35">
        <v>2.0519138666666666E-3</v>
      </c>
    </row>
    <row r="9116" spans="103:104" x14ac:dyDescent="0.3">
      <c r="CY9116" s="34" t="s">
        <v>10043</v>
      </c>
      <c r="CZ9116" s="35">
        <v>1.3708533333333334E-3</v>
      </c>
    </row>
    <row r="9117" spans="103:104" x14ac:dyDescent="0.3">
      <c r="CY9117" s="34" t="s">
        <v>10044</v>
      </c>
      <c r="CZ9117" s="35">
        <v>8.4766800000000021E-3</v>
      </c>
    </row>
    <row r="9118" spans="103:104" x14ac:dyDescent="0.3">
      <c r="CY9118" s="34" t="s">
        <v>10045</v>
      </c>
      <c r="CZ9118" s="35">
        <v>2.0774479999999998E-2</v>
      </c>
    </row>
    <row r="9119" spans="103:104" x14ac:dyDescent="0.3">
      <c r="CY9119" s="34" t="s">
        <v>10046</v>
      </c>
      <c r="CZ9119" s="35">
        <v>5.9455439999999998E-2</v>
      </c>
    </row>
    <row r="9120" spans="103:104" x14ac:dyDescent="0.3">
      <c r="CY9120" s="34" t="s">
        <v>10047</v>
      </c>
      <c r="CZ9120" s="35">
        <v>5.3765280000000006E-2</v>
      </c>
    </row>
    <row r="9121" spans="103:104" x14ac:dyDescent="0.3">
      <c r="CY9121" s="34" t="s">
        <v>10048</v>
      </c>
      <c r="CZ9121" s="35">
        <v>4.3728000000000003E-2</v>
      </c>
    </row>
    <row r="9122" spans="103:104" x14ac:dyDescent="0.3">
      <c r="CY9122" s="34" t="s">
        <v>10049</v>
      </c>
      <c r="CZ9122" s="35">
        <v>4.6837520000000001E-2</v>
      </c>
    </row>
    <row r="9123" spans="103:104" x14ac:dyDescent="0.3">
      <c r="CY9123" s="34" t="s">
        <v>10050</v>
      </c>
      <c r="CZ9123" s="35">
        <v>8.4292960000000006E-4</v>
      </c>
    </row>
    <row r="9124" spans="103:104" x14ac:dyDescent="0.3">
      <c r="CY9124" s="34" t="s">
        <v>10051</v>
      </c>
      <c r="CZ9124" s="35">
        <v>9.9294400000000012E-3</v>
      </c>
    </row>
    <row r="9125" spans="103:104" x14ac:dyDescent="0.3">
      <c r="CY9125" s="34" t="s">
        <v>10052</v>
      </c>
      <c r="CZ9125" s="35">
        <v>1.3931279999999999E-2</v>
      </c>
    </row>
    <row r="9126" spans="103:104" x14ac:dyDescent="0.3">
      <c r="CY9126" s="34" t="s">
        <v>10053</v>
      </c>
      <c r="CZ9126" s="35">
        <v>6.1995999999999991E-4</v>
      </c>
    </row>
    <row r="9127" spans="103:104" x14ac:dyDescent="0.3">
      <c r="CY9127" s="34" t="s">
        <v>10054</v>
      </c>
      <c r="CZ9127" s="35">
        <v>5.0067199999999997E-4</v>
      </c>
    </row>
    <row r="9128" spans="103:104" x14ac:dyDescent="0.3">
      <c r="CY9128" s="34" t="s">
        <v>10055</v>
      </c>
      <c r="CZ9128" s="35">
        <v>5.5652000000000002E-4</v>
      </c>
    </row>
    <row r="9129" spans="103:104" x14ac:dyDescent="0.3">
      <c r="CY9129" s="34" t="s">
        <v>10056</v>
      </c>
      <c r="CZ9129" s="35">
        <v>6.0465119999999995E-4</v>
      </c>
    </row>
    <row r="9130" spans="103:104" x14ac:dyDescent="0.3">
      <c r="CY9130" s="34" t="s">
        <v>10057</v>
      </c>
      <c r="CZ9130" s="35">
        <v>5.6567719999999996E-4</v>
      </c>
    </row>
    <row r="9131" spans="103:104" x14ac:dyDescent="0.3">
      <c r="CY9131" s="34" t="s">
        <v>10058</v>
      </c>
      <c r="CZ9131" s="35">
        <v>4.7000240000000005E-4</v>
      </c>
    </row>
    <row r="9132" spans="103:104" x14ac:dyDescent="0.3">
      <c r="CY9132" s="34" t="s">
        <v>10059</v>
      </c>
      <c r="CZ9132" s="35">
        <v>1.2681389999999999E-3</v>
      </c>
    </row>
    <row r="9133" spans="103:104" x14ac:dyDescent="0.3">
      <c r="CY9133" s="34" t="s">
        <v>10060</v>
      </c>
      <c r="CZ9133" s="35">
        <v>1.0461094000000003E-3</v>
      </c>
    </row>
    <row r="9134" spans="103:104" x14ac:dyDescent="0.3">
      <c r="CY9134" s="34" t="s">
        <v>10061</v>
      </c>
      <c r="CZ9134" s="35">
        <v>8.5285660000000002E-4</v>
      </c>
    </row>
    <row r="9135" spans="103:104" x14ac:dyDescent="0.3">
      <c r="CY9135" s="34" t="s">
        <v>10062</v>
      </c>
      <c r="CZ9135" s="35">
        <v>6.1003219999999979E-4</v>
      </c>
    </row>
    <row r="9136" spans="103:104" x14ac:dyDescent="0.3">
      <c r="CY9136" s="34" t="s">
        <v>10063</v>
      </c>
      <c r="CZ9136" s="35">
        <v>5.0187389399999997E-3</v>
      </c>
    </row>
    <row r="9137" spans="103:104" x14ac:dyDescent="0.3">
      <c r="CY9137" s="34" t="s">
        <v>10064</v>
      </c>
      <c r="CZ9137" s="35">
        <v>1.5072600000000001E-3</v>
      </c>
    </row>
    <row r="9138" spans="103:104" x14ac:dyDescent="0.3">
      <c r="CY9138" s="34" t="s">
        <v>10065</v>
      </c>
      <c r="CZ9138" s="35">
        <v>2.3404602150537631E-2</v>
      </c>
    </row>
    <row r="9139" spans="103:104" x14ac:dyDescent="0.3">
      <c r="CY9139" s="34" t="s">
        <v>10066</v>
      </c>
      <c r="CZ9139" s="35">
        <v>8.795102222222223E-2</v>
      </c>
    </row>
    <row r="9140" spans="103:104" x14ac:dyDescent="0.3">
      <c r="CY9140" s="34" t="s">
        <v>10067</v>
      </c>
      <c r="CZ9140" s="35">
        <v>3.1248631999999998E-2</v>
      </c>
    </row>
    <row r="9141" spans="103:104" x14ac:dyDescent="0.3">
      <c r="CY9141" s="34" t="s">
        <v>10068</v>
      </c>
      <c r="CZ9141" s="35">
        <v>1.5230840000000001E-2</v>
      </c>
    </row>
    <row r="9142" spans="103:104" x14ac:dyDescent="0.3">
      <c r="CY9142" s="34" t="s">
        <v>10069</v>
      </c>
      <c r="CZ9142" s="35">
        <v>4.5449120000000003E-2</v>
      </c>
    </row>
    <row r="9143" spans="103:104" x14ac:dyDescent="0.3">
      <c r="CY9143" s="34" t="s">
        <v>10070</v>
      </c>
      <c r="CZ9143" s="35">
        <v>0.105399824</v>
      </c>
    </row>
    <row r="9144" spans="103:104" x14ac:dyDescent="0.3">
      <c r="CY9144" s="34" t="s">
        <v>10071</v>
      </c>
      <c r="CZ9144" s="35">
        <v>8.9128452999999996E-3</v>
      </c>
    </row>
    <row r="9145" spans="103:104" x14ac:dyDescent="0.3">
      <c r="CY9145" s="34" t="s">
        <v>10072</v>
      </c>
      <c r="CZ9145" s="35">
        <v>3.4979079999999996E-2</v>
      </c>
    </row>
    <row r="9146" spans="103:104" x14ac:dyDescent="0.3">
      <c r="CY9146" s="34" t="s">
        <v>10073</v>
      </c>
      <c r="CZ9146" s="35">
        <v>4.1290240000000002E-3</v>
      </c>
    </row>
    <row r="9147" spans="103:104" x14ac:dyDescent="0.3">
      <c r="CY9147" s="34" t="s">
        <v>10074</v>
      </c>
      <c r="CZ9147" s="35">
        <v>6.4627199999999999E-3</v>
      </c>
    </row>
    <row r="9148" spans="103:104" x14ac:dyDescent="0.3">
      <c r="CY9148" s="34" t="s">
        <v>10075</v>
      </c>
      <c r="CZ9148" s="35">
        <v>0.12300065882352941</v>
      </c>
    </row>
    <row r="9149" spans="103:104" x14ac:dyDescent="0.3">
      <c r="CY9149" s="34" t="s">
        <v>10076</v>
      </c>
      <c r="CZ9149" s="35">
        <v>0.13787839999999998</v>
      </c>
    </row>
    <row r="9150" spans="103:104" x14ac:dyDescent="0.3">
      <c r="CY9150" s="34" t="s">
        <v>10077</v>
      </c>
      <c r="CZ9150" s="35">
        <v>0.11724688</v>
      </c>
    </row>
    <row r="9151" spans="103:104" x14ac:dyDescent="0.3">
      <c r="CY9151" s="34" t="s">
        <v>10078</v>
      </c>
      <c r="CZ9151" s="35">
        <v>2.1514617999999998E-3</v>
      </c>
    </row>
    <row r="9152" spans="103:104" x14ac:dyDescent="0.3">
      <c r="CY9152" s="34" t="s">
        <v>10079</v>
      </c>
      <c r="CZ9152" s="35">
        <v>1.7015050650000002E-2</v>
      </c>
    </row>
    <row r="9153" spans="103:104" x14ac:dyDescent="0.3">
      <c r="CY9153" s="34" t="s">
        <v>10080</v>
      </c>
      <c r="CZ9153" s="35">
        <v>2.9441005749999999E-2</v>
      </c>
    </row>
    <row r="9154" spans="103:104" x14ac:dyDescent="0.3">
      <c r="CY9154" s="34" t="s">
        <v>10081</v>
      </c>
      <c r="CZ9154" s="35">
        <v>2.1227160000000005E-2</v>
      </c>
    </row>
    <row r="9155" spans="103:104" x14ac:dyDescent="0.3">
      <c r="CY9155" s="34" t="s">
        <v>10082</v>
      </c>
      <c r="CZ9155" s="35">
        <v>1.4E-2</v>
      </c>
    </row>
    <row r="9156" spans="103:104" x14ac:dyDescent="0.3">
      <c r="CY9156" s="34" t="s">
        <v>10083</v>
      </c>
      <c r="CZ9156" s="35">
        <v>7.9423173333333346E-4</v>
      </c>
    </row>
    <row r="9157" spans="103:104" x14ac:dyDescent="0.3">
      <c r="CY9157" s="34" t="s">
        <v>10084</v>
      </c>
      <c r="CZ9157" s="35">
        <v>2.2031080000000001E-2</v>
      </c>
    </row>
    <row r="9158" spans="103:104" x14ac:dyDescent="0.3">
      <c r="CY9158" s="34" t="s">
        <v>10085</v>
      </c>
      <c r="CZ9158" s="35">
        <v>0.238396</v>
      </c>
    </row>
    <row r="9159" spans="103:104" x14ac:dyDescent="0.3">
      <c r="CY9159" s="34" t="s">
        <v>10086</v>
      </c>
      <c r="CZ9159" s="35">
        <v>0.23236656</v>
      </c>
    </row>
    <row r="9160" spans="103:104" x14ac:dyDescent="0.3">
      <c r="CY9160" s="34" t="s">
        <v>10087</v>
      </c>
      <c r="CZ9160" s="35">
        <v>3.5220800000000003E-2</v>
      </c>
    </row>
    <row r="9161" spans="103:104" x14ac:dyDescent="0.3">
      <c r="CY9161" s="34" t="s">
        <v>10088</v>
      </c>
      <c r="CZ9161" s="35">
        <v>2.09201067E-2</v>
      </c>
    </row>
    <row r="9162" spans="103:104" x14ac:dyDescent="0.3">
      <c r="CY9162" s="34" t="s">
        <v>10089</v>
      </c>
      <c r="CZ9162" s="35">
        <v>1.4646335999999999E-2</v>
      </c>
    </row>
    <row r="9163" spans="103:104" x14ac:dyDescent="0.3">
      <c r="CY9163" s="34" t="s">
        <v>10090</v>
      </c>
      <c r="CZ9163" s="35">
        <v>3.2635546083333335E-3</v>
      </c>
    </row>
    <row r="9164" spans="103:104" x14ac:dyDescent="0.3">
      <c r="CY9164" s="34" t="s">
        <v>10091</v>
      </c>
      <c r="CZ9164" s="35">
        <v>5.4790720000000006E-3</v>
      </c>
    </row>
    <row r="9165" spans="103:104" x14ac:dyDescent="0.3">
      <c r="CY9165" s="34" t="s">
        <v>10092</v>
      </c>
      <c r="CZ9165" s="35">
        <v>5.2235199999999996E-2</v>
      </c>
    </row>
    <row r="9166" spans="103:104" x14ac:dyDescent="0.3">
      <c r="CY9166" s="34" t="s">
        <v>10093</v>
      </c>
      <c r="CZ9166" s="35">
        <v>7.8707919999999987E-2</v>
      </c>
    </row>
    <row r="9167" spans="103:104" x14ac:dyDescent="0.3">
      <c r="CY9167" s="34" t="s">
        <v>10094</v>
      </c>
      <c r="CZ9167" s="35">
        <v>2.9197520000000005E-4</v>
      </c>
    </row>
    <row r="9168" spans="103:104" x14ac:dyDescent="0.3">
      <c r="CY9168" s="34" t="s">
        <v>10095</v>
      </c>
      <c r="CZ9168" s="35">
        <v>2.7888360000000007E-3</v>
      </c>
    </row>
    <row r="9169" spans="103:104" x14ac:dyDescent="0.3">
      <c r="CY9169" s="34" t="s">
        <v>10096</v>
      </c>
      <c r="CZ9169" s="35">
        <v>2.6156251894736842E-2</v>
      </c>
    </row>
    <row r="9170" spans="103:104" x14ac:dyDescent="0.3">
      <c r="CY9170" s="34" t="s">
        <v>10097</v>
      </c>
      <c r="CZ9170" s="35">
        <v>2.7513200842105262E-2</v>
      </c>
    </row>
    <row r="9171" spans="103:104" x14ac:dyDescent="0.3">
      <c r="CY9171" s="34" t="s">
        <v>10098</v>
      </c>
      <c r="CZ9171" s="35">
        <v>9.7802965333333339E-2</v>
      </c>
    </row>
    <row r="9172" spans="103:104" x14ac:dyDescent="0.3">
      <c r="CY9172" s="34" t="s">
        <v>10099</v>
      </c>
      <c r="CZ9172" s="35">
        <v>7.6763631999999998E-2</v>
      </c>
    </row>
    <row r="9173" spans="103:104" x14ac:dyDescent="0.3">
      <c r="CY9173" s="34" t="s">
        <v>10100</v>
      </c>
      <c r="CZ9173" s="35">
        <v>4.3853903999999999E-2</v>
      </c>
    </row>
    <row r="9174" spans="103:104" x14ac:dyDescent="0.3">
      <c r="CY9174" s="34" t="s">
        <v>10101</v>
      </c>
      <c r="CZ9174" s="35">
        <v>5.1399935999999993E-2</v>
      </c>
    </row>
    <row r="9175" spans="103:104" x14ac:dyDescent="0.3">
      <c r="CY9175" s="34" t="s">
        <v>10102</v>
      </c>
      <c r="CZ9175" s="35">
        <v>6.9709223384615388E-4</v>
      </c>
    </row>
    <row r="9176" spans="103:104" x14ac:dyDescent="0.3">
      <c r="CY9176" s="34" t="s">
        <v>10103</v>
      </c>
      <c r="CZ9176" s="35">
        <v>1.7329742E-3</v>
      </c>
    </row>
    <row r="9177" spans="103:104" x14ac:dyDescent="0.3">
      <c r="CY9177" s="34" t="s">
        <v>10104</v>
      </c>
      <c r="CZ9177" s="35">
        <v>2.6930719999999998E-2</v>
      </c>
    </row>
    <row r="9178" spans="103:104" x14ac:dyDescent="0.3">
      <c r="CY9178" s="34" t="s">
        <v>10105</v>
      </c>
      <c r="CZ9178" s="35">
        <v>1.5871360000000001E-2</v>
      </c>
    </row>
    <row r="9179" spans="103:104" x14ac:dyDescent="0.3">
      <c r="CY9179" s="34" t="s">
        <v>10106</v>
      </c>
      <c r="CZ9179" s="35">
        <v>1.6732239999999998E-3</v>
      </c>
    </row>
    <row r="9180" spans="103:104" x14ac:dyDescent="0.3">
      <c r="CY9180" s="34" t="s">
        <v>10107</v>
      </c>
      <c r="CZ9180" s="35">
        <v>3.2728282352941181E-2</v>
      </c>
    </row>
    <row r="9181" spans="103:104" x14ac:dyDescent="0.3">
      <c r="CY9181" s="34" t="s">
        <v>10108</v>
      </c>
      <c r="CZ9181" s="35">
        <v>1.3055004510893246E-2</v>
      </c>
    </row>
    <row r="9182" spans="103:104" x14ac:dyDescent="0.3">
      <c r="CY9182" s="34" t="s">
        <v>10109</v>
      </c>
      <c r="CZ9182" s="35">
        <v>4.7149600000000001E-4</v>
      </c>
    </row>
    <row r="9183" spans="103:104" x14ac:dyDescent="0.3">
      <c r="CY9183" s="34" t="s">
        <v>10110</v>
      </c>
      <c r="CZ9183" s="35">
        <v>5.1360559999999997E-4</v>
      </c>
    </row>
    <row r="9184" spans="103:104" x14ac:dyDescent="0.3">
      <c r="CY9184" s="34" t="s">
        <v>10111</v>
      </c>
      <c r="CZ9184" s="35">
        <v>4.2109600000000004E-4</v>
      </c>
    </row>
    <row r="9185" spans="103:104" x14ac:dyDescent="0.3">
      <c r="CY9185" s="34" t="s">
        <v>10112</v>
      </c>
      <c r="CZ9185" s="35">
        <v>5.3207080000000004E-2</v>
      </c>
    </row>
    <row r="9186" spans="103:104" x14ac:dyDescent="0.3">
      <c r="CY9186" s="34" t="s">
        <v>10113</v>
      </c>
      <c r="CZ9186" s="35">
        <v>6.8029850000000003E-2</v>
      </c>
    </row>
    <row r="9187" spans="103:104" x14ac:dyDescent="0.3">
      <c r="CY9187" s="34" t="s">
        <v>10114</v>
      </c>
      <c r="CZ9187" s="35">
        <v>5.773968E-3</v>
      </c>
    </row>
    <row r="9188" spans="103:104" x14ac:dyDescent="0.3">
      <c r="CY9188" s="34" t="s">
        <v>10115</v>
      </c>
      <c r="CZ9188" s="35">
        <v>2.5657076000000001E-2</v>
      </c>
    </row>
    <row r="9189" spans="103:104" x14ac:dyDescent="0.3">
      <c r="CY9189" s="34" t="s">
        <v>10116</v>
      </c>
      <c r="CZ9189" s="35">
        <v>1.7735233338461536E-2</v>
      </c>
    </row>
    <row r="9190" spans="103:104" x14ac:dyDescent="0.3">
      <c r="CY9190" s="34" t="s">
        <v>10117</v>
      </c>
      <c r="CZ9190" s="35">
        <v>2.5657076000000001E-2</v>
      </c>
    </row>
    <row r="9191" spans="103:104" x14ac:dyDescent="0.3">
      <c r="CY9191" s="34" t="s">
        <v>10118</v>
      </c>
      <c r="CZ9191" s="35">
        <v>3.3519359999999998E-2</v>
      </c>
    </row>
    <row r="9192" spans="103:104" x14ac:dyDescent="0.3">
      <c r="CY9192" s="34" t="s">
        <v>10119</v>
      </c>
      <c r="CZ9192" s="35">
        <v>0.17507866666666669</v>
      </c>
    </row>
    <row r="9193" spans="103:104" x14ac:dyDescent="0.3">
      <c r="CY9193" s="34" t="s">
        <v>10120</v>
      </c>
      <c r="CZ9193" s="35">
        <v>6.6135199999999993E-4</v>
      </c>
    </row>
    <row r="9194" spans="103:104" x14ac:dyDescent="0.3">
      <c r="CY9194" s="34" t="s">
        <v>10121</v>
      </c>
      <c r="CZ9194" s="35">
        <v>6.6135200000000003E-4</v>
      </c>
    </row>
    <row r="9195" spans="103:104" x14ac:dyDescent="0.3">
      <c r="CY9195" s="34" t="s">
        <v>10122</v>
      </c>
      <c r="CZ9195" s="35">
        <v>6.2495199999999991E-4</v>
      </c>
    </row>
    <row r="9196" spans="103:104" x14ac:dyDescent="0.3">
      <c r="CY9196" s="34" t="s">
        <v>10123</v>
      </c>
      <c r="CZ9196" s="35">
        <v>6.2495199999999991E-4</v>
      </c>
    </row>
    <row r="9197" spans="103:104" x14ac:dyDescent="0.3">
      <c r="CY9197" s="34" t="s">
        <v>10124</v>
      </c>
      <c r="CZ9197" s="35">
        <v>0.14076773199999998</v>
      </c>
    </row>
    <row r="9198" spans="103:104" x14ac:dyDescent="0.3">
      <c r="CY9198" s="34" t="s">
        <v>10125</v>
      </c>
      <c r="CZ9198" s="35">
        <v>1.3243729142857143E-3</v>
      </c>
    </row>
    <row r="9199" spans="103:104" x14ac:dyDescent="0.3">
      <c r="CY9199" s="34" t="s">
        <v>10126</v>
      </c>
      <c r="CZ9199" s="35">
        <v>9.6774559999999996E-2</v>
      </c>
    </row>
    <row r="9200" spans="103:104" x14ac:dyDescent="0.3">
      <c r="CY9200" s="34" t="s">
        <v>10127</v>
      </c>
      <c r="CZ9200" s="35">
        <v>2.3865779999999999E-3</v>
      </c>
    </row>
    <row r="9201" spans="103:104" x14ac:dyDescent="0.3">
      <c r="CY9201" s="34" t="s">
        <v>10128</v>
      </c>
      <c r="CZ9201" s="35">
        <v>1.7438019999999999E-2</v>
      </c>
    </row>
    <row r="9202" spans="103:104" x14ac:dyDescent="0.3">
      <c r="CY9202" s="34" t="s">
        <v>10129</v>
      </c>
      <c r="CZ9202" s="35">
        <v>7.6979428571428568E-3</v>
      </c>
    </row>
    <row r="9203" spans="103:104" x14ac:dyDescent="0.3">
      <c r="CY9203" s="34" t="s">
        <v>10130</v>
      </c>
      <c r="CZ9203" s="35">
        <v>5.7358533333333331E-3</v>
      </c>
    </row>
    <row r="9204" spans="103:104" x14ac:dyDescent="0.3">
      <c r="CY9204" s="34" t="s">
        <v>10131</v>
      </c>
      <c r="CZ9204" s="35">
        <v>5.1807104000000007E-2</v>
      </c>
    </row>
    <row r="9205" spans="103:104" x14ac:dyDescent="0.3">
      <c r="CY9205" s="34" t="s">
        <v>10132</v>
      </c>
      <c r="CZ9205" s="35">
        <v>5.7921200000000006E-2</v>
      </c>
    </row>
    <row r="9206" spans="103:104" x14ac:dyDescent="0.3">
      <c r="CY9206" s="34" t="s">
        <v>10133</v>
      </c>
      <c r="CZ9206" s="35">
        <v>4.0245839999999998E-2</v>
      </c>
    </row>
    <row r="9207" spans="103:104" x14ac:dyDescent="0.3">
      <c r="CY9207" s="34" t="s">
        <v>10134</v>
      </c>
      <c r="CZ9207" s="35">
        <v>4.1137960000000001E-2</v>
      </c>
    </row>
    <row r="9208" spans="103:104" x14ac:dyDescent="0.3">
      <c r="CY9208" s="34" t="s">
        <v>10135</v>
      </c>
      <c r="CZ9208" s="35">
        <v>3.4553005599999999E-2</v>
      </c>
    </row>
    <row r="9209" spans="103:104" x14ac:dyDescent="0.3">
      <c r="CY9209" s="34" t="s">
        <v>10136</v>
      </c>
      <c r="CZ9209" s="35">
        <v>3.2941119999999997E-2</v>
      </c>
    </row>
    <row r="9210" spans="103:104" x14ac:dyDescent="0.3">
      <c r="CY9210" s="34" t="s">
        <v>10137</v>
      </c>
      <c r="CZ9210" s="35">
        <v>1.35703E-2</v>
      </c>
    </row>
    <row r="9211" spans="103:104" x14ac:dyDescent="0.3">
      <c r="CY9211" s="34" t="s">
        <v>10138</v>
      </c>
      <c r="CZ9211" s="35">
        <v>2.0062983325000002E-2</v>
      </c>
    </row>
    <row r="9212" spans="103:104" x14ac:dyDescent="0.3">
      <c r="CY9212" s="34" t="s">
        <v>10139</v>
      </c>
      <c r="CZ9212" s="35">
        <v>1.3467303999999999E-2</v>
      </c>
    </row>
    <row r="9213" spans="103:104" x14ac:dyDescent="0.3">
      <c r="CY9213" s="34" t="s">
        <v>10140</v>
      </c>
      <c r="CZ9213" s="35">
        <v>5.4790720000000006E-3</v>
      </c>
    </row>
    <row r="9214" spans="103:104" x14ac:dyDescent="0.3">
      <c r="CY9214" s="34" t="s">
        <v>10141</v>
      </c>
      <c r="CZ9214" s="35">
        <v>1.3100295999999999E-2</v>
      </c>
    </row>
    <row r="9215" spans="103:104" x14ac:dyDescent="0.3">
      <c r="CY9215" s="34" t="s">
        <v>10142</v>
      </c>
      <c r="CZ9215" s="35">
        <v>9.1067039999999985E-3</v>
      </c>
    </row>
    <row r="9216" spans="103:104" x14ac:dyDescent="0.3">
      <c r="CY9216" s="34" t="s">
        <v>10143</v>
      </c>
      <c r="CZ9216" s="35">
        <v>5.863290670000001E-3</v>
      </c>
    </row>
    <row r="9217" spans="103:104" x14ac:dyDescent="0.3">
      <c r="CY9217" s="34" t="s">
        <v>10144</v>
      </c>
      <c r="CZ9217" s="35">
        <v>2.1390506749999999E-3</v>
      </c>
    </row>
    <row r="9218" spans="103:104" x14ac:dyDescent="0.3">
      <c r="CY9218" s="34" t="s">
        <v>10145</v>
      </c>
      <c r="CZ9218" s="35">
        <v>4.017312E-2</v>
      </c>
    </row>
    <row r="9219" spans="103:104" x14ac:dyDescent="0.3">
      <c r="CY9219" s="34" t="s">
        <v>10146</v>
      </c>
      <c r="CZ9219" s="35">
        <v>1.8140960000000001E-2</v>
      </c>
    </row>
    <row r="9220" spans="103:104" x14ac:dyDescent="0.3">
      <c r="CY9220" s="34" t="s">
        <v>10147</v>
      </c>
      <c r="CZ9220" s="35">
        <v>0.17080700000000001</v>
      </c>
    </row>
    <row r="9221" spans="103:104" x14ac:dyDescent="0.3">
      <c r="CY9221" s="34" t="s">
        <v>10148</v>
      </c>
      <c r="CZ9221" s="35">
        <v>5.0252239999999997E-2</v>
      </c>
    </row>
    <row r="9222" spans="103:104" x14ac:dyDescent="0.3">
      <c r="CY9222" s="34" t="s">
        <v>10149</v>
      </c>
      <c r="CZ9222" s="35">
        <v>5.4517160000000002E-2</v>
      </c>
    </row>
    <row r="9223" spans="103:104" x14ac:dyDescent="0.3">
      <c r="CY9223" s="34" t="s">
        <v>10150</v>
      </c>
      <c r="CZ9223" s="35">
        <v>1.2706864E-3</v>
      </c>
    </row>
    <row r="9224" spans="103:104" x14ac:dyDescent="0.3">
      <c r="CY9224" s="34" t="s">
        <v>10151</v>
      </c>
      <c r="CZ9224" s="35">
        <v>3.79843296E-4</v>
      </c>
    </row>
    <row r="9225" spans="103:104" x14ac:dyDescent="0.3">
      <c r="CY9225" s="34" t="s">
        <v>10152</v>
      </c>
      <c r="CZ9225" s="35">
        <v>8.372439999999999E-4</v>
      </c>
    </row>
    <row r="9226" spans="103:104" x14ac:dyDescent="0.3">
      <c r="CY9226" s="34" t="s">
        <v>10153</v>
      </c>
      <c r="CZ9226" s="35">
        <v>9.8949600000000008E-4</v>
      </c>
    </row>
    <row r="9227" spans="103:104" x14ac:dyDescent="0.3">
      <c r="CY9227" s="34" t="s">
        <v>10154</v>
      </c>
      <c r="CZ9227" s="35">
        <v>0.11138072833333335</v>
      </c>
    </row>
    <row r="9228" spans="103:104" x14ac:dyDescent="0.3">
      <c r="CY9228" s="34" t="s">
        <v>10155</v>
      </c>
      <c r="CZ9228" s="35">
        <v>2.4901410000000002E-2</v>
      </c>
    </row>
    <row r="9229" spans="103:104" x14ac:dyDescent="0.3">
      <c r="CY9229" s="34" t="s">
        <v>10156</v>
      </c>
      <c r="CZ9229" s="35">
        <v>8.8633400000000002E-4</v>
      </c>
    </row>
    <row r="9230" spans="103:104" x14ac:dyDescent="0.3">
      <c r="CY9230" s="34" t="s">
        <v>10157</v>
      </c>
      <c r="CZ9230" s="35">
        <v>9.5734519999999992E-4</v>
      </c>
    </row>
    <row r="9231" spans="103:104" x14ac:dyDescent="0.3">
      <c r="CY9231" s="34" t="s">
        <v>10158</v>
      </c>
      <c r="CZ9231" s="35">
        <v>2.9253776E-3</v>
      </c>
    </row>
    <row r="9232" spans="103:104" x14ac:dyDescent="0.3">
      <c r="CY9232" s="34" t="s">
        <v>10159</v>
      </c>
      <c r="CZ9232" s="35">
        <v>2.1741599999999996E-3</v>
      </c>
    </row>
    <row r="9233" spans="103:104" x14ac:dyDescent="0.3">
      <c r="CY9233" s="34" t="s">
        <v>10160</v>
      </c>
      <c r="CZ9233" s="35">
        <v>1.5493800000000002E-3</v>
      </c>
    </row>
    <row r="9234" spans="103:104" x14ac:dyDescent="0.3">
      <c r="CY9234" s="34" t="s">
        <v>10161</v>
      </c>
      <c r="CZ9234" s="35">
        <v>2.4343999999999998E-3</v>
      </c>
    </row>
    <row r="9235" spans="103:104" x14ac:dyDescent="0.3">
      <c r="CY9235" s="34" t="s">
        <v>10162</v>
      </c>
      <c r="CZ9235" s="35">
        <v>2.4564000000000001E-3</v>
      </c>
    </row>
    <row r="9236" spans="103:104" x14ac:dyDescent="0.3">
      <c r="CY9236" s="34" t="s">
        <v>10163</v>
      </c>
      <c r="CZ9236" s="35">
        <v>6.7823199999999997E-4</v>
      </c>
    </row>
    <row r="9237" spans="103:104" x14ac:dyDescent="0.3">
      <c r="CY9237" s="34" t="s">
        <v>10164</v>
      </c>
      <c r="CZ9237" s="35">
        <v>0.67427380000000003</v>
      </c>
    </row>
    <row r="9238" spans="103:104" x14ac:dyDescent="0.3">
      <c r="CY9238" s="34" t="s">
        <v>10165</v>
      </c>
      <c r="CZ9238" s="35">
        <v>0.54099114699999995</v>
      </c>
    </row>
    <row r="9239" spans="103:104" x14ac:dyDescent="0.3">
      <c r="CY9239" s="34" t="s">
        <v>10166</v>
      </c>
      <c r="CZ9239" s="35">
        <v>1.7536E-2</v>
      </c>
    </row>
    <row r="9240" spans="103:104" x14ac:dyDescent="0.3">
      <c r="CY9240" s="34" t="s">
        <v>10167</v>
      </c>
      <c r="CZ9240" s="35">
        <v>2.4564000000000001E-3</v>
      </c>
    </row>
    <row r="9241" spans="103:104" x14ac:dyDescent="0.3">
      <c r="CY9241" s="34" t="s">
        <v>10168</v>
      </c>
      <c r="CZ9241" s="35">
        <v>8.4103839999999999E-2</v>
      </c>
    </row>
    <row r="9242" spans="103:104" x14ac:dyDescent="0.3">
      <c r="CY9242" s="34" t="s">
        <v>10169</v>
      </c>
      <c r="CZ9242" s="35">
        <v>7.0150639999999999E-4</v>
      </c>
    </row>
    <row r="9243" spans="103:104" x14ac:dyDescent="0.3">
      <c r="CY9243" s="34" t="s">
        <v>10170</v>
      </c>
      <c r="CZ9243" s="35">
        <v>5.3149200000000001E-2</v>
      </c>
    </row>
    <row r="9244" spans="103:104" x14ac:dyDescent="0.3">
      <c r="CY9244" s="34" t="s">
        <v>10171</v>
      </c>
      <c r="CZ9244" s="35">
        <v>0.10920273999999999</v>
      </c>
    </row>
    <row r="9245" spans="103:104" x14ac:dyDescent="0.3">
      <c r="CY9245" s="34" t="s">
        <v>10172</v>
      </c>
      <c r="CZ9245" s="35">
        <v>7.2833146700000004E-2</v>
      </c>
    </row>
    <row r="9246" spans="103:104" x14ac:dyDescent="0.3">
      <c r="CY9246" s="34" t="s">
        <v>10173</v>
      </c>
      <c r="CZ9246" s="35">
        <v>0.11278779999999999</v>
      </c>
    </row>
    <row r="9247" spans="103:104" x14ac:dyDescent="0.3">
      <c r="CY9247" s="34" t="s">
        <v>10174</v>
      </c>
      <c r="CZ9247" s="35">
        <v>5.15872E-2</v>
      </c>
    </row>
    <row r="9248" spans="103:104" x14ac:dyDescent="0.3">
      <c r="CY9248" s="34" t="s">
        <v>10175</v>
      </c>
      <c r="CZ9248" s="35">
        <v>5.1603200000000002E-2</v>
      </c>
    </row>
    <row r="9249" spans="103:104" x14ac:dyDescent="0.3">
      <c r="CY9249" s="34" t="s">
        <v>10176</v>
      </c>
      <c r="CZ9249" s="35">
        <v>9.07472E-2</v>
      </c>
    </row>
    <row r="9250" spans="103:104" x14ac:dyDescent="0.3">
      <c r="CY9250" s="34" t="s">
        <v>10177</v>
      </c>
      <c r="CZ9250" s="35">
        <v>8.4455679999999988E-3</v>
      </c>
    </row>
    <row r="9251" spans="103:104" x14ac:dyDescent="0.3">
      <c r="CY9251" s="34" t="s">
        <v>10178</v>
      </c>
      <c r="CZ9251" s="35">
        <v>0.1834211999334</v>
      </c>
    </row>
    <row r="9252" spans="103:104" x14ac:dyDescent="0.3">
      <c r="CY9252" s="34" t="s">
        <v>10179</v>
      </c>
      <c r="CZ9252" s="35">
        <v>8.8453133499999999E-3</v>
      </c>
    </row>
    <row r="9253" spans="103:104" x14ac:dyDescent="0.3">
      <c r="CY9253" s="34" t="s">
        <v>10180</v>
      </c>
      <c r="CZ9253" s="35">
        <v>6.2836533499999996E-3</v>
      </c>
    </row>
    <row r="9254" spans="103:104" x14ac:dyDescent="0.3">
      <c r="CY9254" s="34" t="s">
        <v>10181</v>
      </c>
      <c r="CZ9254" s="35">
        <v>2.0857960000000002E-2</v>
      </c>
    </row>
    <row r="9255" spans="103:104" x14ac:dyDescent="0.3">
      <c r="CY9255" s="34" t="s">
        <v>10182</v>
      </c>
      <c r="CZ9255" s="35">
        <v>7.9432640000000002E-3</v>
      </c>
    </row>
    <row r="9256" spans="103:104" x14ac:dyDescent="0.3">
      <c r="CY9256" s="34" t="s">
        <v>10183</v>
      </c>
      <c r="CZ9256" s="35">
        <v>4.1298960000000003E-2</v>
      </c>
    </row>
    <row r="9257" spans="103:104" x14ac:dyDescent="0.3">
      <c r="CY9257" s="34" t="s">
        <v>10184</v>
      </c>
      <c r="CZ9257" s="35">
        <v>3.2048020000000003E-2</v>
      </c>
    </row>
    <row r="9258" spans="103:104" x14ac:dyDescent="0.3">
      <c r="CY9258" s="34" t="s">
        <v>10185</v>
      </c>
      <c r="CZ9258" s="35">
        <v>5.4343573499999999E-2</v>
      </c>
    </row>
    <row r="9259" spans="103:104" x14ac:dyDescent="0.3">
      <c r="CY9259" s="34" t="s">
        <v>10186</v>
      </c>
      <c r="CZ9259" s="35">
        <v>4.820228E-2</v>
      </c>
    </row>
    <row r="9260" spans="103:104" x14ac:dyDescent="0.3">
      <c r="CY9260" s="34" t="s">
        <v>10187</v>
      </c>
      <c r="CZ9260" s="35">
        <v>4.820228E-2</v>
      </c>
    </row>
    <row r="9261" spans="103:104" x14ac:dyDescent="0.3">
      <c r="CY9261" s="34" t="s">
        <v>10188</v>
      </c>
      <c r="CZ9261" s="35">
        <v>4.3939720000000002E-2</v>
      </c>
    </row>
    <row r="9262" spans="103:104" x14ac:dyDescent="0.3">
      <c r="CY9262" s="34" t="s">
        <v>10189</v>
      </c>
      <c r="CZ9262" s="35">
        <v>7.8240719999999996E-3</v>
      </c>
    </row>
    <row r="9263" spans="103:104" x14ac:dyDescent="0.3">
      <c r="CY9263" s="34" t="s">
        <v>10190</v>
      </c>
      <c r="CZ9263" s="35">
        <v>7.8240719999999996E-3</v>
      </c>
    </row>
    <row r="9264" spans="103:104" x14ac:dyDescent="0.3">
      <c r="CY9264" s="34" t="s">
        <v>10191</v>
      </c>
      <c r="CZ9264" s="35">
        <v>9.191033999999999E-3</v>
      </c>
    </row>
    <row r="9265" spans="103:104" x14ac:dyDescent="0.3">
      <c r="CY9265" s="34" t="s">
        <v>10192</v>
      </c>
      <c r="CZ9265" s="35">
        <v>9.9019780000000005E-3</v>
      </c>
    </row>
    <row r="9266" spans="103:104" x14ac:dyDescent="0.3">
      <c r="CY9266" s="34" t="s">
        <v>10193</v>
      </c>
      <c r="CZ9266" s="35">
        <v>3.8710437696000001E-2</v>
      </c>
    </row>
    <row r="9267" spans="103:104" x14ac:dyDescent="0.3">
      <c r="CY9267" s="34" t="s">
        <v>10194</v>
      </c>
      <c r="CZ9267" s="35">
        <v>3.7435923936000003E-2</v>
      </c>
    </row>
    <row r="9268" spans="103:104" x14ac:dyDescent="0.3">
      <c r="CY9268" s="34" t="s">
        <v>10195</v>
      </c>
      <c r="CZ9268" s="35">
        <v>6.0009075200000005E-2</v>
      </c>
    </row>
    <row r="9269" spans="103:104" x14ac:dyDescent="0.3">
      <c r="CY9269" s="34" t="s">
        <v>10196</v>
      </c>
      <c r="CZ9269" s="35">
        <v>2.2605544000000003E-3</v>
      </c>
    </row>
    <row r="9270" spans="103:104" x14ac:dyDescent="0.3">
      <c r="CY9270" s="34" t="s">
        <v>10197</v>
      </c>
      <c r="CZ9270" s="35">
        <v>1.3440160000000002E-3</v>
      </c>
    </row>
    <row r="9271" spans="103:104" x14ac:dyDescent="0.3">
      <c r="CY9271" s="34" t="s">
        <v>10198</v>
      </c>
      <c r="CZ9271" s="35">
        <v>0.13489708570999998</v>
      </c>
    </row>
    <row r="9272" spans="103:104" x14ac:dyDescent="0.3">
      <c r="CY9272" s="34" t="s">
        <v>10199</v>
      </c>
      <c r="CZ9272" s="35">
        <v>1.6450032E-3</v>
      </c>
    </row>
    <row r="9273" spans="103:104" x14ac:dyDescent="0.3">
      <c r="CY9273" s="34" t="s">
        <v>10200</v>
      </c>
      <c r="CZ9273" s="35">
        <v>4.42928E-2</v>
      </c>
    </row>
    <row r="9274" spans="103:104" x14ac:dyDescent="0.3">
      <c r="CY9274" s="34" t="s">
        <v>10201</v>
      </c>
      <c r="CZ9274" s="35">
        <v>4.2416799999999998E-2</v>
      </c>
    </row>
    <row r="9275" spans="103:104" x14ac:dyDescent="0.3">
      <c r="CY9275" s="34" t="s">
        <v>10202</v>
      </c>
      <c r="CZ9275" s="35">
        <v>6.1943816000000006E-2</v>
      </c>
    </row>
    <row r="9276" spans="103:104" x14ac:dyDescent="0.3">
      <c r="CY9276" s="34" t="s">
        <v>10203</v>
      </c>
      <c r="CZ9276" s="35">
        <v>7.5350880000000009E-2</v>
      </c>
    </row>
    <row r="9277" spans="103:104" x14ac:dyDescent="0.3">
      <c r="CY9277" s="34" t="s">
        <v>10204</v>
      </c>
      <c r="CZ9277" s="35">
        <v>1.8494640000000001E-3</v>
      </c>
    </row>
    <row r="9278" spans="103:104" x14ac:dyDescent="0.3">
      <c r="CY9278" s="34" t="s">
        <v>10205</v>
      </c>
      <c r="CZ9278" s="35">
        <v>2.5796715470000002E-2</v>
      </c>
    </row>
    <row r="9279" spans="103:104" x14ac:dyDescent="0.3">
      <c r="CY9279" s="34" t="s">
        <v>10206</v>
      </c>
      <c r="CZ9279" s="35">
        <v>2.1563813500000001E-3</v>
      </c>
    </row>
    <row r="9280" spans="103:104" x14ac:dyDescent="0.3">
      <c r="CY9280" s="34" t="s">
        <v>10207</v>
      </c>
      <c r="CZ9280" s="35">
        <v>5.2343359999999992E-3</v>
      </c>
    </row>
    <row r="9281" spans="103:104" x14ac:dyDescent="0.3">
      <c r="CY9281" s="34" t="s">
        <v>10208</v>
      </c>
      <c r="CZ9281" s="35">
        <v>4.3913119999999996E-3</v>
      </c>
    </row>
    <row r="9282" spans="103:104" x14ac:dyDescent="0.3">
      <c r="CY9282" s="34" t="s">
        <v>10209</v>
      </c>
      <c r="CZ9282" s="35">
        <v>2.0590819999999999E-2</v>
      </c>
    </row>
    <row r="9283" spans="103:104" x14ac:dyDescent="0.3">
      <c r="CY9283" s="34" t="s">
        <v>10210</v>
      </c>
      <c r="CZ9283" s="35">
        <v>3.0602400000000001E-4</v>
      </c>
    </row>
    <row r="9284" spans="103:104" x14ac:dyDescent="0.3">
      <c r="CY9284" s="34" t="s">
        <v>10211</v>
      </c>
      <c r="CZ9284" s="35">
        <v>1.0183984000000001E-3</v>
      </c>
    </row>
    <row r="9285" spans="103:104" x14ac:dyDescent="0.3">
      <c r="CY9285" s="34" t="s">
        <v>10212</v>
      </c>
      <c r="CZ9285" s="35">
        <v>1.9040179999999997E-2</v>
      </c>
    </row>
    <row r="9286" spans="103:104" x14ac:dyDescent="0.3">
      <c r="CY9286" s="34" t="s">
        <v>10213</v>
      </c>
      <c r="CZ9286" s="35">
        <v>1.0842975999999999E-2</v>
      </c>
    </row>
    <row r="9287" spans="103:104" x14ac:dyDescent="0.3">
      <c r="CY9287" s="34" t="s">
        <v>10214</v>
      </c>
      <c r="CZ9287" s="35">
        <v>6.698159999999999E-3</v>
      </c>
    </row>
    <row r="9288" spans="103:104" x14ac:dyDescent="0.3">
      <c r="CY9288" s="34" t="s">
        <v>10215</v>
      </c>
      <c r="CZ9288" s="35">
        <v>3.484984E-2</v>
      </c>
    </row>
    <row r="9289" spans="103:104" x14ac:dyDescent="0.3">
      <c r="CY9289" s="34" t="s">
        <v>10216</v>
      </c>
      <c r="CZ9289" s="35">
        <v>2.6015897359999998E-2</v>
      </c>
    </row>
    <row r="9290" spans="103:104" x14ac:dyDescent="0.3">
      <c r="CY9290" s="34" t="s">
        <v>10217</v>
      </c>
      <c r="CZ9290" s="35">
        <v>3.4728000000000003E-3</v>
      </c>
    </row>
    <row r="9291" spans="103:104" x14ac:dyDescent="0.3">
      <c r="CY9291" s="34" t="s">
        <v>10218</v>
      </c>
      <c r="CZ9291" s="35">
        <v>1.5749631999999998E-3</v>
      </c>
    </row>
    <row r="9292" spans="103:104" x14ac:dyDescent="0.3">
      <c r="CY9292" s="34" t="s">
        <v>10219</v>
      </c>
      <c r="CZ9292" s="35">
        <v>3.4684080000000001E-3</v>
      </c>
    </row>
    <row r="9293" spans="103:104" x14ac:dyDescent="0.3">
      <c r="CY9293" s="34" t="s">
        <v>10220</v>
      </c>
      <c r="CZ9293" s="35">
        <v>5.957896E-2</v>
      </c>
    </row>
    <row r="9294" spans="103:104" x14ac:dyDescent="0.3">
      <c r="CY9294" s="34" t="s">
        <v>10221</v>
      </c>
      <c r="CZ9294" s="35">
        <v>6.6384719999999994E-2</v>
      </c>
    </row>
    <row r="9295" spans="103:104" x14ac:dyDescent="0.3">
      <c r="CY9295" s="34" t="s">
        <v>10222</v>
      </c>
      <c r="CZ9295" s="35">
        <v>7.4891919999999987E-2</v>
      </c>
    </row>
    <row r="9296" spans="103:104" x14ac:dyDescent="0.3">
      <c r="CY9296" s="34" t="s">
        <v>10223</v>
      </c>
      <c r="CZ9296" s="35">
        <v>1.2617537999999999E-2</v>
      </c>
    </row>
    <row r="9297" spans="103:104" x14ac:dyDescent="0.3">
      <c r="CY9297" s="34" t="s">
        <v>10224</v>
      </c>
      <c r="CZ9297" s="35">
        <v>8.66784E-4</v>
      </c>
    </row>
    <row r="9298" spans="103:104" x14ac:dyDescent="0.3">
      <c r="CY9298" s="34" t="s">
        <v>10225</v>
      </c>
      <c r="CZ9298" s="35">
        <v>2.8501743999999997E-3</v>
      </c>
    </row>
    <row r="9299" spans="103:104" x14ac:dyDescent="0.3">
      <c r="CY9299" s="34" t="s">
        <v>10226</v>
      </c>
      <c r="CZ9299" s="35">
        <v>7.9894159999999994E-4</v>
      </c>
    </row>
    <row r="9300" spans="103:104" x14ac:dyDescent="0.3">
      <c r="CY9300" s="34" t="s">
        <v>10227</v>
      </c>
      <c r="CZ9300" s="35">
        <v>7.9894159999999994E-4</v>
      </c>
    </row>
    <row r="9301" spans="103:104" x14ac:dyDescent="0.3">
      <c r="CY9301" s="34" t="s">
        <v>10228</v>
      </c>
      <c r="CZ9301" s="35">
        <v>9.181879999999999E-4</v>
      </c>
    </row>
    <row r="9302" spans="103:104" x14ac:dyDescent="0.3">
      <c r="CY9302" s="34" t="s">
        <v>10229</v>
      </c>
      <c r="CZ9302" s="35">
        <v>1.0783375999999999E-3</v>
      </c>
    </row>
    <row r="9303" spans="103:104" x14ac:dyDescent="0.3">
      <c r="CY9303" s="34" t="s">
        <v>10230</v>
      </c>
      <c r="CZ9303" s="35">
        <v>0.51370359999999993</v>
      </c>
    </row>
    <row r="9304" spans="103:104" x14ac:dyDescent="0.3">
      <c r="CY9304" s="34" t="s">
        <v>10231</v>
      </c>
      <c r="CZ9304" s="35">
        <v>2.9931782400000002E-2</v>
      </c>
    </row>
    <row r="9305" spans="103:104" x14ac:dyDescent="0.3">
      <c r="CY9305" s="34" t="s">
        <v>10232</v>
      </c>
      <c r="CZ9305" s="35">
        <v>6.9992014166666665E-3</v>
      </c>
    </row>
    <row r="9306" spans="103:104" x14ac:dyDescent="0.3">
      <c r="CY9306" s="34" t="s">
        <v>10233</v>
      </c>
      <c r="CZ9306" s="35">
        <v>1.5374134216666667E-2</v>
      </c>
    </row>
    <row r="9307" spans="103:104" x14ac:dyDescent="0.3">
      <c r="CY9307" s="34" t="s">
        <v>10234</v>
      </c>
      <c r="CZ9307" s="35">
        <v>1.5493800000000002E-3</v>
      </c>
    </row>
    <row r="9308" spans="103:104" x14ac:dyDescent="0.3">
      <c r="CY9308" s="34" t="s">
        <v>10235</v>
      </c>
      <c r="CZ9308" s="35">
        <v>3.473884E-2</v>
      </c>
    </row>
    <row r="9309" spans="103:104" x14ac:dyDescent="0.3">
      <c r="CY9309" s="34" t="s">
        <v>10236</v>
      </c>
      <c r="CZ9309" s="35">
        <v>3.3220699999999999E-3</v>
      </c>
    </row>
    <row r="9310" spans="103:104" x14ac:dyDescent="0.3">
      <c r="CY9310" s="34" t="s">
        <v>10237</v>
      </c>
      <c r="CZ9310" s="35">
        <v>0.18153733333333333</v>
      </c>
    </row>
    <row r="9311" spans="103:104" x14ac:dyDescent="0.3">
      <c r="CY9311" s="34" t="s">
        <v>10238</v>
      </c>
      <c r="CZ9311" s="35">
        <v>1.185724E-3</v>
      </c>
    </row>
    <row r="9312" spans="103:104" x14ac:dyDescent="0.3">
      <c r="CY9312" s="34" t="s">
        <v>10239</v>
      </c>
      <c r="CZ9312" s="35">
        <v>1.6411759999999999E-4</v>
      </c>
    </row>
    <row r="9313" spans="103:104" x14ac:dyDescent="0.3">
      <c r="CY9313" s="34" t="s">
        <v>10240</v>
      </c>
      <c r="CZ9313" s="35">
        <v>1.9708559999999999E-4</v>
      </c>
    </row>
    <row r="9314" spans="103:104" x14ac:dyDescent="0.3">
      <c r="CY9314" s="34" t="s">
        <v>10241</v>
      </c>
      <c r="CZ9314" s="35">
        <v>4.6095987500000005E-2</v>
      </c>
    </row>
    <row r="9315" spans="103:104" x14ac:dyDescent="0.3">
      <c r="CY9315" s="34" t="s">
        <v>10242</v>
      </c>
      <c r="CZ9315" s="35">
        <v>7.1938600000000005E-2</v>
      </c>
    </row>
    <row r="9316" spans="103:104" x14ac:dyDescent="0.3">
      <c r="CY9316" s="34" t="s">
        <v>10243</v>
      </c>
      <c r="CZ9316" s="35">
        <v>4.5967300000000003E-3</v>
      </c>
    </row>
    <row r="9317" spans="103:104" x14ac:dyDescent="0.3">
      <c r="CY9317" s="34" t="s">
        <v>10244</v>
      </c>
      <c r="CZ9317" s="35">
        <v>3.0803684000000001E-3</v>
      </c>
    </row>
    <row r="9318" spans="103:104" x14ac:dyDescent="0.3">
      <c r="CY9318" s="34" t="s">
        <v>10245</v>
      </c>
      <c r="CZ9318" s="35">
        <v>4.0393E-3</v>
      </c>
    </row>
    <row r="9319" spans="103:104" x14ac:dyDescent="0.3">
      <c r="CY9319" s="34" t="s">
        <v>10246</v>
      </c>
      <c r="CZ9319" s="35">
        <v>1.7271619999999998E-2</v>
      </c>
    </row>
    <row r="9320" spans="103:104" x14ac:dyDescent="0.3">
      <c r="CY9320" s="34" t="s">
        <v>10247</v>
      </c>
      <c r="CZ9320" s="35">
        <v>5.4118400000000004E-2</v>
      </c>
    </row>
    <row r="9321" spans="103:104" x14ac:dyDescent="0.3">
      <c r="CY9321" s="34" t="s">
        <v>10248</v>
      </c>
      <c r="CZ9321" s="35">
        <v>1.8982080000000002E-2</v>
      </c>
    </row>
    <row r="9322" spans="103:104" x14ac:dyDescent="0.3">
      <c r="CY9322" s="34" t="s">
        <v>10249</v>
      </c>
      <c r="CZ9322" s="35">
        <v>0.10755776</v>
      </c>
    </row>
    <row r="9323" spans="103:104" x14ac:dyDescent="0.3">
      <c r="CY9323" s="34" t="s">
        <v>10250</v>
      </c>
      <c r="CZ9323" s="35">
        <v>4.5701760000000001E-2</v>
      </c>
    </row>
    <row r="9324" spans="103:104" x14ac:dyDescent="0.3">
      <c r="CY9324" s="34" t="s">
        <v>10251</v>
      </c>
      <c r="CZ9324" s="35">
        <v>3.9192320000000003E-2</v>
      </c>
    </row>
    <row r="9325" spans="103:104" x14ac:dyDescent="0.3">
      <c r="CY9325" s="34" t="s">
        <v>10252</v>
      </c>
      <c r="CZ9325" s="35">
        <v>1.1519040000000001E-2</v>
      </c>
    </row>
    <row r="9326" spans="103:104" x14ac:dyDescent="0.3">
      <c r="CY9326" s="34" t="s">
        <v>10253</v>
      </c>
      <c r="CZ9326" s="35">
        <v>0.12279168</v>
      </c>
    </row>
    <row r="9327" spans="103:104" x14ac:dyDescent="0.3">
      <c r="CY9327" s="34" t="s">
        <v>10254</v>
      </c>
      <c r="CZ9327" s="35">
        <v>5.331872E-2</v>
      </c>
    </row>
    <row r="9328" spans="103:104" x14ac:dyDescent="0.3">
      <c r="CY9328" s="34" t="s">
        <v>10255</v>
      </c>
      <c r="CZ9328" s="35">
        <v>6.1100960000000003E-2</v>
      </c>
    </row>
    <row r="9329" spans="103:104" x14ac:dyDescent="0.3">
      <c r="CY9329" s="34" t="s">
        <v>10256</v>
      </c>
      <c r="CZ9329" s="35">
        <v>2.2473360000000001E-2</v>
      </c>
    </row>
    <row r="9330" spans="103:104" x14ac:dyDescent="0.3">
      <c r="CY9330" s="34" t="s">
        <v>10257</v>
      </c>
      <c r="CZ9330" s="35">
        <v>4.2886400000000005E-2</v>
      </c>
    </row>
    <row r="9331" spans="103:104" x14ac:dyDescent="0.3">
      <c r="CY9331" s="34" t="s">
        <v>10258</v>
      </c>
      <c r="CZ9331" s="35">
        <v>1.3366080000000001E-2</v>
      </c>
    </row>
    <row r="9332" spans="103:104" x14ac:dyDescent="0.3">
      <c r="CY9332" s="34" t="s">
        <v>10259</v>
      </c>
      <c r="CZ9332" s="35">
        <v>0.55010541300000004</v>
      </c>
    </row>
    <row r="9333" spans="103:104" x14ac:dyDescent="0.3">
      <c r="CY9333" s="34" t="s">
        <v>10260</v>
      </c>
      <c r="CZ9333" s="35">
        <v>0.54840813300000002</v>
      </c>
    </row>
    <row r="9334" spans="103:104" x14ac:dyDescent="0.3">
      <c r="CY9334" s="34" t="s">
        <v>10261</v>
      </c>
      <c r="CZ9334" s="35">
        <v>3.5978400000000001E-2</v>
      </c>
    </row>
    <row r="9335" spans="103:104" x14ac:dyDescent="0.3">
      <c r="CY9335" s="34" t="s">
        <v>10262</v>
      </c>
      <c r="CZ9335" s="35">
        <v>1.376464E-3</v>
      </c>
    </row>
    <row r="9336" spans="103:104" x14ac:dyDescent="0.3">
      <c r="CY9336" s="34" t="s">
        <v>10263</v>
      </c>
      <c r="CZ9336" s="35">
        <v>1.3712640000000001E-3</v>
      </c>
    </row>
    <row r="9337" spans="103:104" x14ac:dyDescent="0.3">
      <c r="CY9337" s="34" t="s">
        <v>10264</v>
      </c>
      <c r="CZ9337" s="35">
        <v>9.839479999999999E-4</v>
      </c>
    </row>
    <row r="9338" spans="103:104" x14ac:dyDescent="0.3">
      <c r="CY9338" s="34" t="s">
        <v>10265</v>
      </c>
      <c r="CZ9338" s="35">
        <v>1.2666639999999998E-3</v>
      </c>
    </row>
    <row r="9339" spans="103:104" x14ac:dyDescent="0.3">
      <c r="CY9339" s="34" t="s">
        <v>10266</v>
      </c>
      <c r="CZ9339" s="35">
        <v>7.55432E-4</v>
      </c>
    </row>
    <row r="9340" spans="103:104" x14ac:dyDescent="0.3">
      <c r="CY9340" s="34" t="s">
        <v>10267</v>
      </c>
      <c r="CZ9340" s="35">
        <v>7.7051520000000001E-4</v>
      </c>
    </row>
    <row r="9341" spans="103:104" x14ac:dyDescent="0.3">
      <c r="CY9341" s="34" t="s">
        <v>10268</v>
      </c>
      <c r="CZ9341" s="35">
        <v>2.9078631999999997E-3</v>
      </c>
    </row>
    <row r="9342" spans="103:104" x14ac:dyDescent="0.3">
      <c r="CY9342" s="34" t="s">
        <v>10269</v>
      </c>
      <c r="CZ9342" s="35">
        <v>3.0686400000000001E-3</v>
      </c>
    </row>
    <row r="9343" spans="103:104" x14ac:dyDescent="0.3">
      <c r="CY9343" s="34" t="s">
        <v>10270</v>
      </c>
      <c r="CZ9343" s="35">
        <v>2.8446631999999999E-3</v>
      </c>
    </row>
    <row r="9344" spans="103:104" x14ac:dyDescent="0.3">
      <c r="CY9344" s="34" t="s">
        <v>10271</v>
      </c>
      <c r="CZ9344" s="35">
        <v>7.7918639999999999E-4</v>
      </c>
    </row>
    <row r="9345" spans="103:104" x14ac:dyDescent="0.3">
      <c r="CY9345" s="34" t="s">
        <v>10272</v>
      </c>
      <c r="CZ9345" s="35">
        <v>8.2393866666666661E-4</v>
      </c>
    </row>
    <row r="9346" spans="103:104" x14ac:dyDescent="0.3">
      <c r="CY9346" s="34" t="s">
        <v>10273</v>
      </c>
      <c r="CZ9346" s="35">
        <v>1.1580885196E-2</v>
      </c>
    </row>
    <row r="9347" spans="103:104" x14ac:dyDescent="0.3">
      <c r="CY9347" s="34" t="s">
        <v>10274</v>
      </c>
      <c r="CZ9347" s="35">
        <v>2.42916E-2</v>
      </c>
    </row>
    <row r="9348" spans="103:104" x14ac:dyDescent="0.3">
      <c r="CY9348" s="34" t="s">
        <v>10275</v>
      </c>
      <c r="CZ9348" s="35">
        <v>4.6794904919999991E-2</v>
      </c>
    </row>
    <row r="9349" spans="103:104" x14ac:dyDescent="0.3">
      <c r="CY9349" s="34" t="s">
        <v>10276</v>
      </c>
      <c r="CZ9349" s="35">
        <v>1.6036112000000002E-2</v>
      </c>
    </row>
    <row r="9350" spans="103:104" x14ac:dyDescent="0.3">
      <c r="CY9350" s="34" t="s">
        <v>10277</v>
      </c>
      <c r="CZ9350" s="35">
        <v>9.1476999999999999E-3</v>
      </c>
    </row>
    <row r="9351" spans="103:104" x14ac:dyDescent="0.3">
      <c r="CY9351" s="34" t="s">
        <v>10278</v>
      </c>
      <c r="CZ9351" s="35">
        <v>0.27183100000000004</v>
      </c>
    </row>
    <row r="9352" spans="103:104" x14ac:dyDescent="0.3">
      <c r="CY9352" s="34" t="s">
        <v>10279</v>
      </c>
      <c r="CZ9352" s="35">
        <v>0.14118763135999998</v>
      </c>
    </row>
    <row r="9353" spans="103:104" x14ac:dyDescent="0.3">
      <c r="CY9353" s="34" t="s">
        <v>10280</v>
      </c>
      <c r="CZ9353" s="35">
        <v>4.0171520000000009E-2</v>
      </c>
    </row>
    <row r="9354" spans="103:104" x14ac:dyDescent="0.3">
      <c r="CY9354" s="34" t="s">
        <v>10281</v>
      </c>
      <c r="CZ9354" s="35">
        <v>5.5349866700000003E-3</v>
      </c>
    </row>
    <row r="9355" spans="103:104" x14ac:dyDescent="0.3">
      <c r="CY9355" s="34" t="s">
        <v>10282</v>
      </c>
      <c r="CZ9355" s="35">
        <v>4.3283232887500002E-2</v>
      </c>
    </row>
    <row r="9356" spans="103:104" x14ac:dyDescent="0.3">
      <c r="CY9356" s="34" t="s">
        <v>10283</v>
      </c>
      <c r="CZ9356" s="35">
        <v>8.3804266666666662E-3</v>
      </c>
    </row>
    <row r="9357" spans="103:104" x14ac:dyDescent="0.3">
      <c r="CY9357" s="34" t="s">
        <v>10284</v>
      </c>
      <c r="CZ9357" s="35">
        <v>1.073735E-4</v>
      </c>
    </row>
    <row r="9358" spans="103:104" x14ac:dyDescent="0.3">
      <c r="CY9358" s="34" t="s">
        <v>10285</v>
      </c>
      <c r="CZ9358" s="35">
        <v>1.9152119999999998E-4</v>
      </c>
    </row>
    <row r="9359" spans="103:104" x14ac:dyDescent="0.3">
      <c r="CY9359" s="34" t="s">
        <v>10286</v>
      </c>
      <c r="CZ9359" s="35">
        <v>9.5518400000000009E-4</v>
      </c>
    </row>
    <row r="9360" spans="103:104" x14ac:dyDescent="0.3">
      <c r="CY9360" s="34" t="s">
        <v>10287</v>
      </c>
      <c r="CZ9360" s="35">
        <v>2.9953799999999999E-2</v>
      </c>
    </row>
    <row r="9361" spans="103:104" x14ac:dyDescent="0.3">
      <c r="CY9361" s="34" t="s">
        <v>10288</v>
      </c>
      <c r="CZ9361" s="35">
        <v>4.7164266625000003E-3</v>
      </c>
    </row>
    <row r="9362" spans="103:104" x14ac:dyDescent="0.3">
      <c r="CY9362" s="34" t="s">
        <v>10289</v>
      </c>
      <c r="CZ9362" s="35">
        <v>1.6099700000000001E-3</v>
      </c>
    </row>
    <row r="9363" spans="103:104" x14ac:dyDescent="0.3">
      <c r="CY9363" s="34" t="s">
        <v>10290</v>
      </c>
      <c r="CZ9363" s="35">
        <v>8.9965280000000002E-3</v>
      </c>
    </row>
    <row r="9364" spans="103:104" x14ac:dyDescent="0.3">
      <c r="CY9364" s="34" t="s">
        <v>10291</v>
      </c>
      <c r="CZ9364" s="35">
        <v>3.4217119999999999E-3</v>
      </c>
    </row>
    <row r="9365" spans="103:104" x14ac:dyDescent="0.3">
      <c r="CY9365" s="34" t="s">
        <v>10292</v>
      </c>
      <c r="CZ9365" s="35">
        <v>4.392974E-3</v>
      </c>
    </row>
    <row r="9366" spans="103:104" x14ac:dyDescent="0.3">
      <c r="CY9366" s="34" t="s">
        <v>10293</v>
      </c>
      <c r="CZ9366" s="35">
        <v>2.0354208000000003E-3</v>
      </c>
    </row>
    <row r="9367" spans="103:104" x14ac:dyDescent="0.3">
      <c r="CY9367" s="34" t="s">
        <v>10294</v>
      </c>
      <c r="CZ9367" s="35">
        <v>1.1827413333333333E-3</v>
      </c>
    </row>
    <row r="9368" spans="103:104" x14ac:dyDescent="0.3">
      <c r="CY9368" s="34" t="s">
        <v>10295</v>
      </c>
      <c r="CZ9368" s="35">
        <v>1.4632960000000002E-3</v>
      </c>
    </row>
    <row r="9369" spans="103:104" x14ac:dyDescent="0.3">
      <c r="CY9369" s="34" t="s">
        <v>10296</v>
      </c>
      <c r="CZ9369" s="35">
        <v>3.1558143999999996E-2</v>
      </c>
    </row>
    <row r="9370" spans="103:104" x14ac:dyDescent="0.3">
      <c r="CY9370" s="34" t="s">
        <v>10297</v>
      </c>
      <c r="CZ9370" s="35">
        <v>2.452708E-2</v>
      </c>
    </row>
    <row r="9371" spans="103:104" x14ac:dyDescent="0.3">
      <c r="CY9371" s="34" t="s">
        <v>10298</v>
      </c>
      <c r="CZ9371" s="35">
        <v>5.2528773333333336E-3</v>
      </c>
    </row>
    <row r="9372" spans="103:104" x14ac:dyDescent="0.3">
      <c r="CY9372" s="34" t="s">
        <v>10299</v>
      </c>
      <c r="CZ9372" s="35">
        <v>3.2826480000000005E-2</v>
      </c>
    </row>
    <row r="9373" spans="103:104" x14ac:dyDescent="0.3">
      <c r="CY9373" s="34" t="s">
        <v>10300</v>
      </c>
      <c r="CZ9373" s="35">
        <v>5.5296720000000001E-2</v>
      </c>
    </row>
    <row r="9374" spans="103:104" x14ac:dyDescent="0.3">
      <c r="CY9374" s="34" t="s">
        <v>10301</v>
      </c>
      <c r="CZ9374" s="35">
        <v>6.4320559999999999E-2</v>
      </c>
    </row>
    <row r="9375" spans="103:104" x14ac:dyDescent="0.3">
      <c r="CY9375" s="34" t="s">
        <v>10302</v>
      </c>
      <c r="CZ9375" s="35">
        <v>5.942944E-2</v>
      </c>
    </row>
    <row r="9376" spans="103:104" x14ac:dyDescent="0.3">
      <c r="CY9376" s="34" t="s">
        <v>10303</v>
      </c>
      <c r="CZ9376" s="35">
        <v>2.3230560000000004E-2</v>
      </c>
    </row>
    <row r="9377" spans="103:104" x14ac:dyDescent="0.3">
      <c r="CY9377" s="34" t="s">
        <v>10304</v>
      </c>
      <c r="CZ9377" s="35">
        <v>2.640464E-2</v>
      </c>
    </row>
    <row r="9378" spans="103:104" x14ac:dyDescent="0.3">
      <c r="CY9378" s="34" t="s">
        <v>10305</v>
      </c>
      <c r="CZ9378" s="35">
        <v>2.3230560000000004E-2</v>
      </c>
    </row>
    <row r="9379" spans="103:104" x14ac:dyDescent="0.3">
      <c r="CY9379" s="34" t="s">
        <v>10306</v>
      </c>
      <c r="CZ9379" s="35">
        <v>2.0577832000000001E-2</v>
      </c>
    </row>
    <row r="9380" spans="103:104" x14ac:dyDescent="0.3">
      <c r="CY9380" s="34" t="s">
        <v>10307</v>
      </c>
      <c r="CZ9380" s="35">
        <v>0.1946126</v>
      </c>
    </row>
    <row r="9381" spans="103:104" x14ac:dyDescent="0.3">
      <c r="CY9381" s="34" t="s">
        <v>10308</v>
      </c>
      <c r="CZ9381" s="35">
        <v>3.3929413350000007E-2</v>
      </c>
    </row>
    <row r="9382" spans="103:104" x14ac:dyDescent="0.3">
      <c r="CY9382" s="34" t="s">
        <v>10309</v>
      </c>
      <c r="CZ9382" s="35">
        <v>3.0654480000000001E-2</v>
      </c>
    </row>
    <row r="9383" spans="103:104" x14ac:dyDescent="0.3">
      <c r="CY9383" s="34" t="s">
        <v>10310</v>
      </c>
      <c r="CZ9383" s="35">
        <v>4.5419333333333339E-2</v>
      </c>
    </row>
    <row r="9384" spans="103:104" x14ac:dyDescent="0.3">
      <c r="CY9384" s="34" t="s">
        <v>10311</v>
      </c>
      <c r="CZ9384" s="35">
        <v>6.0216106600000001E-3</v>
      </c>
    </row>
    <row r="9385" spans="103:104" x14ac:dyDescent="0.3">
      <c r="CY9385" s="34" t="s">
        <v>10312</v>
      </c>
      <c r="CZ9385" s="35">
        <v>7.6940560000000012E-4</v>
      </c>
    </row>
    <row r="9386" spans="103:104" x14ac:dyDescent="0.3">
      <c r="CY9386" s="34" t="s">
        <v>10313</v>
      </c>
      <c r="CZ9386" s="35">
        <v>4.9726000000000006E-3</v>
      </c>
    </row>
    <row r="9387" spans="103:104" x14ac:dyDescent="0.3">
      <c r="CY9387" s="34" t="s">
        <v>10314</v>
      </c>
      <c r="CZ9387" s="35">
        <v>4.1316560000000002E-2</v>
      </c>
    </row>
    <row r="9388" spans="103:104" x14ac:dyDescent="0.3">
      <c r="CY9388" s="34" t="s">
        <v>10315</v>
      </c>
      <c r="CZ9388" s="35">
        <v>4.1106480000000001E-2</v>
      </c>
    </row>
    <row r="9389" spans="103:104" x14ac:dyDescent="0.3">
      <c r="CY9389" s="34" t="s">
        <v>10316</v>
      </c>
      <c r="CZ9389" s="35">
        <v>0.1366583093</v>
      </c>
    </row>
    <row r="9390" spans="103:104" x14ac:dyDescent="0.3">
      <c r="CY9390" s="34" t="s">
        <v>10317</v>
      </c>
      <c r="CZ9390" s="35">
        <v>5.0636533340000005E-2</v>
      </c>
    </row>
    <row r="9391" spans="103:104" x14ac:dyDescent="0.3">
      <c r="CY9391" s="34" t="s">
        <v>10318</v>
      </c>
      <c r="CZ9391" s="35">
        <v>3.5852919999999995E-3</v>
      </c>
    </row>
    <row r="9392" spans="103:104" x14ac:dyDescent="0.3">
      <c r="CY9392" s="34" t="s">
        <v>10319</v>
      </c>
      <c r="CZ9392" s="35">
        <v>4.7212034166666667E-3</v>
      </c>
    </row>
    <row r="9393" spans="103:104" x14ac:dyDescent="0.3">
      <c r="CY9393" s="34" t="s">
        <v>10320</v>
      </c>
      <c r="CZ9393" s="35">
        <v>2.7896679999999999E-3</v>
      </c>
    </row>
    <row r="9394" spans="103:104" x14ac:dyDescent="0.3">
      <c r="CY9394" s="34" t="s">
        <v>10321</v>
      </c>
      <c r="CZ9394" s="35">
        <v>3.7491075527156546E-2</v>
      </c>
    </row>
    <row r="9395" spans="103:104" x14ac:dyDescent="0.3">
      <c r="CY9395" s="34" t="s">
        <v>10322</v>
      </c>
      <c r="CZ9395" s="35">
        <v>4.066775999999999E-2</v>
      </c>
    </row>
    <row r="9396" spans="103:104" x14ac:dyDescent="0.3">
      <c r="CY9396" s="34" t="s">
        <v>10323</v>
      </c>
      <c r="CZ9396" s="35">
        <v>4.1856479999999995E-2</v>
      </c>
    </row>
    <row r="9397" spans="103:104" x14ac:dyDescent="0.3">
      <c r="CY9397" s="34" t="s">
        <v>10324</v>
      </c>
      <c r="CZ9397" s="35">
        <v>4.4233919999999996E-2</v>
      </c>
    </row>
    <row r="9398" spans="103:104" x14ac:dyDescent="0.3">
      <c r="CY9398" s="34" t="s">
        <v>10325</v>
      </c>
      <c r="CZ9398" s="35">
        <v>4.542264E-2</v>
      </c>
    </row>
    <row r="9399" spans="103:104" x14ac:dyDescent="0.3">
      <c r="CY9399" s="34" t="s">
        <v>10326</v>
      </c>
      <c r="CZ9399" s="35">
        <v>4.6611360000000004E-2</v>
      </c>
    </row>
    <row r="9400" spans="103:104" x14ac:dyDescent="0.3">
      <c r="CY9400" s="34" t="s">
        <v>10327</v>
      </c>
      <c r="CZ9400" s="35">
        <v>4.8988799999999999E-2</v>
      </c>
    </row>
    <row r="9401" spans="103:104" x14ac:dyDescent="0.3">
      <c r="CY9401" s="34" t="s">
        <v>10328</v>
      </c>
      <c r="CZ9401" s="35">
        <v>5.0879519999999998E-2</v>
      </c>
    </row>
    <row r="9402" spans="103:104" x14ac:dyDescent="0.3">
      <c r="CY9402" s="34" t="s">
        <v>10329</v>
      </c>
      <c r="CZ9402" s="35">
        <v>5.348159999999999E-2</v>
      </c>
    </row>
    <row r="9403" spans="103:104" x14ac:dyDescent="0.3">
      <c r="CY9403" s="34" t="s">
        <v>10330</v>
      </c>
      <c r="CZ9403" s="35">
        <v>5.0992000000000008E-4</v>
      </c>
    </row>
    <row r="9404" spans="103:104" x14ac:dyDescent="0.3">
      <c r="CY9404" s="34" t="s">
        <v>10331</v>
      </c>
      <c r="CZ9404" s="35">
        <v>1.224136E-4</v>
      </c>
    </row>
    <row r="9405" spans="103:104" x14ac:dyDescent="0.3">
      <c r="CY9405" s="34" t="s">
        <v>10332</v>
      </c>
      <c r="CZ9405" s="35">
        <v>3.2966384000000001E-2</v>
      </c>
    </row>
    <row r="9406" spans="103:104" x14ac:dyDescent="0.3">
      <c r="CY9406" s="34" t="s">
        <v>10333</v>
      </c>
      <c r="CZ9406" s="35">
        <v>3.57588E-2</v>
      </c>
    </row>
    <row r="9407" spans="103:104" x14ac:dyDescent="0.3">
      <c r="CY9407" s="34" t="s">
        <v>10334</v>
      </c>
      <c r="CZ9407" s="35">
        <v>3.57588E-2</v>
      </c>
    </row>
    <row r="9408" spans="103:104" x14ac:dyDescent="0.3">
      <c r="CY9408" s="34" t="s">
        <v>10335</v>
      </c>
      <c r="CZ9408" s="35">
        <v>0.134273</v>
      </c>
    </row>
    <row r="9409" spans="103:104" x14ac:dyDescent="0.3">
      <c r="CY9409" s="34" t="s">
        <v>10336</v>
      </c>
      <c r="CZ9409" s="35">
        <v>4.8388047119999993E-2</v>
      </c>
    </row>
    <row r="9410" spans="103:104" x14ac:dyDescent="0.3">
      <c r="CY9410" s="34" t="s">
        <v>10337</v>
      </c>
      <c r="CZ9410" s="35">
        <v>1.0510239999999999E-2</v>
      </c>
    </row>
    <row r="9411" spans="103:104" x14ac:dyDescent="0.3">
      <c r="CY9411" s="34" t="s">
        <v>10338</v>
      </c>
      <c r="CZ9411" s="35">
        <v>1.9217155E-3</v>
      </c>
    </row>
    <row r="9412" spans="103:104" x14ac:dyDescent="0.3">
      <c r="CY9412" s="34" t="s">
        <v>10339</v>
      </c>
      <c r="CZ9412" s="35">
        <v>1.9773665000000001E-3</v>
      </c>
    </row>
    <row r="9413" spans="103:104" x14ac:dyDescent="0.3">
      <c r="CY9413" s="34" t="s">
        <v>10340</v>
      </c>
      <c r="CZ9413" s="35">
        <v>1.9605334999999997E-3</v>
      </c>
    </row>
    <row r="9414" spans="103:104" x14ac:dyDescent="0.3">
      <c r="CY9414" s="34" t="s">
        <v>10341</v>
      </c>
      <c r="CZ9414" s="35">
        <v>5.4064E-4</v>
      </c>
    </row>
    <row r="9415" spans="103:104" x14ac:dyDescent="0.3">
      <c r="CY9415" s="34" t="s">
        <v>10342</v>
      </c>
      <c r="CZ9415" s="35">
        <v>5.4064E-4</v>
      </c>
    </row>
    <row r="9416" spans="103:104" x14ac:dyDescent="0.3">
      <c r="CY9416" s="34" t="s">
        <v>10343</v>
      </c>
      <c r="CZ9416" s="35">
        <v>5.4064E-4</v>
      </c>
    </row>
    <row r="9417" spans="103:104" x14ac:dyDescent="0.3">
      <c r="CY9417" s="34" t="s">
        <v>10344</v>
      </c>
      <c r="CZ9417" s="35">
        <v>6.5984058666666665E-2</v>
      </c>
    </row>
    <row r="9418" spans="103:104" x14ac:dyDescent="0.3">
      <c r="CY9418" s="34" t="s">
        <v>10345</v>
      </c>
      <c r="CZ9418" s="35">
        <v>3.0808127944000003E-3</v>
      </c>
    </row>
    <row r="9419" spans="103:104" x14ac:dyDescent="0.3">
      <c r="CY9419" s="34" t="s">
        <v>10346</v>
      </c>
      <c r="CZ9419" s="35">
        <v>1.8186959999999999E-3</v>
      </c>
    </row>
    <row r="9420" spans="103:104" x14ac:dyDescent="0.3">
      <c r="CY9420" s="34" t="s">
        <v>10347</v>
      </c>
      <c r="CZ9420" s="35">
        <v>0.11635072</v>
      </c>
    </row>
    <row r="9421" spans="103:104" x14ac:dyDescent="0.3">
      <c r="CY9421" s="34" t="s">
        <v>10348</v>
      </c>
      <c r="CZ9421" s="35">
        <v>4.7840260000000003E-2</v>
      </c>
    </row>
    <row r="9422" spans="103:104" x14ac:dyDescent="0.3">
      <c r="CY9422" s="34" t="s">
        <v>10349</v>
      </c>
      <c r="CZ9422" s="35">
        <v>5.2519360000000001E-2</v>
      </c>
    </row>
    <row r="9423" spans="103:104" x14ac:dyDescent="0.3">
      <c r="CY9423" s="34" t="s">
        <v>10350</v>
      </c>
      <c r="CZ9423" s="35">
        <v>1.8206896E-2</v>
      </c>
    </row>
    <row r="9424" spans="103:104" x14ac:dyDescent="0.3">
      <c r="CY9424" s="34" t="s">
        <v>10351</v>
      </c>
      <c r="CZ9424" s="35">
        <v>2.294320827E-3</v>
      </c>
    </row>
    <row r="9425" spans="103:104" x14ac:dyDescent="0.3">
      <c r="CY9425" s="34" t="s">
        <v>10352</v>
      </c>
      <c r="CZ9425" s="35">
        <v>3.6404826666666668E-4</v>
      </c>
    </row>
    <row r="9426" spans="103:104" x14ac:dyDescent="0.3">
      <c r="CY9426" s="34" t="s">
        <v>10353</v>
      </c>
      <c r="CZ9426" s="35">
        <v>6.7806600000000009E-2</v>
      </c>
    </row>
    <row r="9427" spans="103:104" x14ac:dyDescent="0.3">
      <c r="CY9427" s="34" t="s">
        <v>10354</v>
      </c>
      <c r="CZ9427" s="35">
        <v>6.7806600000000009E-2</v>
      </c>
    </row>
    <row r="9428" spans="103:104" x14ac:dyDescent="0.3">
      <c r="CY9428" s="34" t="s">
        <v>10355</v>
      </c>
      <c r="CZ9428" s="35">
        <v>2.0684640000000001E-2</v>
      </c>
    </row>
    <row r="9429" spans="103:104" x14ac:dyDescent="0.3">
      <c r="CY9429" s="34" t="s">
        <v>10356</v>
      </c>
      <c r="CZ9429" s="35">
        <v>9.7987040000000001E-3</v>
      </c>
    </row>
    <row r="9430" spans="103:104" x14ac:dyDescent="0.3">
      <c r="CY9430" s="34" t="s">
        <v>10357</v>
      </c>
      <c r="CZ9430" s="35">
        <v>3.0545976666666668E-3</v>
      </c>
    </row>
    <row r="9431" spans="103:104" x14ac:dyDescent="0.3">
      <c r="CY9431" s="34" t="s">
        <v>10358</v>
      </c>
      <c r="CZ9431" s="35">
        <v>1.0679984E-2</v>
      </c>
    </row>
    <row r="9432" spans="103:104" x14ac:dyDescent="0.3">
      <c r="CY9432" s="34" t="s">
        <v>10359</v>
      </c>
      <c r="CZ9432" s="35">
        <v>2.3089315999999995E-3</v>
      </c>
    </row>
    <row r="9433" spans="103:104" x14ac:dyDescent="0.3">
      <c r="CY9433" s="34" t="s">
        <v>10360</v>
      </c>
      <c r="CZ9433" s="35">
        <v>3.8129640095142855E-3</v>
      </c>
    </row>
    <row r="9434" spans="103:104" x14ac:dyDescent="0.3">
      <c r="CY9434" s="34" t="s">
        <v>10361</v>
      </c>
      <c r="CZ9434" s="35">
        <v>7.9076000000000005E-4</v>
      </c>
    </row>
    <row r="9435" spans="103:104" x14ac:dyDescent="0.3">
      <c r="CY9435" s="34" t="s">
        <v>10362</v>
      </c>
      <c r="CZ9435" s="35">
        <v>7.9076000000000005E-4</v>
      </c>
    </row>
    <row r="9436" spans="103:104" x14ac:dyDescent="0.3">
      <c r="CY9436" s="34" t="s">
        <v>10363</v>
      </c>
      <c r="CZ9436" s="35">
        <v>7.9076000000000005E-4</v>
      </c>
    </row>
    <row r="9437" spans="103:104" x14ac:dyDescent="0.3">
      <c r="CY9437" s="34" t="s">
        <v>10364</v>
      </c>
      <c r="CZ9437" s="35">
        <v>0.10143000000000001</v>
      </c>
    </row>
    <row r="9438" spans="103:104" x14ac:dyDescent="0.3">
      <c r="CY9438" s="34" t="s">
        <v>10365</v>
      </c>
      <c r="CZ9438" s="35">
        <v>3.1640160000000007E-2</v>
      </c>
    </row>
    <row r="9439" spans="103:104" x14ac:dyDescent="0.3">
      <c r="CY9439" s="34" t="s">
        <v>10366</v>
      </c>
      <c r="CZ9439" s="35">
        <v>3.1120160000000004E-2</v>
      </c>
    </row>
    <row r="9440" spans="103:104" x14ac:dyDescent="0.3">
      <c r="CY9440" s="34" t="s">
        <v>10367</v>
      </c>
      <c r="CZ9440" s="35">
        <v>2.522266666E-2</v>
      </c>
    </row>
    <row r="9441" spans="103:104" x14ac:dyDescent="0.3">
      <c r="CY9441" s="34" t="s">
        <v>10368</v>
      </c>
      <c r="CZ9441" s="35">
        <v>2.5222666666666668E-2</v>
      </c>
    </row>
    <row r="9442" spans="103:104" x14ac:dyDescent="0.3">
      <c r="CY9442" s="34" t="s">
        <v>10369</v>
      </c>
      <c r="CZ9442" s="35">
        <v>2.5222666666666668E-2</v>
      </c>
    </row>
    <row r="9443" spans="103:104" x14ac:dyDescent="0.3">
      <c r="CY9443" s="34" t="s">
        <v>10370</v>
      </c>
      <c r="CZ9443" s="35">
        <v>3.3066666666666672E-4</v>
      </c>
    </row>
    <row r="9444" spans="103:104" x14ac:dyDescent="0.3">
      <c r="CY9444" s="34" t="s">
        <v>10371</v>
      </c>
      <c r="CZ9444" s="35">
        <v>2.5222666649999999E-2</v>
      </c>
    </row>
    <row r="9445" spans="103:104" x14ac:dyDescent="0.3">
      <c r="CY9445" s="34" t="s">
        <v>10372</v>
      </c>
      <c r="CZ9445" s="35">
        <v>2.522266666E-2</v>
      </c>
    </row>
    <row r="9446" spans="103:104" x14ac:dyDescent="0.3">
      <c r="CY9446" s="34" t="s">
        <v>10373</v>
      </c>
      <c r="CZ9446" s="35">
        <v>2.5222666649999999E-2</v>
      </c>
    </row>
    <row r="9447" spans="103:104" x14ac:dyDescent="0.3">
      <c r="CY9447" s="34" t="s">
        <v>10374</v>
      </c>
      <c r="CZ9447" s="35">
        <v>3.5758800000000007E-2</v>
      </c>
    </row>
    <row r="9448" spans="103:104" x14ac:dyDescent="0.3">
      <c r="CY9448" s="34" t="s">
        <v>10375</v>
      </c>
      <c r="CZ9448" s="35">
        <v>2.5770874666666665E-2</v>
      </c>
    </row>
    <row r="9449" spans="103:104" x14ac:dyDescent="0.3">
      <c r="CY9449" s="34" t="s">
        <v>10376</v>
      </c>
      <c r="CZ9449" s="35">
        <v>3.2355920000000003E-2</v>
      </c>
    </row>
    <row r="9450" spans="103:104" x14ac:dyDescent="0.3">
      <c r="CY9450" s="34" t="s">
        <v>10377</v>
      </c>
      <c r="CZ9450" s="35">
        <v>3.1091833600000004E-2</v>
      </c>
    </row>
    <row r="9451" spans="103:104" x14ac:dyDescent="0.3">
      <c r="CY9451" s="34" t="s">
        <v>10378</v>
      </c>
      <c r="CZ9451" s="35">
        <v>1.1919999999999999E-3</v>
      </c>
    </row>
    <row r="9452" spans="103:104" x14ac:dyDescent="0.3">
      <c r="CY9452" s="34" t="s">
        <v>10379</v>
      </c>
      <c r="CZ9452" s="35">
        <v>2.7711679999999994E-4</v>
      </c>
    </row>
    <row r="9453" spans="103:104" x14ac:dyDescent="0.3">
      <c r="CY9453" s="34" t="s">
        <v>10380</v>
      </c>
      <c r="CZ9453" s="35">
        <v>0.20006235999999999</v>
      </c>
    </row>
    <row r="9454" spans="103:104" x14ac:dyDescent="0.3">
      <c r="CY9454" s="34" t="s">
        <v>10381</v>
      </c>
      <c r="CZ9454" s="35">
        <v>3.7610176E-3</v>
      </c>
    </row>
    <row r="9455" spans="103:104" x14ac:dyDescent="0.3">
      <c r="CY9455" s="34" t="s">
        <v>10382</v>
      </c>
      <c r="CZ9455" s="35">
        <v>3.8324240000000001E-3</v>
      </c>
    </row>
    <row r="9456" spans="103:104" x14ac:dyDescent="0.3">
      <c r="CY9456" s="34" t="s">
        <v>10383</v>
      </c>
      <c r="CZ9456" s="35">
        <v>8.6151472000000002E-4</v>
      </c>
    </row>
    <row r="9457" spans="103:104" x14ac:dyDescent="0.3">
      <c r="CY9457" s="34" t="s">
        <v>10384</v>
      </c>
      <c r="CZ9457" s="35">
        <v>1.0029080000000001E-3</v>
      </c>
    </row>
    <row r="9458" spans="103:104" x14ac:dyDescent="0.3">
      <c r="CY9458" s="34" t="s">
        <v>10385</v>
      </c>
      <c r="CZ9458" s="35">
        <v>1.5963631999999998E-3</v>
      </c>
    </row>
    <row r="9459" spans="103:104" x14ac:dyDescent="0.3">
      <c r="CY9459" s="34" t="s">
        <v>10386</v>
      </c>
      <c r="CZ9459" s="35">
        <v>7.9025499999999995E-3</v>
      </c>
    </row>
    <row r="9460" spans="103:104" x14ac:dyDescent="0.3">
      <c r="CY9460" s="34" t="s">
        <v>10387</v>
      </c>
      <c r="CZ9460" s="35">
        <v>1.4770089151999999E-3</v>
      </c>
    </row>
    <row r="9461" spans="103:104" x14ac:dyDescent="0.3">
      <c r="CY9461" s="34" t="s">
        <v>10388</v>
      </c>
      <c r="CZ9461" s="35">
        <v>6.6778519999999989E-3</v>
      </c>
    </row>
    <row r="9462" spans="103:104" x14ac:dyDescent="0.3">
      <c r="CY9462" s="34" t="s">
        <v>10389</v>
      </c>
      <c r="CZ9462" s="35">
        <v>8.3379149999999996E-3</v>
      </c>
    </row>
    <row r="9463" spans="103:104" x14ac:dyDescent="0.3">
      <c r="CY9463" s="34" t="s">
        <v>10390</v>
      </c>
      <c r="CZ9463" s="35">
        <v>4.9541500000000002E-2</v>
      </c>
    </row>
    <row r="9464" spans="103:104" x14ac:dyDescent="0.3">
      <c r="CY9464" s="34" t="s">
        <v>10391</v>
      </c>
      <c r="CZ9464" s="35">
        <v>1.7491743999999997E-3</v>
      </c>
    </row>
    <row r="9465" spans="103:104" x14ac:dyDescent="0.3">
      <c r="CY9465" s="34" t="s">
        <v>10392</v>
      </c>
      <c r="CZ9465" s="35">
        <v>0.14489271999999997</v>
      </c>
    </row>
    <row r="9466" spans="103:104" x14ac:dyDescent="0.3">
      <c r="CY9466" s="34" t="s">
        <v>10393</v>
      </c>
      <c r="CZ9466" s="35">
        <v>7.4244879999999999E-4</v>
      </c>
    </row>
    <row r="9467" spans="103:104" x14ac:dyDescent="0.3">
      <c r="CY9467" s="34" t="s">
        <v>10394</v>
      </c>
      <c r="CZ9467" s="35">
        <v>4.2581514666666662E-3</v>
      </c>
    </row>
    <row r="9468" spans="103:104" x14ac:dyDescent="0.3">
      <c r="CY9468" s="34" t="s">
        <v>10395</v>
      </c>
      <c r="CZ9468" s="35">
        <v>0.35562448000000002</v>
      </c>
    </row>
    <row r="9469" spans="103:104" x14ac:dyDescent="0.3">
      <c r="CY9469" s="34" t="s">
        <v>10396</v>
      </c>
      <c r="CZ9469" s="35">
        <v>4.8388047119999986E-2</v>
      </c>
    </row>
    <row r="9470" spans="103:104" x14ac:dyDescent="0.3">
      <c r="CY9470" s="34" t="s">
        <v>10397</v>
      </c>
      <c r="CZ9470" s="35">
        <v>4.7994774276923072E-2</v>
      </c>
    </row>
    <row r="9471" spans="103:104" x14ac:dyDescent="0.3">
      <c r="CY9471" s="34" t="s">
        <v>10398</v>
      </c>
      <c r="CZ9471" s="35">
        <v>5.1399935999999993E-2</v>
      </c>
    </row>
    <row r="9472" spans="103:104" x14ac:dyDescent="0.3">
      <c r="CY9472" s="34" t="s">
        <v>10399</v>
      </c>
      <c r="CZ9472" s="35">
        <v>4.4748881632653066E-2</v>
      </c>
    </row>
    <row r="9473" spans="103:104" x14ac:dyDescent="0.3">
      <c r="CY9473" s="34" t="s">
        <v>10400</v>
      </c>
      <c r="CZ9473" s="35">
        <v>5.1399935999999993E-2</v>
      </c>
    </row>
    <row r="9474" spans="103:104" x14ac:dyDescent="0.3">
      <c r="CY9474" s="34" t="s">
        <v>10401</v>
      </c>
      <c r="CZ9474" s="35">
        <v>2.1759113253012049E-2</v>
      </c>
    </row>
    <row r="9475" spans="103:104" x14ac:dyDescent="0.3">
      <c r="CY9475" s="34" t="s">
        <v>10402</v>
      </c>
      <c r="CZ9475" s="35">
        <v>2.175036E-2</v>
      </c>
    </row>
    <row r="9476" spans="103:104" x14ac:dyDescent="0.3">
      <c r="CY9476" s="34" t="s">
        <v>10403</v>
      </c>
      <c r="CZ9476" s="35">
        <v>2.7583199999999995E-2</v>
      </c>
    </row>
    <row r="9477" spans="103:104" x14ac:dyDescent="0.3">
      <c r="CY9477" s="34" t="s">
        <v>10404</v>
      </c>
      <c r="CZ9477" s="35">
        <v>4.3029797627586207E-2</v>
      </c>
    </row>
    <row r="9478" spans="103:104" x14ac:dyDescent="0.3">
      <c r="CY9478" s="34" t="s">
        <v>10405</v>
      </c>
      <c r="CZ9478" s="35">
        <v>4.841349397590361E-2</v>
      </c>
    </row>
    <row r="9479" spans="103:104" x14ac:dyDescent="0.3">
      <c r="CY9479" s="34" t="s">
        <v>10406</v>
      </c>
      <c r="CZ9479" s="35">
        <v>2.9792842105263156E-2</v>
      </c>
    </row>
    <row r="9480" spans="103:104" x14ac:dyDescent="0.3">
      <c r="CY9480" s="34" t="s">
        <v>10407</v>
      </c>
      <c r="CZ9480" s="35">
        <v>2.9800573770491806E-2</v>
      </c>
    </row>
    <row r="9481" spans="103:104" x14ac:dyDescent="0.3">
      <c r="CY9481" s="34" t="s">
        <v>10408</v>
      </c>
      <c r="CZ9481" s="35">
        <v>3.2340134831460671E-2</v>
      </c>
    </row>
    <row r="9482" spans="103:104" x14ac:dyDescent="0.3">
      <c r="CY9482" s="34" t="s">
        <v>10409</v>
      </c>
      <c r="CZ9482" s="35">
        <v>0.25636703350000001</v>
      </c>
    </row>
    <row r="9483" spans="103:104" x14ac:dyDescent="0.3">
      <c r="CY9483" s="34" t="s">
        <v>10410</v>
      </c>
      <c r="CZ9483" s="35">
        <v>0</v>
      </c>
    </row>
    <row r="9484" spans="103:104" x14ac:dyDescent="0.3">
      <c r="CY9484" s="34" t="s">
        <v>10411</v>
      </c>
      <c r="CZ9484" s="35">
        <v>0</v>
      </c>
    </row>
    <row r="9485" spans="103:104" x14ac:dyDescent="0.3">
      <c r="CY9485" s="34" t="s">
        <v>10412</v>
      </c>
      <c r="CZ9485" s="35">
        <v>0.14729400000000001</v>
      </c>
    </row>
    <row r="9486" spans="103:104" x14ac:dyDescent="0.3">
      <c r="CY9486" s="34" t="s">
        <v>10413</v>
      </c>
      <c r="CZ9486" s="35">
        <v>0.05</v>
      </c>
    </row>
    <row r="9487" spans="103:104" x14ac:dyDescent="0.3">
      <c r="CY9487" s="34" t="s">
        <v>10414</v>
      </c>
      <c r="CZ9487" s="35">
        <v>1.2555253400000001E-2</v>
      </c>
    </row>
    <row r="9488" spans="103:104" x14ac:dyDescent="0.3">
      <c r="CY9488" s="34" t="s">
        <v>10415</v>
      </c>
      <c r="CZ9488" s="35">
        <v>1.2555253400000001E-2</v>
      </c>
    </row>
    <row r="9489" spans="103:104" x14ac:dyDescent="0.3">
      <c r="CY9489" s="34" t="s">
        <v>10416</v>
      </c>
      <c r="CZ9489" s="35">
        <v>2.6085988125000001E-4</v>
      </c>
    </row>
    <row r="9490" spans="103:104" x14ac:dyDescent="0.3">
      <c r="CY9490" s="34" t="s">
        <v>10417</v>
      </c>
      <c r="CZ9490" s="35">
        <v>2.659826027E-2</v>
      </c>
    </row>
    <row r="9491" spans="103:104" x14ac:dyDescent="0.3">
      <c r="CY9491" s="34" t="s">
        <v>10418</v>
      </c>
      <c r="CZ9491" s="35">
        <v>1.7875144873949582E-2</v>
      </c>
    </row>
    <row r="9492" spans="103:104" x14ac:dyDescent="0.3">
      <c r="CY9492" s="34" t="s">
        <v>10419</v>
      </c>
      <c r="CZ9492" s="35">
        <v>1.8334191999999999E-2</v>
      </c>
    </row>
    <row r="9493" spans="103:104" x14ac:dyDescent="0.3">
      <c r="CY9493" s="34" t="s">
        <v>10420</v>
      </c>
      <c r="CZ9493" s="35">
        <v>8.9209240000000019E-3</v>
      </c>
    </row>
    <row r="9494" spans="103:104" x14ac:dyDescent="0.3">
      <c r="CY9494" s="34" t="s">
        <v>10421</v>
      </c>
      <c r="CZ9494" s="35">
        <v>1.0989377333333335E-2</v>
      </c>
    </row>
    <row r="9495" spans="103:104" x14ac:dyDescent="0.3">
      <c r="CY9495" s="34" t="s">
        <v>10422</v>
      </c>
      <c r="CZ9495" s="35">
        <v>6.466001333333333E-3</v>
      </c>
    </row>
    <row r="9496" spans="103:104" x14ac:dyDescent="0.3">
      <c r="CY9496" s="34" t="s">
        <v>10423</v>
      </c>
      <c r="CZ9496" s="35">
        <v>5.4744680000000006E-3</v>
      </c>
    </row>
    <row r="9497" spans="103:104" x14ac:dyDescent="0.3">
      <c r="CY9497" s="34" t="s">
        <v>10424</v>
      </c>
      <c r="CZ9497" s="35">
        <v>0.15645932000000001</v>
      </c>
    </row>
    <row r="9498" spans="103:104" x14ac:dyDescent="0.3">
      <c r="CY9498" s="34" t="s">
        <v>10425</v>
      </c>
      <c r="CZ9498" s="35">
        <v>0.13135932</v>
      </c>
    </row>
    <row r="9499" spans="103:104" x14ac:dyDescent="0.3">
      <c r="CY9499" s="34" t="s">
        <v>10426</v>
      </c>
      <c r="CZ9499" s="35">
        <v>5.5622359999999999E-4</v>
      </c>
    </row>
    <row r="9500" spans="103:104" x14ac:dyDescent="0.3">
      <c r="CY9500" s="34" t="s">
        <v>10427</v>
      </c>
      <c r="CZ9500" s="35">
        <v>7.7165199999999993E-3</v>
      </c>
    </row>
    <row r="9501" spans="103:104" x14ac:dyDescent="0.3">
      <c r="CY9501" s="34" t="s">
        <v>10428</v>
      </c>
      <c r="CZ9501" s="35">
        <v>3.2463478688000001E-2</v>
      </c>
    </row>
    <row r="9502" spans="103:104" x14ac:dyDescent="0.3">
      <c r="CY9502" s="34" t="s">
        <v>10429</v>
      </c>
      <c r="CZ9502" s="35">
        <v>1.3003227491999999E-2</v>
      </c>
    </row>
    <row r="9503" spans="103:104" x14ac:dyDescent="0.3">
      <c r="CY9503" s="34" t="s">
        <v>10430</v>
      </c>
      <c r="CZ9503" s="35">
        <v>0.22442920000000002</v>
      </c>
    </row>
    <row r="9504" spans="103:104" x14ac:dyDescent="0.3">
      <c r="CY9504" s="34" t="s">
        <v>10431</v>
      </c>
      <c r="CZ9504" s="35">
        <v>0.20468516</v>
      </c>
    </row>
    <row r="9505" spans="103:104" x14ac:dyDescent="0.3">
      <c r="CY9505" s="34" t="s">
        <v>10432</v>
      </c>
      <c r="CZ9505" s="35">
        <v>1.3568081333333334E-2</v>
      </c>
    </row>
    <row r="9506" spans="103:104" x14ac:dyDescent="0.3">
      <c r="CY9506" s="34" t="s">
        <v>10433</v>
      </c>
      <c r="CZ9506" s="35">
        <v>3.9569400000000005E-2</v>
      </c>
    </row>
    <row r="9507" spans="103:104" x14ac:dyDescent="0.3">
      <c r="CY9507" s="34" t="s">
        <v>10434</v>
      </c>
      <c r="CZ9507" s="35">
        <v>1.8984792000000001E-3</v>
      </c>
    </row>
    <row r="9508" spans="103:104" x14ac:dyDescent="0.3">
      <c r="CY9508" s="34" t="s">
        <v>10435</v>
      </c>
      <c r="CZ9508" s="35">
        <v>9.7586799999999996E-4</v>
      </c>
    </row>
    <row r="9509" spans="103:104" x14ac:dyDescent="0.3">
      <c r="CY9509" s="34" t="s">
        <v>10436</v>
      </c>
      <c r="CZ9509" s="35">
        <v>1.5097000000000001E-3</v>
      </c>
    </row>
    <row r="9510" spans="103:104" x14ac:dyDescent="0.3">
      <c r="CY9510" s="34" t="s">
        <v>10437</v>
      </c>
      <c r="CZ9510" s="35">
        <v>3.1168695999999997E-3</v>
      </c>
    </row>
    <row r="9511" spans="103:104" x14ac:dyDescent="0.3">
      <c r="CY9511" s="34" t="s">
        <v>10438</v>
      </c>
      <c r="CZ9511" s="35">
        <v>1.1170639999999999E-2</v>
      </c>
    </row>
    <row r="9512" spans="103:104" x14ac:dyDescent="0.3">
      <c r="CY9512" s="34" t="s">
        <v>10439</v>
      </c>
      <c r="CZ9512" s="35">
        <v>3.0115600000000004E-3</v>
      </c>
    </row>
    <row r="9513" spans="103:104" x14ac:dyDescent="0.3">
      <c r="CY9513" s="34" t="s">
        <v>10440</v>
      </c>
      <c r="CZ9513" s="35">
        <v>2.467328E-3</v>
      </c>
    </row>
    <row r="9514" spans="103:104" x14ac:dyDescent="0.3">
      <c r="CY9514" s="34" t="s">
        <v>10441</v>
      </c>
      <c r="CZ9514" s="35">
        <v>2.924776E-3</v>
      </c>
    </row>
    <row r="9515" spans="103:104" x14ac:dyDescent="0.3">
      <c r="CY9515" s="34" t="s">
        <v>10442</v>
      </c>
      <c r="CZ9515" s="35">
        <v>1.5862052799999998E-2</v>
      </c>
    </row>
    <row r="9516" spans="103:104" x14ac:dyDescent="0.3">
      <c r="CY9516" s="34" t="s">
        <v>10443</v>
      </c>
      <c r="CZ9516" s="35">
        <v>1.886696E-3</v>
      </c>
    </row>
    <row r="9517" spans="103:104" x14ac:dyDescent="0.3">
      <c r="CY9517" s="34" t="s">
        <v>10444</v>
      </c>
      <c r="CZ9517" s="35">
        <v>6.6778519999999989E-3</v>
      </c>
    </row>
    <row r="9518" spans="103:104" x14ac:dyDescent="0.3">
      <c r="CY9518" s="34" t="s">
        <v>10445</v>
      </c>
      <c r="CZ9518" s="35">
        <v>1.1654054399999999E-2</v>
      </c>
    </row>
    <row r="9519" spans="103:104" x14ac:dyDescent="0.3">
      <c r="CY9519" s="34" t="s">
        <v>10446</v>
      </c>
      <c r="CZ9519" s="35">
        <v>2.0485409600000001E-2</v>
      </c>
    </row>
    <row r="9520" spans="103:104" x14ac:dyDescent="0.3">
      <c r="CY9520" s="34" t="s">
        <v>10447</v>
      </c>
      <c r="CZ9520" s="35">
        <v>0.1145528</v>
      </c>
    </row>
    <row r="9521" spans="103:104" x14ac:dyDescent="0.3">
      <c r="CY9521" s="34" t="s">
        <v>10448</v>
      </c>
      <c r="CZ9521" s="35">
        <v>1.6052799999999999E-2</v>
      </c>
    </row>
    <row r="9522" spans="103:104" x14ac:dyDescent="0.3">
      <c r="CY9522" s="34" t="s">
        <v>10449</v>
      </c>
      <c r="CZ9522" s="35">
        <v>1.8472879840000001E-2</v>
      </c>
    </row>
    <row r="9523" spans="103:104" x14ac:dyDescent="0.3">
      <c r="CY9523" s="34" t="s">
        <v>10450</v>
      </c>
      <c r="CZ9523" s="35">
        <v>2.6013856000000002E-2</v>
      </c>
    </row>
    <row r="9524" spans="103:104" x14ac:dyDescent="0.3">
      <c r="CY9524" s="34" t="s">
        <v>10451</v>
      </c>
      <c r="CZ9524" s="35">
        <v>1.3088984E-2</v>
      </c>
    </row>
    <row r="9525" spans="103:104" x14ac:dyDescent="0.3">
      <c r="CY9525" s="34" t="s">
        <v>10452</v>
      </c>
      <c r="CZ9525" s="35">
        <v>0.17210880000000001</v>
      </c>
    </row>
    <row r="9526" spans="103:104" x14ac:dyDescent="0.3">
      <c r="CY9526" s="34" t="s">
        <v>10453</v>
      </c>
      <c r="CZ9526" s="35">
        <v>7.8935648000000011E-2</v>
      </c>
    </row>
    <row r="9527" spans="103:104" x14ac:dyDescent="0.3">
      <c r="CY9527" s="34" t="s">
        <v>10454</v>
      </c>
      <c r="CZ9527" s="35">
        <v>4.1328373333000004E-2</v>
      </c>
    </row>
    <row r="9528" spans="103:104" x14ac:dyDescent="0.3">
      <c r="CY9528" s="34" t="s">
        <v>10455</v>
      </c>
      <c r="CZ9528" s="35">
        <v>9.6052999999999986E-2</v>
      </c>
    </row>
    <row r="9529" spans="103:104" x14ac:dyDescent="0.3">
      <c r="CY9529" s="34" t="s">
        <v>10456</v>
      </c>
      <c r="CZ9529" s="35">
        <v>5.9871544999999995E-3</v>
      </c>
    </row>
    <row r="9530" spans="103:104" x14ac:dyDescent="0.3">
      <c r="CY9530" s="34" t="s">
        <v>10457</v>
      </c>
      <c r="CZ9530" s="35">
        <v>2.5675240000000002E-2</v>
      </c>
    </row>
    <row r="9531" spans="103:104" x14ac:dyDescent="0.3">
      <c r="CY9531" s="34" t="s">
        <v>10458</v>
      </c>
      <c r="CZ9531" s="35">
        <v>1.7609699200000002E-2</v>
      </c>
    </row>
    <row r="9532" spans="103:104" x14ac:dyDescent="0.3">
      <c r="CY9532" s="34" t="s">
        <v>10459</v>
      </c>
      <c r="CZ9532" s="35">
        <v>7.5643430000000003E-3</v>
      </c>
    </row>
    <row r="9533" spans="103:104" x14ac:dyDescent="0.3">
      <c r="CY9533" s="34" t="s">
        <v>10460</v>
      </c>
      <c r="CZ9533" s="35">
        <v>0.11439922000000002</v>
      </c>
    </row>
    <row r="9534" spans="103:104" x14ac:dyDescent="0.3">
      <c r="CY9534" s="34" t="s">
        <v>10461</v>
      </c>
      <c r="CZ9534" s="35">
        <v>2.6982560000000004E-3</v>
      </c>
    </row>
    <row r="9535" spans="103:104" x14ac:dyDescent="0.3">
      <c r="CY9535" s="34" t="s">
        <v>10462</v>
      </c>
      <c r="CZ9535" s="35">
        <v>0.28905409999999998</v>
      </c>
    </row>
    <row r="9536" spans="103:104" x14ac:dyDescent="0.3">
      <c r="CY9536" s="34" t="s">
        <v>10463</v>
      </c>
      <c r="CZ9536" s="35">
        <v>0.24561400000000003</v>
      </c>
    </row>
    <row r="9537" spans="103:104" x14ac:dyDescent="0.3">
      <c r="CY9537" s="34" t="s">
        <v>10464</v>
      </c>
      <c r="CZ9537" s="35">
        <v>1.1106756786999999E-2</v>
      </c>
    </row>
    <row r="9538" spans="103:104" x14ac:dyDescent="0.3">
      <c r="CY9538" s="34" t="s">
        <v>10465</v>
      </c>
      <c r="CZ9538" s="35">
        <v>6.8597099999999994E-2</v>
      </c>
    </row>
    <row r="9539" spans="103:104" x14ac:dyDescent="0.3">
      <c r="CY9539" s="34" t="s">
        <v>10466</v>
      </c>
      <c r="CZ9539" s="35">
        <v>1.9688559999999994E-2</v>
      </c>
    </row>
    <row r="9540" spans="103:104" x14ac:dyDescent="0.3">
      <c r="CY9540" s="34" t="s">
        <v>10467</v>
      </c>
      <c r="CZ9540" s="35">
        <v>4.1416611670588237E-2</v>
      </c>
    </row>
    <row r="9541" spans="103:104" x14ac:dyDescent="0.3">
      <c r="CY9541" s="34" t="s">
        <v>10468</v>
      </c>
      <c r="CZ9541" s="35">
        <v>4.4005149899999998E-2</v>
      </c>
    </row>
    <row r="9542" spans="103:104" x14ac:dyDescent="0.3">
      <c r="CY9542" s="34" t="s">
        <v>10469</v>
      </c>
      <c r="CZ9542" s="35">
        <v>1.2797279999999999E-3</v>
      </c>
    </row>
    <row r="9543" spans="103:104" x14ac:dyDescent="0.3">
      <c r="CY9543" s="34" t="s">
        <v>10470</v>
      </c>
      <c r="CZ9543" s="35">
        <v>0.1784626</v>
      </c>
    </row>
    <row r="9544" spans="103:104" x14ac:dyDescent="0.3">
      <c r="CY9544" s="34" t="s">
        <v>10471</v>
      </c>
      <c r="CZ9544" s="35">
        <v>1.0001344000000002E-2</v>
      </c>
    </row>
    <row r="9545" spans="103:104" x14ac:dyDescent="0.3">
      <c r="CY9545" s="34" t="s">
        <v>10472</v>
      </c>
      <c r="CZ9545" s="35">
        <v>5.1696039999999999E-2</v>
      </c>
    </row>
    <row r="9546" spans="103:104" x14ac:dyDescent="0.3">
      <c r="CY9546" s="34" t="s">
        <v>10473</v>
      </c>
      <c r="CZ9546" s="35">
        <v>4.0032855999999999E-2</v>
      </c>
    </row>
    <row r="9547" spans="103:104" x14ac:dyDescent="0.3">
      <c r="CY9547" s="34" t="s">
        <v>10474</v>
      </c>
      <c r="CZ9547" s="35">
        <v>8.4948640000000006E-2</v>
      </c>
    </row>
    <row r="9548" spans="103:104" x14ac:dyDescent="0.3">
      <c r="CY9548" s="34" t="s">
        <v>10475</v>
      </c>
      <c r="CZ9548" s="35">
        <v>3.7982780000000008E-2</v>
      </c>
    </row>
    <row r="9549" spans="103:104" x14ac:dyDescent="0.3">
      <c r="CY9549" s="34" t="s">
        <v>10476</v>
      </c>
      <c r="CZ9549" s="35">
        <v>5.4772840000000007E-4</v>
      </c>
    </row>
    <row r="9550" spans="103:104" x14ac:dyDescent="0.3">
      <c r="CY9550" s="34" t="s">
        <v>10477</v>
      </c>
      <c r="CZ9550" s="35">
        <v>3.5745919999999997E-3</v>
      </c>
    </row>
    <row r="9551" spans="103:104" x14ac:dyDescent="0.3">
      <c r="CY9551" s="34" t="s">
        <v>10478</v>
      </c>
      <c r="CZ9551" s="35">
        <v>0.13128819999999999</v>
      </c>
    </row>
    <row r="9552" spans="103:104" x14ac:dyDescent="0.3">
      <c r="CY9552" s="34" t="s">
        <v>10479</v>
      </c>
      <c r="CZ9552" s="35">
        <v>8.2584800000000003E-3</v>
      </c>
    </row>
    <row r="9553" spans="103:104" x14ac:dyDescent="0.3">
      <c r="CY9553" s="34" t="s">
        <v>10480</v>
      </c>
      <c r="CZ9553" s="35">
        <v>3.9636330999999999E-3</v>
      </c>
    </row>
    <row r="9554" spans="103:104" x14ac:dyDescent="0.3">
      <c r="CY9554" s="34" t="s">
        <v>10481</v>
      </c>
      <c r="CZ9554" s="35">
        <v>4.4691146999999995E-3</v>
      </c>
    </row>
    <row r="9555" spans="103:104" x14ac:dyDescent="0.3">
      <c r="CY9555" s="34" t="s">
        <v>10482</v>
      </c>
      <c r="CZ9555" s="35">
        <v>0.1595185409090909</v>
      </c>
    </row>
    <row r="9556" spans="103:104" x14ac:dyDescent="0.3">
      <c r="CY9556" s="34" t="s">
        <v>10483</v>
      </c>
      <c r="CZ9556" s="35">
        <v>8.9671199999999993E-2</v>
      </c>
    </row>
    <row r="9557" spans="103:104" x14ac:dyDescent="0.3">
      <c r="CY9557" s="34" t="s">
        <v>10484</v>
      </c>
      <c r="CZ9557" s="35">
        <v>5.3468800000000007E-4</v>
      </c>
    </row>
    <row r="9558" spans="103:104" x14ac:dyDescent="0.3">
      <c r="CY9558" s="34" t="s">
        <v>10485</v>
      </c>
      <c r="CZ9558" s="35">
        <v>4.3366800000000001E-4</v>
      </c>
    </row>
    <row r="9559" spans="103:104" x14ac:dyDescent="0.3">
      <c r="CY9559" s="34" t="s">
        <v>10486</v>
      </c>
      <c r="CZ9559" s="35">
        <v>4.0093995999999996E-3</v>
      </c>
    </row>
    <row r="9560" spans="103:104" x14ac:dyDescent="0.3">
      <c r="CY9560" s="34" t="s">
        <v>10487</v>
      </c>
      <c r="CZ9560" s="35">
        <v>1.6695506400000002E-3</v>
      </c>
    </row>
    <row r="9561" spans="103:104" x14ac:dyDescent="0.3">
      <c r="CY9561" s="34" t="s">
        <v>10488</v>
      </c>
      <c r="CZ9561" s="35">
        <v>3.1873409999999998E-3</v>
      </c>
    </row>
    <row r="9562" spans="103:104" x14ac:dyDescent="0.3">
      <c r="CY9562" s="34" t="s">
        <v>10489</v>
      </c>
      <c r="CZ9562" s="35">
        <v>3.4083639999999998E-2</v>
      </c>
    </row>
    <row r="9563" spans="103:104" x14ac:dyDescent="0.3">
      <c r="CY9563" s="34" t="s">
        <v>10490</v>
      </c>
      <c r="CZ9563" s="35">
        <v>1.374568E-2</v>
      </c>
    </row>
    <row r="9564" spans="103:104" x14ac:dyDescent="0.3">
      <c r="CY9564" s="34" t="s">
        <v>10491</v>
      </c>
      <c r="CZ9564" s="35">
        <v>1.9262959999999999E-2</v>
      </c>
    </row>
    <row r="9565" spans="103:104" x14ac:dyDescent="0.3">
      <c r="CY9565" s="34" t="s">
        <v>10492</v>
      </c>
      <c r="CZ9565" s="35">
        <v>0.21906948000000004</v>
      </c>
    </row>
    <row r="9566" spans="103:104" x14ac:dyDescent="0.3">
      <c r="CY9566" s="34" t="s">
        <v>10493</v>
      </c>
      <c r="CZ9566" s="35">
        <v>0.10266464</v>
      </c>
    </row>
    <row r="9567" spans="103:104" x14ac:dyDescent="0.3">
      <c r="CY9567" s="34" t="s">
        <v>10494</v>
      </c>
      <c r="CZ9567" s="35">
        <v>8.0360134000000017E-3</v>
      </c>
    </row>
    <row r="9568" spans="103:104" x14ac:dyDescent="0.3">
      <c r="CY9568" s="34" t="s">
        <v>10495</v>
      </c>
      <c r="CZ9568" s="35">
        <v>0.2850994</v>
      </c>
    </row>
    <row r="9569" spans="103:104" x14ac:dyDescent="0.3">
      <c r="CY9569" s="34" t="s">
        <v>10496</v>
      </c>
      <c r="CZ9569" s="35">
        <v>2.5365152000000001E-3</v>
      </c>
    </row>
    <row r="9570" spans="103:104" x14ac:dyDescent="0.3">
      <c r="CY9570" s="34" t="s">
        <v>10497</v>
      </c>
      <c r="CZ9570" s="35">
        <v>8.7011464999999996E-3</v>
      </c>
    </row>
    <row r="9571" spans="103:104" x14ac:dyDescent="0.3">
      <c r="CY9571" s="34" t="s">
        <v>10498</v>
      </c>
      <c r="CZ9571" s="35">
        <v>0.10658257827999999</v>
      </c>
    </row>
    <row r="9572" spans="103:104" x14ac:dyDescent="0.3">
      <c r="CY9572" s="34" t="s">
        <v>10499</v>
      </c>
      <c r="CZ9572" s="35">
        <v>2.2653000000000003E-2</v>
      </c>
    </row>
    <row r="9573" spans="103:104" x14ac:dyDescent="0.3">
      <c r="CY9573" s="34" t="s">
        <v>10500</v>
      </c>
      <c r="CZ9573" s="35">
        <v>2.2646480000000004E-2</v>
      </c>
    </row>
    <row r="9574" spans="103:104" x14ac:dyDescent="0.3">
      <c r="CY9574" s="34" t="s">
        <v>10501</v>
      </c>
      <c r="CZ9574" s="35">
        <v>2.78756E-2</v>
      </c>
    </row>
    <row r="9575" spans="103:104" x14ac:dyDescent="0.3">
      <c r="CY9575" s="34" t="s">
        <v>10502</v>
      </c>
      <c r="CZ9575" s="35">
        <v>1.407688E-2</v>
      </c>
    </row>
    <row r="9576" spans="103:104" x14ac:dyDescent="0.3">
      <c r="CY9576" s="34" t="s">
        <v>10503</v>
      </c>
      <c r="CZ9576" s="35">
        <v>3.005114E-2</v>
      </c>
    </row>
    <row r="9577" spans="103:104" x14ac:dyDescent="0.3">
      <c r="CY9577" s="34" t="s">
        <v>10504</v>
      </c>
      <c r="CZ9577" s="35">
        <v>1.2145546653320001E-2</v>
      </c>
    </row>
    <row r="9578" spans="103:104" x14ac:dyDescent="0.3">
      <c r="CY9578" s="34" t="s">
        <v>10505</v>
      </c>
      <c r="CZ9578" s="35">
        <v>2.3901186653319997E-2</v>
      </c>
    </row>
    <row r="9579" spans="103:104" x14ac:dyDescent="0.3">
      <c r="CY9579" s="34" t="s">
        <v>10506</v>
      </c>
      <c r="CZ9579" s="35">
        <v>1.1545546666666667E-2</v>
      </c>
    </row>
    <row r="9580" spans="103:104" x14ac:dyDescent="0.3">
      <c r="CY9580" s="34" t="s">
        <v>10507</v>
      </c>
      <c r="CZ9580" s="35">
        <v>2.0308840000000002E-2</v>
      </c>
    </row>
    <row r="9581" spans="103:104" x14ac:dyDescent="0.3">
      <c r="CY9581" s="34" t="s">
        <v>10508</v>
      </c>
      <c r="CZ9581" s="35">
        <v>6.2167729999999997E-2</v>
      </c>
    </row>
    <row r="9582" spans="103:104" x14ac:dyDescent="0.3">
      <c r="CY9582" s="34" t="s">
        <v>10509</v>
      </c>
      <c r="CZ9582" s="35">
        <v>6.5076610000000007E-2</v>
      </c>
    </row>
    <row r="9583" spans="103:104" x14ac:dyDescent="0.3">
      <c r="CY9583" s="34" t="s">
        <v>10510</v>
      </c>
      <c r="CZ9583" s="35">
        <v>4.1181639999999999E-2</v>
      </c>
    </row>
    <row r="9584" spans="103:104" x14ac:dyDescent="0.3">
      <c r="CY9584" s="34" t="s">
        <v>10511</v>
      </c>
      <c r="CZ9584" s="35">
        <v>9.6920000000000014E-4</v>
      </c>
    </row>
    <row r="9585" spans="103:104" x14ac:dyDescent="0.3">
      <c r="CY9585" s="34" t="s">
        <v>10512</v>
      </c>
      <c r="CZ9585" s="35">
        <v>9.6920000000000003E-4</v>
      </c>
    </row>
    <row r="9586" spans="103:104" x14ac:dyDescent="0.3">
      <c r="CY9586" s="34" t="s">
        <v>10513</v>
      </c>
      <c r="CZ9586" s="35">
        <v>9.6920000000000014E-4</v>
      </c>
    </row>
    <row r="9587" spans="103:104" x14ac:dyDescent="0.3">
      <c r="CY9587" s="34" t="s">
        <v>10514</v>
      </c>
      <c r="CZ9587" s="35">
        <v>0.11034056000000002</v>
      </c>
    </row>
    <row r="9588" spans="103:104" x14ac:dyDescent="0.3">
      <c r="CY9588" s="34" t="s">
        <v>10515</v>
      </c>
      <c r="CZ9588" s="35">
        <v>8.5642453342857153E-2</v>
      </c>
    </row>
    <row r="9589" spans="103:104" x14ac:dyDescent="0.3">
      <c r="CY9589" s="34" t="s">
        <v>10516</v>
      </c>
      <c r="CZ9589" s="35">
        <v>0.11506613334285713</v>
      </c>
    </row>
    <row r="9590" spans="103:104" x14ac:dyDescent="0.3">
      <c r="CY9590" s="34" t="s">
        <v>10517</v>
      </c>
      <c r="CZ9590" s="35">
        <v>6.5076610000000007E-2</v>
      </c>
    </row>
    <row r="9591" spans="103:104" x14ac:dyDescent="0.3">
      <c r="CY9591" s="34" t="s">
        <v>10518</v>
      </c>
      <c r="CZ9591" s="35">
        <v>5.1386879999999998E-3</v>
      </c>
    </row>
    <row r="9592" spans="103:104" x14ac:dyDescent="0.3">
      <c r="CY9592" s="34" t="s">
        <v>10519</v>
      </c>
      <c r="CZ9592" s="35">
        <v>5.1386879999999998E-3</v>
      </c>
    </row>
    <row r="9593" spans="103:104" x14ac:dyDescent="0.3">
      <c r="CY9593" s="34" t="s">
        <v>10520</v>
      </c>
      <c r="CZ9593" s="35">
        <v>2.0868622912000003E-2</v>
      </c>
    </row>
    <row r="9594" spans="103:104" x14ac:dyDescent="0.3">
      <c r="CY9594" s="34" t="s">
        <v>10521</v>
      </c>
      <c r="CZ9594" s="35">
        <v>3.6884800000000005E-3</v>
      </c>
    </row>
    <row r="9595" spans="103:104" x14ac:dyDescent="0.3">
      <c r="CY9595" s="34" t="s">
        <v>10522</v>
      </c>
      <c r="CZ9595" s="35">
        <v>2.6565059999999998E-2</v>
      </c>
    </row>
    <row r="9596" spans="103:104" x14ac:dyDescent="0.3">
      <c r="CY9596" s="34" t="s">
        <v>10523</v>
      </c>
      <c r="CZ9596" s="35">
        <v>1.7591664000000003E-2</v>
      </c>
    </row>
    <row r="9597" spans="103:104" x14ac:dyDescent="0.3">
      <c r="CY9597" s="34" t="s">
        <v>10524</v>
      </c>
      <c r="CZ9597" s="35">
        <v>9.5463246670000002E-2</v>
      </c>
    </row>
    <row r="9598" spans="103:104" x14ac:dyDescent="0.3">
      <c r="CY9598" s="34" t="s">
        <v>10525</v>
      </c>
      <c r="CZ9598" s="35">
        <v>6.6323199999999999E-2</v>
      </c>
    </row>
    <row r="9599" spans="103:104" x14ac:dyDescent="0.3">
      <c r="CY9599" s="34" t="s">
        <v>10526</v>
      </c>
      <c r="CZ9599" s="35">
        <v>1.417377E-2</v>
      </c>
    </row>
    <row r="9600" spans="103:104" x14ac:dyDescent="0.3">
      <c r="CY9600" s="34" t="s">
        <v>10527</v>
      </c>
      <c r="CZ9600" s="35">
        <v>1.3650736E-2</v>
      </c>
    </row>
    <row r="9601" spans="103:104" x14ac:dyDescent="0.3">
      <c r="CY9601" s="34" t="s">
        <v>10528</v>
      </c>
      <c r="CZ9601" s="35">
        <v>4.5186187000000001E-3</v>
      </c>
    </row>
    <row r="9602" spans="103:104" x14ac:dyDescent="0.3">
      <c r="CY9602" s="34" t="s">
        <v>10529</v>
      </c>
      <c r="CZ9602" s="35">
        <v>4.0928840000000001E-2</v>
      </c>
    </row>
    <row r="9603" spans="103:104" x14ac:dyDescent="0.3">
      <c r="CY9603" s="34" t="s">
        <v>10530</v>
      </c>
      <c r="CZ9603" s="35">
        <v>4.581172E-2</v>
      </c>
    </row>
    <row r="9604" spans="103:104" x14ac:dyDescent="0.3">
      <c r="CY9604" s="34" t="s">
        <v>10531</v>
      </c>
      <c r="CZ9604" s="35">
        <v>3.9428129999999999E-2</v>
      </c>
    </row>
    <row r="9605" spans="103:104" x14ac:dyDescent="0.3">
      <c r="CY9605" s="34" t="s">
        <v>10532</v>
      </c>
      <c r="CZ9605" s="35">
        <v>2.1518959999999999E-3</v>
      </c>
    </row>
    <row r="9606" spans="103:104" x14ac:dyDescent="0.3">
      <c r="CY9606" s="34" t="s">
        <v>10533</v>
      </c>
      <c r="CZ9606" s="35">
        <v>3.9786533333333336E-3</v>
      </c>
    </row>
    <row r="9607" spans="103:104" x14ac:dyDescent="0.3">
      <c r="CY9607" s="34" t="s">
        <v>10534</v>
      </c>
      <c r="CZ9607" s="35">
        <v>0.13627320000000001</v>
      </c>
    </row>
    <row r="9608" spans="103:104" x14ac:dyDescent="0.3">
      <c r="CY9608" s="34" t="s">
        <v>10535</v>
      </c>
      <c r="CZ9608" s="35">
        <v>1.1426087615999999E-3</v>
      </c>
    </row>
    <row r="9609" spans="103:104" x14ac:dyDescent="0.3">
      <c r="CY9609" s="34" t="s">
        <v>10536</v>
      </c>
      <c r="CZ9609" s="35">
        <v>1.959096E-3</v>
      </c>
    </row>
    <row r="9610" spans="103:104" x14ac:dyDescent="0.3">
      <c r="CY9610" s="34" t="s">
        <v>10537</v>
      </c>
      <c r="CZ9610" s="35">
        <v>1.1052639999999999E-3</v>
      </c>
    </row>
    <row r="9611" spans="103:104" x14ac:dyDescent="0.3">
      <c r="CY9611" s="34" t="s">
        <v>10538</v>
      </c>
      <c r="CZ9611" s="35">
        <v>9.4592074999999998E-2</v>
      </c>
    </row>
    <row r="9612" spans="103:104" x14ac:dyDescent="0.3">
      <c r="CY9612" s="34" t="s">
        <v>10539</v>
      </c>
      <c r="CZ9612" s="35">
        <v>1.1567560000000001E-3</v>
      </c>
    </row>
    <row r="9613" spans="103:104" x14ac:dyDescent="0.3">
      <c r="CY9613" s="34" t="s">
        <v>10540</v>
      </c>
      <c r="CZ9613" s="35">
        <v>8.5853600000000002E-4</v>
      </c>
    </row>
    <row r="9614" spans="103:104" x14ac:dyDescent="0.3">
      <c r="CY9614" s="34" t="s">
        <v>10541</v>
      </c>
      <c r="CZ9614" s="35">
        <v>7.8764799999999995E-5</v>
      </c>
    </row>
    <row r="9615" spans="103:104" x14ac:dyDescent="0.3">
      <c r="CY9615" s="34" t="s">
        <v>10542</v>
      </c>
      <c r="CZ9615" s="35">
        <v>2.1455696E-2</v>
      </c>
    </row>
    <row r="9616" spans="103:104" x14ac:dyDescent="0.3">
      <c r="CY9616" s="34" t="s">
        <v>10543</v>
      </c>
      <c r="CZ9616" s="35">
        <v>2.1471696000000002E-2</v>
      </c>
    </row>
    <row r="9617" spans="103:104" x14ac:dyDescent="0.3">
      <c r="CY9617" s="34" t="s">
        <v>10544</v>
      </c>
      <c r="CZ9617" s="35">
        <v>3.58712512E-3</v>
      </c>
    </row>
    <row r="9618" spans="103:104" x14ac:dyDescent="0.3">
      <c r="CY9618" s="34" t="s">
        <v>10545</v>
      </c>
      <c r="CZ9618" s="35">
        <v>4.1740171428571431E-3</v>
      </c>
    </row>
    <row r="9619" spans="103:104" x14ac:dyDescent="0.3">
      <c r="CY9619" s="34" t="s">
        <v>10546</v>
      </c>
      <c r="CZ9619" s="35">
        <v>0.12440516666666666</v>
      </c>
    </row>
    <row r="9620" spans="103:104" x14ac:dyDescent="0.3">
      <c r="CY9620" s="34" t="s">
        <v>10547</v>
      </c>
      <c r="CZ9620" s="35">
        <v>0.16820259866666665</v>
      </c>
    </row>
    <row r="9621" spans="103:104" x14ac:dyDescent="0.3">
      <c r="CY9621" s="34" t="s">
        <v>10548</v>
      </c>
      <c r="CZ9621" s="35">
        <v>0.16608883199999999</v>
      </c>
    </row>
    <row r="9622" spans="103:104" x14ac:dyDescent="0.3">
      <c r="CY9622" s="34" t="s">
        <v>10549</v>
      </c>
      <c r="CZ9622" s="35">
        <v>0.16196695111111112</v>
      </c>
    </row>
    <row r="9623" spans="103:104" x14ac:dyDescent="0.3">
      <c r="CY9623" s="34" t="s">
        <v>10550</v>
      </c>
      <c r="CZ9623" s="35">
        <v>0.16968395733333333</v>
      </c>
    </row>
    <row r="9624" spans="103:104" x14ac:dyDescent="0.3">
      <c r="CY9624" s="34" t="s">
        <v>10551</v>
      </c>
      <c r="CZ9624" s="35">
        <v>7.7734559999999998E-3</v>
      </c>
    </row>
    <row r="9625" spans="103:104" x14ac:dyDescent="0.3">
      <c r="CY9625" s="34" t="s">
        <v>10552</v>
      </c>
      <c r="CZ9625" s="35">
        <v>4.4903519999999995E-2</v>
      </c>
    </row>
    <row r="9626" spans="103:104" x14ac:dyDescent="0.3">
      <c r="CY9626" s="34" t="s">
        <v>10553</v>
      </c>
      <c r="CZ9626" s="35">
        <v>9.4699679999999987E-3</v>
      </c>
    </row>
    <row r="9627" spans="103:104" x14ac:dyDescent="0.3">
      <c r="CY9627" s="34" t="s">
        <v>10554</v>
      </c>
      <c r="CZ9627" s="35">
        <v>9.4699679999999987E-3</v>
      </c>
    </row>
    <row r="9628" spans="103:104" x14ac:dyDescent="0.3">
      <c r="CY9628" s="34" t="s">
        <v>10555</v>
      </c>
      <c r="CZ9628" s="35">
        <v>1.176226E-2</v>
      </c>
    </row>
    <row r="9629" spans="103:104" x14ac:dyDescent="0.3">
      <c r="CY9629" s="34" t="s">
        <v>10556</v>
      </c>
      <c r="CZ9629" s="35">
        <v>1.176226E-2</v>
      </c>
    </row>
    <row r="9630" spans="103:104" x14ac:dyDescent="0.3">
      <c r="CY9630" s="34" t="s">
        <v>10557</v>
      </c>
      <c r="CZ9630" s="35">
        <v>4.5775822285714276E-3</v>
      </c>
    </row>
    <row r="9631" spans="103:104" x14ac:dyDescent="0.3">
      <c r="CY9631" s="34" t="s">
        <v>10558</v>
      </c>
      <c r="CZ9631" s="35">
        <v>1.1174904575000002E-2</v>
      </c>
    </row>
    <row r="9632" spans="103:104" x14ac:dyDescent="0.3">
      <c r="CY9632" s="34" t="s">
        <v>10559</v>
      </c>
      <c r="CZ9632" s="35">
        <v>8.9225119999999988E-3</v>
      </c>
    </row>
    <row r="9633" spans="103:104" x14ac:dyDescent="0.3">
      <c r="CY9633" s="34" t="s">
        <v>10560</v>
      </c>
      <c r="CZ9633" s="35">
        <v>3.6692064000000001E-3</v>
      </c>
    </row>
    <row r="9634" spans="103:104" x14ac:dyDescent="0.3">
      <c r="CY9634" s="34" t="s">
        <v>10561</v>
      </c>
      <c r="CZ9634" s="35">
        <v>3.9416504706666668E-2</v>
      </c>
    </row>
    <row r="9635" spans="103:104" x14ac:dyDescent="0.3">
      <c r="CY9635" s="34" t="s">
        <v>10562</v>
      </c>
      <c r="CZ9635" s="35">
        <v>3.9568800000000008E-2</v>
      </c>
    </row>
    <row r="9636" spans="103:104" x14ac:dyDescent="0.3">
      <c r="CY9636" s="34" t="s">
        <v>10563</v>
      </c>
      <c r="CZ9636" s="35">
        <v>2.5848557894736845E-2</v>
      </c>
    </row>
    <row r="9637" spans="103:104" x14ac:dyDescent="0.3">
      <c r="CY9637" s="34" t="s">
        <v>10564</v>
      </c>
      <c r="CZ9637" s="35">
        <v>9.8260639999999996E-2</v>
      </c>
    </row>
    <row r="9638" spans="103:104" x14ac:dyDescent="0.3">
      <c r="CY9638" s="34" t="s">
        <v>10565</v>
      </c>
      <c r="CZ9638" s="35">
        <v>9.8260639999999996E-2</v>
      </c>
    </row>
    <row r="9639" spans="103:104" x14ac:dyDescent="0.3">
      <c r="CY9639" s="34" t="s">
        <v>10566</v>
      </c>
      <c r="CZ9639" s="35">
        <v>2.5071553999999996E-2</v>
      </c>
    </row>
    <row r="9640" spans="103:104" x14ac:dyDescent="0.3">
      <c r="CY9640" s="34" t="s">
        <v>10567</v>
      </c>
      <c r="CZ9640" s="35">
        <v>2.6109279999999998E-3</v>
      </c>
    </row>
    <row r="9641" spans="103:104" x14ac:dyDescent="0.3">
      <c r="CY9641" s="34" t="s">
        <v>10568</v>
      </c>
      <c r="CZ9641" s="35">
        <v>2.6803999999999999E-3</v>
      </c>
    </row>
    <row r="9642" spans="103:104" x14ac:dyDescent="0.3">
      <c r="CY9642" s="34" t="s">
        <v>10569</v>
      </c>
      <c r="CZ9642" s="35">
        <v>2.6803999999999999E-3</v>
      </c>
    </row>
    <row r="9643" spans="103:104" x14ac:dyDescent="0.3">
      <c r="CY9643" s="34" t="s">
        <v>10570</v>
      </c>
      <c r="CZ9643" s="35">
        <v>6.982060792E-2</v>
      </c>
    </row>
    <row r="9644" spans="103:104" x14ac:dyDescent="0.3">
      <c r="CY9644" s="34" t="s">
        <v>10571</v>
      </c>
      <c r="CZ9644" s="35">
        <v>4.033822116E-2</v>
      </c>
    </row>
    <row r="9645" spans="103:104" x14ac:dyDescent="0.3">
      <c r="CY9645" s="34" t="s">
        <v>10572</v>
      </c>
      <c r="CZ9645" s="35">
        <v>2.4670600000000001E-2</v>
      </c>
    </row>
    <row r="9646" spans="103:104" x14ac:dyDescent="0.3">
      <c r="CY9646" s="34" t="s">
        <v>10573</v>
      </c>
      <c r="CZ9646" s="35">
        <v>1.3066280000000001E-2</v>
      </c>
    </row>
    <row r="9647" spans="103:104" x14ac:dyDescent="0.3">
      <c r="CY9647" s="34" t="s">
        <v>10574</v>
      </c>
      <c r="CZ9647" s="35">
        <v>1.6131840000000001E-2</v>
      </c>
    </row>
    <row r="9648" spans="103:104" x14ac:dyDescent="0.3">
      <c r="CY9648" s="34" t="s">
        <v>10575</v>
      </c>
      <c r="CZ9648" s="35">
        <v>9.7858666999999996E-3</v>
      </c>
    </row>
    <row r="9649" spans="103:104" x14ac:dyDescent="0.3">
      <c r="CY9649" s="34" t="s">
        <v>10576</v>
      </c>
      <c r="CZ9649" s="35">
        <v>0.24854180000000003</v>
      </c>
    </row>
    <row r="9650" spans="103:104" x14ac:dyDescent="0.3">
      <c r="CY9650" s="34" t="s">
        <v>10577</v>
      </c>
      <c r="CZ9650" s="35">
        <v>0.27156505000000003</v>
      </c>
    </row>
    <row r="9651" spans="103:104" x14ac:dyDescent="0.3">
      <c r="CY9651" s="34" t="s">
        <v>10578</v>
      </c>
      <c r="CZ9651" s="35">
        <v>0.15169823999999998</v>
      </c>
    </row>
    <row r="9652" spans="103:104" x14ac:dyDescent="0.3">
      <c r="CY9652" s="34" t="s">
        <v>10579</v>
      </c>
      <c r="CZ9652" s="35">
        <v>6.9393640000000006E-2</v>
      </c>
    </row>
    <row r="9653" spans="103:104" x14ac:dyDescent="0.3">
      <c r="CY9653" s="34" t="s">
        <v>10580</v>
      </c>
      <c r="CZ9653" s="35">
        <v>0.12811412</v>
      </c>
    </row>
    <row r="9654" spans="103:104" x14ac:dyDescent="0.3">
      <c r="CY9654" s="34" t="s">
        <v>10581</v>
      </c>
      <c r="CZ9654" s="35">
        <v>1.6882399999999999E-2</v>
      </c>
    </row>
    <row r="9655" spans="103:104" x14ac:dyDescent="0.3">
      <c r="CY9655" s="34" t="s">
        <v>10582</v>
      </c>
      <c r="CZ9655" s="35">
        <v>1.9262959999999999E-2</v>
      </c>
    </row>
    <row r="9656" spans="103:104" x14ac:dyDescent="0.3">
      <c r="CY9656" s="34" t="s">
        <v>10583</v>
      </c>
      <c r="CZ9656" s="35">
        <v>5.1744243750000002E-2</v>
      </c>
    </row>
    <row r="9657" spans="103:104" x14ac:dyDescent="0.3">
      <c r="CY9657" s="34" t="s">
        <v>10584</v>
      </c>
      <c r="CZ9657" s="35">
        <v>4.5994883333333333E-2</v>
      </c>
    </row>
    <row r="9658" spans="103:104" x14ac:dyDescent="0.3">
      <c r="CY9658" s="34" t="s">
        <v>10585</v>
      </c>
      <c r="CZ9658" s="35">
        <v>2.3600117688000001E-2</v>
      </c>
    </row>
    <row r="9659" spans="103:104" x14ac:dyDescent="0.3">
      <c r="CY9659" s="34" t="s">
        <v>10586</v>
      </c>
      <c r="CZ9659" s="35">
        <v>1.51564E-2</v>
      </c>
    </row>
    <row r="9660" spans="103:104" x14ac:dyDescent="0.3">
      <c r="CY9660" s="34" t="s">
        <v>10587</v>
      </c>
      <c r="CZ9660" s="35">
        <v>8.035850700000001E-2</v>
      </c>
    </row>
    <row r="9661" spans="103:104" x14ac:dyDescent="0.3">
      <c r="CY9661" s="34" t="s">
        <v>10588</v>
      </c>
      <c r="CZ9661" s="35">
        <v>3.9718330000000006E-4</v>
      </c>
    </row>
    <row r="9662" spans="103:104" x14ac:dyDescent="0.3">
      <c r="CY9662" s="34" t="s">
        <v>10589</v>
      </c>
      <c r="CZ9662" s="35">
        <v>0.1198528</v>
      </c>
    </row>
    <row r="9663" spans="103:104" x14ac:dyDescent="0.3">
      <c r="CY9663" s="34" t="s">
        <v>10590</v>
      </c>
      <c r="CZ9663" s="35">
        <v>3.8680440000000003E-2</v>
      </c>
    </row>
    <row r="9664" spans="103:104" x14ac:dyDescent="0.3">
      <c r="CY9664" s="34" t="s">
        <v>10591</v>
      </c>
      <c r="CZ9664" s="35">
        <v>5.0412262184873949E-2</v>
      </c>
    </row>
    <row r="9665" spans="103:104" x14ac:dyDescent="0.3">
      <c r="CY9665" s="34" t="s">
        <v>10592</v>
      </c>
      <c r="CZ9665" s="35">
        <v>4.1885231999999994E-2</v>
      </c>
    </row>
    <row r="9666" spans="103:104" x14ac:dyDescent="0.3">
      <c r="CY9666" s="34" t="s">
        <v>10593</v>
      </c>
      <c r="CZ9666" s="35">
        <v>6.9414666799999993E-3</v>
      </c>
    </row>
    <row r="9667" spans="103:104" x14ac:dyDescent="0.3">
      <c r="CY9667" s="34" t="s">
        <v>10594</v>
      </c>
      <c r="CZ9667" s="35">
        <v>2.9909569230769231E-2</v>
      </c>
    </row>
    <row r="9668" spans="103:104" x14ac:dyDescent="0.3">
      <c r="CY9668" s="34" t="s">
        <v>10595</v>
      </c>
      <c r="CZ9668" s="35">
        <v>3.3268548749999995E-2</v>
      </c>
    </row>
    <row r="9669" spans="103:104" x14ac:dyDescent="0.3">
      <c r="CY9669" s="34" t="s">
        <v>10596</v>
      </c>
      <c r="CZ9669" s="35">
        <v>1.430176E-2</v>
      </c>
    </row>
    <row r="9670" spans="103:104" x14ac:dyDescent="0.3">
      <c r="CY9670" s="34" t="s">
        <v>10597</v>
      </c>
      <c r="CZ9670" s="35">
        <v>1.1513008000000001E-3</v>
      </c>
    </row>
    <row r="9671" spans="103:104" x14ac:dyDescent="0.3">
      <c r="CY9671" s="34" t="s">
        <v>10598</v>
      </c>
      <c r="CZ9671" s="35">
        <v>7.8532919999999992E-2</v>
      </c>
    </row>
    <row r="9672" spans="103:104" x14ac:dyDescent="0.3">
      <c r="CY9672" s="34" t="s">
        <v>10599</v>
      </c>
      <c r="CZ9672" s="35">
        <v>8.3457040000000007E-3</v>
      </c>
    </row>
    <row r="9673" spans="103:104" x14ac:dyDescent="0.3">
      <c r="CY9673" s="34" t="s">
        <v>10600</v>
      </c>
      <c r="CZ9673" s="35">
        <v>2.0383039999999999E-3</v>
      </c>
    </row>
    <row r="9674" spans="103:104" x14ac:dyDescent="0.3">
      <c r="CY9674" s="34" t="s">
        <v>10601</v>
      </c>
      <c r="CZ9674" s="35">
        <v>0.5331986666666666</v>
      </c>
    </row>
    <row r="9675" spans="103:104" x14ac:dyDescent="0.3">
      <c r="CY9675" s="34" t="s">
        <v>10602</v>
      </c>
      <c r="CZ9675" s="35">
        <v>0.14740719999999999</v>
      </c>
    </row>
    <row r="9676" spans="103:104" x14ac:dyDescent="0.3">
      <c r="CY9676" s="34" t="s">
        <v>10603</v>
      </c>
      <c r="CZ9676" s="35">
        <v>2.079466E-2</v>
      </c>
    </row>
    <row r="9677" spans="103:104" x14ac:dyDescent="0.3">
      <c r="CY9677" s="34" t="s">
        <v>10604</v>
      </c>
      <c r="CZ9677" s="35">
        <v>1.3769425E-2</v>
      </c>
    </row>
    <row r="9678" spans="103:104" x14ac:dyDescent="0.3">
      <c r="CY9678" s="34" t="s">
        <v>10605</v>
      </c>
      <c r="CZ9678" s="35">
        <v>4.1685199999999995E-4</v>
      </c>
    </row>
    <row r="9679" spans="103:104" x14ac:dyDescent="0.3">
      <c r="CY9679" s="34" t="s">
        <v>10606</v>
      </c>
      <c r="CZ9679" s="35">
        <v>6.6164421052631586E-3</v>
      </c>
    </row>
    <row r="9680" spans="103:104" x14ac:dyDescent="0.3">
      <c r="CY9680" s="34" t="s">
        <v>10607</v>
      </c>
      <c r="CZ9680" s="35">
        <v>2.8881599999999999E-3</v>
      </c>
    </row>
    <row r="9681" spans="103:104" x14ac:dyDescent="0.3">
      <c r="CY9681" s="34" t="s">
        <v>10608</v>
      </c>
      <c r="CZ9681" s="35">
        <v>0.20296000000000003</v>
      </c>
    </row>
    <row r="9682" spans="103:104" x14ac:dyDescent="0.3">
      <c r="CY9682" s="34" t="s">
        <v>10609</v>
      </c>
      <c r="CZ9682" s="35">
        <v>0.55570927999999997</v>
      </c>
    </row>
    <row r="9683" spans="103:104" x14ac:dyDescent="0.3">
      <c r="CY9683" s="34" t="s">
        <v>10610</v>
      </c>
      <c r="CZ9683" s="35">
        <v>0.5674072</v>
      </c>
    </row>
    <row r="9684" spans="103:104" x14ac:dyDescent="0.3">
      <c r="CY9684" s="34" t="s">
        <v>10611</v>
      </c>
      <c r="CZ9684" s="35">
        <v>2.226128E-3</v>
      </c>
    </row>
    <row r="9685" spans="103:104" x14ac:dyDescent="0.3">
      <c r="CY9685" s="34" t="s">
        <v>10612</v>
      </c>
      <c r="CZ9685" s="35">
        <v>3.425806E-2</v>
      </c>
    </row>
    <row r="9686" spans="103:104" x14ac:dyDescent="0.3">
      <c r="CY9686" s="34" t="s">
        <v>10613</v>
      </c>
      <c r="CZ9686" s="35">
        <v>2.9028939999999996E-2</v>
      </c>
    </row>
    <row r="9687" spans="103:104" x14ac:dyDescent="0.3">
      <c r="CY9687" s="34" t="s">
        <v>10614</v>
      </c>
      <c r="CZ9687" s="35">
        <v>1.1007496E-3</v>
      </c>
    </row>
    <row r="9688" spans="103:104" x14ac:dyDescent="0.3">
      <c r="CY9688" s="34" t="s">
        <v>10615</v>
      </c>
      <c r="CZ9688" s="35">
        <v>3.3050373299999998E-3</v>
      </c>
    </row>
    <row r="9689" spans="103:104" x14ac:dyDescent="0.3">
      <c r="CY9689" s="34" t="s">
        <v>10616</v>
      </c>
      <c r="CZ9689" s="35">
        <v>1.9051411999999997E-2</v>
      </c>
    </row>
    <row r="9690" spans="103:104" x14ac:dyDescent="0.3">
      <c r="CY9690" s="34" t="s">
        <v>10617</v>
      </c>
      <c r="CZ9690" s="35">
        <v>9.466128E-2</v>
      </c>
    </row>
    <row r="9691" spans="103:104" x14ac:dyDescent="0.3">
      <c r="CY9691" s="34" t="s">
        <v>10618</v>
      </c>
      <c r="CZ9691" s="35">
        <v>4.420752E-2</v>
      </c>
    </row>
    <row r="9692" spans="103:104" x14ac:dyDescent="0.3">
      <c r="CY9692" s="34" t="s">
        <v>10619</v>
      </c>
      <c r="CZ9692" s="35">
        <v>0.1538456</v>
      </c>
    </row>
    <row r="9693" spans="103:104" x14ac:dyDescent="0.3">
      <c r="CY9693" s="34" t="s">
        <v>10620</v>
      </c>
      <c r="CZ9693" s="35">
        <v>0.14253065999999998</v>
      </c>
    </row>
    <row r="9694" spans="103:104" x14ac:dyDescent="0.3">
      <c r="CY9694" s="34" t="s">
        <v>10621</v>
      </c>
      <c r="CZ9694" s="35">
        <v>0.15212153999999997</v>
      </c>
    </row>
    <row r="9695" spans="103:104" x14ac:dyDescent="0.3">
      <c r="CY9695" s="34" t="s">
        <v>10622</v>
      </c>
      <c r="CZ9695" s="35">
        <v>2.9759320000000002E-2</v>
      </c>
    </row>
    <row r="9696" spans="103:104" x14ac:dyDescent="0.3">
      <c r="CY9696" s="34" t="s">
        <v>10623</v>
      </c>
      <c r="CZ9696" s="35">
        <v>2.8814400000000005E-4</v>
      </c>
    </row>
    <row r="9697" spans="103:104" x14ac:dyDescent="0.3">
      <c r="CY9697" s="34" t="s">
        <v>10624</v>
      </c>
      <c r="CZ9697" s="35">
        <v>6.308656E-2</v>
      </c>
    </row>
    <row r="9698" spans="103:104" x14ac:dyDescent="0.3">
      <c r="CY9698" s="34" t="s">
        <v>10625</v>
      </c>
      <c r="CZ9698" s="35">
        <v>6.4256480000000004E-4</v>
      </c>
    </row>
    <row r="9699" spans="103:104" x14ac:dyDescent="0.3">
      <c r="CY9699" s="34" t="s">
        <v>10626</v>
      </c>
      <c r="CZ9699" s="35">
        <v>6.6766000000000004E-4</v>
      </c>
    </row>
    <row r="9700" spans="103:104" x14ac:dyDescent="0.3">
      <c r="CY9700" s="34" t="s">
        <v>10627</v>
      </c>
      <c r="CZ9700" s="35">
        <v>5.4898559999999998E-4</v>
      </c>
    </row>
    <row r="9701" spans="103:104" x14ac:dyDescent="0.3">
      <c r="CY9701" s="34" t="s">
        <v>10628</v>
      </c>
      <c r="CZ9701" s="35">
        <v>5.4898559999999998E-4</v>
      </c>
    </row>
    <row r="9702" spans="103:104" x14ac:dyDescent="0.3">
      <c r="CY9702" s="34" t="s">
        <v>10629</v>
      </c>
      <c r="CZ9702" s="35">
        <v>1.2508295999999999E-3</v>
      </c>
    </row>
    <row r="9703" spans="103:104" x14ac:dyDescent="0.3">
      <c r="CY9703" s="34" t="s">
        <v>10630</v>
      </c>
      <c r="CZ9703" s="35">
        <v>5.02196E-4</v>
      </c>
    </row>
    <row r="9704" spans="103:104" x14ac:dyDescent="0.3">
      <c r="CY9704" s="34" t="s">
        <v>10631</v>
      </c>
      <c r="CZ9704" s="35">
        <v>5.02196E-4</v>
      </c>
    </row>
    <row r="9705" spans="103:104" x14ac:dyDescent="0.3">
      <c r="CY9705" s="34" t="s">
        <v>10632</v>
      </c>
      <c r="CZ9705" s="35">
        <v>9.233024E-4</v>
      </c>
    </row>
    <row r="9706" spans="103:104" x14ac:dyDescent="0.3">
      <c r="CY9706" s="34" t="s">
        <v>10633</v>
      </c>
      <c r="CZ9706" s="35">
        <v>8.7651280000000014E-4</v>
      </c>
    </row>
    <row r="9707" spans="103:104" x14ac:dyDescent="0.3">
      <c r="CY9707" s="34" t="s">
        <v>10634</v>
      </c>
      <c r="CZ9707" s="35">
        <v>1.1572504E-3</v>
      </c>
    </row>
    <row r="9708" spans="103:104" x14ac:dyDescent="0.3">
      <c r="CY9708" s="34" t="s">
        <v>10635</v>
      </c>
      <c r="CZ9708" s="35">
        <v>1.1446143999999999E-3</v>
      </c>
    </row>
    <row r="9709" spans="103:104" x14ac:dyDescent="0.3">
      <c r="CY9709" s="34" t="s">
        <v>10636</v>
      </c>
      <c r="CZ9709" s="35">
        <v>1.4379879999999996E-3</v>
      </c>
    </row>
    <row r="9710" spans="103:104" x14ac:dyDescent="0.3">
      <c r="CY9710" s="34" t="s">
        <v>10637</v>
      </c>
      <c r="CZ9710" s="35">
        <v>1.8123047999999999E-3</v>
      </c>
    </row>
    <row r="9711" spans="103:104" x14ac:dyDescent="0.3">
      <c r="CY9711" s="34" t="s">
        <v>10638</v>
      </c>
      <c r="CZ9711" s="35">
        <v>4.5540640000000008E-4</v>
      </c>
    </row>
    <row r="9712" spans="103:104" x14ac:dyDescent="0.3">
      <c r="CY9712" s="34" t="s">
        <v>10639</v>
      </c>
      <c r="CZ9712" s="35">
        <v>4.0861680000000005E-4</v>
      </c>
    </row>
    <row r="9713" spans="103:104" x14ac:dyDescent="0.3">
      <c r="CY9713" s="34" t="s">
        <v>10640</v>
      </c>
      <c r="CZ9713" s="35">
        <v>5.02196E-4</v>
      </c>
    </row>
    <row r="9714" spans="103:104" x14ac:dyDescent="0.3">
      <c r="CY9714" s="34" t="s">
        <v>10641</v>
      </c>
      <c r="CZ9714" s="35">
        <v>6.1449104000000005E-4</v>
      </c>
    </row>
    <row r="9715" spans="103:104" x14ac:dyDescent="0.3">
      <c r="CY9715" s="34" t="s">
        <v>10642</v>
      </c>
      <c r="CZ9715" s="35">
        <v>6.4256480000000004E-4</v>
      </c>
    </row>
    <row r="9716" spans="103:104" x14ac:dyDescent="0.3">
      <c r="CY9716" s="34" t="s">
        <v>10643</v>
      </c>
      <c r="CZ9716" s="35">
        <v>4.5540640000000008E-4</v>
      </c>
    </row>
    <row r="9717" spans="103:104" x14ac:dyDescent="0.3">
      <c r="CY9717" s="34" t="s">
        <v>10644</v>
      </c>
      <c r="CZ9717" s="35">
        <v>7.8293360000000008E-4</v>
      </c>
    </row>
    <row r="9718" spans="103:104" x14ac:dyDescent="0.3">
      <c r="CY9718" s="34" t="s">
        <v>10645</v>
      </c>
      <c r="CZ9718" s="35">
        <v>1.0861768E-3</v>
      </c>
    </row>
    <row r="9719" spans="103:104" x14ac:dyDescent="0.3">
      <c r="CY9719" s="34" t="s">
        <v>10646</v>
      </c>
      <c r="CZ9719" s="35">
        <v>3.7997925000000002E-2</v>
      </c>
    </row>
    <row r="9720" spans="103:104" x14ac:dyDescent="0.3">
      <c r="CY9720" s="34" t="s">
        <v>10647</v>
      </c>
      <c r="CZ9720" s="35">
        <v>0.14842026671428571</v>
      </c>
    </row>
    <row r="9721" spans="103:104" x14ac:dyDescent="0.3">
      <c r="CY9721" s="34" t="s">
        <v>10648</v>
      </c>
      <c r="CZ9721" s="35">
        <v>2.6395031999999999E-2</v>
      </c>
    </row>
    <row r="9722" spans="103:104" x14ac:dyDescent="0.3">
      <c r="CY9722" s="34" t="s">
        <v>10649</v>
      </c>
      <c r="CZ9722" s="35">
        <v>2.3234719999999997E-2</v>
      </c>
    </row>
    <row r="9723" spans="103:104" x14ac:dyDescent="0.3">
      <c r="CY9723" s="34" t="s">
        <v>10650</v>
      </c>
      <c r="CZ9723" s="35">
        <v>7.3363840000000005E-3</v>
      </c>
    </row>
    <row r="9724" spans="103:104" x14ac:dyDescent="0.3">
      <c r="CY9724" s="34" t="s">
        <v>10651</v>
      </c>
      <c r="CZ9724" s="35">
        <v>7.258023529411765E-3</v>
      </c>
    </row>
    <row r="9725" spans="103:104" x14ac:dyDescent="0.3">
      <c r="CY9725" s="34" t="s">
        <v>10652</v>
      </c>
      <c r="CZ9725" s="35">
        <v>2.8824720000000002E-2</v>
      </c>
    </row>
    <row r="9726" spans="103:104" x14ac:dyDescent="0.3">
      <c r="CY9726" s="34" t="s">
        <v>10653</v>
      </c>
      <c r="CZ9726" s="35">
        <v>7.8892479999999997E-3</v>
      </c>
    </row>
    <row r="9727" spans="103:104" x14ac:dyDescent="0.3">
      <c r="CY9727" s="34" t="s">
        <v>10654</v>
      </c>
      <c r="CZ9727" s="35">
        <v>3.4809920000000005E-3</v>
      </c>
    </row>
    <row r="9728" spans="103:104" x14ac:dyDescent="0.3">
      <c r="CY9728" s="34" t="s">
        <v>10655</v>
      </c>
      <c r="CZ9728" s="35">
        <v>5.5986399999999999E-2</v>
      </c>
    </row>
    <row r="9729" spans="103:104" x14ac:dyDescent="0.3">
      <c r="CY9729" s="34" t="s">
        <v>10656</v>
      </c>
      <c r="CZ9729" s="35">
        <v>1.6004707368421054E-2</v>
      </c>
    </row>
    <row r="9730" spans="103:104" x14ac:dyDescent="0.3">
      <c r="CY9730" s="34" t="s">
        <v>10657</v>
      </c>
      <c r="CZ9730" s="35">
        <v>2.2793239999999997E-3</v>
      </c>
    </row>
    <row r="9731" spans="103:104" x14ac:dyDescent="0.3">
      <c r="CY9731" s="34" t="s">
        <v>10658</v>
      </c>
      <c r="CZ9731" s="35">
        <v>1.3995200000000002E-3</v>
      </c>
    </row>
    <row r="9732" spans="103:104" x14ac:dyDescent="0.3">
      <c r="CY9732" s="34" t="s">
        <v>10659</v>
      </c>
      <c r="CZ9732" s="35">
        <v>1.2310232000000001E-2</v>
      </c>
    </row>
    <row r="9733" spans="103:104" x14ac:dyDescent="0.3">
      <c r="CY9733" s="34" t="s">
        <v>10660</v>
      </c>
      <c r="CZ9733" s="35">
        <v>2.9953799999999999E-2</v>
      </c>
    </row>
    <row r="9734" spans="103:104" x14ac:dyDescent="0.3">
      <c r="CY9734" s="34" t="s">
        <v>10661</v>
      </c>
      <c r="CZ9734" s="35">
        <v>2.9953799999999999E-2</v>
      </c>
    </row>
    <row r="9735" spans="103:104" x14ac:dyDescent="0.3">
      <c r="CY9735" s="34" t="s">
        <v>10662</v>
      </c>
      <c r="CZ9735" s="35">
        <v>5.9523500000000003E-3</v>
      </c>
    </row>
    <row r="9736" spans="103:104" x14ac:dyDescent="0.3">
      <c r="CY9736" s="34" t="s">
        <v>10663</v>
      </c>
      <c r="CZ9736" s="35">
        <v>2.1332720000000003E-2</v>
      </c>
    </row>
    <row r="9737" spans="103:104" x14ac:dyDescent="0.3">
      <c r="CY9737" s="34" t="s">
        <v>10664</v>
      </c>
      <c r="CZ9737" s="35">
        <v>1.94911466625E-2</v>
      </c>
    </row>
    <row r="9738" spans="103:104" x14ac:dyDescent="0.3">
      <c r="CY9738" s="34" t="s">
        <v>10665</v>
      </c>
      <c r="CZ9738" s="35">
        <v>2.3661546666666668E-2</v>
      </c>
    </row>
    <row r="9739" spans="103:104" x14ac:dyDescent="0.3">
      <c r="CY9739" s="34" t="s">
        <v>10666</v>
      </c>
      <c r="CZ9739" s="35">
        <v>2.3926168000000001E-2</v>
      </c>
    </row>
    <row r="9740" spans="103:104" x14ac:dyDescent="0.3">
      <c r="CY9740" s="34" t="s">
        <v>10667</v>
      </c>
      <c r="CZ9740" s="35">
        <v>1.5533299999999999E-3</v>
      </c>
    </row>
    <row r="9741" spans="103:104" x14ac:dyDescent="0.3">
      <c r="CY9741" s="34" t="s">
        <v>10668</v>
      </c>
      <c r="CZ9741" s="35">
        <v>1.8272660000000001E-3</v>
      </c>
    </row>
    <row r="9742" spans="103:104" x14ac:dyDescent="0.3">
      <c r="CY9742" s="34" t="s">
        <v>10669</v>
      </c>
      <c r="CZ9742" s="35">
        <v>2.70260056E-2</v>
      </c>
    </row>
    <row r="9743" spans="103:104" x14ac:dyDescent="0.3">
      <c r="CY9743" s="34" t="s">
        <v>10670</v>
      </c>
      <c r="CZ9743" s="35">
        <v>2.5450141600000002E-3</v>
      </c>
    </row>
    <row r="9744" spans="103:104" x14ac:dyDescent="0.3">
      <c r="CY9744" s="34" t="s">
        <v>10671</v>
      </c>
      <c r="CZ9744" s="35">
        <v>7.164775E-3</v>
      </c>
    </row>
    <row r="9745" spans="103:104" x14ac:dyDescent="0.3">
      <c r="CY9745" s="34" t="s">
        <v>10672</v>
      </c>
      <c r="CZ9745" s="35">
        <v>8.8525120000000016E-3</v>
      </c>
    </row>
    <row r="9746" spans="103:104" x14ac:dyDescent="0.3">
      <c r="CY9746" s="34" t="s">
        <v>10673</v>
      </c>
      <c r="CZ9746" s="35">
        <v>5.2467600000000007E-4</v>
      </c>
    </row>
    <row r="9747" spans="103:104" x14ac:dyDescent="0.3">
      <c r="CY9747" s="34" t="s">
        <v>10674</v>
      </c>
      <c r="CZ9747" s="35">
        <v>4.8364300000000001E-3</v>
      </c>
    </row>
    <row r="9748" spans="103:104" x14ac:dyDescent="0.3">
      <c r="CY9748" s="34" t="s">
        <v>10675</v>
      </c>
      <c r="CZ9748" s="35">
        <v>0.18324720454545454</v>
      </c>
    </row>
    <row r="9749" spans="103:104" x14ac:dyDescent="0.3">
      <c r="CY9749" s="34" t="s">
        <v>10676</v>
      </c>
      <c r="CZ9749" s="35">
        <v>0.10670634670000001</v>
      </c>
    </row>
    <row r="9750" spans="103:104" x14ac:dyDescent="0.3">
      <c r="CY9750" s="34" t="s">
        <v>10677</v>
      </c>
      <c r="CZ9750" s="35">
        <v>9.3661179999999997E-3</v>
      </c>
    </row>
    <row r="9751" spans="103:104" x14ac:dyDescent="0.3">
      <c r="CY9751" s="34" t="s">
        <v>10678</v>
      </c>
      <c r="CZ9751" s="35">
        <v>1.2851296000000001E-3</v>
      </c>
    </row>
    <row r="9752" spans="103:104" x14ac:dyDescent="0.3">
      <c r="CY9752" s="34" t="s">
        <v>10679</v>
      </c>
      <c r="CZ9752" s="35">
        <v>1.7821533723076925E-2</v>
      </c>
    </row>
    <row r="9753" spans="103:104" x14ac:dyDescent="0.3">
      <c r="CY9753" s="34" t="s">
        <v>10680</v>
      </c>
      <c r="CZ9753" s="35">
        <v>1.5516883508571432E-2</v>
      </c>
    </row>
    <row r="9754" spans="103:104" x14ac:dyDescent="0.3">
      <c r="CY9754" s="34" t="s">
        <v>10681</v>
      </c>
      <c r="CZ9754" s="35">
        <v>1.9553119999999998E-3</v>
      </c>
    </row>
    <row r="9755" spans="103:104" x14ac:dyDescent="0.3">
      <c r="CY9755" s="34" t="s">
        <v>10682</v>
      </c>
      <c r="CZ9755" s="35">
        <v>7.6149759999999999E-3</v>
      </c>
    </row>
    <row r="9756" spans="103:104" x14ac:dyDescent="0.3">
      <c r="CY9756" s="34" t="s">
        <v>10683</v>
      </c>
      <c r="CZ9756" s="35">
        <v>4.1883018559999994E-3</v>
      </c>
    </row>
    <row r="9757" spans="103:104" x14ac:dyDescent="0.3">
      <c r="CY9757" s="34" t="s">
        <v>10684</v>
      </c>
      <c r="CZ9757" s="35">
        <v>6.1491200000000001E-4</v>
      </c>
    </row>
    <row r="9758" spans="103:104" x14ac:dyDescent="0.3">
      <c r="CY9758" s="34" t="s">
        <v>10685</v>
      </c>
      <c r="CZ9758" s="35">
        <v>3.953776E-3</v>
      </c>
    </row>
    <row r="9759" spans="103:104" x14ac:dyDescent="0.3">
      <c r="CY9759" s="34" t="s">
        <v>10686</v>
      </c>
      <c r="CZ9759" s="35">
        <v>1.0326750857142856E-2</v>
      </c>
    </row>
    <row r="9760" spans="103:104" x14ac:dyDescent="0.3">
      <c r="CY9760" s="34" t="s">
        <v>10687</v>
      </c>
      <c r="CZ9760" s="35">
        <v>2.862598666857143E-2</v>
      </c>
    </row>
    <row r="9761" spans="103:104" x14ac:dyDescent="0.3">
      <c r="CY9761" s="34" t="s">
        <v>10688</v>
      </c>
      <c r="CZ9761" s="35">
        <v>2.2557650000000002E-2</v>
      </c>
    </row>
    <row r="9762" spans="103:104" x14ac:dyDescent="0.3">
      <c r="CY9762" s="34" t="s">
        <v>10689</v>
      </c>
      <c r="CZ9762" s="35">
        <v>1.207364E-2</v>
      </c>
    </row>
    <row r="9763" spans="103:104" x14ac:dyDescent="0.3">
      <c r="CY9763" s="34" t="s">
        <v>10690</v>
      </c>
      <c r="CZ9763" s="35">
        <v>3.0925599999999998E-3</v>
      </c>
    </row>
    <row r="9764" spans="103:104" x14ac:dyDescent="0.3">
      <c r="CY9764" s="34" t="s">
        <v>10691</v>
      </c>
      <c r="CZ9764" s="35">
        <v>1.1215866749999998E-3</v>
      </c>
    </row>
    <row r="9765" spans="103:104" x14ac:dyDescent="0.3">
      <c r="CY9765" s="34" t="s">
        <v>10692</v>
      </c>
      <c r="CZ9765" s="35">
        <v>0.13165923999999998</v>
      </c>
    </row>
    <row r="9766" spans="103:104" x14ac:dyDescent="0.3">
      <c r="CY9766" s="34" t="s">
        <v>10693</v>
      </c>
      <c r="CZ9766" s="35">
        <v>0.24558925350000002</v>
      </c>
    </row>
    <row r="9767" spans="103:104" x14ac:dyDescent="0.3">
      <c r="CY9767" s="34" t="s">
        <v>10694</v>
      </c>
      <c r="CZ9767" s="35">
        <v>5.8771079999999996E-2</v>
      </c>
    </row>
    <row r="9768" spans="103:104" x14ac:dyDescent="0.3">
      <c r="CY9768" s="34" t="s">
        <v>10695</v>
      </c>
      <c r="CZ9768" s="35">
        <v>6.2217900000000007E-2</v>
      </c>
    </row>
    <row r="9769" spans="103:104" x14ac:dyDescent="0.3">
      <c r="CY9769" s="34" t="s">
        <v>10696</v>
      </c>
      <c r="CZ9769" s="35">
        <v>1.04415164E-2</v>
      </c>
    </row>
    <row r="9770" spans="103:104" x14ac:dyDescent="0.3">
      <c r="CY9770" s="34" t="s">
        <v>10697</v>
      </c>
      <c r="CZ9770" s="35">
        <v>1.16027804E-2</v>
      </c>
    </row>
    <row r="9771" spans="103:104" x14ac:dyDescent="0.3">
      <c r="CY9771" s="34" t="s">
        <v>10698</v>
      </c>
      <c r="CZ9771" s="35">
        <v>0.52508200000000005</v>
      </c>
    </row>
    <row r="9772" spans="103:104" x14ac:dyDescent="0.3">
      <c r="CY9772" s="34" t="s">
        <v>10699</v>
      </c>
      <c r="CZ9772" s="35">
        <v>4.5013199543000003E-4</v>
      </c>
    </row>
    <row r="9773" spans="103:104" x14ac:dyDescent="0.3">
      <c r="CY9773" s="34" t="s">
        <v>10700</v>
      </c>
      <c r="CZ9773" s="35">
        <v>2.0803526666666669E-3</v>
      </c>
    </row>
    <row r="9774" spans="103:104" x14ac:dyDescent="0.3">
      <c r="CY9774" s="34" t="s">
        <v>10701</v>
      </c>
      <c r="CZ9774" s="35">
        <v>3.9728263529411771E-2</v>
      </c>
    </row>
    <row r="9775" spans="103:104" x14ac:dyDescent="0.3">
      <c r="CY9775" s="34" t="s">
        <v>10702</v>
      </c>
      <c r="CZ9775" s="35">
        <v>3.0637789473684212E-2</v>
      </c>
    </row>
    <row r="9776" spans="103:104" x14ac:dyDescent="0.3">
      <c r="CY9776" s="34" t="s">
        <v>10703</v>
      </c>
      <c r="CZ9776" s="35">
        <v>3.0637789473684209E-2</v>
      </c>
    </row>
    <row r="9777" spans="103:104" x14ac:dyDescent="0.3">
      <c r="CY9777" s="34" t="s">
        <v>10704</v>
      </c>
      <c r="CZ9777" s="35">
        <v>3.8444670547147841E-2</v>
      </c>
    </row>
    <row r="9778" spans="103:104" x14ac:dyDescent="0.3">
      <c r="CY9778" s="34" t="s">
        <v>10705</v>
      </c>
      <c r="CZ9778" s="35">
        <v>4.3114586728754359E-2</v>
      </c>
    </row>
    <row r="9779" spans="103:104" x14ac:dyDescent="0.3">
      <c r="CY9779" s="34" t="s">
        <v>10706</v>
      </c>
      <c r="CZ9779" s="35">
        <v>3.685957173447537E-2</v>
      </c>
    </row>
    <row r="9780" spans="103:104" x14ac:dyDescent="0.3">
      <c r="CY9780" s="34" t="s">
        <v>10707</v>
      </c>
      <c r="CZ9780" s="35">
        <v>3.6775116279069771E-2</v>
      </c>
    </row>
    <row r="9781" spans="103:104" x14ac:dyDescent="0.3">
      <c r="CY9781" s="34" t="s">
        <v>10708</v>
      </c>
      <c r="CZ9781" s="35">
        <v>3.4809747219413552E-2</v>
      </c>
    </row>
    <row r="9782" spans="103:104" x14ac:dyDescent="0.3">
      <c r="CY9782" s="34" t="s">
        <v>10709</v>
      </c>
      <c r="CZ9782" s="35">
        <v>4.1821946938775514E-2</v>
      </c>
    </row>
    <row r="9783" spans="103:104" x14ac:dyDescent="0.3">
      <c r="CY9783" s="34" t="s">
        <v>10710</v>
      </c>
      <c r="CZ9783" s="35">
        <v>4.1304647422680418E-2</v>
      </c>
    </row>
    <row r="9784" spans="103:104" x14ac:dyDescent="0.3">
      <c r="CY9784" s="34" t="s">
        <v>10711</v>
      </c>
      <c r="CZ9784" s="35">
        <v>4.2576842105263156E-2</v>
      </c>
    </row>
    <row r="9785" spans="103:104" x14ac:dyDescent="0.3">
      <c r="CY9785" s="34" t="s">
        <v>10712</v>
      </c>
      <c r="CZ9785" s="35">
        <v>4.2461718947368422E-2</v>
      </c>
    </row>
    <row r="9786" spans="103:104" x14ac:dyDescent="0.3">
      <c r="CY9786" s="34" t="s">
        <v>10713</v>
      </c>
      <c r="CZ9786" s="35">
        <v>4.3774381052631581E-2</v>
      </c>
    </row>
    <row r="9787" spans="103:104" x14ac:dyDescent="0.3">
      <c r="CY9787" s="34" t="s">
        <v>10714</v>
      </c>
      <c r="CZ9787" s="35">
        <v>3.4740315789473682E-2</v>
      </c>
    </row>
    <row r="9788" spans="103:104" x14ac:dyDescent="0.3">
      <c r="CY9788" s="34" t="s">
        <v>10715</v>
      </c>
      <c r="CZ9788" s="35">
        <v>3.3336666666666674E-2</v>
      </c>
    </row>
    <row r="9789" spans="103:104" x14ac:dyDescent="0.3">
      <c r="CY9789" s="34" t="s">
        <v>10716</v>
      </c>
      <c r="CZ9789" s="35">
        <v>3.4740315789473682E-2</v>
      </c>
    </row>
    <row r="9790" spans="103:104" x14ac:dyDescent="0.3">
      <c r="CY9790" s="34" t="s">
        <v>10717</v>
      </c>
      <c r="CZ9790" s="35">
        <v>3.4740315789473689E-2</v>
      </c>
    </row>
    <row r="9791" spans="103:104" x14ac:dyDescent="0.3">
      <c r="CY9791" s="34" t="s">
        <v>10718</v>
      </c>
      <c r="CZ9791" s="35">
        <v>3.7812705882352943E-2</v>
      </c>
    </row>
    <row r="9792" spans="103:104" x14ac:dyDescent="0.3">
      <c r="CY9792" s="34" t="s">
        <v>10719</v>
      </c>
      <c r="CZ9792" s="35">
        <v>4.1609536842105263E-2</v>
      </c>
    </row>
    <row r="9793" spans="103:104" x14ac:dyDescent="0.3">
      <c r="CY9793" s="34" t="s">
        <v>10720</v>
      </c>
      <c r="CZ9793" s="35">
        <v>3.9739553299492386E-2</v>
      </c>
    </row>
    <row r="9794" spans="103:104" x14ac:dyDescent="0.3">
      <c r="CY9794" s="34" t="s">
        <v>10721</v>
      </c>
      <c r="CZ9794" s="35">
        <v>3.9816104166666672E-2</v>
      </c>
    </row>
    <row r="9795" spans="103:104" x14ac:dyDescent="0.3">
      <c r="CY9795" s="34" t="s">
        <v>10722</v>
      </c>
      <c r="CZ9795" s="35">
        <v>5.153776941176471E-2</v>
      </c>
    </row>
    <row r="9796" spans="103:104" x14ac:dyDescent="0.3">
      <c r="CY9796" s="34" t="s">
        <v>10723</v>
      </c>
      <c r="CZ9796" s="35">
        <v>3.9162810526315789E-2</v>
      </c>
    </row>
    <row r="9797" spans="103:104" x14ac:dyDescent="0.3">
      <c r="CY9797" s="34" t="s">
        <v>10724</v>
      </c>
      <c r="CZ9797" s="35">
        <v>4.3539921489001689E-2</v>
      </c>
    </row>
    <row r="9798" spans="103:104" x14ac:dyDescent="0.3">
      <c r="CY9798" s="34" t="s">
        <v>10725</v>
      </c>
      <c r="CZ9798" s="35">
        <v>4.9837667342799194E-2</v>
      </c>
    </row>
    <row r="9799" spans="103:104" x14ac:dyDescent="0.3">
      <c r="CY9799" s="34" t="s">
        <v>10726</v>
      </c>
      <c r="CZ9799" s="35">
        <v>5.3296418090452262E-2</v>
      </c>
    </row>
    <row r="9800" spans="103:104" x14ac:dyDescent="0.3">
      <c r="CY9800" s="34" t="s">
        <v>10727</v>
      </c>
      <c r="CZ9800" s="35">
        <v>5.5820985263157895E-2</v>
      </c>
    </row>
    <row r="9801" spans="103:104" x14ac:dyDescent="0.3">
      <c r="CY9801" s="34" t="s">
        <v>10728</v>
      </c>
      <c r="CZ9801" s="35">
        <v>5.5589037989949755E-2</v>
      </c>
    </row>
    <row r="9802" spans="103:104" x14ac:dyDescent="0.3">
      <c r="CY9802" s="34" t="s">
        <v>10729</v>
      </c>
      <c r="CZ9802" s="35">
        <v>6.3898526315789475E-2</v>
      </c>
    </row>
    <row r="9803" spans="103:104" x14ac:dyDescent="0.3">
      <c r="CY9803" s="34" t="s">
        <v>10730</v>
      </c>
      <c r="CZ9803" s="35">
        <v>6.1632421052631579E-2</v>
      </c>
    </row>
    <row r="9804" spans="103:104" x14ac:dyDescent="0.3">
      <c r="CY9804" s="34" t="s">
        <v>10731</v>
      </c>
      <c r="CZ9804" s="35">
        <v>6.1632421052631586E-2</v>
      </c>
    </row>
    <row r="9805" spans="103:104" x14ac:dyDescent="0.3">
      <c r="CY9805" s="34" t="s">
        <v>10732</v>
      </c>
      <c r="CZ9805" s="35">
        <v>6.3898526315789475E-2</v>
      </c>
    </row>
    <row r="9806" spans="103:104" x14ac:dyDescent="0.3">
      <c r="CY9806" s="34" t="s">
        <v>10733</v>
      </c>
      <c r="CZ9806" s="35">
        <v>6.1632421052631586E-2</v>
      </c>
    </row>
    <row r="9807" spans="103:104" x14ac:dyDescent="0.3">
      <c r="CY9807" s="34" t="s">
        <v>10734</v>
      </c>
      <c r="CZ9807" s="35">
        <v>9.1605760000000001E-3</v>
      </c>
    </row>
    <row r="9808" spans="103:104" x14ac:dyDescent="0.3">
      <c r="CY9808" s="34" t="s">
        <v>10735</v>
      </c>
      <c r="CZ9808" s="35">
        <v>1.0059656E-2</v>
      </c>
    </row>
    <row r="9809" spans="103:104" x14ac:dyDescent="0.3">
      <c r="CY9809" s="34" t="s">
        <v>10736</v>
      </c>
      <c r="CZ9809" s="35">
        <v>1.2496896E-2</v>
      </c>
    </row>
    <row r="9810" spans="103:104" x14ac:dyDescent="0.3">
      <c r="CY9810" s="34" t="s">
        <v>10737</v>
      </c>
      <c r="CZ9810" s="35">
        <v>1.2496896E-2</v>
      </c>
    </row>
    <row r="9811" spans="103:104" x14ac:dyDescent="0.3">
      <c r="CY9811" s="34" t="s">
        <v>10738</v>
      </c>
      <c r="CZ9811" s="35">
        <v>1.39998E-2</v>
      </c>
    </row>
    <row r="9812" spans="103:104" x14ac:dyDescent="0.3">
      <c r="CY9812" s="34" t="s">
        <v>10739</v>
      </c>
      <c r="CZ9812" s="35">
        <v>1.5454656000000002E-2</v>
      </c>
    </row>
    <row r="9813" spans="103:104" x14ac:dyDescent="0.3">
      <c r="CY9813" s="34" t="s">
        <v>10740</v>
      </c>
      <c r="CZ9813" s="35">
        <v>1.5750848000000001E-2</v>
      </c>
    </row>
    <row r="9814" spans="103:104" x14ac:dyDescent="0.3">
      <c r="CY9814" s="34" t="s">
        <v>10741</v>
      </c>
      <c r="CZ9814" s="35">
        <v>1.5750848000000001E-2</v>
      </c>
    </row>
    <row r="9815" spans="103:104" x14ac:dyDescent="0.3">
      <c r="CY9815" s="34" t="s">
        <v>10742</v>
      </c>
      <c r="CZ9815" s="35">
        <v>1.8060064000000001E-2</v>
      </c>
    </row>
    <row r="9816" spans="103:104" x14ac:dyDescent="0.3">
      <c r="CY9816" s="34" t="s">
        <v>10743</v>
      </c>
      <c r="CZ9816" s="35">
        <v>1.8060064000000001E-2</v>
      </c>
    </row>
    <row r="9817" spans="103:104" x14ac:dyDescent="0.3">
      <c r="CY9817" s="34" t="s">
        <v>10744</v>
      </c>
      <c r="CZ9817" s="35">
        <v>2.1004719999999998E-2</v>
      </c>
    </row>
    <row r="9818" spans="103:104" x14ac:dyDescent="0.3">
      <c r="CY9818" s="34" t="s">
        <v>10745</v>
      </c>
      <c r="CZ9818" s="35">
        <v>4.0491623611111111E-2</v>
      </c>
    </row>
    <row r="9819" spans="103:104" x14ac:dyDescent="0.3">
      <c r="CY9819" s="34" t="s">
        <v>10746</v>
      </c>
      <c r="CZ9819" s="35">
        <v>2.1004719999999998E-2</v>
      </c>
    </row>
    <row r="9820" spans="103:104" x14ac:dyDescent="0.3">
      <c r="CY9820" s="34" t="s">
        <v>10747</v>
      </c>
      <c r="CZ9820" s="35">
        <v>2.1004719999999998E-2</v>
      </c>
    </row>
    <row r="9821" spans="103:104" x14ac:dyDescent="0.3">
      <c r="CY9821" s="34" t="s">
        <v>10748</v>
      </c>
      <c r="CZ9821" s="35">
        <v>2.1004719999999998E-2</v>
      </c>
    </row>
    <row r="9822" spans="103:104" x14ac:dyDescent="0.3">
      <c r="CY9822" s="34" t="s">
        <v>10749</v>
      </c>
      <c r="CZ9822" s="35">
        <v>2.5712639999999998E-2</v>
      </c>
    </row>
    <row r="9823" spans="103:104" x14ac:dyDescent="0.3">
      <c r="CY9823" s="34" t="s">
        <v>10750</v>
      </c>
      <c r="CZ9823" s="35">
        <v>2.5712639999999998E-2</v>
      </c>
    </row>
    <row r="9824" spans="103:104" x14ac:dyDescent="0.3">
      <c r="CY9824" s="34" t="s">
        <v>10751</v>
      </c>
      <c r="CZ9824" s="35">
        <v>2.5712639999999998E-2</v>
      </c>
    </row>
    <row r="9825" spans="103:104" x14ac:dyDescent="0.3">
      <c r="CY9825" s="34" t="s">
        <v>10752</v>
      </c>
      <c r="CZ9825" s="35">
        <v>2.5712639999999998E-2</v>
      </c>
    </row>
    <row r="9826" spans="103:104" x14ac:dyDescent="0.3">
      <c r="CY9826" s="34" t="s">
        <v>10753</v>
      </c>
      <c r="CZ9826" s="35">
        <v>2.5712639999999998E-2</v>
      </c>
    </row>
    <row r="9827" spans="103:104" x14ac:dyDescent="0.3">
      <c r="CY9827" s="34" t="s">
        <v>10754</v>
      </c>
      <c r="CZ9827" s="35">
        <v>2.8782720000000001E-2</v>
      </c>
    </row>
    <row r="9828" spans="103:104" x14ac:dyDescent="0.3">
      <c r="CY9828" s="34" t="s">
        <v>10755</v>
      </c>
      <c r="CZ9828" s="35">
        <v>2.8782720000000001E-2</v>
      </c>
    </row>
    <row r="9829" spans="103:104" x14ac:dyDescent="0.3">
      <c r="CY9829" s="34" t="s">
        <v>10756</v>
      </c>
      <c r="CZ9829" s="35">
        <v>2.8782720000000001E-2</v>
      </c>
    </row>
    <row r="9830" spans="103:104" x14ac:dyDescent="0.3">
      <c r="CY9830" s="34" t="s">
        <v>10757</v>
      </c>
      <c r="CZ9830" s="35">
        <v>3.1238783999999999E-2</v>
      </c>
    </row>
    <row r="9831" spans="103:104" x14ac:dyDescent="0.3">
      <c r="CY9831" s="34" t="s">
        <v>10758</v>
      </c>
      <c r="CZ9831" s="35">
        <v>3.1238783999999999E-2</v>
      </c>
    </row>
    <row r="9832" spans="103:104" x14ac:dyDescent="0.3">
      <c r="CY9832" s="34" t="s">
        <v>10759</v>
      </c>
      <c r="CZ9832" s="35">
        <v>2.7543040000000005E-2</v>
      </c>
    </row>
    <row r="9833" spans="103:104" x14ac:dyDescent="0.3">
      <c r="CY9833" s="34" t="s">
        <v>10760</v>
      </c>
      <c r="CZ9833" s="35">
        <v>2.7543040000000005E-2</v>
      </c>
    </row>
    <row r="9834" spans="103:104" x14ac:dyDescent="0.3">
      <c r="CY9834" s="34" t="s">
        <v>10761</v>
      </c>
      <c r="CZ9834" s="35">
        <v>2.7543040000000005E-2</v>
      </c>
    </row>
    <row r="9835" spans="103:104" x14ac:dyDescent="0.3">
      <c r="CY9835" s="34" t="s">
        <v>10762</v>
      </c>
      <c r="CZ9835" s="35">
        <v>2.7543040000000005E-2</v>
      </c>
    </row>
    <row r="9836" spans="103:104" x14ac:dyDescent="0.3">
      <c r="CY9836" s="34" t="s">
        <v>10763</v>
      </c>
      <c r="CZ9836" s="35">
        <v>3.5229888000000001E-2</v>
      </c>
    </row>
    <row r="9837" spans="103:104" x14ac:dyDescent="0.3">
      <c r="CY9837" s="34" t="s">
        <v>10764</v>
      </c>
      <c r="CZ9837" s="35">
        <v>3.5229888000000001E-2</v>
      </c>
    </row>
    <row r="9838" spans="103:104" x14ac:dyDescent="0.3">
      <c r="CY9838" s="34" t="s">
        <v>10765</v>
      </c>
      <c r="CZ9838" s="35">
        <v>3.5229888000000001E-2</v>
      </c>
    </row>
    <row r="9839" spans="103:104" x14ac:dyDescent="0.3">
      <c r="CY9839" s="34" t="s">
        <v>10766</v>
      </c>
      <c r="CZ9839" s="35">
        <v>3.5229888000000001E-2</v>
      </c>
    </row>
    <row r="9840" spans="103:104" x14ac:dyDescent="0.3">
      <c r="CY9840" s="34" t="s">
        <v>10767</v>
      </c>
      <c r="CZ9840" s="35">
        <v>4.838804712E-2</v>
      </c>
    </row>
    <row r="9841" spans="103:104" x14ac:dyDescent="0.3">
      <c r="CY9841" s="34" t="s">
        <v>10768</v>
      </c>
      <c r="CZ9841" s="35">
        <v>3.8710437696000008E-2</v>
      </c>
    </row>
    <row r="9842" spans="103:104" x14ac:dyDescent="0.3">
      <c r="CY9842" s="34" t="s">
        <v>10769</v>
      </c>
      <c r="CZ9842" s="35">
        <v>3.8710437696000008E-2</v>
      </c>
    </row>
    <row r="9843" spans="103:104" x14ac:dyDescent="0.3">
      <c r="CY9843" s="34" t="s">
        <v>10770</v>
      </c>
      <c r="CZ9843" s="35">
        <v>3.8710437696000008E-2</v>
      </c>
    </row>
    <row r="9844" spans="103:104" x14ac:dyDescent="0.3">
      <c r="CY9844" s="34" t="s">
        <v>10771</v>
      </c>
      <c r="CZ9844" s="35">
        <v>3.7581120000000003E-2</v>
      </c>
    </row>
    <row r="9845" spans="103:104" x14ac:dyDescent="0.3">
      <c r="CY9845" s="34" t="s">
        <v>10772</v>
      </c>
      <c r="CZ9845" s="35">
        <v>3.7581120000000003E-2</v>
      </c>
    </row>
    <row r="9846" spans="103:104" x14ac:dyDescent="0.3">
      <c r="CY9846" s="34" t="s">
        <v>10773</v>
      </c>
      <c r="CZ9846" s="35">
        <v>3.7581120000000003E-2</v>
      </c>
    </row>
    <row r="9847" spans="103:104" x14ac:dyDescent="0.3">
      <c r="CY9847" s="34" t="s">
        <v>10774</v>
      </c>
      <c r="CZ9847" s="35">
        <v>3.7581120000000003E-2</v>
      </c>
    </row>
    <row r="9848" spans="103:104" x14ac:dyDescent="0.3">
      <c r="CY9848" s="34" t="s">
        <v>10775</v>
      </c>
      <c r="CZ9848" s="35">
        <v>3.8882159999999999E-2</v>
      </c>
    </row>
    <row r="9849" spans="103:104" x14ac:dyDescent="0.3">
      <c r="CY9849" s="34" t="s">
        <v>10776</v>
      </c>
      <c r="CZ9849" s="35">
        <v>3.8882159999999999E-2</v>
      </c>
    </row>
    <row r="9850" spans="103:104" x14ac:dyDescent="0.3">
      <c r="CY9850" s="34" t="s">
        <v>10777</v>
      </c>
      <c r="CZ9850" s="35">
        <v>4.1452196162046907E-2</v>
      </c>
    </row>
    <row r="9851" spans="103:104" x14ac:dyDescent="0.3">
      <c r="CY9851" s="34" t="s">
        <v>10778</v>
      </c>
      <c r="CZ9851" s="35">
        <v>3.8882159999999999E-2</v>
      </c>
    </row>
    <row r="9852" spans="103:104" x14ac:dyDescent="0.3">
      <c r="CY9852" s="34" t="s">
        <v>10779</v>
      </c>
      <c r="CZ9852" s="35">
        <v>4.8602699999999992E-2</v>
      </c>
    </row>
    <row r="9853" spans="103:104" x14ac:dyDescent="0.3">
      <c r="CY9853" s="34" t="s">
        <v>10780</v>
      </c>
      <c r="CZ9853" s="35">
        <v>3.8882159999999999E-2</v>
      </c>
    </row>
    <row r="9854" spans="103:104" x14ac:dyDescent="0.3">
      <c r="CY9854" s="34" t="s">
        <v>10781</v>
      </c>
      <c r="CZ9854" s="35">
        <v>3.8882159999999999E-2</v>
      </c>
    </row>
    <row r="9855" spans="103:104" x14ac:dyDescent="0.3">
      <c r="CY9855" s="34" t="s">
        <v>10782</v>
      </c>
      <c r="CZ9855" s="35">
        <v>3.84672E-2</v>
      </c>
    </row>
    <row r="9856" spans="103:104" x14ac:dyDescent="0.3">
      <c r="CY9856" s="34" t="s">
        <v>10783</v>
      </c>
      <c r="CZ9856" s="35">
        <v>3.84672E-2</v>
      </c>
    </row>
    <row r="9857" spans="103:104" x14ac:dyDescent="0.3">
      <c r="CY9857" s="34" t="s">
        <v>10784</v>
      </c>
      <c r="CZ9857" s="35">
        <v>4.489101399999999E-3</v>
      </c>
    </row>
    <row r="9858" spans="103:104" x14ac:dyDescent="0.3">
      <c r="CY9858" s="34" t="s">
        <v>10785</v>
      </c>
      <c r="CZ9858" s="35">
        <v>2.6951344000000002E-2</v>
      </c>
    </row>
    <row r="9859" spans="103:104" x14ac:dyDescent="0.3">
      <c r="CY9859" s="34" t="s">
        <v>10786</v>
      </c>
      <c r="CZ9859" s="35">
        <v>3.7234239999999995E-2</v>
      </c>
    </row>
    <row r="9860" spans="103:104" x14ac:dyDescent="0.3">
      <c r="CY9860" s="34" t="s">
        <v>10787</v>
      </c>
      <c r="CZ9860" s="35">
        <v>1.1277199999999999E-2</v>
      </c>
    </row>
    <row r="9861" spans="103:104" x14ac:dyDescent="0.3">
      <c r="CY9861" s="34" t="s">
        <v>10788</v>
      </c>
      <c r="CZ9861" s="35">
        <v>8.85472E-4</v>
      </c>
    </row>
    <row r="9862" spans="103:104" x14ac:dyDescent="0.3">
      <c r="CY9862" s="34" t="s">
        <v>10789</v>
      </c>
      <c r="CZ9862" s="35">
        <v>8.0543199999999991E-4</v>
      </c>
    </row>
    <row r="9863" spans="103:104" x14ac:dyDescent="0.3">
      <c r="CY9863" s="34" t="s">
        <v>10790</v>
      </c>
      <c r="CZ9863" s="35">
        <v>2.59415735E-3</v>
      </c>
    </row>
    <row r="9864" spans="103:104" x14ac:dyDescent="0.3">
      <c r="CY9864" s="34" t="s">
        <v>10791</v>
      </c>
      <c r="CZ9864" s="35">
        <v>3.4824258000000004E-2</v>
      </c>
    </row>
    <row r="9865" spans="103:104" x14ac:dyDescent="0.3">
      <c r="CY9865" s="34" t="s">
        <v>10792</v>
      </c>
      <c r="CZ9865" s="35">
        <v>1.594224E-2</v>
      </c>
    </row>
    <row r="9866" spans="103:104" x14ac:dyDescent="0.3">
      <c r="CY9866" s="34" t="s">
        <v>10793</v>
      </c>
      <c r="CZ9866" s="35">
        <v>1.2570424E-2</v>
      </c>
    </row>
    <row r="9867" spans="103:104" x14ac:dyDescent="0.3">
      <c r="CY9867" s="34" t="s">
        <v>10794</v>
      </c>
      <c r="CZ9867" s="35">
        <v>1.2570424E-2</v>
      </c>
    </row>
    <row r="9868" spans="103:104" x14ac:dyDescent="0.3">
      <c r="CY9868" s="34" t="s">
        <v>10795</v>
      </c>
      <c r="CZ9868" s="35">
        <v>6.6920479999999991E-3</v>
      </c>
    </row>
    <row r="9869" spans="103:104" x14ac:dyDescent="0.3">
      <c r="CY9869" s="34" t="s">
        <v>10796</v>
      </c>
      <c r="CZ9869" s="35">
        <v>6.7905200000000013E-3</v>
      </c>
    </row>
    <row r="9870" spans="103:104" x14ac:dyDescent="0.3">
      <c r="CY9870" s="34" t="s">
        <v>10797</v>
      </c>
      <c r="CZ9870" s="35">
        <v>6.0875999999999986E-3</v>
      </c>
    </row>
    <row r="9871" spans="103:104" x14ac:dyDescent="0.3">
      <c r="CY9871" s="34" t="s">
        <v>10798</v>
      </c>
      <c r="CZ9871" s="35">
        <v>8.070260000000001E-3</v>
      </c>
    </row>
    <row r="9872" spans="103:104" x14ac:dyDescent="0.3">
      <c r="CY9872" s="34" t="s">
        <v>10799</v>
      </c>
      <c r="CZ9872" s="35">
        <v>2.6573599999999996E-2</v>
      </c>
    </row>
    <row r="9873" spans="103:104" x14ac:dyDescent="0.3">
      <c r="CY9873" s="34" t="s">
        <v>10800</v>
      </c>
      <c r="CZ9873" s="35">
        <v>3.3036336336336333E-2</v>
      </c>
    </row>
    <row r="9874" spans="103:104" x14ac:dyDescent="0.3">
      <c r="CY9874" s="34" t="s">
        <v>10801</v>
      </c>
      <c r="CZ9874" s="35">
        <v>3.4377157894736846E-2</v>
      </c>
    </row>
    <row r="9875" spans="103:104" x14ac:dyDescent="0.3">
      <c r="CY9875" s="34" t="s">
        <v>10802</v>
      </c>
      <c r="CZ9875" s="35">
        <v>2.6989599999999996E-2</v>
      </c>
    </row>
    <row r="9876" spans="103:104" x14ac:dyDescent="0.3">
      <c r="CY9876" s="34" t="s">
        <v>10803</v>
      </c>
      <c r="CZ9876" s="35">
        <v>7.2846400000000002E-3</v>
      </c>
    </row>
    <row r="9877" spans="103:104" x14ac:dyDescent="0.3">
      <c r="CY9877" s="34" t="s">
        <v>10804</v>
      </c>
      <c r="CZ9877" s="35">
        <v>1.8055200000000001E-3</v>
      </c>
    </row>
    <row r="9878" spans="103:104" x14ac:dyDescent="0.3">
      <c r="CY9878" s="34" t="s">
        <v>10805</v>
      </c>
      <c r="CZ9878" s="35">
        <v>1.0460152E-2</v>
      </c>
    </row>
    <row r="9879" spans="103:104" x14ac:dyDescent="0.3">
      <c r="CY9879" s="34" t="s">
        <v>10806</v>
      </c>
      <c r="CZ9879" s="35">
        <v>1.1427975999999999E-2</v>
      </c>
    </row>
    <row r="9880" spans="103:104" x14ac:dyDescent="0.3">
      <c r="CY9880" s="34" t="s">
        <v>10807</v>
      </c>
      <c r="CZ9880" s="35">
        <v>5.0591200000000003E-2</v>
      </c>
    </row>
    <row r="9881" spans="103:104" x14ac:dyDescent="0.3">
      <c r="CY9881" s="34" t="s">
        <v>10808</v>
      </c>
      <c r="CZ9881" s="35">
        <v>4.355506E-2</v>
      </c>
    </row>
    <row r="9882" spans="103:104" x14ac:dyDescent="0.3">
      <c r="CY9882" s="34" t="s">
        <v>10809</v>
      </c>
      <c r="CZ9882" s="35">
        <v>4.8176200000000002E-2</v>
      </c>
    </row>
    <row r="9883" spans="103:104" x14ac:dyDescent="0.3">
      <c r="CY9883" s="34" t="s">
        <v>10810</v>
      </c>
      <c r="CZ9883" s="35">
        <v>1.277728E-2</v>
      </c>
    </row>
    <row r="9884" spans="103:104" x14ac:dyDescent="0.3">
      <c r="CY9884" s="34" t="s">
        <v>10811</v>
      </c>
      <c r="CZ9884" s="35">
        <v>2.455444E-2</v>
      </c>
    </row>
    <row r="9885" spans="103:104" x14ac:dyDescent="0.3">
      <c r="CY9885" s="34" t="s">
        <v>10812</v>
      </c>
      <c r="CZ9885" s="35">
        <v>2.0766399999999998E-4</v>
      </c>
    </row>
    <row r="9886" spans="103:104" x14ac:dyDescent="0.3">
      <c r="CY9886" s="34" t="s">
        <v>10813</v>
      </c>
      <c r="CZ9886" s="35">
        <v>4.3545520000000002E-4</v>
      </c>
    </row>
    <row r="9887" spans="103:104" x14ac:dyDescent="0.3">
      <c r="CY9887" s="34" t="s">
        <v>10814</v>
      </c>
      <c r="CZ9887" s="35">
        <v>2.784282666666666E-2</v>
      </c>
    </row>
    <row r="9888" spans="103:104" x14ac:dyDescent="0.3">
      <c r="CY9888" s="34" t="s">
        <v>10815</v>
      </c>
      <c r="CZ9888" s="35">
        <v>2.784282666666666E-2</v>
      </c>
    </row>
    <row r="9889" spans="103:104" x14ac:dyDescent="0.3">
      <c r="CY9889" s="34" t="s">
        <v>10816</v>
      </c>
      <c r="CZ9889" s="35">
        <v>3.719915E-2</v>
      </c>
    </row>
    <row r="9890" spans="103:104" x14ac:dyDescent="0.3">
      <c r="CY9890" s="34" t="s">
        <v>10817</v>
      </c>
      <c r="CZ9890" s="35">
        <v>1.7266366633300001E-2</v>
      </c>
    </row>
    <row r="9891" spans="103:104" x14ac:dyDescent="0.3">
      <c r="CY9891" s="34" t="s">
        <v>10818</v>
      </c>
      <c r="CZ9891" s="35">
        <v>2.3867039999999999E-2</v>
      </c>
    </row>
    <row r="9892" spans="103:104" x14ac:dyDescent="0.3">
      <c r="CY9892" s="34" t="s">
        <v>10819</v>
      </c>
      <c r="CZ9892" s="35">
        <v>2.3867039999999999E-2</v>
      </c>
    </row>
    <row r="9893" spans="103:104" x14ac:dyDescent="0.3">
      <c r="CY9893" s="34" t="s">
        <v>10820</v>
      </c>
      <c r="CZ9893" s="35">
        <v>1.0189843478260867E-2</v>
      </c>
    </row>
    <row r="9894" spans="103:104" x14ac:dyDescent="0.3">
      <c r="CY9894" s="34" t="s">
        <v>10821</v>
      </c>
      <c r="CZ9894" s="35">
        <v>6.5644099999999997E-2</v>
      </c>
    </row>
    <row r="9895" spans="103:104" x14ac:dyDescent="0.3">
      <c r="CY9895" s="34" t="s">
        <v>10822</v>
      </c>
      <c r="CZ9895" s="35">
        <v>1.0699799999999999E-3</v>
      </c>
    </row>
    <row r="9896" spans="103:104" x14ac:dyDescent="0.3">
      <c r="CY9896" s="34" t="s">
        <v>10823</v>
      </c>
      <c r="CZ9896" s="35">
        <v>1.2679360000000003E-3</v>
      </c>
    </row>
    <row r="9897" spans="103:104" x14ac:dyDescent="0.3">
      <c r="CY9897" s="34" t="s">
        <v>10824</v>
      </c>
      <c r="CZ9897" s="35">
        <v>1.4658920000000001E-3</v>
      </c>
    </row>
    <row r="9898" spans="103:104" x14ac:dyDescent="0.3">
      <c r="CY9898" s="34" t="s">
        <v>10825</v>
      </c>
      <c r="CZ9898" s="35">
        <v>1.6065980000000001E-3</v>
      </c>
    </row>
    <row r="9899" spans="103:104" x14ac:dyDescent="0.3">
      <c r="CY9899" s="34" t="s">
        <v>10826</v>
      </c>
      <c r="CZ9899" s="35">
        <v>1.5680840000000001E-2</v>
      </c>
    </row>
    <row r="9900" spans="103:104" x14ac:dyDescent="0.3">
      <c r="CY9900" s="34" t="s">
        <v>10827</v>
      </c>
      <c r="CZ9900" s="35">
        <v>0.41906823999999998</v>
      </c>
    </row>
    <row r="9901" spans="103:104" x14ac:dyDescent="0.3">
      <c r="CY9901" s="34" t="s">
        <v>10828</v>
      </c>
      <c r="CZ9901" s="35">
        <v>3.4258053300000001E-2</v>
      </c>
    </row>
    <row r="9902" spans="103:104" x14ac:dyDescent="0.3">
      <c r="CY9902" s="34" t="s">
        <v>10829</v>
      </c>
      <c r="CZ9902" s="35">
        <v>1.9543712000000001E-2</v>
      </c>
    </row>
    <row r="9903" spans="103:104" x14ac:dyDescent="0.3">
      <c r="CY9903" s="34" t="s">
        <v>10830</v>
      </c>
      <c r="CZ9903" s="35">
        <v>0.13590394659999999</v>
      </c>
    </row>
    <row r="9904" spans="103:104" x14ac:dyDescent="0.3">
      <c r="CY9904" s="34" t="s">
        <v>10831</v>
      </c>
      <c r="CZ9904" s="35">
        <v>2.5389800000000001E-4</v>
      </c>
    </row>
    <row r="9905" spans="103:104" x14ac:dyDescent="0.3">
      <c r="CY9905" s="34" t="s">
        <v>10832</v>
      </c>
      <c r="CZ9905" s="35">
        <v>2.5389800000000001E-4</v>
      </c>
    </row>
    <row r="9906" spans="103:104" x14ac:dyDescent="0.3">
      <c r="CY9906" s="34" t="s">
        <v>10833</v>
      </c>
      <c r="CZ9906" s="35">
        <v>2.640912E-3</v>
      </c>
    </row>
    <row r="9907" spans="103:104" x14ac:dyDescent="0.3">
      <c r="CY9907" s="34" t="s">
        <v>10834</v>
      </c>
      <c r="CZ9907" s="35">
        <v>1.067804</v>
      </c>
    </row>
    <row r="9908" spans="103:104" x14ac:dyDescent="0.3">
      <c r="CY9908" s="34" t="s">
        <v>10835</v>
      </c>
      <c r="CZ9908" s="35">
        <v>0.92678000000000005</v>
      </c>
    </row>
    <row r="9909" spans="103:104" x14ac:dyDescent="0.3">
      <c r="CY9909" s="34" t="s">
        <v>10836</v>
      </c>
      <c r="CZ9909" s="35">
        <v>1.8511650000000001E-2</v>
      </c>
    </row>
    <row r="9910" spans="103:104" x14ac:dyDescent="0.3">
      <c r="CY9910" s="34" t="s">
        <v>10837</v>
      </c>
      <c r="CZ9910" s="35">
        <v>2.1997730000000004E-2</v>
      </c>
    </row>
    <row r="9911" spans="103:104" x14ac:dyDescent="0.3">
      <c r="CY9911" s="34" t="s">
        <v>10838</v>
      </c>
      <c r="CZ9911" s="35">
        <v>2.5483809999999999E-2</v>
      </c>
    </row>
    <row r="9912" spans="103:104" x14ac:dyDescent="0.3">
      <c r="CY9912" s="34" t="s">
        <v>10839</v>
      </c>
      <c r="CZ9912" s="35">
        <v>2.5483810000000003E-2</v>
      </c>
    </row>
    <row r="9913" spans="103:104" x14ac:dyDescent="0.3">
      <c r="CY9913" s="34" t="s">
        <v>10840</v>
      </c>
      <c r="CZ9913" s="35">
        <v>2.6602850000000001E-2</v>
      </c>
    </row>
    <row r="9914" spans="103:104" x14ac:dyDescent="0.3">
      <c r="CY9914" s="34" t="s">
        <v>10841</v>
      </c>
      <c r="CZ9914" s="35">
        <v>2.6602850000000001E-2</v>
      </c>
    </row>
    <row r="9915" spans="103:104" x14ac:dyDescent="0.3">
      <c r="CY9915" s="34" t="s">
        <v>10842</v>
      </c>
      <c r="CZ9915" s="35">
        <v>2.6602850000000001E-2</v>
      </c>
    </row>
    <row r="9916" spans="103:104" x14ac:dyDescent="0.3">
      <c r="CY9916" s="34" t="s">
        <v>10843</v>
      </c>
      <c r="CZ9916" s="35">
        <v>2.6602850000000001E-2</v>
      </c>
    </row>
    <row r="9917" spans="103:104" x14ac:dyDescent="0.3">
      <c r="CY9917" s="34" t="s">
        <v>10844</v>
      </c>
      <c r="CZ9917" s="35">
        <v>2.6602850000000001E-2</v>
      </c>
    </row>
    <row r="9918" spans="103:104" x14ac:dyDescent="0.3">
      <c r="CY9918" s="34" t="s">
        <v>10845</v>
      </c>
      <c r="CZ9918" s="35">
        <v>2.6602850000000001E-2</v>
      </c>
    </row>
    <row r="9919" spans="103:104" x14ac:dyDescent="0.3">
      <c r="CY9919" s="34" t="s">
        <v>10846</v>
      </c>
      <c r="CZ9919" s="35">
        <v>2.6602850000000001E-2</v>
      </c>
    </row>
    <row r="9920" spans="103:104" x14ac:dyDescent="0.3">
      <c r="CY9920" s="34" t="s">
        <v>10847</v>
      </c>
      <c r="CZ9920" s="35">
        <v>2.6602850000000001E-2</v>
      </c>
    </row>
    <row r="9921" spans="103:104" x14ac:dyDescent="0.3">
      <c r="CY9921" s="34" t="s">
        <v>10848</v>
      </c>
      <c r="CZ9921" s="35">
        <v>1.3428130000000002E-2</v>
      </c>
    </row>
    <row r="9922" spans="103:104" x14ac:dyDescent="0.3">
      <c r="CY9922" s="34" t="s">
        <v>10849</v>
      </c>
      <c r="CZ9922" s="35">
        <v>1.676861E-2</v>
      </c>
    </row>
    <row r="9923" spans="103:104" x14ac:dyDescent="0.3">
      <c r="CY9923" s="34" t="s">
        <v>10850</v>
      </c>
      <c r="CZ9923" s="35">
        <v>2.3740769999999998E-2</v>
      </c>
    </row>
    <row r="9924" spans="103:104" x14ac:dyDescent="0.3">
      <c r="CY9924" s="34" t="s">
        <v>10851</v>
      </c>
      <c r="CZ9924" s="35">
        <v>2.3740770000000001E-2</v>
      </c>
    </row>
    <row r="9925" spans="103:104" x14ac:dyDescent="0.3">
      <c r="CY9925" s="34" t="s">
        <v>10852</v>
      </c>
      <c r="CZ9925" s="35">
        <v>2.3740769999999998E-2</v>
      </c>
    </row>
    <row r="9926" spans="103:104" x14ac:dyDescent="0.3">
      <c r="CY9926" s="34" t="s">
        <v>10853</v>
      </c>
      <c r="CZ9926" s="35">
        <v>2.319997E-2</v>
      </c>
    </row>
    <row r="9927" spans="103:104" x14ac:dyDescent="0.3">
      <c r="CY9927" s="34" t="s">
        <v>10854</v>
      </c>
      <c r="CZ9927" s="35">
        <v>2.3199970000000004E-2</v>
      </c>
    </row>
    <row r="9928" spans="103:104" x14ac:dyDescent="0.3">
      <c r="CY9928" s="34" t="s">
        <v>10855</v>
      </c>
      <c r="CZ9928" s="35">
        <v>2.6602849999999997E-2</v>
      </c>
    </row>
    <row r="9929" spans="103:104" x14ac:dyDescent="0.3">
      <c r="CY9929" s="34" t="s">
        <v>10856</v>
      </c>
      <c r="CZ9929" s="35">
        <v>2.6602850000000001E-2</v>
      </c>
    </row>
    <row r="9930" spans="103:104" x14ac:dyDescent="0.3">
      <c r="CY9930" s="34" t="s">
        <v>10857</v>
      </c>
      <c r="CZ9930" s="35">
        <v>2.6602849999999997E-2</v>
      </c>
    </row>
    <row r="9931" spans="103:104" x14ac:dyDescent="0.3">
      <c r="CY9931" s="34" t="s">
        <v>10858</v>
      </c>
      <c r="CZ9931" s="35">
        <v>2.6602850000000001E-2</v>
      </c>
    </row>
    <row r="9932" spans="103:104" x14ac:dyDescent="0.3">
      <c r="CY9932" s="34" t="s">
        <v>10859</v>
      </c>
      <c r="CZ9932" s="35">
        <v>2.6602849999999997E-2</v>
      </c>
    </row>
    <row r="9933" spans="103:104" x14ac:dyDescent="0.3">
      <c r="CY9933" s="34" t="s">
        <v>10860</v>
      </c>
      <c r="CZ9933" s="35">
        <v>1.7417360000000003E-2</v>
      </c>
    </row>
    <row r="9934" spans="103:104" x14ac:dyDescent="0.3">
      <c r="CY9934" s="34" t="s">
        <v>10861</v>
      </c>
      <c r="CZ9934" s="35">
        <v>2.6565060000000001E-2</v>
      </c>
    </row>
    <row r="9935" spans="103:104" x14ac:dyDescent="0.3">
      <c r="CY9935" s="34" t="s">
        <v>10862</v>
      </c>
      <c r="CZ9935" s="35">
        <v>7.4723640000000004E-3</v>
      </c>
    </row>
    <row r="9936" spans="103:104" x14ac:dyDescent="0.3">
      <c r="CY9936" s="34" t="s">
        <v>10863</v>
      </c>
      <c r="CZ9936" s="35">
        <v>0.119614</v>
      </c>
    </row>
    <row r="9937" spans="103:104" x14ac:dyDescent="0.3">
      <c r="CY9937" s="34" t="s">
        <v>10864</v>
      </c>
      <c r="CZ9937" s="35">
        <v>2.4136279999999997E-3</v>
      </c>
    </row>
    <row r="9938" spans="103:104" x14ac:dyDescent="0.3">
      <c r="CY9938" s="34" t="s">
        <v>10865</v>
      </c>
      <c r="CZ9938" s="35">
        <v>7.5033280000000009E-3</v>
      </c>
    </row>
    <row r="9939" spans="103:104" x14ac:dyDescent="0.3">
      <c r="CY9939" s="34" t="s">
        <v>10866</v>
      </c>
      <c r="CZ9939" s="35">
        <v>7.5033280000000009E-3</v>
      </c>
    </row>
    <row r="9940" spans="103:104" x14ac:dyDescent="0.3">
      <c r="CY9940" s="34" t="s">
        <v>10867</v>
      </c>
      <c r="CZ9940" s="35">
        <v>3.4559920000000002E-3</v>
      </c>
    </row>
    <row r="9941" spans="103:104" x14ac:dyDescent="0.3">
      <c r="CY9941" s="34" t="s">
        <v>10868</v>
      </c>
      <c r="CZ9941" s="35">
        <v>5.1430280000000002E-2</v>
      </c>
    </row>
    <row r="9942" spans="103:104" x14ac:dyDescent="0.3">
      <c r="CY9942" s="34" t="s">
        <v>10869</v>
      </c>
      <c r="CZ9942" s="35">
        <v>3.7751919999999993E-3</v>
      </c>
    </row>
    <row r="9943" spans="103:104" x14ac:dyDescent="0.3">
      <c r="CY9943" s="34" t="s">
        <v>10870</v>
      </c>
      <c r="CZ9943" s="35">
        <v>6.8394240000000009E-2</v>
      </c>
    </row>
    <row r="9944" spans="103:104" x14ac:dyDescent="0.3">
      <c r="CY9944" s="34" t="s">
        <v>10871</v>
      </c>
      <c r="CZ9944" s="35">
        <v>8.1006133000000008E-2</v>
      </c>
    </row>
    <row r="9945" spans="103:104" x14ac:dyDescent="0.3">
      <c r="CY9945" s="34" t="s">
        <v>10872</v>
      </c>
      <c r="CZ9945" s="35">
        <v>1.9597637333333331E-2</v>
      </c>
    </row>
    <row r="9946" spans="103:104" x14ac:dyDescent="0.3">
      <c r="CY9946" s="34" t="s">
        <v>10873</v>
      </c>
      <c r="CZ9946" s="35">
        <v>2.1811280000000002E-4</v>
      </c>
    </row>
    <row r="9947" spans="103:104" x14ac:dyDescent="0.3">
      <c r="CY9947" s="34" t="s">
        <v>10874</v>
      </c>
      <c r="CZ9947" s="35">
        <v>1.3311720000000001E-2</v>
      </c>
    </row>
    <row r="9948" spans="103:104" x14ac:dyDescent="0.3">
      <c r="CY9948" s="34" t="s">
        <v>10875</v>
      </c>
      <c r="CZ9948" s="35">
        <v>0.15706583999999998</v>
      </c>
    </row>
    <row r="9949" spans="103:104" x14ac:dyDescent="0.3">
      <c r="CY9949" s="34" t="s">
        <v>10876</v>
      </c>
      <c r="CZ9949" s="35">
        <v>8.5141440000000002E-4</v>
      </c>
    </row>
    <row r="9950" spans="103:104" x14ac:dyDescent="0.3">
      <c r="CY9950" s="34" t="s">
        <v>10877</v>
      </c>
      <c r="CZ9950" s="35">
        <v>0.1829447733</v>
      </c>
    </row>
    <row r="9951" spans="103:104" x14ac:dyDescent="0.3">
      <c r="CY9951" s="34" t="s">
        <v>10878</v>
      </c>
      <c r="CZ9951" s="35">
        <v>5.4137684210526314E-3</v>
      </c>
    </row>
    <row r="9952" spans="103:104" x14ac:dyDescent="0.3">
      <c r="CY9952" s="34" t="s">
        <v>10879</v>
      </c>
      <c r="CZ9952" s="35">
        <v>0.42616160000000003</v>
      </c>
    </row>
    <row r="9953" spans="103:104" x14ac:dyDescent="0.3">
      <c r="CY9953" s="34" t="s">
        <v>10880</v>
      </c>
      <c r="CZ9953" s="35">
        <v>3.8884639999999995E-3</v>
      </c>
    </row>
    <row r="9954" spans="103:104" x14ac:dyDescent="0.3">
      <c r="CY9954" s="34" t="s">
        <v>10881</v>
      </c>
      <c r="CZ9954" s="35">
        <v>8.2332000000000002E-2</v>
      </c>
    </row>
    <row r="9955" spans="103:104" x14ac:dyDescent="0.3">
      <c r="CY9955" s="34" t="s">
        <v>10882</v>
      </c>
      <c r="CZ9955" s="35">
        <v>2.4187360000000003E-3</v>
      </c>
    </row>
    <row r="9956" spans="103:104" x14ac:dyDescent="0.3">
      <c r="CY9956" s="34" t="s">
        <v>10883</v>
      </c>
      <c r="CZ9956" s="35">
        <v>2.7861920000000003E-3</v>
      </c>
    </row>
    <row r="9957" spans="103:104" x14ac:dyDescent="0.3">
      <c r="CY9957" s="34" t="s">
        <v>10884</v>
      </c>
      <c r="CZ9957" s="35">
        <v>1.9363924E-3</v>
      </c>
    </row>
    <row r="9958" spans="103:104" x14ac:dyDescent="0.3">
      <c r="CY9958" s="34" t="s">
        <v>10885</v>
      </c>
      <c r="CZ9958" s="35">
        <v>3.7540799999999999E-3</v>
      </c>
    </row>
    <row r="9959" spans="103:104" x14ac:dyDescent="0.3">
      <c r="CY9959" s="34" t="s">
        <v>10886</v>
      </c>
      <c r="CZ9959" s="35">
        <v>1.6023969999999998E-2</v>
      </c>
    </row>
    <row r="9960" spans="103:104" x14ac:dyDescent="0.3">
      <c r="CY9960" s="34" t="s">
        <v>10887</v>
      </c>
      <c r="CZ9960" s="35">
        <v>2.2513666666666668E-2</v>
      </c>
    </row>
    <row r="9961" spans="103:104" x14ac:dyDescent="0.3">
      <c r="CY9961" s="34" t="s">
        <v>10888</v>
      </c>
      <c r="CZ9961" s="35">
        <v>0.26689424</v>
      </c>
    </row>
    <row r="9962" spans="103:104" x14ac:dyDescent="0.3">
      <c r="CY9962" s="34" t="s">
        <v>10889</v>
      </c>
      <c r="CZ9962" s="35">
        <v>5.2016079999999999E-2</v>
      </c>
    </row>
    <row r="9963" spans="103:104" x14ac:dyDescent="0.3">
      <c r="CY9963" s="34" t="s">
        <v>10890</v>
      </c>
      <c r="CZ9963" s="35">
        <v>1.9960156000000005E-3</v>
      </c>
    </row>
    <row r="9964" spans="103:104" x14ac:dyDescent="0.3">
      <c r="CY9964" s="34" t="s">
        <v>10891</v>
      </c>
      <c r="CZ9964" s="35">
        <v>2.1332956000000001E-3</v>
      </c>
    </row>
    <row r="9965" spans="103:104" x14ac:dyDescent="0.3">
      <c r="CY9965" s="34" t="s">
        <v>10892</v>
      </c>
      <c r="CZ9965" s="35">
        <v>1.9530323999999999E-3</v>
      </c>
    </row>
    <row r="9966" spans="103:104" x14ac:dyDescent="0.3">
      <c r="CY9966" s="34" t="s">
        <v>10893</v>
      </c>
      <c r="CZ9966" s="35">
        <v>3.04836E-3</v>
      </c>
    </row>
    <row r="9967" spans="103:104" x14ac:dyDescent="0.3">
      <c r="CY9967" s="34" t="s">
        <v>10894</v>
      </c>
      <c r="CZ9967" s="35">
        <v>1.9038400000000004E-2</v>
      </c>
    </row>
    <row r="9968" spans="103:104" x14ac:dyDescent="0.3">
      <c r="CY9968" s="34" t="s">
        <v>10895</v>
      </c>
      <c r="CZ9968" s="35">
        <v>1.5041633400000001E-2</v>
      </c>
    </row>
    <row r="9969" spans="103:104" x14ac:dyDescent="0.3">
      <c r="CY9969" s="34" t="s">
        <v>10896</v>
      </c>
      <c r="CZ9969" s="35">
        <v>1.2581712E-2</v>
      </c>
    </row>
    <row r="9970" spans="103:104" x14ac:dyDescent="0.3">
      <c r="CY9970" s="34" t="s">
        <v>10897</v>
      </c>
      <c r="CZ9970" s="35">
        <v>1.1129976000000001E-2</v>
      </c>
    </row>
    <row r="9971" spans="103:104" x14ac:dyDescent="0.3">
      <c r="CY9971" s="34" t="s">
        <v>10898</v>
      </c>
      <c r="CZ9971" s="35">
        <v>7.3086639999999994E-3</v>
      </c>
    </row>
    <row r="9972" spans="103:104" x14ac:dyDescent="0.3">
      <c r="CY9972" s="34" t="s">
        <v>10899</v>
      </c>
      <c r="CZ9972" s="35">
        <v>2.4925983999999998E-2</v>
      </c>
    </row>
    <row r="9973" spans="103:104" x14ac:dyDescent="0.3">
      <c r="CY9973" s="34" t="s">
        <v>10900</v>
      </c>
      <c r="CZ9973" s="35">
        <v>2.2429793300000004E-2</v>
      </c>
    </row>
    <row r="9974" spans="103:104" x14ac:dyDescent="0.3">
      <c r="CY9974" s="34" t="s">
        <v>10901</v>
      </c>
      <c r="CZ9974" s="35">
        <v>1.9385320000000004E-2</v>
      </c>
    </row>
    <row r="9975" spans="103:104" x14ac:dyDescent="0.3">
      <c r="CY9975" s="34" t="s">
        <v>10902</v>
      </c>
      <c r="CZ9975" s="35">
        <v>8.3677000000000015E-2</v>
      </c>
    </row>
    <row r="9976" spans="103:104" x14ac:dyDescent="0.3">
      <c r="CY9976" s="34" t="s">
        <v>10903</v>
      </c>
      <c r="CZ9976" s="35">
        <v>3.8112799999999995E-2</v>
      </c>
    </row>
    <row r="9977" spans="103:104" x14ac:dyDescent="0.3">
      <c r="CY9977" s="34" t="s">
        <v>10904</v>
      </c>
      <c r="CZ9977" s="35">
        <v>6.7825999999999997E-3</v>
      </c>
    </row>
    <row r="9978" spans="103:104" x14ac:dyDescent="0.3">
      <c r="CY9978" s="34" t="s">
        <v>10905</v>
      </c>
      <c r="CZ9978" s="35">
        <v>1.0281520000000001E-3</v>
      </c>
    </row>
    <row r="9979" spans="103:104" x14ac:dyDescent="0.3">
      <c r="CY9979" s="34" t="s">
        <v>10906</v>
      </c>
      <c r="CZ9979" s="35">
        <v>4.9257880000000004E-3</v>
      </c>
    </row>
    <row r="9980" spans="103:104" x14ac:dyDescent="0.3">
      <c r="CY9980" s="34" t="s">
        <v>10907</v>
      </c>
      <c r="CZ9980" s="35">
        <v>2.0196079999999998</v>
      </c>
    </row>
    <row r="9981" spans="103:104" x14ac:dyDescent="0.3">
      <c r="CY9981" s="34" t="s">
        <v>10908</v>
      </c>
      <c r="CZ9981" s="35">
        <v>3.6641999999999994E-2</v>
      </c>
    </row>
    <row r="9982" spans="103:104" x14ac:dyDescent="0.3">
      <c r="CY9982" s="34" t="s">
        <v>10909</v>
      </c>
      <c r="CZ9982" s="35">
        <v>1.7504255999999999E-2</v>
      </c>
    </row>
    <row r="9983" spans="103:104" x14ac:dyDescent="0.3">
      <c r="CY9983" s="34" t="s">
        <v>10910</v>
      </c>
      <c r="CZ9983" s="35">
        <v>1.433192E-2</v>
      </c>
    </row>
    <row r="9984" spans="103:104" x14ac:dyDescent="0.3">
      <c r="CY9984" s="34" t="s">
        <v>10911</v>
      </c>
      <c r="CZ9984" s="35">
        <v>6.1792148148148143E-3</v>
      </c>
    </row>
    <row r="9985" spans="103:104" x14ac:dyDescent="0.3">
      <c r="CY9985" s="34" t="s">
        <v>10912</v>
      </c>
      <c r="CZ9985" s="35">
        <v>1.4095811999999999E-2</v>
      </c>
    </row>
    <row r="9986" spans="103:104" x14ac:dyDescent="0.3">
      <c r="CY9986" s="34" t="s">
        <v>10913</v>
      </c>
      <c r="CZ9986" s="35">
        <v>4.6733912500000002E-2</v>
      </c>
    </row>
    <row r="9987" spans="103:104" x14ac:dyDescent="0.3">
      <c r="CY9987" s="34" t="s">
        <v>10914</v>
      </c>
      <c r="CZ9987" s="35">
        <v>1.8027919999999996E-2</v>
      </c>
    </row>
    <row r="9988" spans="103:104" x14ac:dyDescent="0.3">
      <c r="CY9988" s="34" t="s">
        <v>10915</v>
      </c>
      <c r="CZ9988" s="35">
        <v>1.088104E-2</v>
      </c>
    </row>
    <row r="9989" spans="103:104" x14ac:dyDescent="0.3">
      <c r="CY9989" s="34" t="s">
        <v>10916</v>
      </c>
      <c r="CZ9989" s="35">
        <v>1.35703E-2</v>
      </c>
    </row>
    <row r="9990" spans="103:104" x14ac:dyDescent="0.3">
      <c r="CY9990" s="34" t="s">
        <v>10917</v>
      </c>
      <c r="CZ9990" s="35">
        <v>1.6088000000000002E-2</v>
      </c>
    </row>
    <row r="9991" spans="103:104" x14ac:dyDescent="0.3">
      <c r="CY9991" s="34" t="s">
        <v>10918</v>
      </c>
      <c r="CZ9991" s="35">
        <v>0.56943624800000003</v>
      </c>
    </row>
    <row r="9992" spans="103:104" x14ac:dyDescent="0.3">
      <c r="CY9992" s="34" t="s">
        <v>10919</v>
      </c>
      <c r="CZ9992" s="35">
        <v>1.407314E-2</v>
      </c>
    </row>
    <row r="9993" spans="103:104" x14ac:dyDescent="0.3">
      <c r="CY9993" s="34" t="s">
        <v>10920</v>
      </c>
      <c r="CZ9993" s="35">
        <v>1.7207400000000001E-3</v>
      </c>
    </row>
    <row r="9994" spans="103:104" x14ac:dyDescent="0.3">
      <c r="CY9994" s="34" t="s">
        <v>10921</v>
      </c>
      <c r="CZ9994" s="35">
        <v>3.2462279999999996E-2</v>
      </c>
    </row>
    <row r="9995" spans="103:104" x14ac:dyDescent="0.3">
      <c r="CY9995" s="34" t="s">
        <v>10922</v>
      </c>
      <c r="CZ9995" s="35">
        <v>0.53852250400000001</v>
      </c>
    </row>
    <row r="9996" spans="103:104" x14ac:dyDescent="0.3">
      <c r="CY9996" s="34" t="s">
        <v>10923</v>
      </c>
      <c r="CZ9996" s="35">
        <v>3.2778778947368421E-2</v>
      </c>
    </row>
    <row r="9997" spans="103:104" x14ac:dyDescent="0.3">
      <c r="CY9997" s="34" t="s">
        <v>10924</v>
      </c>
      <c r="CZ9997" s="35">
        <v>9.0553599999999997E-4</v>
      </c>
    </row>
    <row r="9998" spans="103:104" x14ac:dyDescent="0.3">
      <c r="CY9998" s="34" t="s">
        <v>10925</v>
      </c>
      <c r="CZ9998" s="35">
        <v>3.3969090999999996E-3</v>
      </c>
    </row>
    <row r="9999" spans="103:104" x14ac:dyDescent="0.3">
      <c r="CY9999" s="34" t="s">
        <v>10926</v>
      </c>
      <c r="CZ9999" s="35">
        <v>3.3988423999999997E-3</v>
      </c>
    </row>
    <row r="10000" spans="103:104" x14ac:dyDescent="0.3">
      <c r="CY10000" s="34" t="s">
        <v>10927</v>
      </c>
      <c r="CZ10000" s="35">
        <v>4.4966950000000006E-2</v>
      </c>
    </row>
    <row r="10001" spans="103:104" x14ac:dyDescent="0.3">
      <c r="CY10001" s="34" t="s">
        <v>10928</v>
      </c>
      <c r="CZ10001" s="35">
        <v>3.9572799999999998E-2</v>
      </c>
    </row>
    <row r="10002" spans="103:104" x14ac:dyDescent="0.3">
      <c r="CY10002" s="34" t="s">
        <v>10929</v>
      </c>
      <c r="CZ10002" s="35">
        <v>2.53654E-2</v>
      </c>
    </row>
    <row r="10003" spans="103:104" x14ac:dyDescent="0.3">
      <c r="CY10003" s="34" t="s">
        <v>10930</v>
      </c>
      <c r="CZ10003" s="35">
        <v>6.5799199999999988E-2</v>
      </c>
    </row>
    <row r="10004" spans="103:104" x14ac:dyDescent="0.3">
      <c r="CY10004" s="34" t="s">
        <v>10931</v>
      </c>
      <c r="CZ10004" s="35">
        <v>3.9629920000000004E-4</v>
      </c>
    </row>
    <row r="10005" spans="103:104" x14ac:dyDescent="0.3">
      <c r="CY10005" s="34" t="s">
        <v>10932</v>
      </c>
      <c r="CZ10005" s="35">
        <v>3.0637520000000001E-2</v>
      </c>
    </row>
    <row r="10006" spans="103:104" x14ac:dyDescent="0.3">
      <c r="CY10006" s="34" t="s">
        <v>10933</v>
      </c>
      <c r="CZ10006" s="35">
        <v>5.4384392000000003E-4</v>
      </c>
    </row>
    <row r="10007" spans="103:104" x14ac:dyDescent="0.3">
      <c r="CY10007" s="34" t="s">
        <v>10934</v>
      </c>
      <c r="CZ10007" s="35">
        <v>0.25917121601665</v>
      </c>
    </row>
    <row r="10008" spans="103:104" x14ac:dyDescent="0.3">
      <c r="CY10008" s="34" t="s">
        <v>10935</v>
      </c>
      <c r="CZ10008" s="35">
        <v>8.6855919999999989E-2</v>
      </c>
    </row>
    <row r="10009" spans="103:104" x14ac:dyDescent="0.3">
      <c r="CY10009" s="34" t="s">
        <v>10936</v>
      </c>
      <c r="CZ10009" s="35">
        <v>0.11421036000000001</v>
      </c>
    </row>
    <row r="10010" spans="103:104" x14ac:dyDescent="0.3">
      <c r="CY10010" s="34" t="s">
        <v>10937</v>
      </c>
      <c r="CZ10010" s="35">
        <v>0.10536100000000001</v>
      </c>
    </row>
    <row r="10011" spans="103:104" x14ac:dyDescent="0.3">
      <c r="CY10011" s="34" t="s">
        <v>10938</v>
      </c>
      <c r="CZ10011" s="35">
        <v>1.5797520000000002E-2</v>
      </c>
    </row>
    <row r="10012" spans="103:104" x14ac:dyDescent="0.3">
      <c r="CY10012" s="34" t="s">
        <v>10939</v>
      </c>
      <c r="CZ10012" s="35">
        <v>0.14879359999999997</v>
      </c>
    </row>
    <row r="10013" spans="103:104" x14ac:dyDescent="0.3">
      <c r="CY10013" s="34" t="s">
        <v>10940</v>
      </c>
      <c r="CZ10013" s="35">
        <v>7.1617999999999996E-4</v>
      </c>
    </row>
    <row r="10014" spans="103:104" x14ac:dyDescent="0.3">
      <c r="CY10014" s="34" t="s">
        <v>10941</v>
      </c>
      <c r="CZ10014" s="35">
        <v>1.7220920000000001E-2</v>
      </c>
    </row>
    <row r="10015" spans="103:104" x14ac:dyDescent="0.3">
      <c r="CY10015" s="34" t="s">
        <v>10942</v>
      </c>
      <c r="CZ10015" s="35">
        <v>1.7220920000000001E-2</v>
      </c>
    </row>
    <row r="10016" spans="103:104" x14ac:dyDescent="0.3">
      <c r="CY10016" s="34" t="s">
        <v>10943</v>
      </c>
      <c r="CZ10016" s="35">
        <v>2.8268296000000002E-2</v>
      </c>
    </row>
    <row r="10017" spans="103:104" x14ac:dyDescent="0.3">
      <c r="CY10017" s="34" t="s">
        <v>10944</v>
      </c>
      <c r="CZ10017" s="35">
        <v>1.7220920000000001E-2</v>
      </c>
    </row>
    <row r="10018" spans="103:104" x14ac:dyDescent="0.3">
      <c r="CY10018" s="34" t="s">
        <v>10945</v>
      </c>
      <c r="CZ10018" s="35">
        <v>2.525532E-3</v>
      </c>
    </row>
    <row r="10019" spans="103:104" x14ac:dyDescent="0.3">
      <c r="CY10019" s="34" t="s">
        <v>10946</v>
      </c>
      <c r="CZ10019" s="35">
        <v>6.6524581600000002E-3</v>
      </c>
    </row>
    <row r="10020" spans="103:104" x14ac:dyDescent="0.3">
      <c r="CY10020" s="34" t="s">
        <v>10947</v>
      </c>
      <c r="CZ10020" s="35">
        <v>1.82801264E-3</v>
      </c>
    </row>
    <row r="10021" spans="103:104" x14ac:dyDescent="0.3">
      <c r="CY10021" s="34" t="s">
        <v>10948</v>
      </c>
      <c r="CZ10021" s="35">
        <v>7.2803520000000004E-3</v>
      </c>
    </row>
    <row r="10022" spans="103:104" x14ac:dyDescent="0.3">
      <c r="CY10022" s="34" t="s">
        <v>10949</v>
      </c>
      <c r="CZ10022" s="35">
        <v>3.1599808799999997E-3</v>
      </c>
    </row>
    <row r="10023" spans="103:104" x14ac:dyDescent="0.3">
      <c r="CY10023" s="34" t="s">
        <v>10950</v>
      </c>
      <c r="CZ10023" s="35">
        <v>4.7813792199999997E-3</v>
      </c>
    </row>
    <row r="10024" spans="103:104" x14ac:dyDescent="0.3">
      <c r="CY10024" s="34" t="s">
        <v>10951</v>
      </c>
      <c r="CZ10024" s="35">
        <v>7.3821861999999999E-3</v>
      </c>
    </row>
    <row r="10025" spans="103:104" x14ac:dyDescent="0.3">
      <c r="CY10025" s="34" t="s">
        <v>10952</v>
      </c>
      <c r="CZ10025" s="35">
        <v>1.2285442670000001E-2</v>
      </c>
    </row>
    <row r="10026" spans="103:104" x14ac:dyDescent="0.3">
      <c r="CY10026" s="34" t="s">
        <v>10953</v>
      </c>
      <c r="CZ10026" s="35">
        <v>7.1309874250000006E-3</v>
      </c>
    </row>
    <row r="10027" spans="103:104" x14ac:dyDescent="0.3">
      <c r="CY10027" s="34" t="s">
        <v>10954</v>
      </c>
      <c r="CZ10027" s="35">
        <v>5.8631120000000002E-2</v>
      </c>
    </row>
    <row r="10028" spans="103:104" x14ac:dyDescent="0.3">
      <c r="CY10028" s="34" t="s">
        <v>10955</v>
      </c>
      <c r="CZ10028" s="35">
        <v>4.0085120000000004E-4</v>
      </c>
    </row>
    <row r="10029" spans="103:104" x14ac:dyDescent="0.3">
      <c r="CY10029" s="34" t="s">
        <v>10956</v>
      </c>
      <c r="CZ10029" s="35">
        <v>7.4891840000000003E-4</v>
      </c>
    </row>
    <row r="10030" spans="103:104" x14ac:dyDescent="0.3">
      <c r="CY10030" s="34" t="s">
        <v>10957</v>
      </c>
      <c r="CZ10030" s="35">
        <v>2.696484E-2</v>
      </c>
    </row>
    <row r="10031" spans="103:104" x14ac:dyDescent="0.3">
      <c r="CY10031" s="34" t="s">
        <v>10958</v>
      </c>
      <c r="CZ10031" s="35">
        <v>0.30394360000000004</v>
      </c>
    </row>
    <row r="10032" spans="103:104" x14ac:dyDescent="0.3">
      <c r="CY10032" s="34" t="s">
        <v>10959</v>
      </c>
      <c r="CZ10032" s="35">
        <v>8.1291999999999989E-2</v>
      </c>
    </row>
    <row r="10033" spans="103:104" x14ac:dyDescent="0.3">
      <c r="CY10033" s="34" t="s">
        <v>10960</v>
      </c>
      <c r="CZ10033" s="35">
        <v>1.7098399999999997E-4</v>
      </c>
    </row>
    <row r="10034" spans="103:104" x14ac:dyDescent="0.3">
      <c r="CY10034" s="34" t="s">
        <v>10961</v>
      </c>
      <c r="CZ10034" s="35">
        <v>2.7134315200000002E-2</v>
      </c>
    </row>
    <row r="10035" spans="103:104" x14ac:dyDescent="0.3">
      <c r="CY10035" s="34" t="s">
        <v>10962</v>
      </c>
      <c r="CZ10035" s="35">
        <v>8.7546719999999996E-4</v>
      </c>
    </row>
    <row r="10036" spans="103:104" x14ac:dyDescent="0.3">
      <c r="CY10036" s="34" t="s">
        <v>10963</v>
      </c>
      <c r="CZ10036" s="35">
        <v>5.7377599999999991E-4</v>
      </c>
    </row>
    <row r="10037" spans="103:104" x14ac:dyDescent="0.3">
      <c r="CY10037" s="34" t="s">
        <v>10964</v>
      </c>
      <c r="CZ10037" s="35">
        <v>7.8758359999999999E-2</v>
      </c>
    </row>
    <row r="10038" spans="103:104" x14ac:dyDescent="0.3">
      <c r="CY10038" s="34" t="s">
        <v>10965</v>
      </c>
      <c r="CZ10038" s="35">
        <v>5.3205700000000002E-2</v>
      </c>
    </row>
    <row r="10039" spans="103:104" x14ac:dyDescent="0.3">
      <c r="CY10039" s="34" t="s">
        <v>10966</v>
      </c>
      <c r="CZ10039" s="35">
        <v>7.9422800000000012E-3</v>
      </c>
    </row>
    <row r="10040" spans="103:104" x14ac:dyDescent="0.3">
      <c r="CY10040" s="34" t="s">
        <v>10967</v>
      </c>
      <c r="CZ10040" s="35">
        <v>9.1125332999999979E-3</v>
      </c>
    </row>
    <row r="10041" spans="103:104" x14ac:dyDescent="0.3">
      <c r="CY10041" s="34" t="s">
        <v>10968</v>
      </c>
      <c r="CZ10041" s="35">
        <v>6.4249919999999988E-2</v>
      </c>
    </row>
    <row r="10042" spans="103:104" x14ac:dyDescent="0.3">
      <c r="CY10042" s="34" t="s">
        <v>10969</v>
      </c>
      <c r="CZ10042" s="35">
        <v>7.4335424999999997E-2</v>
      </c>
    </row>
    <row r="10043" spans="103:104" x14ac:dyDescent="0.3">
      <c r="CY10043" s="34" t="s">
        <v>10970</v>
      </c>
      <c r="CZ10043" s="35">
        <v>0.1622217</v>
      </c>
    </row>
    <row r="10044" spans="103:104" x14ac:dyDescent="0.3">
      <c r="CY10044" s="34" t="s">
        <v>10971</v>
      </c>
      <c r="CZ10044" s="35">
        <v>7.6913967499999999E-2</v>
      </c>
    </row>
    <row r="10045" spans="103:104" x14ac:dyDescent="0.3">
      <c r="CY10045" s="34" t="s">
        <v>10972</v>
      </c>
      <c r="CZ10045" s="35">
        <v>5.1056000000000001E-3</v>
      </c>
    </row>
    <row r="10046" spans="103:104" x14ac:dyDescent="0.3">
      <c r="CY10046" s="34" t="s">
        <v>10973</v>
      </c>
      <c r="CZ10046" s="35">
        <v>6.4185999999999991E-3</v>
      </c>
    </row>
    <row r="10047" spans="103:104" x14ac:dyDescent="0.3">
      <c r="CY10047" s="34" t="s">
        <v>10974</v>
      </c>
      <c r="CZ10047" s="35">
        <v>2.4105279999999999E-3</v>
      </c>
    </row>
    <row r="10048" spans="103:104" x14ac:dyDescent="0.3">
      <c r="CY10048" s="34" t="s">
        <v>10975</v>
      </c>
      <c r="CZ10048" s="35">
        <v>3.3018146799999996E-3</v>
      </c>
    </row>
    <row r="10049" spans="103:104" x14ac:dyDescent="0.3">
      <c r="CY10049" s="34" t="s">
        <v>10976</v>
      </c>
      <c r="CZ10049" s="35">
        <v>0.1032672</v>
      </c>
    </row>
    <row r="10050" spans="103:104" x14ac:dyDescent="0.3">
      <c r="CY10050" s="34" t="s">
        <v>10977</v>
      </c>
      <c r="CZ10050" s="35">
        <v>0.1045172</v>
      </c>
    </row>
    <row r="10051" spans="103:104" x14ac:dyDescent="0.3">
      <c r="CY10051" s="34" t="s">
        <v>10978</v>
      </c>
      <c r="CZ10051" s="35">
        <v>1.3768432000000001E-2</v>
      </c>
    </row>
    <row r="10052" spans="103:104" x14ac:dyDescent="0.3">
      <c r="CY10052" s="34" t="s">
        <v>10979</v>
      </c>
      <c r="CZ10052" s="35">
        <v>2.5376895999999999E-2</v>
      </c>
    </row>
    <row r="10053" spans="103:104" x14ac:dyDescent="0.3">
      <c r="CY10053" s="34" t="s">
        <v>10980</v>
      </c>
      <c r="CZ10053" s="35">
        <v>2.1538112000000002E-2</v>
      </c>
    </row>
    <row r="10054" spans="103:104" x14ac:dyDescent="0.3">
      <c r="CY10054" s="34" t="s">
        <v>10981</v>
      </c>
      <c r="CZ10054" s="35">
        <v>2.2458336000000002E-2</v>
      </c>
    </row>
    <row r="10055" spans="103:104" x14ac:dyDescent="0.3">
      <c r="CY10055" s="34" t="s">
        <v>10982</v>
      </c>
      <c r="CZ10055" s="35">
        <v>6.0320388333333329E-2</v>
      </c>
    </row>
    <row r="10056" spans="103:104" x14ac:dyDescent="0.3">
      <c r="CY10056" s="34" t="s">
        <v>10983</v>
      </c>
      <c r="CZ10056" s="35">
        <v>6.7417712000000005E-2</v>
      </c>
    </row>
    <row r="10057" spans="103:104" x14ac:dyDescent="0.3">
      <c r="CY10057" s="34" t="s">
        <v>10984</v>
      </c>
      <c r="CZ10057" s="35">
        <v>4.0076880000000002E-2</v>
      </c>
    </row>
    <row r="10058" spans="103:104" x14ac:dyDescent="0.3">
      <c r="CY10058" s="34" t="s">
        <v>10985</v>
      </c>
      <c r="CZ10058" s="35">
        <v>3.7460240000000006E-2</v>
      </c>
    </row>
    <row r="10059" spans="103:104" x14ac:dyDescent="0.3">
      <c r="CY10059" s="34" t="s">
        <v>10986</v>
      </c>
      <c r="CZ10059" s="35">
        <v>7.29504E-3</v>
      </c>
    </row>
    <row r="10060" spans="103:104" x14ac:dyDescent="0.3">
      <c r="CY10060" s="34" t="s">
        <v>10987</v>
      </c>
      <c r="CZ10060" s="35">
        <v>3.2808183999999997E-2</v>
      </c>
    </row>
    <row r="10061" spans="103:104" x14ac:dyDescent="0.3">
      <c r="CY10061" s="34" t="s">
        <v>10988</v>
      </c>
      <c r="CZ10061" s="35">
        <v>2.3410559999999993E-2</v>
      </c>
    </row>
    <row r="10062" spans="103:104" x14ac:dyDescent="0.3">
      <c r="CY10062" s="34" t="s">
        <v>10989</v>
      </c>
      <c r="CZ10062" s="35">
        <v>1.7955640000000002E-2</v>
      </c>
    </row>
    <row r="10063" spans="103:104" x14ac:dyDescent="0.3">
      <c r="CY10063" s="34" t="s">
        <v>10990</v>
      </c>
      <c r="CZ10063" s="35">
        <v>5.3748400000000005E-3</v>
      </c>
    </row>
    <row r="10064" spans="103:104" x14ac:dyDescent="0.3">
      <c r="CY10064" s="34" t="s">
        <v>10991</v>
      </c>
      <c r="CZ10064" s="35">
        <v>2.5564059999999998E-3</v>
      </c>
    </row>
    <row r="10065" spans="103:104" x14ac:dyDescent="0.3">
      <c r="CY10065" s="34" t="s">
        <v>10992</v>
      </c>
      <c r="CZ10065" s="35">
        <v>1.0164832E-2</v>
      </c>
    </row>
    <row r="10066" spans="103:104" x14ac:dyDescent="0.3">
      <c r="CY10066" s="34" t="s">
        <v>10993</v>
      </c>
      <c r="CZ10066" s="35">
        <v>1.9253560000000002E-3</v>
      </c>
    </row>
    <row r="10067" spans="103:104" x14ac:dyDescent="0.3">
      <c r="CY10067" s="34" t="s">
        <v>10994</v>
      </c>
      <c r="CZ10067" s="35">
        <v>4.2454544000000004E-2</v>
      </c>
    </row>
    <row r="10068" spans="103:104" x14ac:dyDescent="0.3">
      <c r="CY10068" s="34" t="s">
        <v>10995</v>
      </c>
      <c r="CZ10068" s="35">
        <v>2.0417733342857146E-2</v>
      </c>
    </row>
    <row r="10069" spans="103:104" x14ac:dyDescent="0.3">
      <c r="CY10069" s="34" t="s">
        <v>10996</v>
      </c>
      <c r="CZ10069" s="35">
        <v>7.1511306666666666E-3</v>
      </c>
    </row>
    <row r="10070" spans="103:104" x14ac:dyDescent="0.3">
      <c r="CY10070" s="34" t="s">
        <v>10997</v>
      </c>
      <c r="CZ10070" s="35">
        <v>1.5126879999999999E-3</v>
      </c>
    </row>
    <row r="10071" spans="103:104" x14ac:dyDescent="0.3">
      <c r="CY10071" s="34" t="s">
        <v>10998</v>
      </c>
      <c r="CZ10071" s="35">
        <v>2.21434E-3</v>
      </c>
    </row>
    <row r="10072" spans="103:104" x14ac:dyDescent="0.3">
      <c r="CY10072" s="34" t="s">
        <v>10999</v>
      </c>
      <c r="CZ10072" s="35">
        <v>3.3240639999999998E-3</v>
      </c>
    </row>
    <row r="10073" spans="103:104" x14ac:dyDescent="0.3">
      <c r="CY10073" s="34" t="s">
        <v>11000</v>
      </c>
      <c r="CZ10073" s="35">
        <v>5.1285283333333327E-2</v>
      </c>
    </row>
    <row r="10074" spans="103:104" x14ac:dyDescent="0.3">
      <c r="CY10074" s="34" t="s">
        <v>11001</v>
      </c>
      <c r="CZ10074" s="35">
        <v>2.9148420000000004E-3</v>
      </c>
    </row>
    <row r="10075" spans="103:104" x14ac:dyDescent="0.3">
      <c r="CY10075" s="34" t="s">
        <v>11002</v>
      </c>
      <c r="CZ10075" s="35">
        <v>2.4166960000000003E-3</v>
      </c>
    </row>
    <row r="10076" spans="103:104" x14ac:dyDescent="0.3">
      <c r="CY10076" s="34" t="s">
        <v>11003</v>
      </c>
      <c r="CZ10076" s="35">
        <v>2.4026239999999999E-3</v>
      </c>
    </row>
    <row r="10077" spans="103:104" x14ac:dyDescent="0.3">
      <c r="CY10077" s="34" t="s">
        <v>11004</v>
      </c>
      <c r="CZ10077" s="35">
        <v>1.7798720000000003E-3</v>
      </c>
    </row>
    <row r="10078" spans="103:104" x14ac:dyDescent="0.3">
      <c r="CY10078" s="34" t="s">
        <v>11005</v>
      </c>
      <c r="CZ10078" s="35">
        <v>1.1267104000000001E-3</v>
      </c>
    </row>
    <row r="10079" spans="103:104" x14ac:dyDescent="0.3">
      <c r="CY10079" s="34" t="s">
        <v>11006</v>
      </c>
      <c r="CZ10079" s="35">
        <v>1.433344E-3</v>
      </c>
    </row>
    <row r="10080" spans="103:104" x14ac:dyDescent="0.3">
      <c r="CY10080" s="34" t="s">
        <v>11007</v>
      </c>
      <c r="CZ10080" s="35">
        <v>3.2956399999999994E-3</v>
      </c>
    </row>
    <row r="10081" spans="103:104" x14ac:dyDescent="0.3">
      <c r="CY10081" s="34" t="s">
        <v>11008</v>
      </c>
      <c r="CZ10081" s="35">
        <v>1.7171799999999998E-3</v>
      </c>
    </row>
    <row r="10082" spans="103:104" x14ac:dyDescent="0.3">
      <c r="CY10082" s="34" t="s">
        <v>11009</v>
      </c>
      <c r="CZ10082" s="35">
        <v>1.58029E-3</v>
      </c>
    </row>
    <row r="10083" spans="103:104" x14ac:dyDescent="0.3">
      <c r="CY10083" s="34" t="s">
        <v>11010</v>
      </c>
      <c r="CZ10083" s="35">
        <v>1.3480559999999998E-3</v>
      </c>
    </row>
    <row r="10084" spans="103:104" x14ac:dyDescent="0.3">
      <c r="CY10084" s="34" t="s">
        <v>11011</v>
      </c>
      <c r="CZ10084" s="35">
        <v>2.7426439999999998E-3</v>
      </c>
    </row>
    <row r="10085" spans="103:104" x14ac:dyDescent="0.3">
      <c r="CY10085" s="34" t="s">
        <v>11012</v>
      </c>
      <c r="CZ10085" s="35">
        <v>8.8827199999999995E-4</v>
      </c>
    </row>
    <row r="10086" spans="103:104" x14ac:dyDescent="0.3">
      <c r="CY10086" s="34" t="s">
        <v>11013</v>
      </c>
      <c r="CZ10086" s="35">
        <v>8.4277199999999988E-4</v>
      </c>
    </row>
    <row r="10087" spans="103:104" x14ac:dyDescent="0.3">
      <c r="CY10087" s="34" t="s">
        <v>11014</v>
      </c>
      <c r="CZ10087" s="35">
        <v>1.6966613333333333E-3</v>
      </c>
    </row>
    <row r="10088" spans="103:104" x14ac:dyDescent="0.3">
      <c r="CY10088" s="34" t="s">
        <v>11015</v>
      </c>
      <c r="CZ10088" s="35">
        <v>8.3302720000000014E-4</v>
      </c>
    </row>
    <row r="10089" spans="103:104" x14ac:dyDescent="0.3">
      <c r="CY10089" s="34" t="s">
        <v>11016</v>
      </c>
      <c r="CZ10089" s="35">
        <v>3.6040840000000005E-3</v>
      </c>
    </row>
    <row r="10090" spans="103:104" x14ac:dyDescent="0.3">
      <c r="CY10090" s="34" t="s">
        <v>11017</v>
      </c>
      <c r="CZ10090" s="35">
        <v>1.743428E-3</v>
      </c>
    </row>
    <row r="10091" spans="103:104" x14ac:dyDescent="0.3">
      <c r="CY10091" s="34" t="s">
        <v>11018</v>
      </c>
      <c r="CZ10091" s="35">
        <v>3.2308768000000002E-2</v>
      </c>
    </row>
    <row r="10092" spans="103:104" x14ac:dyDescent="0.3">
      <c r="CY10092" s="34" t="s">
        <v>11019</v>
      </c>
      <c r="CZ10092" s="35">
        <v>2.3308855999999996E-2</v>
      </c>
    </row>
    <row r="10093" spans="103:104" x14ac:dyDescent="0.3">
      <c r="CY10093" s="34" t="s">
        <v>11020</v>
      </c>
      <c r="CZ10093" s="35">
        <v>1.8179343999999997E-2</v>
      </c>
    </row>
    <row r="10094" spans="103:104" x14ac:dyDescent="0.3">
      <c r="CY10094" s="34" t="s">
        <v>11021</v>
      </c>
      <c r="CZ10094" s="35">
        <v>1.0193524000000001E-2</v>
      </c>
    </row>
    <row r="10095" spans="103:104" x14ac:dyDescent="0.3">
      <c r="CY10095" s="34" t="s">
        <v>11022</v>
      </c>
      <c r="CZ10095" s="35">
        <v>1.0193524000000001E-2</v>
      </c>
    </row>
    <row r="10096" spans="103:104" x14ac:dyDescent="0.3">
      <c r="CY10096" s="34" t="s">
        <v>11023</v>
      </c>
      <c r="CZ10096" s="35">
        <v>7.8325840000000001E-3</v>
      </c>
    </row>
    <row r="10097" spans="103:104" x14ac:dyDescent="0.3">
      <c r="CY10097" s="34" t="s">
        <v>11024</v>
      </c>
      <c r="CZ10097" s="35">
        <v>1.7857359999999999E-2</v>
      </c>
    </row>
    <row r="10098" spans="103:104" x14ac:dyDescent="0.3">
      <c r="CY10098" s="34" t="s">
        <v>11025</v>
      </c>
      <c r="CZ10098" s="35">
        <v>7.5524239999999994E-3</v>
      </c>
    </row>
    <row r="10099" spans="103:104" x14ac:dyDescent="0.3">
      <c r="CY10099" s="34" t="s">
        <v>11026</v>
      </c>
      <c r="CZ10099" s="35">
        <v>3.4170999999999993E-2</v>
      </c>
    </row>
    <row r="10100" spans="103:104" x14ac:dyDescent="0.3">
      <c r="CY10100" s="34" t="s">
        <v>11027</v>
      </c>
      <c r="CZ10100" s="35">
        <v>6.3234112000000009E-2</v>
      </c>
    </row>
    <row r="10101" spans="103:104" x14ac:dyDescent="0.3">
      <c r="CY10101" s="34" t="s">
        <v>11028</v>
      </c>
      <c r="CZ10101" s="35">
        <v>6.1877119999999994E-2</v>
      </c>
    </row>
    <row r="10102" spans="103:104" x14ac:dyDescent="0.3">
      <c r="CY10102" s="34" t="s">
        <v>11029</v>
      </c>
      <c r="CZ10102" s="35">
        <v>1.4231080000000002E-2</v>
      </c>
    </row>
    <row r="10103" spans="103:104" x14ac:dyDescent="0.3">
      <c r="CY10103" s="34" t="s">
        <v>11030</v>
      </c>
      <c r="CZ10103" s="35">
        <v>4.1374080000000006E-4</v>
      </c>
    </row>
    <row r="10104" spans="103:104" x14ac:dyDescent="0.3">
      <c r="CY10104" s="34" t="s">
        <v>11031</v>
      </c>
      <c r="CZ10104" s="35">
        <v>1.9588159999999999E-3</v>
      </c>
    </row>
    <row r="10105" spans="103:104" x14ac:dyDescent="0.3">
      <c r="CY10105" s="34" t="s">
        <v>11032</v>
      </c>
      <c r="CZ10105" s="35">
        <v>4.7505800000000008E-3</v>
      </c>
    </row>
    <row r="10106" spans="103:104" x14ac:dyDescent="0.3">
      <c r="CY10106" s="34" t="s">
        <v>11033</v>
      </c>
      <c r="CZ10106" s="35">
        <v>0.10768088000000002</v>
      </c>
    </row>
    <row r="10107" spans="103:104" x14ac:dyDescent="0.3">
      <c r="CY10107" s="34" t="s">
        <v>11034</v>
      </c>
      <c r="CZ10107" s="35">
        <v>3.2050279999999993E-2</v>
      </c>
    </row>
    <row r="10108" spans="103:104" x14ac:dyDescent="0.3">
      <c r="CY10108" s="34" t="s">
        <v>11035</v>
      </c>
      <c r="CZ10108" s="35">
        <v>3.0504516000000002E-3</v>
      </c>
    </row>
    <row r="10109" spans="103:104" x14ac:dyDescent="0.3">
      <c r="CY10109" s="34" t="s">
        <v>11036</v>
      </c>
      <c r="CZ10109" s="35">
        <v>1.1828687999999999E-2</v>
      </c>
    </row>
    <row r="10110" spans="103:104" x14ac:dyDescent="0.3">
      <c r="CY10110" s="34" t="s">
        <v>11037</v>
      </c>
      <c r="CZ10110" s="35">
        <v>0.12762285336670001</v>
      </c>
    </row>
    <row r="10111" spans="103:104" x14ac:dyDescent="0.3">
      <c r="CY10111" s="34" t="s">
        <v>11038</v>
      </c>
      <c r="CZ10111" s="35">
        <v>5.2935199999999997E-4</v>
      </c>
    </row>
    <row r="10112" spans="103:104" x14ac:dyDescent="0.3">
      <c r="CY10112" s="34" t="s">
        <v>11039</v>
      </c>
      <c r="CZ10112" s="35">
        <v>6.4073120000000014E-4</v>
      </c>
    </row>
    <row r="10113" spans="103:104" x14ac:dyDescent="0.3">
      <c r="CY10113" s="34" t="s">
        <v>11040</v>
      </c>
      <c r="CZ10113" s="35">
        <v>2.023024E-3</v>
      </c>
    </row>
    <row r="10114" spans="103:104" x14ac:dyDescent="0.3">
      <c r="CY10114" s="34" t="s">
        <v>11041</v>
      </c>
      <c r="CZ10114" s="35">
        <v>4.0124071999999997E-2</v>
      </c>
    </row>
    <row r="10115" spans="103:104" x14ac:dyDescent="0.3">
      <c r="CY10115" s="34" t="s">
        <v>11042</v>
      </c>
      <c r="CZ10115" s="35">
        <v>2.0070479999999998E-2</v>
      </c>
    </row>
    <row r="10116" spans="103:104" x14ac:dyDescent="0.3">
      <c r="CY10116" s="34" t="s">
        <v>11043</v>
      </c>
      <c r="CZ10116" s="35">
        <v>2.740716E-2</v>
      </c>
    </row>
    <row r="10117" spans="103:104" x14ac:dyDescent="0.3">
      <c r="CY10117" s="34" t="s">
        <v>11044</v>
      </c>
      <c r="CZ10117" s="35">
        <v>4.9417200000000001E-2</v>
      </c>
    </row>
    <row r="10118" spans="103:104" x14ac:dyDescent="0.3">
      <c r="CY10118" s="34" t="s">
        <v>11045</v>
      </c>
      <c r="CZ10118" s="35">
        <v>4.2096519999999998E-2</v>
      </c>
    </row>
    <row r="10119" spans="103:104" x14ac:dyDescent="0.3">
      <c r="CY10119" s="34" t="s">
        <v>11046</v>
      </c>
      <c r="CZ10119" s="35">
        <v>1.1152063999999998E-2</v>
      </c>
    </row>
    <row r="10120" spans="103:104" x14ac:dyDescent="0.3">
      <c r="CY10120" s="34" t="s">
        <v>11047</v>
      </c>
      <c r="CZ10120" s="35">
        <v>1.9269899007100001E-2</v>
      </c>
    </row>
    <row r="10121" spans="103:104" x14ac:dyDescent="0.3">
      <c r="CY10121" s="34" t="s">
        <v>11048</v>
      </c>
      <c r="CZ10121" s="35">
        <v>2.2627129999999999E-2</v>
      </c>
    </row>
    <row r="10122" spans="103:104" x14ac:dyDescent="0.3">
      <c r="CY10122" s="34" t="s">
        <v>11049</v>
      </c>
      <c r="CZ10122" s="35">
        <v>2.1524105999999998E-2</v>
      </c>
    </row>
    <row r="10123" spans="103:104" x14ac:dyDescent="0.3">
      <c r="CY10123" s="34" t="s">
        <v>11050</v>
      </c>
      <c r="CZ10123" s="35">
        <v>1.986957E-2</v>
      </c>
    </row>
    <row r="10124" spans="103:104" x14ac:dyDescent="0.3">
      <c r="CY10124" s="34" t="s">
        <v>11051</v>
      </c>
      <c r="CZ10124" s="35">
        <v>2.1473041999999998E-2</v>
      </c>
    </row>
    <row r="10125" spans="103:104" x14ac:dyDescent="0.3">
      <c r="CY10125" s="34" t="s">
        <v>11052</v>
      </c>
      <c r="CZ10125" s="35">
        <v>1.9943305999999997E-2</v>
      </c>
    </row>
    <row r="10126" spans="103:104" x14ac:dyDescent="0.3">
      <c r="CY10126" s="34" t="s">
        <v>11053</v>
      </c>
      <c r="CZ10126" s="35">
        <v>2.4691039999999997E-3</v>
      </c>
    </row>
    <row r="10127" spans="103:104" x14ac:dyDescent="0.3">
      <c r="CY10127" s="34" t="s">
        <v>11054</v>
      </c>
      <c r="CZ10127" s="35">
        <v>1.1058122199999998E-3</v>
      </c>
    </row>
    <row r="10128" spans="103:104" x14ac:dyDescent="0.3">
      <c r="CY10128" s="34" t="s">
        <v>11055</v>
      </c>
      <c r="CZ10128" s="35">
        <v>9.3584799999999989E-3</v>
      </c>
    </row>
    <row r="10129" spans="103:104" x14ac:dyDescent="0.3">
      <c r="CY10129" s="34" t="s">
        <v>11056</v>
      </c>
      <c r="CZ10129" s="35">
        <v>7.3351733000000001E-3</v>
      </c>
    </row>
    <row r="10130" spans="103:104" x14ac:dyDescent="0.3">
      <c r="CY10130" s="34" t="s">
        <v>11057</v>
      </c>
      <c r="CZ10130" s="35">
        <v>5.7932736000000006E-2</v>
      </c>
    </row>
    <row r="10131" spans="103:104" x14ac:dyDescent="0.3">
      <c r="CY10131" s="34" t="s">
        <v>11058</v>
      </c>
      <c r="CZ10131" s="35">
        <v>0.23279669999999997</v>
      </c>
    </row>
    <row r="10132" spans="103:104" x14ac:dyDescent="0.3">
      <c r="CY10132" s="34" t="s">
        <v>11059</v>
      </c>
      <c r="CZ10132" s="35">
        <v>2.9345490545454544E-3</v>
      </c>
    </row>
    <row r="10133" spans="103:104" x14ac:dyDescent="0.3">
      <c r="CY10133" s="34" t="s">
        <v>11060</v>
      </c>
      <c r="CZ10133" s="35">
        <v>1.8216034545454544E-3</v>
      </c>
    </row>
    <row r="10134" spans="103:104" x14ac:dyDescent="0.3">
      <c r="CY10134" s="34" t="s">
        <v>11061</v>
      </c>
      <c r="CZ10134" s="35">
        <v>1.8567242545454545E-3</v>
      </c>
    </row>
    <row r="10135" spans="103:104" x14ac:dyDescent="0.3">
      <c r="CY10135" s="34" t="s">
        <v>11062</v>
      </c>
      <c r="CZ10135" s="35">
        <v>6.1024400000000002E-4</v>
      </c>
    </row>
    <row r="10136" spans="103:104" x14ac:dyDescent="0.3">
      <c r="CY10136" s="34" t="s">
        <v>11063</v>
      </c>
      <c r="CZ10136" s="35">
        <v>4.3443599999999994E-3</v>
      </c>
    </row>
    <row r="10137" spans="103:104" x14ac:dyDescent="0.3">
      <c r="CY10137" s="34" t="s">
        <v>11064</v>
      </c>
      <c r="CZ10137" s="35">
        <v>1.8020872E-2</v>
      </c>
    </row>
    <row r="10138" spans="103:104" x14ac:dyDescent="0.3">
      <c r="CY10138" s="34" t="s">
        <v>11065</v>
      </c>
      <c r="CZ10138" s="35">
        <v>2.5987376E-2</v>
      </c>
    </row>
    <row r="10139" spans="103:104" x14ac:dyDescent="0.3">
      <c r="CY10139" s="34" t="s">
        <v>11066</v>
      </c>
      <c r="CZ10139" s="35">
        <v>1.40295496E-2</v>
      </c>
    </row>
    <row r="10140" spans="103:104" x14ac:dyDescent="0.3">
      <c r="CY10140" s="34" t="s">
        <v>11067</v>
      </c>
      <c r="CZ10140" s="35">
        <v>9.1363199999999994E-4</v>
      </c>
    </row>
    <row r="10141" spans="103:104" x14ac:dyDescent="0.3">
      <c r="CY10141" s="34" t="s">
        <v>11068</v>
      </c>
      <c r="CZ10141" s="35">
        <v>1.5968320000000001E-3</v>
      </c>
    </row>
    <row r="10142" spans="103:104" x14ac:dyDescent="0.3">
      <c r="CY10142" s="34" t="s">
        <v>11069</v>
      </c>
      <c r="CZ10142" s="35">
        <v>1.0112560000000001E-2</v>
      </c>
    </row>
    <row r="10143" spans="103:104" x14ac:dyDescent="0.3">
      <c r="CY10143" s="34" t="s">
        <v>11070</v>
      </c>
      <c r="CZ10143" s="35">
        <v>4.4314559999999994E-3</v>
      </c>
    </row>
    <row r="10144" spans="103:104" x14ac:dyDescent="0.3">
      <c r="CY10144" s="34" t="s">
        <v>11071</v>
      </c>
      <c r="CZ10144" s="35">
        <v>1.2904608000000001E-3</v>
      </c>
    </row>
    <row r="10145" spans="103:104" x14ac:dyDescent="0.3">
      <c r="CY10145" s="34" t="s">
        <v>11072</v>
      </c>
      <c r="CZ10145" s="35">
        <v>3.2868292499999993E-2</v>
      </c>
    </row>
    <row r="10146" spans="103:104" x14ac:dyDescent="0.3">
      <c r="CY10146" s="34" t="s">
        <v>11073</v>
      </c>
      <c r="CZ10146" s="35">
        <v>3.5919719999000004E-2</v>
      </c>
    </row>
    <row r="10147" spans="103:104" x14ac:dyDescent="0.3">
      <c r="CY10147" s="34" t="s">
        <v>11074</v>
      </c>
      <c r="CZ10147" s="35">
        <v>3.3194719999000005E-2</v>
      </c>
    </row>
    <row r="10148" spans="103:104" x14ac:dyDescent="0.3">
      <c r="CY10148" s="34" t="s">
        <v>11075</v>
      </c>
      <c r="CZ10148" s="35">
        <v>3.3171386666000002E-2</v>
      </c>
    </row>
    <row r="10149" spans="103:104" x14ac:dyDescent="0.3">
      <c r="CY10149" s="34" t="s">
        <v>11076</v>
      </c>
      <c r="CZ10149" s="35">
        <v>3.3171386666000002E-2</v>
      </c>
    </row>
    <row r="10150" spans="103:104" x14ac:dyDescent="0.3">
      <c r="CY10150" s="34" t="s">
        <v>11077</v>
      </c>
      <c r="CZ10150" s="35">
        <v>9.2164159999999981E-3</v>
      </c>
    </row>
    <row r="10151" spans="103:104" x14ac:dyDescent="0.3">
      <c r="CY10151" s="34" t="s">
        <v>11078</v>
      </c>
      <c r="CZ10151" s="35">
        <v>1.3571623999999999E-2</v>
      </c>
    </row>
    <row r="10152" spans="103:104" x14ac:dyDescent="0.3">
      <c r="CY10152" s="34" t="s">
        <v>11079</v>
      </c>
      <c r="CZ10152" s="35">
        <v>7.2651240000000006E-2</v>
      </c>
    </row>
    <row r="10153" spans="103:104" x14ac:dyDescent="0.3">
      <c r="CY10153" s="34" t="s">
        <v>11080</v>
      </c>
      <c r="CZ10153" s="35">
        <v>0.16127167999999997</v>
      </c>
    </row>
    <row r="10154" spans="103:104" x14ac:dyDescent="0.3">
      <c r="CY10154" s="34" t="s">
        <v>11081</v>
      </c>
      <c r="CZ10154" s="35">
        <v>0.19840384</v>
      </c>
    </row>
    <row r="10155" spans="103:104" x14ac:dyDescent="0.3">
      <c r="CY10155" s="34" t="s">
        <v>11082</v>
      </c>
      <c r="CZ10155" s="35">
        <v>9.8154560000000002E-3</v>
      </c>
    </row>
    <row r="10156" spans="103:104" x14ac:dyDescent="0.3">
      <c r="CY10156" s="34" t="s">
        <v>11083</v>
      </c>
      <c r="CZ10156" s="35">
        <v>1.2603799999999998E-2</v>
      </c>
    </row>
    <row r="10157" spans="103:104" x14ac:dyDescent="0.3">
      <c r="CY10157" s="34" t="s">
        <v>11084</v>
      </c>
      <c r="CZ10157" s="35">
        <v>1.7458919999999999E-2</v>
      </c>
    </row>
    <row r="10158" spans="103:104" x14ac:dyDescent="0.3">
      <c r="CY10158" s="34" t="s">
        <v>11085</v>
      </c>
      <c r="CZ10158" s="35">
        <v>2.2533213600000001E-2</v>
      </c>
    </row>
    <row r="10159" spans="103:104" x14ac:dyDescent="0.3">
      <c r="CY10159" s="34" t="s">
        <v>11086</v>
      </c>
      <c r="CZ10159" s="35">
        <v>3.8160287999999998E-3</v>
      </c>
    </row>
    <row r="10160" spans="103:104" x14ac:dyDescent="0.3">
      <c r="CY10160" s="34" t="s">
        <v>11087</v>
      </c>
      <c r="CZ10160" s="35">
        <v>4.902132E-3</v>
      </c>
    </row>
    <row r="10161" spans="103:104" x14ac:dyDescent="0.3">
      <c r="CY10161" s="34" t="s">
        <v>11088</v>
      </c>
      <c r="CZ10161" s="35">
        <v>9.7003279999999976E-3</v>
      </c>
    </row>
    <row r="10162" spans="103:104" x14ac:dyDescent="0.3">
      <c r="CY10162" s="34" t="s">
        <v>11089</v>
      </c>
      <c r="CZ10162" s="35">
        <v>1.1635976000000001E-2</v>
      </c>
    </row>
    <row r="10163" spans="103:104" x14ac:dyDescent="0.3">
      <c r="CY10163" s="34" t="s">
        <v>11090</v>
      </c>
      <c r="CZ10163" s="35">
        <v>1.9671367999999998E-2</v>
      </c>
    </row>
    <row r="10164" spans="103:104" x14ac:dyDescent="0.3">
      <c r="CY10164" s="34" t="s">
        <v>11091</v>
      </c>
      <c r="CZ10164" s="35">
        <v>3.1996990399999994E-2</v>
      </c>
    </row>
    <row r="10165" spans="103:104" x14ac:dyDescent="0.3">
      <c r="CY10165" s="34" t="s">
        <v>11092</v>
      </c>
      <c r="CZ10165" s="35">
        <v>4.0214071999999997E-2</v>
      </c>
    </row>
    <row r="10166" spans="103:104" x14ac:dyDescent="0.3">
      <c r="CY10166" s="34" t="s">
        <v>11093</v>
      </c>
      <c r="CZ10166" s="35">
        <v>9.2215720000000001E-2</v>
      </c>
    </row>
    <row r="10167" spans="103:104" x14ac:dyDescent="0.3">
      <c r="CY10167" s="34" t="s">
        <v>11094</v>
      </c>
      <c r="CZ10167" s="35">
        <v>8.9770160000000002E-2</v>
      </c>
    </row>
    <row r="10168" spans="103:104" x14ac:dyDescent="0.3">
      <c r="CY10168" s="34" t="s">
        <v>11095</v>
      </c>
      <c r="CZ10168" s="35">
        <v>0.11422575999999998</v>
      </c>
    </row>
    <row r="10169" spans="103:104" x14ac:dyDescent="0.3">
      <c r="CY10169" s="34" t="s">
        <v>11096</v>
      </c>
      <c r="CZ10169" s="35">
        <v>0.2123284</v>
      </c>
    </row>
    <row r="10170" spans="103:104" x14ac:dyDescent="0.3">
      <c r="CY10170" s="34" t="s">
        <v>11097</v>
      </c>
      <c r="CZ10170" s="35">
        <v>1.6981252000000002E-2</v>
      </c>
    </row>
    <row r="10171" spans="103:104" x14ac:dyDescent="0.3">
      <c r="CY10171" s="34" t="s">
        <v>11098</v>
      </c>
      <c r="CZ10171" s="35">
        <v>1.5132491839999998E-2</v>
      </c>
    </row>
    <row r="10172" spans="103:104" x14ac:dyDescent="0.3">
      <c r="CY10172" s="34" t="s">
        <v>11099</v>
      </c>
      <c r="CZ10172" s="35">
        <v>3.0361559999999999E-3</v>
      </c>
    </row>
    <row r="10173" spans="103:104" x14ac:dyDescent="0.3">
      <c r="CY10173" s="34" t="s">
        <v>11100</v>
      </c>
      <c r="CZ10173" s="35">
        <v>2.5247200000000003E-3</v>
      </c>
    </row>
    <row r="10174" spans="103:104" x14ac:dyDescent="0.3">
      <c r="CY10174" s="34" t="s">
        <v>11101</v>
      </c>
      <c r="CZ10174" s="35">
        <v>3.0331360000000005E-3</v>
      </c>
    </row>
    <row r="10175" spans="103:104" x14ac:dyDescent="0.3">
      <c r="CY10175" s="34" t="s">
        <v>11102</v>
      </c>
      <c r="CZ10175" s="35">
        <v>3.1768000000000005E-3</v>
      </c>
    </row>
    <row r="10176" spans="103:104" x14ac:dyDescent="0.3">
      <c r="CY10176" s="34" t="s">
        <v>11103</v>
      </c>
      <c r="CZ10176" s="35">
        <v>2.5247200000000003E-3</v>
      </c>
    </row>
    <row r="10177" spans="103:104" x14ac:dyDescent="0.3">
      <c r="CY10177" s="34" t="s">
        <v>11104</v>
      </c>
      <c r="CZ10177" s="35">
        <v>3.3303040000000001E-3</v>
      </c>
    </row>
    <row r="10178" spans="103:104" x14ac:dyDescent="0.3">
      <c r="CY10178" s="34" t="s">
        <v>11105</v>
      </c>
      <c r="CZ10178" s="35">
        <v>2.864176E-3</v>
      </c>
    </row>
    <row r="10179" spans="103:104" x14ac:dyDescent="0.3">
      <c r="CY10179" s="34" t="s">
        <v>11106</v>
      </c>
      <c r="CZ10179" s="35">
        <v>2.7546016000000004E-3</v>
      </c>
    </row>
    <row r="10180" spans="103:104" x14ac:dyDescent="0.3">
      <c r="CY10180" s="34" t="s">
        <v>11107</v>
      </c>
      <c r="CZ10180" s="35">
        <v>2.7096735999999999E-3</v>
      </c>
    </row>
    <row r="10181" spans="103:104" x14ac:dyDescent="0.3">
      <c r="CY10181" s="34" t="s">
        <v>11108</v>
      </c>
      <c r="CZ10181" s="35">
        <v>3.1146496000000004E-3</v>
      </c>
    </row>
    <row r="10182" spans="103:104" x14ac:dyDescent="0.3">
      <c r="CY10182" s="34" t="s">
        <v>11109</v>
      </c>
      <c r="CZ10182" s="35">
        <v>7.3271000000000003E-2</v>
      </c>
    </row>
    <row r="10183" spans="103:104" x14ac:dyDescent="0.3">
      <c r="CY10183" s="34" t="s">
        <v>11110</v>
      </c>
      <c r="CZ10183" s="35">
        <v>4.6049800000000007E-3</v>
      </c>
    </row>
    <row r="10184" spans="103:104" x14ac:dyDescent="0.3">
      <c r="CY10184" s="34" t="s">
        <v>11111</v>
      </c>
      <c r="CZ10184" s="35">
        <v>2.0742520000000004E-3</v>
      </c>
    </row>
    <row r="10185" spans="103:104" x14ac:dyDescent="0.3">
      <c r="CY10185" s="34" t="s">
        <v>11112</v>
      </c>
      <c r="CZ10185" s="35">
        <v>4.0733080000000003E-3</v>
      </c>
    </row>
    <row r="10186" spans="103:104" x14ac:dyDescent="0.3">
      <c r="CY10186" s="34" t="s">
        <v>11113</v>
      </c>
      <c r="CZ10186" s="35">
        <v>3.2385831999999998E-3</v>
      </c>
    </row>
    <row r="10187" spans="103:104" x14ac:dyDescent="0.3">
      <c r="CY10187" s="34" t="s">
        <v>11114</v>
      </c>
      <c r="CZ10187" s="35">
        <v>4.1814575999999997E-3</v>
      </c>
    </row>
    <row r="10188" spans="103:104" x14ac:dyDescent="0.3">
      <c r="CY10188" s="34" t="s">
        <v>11115</v>
      </c>
      <c r="CZ10188" s="35">
        <v>4.2986239999999992E-3</v>
      </c>
    </row>
    <row r="10189" spans="103:104" x14ac:dyDescent="0.3">
      <c r="CY10189" s="34" t="s">
        <v>11116</v>
      </c>
      <c r="CZ10189" s="35">
        <v>2.5693682400000001E-2</v>
      </c>
    </row>
    <row r="10190" spans="103:104" x14ac:dyDescent="0.3">
      <c r="CY10190" s="34" t="s">
        <v>11117</v>
      </c>
      <c r="CZ10190" s="35">
        <v>0.13728857911616163</v>
      </c>
    </row>
    <row r="10191" spans="103:104" x14ac:dyDescent="0.3">
      <c r="CY10191" s="34" t="s">
        <v>11118</v>
      </c>
      <c r="CZ10191" s="35">
        <v>0.26256014</v>
      </c>
    </row>
    <row r="10192" spans="103:104" x14ac:dyDescent="0.3">
      <c r="CY10192" s="34" t="s">
        <v>11119</v>
      </c>
      <c r="CZ10192" s="35">
        <v>0.29135022741176464</v>
      </c>
    </row>
    <row r="10193" spans="103:104" x14ac:dyDescent="0.3">
      <c r="CY10193" s="34" t="s">
        <v>11120</v>
      </c>
      <c r="CZ10193" s="35">
        <v>7.8329609999999994E-3</v>
      </c>
    </row>
    <row r="10194" spans="103:104" x14ac:dyDescent="0.3">
      <c r="CY10194" s="34" t="s">
        <v>11121</v>
      </c>
      <c r="CZ10194" s="35">
        <v>1.8852959999999998E-3</v>
      </c>
    </row>
    <row r="10195" spans="103:104" x14ac:dyDescent="0.3">
      <c r="CY10195" s="34" t="s">
        <v>11122</v>
      </c>
      <c r="CZ10195" s="35">
        <v>8.6350559999999993E-2</v>
      </c>
    </row>
    <row r="10196" spans="103:104" x14ac:dyDescent="0.3">
      <c r="CY10196" s="34" t="s">
        <v>11123</v>
      </c>
      <c r="CZ10196" s="35">
        <v>4.6670065999999996E-2</v>
      </c>
    </row>
    <row r="10197" spans="103:104" x14ac:dyDescent="0.3">
      <c r="CY10197" s="34" t="s">
        <v>11124</v>
      </c>
      <c r="CZ10197" s="35">
        <v>1.1470312E-3</v>
      </c>
    </row>
    <row r="10198" spans="103:104" x14ac:dyDescent="0.3">
      <c r="CY10198" s="34" t="s">
        <v>11125</v>
      </c>
      <c r="CZ10198" s="35">
        <v>1.0699289999999998E-3</v>
      </c>
    </row>
    <row r="10199" spans="103:104" x14ac:dyDescent="0.3">
      <c r="CY10199" s="34" t="s">
        <v>11126</v>
      </c>
      <c r="CZ10199" s="35">
        <v>1.086122933E-2</v>
      </c>
    </row>
    <row r="10200" spans="103:104" x14ac:dyDescent="0.3">
      <c r="CY10200" s="34" t="s">
        <v>11127</v>
      </c>
      <c r="CZ10200" s="35">
        <v>2.8526711110000002E-2</v>
      </c>
    </row>
    <row r="10201" spans="103:104" x14ac:dyDescent="0.3">
      <c r="CY10201" s="34" t="s">
        <v>11128</v>
      </c>
      <c r="CZ10201" s="35">
        <v>2.149862E-2</v>
      </c>
    </row>
    <row r="10202" spans="103:104" x14ac:dyDescent="0.3">
      <c r="CY10202" s="34" t="s">
        <v>11129</v>
      </c>
      <c r="CZ10202" s="35">
        <v>4.7731293340000001E-2</v>
      </c>
    </row>
    <row r="10203" spans="103:104" x14ac:dyDescent="0.3">
      <c r="CY10203" s="34" t="s">
        <v>11130</v>
      </c>
      <c r="CZ10203" s="35">
        <v>0.12135543332857142</v>
      </c>
    </row>
    <row r="10204" spans="103:104" x14ac:dyDescent="0.3">
      <c r="CY10204" s="34" t="s">
        <v>11131</v>
      </c>
      <c r="CZ10204" s="35">
        <v>6.1880533350000006E-3</v>
      </c>
    </row>
    <row r="10205" spans="103:104" x14ac:dyDescent="0.3">
      <c r="CY10205" s="34" t="s">
        <v>11132</v>
      </c>
      <c r="CZ10205" s="35">
        <v>3.6630626666666666E-2</v>
      </c>
    </row>
    <row r="10206" spans="103:104" x14ac:dyDescent="0.3">
      <c r="CY10206" s="34" t="s">
        <v>11133</v>
      </c>
      <c r="CZ10206" s="35">
        <v>4.9311880000000002E-2</v>
      </c>
    </row>
    <row r="10207" spans="103:104" x14ac:dyDescent="0.3">
      <c r="CY10207" s="34" t="s">
        <v>11134</v>
      </c>
      <c r="CZ10207" s="35">
        <v>2.1048899999999999E-2</v>
      </c>
    </row>
    <row r="10208" spans="103:104" x14ac:dyDescent="0.3">
      <c r="CY10208" s="34" t="s">
        <v>11135</v>
      </c>
      <c r="CZ10208" s="35">
        <v>3.3206920000000001E-3</v>
      </c>
    </row>
    <row r="10209" spans="103:104" x14ac:dyDescent="0.3">
      <c r="CY10209" s="34" t="s">
        <v>11136</v>
      </c>
      <c r="CZ10209" s="35">
        <v>2.6238666666666673E-4</v>
      </c>
    </row>
    <row r="10210" spans="103:104" x14ac:dyDescent="0.3">
      <c r="CY10210" s="34" t="s">
        <v>11137</v>
      </c>
      <c r="CZ10210" s="35">
        <v>1.4645492000000002E-3</v>
      </c>
    </row>
    <row r="10211" spans="103:104" x14ac:dyDescent="0.3">
      <c r="CY10211" s="34" t="s">
        <v>11138</v>
      </c>
      <c r="CZ10211" s="35">
        <v>2.00915E-4</v>
      </c>
    </row>
    <row r="10212" spans="103:104" x14ac:dyDescent="0.3">
      <c r="CY10212" s="34" t="s">
        <v>11139</v>
      </c>
      <c r="CZ10212" s="35">
        <v>7.8923840000000008E-4</v>
      </c>
    </row>
    <row r="10213" spans="103:104" x14ac:dyDescent="0.3">
      <c r="CY10213" s="34" t="s">
        <v>11140</v>
      </c>
      <c r="CZ10213" s="35">
        <v>4.4456239999999999E-4</v>
      </c>
    </row>
    <row r="10214" spans="103:104" x14ac:dyDescent="0.3">
      <c r="CY10214" s="34" t="s">
        <v>11141</v>
      </c>
      <c r="CZ10214" s="35">
        <v>2.2779880000000003E-3</v>
      </c>
    </row>
    <row r="10215" spans="103:104" x14ac:dyDescent="0.3">
      <c r="CY10215" s="34" t="s">
        <v>11142</v>
      </c>
      <c r="CZ10215" s="35">
        <v>7.4641066999999988E-3</v>
      </c>
    </row>
    <row r="10216" spans="103:104" x14ac:dyDescent="0.3">
      <c r="CY10216" s="34" t="s">
        <v>11143</v>
      </c>
      <c r="CZ10216" s="35">
        <v>5.5974789334000005E-2</v>
      </c>
    </row>
    <row r="10217" spans="103:104" x14ac:dyDescent="0.3">
      <c r="CY10217" s="34" t="s">
        <v>11144</v>
      </c>
      <c r="CZ10217" s="35">
        <v>8.4899813200000011E-3</v>
      </c>
    </row>
    <row r="10218" spans="103:104" x14ac:dyDescent="0.3">
      <c r="CY10218" s="34" t="s">
        <v>11145</v>
      </c>
      <c r="CZ10218" s="35">
        <v>9.6616453200000004E-3</v>
      </c>
    </row>
    <row r="10219" spans="103:104" x14ac:dyDescent="0.3">
      <c r="CY10219" s="34" t="s">
        <v>11146</v>
      </c>
      <c r="CZ10219" s="35">
        <v>5.2620872000000004E-3</v>
      </c>
    </row>
    <row r="10220" spans="103:104" x14ac:dyDescent="0.3">
      <c r="CY10220" s="34" t="s">
        <v>11147</v>
      </c>
      <c r="CZ10220" s="35">
        <v>1.257812E-2</v>
      </c>
    </row>
    <row r="10221" spans="103:104" x14ac:dyDescent="0.3">
      <c r="CY10221" s="34" t="s">
        <v>11148</v>
      </c>
      <c r="CZ10221" s="35">
        <v>4.2151403325000003E-2</v>
      </c>
    </row>
    <row r="10222" spans="103:104" x14ac:dyDescent="0.3">
      <c r="CY10222" s="34" t="s">
        <v>11149</v>
      </c>
      <c r="CZ10222" s="35">
        <v>1.371E-2</v>
      </c>
    </row>
    <row r="10223" spans="103:104" x14ac:dyDescent="0.3">
      <c r="CY10223" s="34" t="s">
        <v>11150</v>
      </c>
      <c r="CZ10223" s="35">
        <v>2.82904153E-2</v>
      </c>
    </row>
    <row r="10224" spans="103:104" x14ac:dyDescent="0.3">
      <c r="CY10224" s="34" t="s">
        <v>11151</v>
      </c>
      <c r="CZ10224" s="35">
        <v>1.1561760000000001E-3</v>
      </c>
    </row>
    <row r="10225" spans="103:104" x14ac:dyDescent="0.3">
      <c r="CY10225" s="34" t="s">
        <v>11152</v>
      </c>
      <c r="CZ10225" s="35">
        <v>2.0168122650000002E-2</v>
      </c>
    </row>
    <row r="10226" spans="103:104" x14ac:dyDescent="0.3">
      <c r="CY10226" s="34" t="s">
        <v>11153</v>
      </c>
      <c r="CZ10226" s="35">
        <v>0.50446188000000003</v>
      </c>
    </row>
    <row r="10227" spans="103:104" x14ac:dyDescent="0.3">
      <c r="CY10227" s="34" t="s">
        <v>11154</v>
      </c>
      <c r="CZ10227" s="35">
        <v>7.9126559999999985E-2</v>
      </c>
    </row>
    <row r="10228" spans="103:104" x14ac:dyDescent="0.3">
      <c r="CY10228" s="34" t="s">
        <v>11155</v>
      </c>
      <c r="CZ10228" s="35">
        <v>0.13000207999999999</v>
      </c>
    </row>
    <row r="10229" spans="103:104" x14ac:dyDescent="0.3">
      <c r="CY10229" s="34" t="s">
        <v>11156</v>
      </c>
      <c r="CZ10229" s="35">
        <v>6.8600120000000001E-2</v>
      </c>
    </row>
    <row r="10230" spans="103:104" x14ac:dyDescent="0.3">
      <c r="CY10230" s="34" t="s">
        <v>11157</v>
      </c>
      <c r="CZ10230" s="35">
        <v>3.5150599999999995E-3</v>
      </c>
    </row>
    <row r="10231" spans="103:104" x14ac:dyDescent="0.3">
      <c r="CY10231" s="34" t="s">
        <v>11158</v>
      </c>
      <c r="CZ10231" s="35">
        <v>3.5455072000000008E-4</v>
      </c>
    </row>
    <row r="10232" spans="103:104" x14ac:dyDescent="0.3">
      <c r="CY10232" s="34" t="s">
        <v>11159</v>
      </c>
      <c r="CZ10232" s="35">
        <v>2.9364799999999998E-4</v>
      </c>
    </row>
    <row r="10233" spans="103:104" x14ac:dyDescent="0.3">
      <c r="CY10233" s="34" t="s">
        <v>11160</v>
      </c>
      <c r="CZ10233" s="35">
        <v>3.1009825882352942E-4</v>
      </c>
    </row>
    <row r="10234" spans="103:104" x14ac:dyDescent="0.3">
      <c r="CY10234" s="34" t="s">
        <v>11161</v>
      </c>
      <c r="CZ10234" s="35">
        <v>5.9200799999999999E-4</v>
      </c>
    </row>
    <row r="10235" spans="103:104" x14ac:dyDescent="0.3">
      <c r="CY10235" s="34" t="s">
        <v>11162</v>
      </c>
      <c r="CZ10235" s="35">
        <v>4.460208704E-4</v>
      </c>
    </row>
    <row r="10236" spans="103:104" x14ac:dyDescent="0.3">
      <c r="CY10236" s="34" t="s">
        <v>11163</v>
      </c>
      <c r="CZ10236" s="35">
        <v>0.201504027</v>
      </c>
    </row>
    <row r="10237" spans="103:104" x14ac:dyDescent="0.3">
      <c r="CY10237" s="34" t="s">
        <v>11164</v>
      </c>
      <c r="CZ10237" s="35">
        <v>5.6024926400000001E-2</v>
      </c>
    </row>
    <row r="10238" spans="103:104" x14ac:dyDescent="0.3">
      <c r="CY10238" s="34" t="s">
        <v>11165</v>
      </c>
      <c r="CZ10238" s="35">
        <v>2.168544E-2</v>
      </c>
    </row>
    <row r="10239" spans="103:104" x14ac:dyDescent="0.3">
      <c r="CY10239" s="34" t="s">
        <v>11166</v>
      </c>
      <c r="CZ10239" s="35">
        <v>6.7368159999999996E-3</v>
      </c>
    </row>
    <row r="10240" spans="103:104" x14ac:dyDescent="0.3">
      <c r="CY10240" s="34" t="s">
        <v>11167</v>
      </c>
      <c r="CZ10240" s="35">
        <v>2.0703000000000003E-2</v>
      </c>
    </row>
    <row r="10241" spans="103:104" x14ac:dyDescent="0.3">
      <c r="CY10241" s="34" t="s">
        <v>11168</v>
      </c>
      <c r="CZ10241" s="35">
        <v>7.4809400000000004E-4</v>
      </c>
    </row>
    <row r="10242" spans="103:104" x14ac:dyDescent="0.3">
      <c r="CY10242" s="34" t="s">
        <v>11169</v>
      </c>
      <c r="CZ10242" s="35">
        <v>7.0128851400000003E-3</v>
      </c>
    </row>
    <row r="10243" spans="103:104" x14ac:dyDescent="0.3">
      <c r="CY10243" s="34" t="s">
        <v>11170</v>
      </c>
      <c r="CZ10243" s="35">
        <v>7.5785480000000016E-2</v>
      </c>
    </row>
    <row r="10244" spans="103:104" x14ac:dyDescent="0.3">
      <c r="CY10244" s="34" t="s">
        <v>11171</v>
      </c>
      <c r="CZ10244" s="35">
        <v>5.2710659999999999E-2</v>
      </c>
    </row>
    <row r="10245" spans="103:104" x14ac:dyDescent="0.3">
      <c r="CY10245" s="34" t="s">
        <v>11172</v>
      </c>
      <c r="CZ10245" s="35">
        <v>2.2779880000000002E-2</v>
      </c>
    </row>
    <row r="10246" spans="103:104" x14ac:dyDescent="0.3">
      <c r="CY10246" s="34" t="s">
        <v>11173</v>
      </c>
      <c r="CZ10246" s="35">
        <v>1.216075294117647E-3</v>
      </c>
    </row>
    <row r="10247" spans="103:104" x14ac:dyDescent="0.3">
      <c r="CY10247" s="34" t="s">
        <v>11174</v>
      </c>
      <c r="CZ10247" s="35">
        <v>2.6986368E-2</v>
      </c>
    </row>
    <row r="10248" spans="103:104" x14ac:dyDescent="0.3">
      <c r="CY10248" s="34" t="s">
        <v>11175</v>
      </c>
      <c r="CZ10248" s="35">
        <v>2.6322560000000002E-2</v>
      </c>
    </row>
    <row r="10249" spans="103:104" x14ac:dyDescent="0.3">
      <c r="CY10249" s="34" t="s">
        <v>11176</v>
      </c>
      <c r="CZ10249" s="35">
        <v>6.2118212999999999E-4</v>
      </c>
    </row>
    <row r="10250" spans="103:104" x14ac:dyDescent="0.3">
      <c r="CY10250" s="34" t="s">
        <v>11177</v>
      </c>
      <c r="CZ10250" s="35">
        <v>0.210146</v>
      </c>
    </row>
    <row r="10251" spans="103:104" x14ac:dyDescent="0.3">
      <c r="CY10251" s="34" t="s">
        <v>11178</v>
      </c>
      <c r="CZ10251" s="35">
        <v>1.1525240000000001E-2</v>
      </c>
    </row>
    <row r="10252" spans="103:104" x14ac:dyDescent="0.3">
      <c r="CY10252" s="34" t="s">
        <v>11179</v>
      </c>
      <c r="CZ10252" s="35">
        <v>5.7264706699999994E-2</v>
      </c>
    </row>
    <row r="10253" spans="103:104" x14ac:dyDescent="0.3">
      <c r="CY10253" s="34" t="s">
        <v>11180</v>
      </c>
      <c r="CZ10253" s="35">
        <v>2.079984E-3</v>
      </c>
    </row>
    <row r="10254" spans="103:104" x14ac:dyDescent="0.3">
      <c r="CY10254" s="34" t="s">
        <v>11181</v>
      </c>
      <c r="CZ10254" s="35">
        <v>2.8065856880000002E-3</v>
      </c>
    </row>
    <row r="10255" spans="103:104" x14ac:dyDescent="0.3">
      <c r="CY10255" s="34" t="s">
        <v>11182</v>
      </c>
      <c r="CZ10255" s="35">
        <v>2.3467344000000002E-3</v>
      </c>
    </row>
    <row r="10256" spans="103:104" x14ac:dyDescent="0.3">
      <c r="CY10256" s="34" t="s">
        <v>11183</v>
      </c>
      <c r="CZ10256" s="35">
        <v>1.589258E-2</v>
      </c>
    </row>
    <row r="10257" spans="103:104" x14ac:dyDescent="0.3">
      <c r="CY10257" s="34" t="s">
        <v>11184</v>
      </c>
      <c r="CZ10257" s="35">
        <v>5.7085403000000003E-3</v>
      </c>
    </row>
    <row r="10258" spans="103:104" x14ac:dyDescent="0.3">
      <c r="CY10258" s="34" t="s">
        <v>11185</v>
      </c>
      <c r="CZ10258" s="35">
        <v>3.9729800000000003E-2</v>
      </c>
    </row>
    <row r="10259" spans="103:104" x14ac:dyDescent="0.3">
      <c r="CY10259" s="34" t="s">
        <v>11186</v>
      </c>
      <c r="CZ10259" s="35">
        <v>3.9098624000000002E-3</v>
      </c>
    </row>
    <row r="10260" spans="103:104" x14ac:dyDescent="0.3">
      <c r="CY10260" s="34" t="s">
        <v>11187</v>
      </c>
      <c r="CZ10260" s="35">
        <v>5.1866576000000002</v>
      </c>
    </row>
    <row r="10261" spans="103:104" x14ac:dyDescent="0.3">
      <c r="CY10261" s="34" t="s">
        <v>11188</v>
      </c>
      <c r="CZ10261" s="35">
        <v>1.8122944000000001</v>
      </c>
    </row>
    <row r="10262" spans="103:104" x14ac:dyDescent="0.3">
      <c r="CY10262" s="34" t="s">
        <v>11189</v>
      </c>
      <c r="CZ10262" s="35">
        <v>2.3284047999999999</v>
      </c>
    </row>
    <row r="10263" spans="103:104" x14ac:dyDescent="0.3">
      <c r="CY10263" s="34" t="s">
        <v>11190</v>
      </c>
      <c r="CZ10263" s="35">
        <v>3.1053943999999998</v>
      </c>
    </row>
    <row r="10264" spans="103:104" x14ac:dyDescent="0.3">
      <c r="CY10264" s="34" t="s">
        <v>11191</v>
      </c>
      <c r="CZ10264" s="35">
        <v>2.9448668800000002</v>
      </c>
    </row>
    <row r="10265" spans="103:104" x14ac:dyDescent="0.3">
      <c r="CY10265" s="34" t="s">
        <v>11192</v>
      </c>
      <c r="CZ10265" s="35">
        <v>3.1218000000000004</v>
      </c>
    </row>
    <row r="10266" spans="103:104" x14ac:dyDescent="0.3">
      <c r="CY10266" s="34" t="s">
        <v>11193</v>
      </c>
      <c r="CZ10266" s="35">
        <v>3.8281680000000002</v>
      </c>
    </row>
    <row r="10267" spans="103:104" x14ac:dyDescent="0.3">
      <c r="CY10267" s="34" t="s">
        <v>11194</v>
      </c>
      <c r="CZ10267" s="35">
        <v>5.4844096000000002</v>
      </c>
    </row>
    <row r="10268" spans="103:104" x14ac:dyDescent="0.3">
      <c r="CY10268" s="34" t="s">
        <v>11195</v>
      </c>
      <c r="CZ10268" s="35">
        <v>6.0203632000000002</v>
      </c>
    </row>
    <row r="10269" spans="103:104" x14ac:dyDescent="0.3">
      <c r="CY10269" s="34" t="s">
        <v>11196</v>
      </c>
      <c r="CZ10269" s="35">
        <v>4.9484560000000002</v>
      </c>
    </row>
    <row r="10270" spans="103:104" x14ac:dyDescent="0.3">
      <c r="CY10270" s="34" t="s">
        <v>11197</v>
      </c>
      <c r="CZ10270" s="35">
        <v>2.3881264000000003E-2</v>
      </c>
    </row>
    <row r="10271" spans="103:104" x14ac:dyDescent="0.3">
      <c r="CY10271" s="34" t="s">
        <v>11198</v>
      </c>
      <c r="CZ10271" s="35">
        <v>5.1104900000000005E-3</v>
      </c>
    </row>
    <row r="10272" spans="103:104" x14ac:dyDescent="0.3">
      <c r="CY10272" s="34" t="s">
        <v>11199</v>
      </c>
      <c r="CZ10272" s="35">
        <v>2.467184E-2</v>
      </c>
    </row>
    <row r="10273" spans="103:104" x14ac:dyDescent="0.3">
      <c r="CY10273" s="34" t="s">
        <v>11200</v>
      </c>
      <c r="CZ10273" s="35">
        <v>1.8224033333333334E-2</v>
      </c>
    </row>
    <row r="10274" spans="103:104" x14ac:dyDescent="0.3">
      <c r="CY10274" s="34" t="s">
        <v>11201</v>
      </c>
      <c r="CZ10274" s="35">
        <v>0.7140160000000001</v>
      </c>
    </row>
    <row r="10275" spans="103:104" x14ac:dyDescent="0.3">
      <c r="CY10275" s="34" t="s">
        <v>11202</v>
      </c>
      <c r="CZ10275" s="35">
        <v>3.910724E-3</v>
      </c>
    </row>
    <row r="10276" spans="103:104" x14ac:dyDescent="0.3">
      <c r="CY10276" s="34" t="s">
        <v>11203</v>
      </c>
      <c r="CZ10276" s="35">
        <v>9.0672799999999998E-4</v>
      </c>
    </row>
    <row r="10277" spans="103:104" x14ac:dyDescent="0.3">
      <c r="CY10277" s="34" t="s">
        <v>11204</v>
      </c>
      <c r="CZ10277" s="35">
        <v>3.6561696000000005E-2</v>
      </c>
    </row>
    <row r="10278" spans="103:104" x14ac:dyDescent="0.3">
      <c r="CY10278" s="34" t="s">
        <v>11205</v>
      </c>
      <c r="CZ10278" s="35">
        <v>8.1234800000000006E-4</v>
      </c>
    </row>
    <row r="10279" spans="103:104" x14ac:dyDescent="0.3">
      <c r="CY10279" s="34" t="s">
        <v>11206</v>
      </c>
      <c r="CZ10279" s="35">
        <v>7.2120400000000003E-3</v>
      </c>
    </row>
    <row r="10280" spans="103:104" x14ac:dyDescent="0.3">
      <c r="CY10280" s="34" t="s">
        <v>11207</v>
      </c>
      <c r="CZ10280" s="35">
        <v>1.1495492E-3</v>
      </c>
    </row>
    <row r="10281" spans="103:104" x14ac:dyDescent="0.3">
      <c r="CY10281" s="34" t="s">
        <v>11208</v>
      </c>
      <c r="CZ10281" s="35">
        <v>1.107223111111111E-3</v>
      </c>
    </row>
    <row r="10282" spans="103:104" x14ac:dyDescent="0.3">
      <c r="CY10282" s="34" t="s">
        <v>11209</v>
      </c>
      <c r="CZ10282" s="35">
        <v>6.0372000000000008E-4</v>
      </c>
    </row>
    <row r="10283" spans="103:104" x14ac:dyDescent="0.3">
      <c r="CY10283" s="34" t="s">
        <v>11210</v>
      </c>
      <c r="CZ10283" s="35">
        <v>3.7721175999999999E-3</v>
      </c>
    </row>
    <row r="10284" spans="103:104" x14ac:dyDescent="0.3">
      <c r="CY10284" s="34" t="s">
        <v>11211</v>
      </c>
      <c r="CZ10284" s="35">
        <v>8.7512640000000008E-4</v>
      </c>
    </row>
    <row r="10285" spans="103:104" x14ac:dyDescent="0.3">
      <c r="CY10285" s="34" t="s">
        <v>11212</v>
      </c>
      <c r="CZ10285" s="35">
        <v>2.7821432E-3</v>
      </c>
    </row>
    <row r="10286" spans="103:104" x14ac:dyDescent="0.3">
      <c r="CY10286" s="34" t="s">
        <v>11213</v>
      </c>
      <c r="CZ10286" s="35">
        <v>1.4082032000000001E-3</v>
      </c>
    </row>
    <row r="10287" spans="103:104" x14ac:dyDescent="0.3">
      <c r="CY10287" s="34" t="s">
        <v>11214</v>
      </c>
      <c r="CZ10287" s="35">
        <v>1.4216584E-3</v>
      </c>
    </row>
    <row r="10288" spans="103:104" x14ac:dyDescent="0.3">
      <c r="CY10288" s="34" t="s">
        <v>11215</v>
      </c>
      <c r="CZ10288" s="35">
        <v>1.39446384E-3</v>
      </c>
    </row>
    <row r="10289" spans="103:104" x14ac:dyDescent="0.3">
      <c r="CY10289" s="34" t="s">
        <v>11216</v>
      </c>
      <c r="CZ10289" s="35">
        <v>1.5978597600000001E-3</v>
      </c>
    </row>
    <row r="10290" spans="103:104" x14ac:dyDescent="0.3">
      <c r="CY10290" s="34" t="s">
        <v>11217</v>
      </c>
      <c r="CZ10290" s="35">
        <v>5.0437141333333337E-4</v>
      </c>
    </row>
    <row r="10291" spans="103:104" x14ac:dyDescent="0.3">
      <c r="CY10291" s="34" t="s">
        <v>11218</v>
      </c>
      <c r="CZ10291" s="35">
        <v>1.1210378671428572E-3</v>
      </c>
    </row>
    <row r="10292" spans="103:104" x14ac:dyDescent="0.3">
      <c r="CY10292" s="34" t="s">
        <v>11219</v>
      </c>
      <c r="CZ10292" s="35">
        <v>9.4323738521739139E-4</v>
      </c>
    </row>
    <row r="10293" spans="103:104" x14ac:dyDescent="0.3">
      <c r="CY10293" s="34" t="s">
        <v>11220</v>
      </c>
      <c r="CZ10293" s="35">
        <v>1.411952E-2</v>
      </c>
    </row>
    <row r="10294" spans="103:104" x14ac:dyDescent="0.3">
      <c r="CY10294" s="34" t="s">
        <v>11221</v>
      </c>
      <c r="CZ10294" s="35">
        <v>1.4119519999999998E-2</v>
      </c>
    </row>
    <row r="10295" spans="103:104" x14ac:dyDescent="0.3">
      <c r="CY10295" s="34" t="s">
        <v>11222</v>
      </c>
      <c r="CZ10295" s="35">
        <v>2.7076047999999998E-2</v>
      </c>
    </row>
    <row r="10296" spans="103:104" x14ac:dyDescent="0.3">
      <c r="CY10296" s="34" t="s">
        <v>11223</v>
      </c>
      <c r="CZ10296" s="35">
        <v>3.3917599999999999E-2</v>
      </c>
    </row>
    <row r="10297" spans="103:104" x14ac:dyDescent="0.3">
      <c r="CY10297" s="34" t="s">
        <v>11224</v>
      </c>
      <c r="CZ10297" s="35">
        <v>3.3917599999999999E-2</v>
      </c>
    </row>
    <row r="10298" spans="103:104" x14ac:dyDescent="0.3">
      <c r="CY10298" s="34" t="s">
        <v>11225</v>
      </c>
      <c r="CZ10298" s="35">
        <v>2.8061279999999997E-2</v>
      </c>
    </row>
    <row r="10299" spans="103:104" x14ac:dyDescent="0.3">
      <c r="CY10299" s="34" t="s">
        <v>11226</v>
      </c>
      <c r="CZ10299" s="35">
        <v>1.7110399999999998E-2</v>
      </c>
    </row>
    <row r="10300" spans="103:104" x14ac:dyDescent="0.3">
      <c r="CY10300" s="34" t="s">
        <v>11227</v>
      </c>
      <c r="CZ10300" s="35">
        <v>5.4064799999999991E-4</v>
      </c>
    </row>
    <row r="10301" spans="103:104" x14ac:dyDescent="0.3">
      <c r="CY10301" s="34" t="s">
        <v>11228</v>
      </c>
      <c r="CZ10301" s="35">
        <v>4.511284E-4</v>
      </c>
    </row>
    <row r="10302" spans="103:104" x14ac:dyDescent="0.3">
      <c r="CY10302" s="34" t="s">
        <v>11229</v>
      </c>
      <c r="CZ10302" s="35">
        <v>7.4499760000000005E-3</v>
      </c>
    </row>
    <row r="10303" spans="103:104" x14ac:dyDescent="0.3">
      <c r="CY10303" s="34" t="s">
        <v>11230</v>
      </c>
      <c r="CZ10303" s="35">
        <v>3.9836799999999999E-3</v>
      </c>
    </row>
    <row r="10304" spans="103:104" x14ac:dyDescent="0.3">
      <c r="CY10304" s="34" t="s">
        <v>11231</v>
      </c>
      <c r="CZ10304" s="35">
        <v>4.0874720000000008E-3</v>
      </c>
    </row>
    <row r="10305" spans="103:104" x14ac:dyDescent="0.3">
      <c r="CY10305" s="34" t="s">
        <v>11232</v>
      </c>
      <c r="CZ10305" s="35">
        <v>3.9342479999999996E-3</v>
      </c>
    </row>
    <row r="10306" spans="103:104" x14ac:dyDescent="0.3">
      <c r="CY10306" s="34" t="s">
        <v>11233</v>
      </c>
      <c r="CZ10306" s="35">
        <v>4.8369679999999996E-3</v>
      </c>
    </row>
    <row r="10307" spans="103:104" x14ac:dyDescent="0.3">
      <c r="CY10307" s="34" t="s">
        <v>11234</v>
      </c>
      <c r="CZ10307" s="35">
        <v>2.6087948E-2</v>
      </c>
    </row>
    <row r="10308" spans="103:104" x14ac:dyDescent="0.3">
      <c r="CY10308" s="34" t="s">
        <v>11235</v>
      </c>
      <c r="CZ10308" s="35">
        <v>1.2330175999999998E-2</v>
      </c>
    </row>
    <row r="10309" spans="103:104" x14ac:dyDescent="0.3">
      <c r="CY10309" s="34" t="s">
        <v>11236</v>
      </c>
      <c r="CZ10309" s="35">
        <v>1.9666231999999999E-2</v>
      </c>
    </row>
    <row r="10310" spans="103:104" x14ac:dyDescent="0.3">
      <c r="CY10310" s="34" t="s">
        <v>11237</v>
      </c>
      <c r="CZ10310" s="35">
        <v>7.4598088000000021E-2</v>
      </c>
    </row>
    <row r="10311" spans="103:104" x14ac:dyDescent="0.3">
      <c r="CY10311" s="34" t="s">
        <v>11238</v>
      </c>
      <c r="CZ10311" s="35">
        <v>3.3670068000000004E-2</v>
      </c>
    </row>
    <row r="10312" spans="103:104" x14ac:dyDescent="0.3">
      <c r="CY10312" s="34" t="s">
        <v>11239</v>
      </c>
      <c r="CZ10312" s="35">
        <v>1.5958031999999999E-3</v>
      </c>
    </row>
    <row r="10313" spans="103:104" x14ac:dyDescent="0.3">
      <c r="CY10313" s="34" t="s">
        <v>11240</v>
      </c>
      <c r="CZ10313" s="35">
        <v>1.1701054117647059E-2</v>
      </c>
    </row>
    <row r="10314" spans="103:104" x14ac:dyDescent="0.3">
      <c r="CY10314" s="34" t="s">
        <v>11241</v>
      </c>
      <c r="CZ10314" s="35">
        <v>2.7880860000000004E-3</v>
      </c>
    </row>
    <row r="10315" spans="103:104" x14ac:dyDescent="0.3">
      <c r="CY10315" s="34" t="s">
        <v>11242</v>
      </c>
      <c r="CZ10315" s="35">
        <v>4.2716520000000001E-2</v>
      </c>
    </row>
    <row r="10316" spans="103:104" x14ac:dyDescent="0.3">
      <c r="CY10316" s="34" t="s">
        <v>11243</v>
      </c>
      <c r="CZ10316" s="35">
        <v>3.0935919999999999E-2</v>
      </c>
    </row>
    <row r="10317" spans="103:104" x14ac:dyDescent="0.3">
      <c r="CY10317" s="34" t="s">
        <v>11244</v>
      </c>
      <c r="CZ10317" s="35">
        <v>1.4981005750000001E-3</v>
      </c>
    </row>
    <row r="10318" spans="103:104" x14ac:dyDescent="0.3">
      <c r="CY10318" s="34" t="s">
        <v>11245</v>
      </c>
      <c r="CZ10318" s="35">
        <v>1.1163039999999998E-3</v>
      </c>
    </row>
    <row r="10319" spans="103:104" x14ac:dyDescent="0.3">
      <c r="CY10319" s="34" t="s">
        <v>11246</v>
      </c>
      <c r="CZ10319" s="35">
        <v>1.1624162800000001E-2</v>
      </c>
    </row>
    <row r="10320" spans="103:104" x14ac:dyDescent="0.3">
      <c r="CY10320" s="34" t="s">
        <v>11247</v>
      </c>
      <c r="CZ10320" s="35">
        <v>2.9169320000000002E-2</v>
      </c>
    </row>
    <row r="10321" spans="103:104" x14ac:dyDescent="0.3">
      <c r="CY10321" s="34" t="s">
        <v>11248</v>
      </c>
      <c r="CZ10321" s="35">
        <v>3.8090440000000003E-2</v>
      </c>
    </row>
    <row r="10322" spans="103:104" x14ac:dyDescent="0.3">
      <c r="CY10322" s="34" t="s">
        <v>11249</v>
      </c>
      <c r="CZ10322" s="35">
        <v>6.3208053249999993E-2</v>
      </c>
    </row>
    <row r="10323" spans="103:104" x14ac:dyDescent="0.3">
      <c r="CY10323" s="34" t="s">
        <v>11250</v>
      </c>
      <c r="CZ10323" s="35">
        <v>1.875456E-2</v>
      </c>
    </row>
    <row r="10324" spans="103:104" x14ac:dyDescent="0.3">
      <c r="CY10324" s="34" t="s">
        <v>11251</v>
      </c>
      <c r="CZ10324" s="35">
        <v>1.2753040000000001E-3</v>
      </c>
    </row>
    <row r="10325" spans="103:104" x14ac:dyDescent="0.3">
      <c r="CY10325" s="34" t="s">
        <v>11252</v>
      </c>
      <c r="CZ10325" s="35">
        <v>3.0685E-2</v>
      </c>
    </row>
    <row r="10326" spans="103:104" x14ac:dyDescent="0.3">
      <c r="CY10326" s="34" t="s">
        <v>11253</v>
      </c>
      <c r="CZ10326" s="35">
        <v>2.5561000000000004E-2</v>
      </c>
    </row>
    <row r="10327" spans="103:104" x14ac:dyDescent="0.3">
      <c r="CY10327" s="34" t="s">
        <v>11254</v>
      </c>
      <c r="CZ10327" s="35">
        <v>2.5561000000000004E-2</v>
      </c>
    </row>
    <row r="10328" spans="103:104" x14ac:dyDescent="0.3">
      <c r="CY10328" s="34" t="s">
        <v>11255</v>
      </c>
      <c r="CZ10328" s="35">
        <v>5.6599840000000009E-4</v>
      </c>
    </row>
    <row r="10329" spans="103:104" x14ac:dyDescent="0.3">
      <c r="CY10329" s="34" t="s">
        <v>11256</v>
      </c>
      <c r="CZ10329" s="35">
        <v>1.9603626666666665E-3</v>
      </c>
    </row>
    <row r="10330" spans="103:104" x14ac:dyDescent="0.3">
      <c r="CY10330" s="34" t="s">
        <v>11257</v>
      </c>
      <c r="CZ10330" s="35">
        <v>2.5795351999999996E-3</v>
      </c>
    </row>
    <row r="10331" spans="103:104" x14ac:dyDescent="0.3">
      <c r="CY10331" s="34" t="s">
        <v>11258</v>
      </c>
      <c r="CZ10331" s="35">
        <v>1.2386592000000003E-3</v>
      </c>
    </row>
    <row r="10332" spans="103:104" x14ac:dyDescent="0.3">
      <c r="CY10332" s="34" t="s">
        <v>11259</v>
      </c>
      <c r="CZ10332" s="35">
        <v>0.20053063331999998</v>
      </c>
    </row>
    <row r="10333" spans="103:104" x14ac:dyDescent="0.3">
      <c r="CY10333" s="34" t="s">
        <v>11260</v>
      </c>
      <c r="CZ10333" s="35">
        <v>0.12384256</v>
      </c>
    </row>
    <row r="10334" spans="103:104" x14ac:dyDescent="0.3">
      <c r="CY10334" s="34" t="s">
        <v>11261</v>
      </c>
      <c r="CZ10334" s="35">
        <v>8.9623226666666663E-3</v>
      </c>
    </row>
    <row r="10335" spans="103:104" x14ac:dyDescent="0.3">
      <c r="CY10335" s="34" t="s">
        <v>11262</v>
      </c>
      <c r="CZ10335" s="35">
        <v>2.2460000000000001E-2</v>
      </c>
    </row>
    <row r="10336" spans="103:104" x14ac:dyDescent="0.3">
      <c r="CY10336" s="34" t="s">
        <v>11263</v>
      </c>
      <c r="CZ10336" s="35">
        <v>1.9866666714285714E-4</v>
      </c>
    </row>
    <row r="10337" spans="103:104" x14ac:dyDescent="0.3">
      <c r="CY10337" s="34" t="s">
        <v>11264</v>
      </c>
      <c r="CZ10337" s="35">
        <v>2.2507579999999999E-2</v>
      </c>
    </row>
    <row r="10338" spans="103:104" x14ac:dyDescent="0.3">
      <c r="CY10338" s="34" t="s">
        <v>11265</v>
      </c>
      <c r="CZ10338" s="35">
        <v>1.4466906666666666E-2</v>
      </c>
    </row>
    <row r="10339" spans="103:104" x14ac:dyDescent="0.3">
      <c r="CY10339" s="34" t="s">
        <v>11266</v>
      </c>
      <c r="CZ10339" s="35">
        <v>4.3394320000000007E-3</v>
      </c>
    </row>
    <row r="10340" spans="103:104" x14ac:dyDescent="0.3">
      <c r="CY10340" s="34" t="s">
        <v>11267</v>
      </c>
      <c r="CZ10340" s="35">
        <v>5.0445602444444439E-3</v>
      </c>
    </row>
    <row r="10341" spans="103:104" x14ac:dyDescent="0.3">
      <c r="CY10341" s="34" t="s">
        <v>11268</v>
      </c>
      <c r="CZ10341" s="35">
        <v>3.44291E-3</v>
      </c>
    </row>
    <row r="10342" spans="103:104" x14ac:dyDescent="0.3">
      <c r="CY10342" s="34" t="s">
        <v>11269</v>
      </c>
      <c r="CZ10342" s="35">
        <v>0.10545944</v>
      </c>
    </row>
    <row r="10343" spans="103:104" x14ac:dyDescent="0.3">
      <c r="CY10343" s="34" t="s">
        <v>11270</v>
      </c>
      <c r="CZ10343" s="35">
        <v>0.10387240000000002</v>
      </c>
    </row>
    <row r="10344" spans="103:104" x14ac:dyDescent="0.3">
      <c r="CY10344" s="34" t="s">
        <v>11271</v>
      </c>
      <c r="CZ10344" s="35">
        <v>0.17826988832000001</v>
      </c>
    </row>
    <row r="10345" spans="103:104" x14ac:dyDescent="0.3">
      <c r="CY10345" s="34" t="s">
        <v>11272</v>
      </c>
      <c r="CZ10345" s="35">
        <v>7.2670399999999998E-3</v>
      </c>
    </row>
    <row r="10346" spans="103:104" x14ac:dyDescent="0.3">
      <c r="CY10346" s="34" t="s">
        <v>11273</v>
      </c>
      <c r="CZ10346" s="35">
        <v>7.8974568421052646E-3</v>
      </c>
    </row>
    <row r="10347" spans="103:104" x14ac:dyDescent="0.3">
      <c r="CY10347" s="34" t="s">
        <v>11274</v>
      </c>
      <c r="CZ10347" s="35">
        <v>7.8498400000000003E-3</v>
      </c>
    </row>
    <row r="10348" spans="103:104" x14ac:dyDescent="0.3">
      <c r="CY10348" s="34" t="s">
        <v>11275</v>
      </c>
      <c r="CZ10348" s="35">
        <v>3.0102760000000001E-3</v>
      </c>
    </row>
    <row r="10349" spans="103:104" x14ac:dyDescent="0.3">
      <c r="CY10349" s="34" t="s">
        <v>11276</v>
      </c>
      <c r="CZ10349" s="35">
        <v>8.3057199999999991E-4</v>
      </c>
    </row>
    <row r="10350" spans="103:104" x14ac:dyDescent="0.3">
      <c r="CY10350" s="34" t="s">
        <v>11277</v>
      </c>
      <c r="CZ10350" s="35">
        <v>5.0772782224999999E-4</v>
      </c>
    </row>
    <row r="10351" spans="103:104" x14ac:dyDescent="0.3">
      <c r="CY10351" s="34" t="s">
        <v>11278</v>
      </c>
      <c r="CZ10351" s="35">
        <v>5.422146666666666E-4</v>
      </c>
    </row>
    <row r="10352" spans="103:104" x14ac:dyDescent="0.3">
      <c r="CY10352" s="34" t="s">
        <v>11279</v>
      </c>
      <c r="CZ10352" s="35">
        <v>3.7211320000000005E-4</v>
      </c>
    </row>
    <row r="10353" spans="103:104" x14ac:dyDescent="0.3">
      <c r="CY10353" s="34" t="s">
        <v>11280</v>
      </c>
      <c r="CZ10353" s="35">
        <v>3.0002824000000001E-3</v>
      </c>
    </row>
    <row r="10354" spans="103:104" x14ac:dyDescent="0.3">
      <c r="CY10354" s="34" t="s">
        <v>11281</v>
      </c>
      <c r="CZ10354" s="35">
        <v>1.6637547999999999E-2</v>
      </c>
    </row>
    <row r="10355" spans="103:104" x14ac:dyDescent="0.3">
      <c r="CY10355" s="34" t="s">
        <v>11282</v>
      </c>
      <c r="CZ10355" s="35">
        <v>1.6637547999999999E-2</v>
      </c>
    </row>
    <row r="10356" spans="103:104" x14ac:dyDescent="0.3">
      <c r="CY10356" s="34" t="s">
        <v>11283</v>
      </c>
      <c r="CZ10356" s="35">
        <v>2.0072989333333332E-3</v>
      </c>
    </row>
    <row r="10357" spans="103:104" x14ac:dyDescent="0.3">
      <c r="CY10357" s="34" t="s">
        <v>11284</v>
      </c>
      <c r="CZ10357" s="35">
        <v>1.8964911999999997E-2</v>
      </c>
    </row>
    <row r="10358" spans="103:104" x14ac:dyDescent="0.3">
      <c r="CY10358" s="34" t="s">
        <v>11285</v>
      </c>
      <c r="CZ10358" s="35">
        <v>1.8964911999999997E-2</v>
      </c>
    </row>
    <row r="10359" spans="103:104" x14ac:dyDescent="0.3">
      <c r="CY10359" s="34" t="s">
        <v>11286</v>
      </c>
      <c r="CZ10359" s="35">
        <v>2.1252391999999998E-2</v>
      </c>
    </row>
    <row r="10360" spans="103:104" x14ac:dyDescent="0.3">
      <c r="CY10360" s="34" t="s">
        <v>11287</v>
      </c>
      <c r="CZ10360" s="35">
        <v>2.1252391999999998E-2</v>
      </c>
    </row>
    <row r="10361" spans="103:104" x14ac:dyDescent="0.3">
      <c r="CY10361" s="34" t="s">
        <v>11288</v>
      </c>
      <c r="CZ10361" s="35">
        <v>1.5610760000000001E-2</v>
      </c>
    </row>
    <row r="10362" spans="103:104" x14ac:dyDescent="0.3">
      <c r="CY10362" s="34" t="s">
        <v>11289</v>
      </c>
      <c r="CZ10362" s="35">
        <v>1.5610760000000001E-2</v>
      </c>
    </row>
    <row r="10363" spans="103:104" x14ac:dyDescent="0.3">
      <c r="CY10363" s="34" t="s">
        <v>11290</v>
      </c>
      <c r="CZ10363" s="35">
        <v>3.2988760000000005E-3</v>
      </c>
    </row>
    <row r="10364" spans="103:104" x14ac:dyDescent="0.3">
      <c r="CY10364" s="34" t="s">
        <v>11291</v>
      </c>
      <c r="CZ10364" s="35">
        <v>1.40492E-3</v>
      </c>
    </row>
    <row r="10365" spans="103:104" x14ac:dyDescent="0.3">
      <c r="CY10365" s="34" t="s">
        <v>11292</v>
      </c>
      <c r="CZ10365" s="35">
        <v>4.2484126250000004E-2</v>
      </c>
    </row>
    <row r="10366" spans="103:104" x14ac:dyDescent="0.3">
      <c r="CY10366" s="34" t="s">
        <v>11293</v>
      </c>
      <c r="CZ10366" s="35">
        <v>0.34795520000000002</v>
      </c>
    </row>
    <row r="10367" spans="103:104" x14ac:dyDescent="0.3">
      <c r="CY10367" s="34" t="s">
        <v>11294</v>
      </c>
      <c r="CZ10367" s="35">
        <v>2.5974690000000003E-3</v>
      </c>
    </row>
    <row r="10368" spans="103:104" x14ac:dyDescent="0.3">
      <c r="CY10368" s="34" t="s">
        <v>11295</v>
      </c>
      <c r="CZ10368" s="35">
        <v>2.59538E-3</v>
      </c>
    </row>
    <row r="10369" spans="103:104" x14ac:dyDescent="0.3">
      <c r="CY10369" s="34" t="s">
        <v>11296</v>
      </c>
      <c r="CZ10369" s="35">
        <v>2.3777039999999999E-2</v>
      </c>
    </row>
    <row r="10370" spans="103:104" x14ac:dyDescent="0.3">
      <c r="CY10370" s="34" t="s">
        <v>11297</v>
      </c>
      <c r="CZ10370" s="35">
        <v>2.3777039999999999E-2</v>
      </c>
    </row>
    <row r="10371" spans="103:104" x14ac:dyDescent="0.3">
      <c r="CY10371" s="34" t="s">
        <v>11298</v>
      </c>
      <c r="CZ10371" s="35">
        <v>2.2174613333333336E-3</v>
      </c>
    </row>
    <row r="10372" spans="103:104" x14ac:dyDescent="0.3">
      <c r="CY10372" s="34" t="s">
        <v>11299</v>
      </c>
      <c r="CZ10372" s="35">
        <v>2.8156597333333332E-3</v>
      </c>
    </row>
    <row r="10373" spans="103:104" x14ac:dyDescent="0.3">
      <c r="CY10373" s="34" t="s">
        <v>11300</v>
      </c>
      <c r="CZ10373" s="35">
        <v>3.4190679999999999E-3</v>
      </c>
    </row>
    <row r="10374" spans="103:104" x14ac:dyDescent="0.3">
      <c r="CY10374" s="34" t="s">
        <v>11301</v>
      </c>
      <c r="CZ10374" s="35">
        <v>2.0549632E-3</v>
      </c>
    </row>
    <row r="10375" spans="103:104" x14ac:dyDescent="0.3">
      <c r="CY10375" s="34" t="s">
        <v>11302</v>
      </c>
      <c r="CZ10375" s="35">
        <v>2.6239648000000001E-2</v>
      </c>
    </row>
    <row r="10376" spans="103:104" x14ac:dyDescent="0.3">
      <c r="CY10376" s="34" t="s">
        <v>11303</v>
      </c>
      <c r="CZ10376" s="35">
        <v>2.6239648000000004E-2</v>
      </c>
    </row>
    <row r="10377" spans="103:104" x14ac:dyDescent="0.3">
      <c r="CY10377" s="34" t="s">
        <v>11304</v>
      </c>
      <c r="CZ10377" s="35">
        <v>2.6239648000000001E-2</v>
      </c>
    </row>
    <row r="10378" spans="103:104" x14ac:dyDescent="0.3">
      <c r="CY10378" s="34" t="s">
        <v>11305</v>
      </c>
      <c r="CZ10378" s="35">
        <v>3.3302704000000002E-2</v>
      </c>
    </row>
    <row r="10379" spans="103:104" x14ac:dyDescent="0.3">
      <c r="CY10379" s="34" t="s">
        <v>11306</v>
      </c>
      <c r="CZ10379" s="35">
        <v>3.9512818000000005E-2</v>
      </c>
    </row>
    <row r="10380" spans="103:104" x14ac:dyDescent="0.3">
      <c r="CY10380" s="34" t="s">
        <v>11307</v>
      </c>
      <c r="CZ10380" s="35">
        <v>3.9512818000000005E-2</v>
      </c>
    </row>
    <row r="10381" spans="103:104" x14ac:dyDescent="0.3">
      <c r="CY10381" s="34" t="s">
        <v>11308</v>
      </c>
      <c r="CZ10381" s="35">
        <v>3.4114560000000004E-4</v>
      </c>
    </row>
    <row r="10382" spans="103:104" x14ac:dyDescent="0.3">
      <c r="CY10382" s="34" t="s">
        <v>11309</v>
      </c>
      <c r="CZ10382" s="35">
        <v>9.2035472000000001E-4</v>
      </c>
    </row>
    <row r="10383" spans="103:104" x14ac:dyDescent="0.3">
      <c r="CY10383" s="34" t="s">
        <v>11310</v>
      </c>
      <c r="CZ10383" s="35">
        <v>1.4332399999999999E-3</v>
      </c>
    </row>
    <row r="10384" spans="103:104" x14ac:dyDescent="0.3">
      <c r="CY10384" s="34" t="s">
        <v>11311</v>
      </c>
      <c r="CZ10384" s="35">
        <v>1.8844501E-3</v>
      </c>
    </row>
    <row r="10385" spans="103:104" x14ac:dyDescent="0.3">
      <c r="CY10385" s="34" t="s">
        <v>11312</v>
      </c>
      <c r="CZ10385" s="35">
        <v>3.0935919999999999E-2</v>
      </c>
    </row>
    <row r="10386" spans="103:104" x14ac:dyDescent="0.3">
      <c r="CY10386" s="34" t="s">
        <v>11313</v>
      </c>
      <c r="CZ10386" s="35">
        <v>4.090328E-2</v>
      </c>
    </row>
    <row r="10387" spans="103:104" x14ac:dyDescent="0.3">
      <c r="CY10387" s="34" t="s">
        <v>11314</v>
      </c>
      <c r="CZ10387" s="35">
        <v>2.9634879999999999E-2</v>
      </c>
    </row>
    <row r="10388" spans="103:104" x14ac:dyDescent="0.3">
      <c r="CY10388" s="34" t="s">
        <v>11315</v>
      </c>
      <c r="CZ10388" s="35">
        <v>6.2231799999999996E-4</v>
      </c>
    </row>
    <row r="10389" spans="103:104" x14ac:dyDescent="0.3">
      <c r="CY10389" s="34" t="s">
        <v>11316</v>
      </c>
      <c r="CZ10389" s="35">
        <v>4.9679440000000002E-3</v>
      </c>
    </row>
    <row r="10390" spans="103:104" x14ac:dyDescent="0.3">
      <c r="CY10390" s="34" t="s">
        <v>11317</v>
      </c>
      <c r="CZ10390" s="35">
        <v>6.2043200000000001E-3</v>
      </c>
    </row>
    <row r="10391" spans="103:104" x14ac:dyDescent="0.3">
      <c r="CY10391" s="34" t="s">
        <v>11318</v>
      </c>
      <c r="CZ10391" s="35">
        <v>0.28686739551020407</v>
      </c>
    </row>
    <row r="10392" spans="103:104" x14ac:dyDescent="0.3">
      <c r="CY10392" s="34" t="s">
        <v>11319</v>
      </c>
      <c r="CZ10392" s="35">
        <v>3.2995616000000005E-3</v>
      </c>
    </row>
    <row r="10393" spans="103:104" x14ac:dyDescent="0.3">
      <c r="CY10393" s="34" t="s">
        <v>11320</v>
      </c>
      <c r="CZ10393" s="35">
        <v>5.4432784000000003E-3</v>
      </c>
    </row>
    <row r="10394" spans="103:104" x14ac:dyDescent="0.3">
      <c r="CY10394" s="34" t="s">
        <v>11321</v>
      </c>
      <c r="CZ10394" s="35">
        <v>3.0605699999999999E-3</v>
      </c>
    </row>
    <row r="10395" spans="103:104" x14ac:dyDescent="0.3">
      <c r="CY10395" s="34" t="s">
        <v>11322</v>
      </c>
      <c r="CZ10395" s="35">
        <v>1.0764131200000001E-2</v>
      </c>
    </row>
    <row r="10396" spans="103:104" x14ac:dyDescent="0.3">
      <c r="CY10396" s="34" t="s">
        <v>11323</v>
      </c>
      <c r="CZ10396" s="35">
        <v>1.6380295999999999E-2</v>
      </c>
    </row>
    <row r="10397" spans="103:104" x14ac:dyDescent="0.3">
      <c r="CY10397" s="34" t="s">
        <v>11324</v>
      </c>
      <c r="CZ10397" s="35">
        <v>4.8019333250000004E-3</v>
      </c>
    </row>
    <row r="10398" spans="103:104" x14ac:dyDescent="0.3">
      <c r="CY10398" s="34" t="s">
        <v>11325</v>
      </c>
      <c r="CZ10398" s="35">
        <v>7.8253127999999991E-2</v>
      </c>
    </row>
    <row r="10399" spans="103:104" x14ac:dyDescent="0.3">
      <c r="CY10399" s="34" t="s">
        <v>11326</v>
      </c>
      <c r="CZ10399" s="35">
        <v>3.4239786750000006E-3</v>
      </c>
    </row>
    <row r="10400" spans="103:104" x14ac:dyDescent="0.3">
      <c r="CY10400" s="34" t="s">
        <v>11327</v>
      </c>
      <c r="CZ10400" s="35">
        <v>0.32753500000000002</v>
      </c>
    </row>
    <row r="10401" spans="103:104" x14ac:dyDescent="0.3">
      <c r="CY10401" s="34" t="s">
        <v>11328</v>
      </c>
      <c r="CZ10401" s="35">
        <v>3.6752E-3</v>
      </c>
    </row>
    <row r="10402" spans="103:104" x14ac:dyDescent="0.3">
      <c r="CY10402" s="34" t="s">
        <v>11329</v>
      </c>
      <c r="CZ10402" s="35">
        <v>0.10614078448</v>
      </c>
    </row>
    <row r="10403" spans="103:104" x14ac:dyDescent="0.3">
      <c r="CY10403" s="34" t="s">
        <v>11330</v>
      </c>
      <c r="CZ10403" s="35">
        <v>0.10614078448</v>
      </c>
    </row>
    <row r="10404" spans="103:104" x14ac:dyDescent="0.3">
      <c r="CY10404" s="34" t="s">
        <v>11331</v>
      </c>
      <c r="CZ10404" s="35">
        <v>1.4968239999999999E-2</v>
      </c>
    </row>
    <row r="10405" spans="103:104" x14ac:dyDescent="0.3">
      <c r="CY10405" s="34" t="s">
        <v>11332</v>
      </c>
      <c r="CZ10405" s="35">
        <v>2.4934479999999998E-4</v>
      </c>
    </row>
    <row r="10406" spans="103:104" x14ac:dyDescent="0.3">
      <c r="CY10406" s="34" t="s">
        <v>11333</v>
      </c>
      <c r="CZ10406" s="35">
        <v>2.1929487999999997E-2</v>
      </c>
    </row>
    <row r="10407" spans="103:104" x14ac:dyDescent="0.3">
      <c r="CY10407" s="34" t="s">
        <v>11334</v>
      </c>
      <c r="CZ10407" s="35">
        <v>5.305264000499999E-3</v>
      </c>
    </row>
    <row r="10408" spans="103:104" x14ac:dyDescent="0.3">
      <c r="CY10408" s="34" t="s">
        <v>11335</v>
      </c>
      <c r="CZ10408" s="35">
        <v>3.3452216000000004E-3</v>
      </c>
    </row>
    <row r="10409" spans="103:104" x14ac:dyDescent="0.3">
      <c r="CY10409" s="34" t="s">
        <v>11336</v>
      </c>
      <c r="CZ10409" s="35">
        <v>6.1888799999999995E-4</v>
      </c>
    </row>
    <row r="10410" spans="103:104" x14ac:dyDescent="0.3">
      <c r="CY10410" s="34" t="s">
        <v>11337</v>
      </c>
      <c r="CZ10410" s="35">
        <v>0.41363475999999999</v>
      </c>
    </row>
    <row r="10411" spans="103:104" x14ac:dyDescent="0.3">
      <c r="CY10411" s="34" t="s">
        <v>11338</v>
      </c>
      <c r="CZ10411" s="35">
        <v>0.19994728000000001</v>
      </c>
    </row>
    <row r="10412" spans="103:104" x14ac:dyDescent="0.3">
      <c r="CY10412" s="34" t="s">
        <v>11339</v>
      </c>
      <c r="CZ10412" s="35">
        <v>3.4691208000000001E-2</v>
      </c>
    </row>
    <row r="10413" spans="103:104" x14ac:dyDescent="0.3">
      <c r="CY10413" s="34" t="s">
        <v>11340</v>
      </c>
      <c r="CZ10413" s="35">
        <v>3.2894919999999998E-3</v>
      </c>
    </row>
    <row r="10414" spans="103:104" x14ac:dyDescent="0.3">
      <c r="CY10414" s="34" t="s">
        <v>11341</v>
      </c>
      <c r="CZ10414" s="35">
        <v>0.19021858999999999</v>
      </c>
    </row>
    <row r="10415" spans="103:104" x14ac:dyDescent="0.3">
      <c r="CY10415" s="34" t="s">
        <v>11342</v>
      </c>
      <c r="CZ10415" s="35">
        <v>5.3233599999999999E-2</v>
      </c>
    </row>
    <row r="10416" spans="103:104" x14ac:dyDescent="0.3">
      <c r="CY10416" s="34" t="s">
        <v>11343</v>
      </c>
      <c r="CZ10416" s="35">
        <v>8.4266400000000002E-4</v>
      </c>
    </row>
    <row r="10417" spans="103:104" x14ac:dyDescent="0.3">
      <c r="CY10417" s="34" t="s">
        <v>11344</v>
      </c>
      <c r="CZ10417" s="35">
        <v>5.5409799999999994E-4</v>
      </c>
    </row>
    <row r="10418" spans="103:104" x14ac:dyDescent="0.3">
      <c r="CY10418" s="34" t="s">
        <v>11345</v>
      </c>
      <c r="CZ10418" s="35">
        <v>4.4358274299999998E-3</v>
      </c>
    </row>
    <row r="10419" spans="103:104" x14ac:dyDescent="0.3">
      <c r="CY10419" s="34" t="s">
        <v>11346</v>
      </c>
      <c r="CZ10419" s="35">
        <v>3.55242155835E-3</v>
      </c>
    </row>
    <row r="10420" spans="103:104" x14ac:dyDescent="0.3">
      <c r="CY10420" s="34" t="s">
        <v>11347</v>
      </c>
      <c r="CZ10420" s="35">
        <v>6.4561800000000015E-3</v>
      </c>
    </row>
    <row r="10421" spans="103:104" x14ac:dyDescent="0.3">
      <c r="CY10421" s="34" t="s">
        <v>11348</v>
      </c>
      <c r="CZ10421" s="35">
        <v>3.5350806570000004E-2</v>
      </c>
    </row>
    <row r="10422" spans="103:104" x14ac:dyDescent="0.3">
      <c r="CY10422" s="34" t="s">
        <v>11349</v>
      </c>
      <c r="CZ10422" s="35">
        <v>9.290043999999999E-3</v>
      </c>
    </row>
    <row r="10423" spans="103:104" x14ac:dyDescent="0.3">
      <c r="CY10423" s="34" t="s">
        <v>11350</v>
      </c>
      <c r="CZ10423" s="35">
        <v>1.2138894400000001E-3</v>
      </c>
    </row>
    <row r="10424" spans="103:104" x14ac:dyDescent="0.3">
      <c r="CY10424" s="34" t="s">
        <v>11351</v>
      </c>
      <c r="CZ10424" s="35">
        <v>5.1936200000000002E-2</v>
      </c>
    </row>
    <row r="10425" spans="103:104" x14ac:dyDescent="0.3">
      <c r="CY10425" s="34" t="s">
        <v>11352</v>
      </c>
      <c r="CZ10425" s="35">
        <v>5.1936200000000002E-2</v>
      </c>
    </row>
    <row r="10426" spans="103:104" x14ac:dyDescent="0.3">
      <c r="CY10426" s="34" t="s">
        <v>11353</v>
      </c>
      <c r="CZ10426" s="35">
        <v>1.0071799999999999E-3</v>
      </c>
    </row>
    <row r="10427" spans="103:104" x14ac:dyDescent="0.3">
      <c r="CY10427" s="34" t="s">
        <v>11354</v>
      </c>
      <c r="CZ10427" s="35">
        <v>8.3912120000000003E-3</v>
      </c>
    </row>
    <row r="10428" spans="103:104" x14ac:dyDescent="0.3">
      <c r="CY10428" s="34" t="s">
        <v>11355</v>
      </c>
      <c r="CZ10428" s="35">
        <v>5.2620215999999989E-3</v>
      </c>
    </row>
    <row r="10429" spans="103:104" x14ac:dyDescent="0.3">
      <c r="CY10429" s="34" t="s">
        <v>11356</v>
      </c>
      <c r="CZ10429" s="35">
        <v>3.285013333333333E-4</v>
      </c>
    </row>
    <row r="10430" spans="103:104" x14ac:dyDescent="0.3">
      <c r="CY10430" s="34" t="s">
        <v>11357</v>
      </c>
      <c r="CZ10430" s="35">
        <v>3.7199274666666667E-4</v>
      </c>
    </row>
    <row r="10431" spans="103:104" x14ac:dyDescent="0.3">
      <c r="CY10431" s="34" t="s">
        <v>11358</v>
      </c>
      <c r="CZ10431" s="35">
        <v>5.5781699999999995E-3</v>
      </c>
    </row>
    <row r="10432" spans="103:104" x14ac:dyDescent="0.3">
      <c r="CY10432" s="34" t="s">
        <v>11359</v>
      </c>
      <c r="CZ10432" s="35">
        <v>1.175588E-2</v>
      </c>
    </row>
    <row r="10433" spans="103:104" x14ac:dyDescent="0.3">
      <c r="CY10433" s="34" t="s">
        <v>11360</v>
      </c>
      <c r="CZ10433" s="35">
        <v>1.4196633299999999E-2</v>
      </c>
    </row>
    <row r="10434" spans="103:104" x14ac:dyDescent="0.3">
      <c r="CY10434" s="34" t="s">
        <v>11361</v>
      </c>
      <c r="CZ10434" s="35">
        <v>4.6018895999999998E-3</v>
      </c>
    </row>
    <row r="10435" spans="103:104" x14ac:dyDescent="0.3">
      <c r="CY10435" s="34" t="s">
        <v>11362</v>
      </c>
      <c r="CZ10435" s="35">
        <v>2.1186305999999995E-2</v>
      </c>
    </row>
    <row r="10436" spans="103:104" x14ac:dyDescent="0.3">
      <c r="CY10436" s="34" t="s">
        <v>11363</v>
      </c>
      <c r="CZ10436" s="35">
        <v>2.1288535192E-2</v>
      </c>
    </row>
    <row r="10437" spans="103:104" x14ac:dyDescent="0.3">
      <c r="CY10437" s="34" t="s">
        <v>11364</v>
      </c>
      <c r="CZ10437" s="35">
        <v>0.17837432000000003</v>
      </c>
    </row>
    <row r="10438" spans="103:104" x14ac:dyDescent="0.3">
      <c r="CY10438" s="34" t="s">
        <v>11365</v>
      </c>
      <c r="CZ10438" s="35">
        <v>0.13172432000000001</v>
      </c>
    </row>
    <row r="10439" spans="103:104" x14ac:dyDescent="0.3">
      <c r="CY10439" s="34" t="s">
        <v>11366</v>
      </c>
      <c r="CZ10439" s="35">
        <v>0.16567800000000002</v>
      </c>
    </row>
    <row r="10440" spans="103:104" x14ac:dyDescent="0.3">
      <c r="CY10440" s="34" t="s">
        <v>11367</v>
      </c>
      <c r="CZ10440" s="35">
        <v>0.11902800000000001</v>
      </c>
    </row>
    <row r="10441" spans="103:104" x14ac:dyDescent="0.3">
      <c r="CY10441" s="34" t="s">
        <v>11368</v>
      </c>
      <c r="CZ10441" s="35">
        <v>0.14196136000000004</v>
      </c>
    </row>
    <row r="10442" spans="103:104" x14ac:dyDescent="0.3">
      <c r="CY10442" s="34" t="s">
        <v>11369</v>
      </c>
      <c r="CZ10442" s="35">
        <v>0.30455424000000003</v>
      </c>
    </row>
    <row r="10443" spans="103:104" x14ac:dyDescent="0.3">
      <c r="CY10443" s="34" t="s">
        <v>11370</v>
      </c>
      <c r="CZ10443" s="35">
        <v>0.25041314287499999</v>
      </c>
    </row>
    <row r="10444" spans="103:104" x14ac:dyDescent="0.3">
      <c r="CY10444" s="34" t="s">
        <v>11371</v>
      </c>
      <c r="CZ10444" s="35">
        <v>0.23299809999999999</v>
      </c>
    </row>
    <row r="10445" spans="103:104" x14ac:dyDescent="0.3">
      <c r="CY10445" s="34" t="s">
        <v>11372</v>
      </c>
      <c r="CZ10445" s="35">
        <v>0.16735400000000003</v>
      </c>
    </row>
    <row r="10446" spans="103:104" x14ac:dyDescent="0.3">
      <c r="CY10446" s="34" t="s">
        <v>11373</v>
      </c>
      <c r="CZ10446" s="35">
        <v>0.20284433999999996</v>
      </c>
    </row>
    <row r="10447" spans="103:104" x14ac:dyDescent="0.3">
      <c r="CY10447" s="34" t="s">
        <v>11374</v>
      </c>
      <c r="CZ10447" s="35">
        <v>3.8680440000000003E-2</v>
      </c>
    </row>
    <row r="10448" spans="103:104" x14ac:dyDescent="0.3">
      <c r="CY10448" s="34" t="s">
        <v>11375</v>
      </c>
      <c r="CZ10448" s="35">
        <v>0.10174800000000001</v>
      </c>
    </row>
    <row r="10449" spans="103:104" x14ac:dyDescent="0.3">
      <c r="CY10449" s="34" t="s">
        <v>11376</v>
      </c>
      <c r="CZ10449" s="35">
        <v>0.28159772</v>
      </c>
    </row>
    <row r="10450" spans="103:104" x14ac:dyDescent="0.3">
      <c r="CY10450" s="34" t="s">
        <v>11377</v>
      </c>
      <c r="CZ10450" s="35">
        <v>2.1350463999999998</v>
      </c>
    </row>
    <row r="10451" spans="103:104" x14ac:dyDescent="0.3">
      <c r="CY10451" s="34" t="s">
        <v>11378</v>
      </c>
      <c r="CZ10451" s="35">
        <v>2.0917919999999999E-3</v>
      </c>
    </row>
    <row r="10452" spans="103:104" x14ac:dyDescent="0.3">
      <c r="CY10452" s="34" t="s">
        <v>11379</v>
      </c>
      <c r="CZ10452" s="35">
        <v>1.1169327999999999E-2</v>
      </c>
    </row>
    <row r="10453" spans="103:104" x14ac:dyDescent="0.3">
      <c r="CY10453" s="34" t="s">
        <v>11380</v>
      </c>
      <c r="CZ10453" s="35">
        <v>1.1169327999999999E-2</v>
      </c>
    </row>
    <row r="10454" spans="103:104" x14ac:dyDescent="0.3">
      <c r="CY10454" s="34" t="s">
        <v>11381</v>
      </c>
      <c r="CZ10454" s="35">
        <v>2.0903440000000002E-2</v>
      </c>
    </row>
    <row r="10455" spans="103:104" x14ac:dyDescent="0.3">
      <c r="CY10455" s="34" t="s">
        <v>11382</v>
      </c>
      <c r="CZ10455" s="35">
        <v>4.5596961665000005E-2</v>
      </c>
    </row>
    <row r="10456" spans="103:104" x14ac:dyDescent="0.3">
      <c r="CY10456" s="34" t="s">
        <v>11383</v>
      </c>
      <c r="CZ10456" s="35">
        <v>2.0260414687999998E-3</v>
      </c>
    </row>
    <row r="10457" spans="103:104" x14ac:dyDescent="0.3">
      <c r="CY10457" s="34" t="s">
        <v>11384</v>
      </c>
      <c r="CZ10457" s="35">
        <v>5.6904289999999996E-2</v>
      </c>
    </row>
    <row r="10458" spans="103:104" x14ac:dyDescent="0.3">
      <c r="CY10458" s="34" t="s">
        <v>11385</v>
      </c>
      <c r="CZ10458" s="35">
        <v>1.6255839999999997E-2</v>
      </c>
    </row>
    <row r="10459" spans="103:104" x14ac:dyDescent="0.3">
      <c r="CY10459" s="34" t="s">
        <v>11386</v>
      </c>
      <c r="CZ10459" s="35">
        <v>2.2069959999999996E-2</v>
      </c>
    </row>
    <row r="10460" spans="103:104" x14ac:dyDescent="0.3">
      <c r="CY10460" s="34" t="s">
        <v>11387</v>
      </c>
      <c r="CZ10460" s="35">
        <v>2.58982E-2</v>
      </c>
    </row>
    <row r="10461" spans="103:104" x14ac:dyDescent="0.3">
      <c r="CY10461" s="34" t="s">
        <v>11388</v>
      </c>
      <c r="CZ10461" s="35">
        <v>2.8655759999999999E-2</v>
      </c>
    </row>
    <row r="10462" spans="103:104" x14ac:dyDescent="0.3">
      <c r="CY10462" s="34" t="s">
        <v>11389</v>
      </c>
      <c r="CZ10462" s="35">
        <v>4.9824569999999999E-2</v>
      </c>
    </row>
    <row r="10463" spans="103:104" x14ac:dyDescent="0.3">
      <c r="CY10463" s="34" t="s">
        <v>11390</v>
      </c>
      <c r="CZ10463" s="35">
        <v>4.5572399999999992E-2</v>
      </c>
    </row>
    <row r="10464" spans="103:104" x14ac:dyDescent="0.3">
      <c r="CY10464" s="34" t="s">
        <v>11391</v>
      </c>
      <c r="CZ10464" s="35">
        <v>2.7314488000000005E-2</v>
      </c>
    </row>
    <row r="10465" spans="103:104" x14ac:dyDescent="0.3">
      <c r="CY10465" s="34" t="s">
        <v>11392</v>
      </c>
      <c r="CZ10465" s="35">
        <v>1.4940901120000002E-3</v>
      </c>
    </row>
    <row r="10466" spans="103:104" x14ac:dyDescent="0.3">
      <c r="CY10466" s="34" t="s">
        <v>11393</v>
      </c>
      <c r="CZ10466" s="35">
        <v>1.379428E-3</v>
      </c>
    </row>
    <row r="10467" spans="103:104" x14ac:dyDescent="0.3">
      <c r="CY10467" s="34" t="s">
        <v>11394</v>
      </c>
      <c r="CZ10467" s="35">
        <v>2.4590965333333333E-2</v>
      </c>
    </row>
    <row r="10468" spans="103:104" x14ac:dyDescent="0.3">
      <c r="CY10468" s="34" t="s">
        <v>11395</v>
      </c>
      <c r="CZ10468" s="35">
        <v>1.0749524E-3</v>
      </c>
    </row>
    <row r="10469" spans="103:104" x14ac:dyDescent="0.3">
      <c r="CY10469" s="34" t="s">
        <v>11396</v>
      </c>
      <c r="CZ10469" s="35">
        <v>2.4807573333333336E-2</v>
      </c>
    </row>
    <row r="10470" spans="103:104" x14ac:dyDescent="0.3">
      <c r="CY10470" s="34" t="s">
        <v>11397</v>
      </c>
      <c r="CZ10470" s="35">
        <v>6.3839000000000007E-2</v>
      </c>
    </row>
    <row r="10471" spans="103:104" x14ac:dyDescent="0.3">
      <c r="CY10471" s="34" t="s">
        <v>11398</v>
      </c>
      <c r="CZ10471" s="35">
        <v>0.13382059999999998</v>
      </c>
    </row>
    <row r="10472" spans="103:104" x14ac:dyDescent="0.3">
      <c r="CY10472" s="34" t="s">
        <v>11399</v>
      </c>
      <c r="CZ10472" s="35">
        <v>0.18268152000000001</v>
      </c>
    </row>
    <row r="10473" spans="103:104" x14ac:dyDescent="0.3">
      <c r="CY10473" s="34" t="s">
        <v>11400</v>
      </c>
      <c r="CZ10473" s="35">
        <v>9.4135104000000001E-3</v>
      </c>
    </row>
    <row r="10474" spans="103:104" x14ac:dyDescent="0.3">
      <c r="CY10474" s="34" t="s">
        <v>11401</v>
      </c>
      <c r="CZ10474" s="35">
        <v>8.4905480000000005E-3</v>
      </c>
    </row>
    <row r="10475" spans="103:104" x14ac:dyDescent="0.3">
      <c r="CY10475" s="34" t="s">
        <v>11402</v>
      </c>
      <c r="CZ10475" s="35">
        <v>8.301155555555554E-3</v>
      </c>
    </row>
    <row r="10476" spans="103:104" x14ac:dyDescent="0.3">
      <c r="CY10476" s="34" t="s">
        <v>11403</v>
      </c>
      <c r="CZ10476" s="35">
        <v>9.3041777777777782E-3</v>
      </c>
    </row>
    <row r="10477" spans="103:104" x14ac:dyDescent="0.3">
      <c r="CY10477" s="34" t="s">
        <v>11404</v>
      </c>
      <c r="CZ10477" s="35">
        <v>2.4960246399999997E-2</v>
      </c>
    </row>
    <row r="10478" spans="103:104" x14ac:dyDescent="0.3">
      <c r="CY10478" s="34" t="s">
        <v>11405</v>
      </c>
      <c r="CZ10478" s="35">
        <v>5.760690365079364E-3</v>
      </c>
    </row>
    <row r="10479" spans="103:104" x14ac:dyDescent="0.3">
      <c r="CY10479" s="34" t="s">
        <v>11406</v>
      </c>
      <c r="CZ10479" s="35">
        <v>0.13659450666666667</v>
      </c>
    </row>
    <row r="10480" spans="103:104" x14ac:dyDescent="0.3">
      <c r="CY10480" s="34" t="s">
        <v>11407</v>
      </c>
      <c r="CZ10480" s="35">
        <v>6.716853335E-3</v>
      </c>
    </row>
    <row r="10481" spans="103:104" x14ac:dyDescent="0.3">
      <c r="CY10481" s="34" t="s">
        <v>11408</v>
      </c>
      <c r="CZ10481" s="35">
        <v>6.123013335E-3</v>
      </c>
    </row>
    <row r="10482" spans="103:104" x14ac:dyDescent="0.3">
      <c r="CY10482" s="34" t="s">
        <v>11409</v>
      </c>
      <c r="CZ10482" s="35">
        <v>0.17594919999999997</v>
      </c>
    </row>
    <row r="10483" spans="103:104" x14ac:dyDescent="0.3">
      <c r="CY10483" s="34" t="s">
        <v>11410</v>
      </c>
      <c r="CZ10483" s="35">
        <v>0.22460346699999997</v>
      </c>
    </row>
    <row r="10484" spans="103:104" x14ac:dyDescent="0.3">
      <c r="CY10484" s="34" t="s">
        <v>11411</v>
      </c>
      <c r="CZ10484" s="35">
        <v>2.680988E-3</v>
      </c>
    </row>
    <row r="10485" spans="103:104" x14ac:dyDescent="0.3">
      <c r="CY10485" s="34" t="s">
        <v>11412</v>
      </c>
      <c r="CZ10485" s="35">
        <v>2.4688639999999999E-3</v>
      </c>
    </row>
    <row r="10486" spans="103:104" x14ac:dyDescent="0.3">
      <c r="CY10486" s="34" t="s">
        <v>11413</v>
      </c>
      <c r="CZ10486" s="35">
        <v>0.15877239999167503</v>
      </c>
    </row>
    <row r="10487" spans="103:104" x14ac:dyDescent="0.3">
      <c r="CY10487" s="34" t="s">
        <v>11414</v>
      </c>
      <c r="CZ10487" s="35">
        <v>0.19305056665624998</v>
      </c>
    </row>
    <row r="10488" spans="103:104" x14ac:dyDescent="0.3">
      <c r="CY10488" s="34" t="s">
        <v>11415</v>
      </c>
      <c r="CZ10488" s="35">
        <v>7.6389120000000003E-3</v>
      </c>
    </row>
    <row r="10489" spans="103:104" x14ac:dyDescent="0.3">
      <c r="CY10489" s="34" t="s">
        <v>11416</v>
      </c>
      <c r="CZ10489" s="35">
        <v>2.3167912093000002E-2</v>
      </c>
    </row>
    <row r="10490" spans="103:104" x14ac:dyDescent="0.3">
      <c r="CY10490" s="34" t="s">
        <v>11417</v>
      </c>
      <c r="CZ10490" s="35">
        <v>2.6620959999999996E-3</v>
      </c>
    </row>
    <row r="10491" spans="103:104" x14ac:dyDescent="0.3">
      <c r="CY10491" s="34" t="s">
        <v>11418</v>
      </c>
      <c r="CZ10491" s="35">
        <v>1.1552495360000001E-3</v>
      </c>
    </row>
    <row r="10492" spans="103:104" x14ac:dyDescent="0.3">
      <c r="CY10492" s="34" t="s">
        <v>11419</v>
      </c>
      <c r="CZ10492" s="35">
        <v>1.9655650000000004E-2</v>
      </c>
    </row>
    <row r="10493" spans="103:104" x14ac:dyDescent="0.3">
      <c r="CY10493" s="34" t="s">
        <v>11420</v>
      </c>
      <c r="CZ10493" s="35">
        <v>0.37493799999999999</v>
      </c>
    </row>
    <row r="10494" spans="103:104" x14ac:dyDescent="0.3">
      <c r="CY10494" s="34" t="s">
        <v>11421</v>
      </c>
      <c r="CZ10494" s="35">
        <v>3.6261339999999996E-3</v>
      </c>
    </row>
    <row r="10495" spans="103:104" x14ac:dyDescent="0.3">
      <c r="CY10495" s="34" t="s">
        <v>11422</v>
      </c>
      <c r="CZ10495" s="35">
        <v>3.2982063999999994E-3</v>
      </c>
    </row>
    <row r="10496" spans="103:104" x14ac:dyDescent="0.3">
      <c r="CY10496" s="34" t="s">
        <v>11423</v>
      </c>
      <c r="CZ10496" s="35">
        <v>4.7796565249999999E-2</v>
      </c>
    </row>
    <row r="10497" spans="103:104" x14ac:dyDescent="0.3">
      <c r="CY10497" s="34" t="s">
        <v>11424</v>
      </c>
      <c r="CZ10497" s="35">
        <v>3.0366147E-2</v>
      </c>
    </row>
    <row r="10498" spans="103:104" x14ac:dyDescent="0.3">
      <c r="CY10498" s="34" t="s">
        <v>11425</v>
      </c>
      <c r="CZ10498" s="35">
        <v>6.616368259999999E-4</v>
      </c>
    </row>
    <row r="10499" spans="103:104" x14ac:dyDescent="0.3">
      <c r="CY10499" s="34" t="s">
        <v>11426</v>
      </c>
      <c r="CZ10499" s="35">
        <v>6.7567173200000002E-3</v>
      </c>
    </row>
    <row r="10500" spans="103:104" x14ac:dyDescent="0.3">
      <c r="CY10500" s="34" t="s">
        <v>11427</v>
      </c>
      <c r="CZ10500" s="35">
        <v>7.1465247999999999E-3</v>
      </c>
    </row>
    <row r="10501" spans="103:104" x14ac:dyDescent="0.3">
      <c r="CY10501" s="34" t="s">
        <v>11428</v>
      </c>
      <c r="CZ10501" s="35">
        <v>6.6177915199999997E-4</v>
      </c>
    </row>
    <row r="10502" spans="103:104" x14ac:dyDescent="0.3">
      <c r="CY10502" s="34" t="s">
        <v>11429</v>
      </c>
      <c r="CZ10502" s="35">
        <v>3.4391264E-3</v>
      </c>
    </row>
    <row r="10503" spans="103:104" x14ac:dyDescent="0.3">
      <c r="CY10503" s="34" t="s">
        <v>11430</v>
      </c>
      <c r="CZ10503" s="35">
        <v>0.15941880000000003</v>
      </c>
    </row>
    <row r="10504" spans="103:104" x14ac:dyDescent="0.3">
      <c r="CY10504" s="34" t="s">
        <v>11431</v>
      </c>
      <c r="CZ10504" s="35">
        <v>1.7991331506849315E-2</v>
      </c>
    </row>
    <row r="10505" spans="103:104" x14ac:dyDescent="0.3">
      <c r="CY10505" s="34" t="s">
        <v>11432</v>
      </c>
      <c r="CZ10505" s="35">
        <v>1.503430289017341E-2</v>
      </c>
    </row>
    <row r="10506" spans="103:104" x14ac:dyDescent="0.3">
      <c r="CY10506" s="34" t="s">
        <v>11433</v>
      </c>
      <c r="CZ10506" s="35">
        <v>1.4028772384034518E-2</v>
      </c>
    </row>
    <row r="10507" spans="103:104" x14ac:dyDescent="0.3">
      <c r="CY10507" s="34" t="s">
        <v>11434</v>
      </c>
      <c r="CZ10507" s="35">
        <v>1.4290848351648348E-2</v>
      </c>
    </row>
    <row r="10508" spans="103:104" x14ac:dyDescent="0.3">
      <c r="CY10508" s="34" t="s">
        <v>11435</v>
      </c>
      <c r="CZ10508" s="35">
        <v>1.6255840000000001E-2</v>
      </c>
    </row>
    <row r="10509" spans="103:104" x14ac:dyDescent="0.3">
      <c r="CY10509" s="34" t="s">
        <v>11436</v>
      </c>
      <c r="CZ10509" s="35">
        <v>2.2792239999999998E-2</v>
      </c>
    </row>
    <row r="10510" spans="103:104" x14ac:dyDescent="0.3">
      <c r="CY10510" s="34" t="s">
        <v>11437</v>
      </c>
      <c r="CZ10510" s="35">
        <v>2.0256945454545455E-2</v>
      </c>
    </row>
    <row r="10511" spans="103:104" x14ac:dyDescent="0.3">
      <c r="CY10511" s="34" t="s">
        <v>11438</v>
      </c>
      <c r="CZ10511" s="35">
        <v>2.2282639999999999E-2</v>
      </c>
    </row>
    <row r="10512" spans="103:104" x14ac:dyDescent="0.3">
      <c r="CY10512" s="34" t="s">
        <v>11439</v>
      </c>
      <c r="CZ10512" s="35">
        <v>2.2282639999999999E-2</v>
      </c>
    </row>
    <row r="10513" spans="103:104" x14ac:dyDescent="0.3">
      <c r="CY10513" s="34" t="s">
        <v>11440</v>
      </c>
      <c r="CZ10513" s="35">
        <v>2.0256945454545452E-2</v>
      </c>
    </row>
    <row r="10514" spans="103:104" x14ac:dyDescent="0.3">
      <c r="CY10514" s="34" t="s">
        <v>11441</v>
      </c>
      <c r="CZ10514" s="35">
        <v>2.2282639999999999E-2</v>
      </c>
    </row>
    <row r="10515" spans="103:104" x14ac:dyDescent="0.3">
      <c r="CY10515" s="34" t="s">
        <v>11442</v>
      </c>
      <c r="CZ10515" s="35">
        <v>2.3737163636363641E-2</v>
      </c>
    </row>
    <row r="10516" spans="103:104" x14ac:dyDescent="0.3">
      <c r="CY10516" s="34" t="s">
        <v>11443</v>
      </c>
      <c r="CZ10516" s="35">
        <v>2.3737163636363641E-2</v>
      </c>
    </row>
    <row r="10517" spans="103:104" x14ac:dyDescent="0.3">
      <c r="CY10517" s="34" t="s">
        <v>11444</v>
      </c>
      <c r="CZ10517" s="35">
        <v>2.3737163636363641E-2</v>
      </c>
    </row>
    <row r="10518" spans="103:104" x14ac:dyDescent="0.3">
      <c r="CY10518" s="34" t="s">
        <v>11445</v>
      </c>
      <c r="CZ10518" s="35">
        <v>2.3737163636363637E-2</v>
      </c>
    </row>
    <row r="10519" spans="103:104" x14ac:dyDescent="0.3">
      <c r="CY10519" s="34" t="s">
        <v>11446</v>
      </c>
      <c r="CZ10519" s="35">
        <v>2.3737163636363641E-2</v>
      </c>
    </row>
    <row r="10520" spans="103:104" x14ac:dyDescent="0.3">
      <c r="CY10520" s="34" t="s">
        <v>11447</v>
      </c>
      <c r="CZ10520" s="35">
        <v>2.3737163636363641E-2</v>
      </c>
    </row>
    <row r="10521" spans="103:104" x14ac:dyDescent="0.3">
      <c r="CY10521" s="34" t="s">
        <v>11448</v>
      </c>
      <c r="CZ10521" s="35">
        <v>2.3737163636363641E-2</v>
      </c>
    </row>
    <row r="10522" spans="103:104" x14ac:dyDescent="0.3">
      <c r="CY10522" s="34" t="s">
        <v>11449</v>
      </c>
      <c r="CZ10522" s="35">
        <v>2.7386960000000002E-2</v>
      </c>
    </row>
    <row r="10523" spans="103:104" x14ac:dyDescent="0.3">
      <c r="CY10523" s="34" t="s">
        <v>11450</v>
      </c>
      <c r="CZ10523" s="35">
        <v>2.1346397502601457E-2</v>
      </c>
    </row>
    <row r="10524" spans="103:104" x14ac:dyDescent="0.3">
      <c r="CY10524" s="34" t="s">
        <v>11451</v>
      </c>
      <c r="CZ10524" s="35">
        <v>2.568552E-2</v>
      </c>
    </row>
    <row r="10525" spans="103:104" x14ac:dyDescent="0.3">
      <c r="CY10525" s="34" t="s">
        <v>11452</v>
      </c>
      <c r="CZ10525" s="35">
        <v>2.568552E-2</v>
      </c>
    </row>
    <row r="10526" spans="103:104" x14ac:dyDescent="0.3">
      <c r="CY10526" s="34" t="s">
        <v>11453</v>
      </c>
      <c r="CZ10526" s="35">
        <v>2.568552E-2</v>
      </c>
    </row>
    <row r="10527" spans="103:104" x14ac:dyDescent="0.3">
      <c r="CY10527" s="34" t="s">
        <v>11454</v>
      </c>
      <c r="CZ10527" s="35">
        <v>2.568552E-2</v>
      </c>
    </row>
    <row r="10528" spans="103:104" x14ac:dyDescent="0.3">
      <c r="CY10528" s="34" t="s">
        <v>11455</v>
      </c>
      <c r="CZ10528" s="35">
        <v>2.568552E-2</v>
      </c>
    </row>
    <row r="10529" spans="103:104" x14ac:dyDescent="0.3">
      <c r="CY10529" s="34" t="s">
        <v>11456</v>
      </c>
      <c r="CZ10529" s="35">
        <v>2.2282639999999999E-2</v>
      </c>
    </row>
    <row r="10530" spans="103:104" x14ac:dyDescent="0.3">
      <c r="CY10530" s="34" t="s">
        <v>11457</v>
      </c>
      <c r="CZ10530" s="35">
        <v>2.2282639999999999E-2</v>
      </c>
    </row>
    <row r="10531" spans="103:104" x14ac:dyDescent="0.3">
      <c r="CY10531" s="34" t="s">
        <v>11458</v>
      </c>
      <c r="CZ10531" s="35">
        <v>2.2282639999999999E-2</v>
      </c>
    </row>
    <row r="10532" spans="103:104" x14ac:dyDescent="0.3">
      <c r="CY10532" s="34" t="s">
        <v>11459</v>
      </c>
      <c r="CZ10532" s="35">
        <v>2.2282639999999999E-2</v>
      </c>
    </row>
    <row r="10533" spans="103:104" x14ac:dyDescent="0.3">
      <c r="CY10533" s="34" t="s">
        <v>11460</v>
      </c>
      <c r="CZ10533" s="35">
        <v>2.8243400000000002E-2</v>
      </c>
    </row>
    <row r="10534" spans="103:104" x14ac:dyDescent="0.3">
      <c r="CY10534" s="34" t="s">
        <v>11461</v>
      </c>
      <c r="CZ10534" s="35">
        <v>2.8243400000000002E-2</v>
      </c>
    </row>
    <row r="10535" spans="103:104" x14ac:dyDescent="0.3">
      <c r="CY10535" s="34" t="s">
        <v>11462</v>
      </c>
      <c r="CZ10535" s="35">
        <v>2.8243400000000002E-2</v>
      </c>
    </row>
    <row r="10536" spans="103:104" x14ac:dyDescent="0.3">
      <c r="CY10536" s="34" t="s">
        <v>11463</v>
      </c>
      <c r="CZ10536" s="35">
        <v>2.8243400000000002E-2</v>
      </c>
    </row>
    <row r="10537" spans="103:104" x14ac:dyDescent="0.3">
      <c r="CY10537" s="34" t="s">
        <v>11464</v>
      </c>
      <c r="CZ10537" s="35">
        <v>2.8243400000000002E-2</v>
      </c>
    </row>
    <row r="10538" spans="103:104" x14ac:dyDescent="0.3">
      <c r="CY10538" s="34" t="s">
        <v>11465</v>
      </c>
      <c r="CZ10538" s="35">
        <v>2.8243400000000002E-2</v>
      </c>
    </row>
    <row r="10539" spans="103:104" x14ac:dyDescent="0.3">
      <c r="CY10539" s="34" t="s">
        <v>11466</v>
      </c>
      <c r="CZ10539" s="35">
        <v>4.9824569999999992E-2</v>
      </c>
    </row>
    <row r="10540" spans="103:104" x14ac:dyDescent="0.3">
      <c r="CY10540" s="34" t="s">
        <v>11467</v>
      </c>
      <c r="CZ10540" s="35">
        <v>4.9824569999999992E-2</v>
      </c>
    </row>
    <row r="10541" spans="103:104" x14ac:dyDescent="0.3">
      <c r="CY10541" s="34" t="s">
        <v>11468</v>
      </c>
      <c r="CZ10541" s="35">
        <v>4.9824569999999992E-2</v>
      </c>
    </row>
    <row r="10542" spans="103:104" x14ac:dyDescent="0.3">
      <c r="CY10542" s="34" t="s">
        <v>11469</v>
      </c>
      <c r="CZ10542" s="35">
        <v>4.9824569999999992E-2</v>
      </c>
    </row>
    <row r="10543" spans="103:104" x14ac:dyDescent="0.3">
      <c r="CY10543" s="34" t="s">
        <v>11470</v>
      </c>
      <c r="CZ10543" s="35">
        <v>4.9824569999999992E-2</v>
      </c>
    </row>
    <row r="10544" spans="103:104" x14ac:dyDescent="0.3">
      <c r="CY10544" s="34" t="s">
        <v>11471</v>
      </c>
      <c r="CZ10544" s="35">
        <v>4.9824569999999992E-2</v>
      </c>
    </row>
    <row r="10545" spans="103:104" x14ac:dyDescent="0.3">
      <c r="CY10545" s="34" t="s">
        <v>11472</v>
      </c>
      <c r="CZ10545" s="35">
        <v>4.9824569999999992E-2</v>
      </c>
    </row>
    <row r="10546" spans="103:104" x14ac:dyDescent="0.3">
      <c r="CY10546" s="34" t="s">
        <v>11473</v>
      </c>
      <c r="CZ10546" s="35">
        <v>4.749119999999999E-2</v>
      </c>
    </row>
    <row r="10547" spans="103:104" x14ac:dyDescent="0.3">
      <c r="CY10547" s="34" t="s">
        <v>11474</v>
      </c>
      <c r="CZ10547" s="35">
        <v>4.749119999999999E-2</v>
      </c>
    </row>
    <row r="10548" spans="103:104" x14ac:dyDescent="0.3">
      <c r="CY10548" s="34" t="s">
        <v>11475</v>
      </c>
      <c r="CZ10548" s="35">
        <v>4.749119999999999E-2</v>
      </c>
    </row>
    <row r="10549" spans="103:104" x14ac:dyDescent="0.3">
      <c r="CY10549" s="34" t="s">
        <v>11476</v>
      </c>
      <c r="CZ10549" s="35">
        <v>4.749119999999999E-2</v>
      </c>
    </row>
    <row r="10550" spans="103:104" x14ac:dyDescent="0.3">
      <c r="CY10550" s="34" t="s">
        <v>11477</v>
      </c>
      <c r="CZ10550" s="35">
        <v>4.749119999999999E-2</v>
      </c>
    </row>
    <row r="10551" spans="103:104" x14ac:dyDescent="0.3">
      <c r="CY10551" s="34" t="s">
        <v>11478</v>
      </c>
      <c r="CZ10551" s="35">
        <v>4.749119999999999E-2</v>
      </c>
    </row>
    <row r="10552" spans="103:104" x14ac:dyDescent="0.3">
      <c r="CY10552" s="34" t="s">
        <v>11479</v>
      </c>
      <c r="CZ10552" s="35">
        <v>4.749119999999999E-2</v>
      </c>
    </row>
    <row r="10553" spans="103:104" x14ac:dyDescent="0.3">
      <c r="CY10553" s="34" t="s">
        <v>11480</v>
      </c>
      <c r="CZ10553" s="35">
        <v>4.4804879999999991E-2</v>
      </c>
    </row>
    <row r="10554" spans="103:104" x14ac:dyDescent="0.3">
      <c r="CY10554" s="34" t="s">
        <v>11481</v>
      </c>
      <c r="CZ10554" s="35">
        <v>4.4804879999999991E-2</v>
      </c>
    </row>
    <row r="10555" spans="103:104" x14ac:dyDescent="0.3">
      <c r="CY10555" s="34" t="s">
        <v>11482</v>
      </c>
      <c r="CZ10555" s="35">
        <v>4.4804879999999991E-2</v>
      </c>
    </row>
    <row r="10556" spans="103:104" x14ac:dyDescent="0.3">
      <c r="CY10556" s="34" t="s">
        <v>11483</v>
      </c>
      <c r="CZ10556" s="35">
        <v>4.4804879999999991E-2</v>
      </c>
    </row>
    <row r="10557" spans="103:104" x14ac:dyDescent="0.3">
      <c r="CY10557" s="34" t="s">
        <v>11484</v>
      </c>
      <c r="CZ10557" s="35">
        <v>4.4804879999999991E-2</v>
      </c>
    </row>
    <row r="10558" spans="103:104" x14ac:dyDescent="0.3">
      <c r="CY10558" s="34" t="s">
        <v>11485</v>
      </c>
      <c r="CZ10558" s="35">
        <v>3.9048479999999997E-2</v>
      </c>
    </row>
    <row r="10559" spans="103:104" x14ac:dyDescent="0.3">
      <c r="CY10559" s="34" t="s">
        <v>11486</v>
      </c>
      <c r="CZ10559" s="35">
        <v>3.9048479999999997E-2</v>
      </c>
    </row>
    <row r="10560" spans="103:104" x14ac:dyDescent="0.3">
      <c r="CY10560" s="34" t="s">
        <v>11487</v>
      </c>
      <c r="CZ10560" s="35">
        <v>3.9048479999999997E-2</v>
      </c>
    </row>
    <row r="10561" spans="103:104" x14ac:dyDescent="0.3">
      <c r="CY10561" s="34" t="s">
        <v>11488</v>
      </c>
      <c r="CZ10561" s="35">
        <v>3.9048479999999997E-2</v>
      </c>
    </row>
    <row r="10562" spans="103:104" x14ac:dyDescent="0.3">
      <c r="CY10562" s="34" t="s">
        <v>11489</v>
      </c>
      <c r="CZ10562" s="35">
        <v>0.12455695999999999</v>
      </c>
    </row>
    <row r="10563" spans="103:104" x14ac:dyDescent="0.3">
      <c r="CY10563" s="34" t="s">
        <v>11490</v>
      </c>
      <c r="CZ10563" s="35">
        <v>6.8466799999999994E-2</v>
      </c>
    </row>
    <row r="10564" spans="103:104" x14ac:dyDescent="0.3">
      <c r="CY10564" s="34" t="s">
        <v>11491</v>
      </c>
      <c r="CZ10564" s="35">
        <v>2.2588312000000003E-2</v>
      </c>
    </row>
    <row r="10565" spans="103:104" x14ac:dyDescent="0.3">
      <c r="CY10565" s="34" t="s">
        <v>11492</v>
      </c>
      <c r="CZ10565" s="35">
        <v>4.6168889999999997E-2</v>
      </c>
    </row>
    <row r="10566" spans="103:104" x14ac:dyDescent="0.3">
      <c r="CY10566" s="34" t="s">
        <v>11493</v>
      </c>
      <c r="CZ10566" s="35">
        <v>1.7857834700000001E-3</v>
      </c>
    </row>
    <row r="10567" spans="103:104" x14ac:dyDescent="0.3">
      <c r="CY10567" s="34" t="s">
        <v>11494</v>
      </c>
      <c r="CZ10567" s="35">
        <v>1.7367168000000002E-3</v>
      </c>
    </row>
    <row r="10568" spans="103:104" x14ac:dyDescent="0.3">
      <c r="CY10568" s="34" t="s">
        <v>11495</v>
      </c>
      <c r="CZ10568" s="35">
        <v>1.0841033759999999E-3</v>
      </c>
    </row>
    <row r="10569" spans="103:104" x14ac:dyDescent="0.3">
      <c r="CY10569" s="34" t="s">
        <v>11496</v>
      </c>
      <c r="CZ10569" s="35">
        <v>4.282991429999999E-3</v>
      </c>
    </row>
    <row r="10570" spans="103:104" x14ac:dyDescent="0.3">
      <c r="CY10570" s="34" t="s">
        <v>11497</v>
      </c>
      <c r="CZ10570" s="35">
        <v>5.1600012608000005E-2</v>
      </c>
    </row>
    <row r="10571" spans="103:104" x14ac:dyDescent="0.3">
      <c r="CY10571" s="34" t="s">
        <v>11498</v>
      </c>
      <c r="CZ10571" s="35">
        <v>2.2051599999999997E-4</v>
      </c>
    </row>
    <row r="10572" spans="103:104" x14ac:dyDescent="0.3">
      <c r="CY10572" s="34" t="s">
        <v>11499</v>
      </c>
      <c r="CZ10572" s="35">
        <v>7.9836160000000002E-4</v>
      </c>
    </row>
    <row r="10573" spans="103:104" x14ac:dyDescent="0.3">
      <c r="CY10573" s="34" t="s">
        <v>11500</v>
      </c>
      <c r="CZ10573" s="35">
        <v>6.9070000000000004E-4</v>
      </c>
    </row>
    <row r="10574" spans="103:104" x14ac:dyDescent="0.3">
      <c r="CY10574" s="34" t="s">
        <v>11501</v>
      </c>
      <c r="CZ10574" s="35">
        <v>3.4121504000000004E-2</v>
      </c>
    </row>
    <row r="10575" spans="103:104" x14ac:dyDescent="0.3">
      <c r="CY10575" s="34" t="s">
        <v>11502</v>
      </c>
      <c r="CZ10575" s="35">
        <v>4.4714450000000003E-2</v>
      </c>
    </row>
    <row r="10576" spans="103:104" x14ac:dyDescent="0.3">
      <c r="CY10576" s="34" t="s">
        <v>11503</v>
      </c>
      <c r="CZ10576" s="35">
        <v>6.4822514285714283E-2</v>
      </c>
    </row>
    <row r="10577" spans="103:104" x14ac:dyDescent="0.3">
      <c r="CY10577" s="34" t="s">
        <v>11504</v>
      </c>
      <c r="CZ10577" s="35">
        <v>5.9422880000000004E-3</v>
      </c>
    </row>
    <row r="10578" spans="103:104" x14ac:dyDescent="0.3">
      <c r="CY10578" s="34" t="s">
        <v>11505</v>
      </c>
      <c r="CZ10578" s="35">
        <v>4.8574847999999996E-4</v>
      </c>
    </row>
    <row r="10579" spans="103:104" x14ac:dyDescent="0.3">
      <c r="CY10579" s="34" t="s">
        <v>11506</v>
      </c>
      <c r="CZ10579" s="35">
        <v>5.0446431999999995E-4</v>
      </c>
    </row>
    <row r="10580" spans="103:104" x14ac:dyDescent="0.3">
      <c r="CY10580" s="34" t="s">
        <v>11507</v>
      </c>
      <c r="CZ10580" s="35">
        <v>5.543856E-4</v>
      </c>
    </row>
    <row r="10581" spans="103:104" x14ac:dyDescent="0.3">
      <c r="CY10581" s="34" t="s">
        <v>11508</v>
      </c>
      <c r="CZ10581" s="35">
        <v>7.2345420000000007E-2</v>
      </c>
    </row>
    <row r="10582" spans="103:104" x14ac:dyDescent="0.3">
      <c r="CY10582" s="34" t="s">
        <v>11509</v>
      </c>
      <c r="CZ10582" s="35">
        <v>0.11254005</v>
      </c>
    </row>
    <row r="10583" spans="103:104" x14ac:dyDescent="0.3">
      <c r="CY10583" s="34" t="s">
        <v>11510</v>
      </c>
      <c r="CZ10583" s="35">
        <v>7.2345420000000007E-2</v>
      </c>
    </row>
    <row r="10584" spans="103:104" x14ac:dyDescent="0.3">
      <c r="CY10584" s="34" t="s">
        <v>11511</v>
      </c>
      <c r="CZ10584" s="35">
        <v>0.10827201</v>
      </c>
    </row>
    <row r="10585" spans="103:104" x14ac:dyDescent="0.3">
      <c r="CY10585" s="34" t="s">
        <v>11512</v>
      </c>
      <c r="CZ10585" s="35">
        <v>0.1282453778</v>
      </c>
    </row>
    <row r="10586" spans="103:104" x14ac:dyDescent="0.3">
      <c r="CY10586" s="34" t="s">
        <v>11513</v>
      </c>
      <c r="CZ10586" s="35">
        <v>0.1281176</v>
      </c>
    </row>
    <row r="10587" spans="103:104" x14ac:dyDescent="0.3">
      <c r="CY10587" s="34" t="s">
        <v>11514</v>
      </c>
      <c r="CZ10587" s="35">
        <v>1.5017425000000003E-2</v>
      </c>
    </row>
    <row r="10588" spans="103:104" x14ac:dyDescent="0.3">
      <c r="CY10588" s="34" t="s">
        <v>11515</v>
      </c>
      <c r="CZ10588" s="35">
        <v>1.3029200000000001E-2</v>
      </c>
    </row>
    <row r="10589" spans="103:104" x14ac:dyDescent="0.3">
      <c r="CY10589" s="34" t="s">
        <v>11516</v>
      </c>
      <c r="CZ10589" s="35">
        <v>3.0543800000000003E-2</v>
      </c>
    </row>
    <row r="10590" spans="103:104" x14ac:dyDescent="0.3">
      <c r="CY10590" s="34" t="s">
        <v>11517</v>
      </c>
      <c r="CZ10590" s="35">
        <v>1.9546149333333335E-2</v>
      </c>
    </row>
    <row r="10591" spans="103:104" x14ac:dyDescent="0.3">
      <c r="CY10591" s="34" t="s">
        <v>11518</v>
      </c>
      <c r="CZ10591" s="35">
        <v>1.9942247999999999E-2</v>
      </c>
    </row>
    <row r="10592" spans="103:104" x14ac:dyDescent="0.3">
      <c r="CY10592" s="34" t="s">
        <v>11519</v>
      </c>
      <c r="CZ10592" s="35">
        <v>1.9942247999999999E-2</v>
      </c>
    </row>
    <row r="10593" spans="103:104" x14ac:dyDescent="0.3">
      <c r="CY10593" s="34" t="s">
        <v>11520</v>
      </c>
      <c r="CZ10593" s="35">
        <v>5.3333199999999997E-4</v>
      </c>
    </row>
    <row r="10594" spans="103:104" x14ac:dyDescent="0.3">
      <c r="CY10594" s="34" t="s">
        <v>11521</v>
      </c>
      <c r="CZ10594" s="35">
        <v>2.2608720000000001E-3</v>
      </c>
    </row>
    <row r="10595" spans="103:104" x14ac:dyDescent="0.3">
      <c r="CY10595" s="34" t="s">
        <v>11522</v>
      </c>
      <c r="CZ10595" s="35">
        <v>3.22646E-3</v>
      </c>
    </row>
    <row r="10596" spans="103:104" x14ac:dyDescent="0.3">
      <c r="CY10596" s="34" t="s">
        <v>11523</v>
      </c>
      <c r="CZ10596" s="35">
        <v>2.7404056000000006E-3</v>
      </c>
    </row>
    <row r="10597" spans="103:104" x14ac:dyDescent="0.3">
      <c r="CY10597" s="34" t="s">
        <v>11524</v>
      </c>
      <c r="CZ10597" s="35">
        <v>2.2608720000000001E-3</v>
      </c>
    </row>
    <row r="10598" spans="103:104" x14ac:dyDescent="0.3">
      <c r="CY10598" s="34" t="s">
        <v>11525</v>
      </c>
      <c r="CZ10598" s="35">
        <v>1.7225253332500003E-2</v>
      </c>
    </row>
    <row r="10599" spans="103:104" x14ac:dyDescent="0.3">
      <c r="CY10599" s="34" t="s">
        <v>11526</v>
      </c>
      <c r="CZ10599" s="35">
        <v>2.8429600000000003E-2</v>
      </c>
    </row>
    <row r="10600" spans="103:104" x14ac:dyDescent="0.3">
      <c r="CY10600" s="34" t="s">
        <v>11527</v>
      </c>
      <c r="CZ10600" s="35">
        <v>4.703616E-2</v>
      </c>
    </row>
    <row r="10601" spans="103:104" x14ac:dyDescent="0.3">
      <c r="CY10601" s="34" t="s">
        <v>11528</v>
      </c>
      <c r="CZ10601" s="35">
        <v>0.20317160000000001</v>
      </c>
    </row>
    <row r="10602" spans="103:104" x14ac:dyDescent="0.3">
      <c r="CY10602" s="34" t="s">
        <v>11529</v>
      </c>
      <c r="CZ10602" s="35">
        <v>7.3432597760000008E-3</v>
      </c>
    </row>
    <row r="10603" spans="103:104" x14ac:dyDescent="0.3">
      <c r="CY10603" s="34" t="s">
        <v>11530</v>
      </c>
      <c r="CZ10603" s="35">
        <v>1.3084579344032257E-2</v>
      </c>
    </row>
    <row r="10604" spans="103:104" x14ac:dyDescent="0.3">
      <c r="CY10604" s="34" t="s">
        <v>11531</v>
      </c>
      <c r="CZ10604" s="35">
        <v>2.9085520000000004E-3</v>
      </c>
    </row>
    <row r="10605" spans="103:104" x14ac:dyDescent="0.3">
      <c r="CY10605" s="34" t="s">
        <v>11532</v>
      </c>
      <c r="CZ10605" s="35">
        <v>5.9120110000000003E-2</v>
      </c>
    </row>
    <row r="10606" spans="103:104" x14ac:dyDescent="0.3">
      <c r="CY10606" s="34" t="s">
        <v>11533</v>
      </c>
      <c r="CZ10606" s="35">
        <v>2.3604128000000002E-2</v>
      </c>
    </row>
    <row r="10607" spans="103:104" x14ac:dyDescent="0.3">
      <c r="CY10607" s="34" t="s">
        <v>11534</v>
      </c>
      <c r="CZ10607" s="35">
        <v>0.11506613</v>
      </c>
    </row>
    <row r="10608" spans="103:104" x14ac:dyDescent="0.3">
      <c r="CY10608" s="34" t="s">
        <v>11535</v>
      </c>
      <c r="CZ10608" s="35">
        <v>4.700352E-2</v>
      </c>
    </row>
    <row r="10609" spans="103:104" x14ac:dyDescent="0.3">
      <c r="CY10609" s="34" t="s">
        <v>11536</v>
      </c>
      <c r="CZ10609" s="35">
        <v>2.5245736000000001E-2</v>
      </c>
    </row>
    <row r="10610" spans="103:104" x14ac:dyDescent="0.3">
      <c r="CY10610" s="34" t="s">
        <v>11537</v>
      </c>
      <c r="CZ10610" s="35">
        <v>3.3519359999999998E-2</v>
      </c>
    </row>
    <row r="10611" spans="103:104" x14ac:dyDescent="0.3">
      <c r="CY10611" s="34" t="s">
        <v>11538</v>
      </c>
      <c r="CZ10611" s="35">
        <v>1.3623872000000002E-2</v>
      </c>
    </row>
    <row r="10612" spans="103:104" x14ac:dyDescent="0.3">
      <c r="CY10612" s="34" t="s">
        <v>11539</v>
      </c>
      <c r="CZ10612" s="35">
        <v>0.44327012999999998</v>
      </c>
    </row>
    <row r="10613" spans="103:104" x14ac:dyDescent="0.3">
      <c r="CY10613" s="34" t="s">
        <v>11540</v>
      </c>
      <c r="CZ10613" s="35">
        <v>0.11824021</v>
      </c>
    </row>
    <row r="10614" spans="103:104" x14ac:dyDescent="0.3">
      <c r="CY10614" s="34" t="s">
        <v>11541</v>
      </c>
      <c r="CZ10614" s="35">
        <v>0.27280424000000003</v>
      </c>
    </row>
    <row r="10615" spans="103:104" x14ac:dyDescent="0.3">
      <c r="CY10615" s="34" t="s">
        <v>11542</v>
      </c>
      <c r="CZ10615" s="35">
        <v>0.24238599999999999</v>
      </c>
    </row>
    <row r="10616" spans="103:104" x14ac:dyDescent="0.3">
      <c r="CY10616" s="34" t="s">
        <v>11543</v>
      </c>
      <c r="CZ10616" s="35">
        <v>0.40793692000000004</v>
      </c>
    </row>
    <row r="10617" spans="103:104" x14ac:dyDescent="0.3">
      <c r="CY10617" s="34" t="s">
        <v>11544</v>
      </c>
      <c r="CZ10617" s="35">
        <v>0.81811866999999994</v>
      </c>
    </row>
    <row r="10618" spans="103:104" x14ac:dyDescent="0.3">
      <c r="CY10618" s="34" t="s">
        <v>11545</v>
      </c>
      <c r="CZ10618" s="35">
        <v>3.1959664000000003E-3</v>
      </c>
    </row>
    <row r="10619" spans="103:104" x14ac:dyDescent="0.3">
      <c r="CY10619" s="34" t="s">
        <v>11546</v>
      </c>
      <c r="CZ10619" s="35">
        <v>4.8176200000000002E-2</v>
      </c>
    </row>
    <row r="10620" spans="103:104" x14ac:dyDescent="0.3">
      <c r="CY10620" s="34" t="s">
        <v>11547</v>
      </c>
      <c r="CZ10620" s="35">
        <v>1.8206896E-2</v>
      </c>
    </row>
    <row r="10621" spans="103:104" x14ac:dyDescent="0.3">
      <c r="CY10621" s="34" t="s">
        <v>11548</v>
      </c>
      <c r="CZ10621" s="35">
        <v>4.2757359999999994E-2</v>
      </c>
    </row>
    <row r="10622" spans="103:104" x14ac:dyDescent="0.3">
      <c r="CY10622" s="34" t="s">
        <v>11549</v>
      </c>
      <c r="CZ10622" s="35">
        <v>2.3112360000000002E-2</v>
      </c>
    </row>
    <row r="10623" spans="103:104" x14ac:dyDescent="0.3">
      <c r="CY10623" s="34" t="s">
        <v>11550</v>
      </c>
      <c r="CZ10623" s="35">
        <v>1.7102395999999999E-2</v>
      </c>
    </row>
    <row r="10624" spans="103:104" x14ac:dyDescent="0.3">
      <c r="CY10624" s="34" t="s">
        <v>11551</v>
      </c>
      <c r="CZ10624" s="35">
        <v>4.0405999999999997E-2</v>
      </c>
    </row>
    <row r="10625" spans="103:104" x14ac:dyDescent="0.3">
      <c r="CY10625" s="34" t="s">
        <v>11552</v>
      </c>
      <c r="CZ10625" s="35">
        <v>3.2272679999999998E-2</v>
      </c>
    </row>
    <row r="10626" spans="103:104" x14ac:dyDescent="0.3">
      <c r="CY10626" s="34" t="s">
        <v>11553</v>
      </c>
      <c r="CZ10626" s="35">
        <v>2.9959970000000002E-2</v>
      </c>
    </row>
    <row r="10627" spans="103:104" x14ac:dyDescent="0.3">
      <c r="CY10627" s="34" t="s">
        <v>11554</v>
      </c>
      <c r="CZ10627" s="35">
        <v>8.7092000000000003E-3</v>
      </c>
    </row>
    <row r="10628" spans="103:104" x14ac:dyDescent="0.3">
      <c r="CY10628" s="34" t="s">
        <v>11555</v>
      </c>
      <c r="CZ10628" s="35">
        <v>1.2695424E-2</v>
      </c>
    </row>
    <row r="10629" spans="103:104" x14ac:dyDescent="0.3">
      <c r="CY10629" s="34" t="s">
        <v>11556</v>
      </c>
      <c r="CZ10629" s="35">
        <v>1.2695424E-2</v>
      </c>
    </row>
    <row r="10630" spans="103:104" x14ac:dyDescent="0.3">
      <c r="CY10630" s="34" t="s">
        <v>11557</v>
      </c>
      <c r="CZ10630" s="35">
        <v>1.1977199999999999E-2</v>
      </c>
    </row>
    <row r="10631" spans="103:104" x14ac:dyDescent="0.3">
      <c r="CY10631" s="34" t="s">
        <v>11558</v>
      </c>
      <c r="CZ10631" s="35">
        <v>3.1638870588235293E-2</v>
      </c>
    </row>
    <row r="10632" spans="103:104" x14ac:dyDescent="0.3">
      <c r="CY10632" s="34" t="s">
        <v>11559</v>
      </c>
      <c r="CZ10632" s="35">
        <v>6.6766000000000004E-4</v>
      </c>
    </row>
    <row r="10633" spans="103:104" x14ac:dyDescent="0.3">
      <c r="CY10633" s="34" t="s">
        <v>11560</v>
      </c>
      <c r="CZ10633" s="35">
        <v>4.4379290135999998E-2</v>
      </c>
    </row>
    <row r="10634" spans="103:104" x14ac:dyDescent="0.3">
      <c r="CY10634" s="34" t="s">
        <v>11561</v>
      </c>
      <c r="CZ10634" s="35">
        <v>4.4570956799999999E-2</v>
      </c>
    </row>
    <row r="10635" spans="103:104" x14ac:dyDescent="0.3">
      <c r="CY10635" s="34" t="s">
        <v>11562</v>
      </c>
      <c r="CZ10635" s="35">
        <v>0.12534500000000001</v>
      </c>
    </row>
    <row r="10636" spans="103:104" x14ac:dyDescent="0.3">
      <c r="CY10636" s="34" t="s">
        <v>11563</v>
      </c>
      <c r="CZ10636" s="35">
        <v>1.7652E-3</v>
      </c>
    </row>
    <row r="10637" spans="103:104" x14ac:dyDescent="0.3">
      <c r="CY10637" s="34" t="s">
        <v>11564</v>
      </c>
      <c r="CZ10637" s="35">
        <v>7.224000000000001E-4</v>
      </c>
    </row>
    <row r="10638" spans="103:104" x14ac:dyDescent="0.3">
      <c r="CY10638" s="34" t="s">
        <v>11565</v>
      </c>
      <c r="CZ10638" s="35">
        <v>8.2640000000000003E-4</v>
      </c>
    </row>
    <row r="10639" spans="103:104" x14ac:dyDescent="0.3">
      <c r="CY10639" s="34" t="s">
        <v>11566</v>
      </c>
      <c r="CZ10639" s="35">
        <v>9.3040000000000006E-4</v>
      </c>
    </row>
    <row r="10640" spans="103:104" x14ac:dyDescent="0.3">
      <c r="CY10640" s="34" t="s">
        <v>11567</v>
      </c>
      <c r="CZ10640" s="35">
        <v>1.2424000000000001E-3</v>
      </c>
    </row>
    <row r="10641" spans="103:104" x14ac:dyDescent="0.3">
      <c r="CY10641" s="34" t="s">
        <v>11568</v>
      </c>
      <c r="CZ10641" s="35">
        <v>2.4236558629999998E-3</v>
      </c>
    </row>
    <row r="10642" spans="103:104" x14ac:dyDescent="0.3">
      <c r="CY10642" s="34" t="s">
        <v>11569</v>
      </c>
      <c r="CZ10642" s="35">
        <v>2.2742904204333335E-3</v>
      </c>
    </row>
    <row r="10643" spans="103:104" x14ac:dyDescent="0.3">
      <c r="CY10643" s="34" t="s">
        <v>11570</v>
      </c>
      <c r="CZ10643" s="35">
        <v>5.1252999999999993E-2</v>
      </c>
    </row>
    <row r="10644" spans="103:104" x14ac:dyDescent="0.3">
      <c r="CY10644" s="34" t="s">
        <v>11571</v>
      </c>
      <c r="CZ10644" s="35">
        <v>2.3079930669999998E-2</v>
      </c>
    </row>
    <row r="10645" spans="103:104" x14ac:dyDescent="0.3">
      <c r="CY10645" s="34" t="s">
        <v>11572</v>
      </c>
      <c r="CZ10645" s="35">
        <v>2.1202012E-3</v>
      </c>
    </row>
    <row r="10646" spans="103:104" x14ac:dyDescent="0.3">
      <c r="CY10646" s="34" t="s">
        <v>11573</v>
      </c>
      <c r="CZ10646" s="35">
        <v>1.5050133299999999E-3</v>
      </c>
    </row>
    <row r="10647" spans="103:104" x14ac:dyDescent="0.3">
      <c r="CY10647" s="34" t="s">
        <v>11574</v>
      </c>
      <c r="CZ10647" s="35">
        <v>3.2240495999999999E-3</v>
      </c>
    </row>
    <row r="10648" spans="103:104" x14ac:dyDescent="0.3">
      <c r="CY10648" s="34" t="s">
        <v>11575</v>
      </c>
      <c r="CZ10648" s="35">
        <v>2.0980845999999997E-2</v>
      </c>
    </row>
    <row r="10649" spans="103:104" x14ac:dyDescent="0.3">
      <c r="CY10649" s="34" t="s">
        <v>11576</v>
      </c>
      <c r="CZ10649" s="35">
        <v>5.4131359999999998E-3</v>
      </c>
    </row>
    <row r="10650" spans="103:104" x14ac:dyDescent="0.3">
      <c r="CY10650" s="34" t="s">
        <v>11577</v>
      </c>
      <c r="CZ10650" s="35">
        <v>4.9921440000000004E-3</v>
      </c>
    </row>
    <row r="10651" spans="103:104" x14ac:dyDescent="0.3">
      <c r="CY10651" s="34" t="s">
        <v>11578</v>
      </c>
      <c r="CZ10651" s="35">
        <v>4.9921440000000013E-3</v>
      </c>
    </row>
    <row r="10652" spans="103:104" x14ac:dyDescent="0.3">
      <c r="CY10652" s="34" t="s">
        <v>11579</v>
      </c>
      <c r="CZ10652" s="35">
        <v>2.1464119999999999E-3</v>
      </c>
    </row>
    <row r="10653" spans="103:104" x14ac:dyDescent="0.3">
      <c r="CY10653" s="34" t="s">
        <v>11580</v>
      </c>
      <c r="CZ10653" s="35">
        <v>6.2177706800000008E-3</v>
      </c>
    </row>
    <row r="10654" spans="103:104" x14ac:dyDescent="0.3">
      <c r="CY10654" s="34" t="s">
        <v>11581</v>
      </c>
      <c r="CZ10654" s="35">
        <v>5.5820985263157895E-2</v>
      </c>
    </row>
    <row r="10655" spans="103:104" x14ac:dyDescent="0.3">
      <c r="CY10655" s="34" t="s">
        <v>11582</v>
      </c>
      <c r="CZ10655" s="35">
        <v>8.5051653349999992E-2</v>
      </c>
    </row>
    <row r="10656" spans="103:104" x14ac:dyDescent="0.3">
      <c r="CY10656" s="34" t="s">
        <v>11583</v>
      </c>
      <c r="CZ10656" s="35">
        <v>2.6123866645812503E-2</v>
      </c>
    </row>
    <row r="10657" spans="103:104" x14ac:dyDescent="0.3">
      <c r="CY10657" s="34" t="s">
        <v>11584</v>
      </c>
      <c r="CZ10657" s="35">
        <v>5.348760000000001E-4</v>
      </c>
    </row>
    <row r="10658" spans="103:104" x14ac:dyDescent="0.3">
      <c r="CY10658" s="34" t="s">
        <v>11585</v>
      </c>
      <c r="CZ10658" s="35">
        <v>5.7862820000000002E-2</v>
      </c>
    </row>
    <row r="10659" spans="103:104" x14ac:dyDescent="0.3">
      <c r="CY10659" s="34" t="s">
        <v>11586</v>
      </c>
      <c r="CZ10659" s="35">
        <v>0.1292260416642857</v>
      </c>
    </row>
    <row r="10660" spans="103:104" x14ac:dyDescent="0.3">
      <c r="CY10660" s="34" t="s">
        <v>11587</v>
      </c>
      <c r="CZ10660" s="35">
        <v>2.6414160999999998E-3</v>
      </c>
    </row>
    <row r="10661" spans="103:104" x14ac:dyDescent="0.3">
      <c r="CY10661" s="34" t="s">
        <v>11588</v>
      </c>
      <c r="CZ10661" s="35">
        <v>5.9907599999999998E-2</v>
      </c>
    </row>
    <row r="10662" spans="103:104" x14ac:dyDescent="0.3">
      <c r="CY10662" s="34" t="s">
        <v>11589</v>
      </c>
      <c r="CZ10662" s="35">
        <v>2.0749999999999996E-3</v>
      </c>
    </row>
    <row r="10663" spans="103:104" x14ac:dyDescent="0.3">
      <c r="CY10663" s="34" t="s">
        <v>11590</v>
      </c>
      <c r="CZ10663" s="35">
        <v>3.6054946999999997E-2</v>
      </c>
    </row>
    <row r="10664" spans="103:104" x14ac:dyDescent="0.3">
      <c r="CY10664" s="34" t="s">
        <v>11591</v>
      </c>
      <c r="CZ10664" s="35">
        <v>3.6054946999999997E-2</v>
      </c>
    </row>
    <row r="10665" spans="103:104" x14ac:dyDescent="0.3">
      <c r="CY10665" s="34" t="s">
        <v>11592</v>
      </c>
      <c r="CZ10665" s="35">
        <v>7.456501333333334E-3</v>
      </c>
    </row>
    <row r="10666" spans="103:104" x14ac:dyDescent="0.3">
      <c r="CY10666" s="34" t="s">
        <v>11593</v>
      </c>
      <c r="CZ10666" s="35">
        <v>1.5745410666666666E-3</v>
      </c>
    </row>
    <row r="10667" spans="103:104" x14ac:dyDescent="0.3">
      <c r="CY10667" s="34" t="s">
        <v>11594</v>
      </c>
      <c r="CZ10667" s="35">
        <v>4.6154640000000004E-2</v>
      </c>
    </row>
    <row r="10668" spans="103:104" x14ac:dyDescent="0.3">
      <c r="CY10668" s="34" t="s">
        <v>11595</v>
      </c>
      <c r="CZ10668" s="35">
        <v>4.6154640000000004E-2</v>
      </c>
    </row>
    <row r="10669" spans="103:104" x14ac:dyDescent="0.3">
      <c r="CY10669" s="34" t="s">
        <v>11596</v>
      </c>
      <c r="CZ10669" s="35">
        <v>6.6768859999999999E-2</v>
      </c>
    </row>
    <row r="10670" spans="103:104" x14ac:dyDescent="0.3">
      <c r="CY10670" s="34" t="s">
        <v>11597</v>
      </c>
      <c r="CZ10670" s="35">
        <v>3.9390186666666667E-2</v>
      </c>
    </row>
    <row r="10671" spans="103:104" x14ac:dyDescent="0.3">
      <c r="CY10671" s="34" t="s">
        <v>11598</v>
      </c>
      <c r="CZ10671" s="35">
        <v>1.0424340000000001E-2</v>
      </c>
    </row>
    <row r="10672" spans="103:104" x14ac:dyDescent="0.3">
      <c r="CY10672" s="34" t="s">
        <v>11599</v>
      </c>
      <c r="CZ10672" s="35">
        <v>1.5623744E-2</v>
      </c>
    </row>
    <row r="10673" spans="103:104" x14ac:dyDescent="0.3">
      <c r="CY10673" s="34" t="s">
        <v>11600</v>
      </c>
      <c r="CZ10673" s="35">
        <v>1.5623744E-2</v>
      </c>
    </row>
    <row r="10674" spans="103:104" x14ac:dyDescent="0.3">
      <c r="CY10674" s="34" t="s">
        <v>11601</v>
      </c>
      <c r="CZ10674" s="35">
        <v>3.7929555555555553E-3</v>
      </c>
    </row>
    <row r="10675" spans="103:104" x14ac:dyDescent="0.3">
      <c r="CY10675" s="34" t="s">
        <v>11602</v>
      </c>
      <c r="CZ10675" s="35">
        <v>8.6655746031746028E-3</v>
      </c>
    </row>
    <row r="10676" spans="103:104" x14ac:dyDescent="0.3">
      <c r="CY10676" s="34" t="s">
        <v>11603</v>
      </c>
      <c r="CZ10676" s="35">
        <v>7.6344100000000003E-3</v>
      </c>
    </row>
    <row r="10677" spans="103:104" x14ac:dyDescent="0.3">
      <c r="CY10677" s="34" t="s">
        <v>11604</v>
      </c>
      <c r="CZ10677" s="35">
        <v>7.8705257731958769E-3</v>
      </c>
    </row>
    <row r="10678" spans="103:104" x14ac:dyDescent="0.3">
      <c r="CY10678" s="34" t="s">
        <v>11605</v>
      </c>
      <c r="CZ10678" s="35">
        <v>6.4797680000000003E-3</v>
      </c>
    </row>
    <row r="10679" spans="103:104" x14ac:dyDescent="0.3">
      <c r="CY10679" s="34" t="s">
        <v>11606</v>
      </c>
      <c r="CZ10679" s="35">
        <v>1.3816064000000001E-2</v>
      </c>
    </row>
    <row r="10680" spans="103:104" x14ac:dyDescent="0.3">
      <c r="CY10680" s="34" t="s">
        <v>11607</v>
      </c>
      <c r="CZ10680" s="35">
        <v>1.9101607999999998E-3</v>
      </c>
    </row>
    <row r="10681" spans="103:104" x14ac:dyDescent="0.3">
      <c r="CY10681" s="34" t="s">
        <v>11608</v>
      </c>
      <c r="CZ10681" s="35">
        <v>1.7321367999999998E-3</v>
      </c>
    </row>
    <row r="10682" spans="103:104" x14ac:dyDescent="0.3">
      <c r="CY10682" s="34" t="s">
        <v>11609</v>
      </c>
      <c r="CZ10682" s="35">
        <v>5.1936200000000002E-2</v>
      </c>
    </row>
    <row r="10683" spans="103:104" x14ac:dyDescent="0.3">
      <c r="CY10683" s="34" t="s">
        <v>11610</v>
      </c>
      <c r="CZ10683" s="35">
        <v>8.2124799999999994E-3</v>
      </c>
    </row>
    <row r="10684" spans="103:104" x14ac:dyDescent="0.3">
      <c r="CY10684" s="34" t="s">
        <v>11611</v>
      </c>
      <c r="CZ10684" s="35">
        <v>3.7522079999999999E-3</v>
      </c>
    </row>
    <row r="10685" spans="103:104" x14ac:dyDescent="0.3">
      <c r="CY10685" s="34" t="s">
        <v>11612</v>
      </c>
      <c r="CZ10685" s="35">
        <v>0.12548061334285715</v>
      </c>
    </row>
    <row r="10686" spans="103:104" x14ac:dyDescent="0.3">
      <c r="CY10686" s="34" t="s">
        <v>11613</v>
      </c>
      <c r="CZ10686" s="35">
        <v>0.16100583999999998</v>
      </c>
    </row>
    <row r="10687" spans="103:104" x14ac:dyDescent="0.3">
      <c r="CY10687" s="34" t="s">
        <v>11614</v>
      </c>
      <c r="CZ10687" s="35">
        <v>1.1190320000000001E-3</v>
      </c>
    </row>
    <row r="10688" spans="103:104" x14ac:dyDescent="0.3">
      <c r="CY10688" s="34" t="s">
        <v>11615</v>
      </c>
      <c r="CZ10688" s="35">
        <v>2.1887560000000005E-3</v>
      </c>
    </row>
    <row r="10689" spans="103:104" x14ac:dyDescent="0.3">
      <c r="CY10689" s="34" t="s">
        <v>11616</v>
      </c>
      <c r="CZ10689" s="35">
        <v>6.3359946666666667E-4</v>
      </c>
    </row>
    <row r="10690" spans="103:104" x14ac:dyDescent="0.3">
      <c r="CY10690" s="34" t="s">
        <v>11617</v>
      </c>
      <c r="CZ10690" s="35">
        <v>0.10591045599999999</v>
      </c>
    </row>
    <row r="10691" spans="103:104" x14ac:dyDescent="0.3">
      <c r="CY10691" s="34" t="s">
        <v>11618</v>
      </c>
      <c r="CZ10691" s="35">
        <v>0.10711538</v>
      </c>
    </row>
    <row r="10692" spans="103:104" x14ac:dyDescent="0.3">
      <c r="CY10692" s="34" t="s">
        <v>11619</v>
      </c>
      <c r="CZ10692" s="35">
        <v>2.1997730000000004E-2</v>
      </c>
    </row>
    <row r="10693" spans="103:104" x14ac:dyDescent="0.3">
      <c r="CY10693" s="34" t="s">
        <v>11620</v>
      </c>
      <c r="CZ10693" s="35">
        <v>0.15881176</v>
      </c>
    </row>
    <row r="10694" spans="103:104" x14ac:dyDescent="0.3">
      <c r="CY10694" s="34" t="s">
        <v>11621</v>
      </c>
      <c r="CZ10694" s="35">
        <v>1.4249800000000002E-2</v>
      </c>
    </row>
    <row r="10695" spans="103:104" x14ac:dyDescent="0.3">
      <c r="CY10695" s="34" t="s">
        <v>11622</v>
      </c>
      <c r="CZ10695" s="35">
        <v>6.6761639999999992E-3</v>
      </c>
    </row>
    <row r="10696" spans="103:104" x14ac:dyDescent="0.3">
      <c r="CY10696" s="34" t="s">
        <v>11623</v>
      </c>
      <c r="CZ10696" s="35">
        <v>5.06183583925E-3</v>
      </c>
    </row>
    <row r="10697" spans="103:104" x14ac:dyDescent="0.3">
      <c r="CY10697" s="34" t="s">
        <v>11624</v>
      </c>
      <c r="CZ10697" s="35">
        <v>3.4431759999999996E-3</v>
      </c>
    </row>
    <row r="10698" spans="103:104" x14ac:dyDescent="0.3">
      <c r="CY10698" s="34" t="s">
        <v>11625</v>
      </c>
      <c r="CZ10698" s="35">
        <v>0.22987418670000004</v>
      </c>
    </row>
    <row r="10699" spans="103:104" x14ac:dyDescent="0.3">
      <c r="CY10699" s="34" t="s">
        <v>11626</v>
      </c>
      <c r="CZ10699" s="35">
        <v>2.3915783999999999E-2</v>
      </c>
    </row>
    <row r="10700" spans="103:104" x14ac:dyDescent="0.3">
      <c r="CY10700" s="34" t="s">
        <v>11627</v>
      </c>
      <c r="CZ10700" s="35">
        <v>3.9865706666666664E-3</v>
      </c>
    </row>
    <row r="10701" spans="103:104" x14ac:dyDescent="0.3">
      <c r="CY10701" s="34" t="s">
        <v>11628</v>
      </c>
      <c r="CZ10701" s="35">
        <v>9.5415960000000009E-4</v>
      </c>
    </row>
    <row r="10702" spans="103:104" x14ac:dyDescent="0.3">
      <c r="CY10702" s="34" t="s">
        <v>11629</v>
      </c>
      <c r="CZ10702" s="35">
        <v>0.12739339999999999</v>
      </c>
    </row>
    <row r="10703" spans="103:104" x14ac:dyDescent="0.3">
      <c r="CY10703" s="34" t="s">
        <v>11630</v>
      </c>
      <c r="CZ10703" s="35">
        <v>3.1116022399999997E-3</v>
      </c>
    </row>
    <row r="10704" spans="103:104" x14ac:dyDescent="0.3">
      <c r="CY10704" s="34" t="s">
        <v>11631</v>
      </c>
      <c r="CZ10704" s="35">
        <v>4.8355999999999998E-3</v>
      </c>
    </row>
    <row r="10705" spans="103:104" x14ac:dyDescent="0.3">
      <c r="CY10705" s="34" t="s">
        <v>11632</v>
      </c>
      <c r="CZ10705" s="35">
        <v>1.04121093E-2</v>
      </c>
    </row>
    <row r="10706" spans="103:104" x14ac:dyDescent="0.3">
      <c r="CY10706" s="34" t="s">
        <v>11633</v>
      </c>
      <c r="CZ10706" s="35">
        <v>8.7643146999999977E-3</v>
      </c>
    </row>
    <row r="10707" spans="103:104" x14ac:dyDescent="0.3">
      <c r="CY10707" s="34" t="s">
        <v>11634</v>
      </c>
      <c r="CZ10707" s="35">
        <v>0.1594188</v>
      </c>
    </row>
    <row r="10708" spans="103:104" x14ac:dyDescent="0.3">
      <c r="CY10708" s="34" t="s">
        <v>11635</v>
      </c>
      <c r="CZ10708" s="35">
        <v>0.11974279999999998</v>
      </c>
    </row>
    <row r="10709" spans="103:104" x14ac:dyDescent="0.3">
      <c r="CY10709" s="34" t="s">
        <v>11636</v>
      </c>
      <c r="CZ10709" s="35">
        <v>8.4827920000000001E-2</v>
      </c>
    </row>
    <row r="10710" spans="103:104" x14ac:dyDescent="0.3">
      <c r="CY10710" s="34" t="s">
        <v>11637</v>
      </c>
      <c r="CZ10710" s="35">
        <v>6.6498959999999996E-2</v>
      </c>
    </row>
    <row r="10711" spans="103:104" x14ac:dyDescent="0.3">
      <c r="CY10711" s="34" t="s">
        <v>11638</v>
      </c>
      <c r="CZ10711" s="35">
        <v>0.1594188</v>
      </c>
    </row>
    <row r="10712" spans="103:104" x14ac:dyDescent="0.3">
      <c r="CY10712" s="34" t="s">
        <v>11639</v>
      </c>
      <c r="CZ10712" s="35">
        <v>0.12132984000000001</v>
      </c>
    </row>
    <row r="10713" spans="103:104" x14ac:dyDescent="0.3">
      <c r="CY10713" s="34" t="s">
        <v>11640</v>
      </c>
      <c r="CZ10713" s="35">
        <v>3.9274440000000002E-4</v>
      </c>
    </row>
    <row r="10714" spans="103:104" x14ac:dyDescent="0.3">
      <c r="CY10714" s="34" t="s">
        <v>11641</v>
      </c>
      <c r="CZ10714" s="35">
        <v>2.7137505882352943E-2</v>
      </c>
    </row>
    <row r="10715" spans="103:104" x14ac:dyDescent="0.3">
      <c r="CY10715" s="34" t="s">
        <v>11642</v>
      </c>
      <c r="CZ10715" s="35">
        <v>0.14866671999999997</v>
      </c>
    </row>
    <row r="10716" spans="103:104" x14ac:dyDescent="0.3">
      <c r="CY10716" s="34" t="s">
        <v>11643</v>
      </c>
      <c r="CZ10716" s="35">
        <v>0.15082586666666667</v>
      </c>
    </row>
    <row r="10717" spans="103:104" x14ac:dyDescent="0.3">
      <c r="CY10717" s="34" t="s">
        <v>11644</v>
      </c>
      <c r="CZ10717" s="35">
        <v>0.13922555555555555</v>
      </c>
    </row>
    <row r="10718" spans="103:104" x14ac:dyDescent="0.3">
      <c r="CY10718" s="34" t="s">
        <v>11645</v>
      </c>
      <c r="CZ10718" s="35">
        <v>7.6112799999999994E-2</v>
      </c>
    </row>
    <row r="10719" spans="103:104" x14ac:dyDescent="0.3">
      <c r="CY10719" s="34" t="s">
        <v>11646</v>
      </c>
      <c r="CZ10719" s="35">
        <v>3.1393599999999995E-3</v>
      </c>
    </row>
    <row r="10720" spans="103:104" x14ac:dyDescent="0.3">
      <c r="CY10720" s="34" t="s">
        <v>11647</v>
      </c>
      <c r="CZ10720" s="35">
        <v>3.5309493333333331E-2</v>
      </c>
    </row>
    <row r="10721" spans="103:104" x14ac:dyDescent="0.3">
      <c r="CY10721" s="34" t="s">
        <v>11648</v>
      </c>
      <c r="CZ10721" s="35">
        <v>3.2449520000000003E-2</v>
      </c>
    </row>
    <row r="10722" spans="103:104" x14ac:dyDescent="0.3">
      <c r="CY10722" s="34" t="s">
        <v>11649</v>
      </c>
      <c r="CZ10722" s="35">
        <v>0.23422919999999997</v>
      </c>
    </row>
    <row r="10723" spans="103:104" x14ac:dyDescent="0.3">
      <c r="CY10723" s="34" t="s">
        <v>11650</v>
      </c>
      <c r="CZ10723" s="35">
        <v>8.743711999999999E-3</v>
      </c>
    </row>
    <row r="10724" spans="103:104" x14ac:dyDescent="0.3">
      <c r="CY10724" s="34" t="s">
        <v>11651</v>
      </c>
      <c r="CZ10724" s="35">
        <v>1.5800032E-3</v>
      </c>
    </row>
    <row r="10725" spans="103:104" x14ac:dyDescent="0.3">
      <c r="CY10725" s="34" t="s">
        <v>11652</v>
      </c>
      <c r="CZ10725" s="35">
        <v>0.1836628266625</v>
      </c>
    </row>
    <row r="10726" spans="103:104" x14ac:dyDescent="0.3">
      <c r="CY10726" s="34" t="s">
        <v>11653</v>
      </c>
      <c r="CZ10726" s="35">
        <v>5.133008E-2</v>
      </c>
    </row>
    <row r="10727" spans="103:104" x14ac:dyDescent="0.3">
      <c r="CY10727" s="34" t="s">
        <v>11654</v>
      </c>
      <c r="CZ10727" s="35">
        <v>2.3472448E-2</v>
      </c>
    </row>
    <row r="10728" spans="103:104" x14ac:dyDescent="0.3">
      <c r="CY10728" s="34" t="s">
        <v>11655</v>
      </c>
      <c r="CZ10728" s="35">
        <v>1.5144907999999999E-2</v>
      </c>
    </row>
    <row r="10729" spans="103:104" x14ac:dyDescent="0.3">
      <c r="CY10729" s="34" t="s">
        <v>11656</v>
      </c>
      <c r="CZ10729" s="35">
        <v>1.48991253E-2</v>
      </c>
    </row>
    <row r="10730" spans="103:104" x14ac:dyDescent="0.3">
      <c r="CY10730" s="34" t="s">
        <v>11657</v>
      </c>
      <c r="CZ10730" s="35">
        <v>8.2564986699999995E-2</v>
      </c>
    </row>
    <row r="10731" spans="103:104" x14ac:dyDescent="0.3">
      <c r="CY10731" s="34" t="s">
        <v>11658</v>
      </c>
      <c r="CZ10731" s="35">
        <v>1.3324919999999999E-2</v>
      </c>
    </row>
    <row r="10732" spans="103:104" x14ac:dyDescent="0.3">
      <c r="CY10732" s="34" t="s">
        <v>11659</v>
      </c>
      <c r="CZ10732" s="35">
        <v>2.4710840000000001E-2</v>
      </c>
    </row>
    <row r="10733" spans="103:104" x14ac:dyDescent="0.3">
      <c r="CY10733" s="34" t="s">
        <v>11660</v>
      </c>
      <c r="CZ10733" s="35">
        <v>2.4710840000000001E-2</v>
      </c>
    </row>
    <row r="10734" spans="103:104" x14ac:dyDescent="0.3">
      <c r="CY10734" s="34" t="s">
        <v>11661</v>
      </c>
      <c r="CZ10734" s="35">
        <v>6.6320186999999989E-3</v>
      </c>
    </row>
    <row r="10735" spans="103:104" x14ac:dyDescent="0.3">
      <c r="CY10735" s="34" t="s">
        <v>11662</v>
      </c>
      <c r="CZ10735" s="35">
        <v>3.8800759999999997E-2</v>
      </c>
    </row>
    <row r="10736" spans="103:104" x14ac:dyDescent="0.3">
      <c r="CY10736" s="34" t="s">
        <v>11663</v>
      </c>
      <c r="CZ10736" s="35">
        <v>6.4017680000000007E-2</v>
      </c>
    </row>
    <row r="10737" spans="103:104" x14ac:dyDescent="0.3">
      <c r="CY10737" s="34" t="s">
        <v>11664</v>
      </c>
      <c r="CZ10737" s="35">
        <v>8.8232640000000004E-4</v>
      </c>
    </row>
    <row r="10738" spans="103:104" x14ac:dyDescent="0.3">
      <c r="CY10738" s="34" t="s">
        <v>11665</v>
      </c>
      <c r="CZ10738" s="35">
        <v>2.7421439999999995E-2</v>
      </c>
    </row>
    <row r="10739" spans="103:104" x14ac:dyDescent="0.3">
      <c r="CY10739" s="34" t="s">
        <v>11666</v>
      </c>
      <c r="CZ10739" s="35">
        <v>8.5212739999999995E-2</v>
      </c>
    </row>
    <row r="10740" spans="103:104" x14ac:dyDescent="0.3">
      <c r="CY10740" s="34" t="s">
        <v>11667</v>
      </c>
      <c r="CZ10740" s="35">
        <v>5.1062146699999998E-2</v>
      </c>
    </row>
    <row r="10741" spans="103:104" x14ac:dyDescent="0.3">
      <c r="CY10741" s="34" t="s">
        <v>11668</v>
      </c>
      <c r="CZ10741" s="35">
        <v>1.5938899999999999E-2</v>
      </c>
    </row>
    <row r="10742" spans="103:104" x14ac:dyDescent="0.3">
      <c r="CY10742" s="34" t="s">
        <v>11669</v>
      </c>
      <c r="CZ10742" s="35">
        <v>1.4873379999999999E-2</v>
      </c>
    </row>
    <row r="10743" spans="103:104" x14ac:dyDescent="0.3">
      <c r="CY10743" s="34" t="s">
        <v>11670</v>
      </c>
      <c r="CZ10743" s="35">
        <v>5.8258000000000008E-4</v>
      </c>
    </row>
    <row r="10744" spans="103:104" x14ac:dyDescent="0.3">
      <c r="CY10744" s="34" t="s">
        <v>11671</v>
      </c>
      <c r="CZ10744" s="35">
        <v>1.818496E-3</v>
      </c>
    </row>
    <row r="10745" spans="103:104" x14ac:dyDescent="0.3">
      <c r="CY10745" s="34" t="s">
        <v>11672</v>
      </c>
      <c r="CZ10745" s="35">
        <v>0.2246034666</v>
      </c>
    </row>
    <row r="10746" spans="103:104" x14ac:dyDescent="0.3">
      <c r="CY10746" s="34" t="s">
        <v>11673</v>
      </c>
      <c r="CZ10746" s="35">
        <v>0.16244167332499998</v>
      </c>
    </row>
    <row r="10747" spans="103:104" x14ac:dyDescent="0.3">
      <c r="CY10747" s="34" t="s">
        <v>11674</v>
      </c>
      <c r="CZ10747" s="35">
        <v>1.5552760000000001E-2</v>
      </c>
    </row>
    <row r="10748" spans="103:104" x14ac:dyDescent="0.3">
      <c r="CY10748" s="34" t="s">
        <v>11675</v>
      </c>
      <c r="CZ10748" s="35">
        <v>9.805879999999999E-4</v>
      </c>
    </row>
    <row r="10749" spans="103:104" x14ac:dyDescent="0.3">
      <c r="CY10749" s="34" t="s">
        <v>11676</v>
      </c>
      <c r="CZ10749" s="35">
        <v>0.12820632500000001</v>
      </c>
    </row>
    <row r="10750" spans="103:104" x14ac:dyDescent="0.3">
      <c r="CY10750" s="34" t="s">
        <v>11677</v>
      </c>
      <c r="CZ10750" s="35">
        <v>0.14402656665999999</v>
      </c>
    </row>
    <row r="10751" spans="103:104" x14ac:dyDescent="0.3">
      <c r="CY10751" s="34" t="s">
        <v>11678</v>
      </c>
      <c r="CZ10751" s="35">
        <v>0.10428216500000001</v>
      </c>
    </row>
    <row r="10752" spans="103:104" x14ac:dyDescent="0.3">
      <c r="CY10752" s="34" t="s">
        <v>11679</v>
      </c>
      <c r="CZ10752" s="35">
        <v>0.13550712500000003</v>
      </c>
    </row>
    <row r="10753" spans="103:104" x14ac:dyDescent="0.3">
      <c r="CY10753" s="34" t="s">
        <v>11680</v>
      </c>
      <c r="CZ10753" s="35">
        <v>4.5425800000000009E-3</v>
      </c>
    </row>
    <row r="10754" spans="103:104" x14ac:dyDescent="0.3">
      <c r="CY10754" s="34" t="s">
        <v>11681</v>
      </c>
      <c r="CZ10754" s="35">
        <v>5.2877624999999991E-2</v>
      </c>
    </row>
    <row r="10755" spans="103:104" x14ac:dyDescent="0.3">
      <c r="CY10755" s="34" t="s">
        <v>11682</v>
      </c>
      <c r="CZ10755" s="35">
        <v>6.4608150000000003E-2</v>
      </c>
    </row>
    <row r="10756" spans="103:104" x14ac:dyDescent="0.3">
      <c r="CY10756" s="34" t="s">
        <v>11683</v>
      </c>
      <c r="CZ10756" s="35">
        <v>1.9844512000000002E-2</v>
      </c>
    </row>
    <row r="10757" spans="103:104" x14ac:dyDescent="0.3">
      <c r="CY10757" s="34" t="s">
        <v>11684</v>
      </c>
      <c r="CZ10757" s="35">
        <v>5.1612976000000005E-2</v>
      </c>
    </row>
    <row r="10758" spans="103:104" x14ac:dyDescent="0.3">
      <c r="CY10758" s="34" t="s">
        <v>11685</v>
      </c>
      <c r="CZ10758" s="35">
        <v>5.2746576000000003E-2</v>
      </c>
    </row>
    <row r="10759" spans="103:104" x14ac:dyDescent="0.3">
      <c r="CY10759" s="34" t="s">
        <v>11686</v>
      </c>
      <c r="CZ10759" s="35">
        <v>0.20457072000000001</v>
      </c>
    </row>
    <row r="10760" spans="103:104" x14ac:dyDescent="0.3">
      <c r="CY10760" s="34" t="s">
        <v>11687</v>
      </c>
      <c r="CZ10760" s="35">
        <v>1.8170206000000001E-3</v>
      </c>
    </row>
    <row r="10761" spans="103:104" x14ac:dyDescent="0.3">
      <c r="CY10761" s="34" t="s">
        <v>11688</v>
      </c>
      <c r="CZ10761" s="35">
        <v>3.1463844166666668E-3</v>
      </c>
    </row>
    <row r="10762" spans="103:104" x14ac:dyDescent="0.3">
      <c r="CY10762" s="34" t="s">
        <v>11689</v>
      </c>
      <c r="CZ10762" s="35">
        <v>0.12479466600000001</v>
      </c>
    </row>
    <row r="10763" spans="103:104" x14ac:dyDescent="0.3">
      <c r="CY10763" s="34" t="s">
        <v>11690</v>
      </c>
      <c r="CZ10763" s="35">
        <v>3.9462603500000004E-3</v>
      </c>
    </row>
    <row r="10764" spans="103:104" x14ac:dyDescent="0.3">
      <c r="CY10764" s="34" t="s">
        <v>11691</v>
      </c>
      <c r="CZ10764" s="35">
        <v>3.9462603500000004E-3</v>
      </c>
    </row>
    <row r="10765" spans="103:104" x14ac:dyDescent="0.3">
      <c r="CY10765" s="34" t="s">
        <v>11692</v>
      </c>
      <c r="CZ10765" s="35">
        <v>1.0251764000000002E-2</v>
      </c>
    </row>
    <row r="10766" spans="103:104" x14ac:dyDescent="0.3">
      <c r="CY10766" s="34" t="s">
        <v>11693</v>
      </c>
      <c r="CZ10766" s="35">
        <v>3.4554420000000004E-3</v>
      </c>
    </row>
    <row r="10767" spans="103:104" x14ac:dyDescent="0.3">
      <c r="CY10767" s="34" t="s">
        <v>11694</v>
      </c>
      <c r="CZ10767" s="35">
        <v>0</v>
      </c>
    </row>
    <row r="10768" spans="103:104" x14ac:dyDescent="0.3">
      <c r="CY10768" s="34" t="s">
        <v>11695</v>
      </c>
      <c r="CZ10768" s="35">
        <v>2.0804919999999998E-3</v>
      </c>
    </row>
    <row r="10769" spans="103:104" x14ac:dyDescent="0.3">
      <c r="CY10769" s="34" t="s">
        <v>11696</v>
      </c>
      <c r="CZ10769" s="35">
        <v>1.7086500000000001E-2</v>
      </c>
    </row>
    <row r="10770" spans="103:104" x14ac:dyDescent="0.3">
      <c r="CY10770" s="34" t="s">
        <v>11697</v>
      </c>
      <c r="CZ10770" s="35">
        <v>1.91808976E-3</v>
      </c>
    </row>
    <row r="10771" spans="103:104" x14ac:dyDescent="0.3">
      <c r="CY10771" s="34" t="s">
        <v>11698</v>
      </c>
      <c r="CZ10771" s="35">
        <v>1.1244200000000001E-3</v>
      </c>
    </row>
    <row r="10772" spans="103:104" x14ac:dyDescent="0.3">
      <c r="CY10772" s="34" t="s">
        <v>11699</v>
      </c>
      <c r="CZ10772" s="35">
        <v>1.1244200000000001E-3</v>
      </c>
    </row>
    <row r="10773" spans="103:104" x14ac:dyDescent="0.3">
      <c r="CY10773" s="34" t="s">
        <v>11700</v>
      </c>
      <c r="CZ10773" s="35">
        <v>1.0529199999999999E-3</v>
      </c>
    </row>
    <row r="10774" spans="103:104" x14ac:dyDescent="0.3">
      <c r="CY10774" s="34" t="s">
        <v>11701</v>
      </c>
      <c r="CZ10774" s="35">
        <v>1.4671E-3</v>
      </c>
    </row>
    <row r="10775" spans="103:104" x14ac:dyDescent="0.3">
      <c r="CY10775" s="34" t="s">
        <v>11702</v>
      </c>
      <c r="CZ10775" s="35">
        <v>9.036279999999999E-3</v>
      </c>
    </row>
    <row r="10776" spans="103:104" x14ac:dyDescent="0.3">
      <c r="CY10776" s="34" t="s">
        <v>11703</v>
      </c>
      <c r="CZ10776" s="35">
        <v>1.0019220000000001E-2</v>
      </c>
    </row>
    <row r="10777" spans="103:104" x14ac:dyDescent="0.3">
      <c r="CY10777" s="34" t="s">
        <v>11704</v>
      </c>
      <c r="CZ10777" s="35">
        <v>0.19110759999999999</v>
      </c>
    </row>
    <row r="10778" spans="103:104" x14ac:dyDescent="0.3">
      <c r="CY10778" s="34" t="s">
        <v>11705</v>
      </c>
      <c r="CZ10778" s="35">
        <v>0.19110760000000002</v>
      </c>
    </row>
    <row r="10779" spans="103:104" x14ac:dyDescent="0.3">
      <c r="CY10779" s="34" t="s">
        <v>11706</v>
      </c>
      <c r="CZ10779" s="35">
        <v>2.638602E-2</v>
      </c>
    </row>
    <row r="10780" spans="103:104" x14ac:dyDescent="0.3">
      <c r="CY10780" s="34" t="s">
        <v>11707</v>
      </c>
      <c r="CZ10780" s="35">
        <v>2.7960599999999999E-2</v>
      </c>
    </row>
    <row r="10781" spans="103:104" x14ac:dyDescent="0.3">
      <c r="CY10781" s="34" t="s">
        <v>11708</v>
      </c>
      <c r="CZ10781" s="35">
        <v>5.4119250000000001E-2</v>
      </c>
    </row>
    <row r="10782" spans="103:104" x14ac:dyDescent="0.3">
      <c r="CY10782" s="34" t="s">
        <v>11709</v>
      </c>
      <c r="CZ10782" s="35">
        <v>2.6526723999999998E-2</v>
      </c>
    </row>
    <row r="10783" spans="103:104" x14ac:dyDescent="0.3">
      <c r="CY10783" s="34" t="s">
        <v>11710</v>
      </c>
      <c r="CZ10783" s="35">
        <v>2.6022724000000001E-2</v>
      </c>
    </row>
    <row r="10784" spans="103:104" x14ac:dyDescent="0.3">
      <c r="CY10784" s="34" t="s">
        <v>11711</v>
      </c>
      <c r="CZ10784" s="35">
        <v>3.3644689999999998E-2</v>
      </c>
    </row>
    <row r="10785" spans="103:104" x14ac:dyDescent="0.3">
      <c r="CY10785" s="34" t="s">
        <v>11712</v>
      </c>
      <c r="CZ10785" s="35">
        <v>0.15067040000000001</v>
      </c>
    </row>
    <row r="10786" spans="103:104" x14ac:dyDescent="0.3">
      <c r="CY10786" s="34" t="s">
        <v>11713</v>
      </c>
      <c r="CZ10786" s="35">
        <v>6.5314559999999994E-2</v>
      </c>
    </row>
    <row r="10787" spans="103:104" x14ac:dyDescent="0.3">
      <c r="CY10787" s="34" t="s">
        <v>11714</v>
      </c>
      <c r="CZ10787" s="35">
        <v>0.13638719999999999</v>
      </c>
    </row>
    <row r="10788" spans="103:104" x14ac:dyDescent="0.3">
      <c r="CY10788" s="34" t="s">
        <v>11715</v>
      </c>
      <c r="CZ10788" s="35">
        <v>3.0418859999999997E-3</v>
      </c>
    </row>
    <row r="10789" spans="103:104" x14ac:dyDescent="0.3">
      <c r="CY10789" s="34" t="s">
        <v>11716</v>
      </c>
      <c r="CZ10789" s="35">
        <v>2.0038440000000001E-2</v>
      </c>
    </row>
    <row r="10790" spans="103:104" x14ac:dyDescent="0.3">
      <c r="CY10790" s="34" t="s">
        <v>11717</v>
      </c>
      <c r="CZ10790" s="35">
        <v>5.5804719999999995E-2</v>
      </c>
    </row>
    <row r="10791" spans="103:104" x14ac:dyDescent="0.3">
      <c r="CY10791" s="34" t="s">
        <v>11718</v>
      </c>
      <c r="CZ10791" s="35">
        <v>1.7292004E-2</v>
      </c>
    </row>
    <row r="10792" spans="103:104" x14ac:dyDescent="0.3">
      <c r="CY10792" s="34" t="s">
        <v>11719</v>
      </c>
      <c r="CZ10792" s="35">
        <v>0.1527239</v>
      </c>
    </row>
    <row r="10793" spans="103:104" x14ac:dyDescent="0.3">
      <c r="CY10793" s="34" t="s">
        <v>11720</v>
      </c>
      <c r="CZ10793" s="35">
        <v>3.5699720000000004E-2</v>
      </c>
    </row>
    <row r="10794" spans="103:104" x14ac:dyDescent="0.3">
      <c r="CY10794" s="34" t="s">
        <v>11721</v>
      </c>
      <c r="CZ10794" s="35">
        <v>6.4238112E-2</v>
      </c>
    </row>
    <row r="10795" spans="103:104" x14ac:dyDescent="0.3">
      <c r="CY10795" s="34" t="s">
        <v>11722</v>
      </c>
      <c r="CZ10795" s="35">
        <v>1.0395306666666666E-2</v>
      </c>
    </row>
    <row r="10796" spans="103:104" x14ac:dyDescent="0.3">
      <c r="CY10796" s="34" t="s">
        <v>11723</v>
      </c>
      <c r="CZ10796" s="35">
        <v>3.3596599999999997E-2</v>
      </c>
    </row>
    <row r="10797" spans="103:104" x14ac:dyDescent="0.3">
      <c r="CY10797" s="34" t="s">
        <v>11724</v>
      </c>
      <c r="CZ10797" s="35">
        <v>2.9129079999999998E-2</v>
      </c>
    </row>
    <row r="10798" spans="103:104" x14ac:dyDescent="0.3">
      <c r="CY10798" s="34" t="s">
        <v>11725</v>
      </c>
      <c r="CZ10798" s="35">
        <v>2.9129079999999998E-2</v>
      </c>
    </row>
    <row r="10799" spans="103:104" x14ac:dyDescent="0.3">
      <c r="CY10799" s="34" t="s">
        <v>11726</v>
      </c>
      <c r="CZ10799" s="35">
        <v>2.9129080000000002E-2</v>
      </c>
    </row>
    <row r="10800" spans="103:104" x14ac:dyDescent="0.3">
      <c r="CY10800" s="34" t="s">
        <v>11727</v>
      </c>
      <c r="CZ10800" s="35">
        <v>9.0427359999999991E-3</v>
      </c>
    </row>
    <row r="10801" spans="103:104" x14ac:dyDescent="0.3">
      <c r="CY10801" s="34" t="s">
        <v>11728</v>
      </c>
      <c r="CZ10801" s="35">
        <v>0.16071583999999997</v>
      </c>
    </row>
    <row r="10802" spans="103:104" x14ac:dyDescent="0.3">
      <c r="CY10802" s="34" t="s">
        <v>11729</v>
      </c>
      <c r="CZ10802" s="35">
        <v>4.9341200000000002E-2</v>
      </c>
    </row>
    <row r="10803" spans="103:104" x14ac:dyDescent="0.3">
      <c r="CY10803" s="34" t="s">
        <v>11730</v>
      </c>
      <c r="CZ10803" s="35">
        <v>4.9341200000000002E-2</v>
      </c>
    </row>
    <row r="10804" spans="103:104" x14ac:dyDescent="0.3">
      <c r="CY10804" s="34" t="s">
        <v>11731</v>
      </c>
      <c r="CZ10804" s="35">
        <v>0.12479466600000001</v>
      </c>
    </row>
    <row r="10805" spans="103:104" x14ac:dyDescent="0.3">
      <c r="CY10805" s="34" t="s">
        <v>11732</v>
      </c>
      <c r="CZ10805" s="35">
        <v>0.20539951999999997</v>
      </c>
    </row>
    <row r="10806" spans="103:104" x14ac:dyDescent="0.3">
      <c r="CY10806" s="34" t="s">
        <v>11733</v>
      </c>
      <c r="CZ10806" s="35">
        <v>0.13965951999999998</v>
      </c>
    </row>
    <row r="10807" spans="103:104" x14ac:dyDescent="0.3">
      <c r="CY10807" s="34" t="s">
        <v>11734</v>
      </c>
      <c r="CZ10807" s="35">
        <v>0.32465793333333332</v>
      </c>
    </row>
    <row r="10808" spans="103:104" x14ac:dyDescent="0.3">
      <c r="CY10808" s="34" t="s">
        <v>11735</v>
      </c>
      <c r="CZ10808" s="35">
        <v>2.6945977600000001E-2</v>
      </c>
    </row>
    <row r="10809" spans="103:104" x14ac:dyDescent="0.3">
      <c r="CY10809" s="34" t="s">
        <v>11736</v>
      </c>
      <c r="CZ10809" s="35">
        <v>3.2787391999999999E-2</v>
      </c>
    </row>
    <row r="10810" spans="103:104" x14ac:dyDescent="0.3">
      <c r="CY10810" s="34" t="s">
        <v>11737</v>
      </c>
      <c r="CZ10810" s="35">
        <v>0.11958154</v>
      </c>
    </row>
    <row r="10811" spans="103:104" x14ac:dyDescent="0.3">
      <c r="CY10811" s="34" t="s">
        <v>11738</v>
      </c>
      <c r="CZ10811" s="35">
        <v>1.0988288000000001E-3</v>
      </c>
    </row>
    <row r="10812" spans="103:104" x14ac:dyDescent="0.3">
      <c r="CY10812" s="34" t="s">
        <v>11739</v>
      </c>
      <c r="CZ10812" s="35">
        <v>4.2118400000000001E-4</v>
      </c>
    </row>
    <row r="10813" spans="103:104" x14ac:dyDescent="0.3">
      <c r="CY10813" s="34" t="s">
        <v>11740</v>
      </c>
      <c r="CZ10813" s="35">
        <v>3.1464000000000004E-4</v>
      </c>
    </row>
    <row r="10814" spans="103:104" x14ac:dyDescent="0.3">
      <c r="CY10814" s="34" t="s">
        <v>11741</v>
      </c>
      <c r="CZ10814" s="35">
        <v>3.5931839999999999E-4</v>
      </c>
    </row>
    <row r="10815" spans="103:104" x14ac:dyDescent="0.3">
      <c r="CY10815" s="34" t="s">
        <v>11742</v>
      </c>
      <c r="CZ10815" s="35">
        <v>4.7412280000000001E-2</v>
      </c>
    </row>
    <row r="10816" spans="103:104" x14ac:dyDescent="0.3">
      <c r="CY10816" s="34" t="s">
        <v>11743</v>
      </c>
      <c r="CZ10816" s="35">
        <v>5.6595039999999999E-2</v>
      </c>
    </row>
    <row r="10817" spans="103:104" x14ac:dyDescent="0.3">
      <c r="CY10817" s="34" t="s">
        <v>11744</v>
      </c>
      <c r="CZ10817" s="35">
        <v>2.5593759999999999E-3</v>
      </c>
    </row>
    <row r="10818" spans="103:104" x14ac:dyDescent="0.3">
      <c r="CY10818" s="34" t="s">
        <v>11745</v>
      </c>
      <c r="CZ10818" s="35">
        <v>1.4809320000000003E-2</v>
      </c>
    </row>
    <row r="10819" spans="103:104" x14ac:dyDescent="0.3">
      <c r="CY10819" s="34" t="s">
        <v>11746</v>
      </c>
      <c r="CZ10819" s="35">
        <v>5.0065040000000005E-2</v>
      </c>
    </row>
    <row r="10820" spans="103:104" x14ac:dyDescent="0.3">
      <c r="CY10820" s="34" t="s">
        <v>11747</v>
      </c>
      <c r="CZ10820" s="35">
        <v>7.1052197000000001E-3</v>
      </c>
    </row>
    <row r="10821" spans="103:104" x14ac:dyDescent="0.3">
      <c r="CY10821" s="34" t="s">
        <v>11748</v>
      </c>
      <c r="CZ10821" s="35">
        <v>1.8470884000000001E-3</v>
      </c>
    </row>
    <row r="10822" spans="103:104" x14ac:dyDescent="0.3">
      <c r="CY10822" s="34" t="s">
        <v>11749</v>
      </c>
      <c r="CZ10822" s="35">
        <v>1.728154E-3</v>
      </c>
    </row>
    <row r="10823" spans="103:104" x14ac:dyDescent="0.3">
      <c r="CY10823" s="34" t="s">
        <v>11750</v>
      </c>
      <c r="CZ10823" s="35">
        <v>1.3026871999999997E-3</v>
      </c>
    </row>
    <row r="10824" spans="103:104" x14ac:dyDescent="0.3">
      <c r="CY10824" s="34" t="s">
        <v>11751</v>
      </c>
      <c r="CZ10824" s="35">
        <v>5.5946240000000003E-3</v>
      </c>
    </row>
    <row r="10825" spans="103:104" x14ac:dyDescent="0.3">
      <c r="CY10825" s="34" t="s">
        <v>11752</v>
      </c>
      <c r="CZ10825" s="35">
        <v>5.7612376E-3</v>
      </c>
    </row>
    <row r="10826" spans="103:104" x14ac:dyDescent="0.3">
      <c r="CY10826" s="34" t="s">
        <v>11753</v>
      </c>
      <c r="CZ10826" s="35">
        <v>3.6367999999999999E-3</v>
      </c>
    </row>
    <row r="10827" spans="103:104" x14ac:dyDescent="0.3">
      <c r="CY10827" s="34" t="s">
        <v>11754</v>
      </c>
      <c r="CZ10827" s="35">
        <v>3.2944880000000003E-2</v>
      </c>
    </row>
    <row r="10828" spans="103:104" x14ac:dyDescent="0.3">
      <c r="CY10828" s="34" t="s">
        <v>11755</v>
      </c>
      <c r="CZ10828" s="35">
        <v>4.4042080000000004E-2</v>
      </c>
    </row>
    <row r="10829" spans="103:104" x14ac:dyDescent="0.3">
      <c r="CY10829" s="34" t="s">
        <v>11756</v>
      </c>
      <c r="CZ10829" s="35">
        <v>3.9280959999999997E-2</v>
      </c>
    </row>
    <row r="10830" spans="103:104" x14ac:dyDescent="0.3">
      <c r="CY10830" s="34" t="s">
        <v>11757</v>
      </c>
      <c r="CZ10830" s="35">
        <v>4.2455039999999999E-2</v>
      </c>
    </row>
    <row r="10831" spans="103:104" x14ac:dyDescent="0.3">
      <c r="CY10831" s="34" t="s">
        <v>11758</v>
      </c>
      <c r="CZ10831" s="35">
        <v>1.7771727999999999E-3</v>
      </c>
    </row>
    <row r="10832" spans="103:104" x14ac:dyDescent="0.3">
      <c r="CY10832" s="34" t="s">
        <v>11759</v>
      </c>
      <c r="CZ10832" s="35">
        <v>6.4326440000000004E-3</v>
      </c>
    </row>
    <row r="10833" spans="103:104" x14ac:dyDescent="0.3">
      <c r="CY10833" s="34" t="s">
        <v>11760</v>
      </c>
      <c r="CZ10833" s="35">
        <v>2.5830560000000002E-2</v>
      </c>
    </row>
    <row r="10834" spans="103:104" x14ac:dyDescent="0.3">
      <c r="CY10834" s="34" t="s">
        <v>11761</v>
      </c>
      <c r="CZ10834" s="35">
        <v>2.339308E-2</v>
      </c>
    </row>
    <row r="10835" spans="103:104" x14ac:dyDescent="0.3">
      <c r="CY10835" s="34" t="s">
        <v>11762</v>
      </c>
      <c r="CZ10835" s="35">
        <v>1.1719300000000001E-3</v>
      </c>
    </row>
    <row r="10836" spans="103:104" x14ac:dyDescent="0.3">
      <c r="CY10836" s="34" t="s">
        <v>11763</v>
      </c>
      <c r="CZ10836" s="35">
        <v>1.628336E-2</v>
      </c>
    </row>
    <row r="10837" spans="103:104" x14ac:dyDescent="0.3">
      <c r="CY10837" s="34" t="s">
        <v>11764</v>
      </c>
      <c r="CZ10837" s="35">
        <v>4.4768000000000002E-2</v>
      </c>
    </row>
    <row r="10838" spans="103:104" x14ac:dyDescent="0.3">
      <c r="CY10838" s="34" t="s">
        <v>11765</v>
      </c>
      <c r="CZ10838" s="35">
        <v>4.5713440000000001E-2</v>
      </c>
    </row>
    <row r="10839" spans="103:104" x14ac:dyDescent="0.3">
      <c r="CY10839" s="34" t="s">
        <v>11766</v>
      </c>
      <c r="CZ10839" s="35">
        <v>6.4934199999999997E-2</v>
      </c>
    </row>
    <row r="10840" spans="103:104" x14ac:dyDescent="0.3">
      <c r="CY10840" s="34" t="s">
        <v>11767</v>
      </c>
      <c r="CZ10840" s="35">
        <v>9.0261740000000001E-4</v>
      </c>
    </row>
    <row r="10841" spans="103:104" x14ac:dyDescent="0.3">
      <c r="CY10841" s="34" t="s">
        <v>11768</v>
      </c>
      <c r="CZ10841" s="35">
        <v>4.444108799999999E-2</v>
      </c>
    </row>
    <row r="10842" spans="103:104" x14ac:dyDescent="0.3">
      <c r="CY10842" s="34" t="s">
        <v>11769</v>
      </c>
      <c r="CZ10842" s="35">
        <v>4.444108799999999E-2</v>
      </c>
    </row>
    <row r="10843" spans="103:104" x14ac:dyDescent="0.3">
      <c r="CY10843" s="34" t="s">
        <v>11770</v>
      </c>
      <c r="CZ10843" s="35">
        <v>2.387235111111111E-2</v>
      </c>
    </row>
    <row r="10844" spans="103:104" x14ac:dyDescent="0.3">
      <c r="CY10844" s="34" t="s">
        <v>11771</v>
      </c>
      <c r="CZ10844" s="35">
        <v>1.5669608000000002E-2</v>
      </c>
    </row>
    <row r="10845" spans="103:104" x14ac:dyDescent="0.3">
      <c r="CY10845" s="34" t="s">
        <v>11772</v>
      </c>
      <c r="CZ10845" s="35">
        <v>5.5879880000000003E-3</v>
      </c>
    </row>
    <row r="10846" spans="103:104" x14ac:dyDescent="0.3">
      <c r="CY10846" s="34" t="s">
        <v>11773</v>
      </c>
      <c r="CZ10846" s="35">
        <v>1.9244174E-3</v>
      </c>
    </row>
    <row r="10847" spans="103:104" x14ac:dyDescent="0.3">
      <c r="CY10847" s="34" t="s">
        <v>11774</v>
      </c>
      <c r="CZ10847" s="35">
        <v>1.8661877999999997E-3</v>
      </c>
    </row>
    <row r="10848" spans="103:104" x14ac:dyDescent="0.3">
      <c r="CY10848" s="34" t="s">
        <v>11775</v>
      </c>
      <c r="CZ10848" s="35">
        <v>2.6821873999999999E-2</v>
      </c>
    </row>
    <row r="10849" spans="103:104" x14ac:dyDescent="0.3">
      <c r="CY10849" s="34" t="s">
        <v>11776</v>
      </c>
      <c r="CZ10849" s="35">
        <v>2.7895893339999998E-2</v>
      </c>
    </row>
    <row r="10850" spans="103:104" x14ac:dyDescent="0.3">
      <c r="CY10850" s="34" t="s">
        <v>11777</v>
      </c>
      <c r="CZ10850" s="35">
        <v>1.2194760000000001E-2</v>
      </c>
    </row>
    <row r="10851" spans="103:104" x14ac:dyDescent="0.3">
      <c r="CY10851" s="34" t="s">
        <v>11778</v>
      </c>
      <c r="CZ10851" s="35">
        <v>1.4983623999999999E-2</v>
      </c>
    </row>
    <row r="10852" spans="103:104" x14ac:dyDescent="0.3">
      <c r="CY10852" s="34" t="s">
        <v>11779</v>
      </c>
      <c r="CZ10852" s="35">
        <v>1.9843279999999996E-3</v>
      </c>
    </row>
    <row r="10853" spans="103:104" x14ac:dyDescent="0.3">
      <c r="CY10853" s="34" t="s">
        <v>11780</v>
      </c>
      <c r="CZ10853" s="35">
        <v>0.3352038</v>
      </c>
    </row>
    <row r="10854" spans="103:104" x14ac:dyDescent="0.3">
      <c r="CY10854" s="34" t="s">
        <v>11781</v>
      </c>
      <c r="CZ10854" s="35">
        <v>2.398788421052632E-2</v>
      </c>
    </row>
    <row r="10855" spans="103:104" x14ac:dyDescent="0.3">
      <c r="CY10855" s="34" t="s">
        <v>11782</v>
      </c>
      <c r="CZ10855" s="35">
        <v>2.1810260000000001E-2</v>
      </c>
    </row>
    <row r="10856" spans="103:104" x14ac:dyDescent="0.3">
      <c r="CY10856" s="34" t="s">
        <v>11783</v>
      </c>
      <c r="CZ10856" s="35">
        <v>1.2702984E-2</v>
      </c>
    </row>
    <row r="10857" spans="103:104" x14ac:dyDescent="0.3">
      <c r="CY10857" s="34" t="s">
        <v>11784</v>
      </c>
      <c r="CZ10857" s="35">
        <v>0.14490607999999999</v>
      </c>
    </row>
    <row r="10858" spans="103:104" x14ac:dyDescent="0.3">
      <c r="CY10858" s="34" t="s">
        <v>11785</v>
      </c>
      <c r="CZ10858" s="35">
        <v>6.3651399999999997E-2</v>
      </c>
    </row>
    <row r="10859" spans="103:104" x14ac:dyDescent="0.3">
      <c r="CY10859" s="34" t="s">
        <v>11786</v>
      </c>
      <c r="CZ10859" s="35">
        <v>2.9381599999999996E-3</v>
      </c>
    </row>
    <row r="10860" spans="103:104" x14ac:dyDescent="0.3">
      <c r="CY10860" s="34" t="s">
        <v>11787</v>
      </c>
      <c r="CZ10860" s="35">
        <v>1.5532200000000001E-3</v>
      </c>
    </row>
    <row r="10861" spans="103:104" x14ac:dyDescent="0.3">
      <c r="CY10861" s="34" t="s">
        <v>11788</v>
      </c>
      <c r="CZ10861" s="35">
        <v>1.6008031999999997E-3</v>
      </c>
    </row>
    <row r="10862" spans="103:104" x14ac:dyDescent="0.3">
      <c r="CY10862" s="34" t="s">
        <v>11789</v>
      </c>
      <c r="CZ10862" s="35">
        <v>0.13043911999999999</v>
      </c>
    </row>
    <row r="10863" spans="103:104" x14ac:dyDescent="0.3">
      <c r="CY10863" s="34" t="s">
        <v>11790</v>
      </c>
      <c r="CZ10863" s="35">
        <v>3.9103439999999996E-3</v>
      </c>
    </row>
    <row r="10864" spans="103:104" x14ac:dyDescent="0.3">
      <c r="CY10864" s="34" t="s">
        <v>11791</v>
      </c>
      <c r="CZ10864" s="35">
        <v>4.9108879999999995E-3</v>
      </c>
    </row>
    <row r="10865" spans="103:104" x14ac:dyDescent="0.3">
      <c r="CY10865" s="34" t="s">
        <v>11792</v>
      </c>
      <c r="CZ10865" s="35">
        <v>4.680252E-2</v>
      </c>
    </row>
    <row r="10866" spans="103:104" x14ac:dyDescent="0.3">
      <c r="CY10866" s="34" t="s">
        <v>11793</v>
      </c>
      <c r="CZ10866" s="35">
        <v>4.868128E-2</v>
      </c>
    </row>
    <row r="10867" spans="103:104" x14ac:dyDescent="0.3">
      <c r="CY10867" s="34" t="s">
        <v>11794</v>
      </c>
      <c r="CZ10867" s="35">
        <v>6.0266699999999992E-2</v>
      </c>
    </row>
    <row r="10868" spans="103:104" x14ac:dyDescent="0.3">
      <c r="CY10868" s="34" t="s">
        <v>11795</v>
      </c>
      <c r="CZ10868" s="35">
        <v>8.6853987999999993E-2</v>
      </c>
    </row>
    <row r="10869" spans="103:104" x14ac:dyDescent="0.3">
      <c r="CY10869" s="34" t="s">
        <v>11796</v>
      </c>
      <c r="CZ10869" s="35">
        <v>9.0977573300000003E-2</v>
      </c>
    </row>
    <row r="10870" spans="103:104" x14ac:dyDescent="0.3">
      <c r="CY10870" s="34" t="s">
        <v>11797</v>
      </c>
      <c r="CZ10870" s="35">
        <v>4.1068069999999998E-2</v>
      </c>
    </row>
    <row r="10871" spans="103:104" x14ac:dyDescent="0.3">
      <c r="CY10871" s="34" t="s">
        <v>11798</v>
      </c>
      <c r="CZ10871" s="35">
        <v>2.84278E-2</v>
      </c>
    </row>
    <row r="10872" spans="103:104" x14ac:dyDescent="0.3">
      <c r="CY10872" s="34" t="s">
        <v>11799</v>
      </c>
      <c r="CZ10872" s="35">
        <v>2.5612520000000003E-2</v>
      </c>
    </row>
    <row r="10873" spans="103:104" x14ac:dyDescent="0.3">
      <c r="CY10873" s="34" t="s">
        <v>11800</v>
      </c>
      <c r="CZ10873" s="35">
        <v>2.5612520000000003E-2</v>
      </c>
    </row>
    <row r="10874" spans="103:104" x14ac:dyDescent="0.3">
      <c r="CY10874" s="34" t="s">
        <v>11801</v>
      </c>
      <c r="CZ10874" s="35">
        <v>2.8747119999999998E-2</v>
      </c>
    </row>
    <row r="10875" spans="103:104" x14ac:dyDescent="0.3">
      <c r="CY10875" s="34" t="s">
        <v>11802</v>
      </c>
      <c r="CZ10875" s="35">
        <v>2.0840900000000002E-2</v>
      </c>
    </row>
    <row r="10876" spans="103:104" x14ac:dyDescent="0.3">
      <c r="CY10876" s="34" t="s">
        <v>11803</v>
      </c>
      <c r="CZ10876" s="35">
        <v>2.0840900000000002E-2</v>
      </c>
    </row>
    <row r="10877" spans="103:104" x14ac:dyDescent="0.3">
      <c r="CY10877" s="34" t="s">
        <v>11804</v>
      </c>
      <c r="CZ10877" s="35">
        <v>9.3897040000000005E-3</v>
      </c>
    </row>
    <row r="10878" spans="103:104" x14ac:dyDescent="0.3">
      <c r="CY10878" s="34" t="s">
        <v>11805</v>
      </c>
      <c r="CZ10878" s="35">
        <v>1.5801249999999999E-2</v>
      </c>
    </row>
    <row r="10879" spans="103:104" x14ac:dyDescent="0.3">
      <c r="CY10879" s="34" t="s">
        <v>11806</v>
      </c>
      <c r="CZ10879" s="35">
        <v>1.0909616E-2</v>
      </c>
    </row>
    <row r="10880" spans="103:104" x14ac:dyDescent="0.3">
      <c r="CY10880" s="34" t="s">
        <v>11807</v>
      </c>
      <c r="CZ10880" s="35">
        <v>0.22753872</v>
      </c>
    </row>
    <row r="10881" spans="103:104" x14ac:dyDescent="0.3">
      <c r="CY10881" s="34" t="s">
        <v>11808</v>
      </c>
      <c r="CZ10881" s="35">
        <v>2.7218600000000003E-2</v>
      </c>
    </row>
    <row r="10882" spans="103:104" x14ac:dyDescent="0.3">
      <c r="CY10882" s="34" t="s">
        <v>11809</v>
      </c>
      <c r="CZ10882" s="35">
        <v>1.3435960000000002E-2</v>
      </c>
    </row>
    <row r="10883" spans="103:104" x14ac:dyDescent="0.3">
      <c r="CY10883" s="34" t="s">
        <v>11810</v>
      </c>
      <c r="CZ10883" s="35">
        <v>1.7830720000000001E-3</v>
      </c>
    </row>
    <row r="10884" spans="103:104" x14ac:dyDescent="0.3">
      <c r="CY10884" s="34" t="s">
        <v>11811</v>
      </c>
      <c r="CZ10884" s="35">
        <v>4.0251460000000003E-2</v>
      </c>
    </row>
    <row r="10885" spans="103:104" x14ac:dyDescent="0.3">
      <c r="CY10885" s="34" t="s">
        <v>11812</v>
      </c>
      <c r="CZ10885" s="35">
        <v>3.8516800000000001E-3</v>
      </c>
    </row>
    <row r="10886" spans="103:104" x14ac:dyDescent="0.3">
      <c r="CY10886" s="34" t="s">
        <v>11813</v>
      </c>
      <c r="CZ10886" s="35">
        <v>9.1224500000000007E-3</v>
      </c>
    </row>
    <row r="10887" spans="103:104" x14ac:dyDescent="0.3">
      <c r="CY10887" s="34" t="s">
        <v>11814</v>
      </c>
      <c r="CZ10887" s="35">
        <v>5.8800200000000014E-3</v>
      </c>
    </row>
    <row r="10888" spans="103:104" x14ac:dyDescent="0.3">
      <c r="CY10888" s="34" t="s">
        <v>11815</v>
      </c>
      <c r="CZ10888" s="35">
        <v>2.1781480000000002E-2</v>
      </c>
    </row>
    <row r="10889" spans="103:104" x14ac:dyDescent="0.3">
      <c r="CY10889" s="34" t="s">
        <v>11816</v>
      </c>
      <c r="CZ10889" s="35">
        <v>5.5724639999999992E-2</v>
      </c>
    </row>
    <row r="10890" spans="103:104" x14ac:dyDescent="0.3">
      <c r="CY10890" s="34" t="s">
        <v>11817</v>
      </c>
      <c r="CZ10890" s="35">
        <v>3.2752799999999999E-2</v>
      </c>
    </row>
    <row r="10891" spans="103:104" x14ac:dyDescent="0.3">
      <c r="CY10891" s="34" t="s">
        <v>11818</v>
      </c>
      <c r="CZ10891" s="35">
        <v>4.086312000000001E-2</v>
      </c>
    </row>
    <row r="10892" spans="103:104" x14ac:dyDescent="0.3">
      <c r="CY10892" s="34" t="s">
        <v>11819</v>
      </c>
      <c r="CZ10892" s="35">
        <v>0.17046845499999996</v>
      </c>
    </row>
    <row r="10893" spans="103:104" x14ac:dyDescent="0.3">
      <c r="CY10893" s="34" t="s">
        <v>11820</v>
      </c>
      <c r="CZ10893" s="35">
        <v>0.16960345499999999</v>
      </c>
    </row>
    <row r="10894" spans="103:104" x14ac:dyDescent="0.3">
      <c r="CY10894" s="34" t="s">
        <v>11821</v>
      </c>
      <c r="CZ10894" s="35">
        <v>3.4922499999999997E-3</v>
      </c>
    </row>
    <row r="10895" spans="103:104" x14ac:dyDescent="0.3">
      <c r="CY10895" s="34" t="s">
        <v>11822</v>
      </c>
      <c r="CZ10895" s="35">
        <v>2.8016900000000003E-3</v>
      </c>
    </row>
    <row r="10896" spans="103:104" x14ac:dyDescent="0.3">
      <c r="CY10896" s="34" t="s">
        <v>11823</v>
      </c>
      <c r="CZ10896" s="35">
        <v>6.9958159999999991E-2</v>
      </c>
    </row>
    <row r="10897" spans="103:104" x14ac:dyDescent="0.3">
      <c r="CY10897" s="34" t="s">
        <v>11824</v>
      </c>
      <c r="CZ10897" s="35">
        <v>1.1058944E-3</v>
      </c>
    </row>
    <row r="10898" spans="103:104" x14ac:dyDescent="0.3">
      <c r="CY10898" s="34" t="s">
        <v>11825</v>
      </c>
      <c r="CZ10898" s="35">
        <v>1.1058944E-3</v>
      </c>
    </row>
    <row r="10899" spans="103:104" x14ac:dyDescent="0.3">
      <c r="CY10899" s="34" t="s">
        <v>11826</v>
      </c>
      <c r="CZ10899" s="35">
        <v>1.0706944E-3</v>
      </c>
    </row>
    <row r="10900" spans="103:104" x14ac:dyDescent="0.3">
      <c r="CY10900" s="34" t="s">
        <v>11827</v>
      </c>
      <c r="CZ10900" s="35">
        <v>0.29707635555555556</v>
      </c>
    </row>
    <row r="10901" spans="103:104" x14ac:dyDescent="0.3">
      <c r="CY10901" s="34" t="s">
        <v>11828</v>
      </c>
      <c r="CZ10901" s="35">
        <v>5.0718335999999996E-2</v>
      </c>
    </row>
    <row r="10902" spans="103:104" x14ac:dyDescent="0.3">
      <c r="CY10902" s="34" t="s">
        <v>11829</v>
      </c>
      <c r="CZ10902" s="35">
        <v>1.2490269884E-2</v>
      </c>
    </row>
    <row r="10903" spans="103:104" x14ac:dyDescent="0.3">
      <c r="CY10903" s="34" t="s">
        <v>11830</v>
      </c>
      <c r="CZ10903" s="35">
        <v>1.244969252116402E-2</v>
      </c>
    </row>
    <row r="10904" spans="103:104" x14ac:dyDescent="0.3">
      <c r="CY10904" s="34" t="s">
        <v>11831</v>
      </c>
      <c r="CZ10904" s="35">
        <v>1.4457807743209875E-2</v>
      </c>
    </row>
    <row r="10905" spans="103:104" x14ac:dyDescent="0.3">
      <c r="CY10905" s="34" t="s">
        <v>11832</v>
      </c>
      <c r="CZ10905" s="35">
        <v>1.2188957340000001E-2</v>
      </c>
    </row>
    <row r="10906" spans="103:104" x14ac:dyDescent="0.3">
      <c r="CY10906" s="34" t="s">
        <v>11833</v>
      </c>
      <c r="CZ10906" s="35">
        <v>9.1786799999999996E-4</v>
      </c>
    </row>
    <row r="10907" spans="103:104" x14ac:dyDescent="0.3">
      <c r="CY10907" s="34" t="s">
        <v>11834</v>
      </c>
      <c r="CZ10907" s="35">
        <v>9.6591992000000002E-2</v>
      </c>
    </row>
    <row r="10908" spans="103:104" x14ac:dyDescent="0.3">
      <c r="CY10908" s="34" t="s">
        <v>11835</v>
      </c>
      <c r="CZ10908" s="35">
        <v>4.2811200000000001E-2</v>
      </c>
    </row>
    <row r="10909" spans="103:104" x14ac:dyDescent="0.3">
      <c r="CY10909" s="34" t="s">
        <v>11836</v>
      </c>
      <c r="CZ10909" s="35">
        <v>8.8291440000000013E-2</v>
      </c>
    </row>
    <row r="10910" spans="103:104" x14ac:dyDescent="0.3">
      <c r="CY10910" s="34" t="s">
        <v>11837</v>
      </c>
      <c r="CZ10910" s="35">
        <v>0.12659646399999999</v>
      </c>
    </row>
    <row r="10911" spans="103:104" x14ac:dyDescent="0.3">
      <c r="CY10911" s="34" t="s">
        <v>11838</v>
      </c>
      <c r="CZ10911" s="35">
        <v>2.0032600000000001E-2</v>
      </c>
    </row>
    <row r="10912" spans="103:104" x14ac:dyDescent="0.3">
      <c r="CY10912" s="34" t="s">
        <v>11839</v>
      </c>
      <c r="CZ10912" s="35">
        <v>2.7105120000000003E-2</v>
      </c>
    </row>
    <row r="10913" spans="103:104" x14ac:dyDescent="0.3">
      <c r="CY10913" s="34" t="s">
        <v>11840</v>
      </c>
      <c r="CZ10913" s="35">
        <v>2.3298220800000002E-2</v>
      </c>
    </row>
    <row r="10914" spans="103:104" x14ac:dyDescent="0.3">
      <c r="CY10914" s="34" t="s">
        <v>11841</v>
      </c>
      <c r="CZ10914" s="35">
        <v>2.7202786400000005E-2</v>
      </c>
    </row>
    <row r="10915" spans="103:104" x14ac:dyDescent="0.3">
      <c r="CY10915" s="34" t="s">
        <v>11842</v>
      </c>
      <c r="CZ10915" s="35">
        <v>8.5686239999999997E-2</v>
      </c>
    </row>
    <row r="10916" spans="103:104" x14ac:dyDescent="0.3">
      <c r="CY10916" s="34" t="s">
        <v>11843</v>
      </c>
      <c r="CZ10916" s="35">
        <v>2.8485667999999999E-2</v>
      </c>
    </row>
    <row r="10917" spans="103:104" x14ac:dyDescent="0.3">
      <c r="CY10917" s="34" t="s">
        <v>11844</v>
      </c>
      <c r="CZ10917" s="35">
        <v>5.7523247999999992E-2</v>
      </c>
    </row>
    <row r="10918" spans="103:104" x14ac:dyDescent="0.3">
      <c r="CY10918" s="34" t="s">
        <v>11845</v>
      </c>
      <c r="CZ10918" s="35">
        <v>8.4660800000000008E-2</v>
      </c>
    </row>
    <row r="10919" spans="103:104" x14ac:dyDescent="0.3">
      <c r="CY10919" s="34" t="s">
        <v>11846</v>
      </c>
      <c r="CZ10919" s="35">
        <v>3.00338432E-2</v>
      </c>
    </row>
    <row r="10920" spans="103:104" x14ac:dyDescent="0.3">
      <c r="CY10920" s="34" t="s">
        <v>11847</v>
      </c>
      <c r="CZ10920" s="35">
        <v>2.1833422400000004E-2</v>
      </c>
    </row>
    <row r="10921" spans="103:104" x14ac:dyDescent="0.3">
      <c r="CY10921" s="34" t="s">
        <v>11848</v>
      </c>
      <c r="CZ10921" s="35">
        <v>0.21571704</v>
      </c>
    </row>
    <row r="10922" spans="103:104" x14ac:dyDescent="0.3">
      <c r="CY10922" s="34" t="s">
        <v>11849</v>
      </c>
      <c r="CZ10922" s="35">
        <v>0.21109040000000001</v>
      </c>
    </row>
    <row r="10923" spans="103:104" x14ac:dyDescent="0.3">
      <c r="CY10923" s="34" t="s">
        <v>11850</v>
      </c>
      <c r="CZ10923" s="35">
        <v>4.7999552000000001E-2</v>
      </c>
    </row>
    <row r="10924" spans="103:104" x14ac:dyDescent="0.3">
      <c r="CY10924" s="34" t="s">
        <v>11851</v>
      </c>
      <c r="CZ10924" s="35">
        <v>4.2836991999999997E-2</v>
      </c>
    </row>
    <row r="10925" spans="103:104" x14ac:dyDescent="0.3">
      <c r="CY10925" s="34" t="s">
        <v>11852</v>
      </c>
      <c r="CZ10925" s="35">
        <v>5.4581440000000002E-2</v>
      </c>
    </row>
    <row r="10926" spans="103:104" x14ac:dyDescent="0.3">
      <c r="CY10926" s="34" t="s">
        <v>11853</v>
      </c>
      <c r="CZ10926" s="35">
        <v>3.1826879999999997E-4</v>
      </c>
    </row>
    <row r="10927" spans="103:104" x14ac:dyDescent="0.3">
      <c r="CY10927" s="34" t="s">
        <v>11854</v>
      </c>
      <c r="CZ10927" s="35">
        <v>6.5100431999999997E-4</v>
      </c>
    </row>
    <row r="10928" spans="103:104" x14ac:dyDescent="0.3">
      <c r="CY10928" s="34" t="s">
        <v>11855</v>
      </c>
      <c r="CZ10928" s="35">
        <v>0.14339719334000001</v>
      </c>
    </row>
    <row r="10929" spans="103:104" x14ac:dyDescent="0.3">
      <c r="CY10929" s="34" t="s">
        <v>11856</v>
      </c>
      <c r="CZ10929" s="35">
        <v>1.931184E-2</v>
      </c>
    </row>
    <row r="10930" spans="103:104" x14ac:dyDescent="0.3">
      <c r="CY10930" s="34" t="s">
        <v>11857</v>
      </c>
      <c r="CZ10930" s="35">
        <v>9.2490000000000003E-3</v>
      </c>
    </row>
    <row r="10931" spans="103:104" x14ac:dyDescent="0.3">
      <c r="CY10931" s="34" t="s">
        <v>11858</v>
      </c>
      <c r="CZ10931" s="35">
        <v>8.8061599999999997E-4</v>
      </c>
    </row>
    <row r="10932" spans="103:104" x14ac:dyDescent="0.3">
      <c r="CY10932" s="34" t="s">
        <v>11859</v>
      </c>
      <c r="CZ10932" s="35">
        <v>1.1483040000000002E-3</v>
      </c>
    </row>
    <row r="10933" spans="103:104" x14ac:dyDescent="0.3">
      <c r="CY10933" s="34" t="s">
        <v>11860</v>
      </c>
      <c r="CZ10933" s="35">
        <v>6.3169680000000001E-4</v>
      </c>
    </row>
    <row r="10934" spans="103:104" x14ac:dyDescent="0.3">
      <c r="CY10934" s="34" t="s">
        <v>11861</v>
      </c>
      <c r="CZ10934" s="35">
        <v>2.143112E-3</v>
      </c>
    </row>
    <row r="10935" spans="103:104" x14ac:dyDescent="0.3">
      <c r="CY10935" s="34" t="s">
        <v>11862</v>
      </c>
      <c r="CZ10935" s="35">
        <v>2.143112E-3</v>
      </c>
    </row>
    <row r="10936" spans="103:104" x14ac:dyDescent="0.3">
      <c r="CY10936" s="34" t="s">
        <v>11863</v>
      </c>
      <c r="CZ10936" s="35">
        <v>2.143112E-3</v>
      </c>
    </row>
    <row r="10937" spans="103:104" x14ac:dyDescent="0.3">
      <c r="CY10937" s="34" t="s">
        <v>11864</v>
      </c>
      <c r="CZ10937" s="35">
        <v>2.1377665450000001E-3</v>
      </c>
    </row>
    <row r="10938" spans="103:104" x14ac:dyDescent="0.3">
      <c r="CY10938" s="34" t="s">
        <v>11865</v>
      </c>
      <c r="CZ10938" s="35">
        <v>1.754486E-3</v>
      </c>
    </row>
    <row r="10939" spans="103:104" x14ac:dyDescent="0.3">
      <c r="CY10939" s="34" t="s">
        <v>11866</v>
      </c>
      <c r="CZ10939" s="35">
        <v>5.2179019999999991E-4</v>
      </c>
    </row>
    <row r="10940" spans="103:104" x14ac:dyDescent="0.3">
      <c r="CY10940" s="34" t="s">
        <v>11867</v>
      </c>
      <c r="CZ10940" s="35">
        <v>4.6294800000000003E-4</v>
      </c>
    </row>
    <row r="10941" spans="103:104" x14ac:dyDescent="0.3">
      <c r="CY10941" s="34" t="s">
        <v>11868</v>
      </c>
      <c r="CZ10941" s="35">
        <v>4.1608600000000003E-4</v>
      </c>
    </row>
    <row r="10942" spans="103:104" x14ac:dyDescent="0.3">
      <c r="CY10942" s="34" t="s">
        <v>11869</v>
      </c>
      <c r="CZ10942" s="35">
        <v>1.669676E-4</v>
      </c>
    </row>
    <row r="10943" spans="103:104" x14ac:dyDescent="0.3">
      <c r="CY10943" s="34" t="s">
        <v>11870</v>
      </c>
      <c r="CZ10943" s="35">
        <v>5.6437920000000012E-4</v>
      </c>
    </row>
    <row r="10944" spans="103:104" x14ac:dyDescent="0.3">
      <c r="CY10944" s="34" t="s">
        <v>11871</v>
      </c>
      <c r="CZ10944" s="35">
        <v>3.5234380000000003E-4</v>
      </c>
    </row>
    <row r="10945" spans="103:104" x14ac:dyDescent="0.3">
      <c r="CY10945" s="34" t="s">
        <v>11872</v>
      </c>
      <c r="CZ10945" s="35">
        <v>2.0240887999999997E-3</v>
      </c>
    </row>
    <row r="10946" spans="103:104" x14ac:dyDescent="0.3">
      <c r="CY10946" s="34" t="s">
        <v>11873</v>
      </c>
      <c r="CZ10946" s="35">
        <v>3.9684240000000003E-4</v>
      </c>
    </row>
    <row r="10947" spans="103:104" x14ac:dyDescent="0.3">
      <c r="CY10947" s="34" t="s">
        <v>11874</v>
      </c>
      <c r="CZ10947" s="35">
        <v>2.6971960000000001E-4</v>
      </c>
    </row>
    <row r="10948" spans="103:104" x14ac:dyDescent="0.3">
      <c r="CY10948" s="34" t="s">
        <v>11875</v>
      </c>
      <c r="CZ10948" s="35">
        <v>5.7053463999999997E-4</v>
      </c>
    </row>
    <row r="10949" spans="103:104" x14ac:dyDescent="0.3">
      <c r="CY10949" s="34" t="s">
        <v>11876</v>
      </c>
      <c r="CZ10949" s="35">
        <v>3.4996171500000005E-4</v>
      </c>
    </row>
    <row r="10950" spans="103:104" x14ac:dyDescent="0.3">
      <c r="CY10950" s="34" t="s">
        <v>11877</v>
      </c>
      <c r="CZ10950" s="35">
        <v>5.0273600000000005E-4</v>
      </c>
    </row>
    <row r="10951" spans="103:104" x14ac:dyDescent="0.3">
      <c r="CY10951" s="34" t="s">
        <v>11878</v>
      </c>
      <c r="CZ10951" s="35">
        <v>9.7041679999999993E-4</v>
      </c>
    </row>
    <row r="10952" spans="103:104" x14ac:dyDescent="0.3">
      <c r="CY10952" s="34" t="s">
        <v>11879</v>
      </c>
      <c r="CZ10952" s="35">
        <v>1.3027200000000003E-3</v>
      </c>
    </row>
    <row r="10953" spans="103:104" x14ac:dyDescent="0.3">
      <c r="CY10953" s="34" t="s">
        <v>11880</v>
      </c>
      <c r="CZ10953" s="35">
        <v>4.7839159999999998E-4</v>
      </c>
    </row>
    <row r="10954" spans="103:104" x14ac:dyDescent="0.3">
      <c r="CY10954" s="34" t="s">
        <v>11881</v>
      </c>
      <c r="CZ10954" s="35">
        <v>7.6078720000000003E-4</v>
      </c>
    </row>
    <row r="10955" spans="103:104" x14ac:dyDescent="0.3">
      <c r="CY10955" s="34" t="s">
        <v>11882</v>
      </c>
      <c r="CZ10955" s="35">
        <v>3.5775559999999995E-4</v>
      </c>
    </row>
    <row r="10956" spans="103:104" x14ac:dyDescent="0.3">
      <c r="CY10956" s="34" t="s">
        <v>11883</v>
      </c>
      <c r="CZ10956" s="35">
        <v>4.97906E-4</v>
      </c>
    </row>
    <row r="10957" spans="103:104" x14ac:dyDescent="0.3">
      <c r="CY10957" s="34" t="s">
        <v>11884</v>
      </c>
      <c r="CZ10957" s="35">
        <v>1.0862822344827586E-3</v>
      </c>
    </row>
    <row r="10958" spans="103:104" x14ac:dyDescent="0.3">
      <c r="CY10958" s="34" t="s">
        <v>11885</v>
      </c>
      <c r="CZ10958" s="35">
        <v>6.890024E-4</v>
      </c>
    </row>
    <row r="10959" spans="103:104" x14ac:dyDescent="0.3">
      <c r="CY10959" s="34" t="s">
        <v>11886</v>
      </c>
      <c r="CZ10959" s="35">
        <v>9.2372479999999996E-5</v>
      </c>
    </row>
    <row r="10960" spans="103:104" x14ac:dyDescent="0.3">
      <c r="CY10960" s="34" t="s">
        <v>11887</v>
      </c>
      <c r="CZ10960" s="35">
        <v>4.9421928000000003E-4</v>
      </c>
    </row>
    <row r="10961" spans="103:104" x14ac:dyDescent="0.3">
      <c r="CY10961" s="34" t="s">
        <v>11888</v>
      </c>
      <c r="CZ10961" s="35">
        <v>1.37033E-2</v>
      </c>
    </row>
    <row r="10962" spans="103:104" x14ac:dyDescent="0.3">
      <c r="CY10962" s="34" t="s">
        <v>11889</v>
      </c>
      <c r="CZ10962" s="35">
        <v>3.0066400000000002E-4</v>
      </c>
    </row>
    <row r="10963" spans="103:104" x14ac:dyDescent="0.3">
      <c r="CY10963" s="34" t="s">
        <v>11890</v>
      </c>
      <c r="CZ10963" s="35">
        <v>1.1051897333333334E-3</v>
      </c>
    </row>
    <row r="10964" spans="103:104" x14ac:dyDescent="0.3">
      <c r="CY10964" s="34" t="s">
        <v>11891</v>
      </c>
      <c r="CZ10964" s="35">
        <v>1.2551471999999999E-3</v>
      </c>
    </row>
    <row r="10965" spans="103:104" x14ac:dyDescent="0.3">
      <c r="CY10965" s="34" t="s">
        <v>11892</v>
      </c>
      <c r="CZ10965" s="35">
        <v>2.3935819999999999E-4</v>
      </c>
    </row>
    <row r="10966" spans="103:104" x14ac:dyDescent="0.3">
      <c r="CY10966" s="34" t="s">
        <v>11893</v>
      </c>
      <c r="CZ10966" s="35">
        <v>3.2738380000000005E-4</v>
      </c>
    </row>
    <row r="10967" spans="103:104" x14ac:dyDescent="0.3">
      <c r="CY10967" s="34" t="s">
        <v>11894</v>
      </c>
      <c r="CZ10967" s="35">
        <v>5.7297359999999994E-4</v>
      </c>
    </row>
    <row r="10968" spans="103:104" x14ac:dyDescent="0.3">
      <c r="CY10968" s="34" t="s">
        <v>11895</v>
      </c>
      <c r="CZ10968" s="35">
        <v>4.8295839999999994E-4</v>
      </c>
    </row>
    <row r="10969" spans="103:104" x14ac:dyDescent="0.3">
      <c r="CY10969" s="34" t="s">
        <v>11896</v>
      </c>
      <c r="CZ10969" s="35">
        <v>3.7821239999999998E-4</v>
      </c>
    </row>
    <row r="10970" spans="103:104" x14ac:dyDescent="0.3">
      <c r="CY10970" s="34" t="s">
        <v>11897</v>
      </c>
      <c r="CZ10970" s="35">
        <v>5.8839360000000009E-4</v>
      </c>
    </row>
    <row r="10971" spans="103:104" x14ac:dyDescent="0.3">
      <c r="CY10971" s="34" t="s">
        <v>11898</v>
      </c>
      <c r="CZ10971" s="35">
        <v>1.5641632000000002E-3</v>
      </c>
    </row>
    <row r="10972" spans="103:104" x14ac:dyDescent="0.3">
      <c r="CY10972" s="34" t="s">
        <v>11899</v>
      </c>
      <c r="CZ10972" s="35">
        <v>5.1343552000000011E-4</v>
      </c>
    </row>
    <row r="10973" spans="103:104" x14ac:dyDescent="0.3">
      <c r="CY10973" s="34" t="s">
        <v>11900</v>
      </c>
      <c r="CZ10973" s="35">
        <v>4.5526600000000007E-4</v>
      </c>
    </row>
    <row r="10974" spans="103:104" x14ac:dyDescent="0.3">
      <c r="CY10974" s="34" t="s">
        <v>11901</v>
      </c>
      <c r="CZ10974" s="35">
        <v>5.2663799999999995E-5</v>
      </c>
    </row>
    <row r="10975" spans="103:104" x14ac:dyDescent="0.3">
      <c r="CY10975" s="34" t="s">
        <v>11902</v>
      </c>
      <c r="CZ10975" s="35">
        <v>6.5352535999999993E-4</v>
      </c>
    </row>
    <row r="10976" spans="103:104" x14ac:dyDescent="0.3">
      <c r="CY10976" s="34" t="s">
        <v>11903</v>
      </c>
      <c r="CZ10976" s="35">
        <v>1.0618660000000001E-3</v>
      </c>
    </row>
    <row r="10977" spans="103:104" x14ac:dyDescent="0.3">
      <c r="CY10977" s="34" t="s">
        <v>11904</v>
      </c>
      <c r="CZ10977" s="35">
        <v>8.9015680000000008E-4</v>
      </c>
    </row>
    <row r="10978" spans="103:104" x14ac:dyDescent="0.3">
      <c r="CY10978" s="34" t="s">
        <v>11905</v>
      </c>
      <c r="CZ10978" s="35">
        <v>2.4895279999999999E-2</v>
      </c>
    </row>
    <row r="10979" spans="103:104" x14ac:dyDescent="0.3">
      <c r="CY10979" s="34" t="s">
        <v>11906</v>
      </c>
      <c r="CZ10979" s="35">
        <v>2.4895279999999999E-2</v>
      </c>
    </row>
    <row r="10980" spans="103:104" x14ac:dyDescent="0.3">
      <c r="CY10980" s="34" t="s">
        <v>11907</v>
      </c>
      <c r="CZ10980" s="35">
        <v>2.4895279999999999E-2</v>
      </c>
    </row>
    <row r="10981" spans="103:104" x14ac:dyDescent="0.3">
      <c r="CY10981" s="34" t="s">
        <v>11908</v>
      </c>
      <c r="CZ10981" s="35">
        <v>2.4895279999999999E-2</v>
      </c>
    </row>
    <row r="10982" spans="103:104" x14ac:dyDescent="0.3">
      <c r="CY10982" s="34" t="s">
        <v>11909</v>
      </c>
      <c r="CZ10982" s="35">
        <v>2.4895279999999999E-2</v>
      </c>
    </row>
    <row r="10983" spans="103:104" x14ac:dyDescent="0.3">
      <c r="CY10983" s="34" t="s">
        <v>11910</v>
      </c>
      <c r="CZ10983" s="35">
        <v>2.859768E-2</v>
      </c>
    </row>
    <row r="10984" spans="103:104" x14ac:dyDescent="0.3">
      <c r="CY10984" s="34" t="s">
        <v>11911</v>
      </c>
      <c r="CZ10984" s="35">
        <v>2.859768E-2</v>
      </c>
    </row>
    <row r="10985" spans="103:104" x14ac:dyDescent="0.3">
      <c r="CY10985" s="34" t="s">
        <v>11912</v>
      </c>
      <c r="CZ10985" s="35">
        <v>2.859768E-2</v>
      </c>
    </row>
    <row r="10986" spans="103:104" x14ac:dyDescent="0.3">
      <c r="CY10986" s="34" t="s">
        <v>11913</v>
      </c>
      <c r="CZ10986" s="35">
        <v>2.859768E-2</v>
      </c>
    </row>
    <row r="10987" spans="103:104" x14ac:dyDescent="0.3">
      <c r="CY10987" s="34" t="s">
        <v>11914</v>
      </c>
      <c r="CZ10987" s="35">
        <v>2.859768E-2</v>
      </c>
    </row>
    <row r="10988" spans="103:104" x14ac:dyDescent="0.3">
      <c r="CY10988" s="34" t="s">
        <v>11915</v>
      </c>
      <c r="CZ10988" s="35">
        <v>2.4769439999999993E-2</v>
      </c>
    </row>
    <row r="10989" spans="103:104" x14ac:dyDescent="0.3">
      <c r="CY10989" s="34" t="s">
        <v>11916</v>
      </c>
      <c r="CZ10989" s="35">
        <v>2.4769439999999993E-2</v>
      </c>
    </row>
    <row r="10990" spans="103:104" x14ac:dyDescent="0.3">
      <c r="CY10990" s="34" t="s">
        <v>11917</v>
      </c>
      <c r="CZ10990" s="35">
        <v>2.4769439999999993E-2</v>
      </c>
    </row>
    <row r="10991" spans="103:104" x14ac:dyDescent="0.3">
      <c r="CY10991" s="34" t="s">
        <v>11918</v>
      </c>
      <c r="CZ10991" s="35">
        <v>2.4769439999999993E-2</v>
      </c>
    </row>
    <row r="10992" spans="103:104" x14ac:dyDescent="0.3">
      <c r="CY10992" s="34" t="s">
        <v>11919</v>
      </c>
      <c r="CZ10992" s="35">
        <v>2.4769439999999993E-2</v>
      </c>
    </row>
    <row r="10993" spans="103:104" x14ac:dyDescent="0.3">
      <c r="CY10993" s="34" t="s">
        <v>11920</v>
      </c>
      <c r="CZ10993" s="35">
        <v>3.2945659999999995E-2</v>
      </c>
    </row>
    <row r="10994" spans="103:104" x14ac:dyDescent="0.3">
      <c r="CY10994" s="34" t="s">
        <v>11921</v>
      </c>
      <c r="CZ10994" s="35">
        <v>3.2945659999999995E-2</v>
      </c>
    </row>
    <row r="10995" spans="103:104" x14ac:dyDescent="0.3">
      <c r="CY10995" s="34" t="s">
        <v>11922</v>
      </c>
      <c r="CZ10995" s="35">
        <v>3.2945659999999995E-2</v>
      </c>
    </row>
    <row r="10996" spans="103:104" x14ac:dyDescent="0.3">
      <c r="CY10996" s="34" t="s">
        <v>11923</v>
      </c>
      <c r="CZ10996" s="35">
        <v>3.2945659999999995E-2</v>
      </c>
    </row>
    <row r="10997" spans="103:104" x14ac:dyDescent="0.3">
      <c r="CY10997" s="34" t="s">
        <v>11924</v>
      </c>
      <c r="CZ10997" s="35">
        <v>3.2945659999999995E-2</v>
      </c>
    </row>
    <row r="10998" spans="103:104" x14ac:dyDescent="0.3">
      <c r="CY10998" s="34" t="s">
        <v>11925</v>
      </c>
      <c r="CZ10998" s="35">
        <v>4.0290579999999999E-2</v>
      </c>
    </row>
    <row r="10999" spans="103:104" x14ac:dyDescent="0.3">
      <c r="CY10999" s="34" t="s">
        <v>11926</v>
      </c>
      <c r="CZ10999" s="35">
        <v>4.0290579999999999E-2</v>
      </c>
    </row>
    <row r="11000" spans="103:104" x14ac:dyDescent="0.3">
      <c r="CY11000" s="34" t="s">
        <v>11927</v>
      </c>
      <c r="CZ11000" s="35">
        <v>4.0290579999999999E-2</v>
      </c>
    </row>
    <row r="11001" spans="103:104" x14ac:dyDescent="0.3">
      <c r="CY11001" s="34" t="s">
        <v>11928</v>
      </c>
      <c r="CZ11001" s="35">
        <v>4.0290579999999999E-2</v>
      </c>
    </row>
    <row r="11002" spans="103:104" x14ac:dyDescent="0.3">
      <c r="CY11002" s="34" t="s">
        <v>11929</v>
      </c>
      <c r="CZ11002" s="35">
        <v>4.0290579999999999E-2</v>
      </c>
    </row>
    <row r="11003" spans="103:104" x14ac:dyDescent="0.3">
      <c r="CY11003" s="34" t="s">
        <v>11930</v>
      </c>
      <c r="CZ11003" s="35">
        <v>4.0290579999999999E-2</v>
      </c>
    </row>
    <row r="11004" spans="103:104" x14ac:dyDescent="0.3">
      <c r="CY11004" s="34" t="s">
        <v>11931</v>
      </c>
      <c r="CZ11004" s="35">
        <v>7.4903999999999986E-3</v>
      </c>
    </row>
    <row r="11005" spans="103:104" x14ac:dyDescent="0.3">
      <c r="CY11005" s="34" t="s">
        <v>11932</v>
      </c>
      <c r="CZ11005" s="35">
        <v>7.4903999999999986E-3</v>
      </c>
    </row>
    <row r="11006" spans="103:104" x14ac:dyDescent="0.3">
      <c r="CY11006" s="34" t="s">
        <v>11933</v>
      </c>
      <c r="CZ11006" s="35">
        <v>7.4903999999999986E-3</v>
      </c>
    </row>
    <row r="11007" spans="103:104" x14ac:dyDescent="0.3">
      <c r="CY11007" s="34" t="s">
        <v>11934</v>
      </c>
      <c r="CZ11007" s="35">
        <v>1.1178240000000001E-2</v>
      </c>
    </row>
    <row r="11008" spans="103:104" x14ac:dyDescent="0.3">
      <c r="CY11008" s="34" t="s">
        <v>11935</v>
      </c>
      <c r="CZ11008" s="35">
        <v>1.1178240000000001E-2</v>
      </c>
    </row>
    <row r="11009" spans="103:104" x14ac:dyDescent="0.3">
      <c r="CY11009" s="34" t="s">
        <v>11936</v>
      </c>
      <c r="CZ11009" s="35">
        <v>1.1178240000000001E-2</v>
      </c>
    </row>
    <row r="11010" spans="103:104" x14ac:dyDescent="0.3">
      <c r="CY11010" s="34" t="s">
        <v>11937</v>
      </c>
      <c r="CZ11010" s="35">
        <v>1.1178240000000001E-2</v>
      </c>
    </row>
    <row r="11011" spans="103:104" x14ac:dyDescent="0.3">
      <c r="CY11011" s="34" t="s">
        <v>11938</v>
      </c>
      <c r="CZ11011" s="35">
        <v>1.1178239999999999E-2</v>
      </c>
    </row>
    <row r="11012" spans="103:104" x14ac:dyDescent="0.3">
      <c r="CY11012" s="34" t="s">
        <v>11939</v>
      </c>
      <c r="CZ11012" s="35">
        <v>1.1178240000000001E-2</v>
      </c>
    </row>
    <row r="11013" spans="103:104" x14ac:dyDescent="0.3">
      <c r="CY11013" s="34" t="s">
        <v>11940</v>
      </c>
      <c r="CZ11013" s="35">
        <v>1.5384320000000002E-2</v>
      </c>
    </row>
    <row r="11014" spans="103:104" x14ac:dyDescent="0.3">
      <c r="CY11014" s="34" t="s">
        <v>11941</v>
      </c>
      <c r="CZ11014" s="35">
        <v>1.5384319999999998E-2</v>
      </c>
    </row>
    <row r="11015" spans="103:104" x14ac:dyDescent="0.3">
      <c r="CY11015" s="34" t="s">
        <v>11942</v>
      </c>
      <c r="CZ11015" s="35">
        <v>1.5384320000000002E-2</v>
      </c>
    </row>
    <row r="11016" spans="103:104" x14ac:dyDescent="0.3">
      <c r="CY11016" s="34" t="s">
        <v>11943</v>
      </c>
      <c r="CZ11016" s="35">
        <v>1.5384319999999998E-2</v>
      </c>
    </row>
    <row r="11017" spans="103:104" x14ac:dyDescent="0.3">
      <c r="CY11017" s="34" t="s">
        <v>11944</v>
      </c>
      <c r="CZ11017" s="35">
        <v>1.5384319999999998E-2</v>
      </c>
    </row>
    <row r="11018" spans="103:104" x14ac:dyDescent="0.3">
      <c r="CY11018" s="34" t="s">
        <v>11945</v>
      </c>
      <c r="CZ11018" s="35">
        <v>1.5384320000000002E-2</v>
      </c>
    </row>
    <row r="11019" spans="103:104" x14ac:dyDescent="0.3">
      <c r="CY11019" s="34" t="s">
        <v>11946</v>
      </c>
      <c r="CZ11019" s="35">
        <v>1.9092439999999995E-2</v>
      </c>
    </row>
    <row r="11020" spans="103:104" x14ac:dyDescent="0.3">
      <c r="CY11020" s="34" t="s">
        <v>11947</v>
      </c>
      <c r="CZ11020" s="35">
        <v>1.9092439999999995E-2</v>
      </c>
    </row>
    <row r="11021" spans="103:104" x14ac:dyDescent="0.3">
      <c r="CY11021" s="34" t="s">
        <v>11948</v>
      </c>
      <c r="CZ11021" s="35">
        <v>1.9092439999999995E-2</v>
      </c>
    </row>
    <row r="11022" spans="103:104" x14ac:dyDescent="0.3">
      <c r="CY11022" s="34" t="s">
        <v>11949</v>
      </c>
      <c r="CZ11022" s="35">
        <v>1.9092439999999995E-2</v>
      </c>
    </row>
    <row r="11023" spans="103:104" x14ac:dyDescent="0.3">
      <c r="CY11023" s="34" t="s">
        <v>11950</v>
      </c>
      <c r="CZ11023" s="35">
        <v>1.9092439999999995E-2</v>
      </c>
    </row>
    <row r="11024" spans="103:104" x14ac:dyDescent="0.3">
      <c r="CY11024" s="34" t="s">
        <v>11951</v>
      </c>
      <c r="CZ11024" s="35">
        <v>1.9092439999999995E-2</v>
      </c>
    </row>
    <row r="11025" spans="103:104" x14ac:dyDescent="0.3">
      <c r="CY11025" s="34" t="s">
        <v>11952</v>
      </c>
      <c r="CZ11025" s="35">
        <v>2.3984080000000001E-2</v>
      </c>
    </row>
    <row r="11026" spans="103:104" x14ac:dyDescent="0.3">
      <c r="CY11026" s="34" t="s">
        <v>11953</v>
      </c>
      <c r="CZ11026" s="35">
        <v>2.3984080000000001E-2</v>
      </c>
    </row>
    <row r="11027" spans="103:104" x14ac:dyDescent="0.3">
      <c r="CY11027" s="34" t="s">
        <v>11954</v>
      </c>
      <c r="CZ11027" s="35">
        <v>2.3984080000000001E-2</v>
      </c>
    </row>
    <row r="11028" spans="103:104" x14ac:dyDescent="0.3">
      <c r="CY11028" s="34" t="s">
        <v>11955</v>
      </c>
      <c r="CZ11028" s="35">
        <v>2.3984080000000001E-2</v>
      </c>
    </row>
    <row r="11029" spans="103:104" x14ac:dyDescent="0.3">
      <c r="CY11029" s="34" t="s">
        <v>11956</v>
      </c>
      <c r="CZ11029" s="35">
        <v>0.14989656000000001</v>
      </c>
    </row>
    <row r="11030" spans="103:104" x14ac:dyDescent="0.3">
      <c r="CY11030" s="34" t="s">
        <v>11957</v>
      </c>
      <c r="CZ11030" s="35">
        <v>0.14910303999999999</v>
      </c>
    </row>
    <row r="11031" spans="103:104" x14ac:dyDescent="0.3">
      <c r="CY11031" s="34" t="s">
        <v>11958</v>
      </c>
      <c r="CZ11031" s="35">
        <v>0.14910303999999996</v>
      </c>
    </row>
    <row r="11032" spans="103:104" x14ac:dyDescent="0.3">
      <c r="CY11032" s="34" t="s">
        <v>11959</v>
      </c>
      <c r="CZ11032" s="35">
        <v>0.14989656000000004</v>
      </c>
    </row>
    <row r="11033" spans="103:104" x14ac:dyDescent="0.3">
      <c r="CY11033" s="34" t="s">
        <v>11960</v>
      </c>
      <c r="CZ11033" s="35">
        <v>0.12926504</v>
      </c>
    </row>
    <row r="11034" spans="103:104" x14ac:dyDescent="0.3">
      <c r="CY11034" s="34" t="s">
        <v>11961</v>
      </c>
      <c r="CZ11034" s="35">
        <v>0.14910303999999999</v>
      </c>
    </row>
    <row r="11035" spans="103:104" x14ac:dyDescent="0.3">
      <c r="CY11035" s="34" t="s">
        <v>11962</v>
      </c>
      <c r="CZ11035" s="35">
        <v>5.9217995250000002E-2</v>
      </c>
    </row>
    <row r="11036" spans="103:104" x14ac:dyDescent="0.3">
      <c r="CY11036" s="34" t="s">
        <v>11963</v>
      </c>
      <c r="CZ11036" s="35">
        <v>1.2155585376000002E-3</v>
      </c>
    </row>
    <row r="11037" spans="103:104" x14ac:dyDescent="0.3">
      <c r="CY11037" s="34" t="s">
        <v>11964</v>
      </c>
      <c r="CZ11037" s="35">
        <v>1.4431311999999998E-2</v>
      </c>
    </row>
    <row r="11038" spans="103:104" x14ac:dyDescent="0.3">
      <c r="CY11038" s="34" t="s">
        <v>11965</v>
      </c>
      <c r="CZ11038" s="35">
        <v>1.2684871999999999E-3</v>
      </c>
    </row>
    <row r="11039" spans="103:104" x14ac:dyDescent="0.3">
      <c r="CY11039" s="34" t="s">
        <v>11966</v>
      </c>
      <c r="CZ11039" s="35">
        <v>1.2500471999999999E-3</v>
      </c>
    </row>
    <row r="11040" spans="103:104" x14ac:dyDescent="0.3">
      <c r="CY11040" s="34" t="s">
        <v>11967</v>
      </c>
      <c r="CZ11040" s="35">
        <v>9.4579519999999999E-4</v>
      </c>
    </row>
    <row r="11041" spans="103:104" x14ac:dyDescent="0.3">
      <c r="CY11041" s="34" t="s">
        <v>11968</v>
      </c>
      <c r="CZ11041" s="35">
        <v>2.3812160000000002E-3</v>
      </c>
    </row>
    <row r="11042" spans="103:104" x14ac:dyDescent="0.3">
      <c r="CY11042" s="34" t="s">
        <v>11969</v>
      </c>
      <c r="CZ11042" s="35">
        <v>2.5649976000000005E-3</v>
      </c>
    </row>
    <row r="11043" spans="103:104" x14ac:dyDescent="0.3">
      <c r="CY11043" s="34" t="s">
        <v>11970</v>
      </c>
      <c r="CZ11043" s="35">
        <v>1.31536E-3</v>
      </c>
    </row>
    <row r="11044" spans="103:104" x14ac:dyDescent="0.3">
      <c r="CY11044" s="34" t="s">
        <v>11971</v>
      </c>
      <c r="CZ11044" s="35">
        <v>4.3336239999999995E-3</v>
      </c>
    </row>
    <row r="11045" spans="103:104" x14ac:dyDescent="0.3">
      <c r="CY11045" s="34" t="s">
        <v>11972</v>
      </c>
      <c r="CZ11045" s="35">
        <v>1.7756925600000001E-2</v>
      </c>
    </row>
    <row r="11046" spans="103:104" x14ac:dyDescent="0.3">
      <c r="CY11046" s="34" t="s">
        <v>11973</v>
      </c>
      <c r="CZ11046" s="35">
        <v>6.9094999999999996E-4</v>
      </c>
    </row>
    <row r="11047" spans="103:104" x14ac:dyDescent="0.3">
      <c r="CY11047" s="34" t="s">
        <v>11974</v>
      </c>
      <c r="CZ11047" s="35">
        <v>7.2567720000000002E-2</v>
      </c>
    </row>
    <row r="11048" spans="103:104" x14ac:dyDescent="0.3">
      <c r="CY11048" s="34" t="s">
        <v>11975</v>
      </c>
      <c r="CZ11048" s="35">
        <v>5.6697320000000002E-2</v>
      </c>
    </row>
    <row r="11049" spans="103:104" x14ac:dyDescent="0.3">
      <c r="CY11049" s="34" t="s">
        <v>11976</v>
      </c>
      <c r="CZ11049" s="35">
        <v>1.9109200000000002E-4</v>
      </c>
    </row>
    <row r="11050" spans="103:104" x14ac:dyDescent="0.3">
      <c r="CY11050" s="34" t="s">
        <v>11977</v>
      </c>
      <c r="CZ11050" s="35">
        <v>1.8299908E-2</v>
      </c>
    </row>
    <row r="11051" spans="103:104" x14ac:dyDescent="0.3">
      <c r="CY11051" s="34" t="s">
        <v>11978</v>
      </c>
      <c r="CZ11051" s="35">
        <v>4.8463706669999995E-2</v>
      </c>
    </row>
    <row r="11052" spans="103:104" x14ac:dyDescent="0.3">
      <c r="CY11052" s="34" t="s">
        <v>11979</v>
      </c>
      <c r="CZ11052" s="35">
        <v>3.1256000000000001E-3</v>
      </c>
    </row>
    <row r="11053" spans="103:104" x14ac:dyDescent="0.3">
      <c r="CY11053" s="34" t="s">
        <v>11980</v>
      </c>
      <c r="CZ11053" s="35">
        <v>1.3573103999999999E-3</v>
      </c>
    </row>
    <row r="11054" spans="103:104" x14ac:dyDescent="0.3">
      <c r="CY11054" s="34" t="s">
        <v>11981</v>
      </c>
      <c r="CZ11054" s="35">
        <v>1.080824E-2</v>
      </c>
    </row>
    <row r="11055" spans="103:104" x14ac:dyDescent="0.3">
      <c r="CY11055" s="34" t="s">
        <v>11982</v>
      </c>
      <c r="CZ11055" s="35">
        <v>8.5901017142857143E-4</v>
      </c>
    </row>
    <row r="11056" spans="103:104" x14ac:dyDescent="0.3">
      <c r="CY11056" s="34" t="s">
        <v>11983</v>
      </c>
      <c r="CZ11056" s="35">
        <v>1.6508293428571432E-3</v>
      </c>
    </row>
    <row r="11057" spans="103:104" x14ac:dyDescent="0.3">
      <c r="CY11057" s="34" t="s">
        <v>11984</v>
      </c>
      <c r="CZ11057" s="35">
        <v>3.2966384000000001E-2</v>
      </c>
    </row>
    <row r="11058" spans="103:104" x14ac:dyDescent="0.3">
      <c r="CY11058" s="34" t="s">
        <v>11985</v>
      </c>
      <c r="CZ11058" s="35">
        <v>0.13637384</v>
      </c>
    </row>
    <row r="11059" spans="103:104" x14ac:dyDescent="0.3">
      <c r="CY11059" s="34" t="s">
        <v>11986</v>
      </c>
      <c r="CZ11059" s="35">
        <v>5.515896E-2</v>
      </c>
    </row>
    <row r="11060" spans="103:104" x14ac:dyDescent="0.3">
      <c r="CY11060" s="34" t="s">
        <v>11987</v>
      </c>
      <c r="CZ11060" s="35">
        <v>3.4847760000000005E-2</v>
      </c>
    </row>
    <row r="11061" spans="103:104" x14ac:dyDescent="0.3">
      <c r="CY11061" s="34" t="s">
        <v>11988</v>
      </c>
      <c r="CZ11061" s="35">
        <v>2.4389519999999998E-2</v>
      </c>
    </row>
    <row r="11062" spans="103:104" x14ac:dyDescent="0.3">
      <c r="CY11062" s="34" t="s">
        <v>11989</v>
      </c>
      <c r="CZ11062" s="35">
        <v>2.2472176E-2</v>
      </c>
    </row>
    <row r="11063" spans="103:104" x14ac:dyDescent="0.3">
      <c r="CY11063" s="34" t="s">
        <v>11990</v>
      </c>
      <c r="CZ11063" s="35">
        <v>4.6917027999999993E-2</v>
      </c>
    </row>
    <row r="11064" spans="103:104" x14ac:dyDescent="0.3">
      <c r="CY11064" s="34" t="s">
        <v>11991</v>
      </c>
      <c r="CZ11064" s="35">
        <v>4.0251459999999996E-2</v>
      </c>
    </row>
    <row r="11065" spans="103:104" x14ac:dyDescent="0.3">
      <c r="CY11065" s="34" t="s">
        <v>11992</v>
      </c>
      <c r="CZ11065" s="35">
        <v>3.4703440000000006E-3</v>
      </c>
    </row>
    <row r="11066" spans="103:104" x14ac:dyDescent="0.3">
      <c r="CY11066" s="34" t="s">
        <v>11993</v>
      </c>
      <c r="CZ11066" s="35">
        <v>2.3677215999999997E-2</v>
      </c>
    </row>
    <row r="11067" spans="103:104" x14ac:dyDescent="0.3">
      <c r="CY11067" s="34" t="s">
        <v>11994</v>
      </c>
      <c r="CZ11067" s="35">
        <v>2.2108480000000003E-2</v>
      </c>
    </row>
    <row r="11068" spans="103:104" x14ac:dyDescent="0.3">
      <c r="CY11068" s="34" t="s">
        <v>11995</v>
      </c>
      <c r="CZ11068" s="35">
        <v>2.5943168000000003E-2</v>
      </c>
    </row>
    <row r="11069" spans="103:104" x14ac:dyDescent="0.3">
      <c r="CY11069" s="34" t="s">
        <v>11996</v>
      </c>
      <c r="CZ11069" s="35">
        <v>9.135132E-2</v>
      </c>
    </row>
    <row r="11070" spans="103:104" x14ac:dyDescent="0.3">
      <c r="CY11070" s="34" t="s">
        <v>11997</v>
      </c>
      <c r="CZ11070" s="35">
        <v>4.4399299999999991E-3</v>
      </c>
    </row>
    <row r="11071" spans="103:104" x14ac:dyDescent="0.3">
      <c r="CY11071" s="34" t="s">
        <v>11998</v>
      </c>
      <c r="CZ11071" s="35">
        <v>1.3701495999999999E-2</v>
      </c>
    </row>
    <row r="11072" spans="103:104" x14ac:dyDescent="0.3">
      <c r="CY11072" s="34" t="s">
        <v>11999</v>
      </c>
      <c r="CZ11072" s="35">
        <v>9.9962000000000002E-3</v>
      </c>
    </row>
    <row r="11073" spans="103:104" x14ac:dyDescent="0.3">
      <c r="CY11073" s="34" t="s">
        <v>12000</v>
      </c>
      <c r="CZ11073" s="35">
        <v>1.6069816000000001E-2</v>
      </c>
    </row>
    <row r="11074" spans="103:104" x14ac:dyDescent="0.3">
      <c r="CY11074" s="34" t="s">
        <v>12001</v>
      </c>
      <c r="CZ11074" s="35">
        <v>4.6154639999999997E-2</v>
      </c>
    </row>
    <row r="11075" spans="103:104" x14ac:dyDescent="0.3">
      <c r="CY11075" s="34" t="s">
        <v>12002</v>
      </c>
      <c r="CZ11075" s="35">
        <v>5.2058773714285723E-2</v>
      </c>
    </row>
    <row r="11076" spans="103:104" x14ac:dyDescent="0.3">
      <c r="CY11076" s="34" t="s">
        <v>12003</v>
      </c>
      <c r="CZ11076" s="35">
        <v>5.5926508E-2</v>
      </c>
    </row>
    <row r="11077" spans="103:104" x14ac:dyDescent="0.3">
      <c r="CY11077" s="34" t="s">
        <v>12004</v>
      </c>
      <c r="CZ11077" s="35">
        <v>4.5727616649999997E-2</v>
      </c>
    </row>
    <row r="11078" spans="103:104" x14ac:dyDescent="0.3">
      <c r="CY11078" s="34" t="s">
        <v>12005</v>
      </c>
      <c r="CZ11078" s="35">
        <v>0.12154118666666668</v>
      </c>
    </row>
    <row r="11079" spans="103:104" x14ac:dyDescent="0.3">
      <c r="CY11079" s="34" t="s">
        <v>12006</v>
      </c>
      <c r="CZ11079" s="35">
        <v>1.1027744000000001E-3</v>
      </c>
    </row>
    <row r="11080" spans="103:104" x14ac:dyDescent="0.3">
      <c r="CY11080" s="34" t="s">
        <v>12007</v>
      </c>
      <c r="CZ11080" s="35">
        <v>1.5228400000000001E-3</v>
      </c>
    </row>
    <row r="11081" spans="103:104" x14ac:dyDescent="0.3">
      <c r="CY11081" s="34" t="s">
        <v>12008</v>
      </c>
      <c r="CZ11081" s="35">
        <v>2.5588948571428575E-3</v>
      </c>
    </row>
    <row r="11082" spans="103:104" x14ac:dyDescent="0.3">
      <c r="CY11082" s="34" t="s">
        <v>12009</v>
      </c>
      <c r="CZ11082" s="35">
        <v>0.1798756</v>
      </c>
    </row>
    <row r="11083" spans="103:104" x14ac:dyDescent="0.3">
      <c r="CY11083" s="34" t="s">
        <v>12010</v>
      </c>
      <c r="CZ11083" s="35">
        <v>8.3017300000000002E-3</v>
      </c>
    </row>
    <row r="11084" spans="103:104" x14ac:dyDescent="0.3">
      <c r="CY11084" s="34" t="s">
        <v>12011</v>
      </c>
      <c r="CZ11084" s="35">
        <v>2.164757333333333E-3</v>
      </c>
    </row>
    <row r="11085" spans="103:104" x14ac:dyDescent="0.3">
      <c r="CY11085" s="34" t="s">
        <v>12012</v>
      </c>
      <c r="CZ11085" s="35">
        <v>4.5929760000000004E-3</v>
      </c>
    </row>
    <row r="11086" spans="103:104" x14ac:dyDescent="0.3">
      <c r="CY11086" s="34" t="s">
        <v>12013</v>
      </c>
      <c r="CZ11086" s="35">
        <v>8.0415560000000001E-3</v>
      </c>
    </row>
    <row r="11087" spans="103:104" x14ac:dyDescent="0.3">
      <c r="CY11087" s="34" t="s">
        <v>12014</v>
      </c>
      <c r="CZ11087" s="35">
        <v>2.1785156E-2</v>
      </c>
    </row>
    <row r="11088" spans="103:104" x14ac:dyDescent="0.3">
      <c r="CY11088" s="34" t="s">
        <v>12015</v>
      </c>
      <c r="CZ11088" s="35">
        <v>2.1785156E-2</v>
      </c>
    </row>
    <row r="11089" spans="103:104" x14ac:dyDescent="0.3">
      <c r="CY11089" s="34" t="s">
        <v>12016</v>
      </c>
      <c r="CZ11089" s="35">
        <v>8.4046279999999991E-3</v>
      </c>
    </row>
    <row r="11090" spans="103:104" x14ac:dyDescent="0.3">
      <c r="CY11090" s="34" t="s">
        <v>12017</v>
      </c>
      <c r="CZ11090" s="35">
        <v>8.4046279999999991E-3</v>
      </c>
    </row>
    <row r="11091" spans="103:104" x14ac:dyDescent="0.3">
      <c r="CY11091" s="34" t="s">
        <v>12018</v>
      </c>
      <c r="CZ11091" s="35">
        <v>3.3288514285714286E-3</v>
      </c>
    </row>
    <row r="11092" spans="103:104" x14ac:dyDescent="0.3">
      <c r="CY11092" s="34" t="s">
        <v>12019</v>
      </c>
      <c r="CZ11092" s="35">
        <v>3.1894914285714284E-3</v>
      </c>
    </row>
    <row r="11093" spans="103:104" x14ac:dyDescent="0.3">
      <c r="CY11093" s="34" t="s">
        <v>12020</v>
      </c>
      <c r="CZ11093" s="35">
        <v>4.8509911111111109E-2</v>
      </c>
    </row>
    <row r="11094" spans="103:104" x14ac:dyDescent="0.3">
      <c r="CY11094" s="34" t="s">
        <v>12021</v>
      </c>
      <c r="CZ11094" s="35">
        <v>5.1469723999999998E-3</v>
      </c>
    </row>
    <row r="11095" spans="103:104" x14ac:dyDescent="0.3">
      <c r="CY11095" s="34" t="s">
        <v>12022</v>
      </c>
      <c r="CZ11095" s="35">
        <v>9.4665759999999991E-3</v>
      </c>
    </row>
    <row r="11096" spans="103:104" x14ac:dyDescent="0.3">
      <c r="CY11096" s="34" t="s">
        <v>12023</v>
      </c>
      <c r="CZ11096" s="35">
        <v>7.1735919999999995E-2</v>
      </c>
    </row>
    <row r="11097" spans="103:104" x14ac:dyDescent="0.3">
      <c r="CY11097" s="34" t="s">
        <v>12024</v>
      </c>
      <c r="CZ11097" s="35">
        <v>3.2969799999999994E-2</v>
      </c>
    </row>
    <row r="11098" spans="103:104" x14ac:dyDescent="0.3">
      <c r="CY11098" s="34" t="s">
        <v>12025</v>
      </c>
      <c r="CZ11098" s="35">
        <v>3.9161680000000004E-2</v>
      </c>
    </row>
    <row r="11099" spans="103:104" x14ac:dyDescent="0.3">
      <c r="CY11099" s="34" t="s">
        <v>12026</v>
      </c>
      <c r="CZ11099" s="35">
        <v>4.5888799999999993E-2</v>
      </c>
    </row>
    <row r="11100" spans="103:104" x14ac:dyDescent="0.3">
      <c r="CY11100" s="34" t="s">
        <v>12027</v>
      </c>
      <c r="CZ11100" s="35">
        <v>0.17490443835616434</v>
      </c>
    </row>
    <row r="11101" spans="103:104" x14ac:dyDescent="0.3">
      <c r="CY11101" s="34" t="s">
        <v>12028</v>
      </c>
      <c r="CZ11101" s="35">
        <v>6.4608150000000003E-2</v>
      </c>
    </row>
    <row r="11102" spans="103:104" x14ac:dyDescent="0.3">
      <c r="CY11102" s="34" t="s">
        <v>12029</v>
      </c>
      <c r="CZ11102" s="35">
        <v>3.1523839999999997E-2</v>
      </c>
    </row>
    <row r="11103" spans="103:104" x14ac:dyDescent="0.3">
      <c r="CY11103" s="34" t="s">
        <v>12030</v>
      </c>
      <c r="CZ11103" s="35">
        <v>0.16121232319999998</v>
      </c>
    </row>
    <row r="11104" spans="103:104" x14ac:dyDescent="0.3">
      <c r="CY11104" s="34" t="s">
        <v>12031</v>
      </c>
      <c r="CZ11104" s="35">
        <v>4.0090533399999998E-3</v>
      </c>
    </row>
    <row r="11105" spans="103:104" x14ac:dyDescent="0.3">
      <c r="CY11105" s="34" t="s">
        <v>12032</v>
      </c>
      <c r="CZ11105" s="35">
        <v>2.6620476142857142E-3</v>
      </c>
    </row>
    <row r="11106" spans="103:104" x14ac:dyDescent="0.3">
      <c r="CY11106" s="34" t="s">
        <v>12033</v>
      </c>
      <c r="CZ11106" s="35">
        <v>2.4423269857142857E-3</v>
      </c>
    </row>
    <row r="11107" spans="103:104" x14ac:dyDescent="0.3">
      <c r="CY11107" s="34" t="s">
        <v>12034</v>
      </c>
      <c r="CZ11107" s="35">
        <v>1.989264E-2</v>
      </c>
    </row>
    <row r="11108" spans="103:104" x14ac:dyDescent="0.3">
      <c r="CY11108" s="34" t="s">
        <v>12035</v>
      </c>
      <c r="CZ11108" s="35">
        <v>1.0437517999999999E-3</v>
      </c>
    </row>
    <row r="11109" spans="103:104" x14ac:dyDescent="0.3">
      <c r="CY11109" s="34" t="s">
        <v>12036</v>
      </c>
      <c r="CZ11109" s="35">
        <v>5.7534199999999995E-3</v>
      </c>
    </row>
    <row r="11110" spans="103:104" x14ac:dyDescent="0.3">
      <c r="CY11110" s="34" t="s">
        <v>12037</v>
      </c>
      <c r="CZ11110" s="35">
        <v>4.8225999999999989E-3</v>
      </c>
    </row>
    <row r="11111" spans="103:104" x14ac:dyDescent="0.3">
      <c r="CY11111" s="34" t="s">
        <v>12038</v>
      </c>
      <c r="CZ11111" s="35">
        <v>1.6192640000000003E-3</v>
      </c>
    </row>
    <row r="11112" spans="103:104" x14ac:dyDescent="0.3">
      <c r="CY11112" s="34" t="s">
        <v>12039</v>
      </c>
      <c r="CZ11112" s="35">
        <v>9.2403434666666663E-4</v>
      </c>
    </row>
    <row r="11113" spans="103:104" x14ac:dyDescent="0.3">
      <c r="CY11113" s="34" t="s">
        <v>12040</v>
      </c>
      <c r="CZ11113" s="35">
        <v>1.092854E-2</v>
      </c>
    </row>
    <row r="11114" spans="103:104" x14ac:dyDescent="0.3">
      <c r="CY11114" s="34" t="s">
        <v>12041</v>
      </c>
      <c r="CZ11114" s="35">
        <v>2.5436960000000002E-2</v>
      </c>
    </row>
    <row r="11115" spans="103:104" x14ac:dyDescent="0.3">
      <c r="CY11115" s="34" t="s">
        <v>12042</v>
      </c>
      <c r="CZ11115" s="35">
        <v>4.9283520000000002E-4</v>
      </c>
    </row>
    <row r="11116" spans="103:104" x14ac:dyDescent="0.3">
      <c r="CY11116" s="34" t="s">
        <v>12043</v>
      </c>
      <c r="CZ11116" s="35">
        <v>0.64515999999999996</v>
      </c>
    </row>
    <row r="11117" spans="103:104" x14ac:dyDescent="0.3">
      <c r="CY11117" s="34" t="s">
        <v>12044</v>
      </c>
      <c r="CZ11117" s="35">
        <v>0.36396943999999998</v>
      </c>
    </row>
    <row r="11118" spans="103:104" x14ac:dyDescent="0.3">
      <c r="CY11118" s="34" t="s">
        <v>12045</v>
      </c>
      <c r="CZ11118" s="35">
        <v>4.4341799999999994E-3</v>
      </c>
    </row>
    <row r="11119" spans="103:104" x14ac:dyDescent="0.3">
      <c r="CY11119" s="34" t="s">
        <v>12046</v>
      </c>
      <c r="CZ11119" s="35">
        <v>0.32458453333333337</v>
      </c>
    </row>
    <row r="11120" spans="103:104" x14ac:dyDescent="0.3">
      <c r="CY11120" s="34" t="s">
        <v>12047</v>
      </c>
      <c r="CZ11120" s="35">
        <v>0.31515120000000002</v>
      </c>
    </row>
    <row r="11121" spans="103:104" x14ac:dyDescent="0.3">
      <c r="CY11121" s="34" t="s">
        <v>12048</v>
      </c>
      <c r="CZ11121" s="35">
        <v>4.3976786895833335E-2</v>
      </c>
    </row>
    <row r="11122" spans="103:104" x14ac:dyDescent="0.3">
      <c r="CY11122" s="34" t="s">
        <v>12049</v>
      </c>
      <c r="CZ11122" s="35">
        <v>5.35707869E-2</v>
      </c>
    </row>
    <row r="11123" spans="103:104" x14ac:dyDescent="0.3">
      <c r="CY11123" s="34" t="s">
        <v>12050</v>
      </c>
      <c r="CZ11123" s="35">
        <v>4.3976786899999995E-2</v>
      </c>
    </row>
    <row r="11124" spans="103:104" x14ac:dyDescent="0.3">
      <c r="CY11124" s="34" t="s">
        <v>12051</v>
      </c>
      <c r="CZ11124" s="35">
        <v>4.6439599999999999E-3</v>
      </c>
    </row>
    <row r="11125" spans="103:104" x14ac:dyDescent="0.3">
      <c r="CY11125" s="34" t="s">
        <v>12052</v>
      </c>
      <c r="CZ11125" s="35">
        <v>2.1412072000000001E-2</v>
      </c>
    </row>
    <row r="11126" spans="103:104" x14ac:dyDescent="0.3">
      <c r="CY11126" s="34" t="s">
        <v>12053</v>
      </c>
      <c r="CZ11126" s="35">
        <v>5.4428999999999996E-3</v>
      </c>
    </row>
    <row r="11127" spans="103:104" x14ac:dyDescent="0.3">
      <c r="CY11127" s="34" t="s">
        <v>12054</v>
      </c>
      <c r="CZ11127" s="35">
        <v>0.15698239999999999</v>
      </c>
    </row>
    <row r="11128" spans="103:104" x14ac:dyDescent="0.3">
      <c r="CY11128" s="34" t="s">
        <v>12055</v>
      </c>
      <c r="CZ11128" s="35">
        <v>0.14137810526315789</v>
      </c>
    </row>
    <row r="11129" spans="103:104" x14ac:dyDescent="0.3">
      <c r="CY11129" s="34" t="s">
        <v>12056</v>
      </c>
      <c r="CZ11129" s="35">
        <v>1.5219792E-3</v>
      </c>
    </row>
    <row r="11130" spans="103:104" x14ac:dyDescent="0.3">
      <c r="CY11130" s="34" t="s">
        <v>12057</v>
      </c>
      <c r="CZ11130" s="35">
        <v>9.4077440000000009E-3</v>
      </c>
    </row>
    <row r="11131" spans="103:104" x14ac:dyDescent="0.3">
      <c r="CY11131" s="34" t="s">
        <v>12058</v>
      </c>
      <c r="CZ11131" s="35">
        <v>7.9109119999999991E-3</v>
      </c>
    </row>
    <row r="11132" spans="103:104" x14ac:dyDescent="0.3">
      <c r="CY11132" s="34" t="s">
        <v>12059</v>
      </c>
      <c r="CZ11132" s="35">
        <v>3.0606813333333333E-2</v>
      </c>
    </row>
    <row r="11133" spans="103:104" x14ac:dyDescent="0.3">
      <c r="CY11133" s="34" t="s">
        <v>12060</v>
      </c>
      <c r="CZ11133" s="35">
        <v>1.253692E-3</v>
      </c>
    </row>
    <row r="11134" spans="103:104" x14ac:dyDescent="0.3">
      <c r="CY11134" s="34" t="s">
        <v>12061</v>
      </c>
      <c r="CZ11134" s="35">
        <v>1.5458359999999999E-2</v>
      </c>
    </row>
    <row r="11135" spans="103:104" x14ac:dyDescent="0.3">
      <c r="CY11135" s="34" t="s">
        <v>12062</v>
      </c>
      <c r="CZ11135" s="35">
        <v>1.5458359999999999E-2</v>
      </c>
    </row>
    <row r="11136" spans="103:104" x14ac:dyDescent="0.3">
      <c r="CY11136" s="34" t="s">
        <v>12063</v>
      </c>
      <c r="CZ11136" s="35">
        <v>8.8431320000000018E-3</v>
      </c>
    </row>
    <row r="11137" spans="103:104" x14ac:dyDescent="0.3">
      <c r="CY11137" s="34" t="s">
        <v>12064</v>
      </c>
      <c r="CZ11137" s="35">
        <v>5.6570699999999993E-3</v>
      </c>
    </row>
    <row r="11138" spans="103:104" x14ac:dyDescent="0.3">
      <c r="CY11138" s="34" t="s">
        <v>12065</v>
      </c>
      <c r="CZ11138" s="35">
        <v>9.3258799999999993E-4</v>
      </c>
    </row>
    <row r="11139" spans="103:104" x14ac:dyDescent="0.3">
      <c r="CY11139" s="34" t="s">
        <v>12066</v>
      </c>
      <c r="CZ11139" s="35">
        <v>7.6852159999999999E-3</v>
      </c>
    </row>
    <row r="11140" spans="103:104" x14ac:dyDescent="0.3">
      <c r="CY11140" s="34" t="s">
        <v>12067</v>
      </c>
      <c r="CZ11140" s="35">
        <v>2.6188944000000002E-3</v>
      </c>
    </row>
    <row r="11141" spans="103:104" x14ac:dyDescent="0.3">
      <c r="CY11141" s="34" t="s">
        <v>12068</v>
      </c>
      <c r="CZ11141" s="35">
        <v>1.2380640000000001E-3</v>
      </c>
    </row>
    <row r="11142" spans="103:104" x14ac:dyDescent="0.3">
      <c r="CY11142" s="34" t="s">
        <v>12069</v>
      </c>
      <c r="CZ11142" s="35">
        <v>1.8588241333333335E-2</v>
      </c>
    </row>
    <row r="11143" spans="103:104" x14ac:dyDescent="0.3">
      <c r="CY11143" s="34" t="s">
        <v>12070</v>
      </c>
      <c r="CZ11143" s="35">
        <v>2.9223360000000002E-4</v>
      </c>
    </row>
    <row r="11144" spans="103:104" x14ac:dyDescent="0.3">
      <c r="CY11144" s="34" t="s">
        <v>12071</v>
      </c>
      <c r="CZ11144" s="35">
        <v>4.7157200000000003E-2</v>
      </c>
    </row>
    <row r="11145" spans="103:104" x14ac:dyDescent="0.3">
      <c r="CY11145" s="34" t="s">
        <v>12072</v>
      </c>
      <c r="CZ11145" s="35">
        <v>0.134644192</v>
      </c>
    </row>
    <row r="11146" spans="103:104" x14ac:dyDescent="0.3">
      <c r="CY11146" s="34" t="s">
        <v>12073</v>
      </c>
      <c r="CZ11146" s="35">
        <v>0.11483502222222224</v>
      </c>
    </row>
    <row r="11147" spans="103:104" x14ac:dyDescent="0.3">
      <c r="CY11147" s="34" t="s">
        <v>12074</v>
      </c>
      <c r="CZ11147" s="35">
        <v>7.2862266599999998E-3</v>
      </c>
    </row>
    <row r="11148" spans="103:104" x14ac:dyDescent="0.3">
      <c r="CY11148" s="34" t="s">
        <v>12075</v>
      </c>
      <c r="CZ11148" s="35">
        <v>1.0309220799999999E-2</v>
      </c>
    </row>
    <row r="11149" spans="103:104" x14ac:dyDescent="0.3">
      <c r="CY11149" s="34" t="s">
        <v>12076</v>
      </c>
      <c r="CZ11149" s="35">
        <v>5.26352E-2</v>
      </c>
    </row>
    <row r="11150" spans="103:104" x14ac:dyDescent="0.3">
      <c r="CY11150" s="34" t="s">
        <v>12077</v>
      </c>
      <c r="CZ11150" s="35">
        <v>5.2324453299999997E-2</v>
      </c>
    </row>
    <row r="11151" spans="103:104" x14ac:dyDescent="0.3">
      <c r="CY11151" s="34" t="s">
        <v>12078</v>
      </c>
      <c r="CZ11151" s="35">
        <v>0.10304185</v>
      </c>
    </row>
    <row r="11152" spans="103:104" x14ac:dyDescent="0.3">
      <c r="CY11152" s="34" t="s">
        <v>12079</v>
      </c>
      <c r="CZ11152" s="35">
        <v>0.20750248999999998</v>
      </c>
    </row>
    <row r="11153" spans="103:104" x14ac:dyDescent="0.3">
      <c r="CY11153" s="34" t="s">
        <v>12080</v>
      </c>
      <c r="CZ11153" s="35">
        <v>0.17802809999999999</v>
      </c>
    </row>
    <row r="11154" spans="103:104" x14ac:dyDescent="0.3">
      <c r="CY11154" s="34" t="s">
        <v>12081</v>
      </c>
      <c r="CZ11154" s="35">
        <v>8.9028912000000002E-2</v>
      </c>
    </row>
    <row r="11155" spans="103:104" x14ac:dyDescent="0.3">
      <c r="CY11155" s="34" t="s">
        <v>12082</v>
      </c>
      <c r="CZ11155" s="35">
        <v>8.2495072000000003E-2</v>
      </c>
    </row>
    <row r="11156" spans="103:104" x14ac:dyDescent="0.3">
      <c r="CY11156" s="34" t="s">
        <v>12083</v>
      </c>
      <c r="CZ11156" s="35">
        <v>0.10590219599999999</v>
      </c>
    </row>
    <row r="11157" spans="103:104" x14ac:dyDescent="0.3">
      <c r="CY11157" s="34" t="s">
        <v>12084</v>
      </c>
      <c r="CZ11157" s="35">
        <v>6.4847725000000009E-2</v>
      </c>
    </row>
    <row r="11158" spans="103:104" x14ac:dyDescent="0.3">
      <c r="CY11158" s="34" t="s">
        <v>12085</v>
      </c>
      <c r="CZ11158" s="35">
        <v>3.8017680000000005E-2</v>
      </c>
    </row>
    <row r="11159" spans="103:104" x14ac:dyDescent="0.3">
      <c r="CY11159" s="34" t="s">
        <v>12086</v>
      </c>
      <c r="CZ11159" s="35">
        <v>5.1661120000000005E-3</v>
      </c>
    </row>
    <row r="11160" spans="103:104" x14ac:dyDescent="0.3">
      <c r="CY11160" s="34" t="s">
        <v>12087</v>
      </c>
      <c r="CZ11160" s="35">
        <v>2.2364784000000002E-3</v>
      </c>
    </row>
    <row r="11161" spans="103:104" x14ac:dyDescent="0.3">
      <c r="CY11161" s="34" t="s">
        <v>12088</v>
      </c>
      <c r="CZ11161" s="35">
        <v>1.6177959999999998E-2</v>
      </c>
    </row>
    <row r="11162" spans="103:104" x14ac:dyDescent="0.3">
      <c r="CY11162" s="34" t="s">
        <v>12089</v>
      </c>
      <c r="CZ11162" s="35">
        <v>1.4859336E-3</v>
      </c>
    </row>
    <row r="11163" spans="103:104" x14ac:dyDescent="0.3">
      <c r="CY11163" s="34" t="s">
        <v>12090</v>
      </c>
      <c r="CZ11163" s="35">
        <v>3.960608E-4</v>
      </c>
    </row>
    <row r="11164" spans="103:104" x14ac:dyDescent="0.3">
      <c r="CY11164" s="34" t="s">
        <v>12091</v>
      </c>
      <c r="CZ11164" s="35">
        <v>0.20039128</v>
      </c>
    </row>
    <row r="11165" spans="103:104" x14ac:dyDescent="0.3">
      <c r="CY11165" s="34" t="s">
        <v>12092</v>
      </c>
      <c r="CZ11165" s="35">
        <v>0.52036933335000002</v>
      </c>
    </row>
    <row r="11166" spans="103:104" x14ac:dyDescent="0.3">
      <c r="CY11166" s="34" t="s">
        <v>12093</v>
      </c>
      <c r="CZ11166" s="35">
        <v>2.6946360000000003E-3</v>
      </c>
    </row>
    <row r="11167" spans="103:104" x14ac:dyDescent="0.3">
      <c r="CY11167" s="34" t="s">
        <v>12094</v>
      </c>
      <c r="CZ11167" s="35">
        <v>0.24387719999999999</v>
      </c>
    </row>
    <row r="11168" spans="103:104" x14ac:dyDescent="0.3">
      <c r="CY11168" s="34" t="s">
        <v>12095</v>
      </c>
      <c r="CZ11168" s="35">
        <v>1.3448038857142857E-2</v>
      </c>
    </row>
    <row r="11169" spans="103:104" x14ac:dyDescent="0.3">
      <c r="CY11169" s="34" t="s">
        <v>12096</v>
      </c>
      <c r="CZ11169" s="35">
        <v>0.19405572000000001</v>
      </c>
    </row>
    <row r="11170" spans="103:104" x14ac:dyDescent="0.3">
      <c r="CY11170" s="34" t="s">
        <v>12097</v>
      </c>
      <c r="CZ11170" s="35">
        <v>2.5144633571428567E-3</v>
      </c>
    </row>
    <row r="11171" spans="103:104" x14ac:dyDescent="0.3">
      <c r="CY11171" s="34" t="s">
        <v>12098</v>
      </c>
      <c r="CZ11171" s="35">
        <v>2.5596444317647061E-2</v>
      </c>
    </row>
    <row r="11172" spans="103:104" x14ac:dyDescent="0.3">
      <c r="CY11172" s="34" t="s">
        <v>12099</v>
      </c>
      <c r="CZ11172" s="35">
        <v>2.0738448E-2</v>
      </c>
    </row>
    <row r="11173" spans="103:104" x14ac:dyDescent="0.3">
      <c r="CY11173" s="34" t="s">
        <v>12100</v>
      </c>
      <c r="CZ11173" s="35">
        <v>2.0738448E-2</v>
      </c>
    </row>
    <row r="11174" spans="103:104" x14ac:dyDescent="0.3">
      <c r="CY11174" s="34" t="s">
        <v>12101</v>
      </c>
      <c r="CZ11174" s="35">
        <v>2.0738448E-2</v>
      </c>
    </row>
    <row r="11175" spans="103:104" x14ac:dyDescent="0.3">
      <c r="CY11175" s="34" t="s">
        <v>12102</v>
      </c>
      <c r="CZ11175" s="35">
        <v>0.1393732</v>
      </c>
    </row>
    <row r="11176" spans="103:104" x14ac:dyDescent="0.3">
      <c r="CY11176" s="34" t="s">
        <v>12103</v>
      </c>
      <c r="CZ11176" s="35">
        <v>2.8449568000000001E-2</v>
      </c>
    </row>
    <row r="11177" spans="103:104" x14ac:dyDescent="0.3">
      <c r="CY11177" s="34" t="s">
        <v>12104</v>
      </c>
      <c r="CZ11177" s="35">
        <v>3.499809726E-2</v>
      </c>
    </row>
    <row r="11178" spans="103:104" x14ac:dyDescent="0.3">
      <c r="CY11178" s="34" t="s">
        <v>12105</v>
      </c>
      <c r="CZ11178" s="35">
        <v>1.5566337247058824E-2</v>
      </c>
    </row>
    <row r="11179" spans="103:104" x14ac:dyDescent="0.3">
      <c r="CY11179" s="34" t="s">
        <v>12106</v>
      </c>
      <c r="CZ11179" s="35">
        <v>4.9480082352941185E-2</v>
      </c>
    </row>
    <row r="11180" spans="103:104" x14ac:dyDescent="0.3">
      <c r="CY11180" s="34" t="s">
        <v>12107</v>
      </c>
      <c r="CZ11180" s="35">
        <v>0.18034247110000001</v>
      </c>
    </row>
    <row r="11181" spans="103:104" x14ac:dyDescent="0.3">
      <c r="CY11181" s="34" t="s">
        <v>12108</v>
      </c>
      <c r="CZ11181" s="35">
        <v>2.8505600000000002E-2</v>
      </c>
    </row>
    <row r="11182" spans="103:104" x14ac:dyDescent="0.3">
      <c r="CY11182" s="34" t="s">
        <v>12109</v>
      </c>
      <c r="CZ11182" s="35">
        <v>1.8421760000000002E-2</v>
      </c>
    </row>
    <row r="11183" spans="103:104" x14ac:dyDescent="0.3">
      <c r="CY11183" s="34" t="s">
        <v>12110</v>
      </c>
      <c r="CZ11183" s="35">
        <v>1.4285936063999999E-2</v>
      </c>
    </row>
    <row r="11184" spans="103:104" x14ac:dyDescent="0.3">
      <c r="CY11184" s="34" t="s">
        <v>12111</v>
      </c>
      <c r="CZ11184" s="35">
        <v>2.6758049999999999E-2</v>
      </c>
    </row>
    <row r="11185" spans="103:104" x14ac:dyDescent="0.3">
      <c r="CY11185" s="34" t="s">
        <v>12112</v>
      </c>
      <c r="CZ11185" s="35">
        <v>4.2168640000000003E-4</v>
      </c>
    </row>
    <row r="11186" spans="103:104" x14ac:dyDescent="0.3">
      <c r="CY11186" s="34" t="s">
        <v>12113</v>
      </c>
      <c r="CZ11186" s="35">
        <v>1.2039066667</v>
      </c>
    </row>
    <row r="11187" spans="103:104" x14ac:dyDescent="0.3">
      <c r="CY11187" s="34" t="s">
        <v>12114</v>
      </c>
      <c r="CZ11187" s="35">
        <v>0.12983425000000001</v>
      </c>
    </row>
    <row r="11188" spans="103:104" x14ac:dyDescent="0.3">
      <c r="CY11188" s="34" t="s">
        <v>12115</v>
      </c>
      <c r="CZ11188" s="35">
        <v>0.12031799999999999</v>
      </c>
    </row>
    <row r="11189" spans="103:104" x14ac:dyDescent="0.3">
      <c r="CY11189" s="34" t="s">
        <v>12116</v>
      </c>
      <c r="CZ11189" s="35">
        <v>9.0677066700000003E-2</v>
      </c>
    </row>
    <row r="11190" spans="103:104" x14ac:dyDescent="0.3">
      <c r="CY11190" s="34" t="s">
        <v>12117</v>
      </c>
      <c r="CZ11190" s="35">
        <v>3.3881656565656573E-2</v>
      </c>
    </row>
    <row r="11191" spans="103:104" x14ac:dyDescent="0.3">
      <c r="CY11191" s="34" t="s">
        <v>12118</v>
      </c>
      <c r="CZ11191" s="35">
        <v>2.5171888E-2</v>
      </c>
    </row>
    <row r="11192" spans="103:104" x14ac:dyDescent="0.3">
      <c r="CY11192" s="34" t="s">
        <v>12119</v>
      </c>
      <c r="CZ11192" s="35">
        <v>4.0237520000000006E-2</v>
      </c>
    </row>
    <row r="11193" spans="103:104" x14ac:dyDescent="0.3">
      <c r="CY11193" s="34" t="s">
        <v>12120</v>
      </c>
      <c r="CZ11193" s="35">
        <v>1.128752E-3</v>
      </c>
    </row>
    <row r="11194" spans="103:104" x14ac:dyDescent="0.3">
      <c r="CY11194" s="34" t="s">
        <v>12121</v>
      </c>
      <c r="CZ11194" s="35">
        <v>6.6479413000000006E-3</v>
      </c>
    </row>
    <row r="11195" spans="103:104" x14ac:dyDescent="0.3">
      <c r="CY11195" s="34" t="s">
        <v>12122</v>
      </c>
      <c r="CZ11195" s="35">
        <v>6.6479413000000006E-3</v>
      </c>
    </row>
    <row r="11196" spans="103:104" x14ac:dyDescent="0.3">
      <c r="CY11196" s="34" t="s">
        <v>12123</v>
      </c>
      <c r="CZ11196" s="35">
        <v>7.5642000000000001E-2</v>
      </c>
    </row>
    <row r="11197" spans="103:104" x14ac:dyDescent="0.3">
      <c r="CY11197" s="34" t="s">
        <v>12124</v>
      </c>
      <c r="CZ11197" s="35">
        <v>0.12421635294117647</v>
      </c>
    </row>
    <row r="11198" spans="103:104" x14ac:dyDescent="0.3">
      <c r="CY11198" s="34" t="s">
        <v>12125</v>
      </c>
      <c r="CZ11198" s="35">
        <v>6.142679999999999E-2</v>
      </c>
    </row>
    <row r="11199" spans="103:104" x14ac:dyDescent="0.3">
      <c r="CY11199" s="34" t="s">
        <v>12126</v>
      </c>
      <c r="CZ11199" s="35">
        <v>6.142679999999999E-2</v>
      </c>
    </row>
    <row r="11200" spans="103:104" x14ac:dyDescent="0.3">
      <c r="CY11200" s="34" t="s">
        <v>12127</v>
      </c>
      <c r="CZ11200" s="35">
        <v>6.142679999999999E-2</v>
      </c>
    </row>
    <row r="11201" spans="103:104" x14ac:dyDescent="0.3">
      <c r="CY11201" s="34" t="s">
        <v>12128</v>
      </c>
      <c r="CZ11201" s="35">
        <v>6.142679999999999E-2</v>
      </c>
    </row>
    <row r="11202" spans="103:104" x14ac:dyDescent="0.3">
      <c r="CY11202" s="34" t="s">
        <v>12129</v>
      </c>
      <c r="CZ11202" s="35">
        <v>7.7689799999999989E-2</v>
      </c>
    </row>
    <row r="11203" spans="103:104" x14ac:dyDescent="0.3">
      <c r="CY11203" s="34" t="s">
        <v>12130</v>
      </c>
      <c r="CZ11203" s="35">
        <v>7.7689799999999989E-2</v>
      </c>
    </row>
    <row r="11204" spans="103:104" x14ac:dyDescent="0.3">
      <c r="CY11204" s="34" t="s">
        <v>12131</v>
      </c>
      <c r="CZ11204" s="35">
        <v>7.7689799999999989E-2</v>
      </c>
    </row>
    <row r="11205" spans="103:104" x14ac:dyDescent="0.3">
      <c r="CY11205" s="34" t="s">
        <v>12132</v>
      </c>
      <c r="CZ11205" s="35">
        <v>9.0668800000000008E-2</v>
      </c>
    </row>
    <row r="11206" spans="103:104" x14ac:dyDescent="0.3">
      <c r="CY11206" s="34" t="s">
        <v>12133</v>
      </c>
      <c r="CZ11206" s="35">
        <v>9.0668799999999994E-2</v>
      </c>
    </row>
    <row r="11207" spans="103:104" x14ac:dyDescent="0.3">
      <c r="CY11207" s="34" t="s">
        <v>12134</v>
      </c>
      <c r="CZ11207" s="35">
        <v>9.0668800000000008E-2</v>
      </c>
    </row>
    <row r="11208" spans="103:104" x14ac:dyDescent="0.3">
      <c r="CY11208" s="34" t="s">
        <v>12135</v>
      </c>
      <c r="CZ11208" s="35">
        <v>0.12926504</v>
      </c>
    </row>
    <row r="11209" spans="103:104" x14ac:dyDescent="0.3">
      <c r="CY11209" s="34" t="s">
        <v>12136</v>
      </c>
      <c r="CZ11209" s="35">
        <v>1.6777840000000001E-3</v>
      </c>
    </row>
    <row r="11210" spans="103:104" x14ac:dyDescent="0.3">
      <c r="CY11210" s="34" t="s">
        <v>12137</v>
      </c>
      <c r="CZ11210" s="35">
        <v>1.927856E-2</v>
      </c>
    </row>
    <row r="11211" spans="103:104" x14ac:dyDescent="0.3">
      <c r="CY11211" s="34" t="s">
        <v>12138</v>
      </c>
      <c r="CZ11211" s="35">
        <v>1.3673792000000002E-2</v>
      </c>
    </row>
    <row r="11212" spans="103:104" x14ac:dyDescent="0.3">
      <c r="CY11212" s="34" t="s">
        <v>12139</v>
      </c>
      <c r="CZ11212" s="35">
        <v>0.10515136842105263</v>
      </c>
    </row>
    <row r="11213" spans="103:104" x14ac:dyDescent="0.3">
      <c r="CY11213" s="34" t="s">
        <v>12140</v>
      </c>
      <c r="CZ11213" s="35">
        <v>9.3499326315789485E-2</v>
      </c>
    </row>
    <row r="11214" spans="103:104" x14ac:dyDescent="0.3">
      <c r="CY11214" s="34" t="s">
        <v>12141</v>
      </c>
      <c r="CZ11214" s="35">
        <v>0.42041236000000004</v>
      </c>
    </row>
    <row r="11215" spans="103:104" x14ac:dyDescent="0.3">
      <c r="CY11215" s="34" t="s">
        <v>12142</v>
      </c>
      <c r="CZ11215" s="35">
        <v>0.18208735999999998</v>
      </c>
    </row>
    <row r="11216" spans="103:104" x14ac:dyDescent="0.3">
      <c r="CY11216" s="34" t="s">
        <v>12143</v>
      </c>
      <c r="CZ11216" s="35">
        <v>0.38338420000000001</v>
      </c>
    </row>
    <row r="11217" spans="103:104" x14ac:dyDescent="0.3">
      <c r="CY11217" s="34" t="s">
        <v>12144</v>
      </c>
      <c r="CZ11217" s="35">
        <v>0.1450592</v>
      </c>
    </row>
    <row r="11218" spans="103:104" x14ac:dyDescent="0.3">
      <c r="CY11218" s="34" t="s">
        <v>12145</v>
      </c>
      <c r="CZ11218" s="35">
        <v>1.4504960000000001E-3</v>
      </c>
    </row>
    <row r="11219" spans="103:104" x14ac:dyDescent="0.3">
      <c r="CY11219" s="34" t="s">
        <v>12146</v>
      </c>
      <c r="CZ11219" s="35">
        <v>6.4613768000000007E-4</v>
      </c>
    </row>
    <row r="11220" spans="103:104" x14ac:dyDescent="0.3">
      <c r="CY11220" s="34" t="s">
        <v>12147</v>
      </c>
      <c r="CZ11220" s="35">
        <v>1.33305584E-3</v>
      </c>
    </row>
    <row r="11221" spans="103:104" x14ac:dyDescent="0.3">
      <c r="CY11221" s="34" t="s">
        <v>12148</v>
      </c>
      <c r="CZ11221" s="35">
        <v>1.1381276E-3</v>
      </c>
    </row>
    <row r="11222" spans="103:104" x14ac:dyDescent="0.3">
      <c r="CY11222" s="34" t="s">
        <v>12149</v>
      </c>
      <c r="CZ11222" s="35">
        <v>1.5648395999999999E-3</v>
      </c>
    </row>
    <row r="11223" spans="103:104" x14ac:dyDescent="0.3">
      <c r="CY11223" s="34" t="s">
        <v>12150</v>
      </c>
      <c r="CZ11223" s="35">
        <v>6.6952872000000004E-3</v>
      </c>
    </row>
    <row r="11224" spans="103:104" x14ac:dyDescent="0.3">
      <c r="CY11224" s="34" t="s">
        <v>12151</v>
      </c>
      <c r="CZ11224" s="35">
        <v>6.8249231999999993E-2</v>
      </c>
    </row>
    <row r="11225" spans="103:104" x14ac:dyDescent="0.3">
      <c r="CY11225" s="34" t="s">
        <v>12152</v>
      </c>
      <c r="CZ11225" s="35">
        <v>6.8925056666666665E-3</v>
      </c>
    </row>
    <row r="11226" spans="103:104" x14ac:dyDescent="0.3">
      <c r="CY11226" s="34" t="s">
        <v>12153</v>
      </c>
      <c r="CZ11226" s="35">
        <v>5.9904590299999999E-3</v>
      </c>
    </row>
    <row r="11227" spans="103:104" x14ac:dyDescent="0.3">
      <c r="CY11227" s="34" t="s">
        <v>12154</v>
      </c>
      <c r="CZ11227" s="35">
        <v>1.5137128E-3</v>
      </c>
    </row>
    <row r="11228" spans="103:104" x14ac:dyDescent="0.3">
      <c r="CY11228" s="34" t="s">
        <v>12155</v>
      </c>
      <c r="CZ11228" s="35">
        <v>2.5425640000000002E-3</v>
      </c>
    </row>
    <row r="11229" spans="103:104" x14ac:dyDescent="0.3">
      <c r="CY11229" s="34" t="s">
        <v>12156</v>
      </c>
      <c r="CZ11229" s="35">
        <v>2.4980520000000002E-3</v>
      </c>
    </row>
    <row r="11230" spans="103:104" x14ac:dyDescent="0.3">
      <c r="CY11230" s="34" t="s">
        <v>12157</v>
      </c>
      <c r="CZ11230" s="35">
        <v>2.4591560000000001E-3</v>
      </c>
    </row>
    <row r="11231" spans="103:104" x14ac:dyDescent="0.3">
      <c r="CY11231" s="34" t="s">
        <v>12158</v>
      </c>
      <c r="CZ11231" s="35">
        <v>2.42026E-3</v>
      </c>
    </row>
    <row r="11232" spans="103:104" x14ac:dyDescent="0.3">
      <c r="CY11232" s="34" t="s">
        <v>12159</v>
      </c>
      <c r="CZ11232" s="35">
        <v>5.6915199999999994E-3</v>
      </c>
    </row>
    <row r="11233" spans="103:104" x14ac:dyDescent="0.3">
      <c r="CY11233" s="34" t="s">
        <v>12160</v>
      </c>
      <c r="CZ11233" s="35">
        <v>1.2975424E-3</v>
      </c>
    </row>
    <row r="11234" spans="103:104" x14ac:dyDescent="0.3">
      <c r="CY11234" s="34" t="s">
        <v>12161</v>
      </c>
      <c r="CZ11234" s="35">
        <v>2.2503146750000001E-3</v>
      </c>
    </row>
    <row r="11235" spans="103:104" x14ac:dyDescent="0.3">
      <c r="CY11235" s="34" t="s">
        <v>12162</v>
      </c>
      <c r="CZ11235" s="35">
        <v>9.7912800000000012E-4</v>
      </c>
    </row>
    <row r="11236" spans="103:104" x14ac:dyDescent="0.3">
      <c r="CY11236" s="34" t="s">
        <v>12163</v>
      </c>
      <c r="CZ11236" s="35">
        <v>1.4174758620689655E-2</v>
      </c>
    </row>
    <row r="11237" spans="103:104" x14ac:dyDescent="0.3">
      <c r="CY11237" s="34" t="s">
        <v>12164</v>
      </c>
      <c r="CZ11237" s="35">
        <v>1.5501540229885057E-2</v>
      </c>
    </row>
    <row r="11238" spans="103:104" x14ac:dyDescent="0.3">
      <c r="CY11238" s="34" t="s">
        <v>12165</v>
      </c>
      <c r="CZ11238" s="35">
        <v>1.7481209354776393E-2</v>
      </c>
    </row>
    <row r="11239" spans="103:104" x14ac:dyDescent="0.3">
      <c r="CY11239" s="34" t="s">
        <v>12166</v>
      </c>
      <c r="CZ11239" s="35">
        <v>2.978432E-3</v>
      </c>
    </row>
    <row r="11240" spans="103:104" x14ac:dyDescent="0.3">
      <c r="CY11240" s="34" t="s">
        <v>12167</v>
      </c>
      <c r="CZ11240" s="35">
        <v>2.20895082E-2</v>
      </c>
    </row>
    <row r="11241" spans="103:104" x14ac:dyDescent="0.3">
      <c r="CY11241" s="34" t="s">
        <v>12168</v>
      </c>
      <c r="CZ11241" s="35">
        <v>1.3255840000000001E-3</v>
      </c>
    </row>
    <row r="11242" spans="103:104" x14ac:dyDescent="0.3">
      <c r="CY11242" s="34" t="s">
        <v>12169</v>
      </c>
      <c r="CZ11242" s="35">
        <v>0.13520658823529411</v>
      </c>
    </row>
    <row r="11243" spans="103:104" x14ac:dyDescent="0.3">
      <c r="CY11243" s="34" t="s">
        <v>12170</v>
      </c>
      <c r="CZ11243" s="35">
        <v>0.11136621176470587</v>
      </c>
    </row>
    <row r="11244" spans="103:104" x14ac:dyDescent="0.3">
      <c r="CY11244" s="34" t="s">
        <v>12171</v>
      </c>
      <c r="CZ11244" s="35">
        <v>8.5617263999999998E-2</v>
      </c>
    </row>
    <row r="11245" spans="103:104" x14ac:dyDescent="0.3">
      <c r="CY11245" s="34" t="s">
        <v>12172</v>
      </c>
      <c r="CZ11245" s="35">
        <v>5.3633480000000004E-3</v>
      </c>
    </row>
    <row r="11246" spans="103:104" x14ac:dyDescent="0.3">
      <c r="CY11246" s="34" t="s">
        <v>12173</v>
      </c>
      <c r="CZ11246" s="35">
        <v>7.0105299999999998E-4</v>
      </c>
    </row>
    <row r="11247" spans="103:104" x14ac:dyDescent="0.3">
      <c r="CY11247" s="34" t="s">
        <v>12174</v>
      </c>
      <c r="CZ11247" s="35">
        <v>9.8448999999999997E-4</v>
      </c>
    </row>
    <row r="11248" spans="103:104" x14ac:dyDescent="0.3">
      <c r="CY11248" s="34" t="s">
        <v>12175</v>
      </c>
      <c r="CZ11248" s="35">
        <v>7.9553199999999994E-4</v>
      </c>
    </row>
    <row r="11249" spans="103:104" x14ac:dyDescent="0.3">
      <c r="CY11249" s="34" t="s">
        <v>12176</v>
      </c>
      <c r="CZ11249" s="35">
        <v>5.1209500000000006E-4</v>
      </c>
    </row>
    <row r="11250" spans="103:104" x14ac:dyDescent="0.3">
      <c r="CY11250" s="34" t="s">
        <v>12177</v>
      </c>
      <c r="CZ11250" s="35">
        <v>1.9376959999999998E-3</v>
      </c>
    </row>
    <row r="11251" spans="103:104" x14ac:dyDescent="0.3">
      <c r="CY11251" s="34" t="s">
        <v>12178</v>
      </c>
      <c r="CZ11251" s="35">
        <v>2.3946039999999998E-2</v>
      </c>
    </row>
    <row r="11252" spans="103:104" x14ac:dyDescent="0.3">
      <c r="CY11252" s="34" t="s">
        <v>12179</v>
      </c>
      <c r="CZ11252" s="35">
        <v>4.1080368000000001E-3</v>
      </c>
    </row>
    <row r="11253" spans="103:104" x14ac:dyDescent="0.3">
      <c r="CY11253" s="34" t="s">
        <v>12180</v>
      </c>
      <c r="CZ11253" s="35">
        <v>8.8193439999999998E-3</v>
      </c>
    </row>
    <row r="11254" spans="103:104" x14ac:dyDescent="0.3">
      <c r="CY11254" s="34" t="s">
        <v>12181</v>
      </c>
      <c r="CZ11254" s="35">
        <v>8.8929448350000013E-3</v>
      </c>
    </row>
    <row r="11255" spans="103:104" x14ac:dyDescent="0.3">
      <c r="CY11255" s="34" t="s">
        <v>12182</v>
      </c>
      <c r="CZ11255" s="35">
        <v>9.5644000000000007E-3</v>
      </c>
    </row>
    <row r="11256" spans="103:104" x14ac:dyDescent="0.3">
      <c r="CY11256" s="34" t="s">
        <v>12183</v>
      </c>
      <c r="CZ11256" s="35">
        <v>1.0336104E-2</v>
      </c>
    </row>
    <row r="11257" spans="103:104" x14ac:dyDescent="0.3">
      <c r="CY11257" s="34" t="s">
        <v>12184</v>
      </c>
      <c r="CZ11257" s="35">
        <v>3.4490728000000005E-2</v>
      </c>
    </row>
    <row r="11258" spans="103:104" x14ac:dyDescent="0.3">
      <c r="CY11258" s="34" t="s">
        <v>12185</v>
      </c>
      <c r="CZ11258" s="35">
        <v>1.2049600000000001E-2</v>
      </c>
    </row>
    <row r="11259" spans="103:104" x14ac:dyDescent="0.3">
      <c r="CY11259" s="34" t="s">
        <v>12186</v>
      </c>
      <c r="CZ11259" s="35">
        <v>7.6974879999999996E-2</v>
      </c>
    </row>
    <row r="11260" spans="103:104" x14ac:dyDescent="0.3">
      <c r="CY11260" s="34" t="s">
        <v>12187</v>
      </c>
      <c r="CZ11260" s="35">
        <v>0.14513544</v>
      </c>
    </row>
    <row r="11261" spans="103:104" x14ac:dyDescent="0.3">
      <c r="CY11261" s="34" t="s">
        <v>12188</v>
      </c>
      <c r="CZ11261" s="35">
        <v>1.7479974000000002E-3</v>
      </c>
    </row>
    <row r="11262" spans="103:104" x14ac:dyDescent="0.3">
      <c r="CY11262" s="34" t="s">
        <v>12189</v>
      </c>
      <c r="CZ11262" s="35">
        <v>1.3523471999999999E-3</v>
      </c>
    </row>
    <row r="11263" spans="103:104" x14ac:dyDescent="0.3">
      <c r="CY11263" s="34" t="s">
        <v>12190</v>
      </c>
      <c r="CZ11263" s="35">
        <v>2.9737600000000002E-3</v>
      </c>
    </row>
    <row r="11264" spans="103:104" x14ac:dyDescent="0.3">
      <c r="CY11264" s="34" t="s">
        <v>12191</v>
      </c>
      <c r="CZ11264" s="35">
        <v>3.8296609999999995E-2</v>
      </c>
    </row>
    <row r="11265" spans="103:104" x14ac:dyDescent="0.3">
      <c r="CY11265" s="34" t="s">
        <v>12192</v>
      </c>
      <c r="CZ11265" s="35">
        <v>2.5173327999999999E-4</v>
      </c>
    </row>
    <row r="11266" spans="103:104" x14ac:dyDescent="0.3">
      <c r="CY11266" s="34" t="s">
        <v>12193</v>
      </c>
      <c r="CZ11266" s="35">
        <v>3.3714400000000005E-4</v>
      </c>
    </row>
    <row r="11267" spans="103:104" x14ac:dyDescent="0.3">
      <c r="CY11267" s="34" t="s">
        <v>12194</v>
      </c>
      <c r="CZ11267" s="35">
        <v>0.14782319999999999</v>
      </c>
    </row>
    <row r="11268" spans="103:104" x14ac:dyDescent="0.3">
      <c r="CY11268" s="34" t="s">
        <v>12195</v>
      </c>
      <c r="CZ11268" s="35">
        <v>7.8925200000000001E-3</v>
      </c>
    </row>
    <row r="11269" spans="103:104" x14ac:dyDescent="0.3">
      <c r="CY11269" s="34" t="s">
        <v>12196</v>
      </c>
      <c r="CZ11269" s="35">
        <v>7.6442199999999995E-4</v>
      </c>
    </row>
    <row r="11270" spans="103:104" x14ac:dyDescent="0.3">
      <c r="CY11270" s="34" t="s">
        <v>12197</v>
      </c>
      <c r="CZ11270" s="35">
        <v>3.6784959999999998E-2</v>
      </c>
    </row>
    <row r="11271" spans="103:104" x14ac:dyDescent="0.3">
      <c r="CY11271" s="34" t="s">
        <v>12198</v>
      </c>
      <c r="CZ11271" s="35">
        <v>3.0070719999999999E-2</v>
      </c>
    </row>
    <row r="11272" spans="103:104" x14ac:dyDescent="0.3">
      <c r="CY11272" s="34" t="s">
        <v>12199</v>
      </c>
      <c r="CZ11272" s="35">
        <v>4.2717119999999997E-2</v>
      </c>
    </row>
    <row r="11273" spans="103:104" x14ac:dyDescent="0.3">
      <c r="CY11273" s="34" t="s">
        <v>12200</v>
      </c>
      <c r="CZ11273" s="35">
        <v>3.6098559999999995E-2</v>
      </c>
    </row>
    <row r="11274" spans="103:104" x14ac:dyDescent="0.3">
      <c r="CY11274" s="34" t="s">
        <v>12201</v>
      </c>
      <c r="CZ11274" s="35">
        <v>3.0070719999999995E-2</v>
      </c>
    </row>
    <row r="11275" spans="103:104" x14ac:dyDescent="0.3">
      <c r="CY11275" s="34" t="s">
        <v>12202</v>
      </c>
      <c r="CZ11275" s="35">
        <v>4.2717119999999997E-2</v>
      </c>
    </row>
    <row r="11276" spans="103:104" x14ac:dyDescent="0.3">
      <c r="CY11276" s="34" t="s">
        <v>12203</v>
      </c>
      <c r="CZ11276" s="35">
        <v>7.3629279999999995E-3</v>
      </c>
    </row>
    <row r="11277" spans="103:104" x14ac:dyDescent="0.3">
      <c r="CY11277" s="34" t="s">
        <v>12204</v>
      </c>
      <c r="CZ11277" s="35">
        <v>4.0540304000000003E-3</v>
      </c>
    </row>
    <row r="11278" spans="103:104" x14ac:dyDescent="0.3">
      <c r="CY11278" s="34" t="s">
        <v>12205</v>
      </c>
      <c r="CZ11278" s="35">
        <v>9.1067040000000002E-3</v>
      </c>
    </row>
    <row r="11279" spans="103:104" x14ac:dyDescent="0.3">
      <c r="CY11279" s="34" t="s">
        <v>12206</v>
      </c>
      <c r="CZ11279" s="35">
        <v>5.957429333E-2</v>
      </c>
    </row>
    <row r="11280" spans="103:104" x14ac:dyDescent="0.3">
      <c r="CY11280" s="34" t="s">
        <v>12207</v>
      </c>
      <c r="CZ11280" s="35">
        <v>3.7821919999999995E-2</v>
      </c>
    </row>
    <row r="11281" spans="103:104" x14ac:dyDescent="0.3">
      <c r="CY11281" s="34" t="s">
        <v>12208</v>
      </c>
      <c r="CZ11281" s="35">
        <v>5.355701999999999E-2</v>
      </c>
    </row>
    <row r="11282" spans="103:104" x14ac:dyDescent="0.3">
      <c r="CY11282" s="34" t="s">
        <v>12209</v>
      </c>
      <c r="CZ11282" s="35">
        <v>1.1857824000000002E-3</v>
      </c>
    </row>
    <row r="11283" spans="103:104" x14ac:dyDescent="0.3">
      <c r="CY11283" s="34" t="s">
        <v>12210</v>
      </c>
      <c r="CZ11283" s="35">
        <v>1.050668E-3</v>
      </c>
    </row>
    <row r="11284" spans="103:104" x14ac:dyDescent="0.3">
      <c r="CY11284" s="34" t="s">
        <v>12211</v>
      </c>
      <c r="CZ11284" s="35">
        <v>8.3710367999999995E-4</v>
      </c>
    </row>
    <row r="11285" spans="103:104" x14ac:dyDescent="0.3">
      <c r="CY11285" s="34" t="s">
        <v>12212</v>
      </c>
      <c r="CZ11285" s="35">
        <v>1.0308140799999998E-3</v>
      </c>
    </row>
    <row r="11286" spans="103:104" x14ac:dyDescent="0.3">
      <c r="CY11286" s="34" t="s">
        <v>12213</v>
      </c>
      <c r="CZ11286" s="35">
        <v>9.9207200000000009E-4</v>
      </c>
    </row>
    <row r="11287" spans="103:104" x14ac:dyDescent="0.3">
      <c r="CY11287" s="34" t="s">
        <v>12214</v>
      </c>
      <c r="CZ11287" s="35">
        <v>4.2188160000000008E-4</v>
      </c>
    </row>
    <row r="11288" spans="103:104" x14ac:dyDescent="0.3">
      <c r="CY11288" s="34" t="s">
        <v>12215</v>
      </c>
      <c r="CZ11288" s="35">
        <v>1.1857824000000002E-3</v>
      </c>
    </row>
    <row r="11289" spans="103:104" x14ac:dyDescent="0.3">
      <c r="CY11289" s="34" t="s">
        <v>12216</v>
      </c>
      <c r="CZ11289" s="35">
        <v>1.4182348800000002E-3</v>
      </c>
    </row>
    <row r="11290" spans="103:104" x14ac:dyDescent="0.3">
      <c r="CY11290" s="34" t="s">
        <v>12217</v>
      </c>
      <c r="CZ11290" s="35">
        <v>2.2756080000000005E-2</v>
      </c>
    </row>
    <row r="11291" spans="103:104" x14ac:dyDescent="0.3">
      <c r="CY11291" s="34" t="s">
        <v>12218</v>
      </c>
      <c r="CZ11291" s="35">
        <v>1.3303823766666667E-2</v>
      </c>
    </row>
    <row r="11292" spans="103:104" x14ac:dyDescent="0.3">
      <c r="CY11292" s="34" t="s">
        <v>12219</v>
      </c>
      <c r="CZ11292" s="35">
        <v>1.4457807743209875E-2</v>
      </c>
    </row>
    <row r="11293" spans="103:104" x14ac:dyDescent="0.3">
      <c r="CY11293" s="34" t="s">
        <v>12220</v>
      </c>
      <c r="CZ11293" s="35">
        <v>3.4389079999999995E-2</v>
      </c>
    </row>
    <row r="11294" spans="103:104" x14ac:dyDescent="0.3">
      <c r="CY11294" s="34" t="s">
        <v>12221</v>
      </c>
      <c r="CZ11294" s="35">
        <v>1.4462449999999999E-3</v>
      </c>
    </row>
    <row r="11295" spans="103:104" x14ac:dyDescent="0.3">
      <c r="CY11295" s="34" t="s">
        <v>12222</v>
      </c>
      <c r="CZ11295" s="35">
        <v>1.4462449999999999E-3</v>
      </c>
    </row>
    <row r="11296" spans="103:104" x14ac:dyDescent="0.3">
      <c r="CY11296" s="34" t="s">
        <v>12223</v>
      </c>
      <c r="CZ11296" s="35">
        <v>2.9487820000000005E-3</v>
      </c>
    </row>
    <row r="11297" spans="103:104" x14ac:dyDescent="0.3">
      <c r="CY11297" s="34" t="s">
        <v>12224</v>
      </c>
      <c r="CZ11297" s="35">
        <v>3.3383369519999997E-2</v>
      </c>
    </row>
    <row r="11298" spans="103:104" x14ac:dyDescent="0.3">
      <c r="CY11298" s="34" t="s">
        <v>12225</v>
      </c>
      <c r="CZ11298" s="35">
        <v>3.3383369519999997E-2</v>
      </c>
    </row>
    <row r="11299" spans="103:104" x14ac:dyDescent="0.3">
      <c r="CY11299" s="34" t="s">
        <v>12226</v>
      </c>
      <c r="CZ11299" s="35">
        <v>9.7818442105263156E-4</v>
      </c>
    </row>
    <row r="11300" spans="103:104" x14ac:dyDescent="0.3">
      <c r="CY11300" s="34" t="s">
        <v>12227</v>
      </c>
      <c r="CZ11300" s="35">
        <v>1.1512842105263156E-3</v>
      </c>
    </row>
    <row r="11301" spans="103:104" x14ac:dyDescent="0.3">
      <c r="CY11301" s="34" t="s">
        <v>12228</v>
      </c>
      <c r="CZ11301" s="35">
        <v>1.1337246315789474E-3</v>
      </c>
    </row>
    <row r="11302" spans="103:104" x14ac:dyDescent="0.3">
      <c r="CY11302" s="34" t="s">
        <v>12229</v>
      </c>
      <c r="CZ11302" s="35">
        <v>0.27344439999999998</v>
      </c>
    </row>
    <row r="11303" spans="103:104" x14ac:dyDescent="0.3">
      <c r="CY11303" s="34" t="s">
        <v>12230</v>
      </c>
      <c r="CZ11303" s="35">
        <v>8.8913600000000001E-4</v>
      </c>
    </row>
    <row r="11304" spans="103:104" x14ac:dyDescent="0.3">
      <c r="CY11304" s="34" t="s">
        <v>12231</v>
      </c>
      <c r="CZ11304" s="35">
        <v>4.9846559999999996E-3</v>
      </c>
    </row>
    <row r="11305" spans="103:104" x14ac:dyDescent="0.3">
      <c r="CY11305" s="34" t="s">
        <v>12232</v>
      </c>
      <c r="CZ11305" s="35">
        <v>8.5847519999999997E-2</v>
      </c>
    </row>
    <row r="11306" spans="103:104" x14ac:dyDescent="0.3">
      <c r="CY11306" s="34" t="s">
        <v>12233</v>
      </c>
      <c r="CZ11306" s="35">
        <v>0.19385328000000002</v>
      </c>
    </row>
    <row r="11307" spans="103:104" x14ac:dyDescent="0.3">
      <c r="CY11307" s="34" t="s">
        <v>12234</v>
      </c>
      <c r="CZ11307" s="35">
        <v>0.12162319999999999</v>
      </c>
    </row>
    <row r="11308" spans="103:104" x14ac:dyDescent="0.3">
      <c r="CY11308" s="34" t="s">
        <v>12235</v>
      </c>
      <c r="CZ11308" s="35">
        <v>7.0890640000000006E-4</v>
      </c>
    </row>
    <row r="11309" spans="103:104" x14ac:dyDescent="0.3">
      <c r="CY11309" s="34" t="s">
        <v>12236</v>
      </c>
      <c r="CZ11309" s="35">
        <v>6.8096668799999993E-4</v>
      </c>
    </row>
    <row r="11310" spans="103:104" x14ac:dyDescent="0.3">
      <c r="CY11310" s="34" t="s">
        <v>12237</v>
      </c>
      <c r="CZ11310" s="35">
        <v>6.1273760000000001E-4</v>
      </c>
    </row>
    <row r="11311" spans="103:104" x14ac:dyDescent="0.3">
      <c r="CY11311" s="34" t="s">
        <v>12238</v>
      </c>
      <c r="CZ11311" s="35">
        <v>5.7330911999999988E-4</v>
      </c>
    </row>
    <row r="11312" spans="103:104" x14ac:dyDescent="0.3">
      <c r="CY11312" s="34" t="s">
        <v>12239</v>
      </c>
      <c r="CZ11312" s="35">
        <v>1.4395666399999998E-3</v>
      </c>
    </row>
    <row r="11313" spans="103:104" x14ac:dyDescent="0.3">
      <c r="CY11313" s="34" t="s">
        <v>12240</v>
      </c>
      <c r="CZ11313" s="35">
        <v>1.4462449999999999E-3</v>
      </c>
    </row>
    <row r="11314" spans="103:104" x14ac:dyDescent="0.3">
      <c r="CY11314" s="34" t="s">
        <v>12241</v>
      </c>
      <c r="CZ11314" s="35">
        <v>1.4462449999999999E-3</v>
      </c>
    </row>
    <row r="11315" spans="103:104" x14ac:dyDescent="0.3">
      <c r="CY11315" s="34" t="s">
        <v>12242</v>
      </c>
      <c r="CZ11315" s="35">
        <v>1.4721929999999999E-3</v>
      </c>
    </row>
    <row r="11316" spans="103:104" x14ac:dyDescent="0.3">
      <c r="CY11316" s="34" t="s">
        <v>12243</v>
      </c>
      <c r="CZ11316" s="35">
        <v>1.4462449999999999E-3</v>
      </c>
    </row>
    <row r="11317" spans="103:104" x14ac:dyDescent="0.3">
      <c r="CY11317" s="34" t="s">
        <v>12244</v>
      </c>
      <c r="CZ11317" s="35">
        <v>1.4981409999999999E-3</v>
      </c>
    </row>
    <row r="11318" spans="103:104" x14ac:dyDescent="0.3">
      <c r="CY11318" s="34" t="s">
        <v>12245</v>
      </c>
      <c r="CZ11318" s="35">
        <v>1.4981409999999999E-3</v>
      </c>
    </row>
    <row r="11319" spans="103:104" x14ac:dyDescent="0.3">
      <c r="CY11319" s="34" t="s">
        <v>12246</v>
      </c>
      <c r="CZ11319" s="35">
        <v>1.575985E-3</v>
      </c>
    </row>
    <row r="11320" spans="103:104" x14ac:dyDescent="0.3">
      <c r="CY11320" s="34" t="s">
        <v>12247</v>
      </c>
      <c r="CZ11320" s="35">
        <v>1.4462449999999999E-3</v>
      </c>
    </row>
    <row r="11321" spans="103:104" x14ac:dyDescent="0.3">
      <c r="CY11321" s="34" t="s">
        <v>12248</v>
      </c>
      <c r="CZ11321" s="35">
        <v>2.711644E-3</v>
      </c>
    </row>
    <row r="11322" spans="103:104" x14ac:dyDescent="0.3">
      <c r="CY11322" s="34" t="s">
        <v>12249</v>
      </c>
      <c r="CZ11322" s="35">
        <v>8.3012800000000007E-4</v>
      </c>
    </row>
    <row r="11323" spans="103:104" x14ac:dyDescent="0.3">
      <c r="CY11323" s="34" t="s">
        <v>12250</v>
      </c>
      <c r="CZ11323" s="35">
        <v>9.7912800000000012E-4</v>
      </c>
    </row>
    <row r="11324" spans="103:104" x14ac:dyDescent="0.3">
      <c r="CY11324" s="34" t="s">
        <v>12251</v>
      </c>
      <c r="CZ11324" s="35">
        <v>9.7912800000000012E-4</v>
      </c>
    </row>
    <row r="11325" spans="103:104" x14ac:dyDescent="0.3">
      <c r="CY11325" s="34" t="s">
        <v>12252</v>
      </c>
      <c r="CZ11325" s="35">
        <v>2.4800971428571429E-3</v>
      </c>
    </row>
    <row r="11326" spans="103:104" x14ac:dyDescent="0.3">
      <c r="CY11326" s="34" t="s">
        <v>12253</v>
      </c>
      <c r="CZ11326" s="35">
        <v>2.9115485714285719E-3</v>
      </c>
    </row>
    <row r="11327" spans="103:104" x14ac:dyDescent="0.3">
      <c r="CY11327" s="34" t="s">
        <v>12254</v>
      </c>
      <c r="CZ11327" s="35">
        <v>5.0239371428571428E-3</v>
      </c>
    </row>
    <row r="11328" spans="103:104" x14ac:dyDescent="0.3">
      <c r="CY11328" s="34" t="s">
        <v>12255</v>
      </c>
      <c r="CZ11328" s="35">
        <v>6.0004971428571433E-3</v>
      </c>
    </row>
    <row r="11329" spans="103:104" x14ac:dyDescent="0.3">
      <c r="CY11329" s="34" t="s">
        <v>12256</v>
      </c>
      <c r="CZ11329" s="35">
        <v>9.2485600000000001E-2</v>
      </c>
    </row>
    <row r="11330" spans="103:104" x14ac:dyDescent="0.3">
      <c r="CY11330" s="34" t="s">
        <v>12257</v>
      </c>
      <c r="CZ11330" s="35">
        <v>5.9871399999999998E-2</v>
      </c>
    </row>
    <row r="11331" spans="103:104" x14ac:dyDescent="0.3">
      <c r="CY11331" s="34" t="s">
        <v>12258</v>
      </c>
      <c r="CZ11331" s="35">
        <v>5.37492E-3</v>
      </c>
    </row>
    <row r="11332" spans="103:104" x14ac:dyDescent="0.3">
      <c r="CY11332" s="34" t="s">
        <v>12259</v>
      </c>
      <c r="CZ11332" s="35">
        <v>1.5567590000000001E-2</v>
      </c>
    </row>
    <row r="11333" spans="103:104" x14ac:dyDescent="0.3">
      <c r="CY11333" s="34" t="s">
        <v>12260</v>
      </c>
      <c r="CZ11333" s="35">
        <v>6.1797330000000006E-3</v>
      </c>
    </row>
    <row r="11334" spans="103:104" x14ac:dyDescent="0.3">
      <c r="CY11334" s="34" t="s">
        <v>12261</v>
      </c>
      <c r="CZ11334" s="35">
        <v>1.5765549999999999E-3</v>
      </c>
    </row>
    <row r="11335" spans="103:104" x14ac:dyDescent="0.3">
      <c r="CY11335" s="34" t="s">
        <v>12262</v>
      </c>
      <c r="CZ11335" s="35">
        <v>1.091785E-2</v>
      </c>
    </row>
    <row r="11336" spans="103:104" x14ac:dyDescent="0.3">
      <c r="CY11336" s="34" t="s">
        <v>12263</v>
      </c>
      <c r="CZ11336" s="35">
        <v>7.3305600000000007E-3</v>
      </c>
    </row>
    <row r="11337" spans="103:104" x14ac:dyDescent="0.3">
      <c r="CY11337" s="34" t="s">
        <v>12264</v>
      </c>
      <c r="CZ11337" s="35">
        <v>1.1207316000000002E-2</v>
      </c>
    </row>
    <row r="11338" spans="103:104" x14ac:dyDescent="0.3">
      <c r="CY11338" s="34" t="s">
        <v>12265</v>
      </c>
      <c r="CZ11338" s="35">
        <v>5.0239371428571437E-3</v>
      </c>
    </row>
    <row r="11339" spans="103:104" x14ac:dyDescent="0.3">
      <c r="CY11339" s="34" t="s">
        <v>12266</v>
      </c>
      <c r="CZ11339" s="35">
        <v>5.0239371428571428E-3</v>
      </c>
    </row>
    <row r="11340" spans="103:104" x14ac:dyDescent="0.3">
      <c r="CY11340" s="34" t="s">
        <v>12267</v>
      </c>
      <c r="CZ11340" s="35">
        <v>5.0239371428571437E-3</v>
      </c>
    </row>
    <row r="11341" spans="103:104" x14ac:dyDescent="0.3">
      <c r="CY11341" s="34" t="s">
        <v>12268</v>
      </c>
      <c r="CZ11341" s="35">
        <v>5.0239371428571428E-3</v>
      </c>
    </row>
    <row r="11342" spans="103:104" x14ac:dyDescent="0.3">
      <c r="CY11342" s="34" t="s">
        <v>12269</v>
      </c>
      <c r="CZ11342" s="35">
        <v>6.0004971428571433E-3</v>
      </c>
    </row>
    <row r="11343" spans="103:104" x14ac:dyDescent="0.3">
      <c r="CY11343" s="34" t="s">
        <v>12270</v>
      </c>
      <c r="CZ11343" s="35">
        <v>6.0004971428571433E-3</v>
      </c>
    </row>
    <row r="11344" spans="103:104" x14ac:dyDescent="0.3">
      <c r="CY11344" s="34" t="s">
        <v>12271</v>
      </c>
      <c r="CZ11344" s="35">
        <v>6.0004971428571433E-3</v>
      </c>
    </row>
    <row r="11345" spans="103:104" x14ac:dyDescent="0.3">
      <c r="CY11345" s="34" t="s">
        <v>12272</v>
      </c>
      <c r="CZ11345" s="35">
        <v>6.0004971428571433E-3</v>
      </c>
    </row>
    <row r="11346" spans="103:104" x14ac:dyDescent="0.3">
      <c r="CY11346" s="34" t="s">
        <v>12273</v>
      </c>
      <c r="CZ11346" s="35">
        <v>6.0004971428571433E-3</v>
      </c>
    </row>
    <row r="11347" spans="103:104" x14ac:dyDescent="0.3">
      <c r="CY11347" s="34" t="s">
        <v>12274</v>
      </c>
      <c r="CZ11347" s="35">
        <v>1.2798624000000002E-3</v>
      </c>
    </row>
    <row r="11348" spans="103:104" x14ac:dyDescent="0.3">
      <c r="CY11348" s="34" t="s">
        <v>12275</v>
      </c>
      <c r="CZ11348" s="35">
        <v>1.0861520000000002E-3</v>
      </c>
    </row>
    <row r="11349" spans="103:104" x14ac:dyDescent="0.3">
      <c r="CY11349" s="34" t="s">
        <v>12276</v>
      </c>
      <c r="CZ11349" s="35">
        <v>4.9356805599999999E-3</v>
      </c>
    </row>
    <row r="11350" spans="103:104" x14ac:dyDescent="0.3">
      <c r="CY11350" s="34" t="s">
        <v>12277</v>
      </c>
      <c r="CZ11350" s="35">
        <v>2.1952591999999999E-4</v>
      </c>
    </row>
    <row r="11351" spans="103:104" x14ac:dyDescent="0.3">
      <c r="CY11351" s="34" t="s">
        <v>12278</v>
      </c>
      <c r="CZ11351" s="35">
        <v>3.7125280000000003E-4</v>
      </c>
    </row>
    <row r="11352" spans="103:104" x14ac:dyDescent="0.3">
      <c r="CY11352" s="34" t="s">
        <v>12279</v>
      </c>
      <c r="CZ11352" s="35">
        <v>0.37279400000000001</v>
      </c>
    </row>
    <row r="11353" spans="103:104" x14ac:dyDescent="0.3">
      <c r="CY11353" s="34" t="s">
        <v>12280</v>
      </c>
      <c r="CZ11353" s="35">
        <v>0.48528976000000007</v>
      </c>
    </row>
    <row r="11354" spans="103:104" x14ac:dyDescent="0.3">
      <c r="CY11354" s="34" t="s">
        <v>12281</v>
      </c>
      <c r="CZ11354" s="35">
        <v>4.1673359999999998E-3</v>
      </c>
    </row>
    <row r="11355" spans="103:104" x14ac:dyDescent="0.3">
      <c r="CY11355" s="34" t="s">
        <v>12282</v>
      </c>
      <c r="CZ11355" s="35">
        <v>0.19090544972499998</v>
      </c>
    </row>
    <row r="11356" spans="103:104" x14ac:dyDescent="0.3">
      <c r="CY11356" s="34" t="s">
        <v>12283</v>
      </c>
      <c r="CZ11356" s="35">
        <v>0.16303854164062501</v>
      </c>
    </row>
    <row r="11357" spans="103:104" x14ac:dyDescent="0.3">
      <c r="CY11357" s="34" t="s">
        <v>12284</v>
      </c>
      <c r="CZ11357" s="35">
        <v>2.5407111999999998E-3</v>
      </c>
    </row>
    <row r="11358" spans="103:104" x14ac:dyDescent="0.3">
      <c r="CY11358" s="34" t="s">
        <v>12285</v>
      </c>
      <c r="CZ11358" s="35">
        <v>4.9026080000000007E-2</v>
      </c>
    </row>
    <row r="11359" spans="103:104" x14ac:dyDescent="0.3">
      <c r="CY11359" s="34" t="s">
        <v>12286</v>
      </c>
      <c r="CZ11359" s="35">
        <v>1.0219392771084338E-2</v>
      </c>
    </row>
    <row r="11360" spans="103:104" x14ac:dyDescent="0.3">
      <c r="CY11360" s="34" t="s">
        <v>12287</v>
      </c>
      <c r="CZ11360" s="35">
        <v>1.0351967741935482E-2</v>
      </c>
    </row>
    <row r="11361" spans="103:104" x14ac:dyDescent="0.3">
      <c r="CY11361" s="34" t="s">
        <v>12288</v>
      </c>
      <c r="CZ11361" s="35">
        <v>0.21350875</v>
      </c>
    </row>
    <row r="11362" spans="103:104" x14ac:dyDescent="0.3">
      <c r="CY11362" s="34" t="s">
        <v>12289</v>
      </c>
      <c r="CZ11362" s="35">
        <v>0.2126555</v>
      </c>
    </row>
    <row r="11363" spans="103:104" x14ac:dyDescent="0.3">
      <c r="CY11363" s="34" t="s">
        <v>12290</v>
      </c>
      <c r="CZ11363" s="35">
        <v>0.23989328999999998</v>
      </c>
    </row>
    <row r="11364" spans="103:104" x14ac:dyDescent="0.3">
      <c r="CY11364" s="34" t="s">
        <v>12291</v>
      </c>
      <c r="CZ11364" s="35">
        <v>0.22272328085714288</v>
      </c>
    </row>
    <row r="11365" spans="103:104" x14ac:dyDescent="0.3">
      <c r="CY11365" s="34" t="s">
        <v>12292</v>
      </c>
      <c r="CZ11365" s="35">
        <v>0.24084642104000001</v>
      </c>
    </row>
    <row r="11366" spans="103:104" x14ac:dyDescent="0.3">
      <c r="CY11366" s="34" t="s">
        <v>12293</v>
      </c>
      <c r="CZ11366" s="35">
        <v>0.26394101069999998</v>
      </c>
    </row>
    <row r="11367" spans="103:104" x14ac:dyDescent="0.3">
      <c r="CY11367" s="34" t="s">
        <v>12294</v>
      </c>
      <c r="CZ11367" s="35">
        <v>0.24586105833333333</v>
      </c>
    </row>
    <row r="11368" spans="103:104" x14ac:dyDescent="0.3">
      <c r="CY11368" s="34" t="s">
        <v>12295</v>
      </c>
      <c r="CZ11368" s="35">
        <v>2.8259039999999999E-2</v>
      </c>
    </row>
    <row r="11369" spans="103:104" x14ac:dyDescent="0.3">
      <c r="CY11369" s="34" t="s">
        <v>12296</v>
      </c>
      <c r="CZ11369" s="35">
        <v>9.8776660000000002E-3</v>
      </c>
    </row>
    <row r="11370" spans="103:104" x14ac:dyDescent="0.3">
      <c r="CY11370" s="34" t="s">
        <v>12297</v>
      </c>
      <c r="CZ11370" s="35">
        <v>2.982982E-2</v>
      </c>
    </row>
    <row r="11371" spans="103:104" x14ac:dyDescent="0.3">
      <c r="CY11371" s="34" t="s">
        <v>12298</v>
      </c>
      <c r="CZ11371" s="35">
        <v>8.5046119999999989E-2</v>
      </c>
    </row>
    <row r="11372" spans="103:104" x14ac:dyDescent="0.3">
      <c r="CY11372" s="34" t="s">
        <v>12299</v>
      </c>
      <c r="CZ11372" s="35">
        <v>1.6763384E-3</v>
      </c>
    </row>
    <row r="11373" spans="103:104" x14ac:dyDescent="0.3">
      <c r="CY11373" s="34" t="s">
        <v>12300</v>
      </c>
      <c r="CZ11373" s="35">
        <v>6.3951999999999993E-3</v>
      </c>
    </row>
    <row r="11374" spans="103:104" x14ac:dyDescent="0.3">
      <c r="CY11374" s="34" t="s">
        <v>12301</v>
      </c>
      <c r="CZ11374" s="35">
        <v>7.6381440000000017E-4</v>
      </c>
    </row>
    <row r="11375" spans="103:104" x14ac:dyDescent="0.3">
      <c r="CY11375" s="34" t="s">
        <v>12302</v>
      </c>
      <c r="CZ11375" s="35">
        <v>8.9864888888888887E-4</v>
      </c>
    </row>
    <row r="11376" spans="103:104" x14ac:dyDescent="0.3">
      <c r="CY11376" s="34" t="s">
        <v>12303</v>
      </c>
      <c r="CZ11376" s="35">
        <v>7.2064373301976473E-2</v>
      </c>
    </row>
    <row r="11377" spans="103:104" x14ac:dyDescent="0.3">
      <c r="CY11377" s="34" t="s">
        <v>12304</v>
      </c>
      <c r="CZ11377" s="35">
        <v>6.6249600000000001E-3</v>
      </c>
    </row>
    <row r="11378" spans="103:104" x14ac:dyDescent="0.3">
      <c r="CY11378" s="34" t="s">
        <v>12305</v>
      </c>
      <c r="CZ11378" s="35">
        <v>8.224866669999999E-3</v>
      </c>
    </row>
    <row r="11379" spans="103:104" x14ac:dyDescent="0.3">
      <c r="CY11379" s="34" t="s">
        <v>12306</v>
      </c>
      <c r="CZ11379" s="35">
        <v>2.0184826666666669E-2</v>
      </c>
    </row>
    <row r="11380" spans="103:104" x14ac:dyDescent="0.3">
      <c r="CY11380" s="34" t="s">
        <v>12307</v>
      </c>
      <c r="CZ11380" s="35">
        <v>1.4738960000000001E-2</v>
      </c>
    </row>
    <row r="11381" spans="103:104" x14ac:dyDescent="0.3">
      <c r="CY11381" s="34" t="s">
        <v>12308</v>
      </c>
      <c r="CZ11381" s="35">
        <v>2.8986138687499999E-3</v>
      </c>
    </row>
    <row r="11382" spans="103:104" x14ac:dyDescent="0.3">
      <c r="CY11382" s="34" t="s">
        <v>12309</v>
      </c>
      <c r="CZ11382" s="35">
        <v>8.182714666666667E-2</v>
      </c>
    </row>
    <row r="11383" spans="103:104" x14ac:dyDescent="0.3">
      <c r="CY11383" s="34" t="s">
        <v>12310</v>
      </c>
      <c r="CZ11383" s="35">
        <v>0.12326053333000001</v>
      </c>
    </row>
    <row r="11384" spans="103:104" x14ac:dyDescent="0.3">
      <c r="CY11384" s="34" t="s">
        <v>12311</v>
      </c>
      <c r="CZ11384" s="35">
        <v>5.82893097E-2</v>
      </c>
    </row>
    <row r="11385" spans="103:104" x14ac:dyDescent="0.3">
      <c r="CY11385" s="34" t="s">
        <v>12312</v>
      </c>
      <c r="CZ11385" s="35">
        <v>5.5512560000000001E-3</v>
      </c>
    </row>
    <row r="11386" spans="103:104" x14ac:dyDescent="0.3">
      <c r="CY11386" s="34" t="s">
        <v>12313</v>
      </c>
      <c r="CZ11386" s="35">
        <v>5.5512560000000001E-3</v>
      </c>
    </row>
    <row r="11387" spans="103:104" x14ac:dyDescent="0.3">
      <c r="CY11387" s="34" t="s">
        <v>12314</v>
      </c>
      <c r="CZ11387" s="35">
        <v>0.11551776</v>
      </c>
    </row>
    <row r="11388" spans="103:104" x14ac:dyDescent="0.3">
      <c r="CY11388" s="34" t="s">
        <v>12315</v>
      </c>
      <c r="CZ11388" s="35">
        <v>0.23954400000000001</v>
      </c>
    </row>
    <row r="11389" spans="103:104" x14ac:dyDescent="0.3">
      <c r="CY11389" s="34" t="s">
        <v>12316</v>
      </c>
      <c r="CZ11389" s="35">
        <v>1.2106432000000002E-2</v>
      </c>
    </row>
    <row r="11390" spans="103:104" x14ac:dyDescent="0.3">
      <c r="CY11390" s="34" t="s">
        <v>12317</v>
      </c>
      <c r="CZ11390" s="35">
        <v>7.4282920000000004E-3</v>
      </c>
    </row>
    <row r="11391" spans="103:104" x14ac:dyDescent="0.3">
      <c r="CY11391" s="34" t="s">
        <v>12318</v>
      </c>
      <c r="CZ11391" s="35">
        <v>6.7204039999999997E-4</v>
      </c>
    </row>
    <row r="11392" spans="103:104" x14ac:dyDescent="0.3">
      <c r="CY11392" s="34" t="s">
        <v>12319</v>
      </c>
      <c r="CZ11392" s="35">
        <v>1.4560053333333335E-4</v>
      </c>
    </row>
    <row r="11393" spans="103:104" x14ac:dyDescent="0.3">
      <c r="CY11393" s="34" t="s">
        <v>12320</v>
      </c>
      <c r="CZ11393" s="35">
        <v>0.10736849999999999</v>
      </c>
    </row>
    <row r="11394" spans="103:104" x14ac:dyDescent="0.3">
      <c r="CY11394" s="34" t="s">
        <v>12321</v>
      </c>
      <c r="CZ11394" s="35">
        <v>7.2267533499999995E-2</v>
      </c>
    </row>
    <row r="11395" spans="103:104" x14ac:dyDescent="0.3">
      <c r="CY11395" s="34" t="s">
        <v>12322</v>
      </c>
      <c r="CZ11395" s="35">
        <v>1.2084624000000002E-2</v>
      </c>
    </row>
    <row r="11396" spans="103:104" x14ac:dyDescent="0.3">
      <c r="CY11396" s="34" t="s">
        <v>12323</v>
      </c>
      <c r="CZ11396" s="35">
        <v>1.379428E-3</v>
      </c>
    </row>
    <row r="11397" spans="103:104" x14ac:dyDescent="0.3">
      <c r="CY11397" s="34" t="s">
        <v>12324</v>
      </c>
      <c r="CZ11397" s="35">
        <v>3.0265434000000002E-3</v>
      </c>
    </row>
    <row r="11398" spans="103:104" x14ac:dyDescent="0.3">
      <c r="CY11398" s="34" t="s">
        <v>12325</v>
      </c>
      <c r="CZ11398" s="35">
        <v>5.4229157894736847E-3</v>
      </c>
    </row>
    <row r="11399" spans="103:104" x14ac:dyDescent="0.3">
      <c r="CY11399" s="34" t="s">
        <v>12326</v>
      </c>
      <c r="CZ11399" s="35">
        <v>2.1707269999999997E-2</v>
      </c>
    </row>
    <row r="11400" spans="103:104" x14ac:dyDescent="0.3">
      <c r="CY11400" s="34" t="s">
        <v>12327</v>
      </c>
      <c r="CZ11400" s="35">
        <v>1.0816252747252746E-2</v>
      </c>
    </row>
    <row r="11401" spans="103:104" x14ac:dyDescent="0.3">
      <c r="CY11401" s="34" t="s">
        <v>12328</v>
      </c>
      <c r="CZ11401" s="35">
        <v>2.7524690000000004E-3</v>
      </c>
    </row>
    <row r="11402" spans="103:104" x14ac:dyDescent="0.3">
      <c r="CY11402" s="34" t="s">
        <v>12329</v>
      </c>
      <c r="CZ11402" s="35">
        <v>7.2617200000000002E-3</v>
      </c>
    </row>
    <row r="11403" spans="103:104" x14ac:dyDescent="0.3">
      <c r="CY11403" s="34" t="s">
        <v>12330</v>
      </c>
      <c r="CZ11403" s="35">
        <v>7.2617200000000002E-3</v>
      </c>
    </row>
    <row r="11404" spans="103:104" x14ac:dyDescent="0.3">
      <c r="CY11404" s="34" t="s">
        <v>12331</v>
      </c>
      <c r="CZ11404" s="35">
        <v>8.7024890000000008E-3</v>
      </c>
    </row>
    <row r="11405" spans="103:104" x14ac:dyDescent="0.3">
      <c r="CY11405" s="34" t="s">
        <v>12332</v>
      </c>
      <c r="CZ11405" s="35">
        <v>7.4868399875000005E-3</v>
      </c>
    </row>
    <row r="11406" spans="103:104" x14ac:dyDescent="0.3">
      <c r="CY11406" s="34" t="s">
        <v>12333</v>
      </c>
      <c r="CZ11406" s="35">
        <v>6.6517866666666679E-3</v>
      </c>
    </row>
    <row r="11407" spans="103:104" x14ac:dyDescent="0.3">
      <c r="CY11407" s="34" t="s">
        <v>12334</v>
      </c>
      <c r="CZ11407" s="35">
        <v>2.6639554533333335E-3</v>
      </c>
    </row>
    <row r="11408" spans="103:104" x14ac:dyDescent="0.3">
      <c r="CY11408" s="34" t="s">
        <v>12335</v>
      </c>
      <c r="CZ11408" s="35">
        <v>2.9475166653966669E-3</v>
      </c>
    </row>
    <row r="11409" spans="103:104" x14ac:dyDescent="0.3">
      <c r="CY11409" s="34" t="s">
        <v>12336</v>
      </c>
      <c r="CZ11409" s="35">
        <v>2.1999048518444447E-3</v>
      </c>
    </row>
    <row r="11410" spans="103:104" x14ac:dyDescent="0.3">
      <c r="CY11410" s="34" t="s">
        <v>12337</v>
      </c>
      <c r="CZ11410" s="35">
        <v>4.8874956822199996E-3</v>
      </c>
    </row>
    <row r="11411" spans="103:104" x14ac:dyDescent="0.3">
      <c r="CY11411" s="34" t="s">
        <v>12338</v>
      </c>
      <c r="CZ11411" s="35">
        <v>2.9475166653966664E-3</v>
      </c>
    </row>
    <row r="11412" spans="103:104" x14ac:dyDescent="0.3">
      <c r="CY11412" s="34" t="s">
        <v>12339</v>
      </c>
      <c r="CZ11412" s="35">
        <v>3.9053380424489796E-3</v>
      </c>
    </row>
    <row r="11413" spans="103:104" x14ac:dyDescent="0.3">
      <c r="CY11413" s="34" t="s">
        <v>12340</v>
      </c>
      <c r="CZ11413" s="35">
        <v>3.2405697755102042E-3</v>
      </c>
    </row>
    <row r="11414" spans="103:104" x14ac:dyDescent="0.3">
      <c r="CY11414" s="34" t="s">
        <v>12341</v>
      </c>
      <c r="CZ11414" s="35">
        <v>6.1220629999999996E-3</v>
      </c>
    </row>
    <row r="11415" spans="103:104" x14ac:dyDescent="0.3">
      <c r="CY11415" s="34" t="s">
        <v>12342</v>
      </c>
      <c r="CZ11415" s="35">
        <v>7.6594430000000002E-3</v>
      </c>
    </row>
    <row r="11416" spans="103:104" x14ac:dyDescent="0.3">
      <c r="CY11416" s="34" t="s">
        <v>12343</v>
      </c>
      <c r="CZ11416" s="35">
        <v>7.9890960000000011E-3</v>
      </c>
    </row>
    <row r="11417" spans="103:104" x14ac:dyDescent="0.3">
      <c r="CY11417" s="34" t="s">
        <v>12344</v>
      </c>
      <c r="CZ11417" s="35">
        <v>8.9836183999999989E-3</v>
      </c>
    </row>
    <row r="11418" spans="103:104" x14ac:dyDescent="0.3">
      <c r="CY11418" s="34" t="s">
        <v>12345</v>
      </c>
      <c r="CZ11418" s="35">
        <v>8.2421919984615385E-3</v>
      </c>
    </row>
    <row r="11419" spans="103:104" x14ac:dyDescent="0.3">
      <c r="CY11419" s="34" t="s">
        <v>12346</v>
      </c>
      <c r="CZ11419" s="35">
        <v>7.1380129999999995E-3</v>
      </c>
    </row>
    <row r="11420" spans="103:104" x14ac:dyDescent="0.3">
      <c r="CY11420" s="34" t="s">
        <v>12347</v>
      </c>
      <c r="CZ11420" s="35">
        <v>7.9890960000000011E-3</v>
      </c>
    </row>
    <row r="11421" spans="103:104" x14ac:dyDescent="0.3">
      <c r="CY11421" s="34" t="s">
        <v>12348</v>
      </c>
      <c r="CZ11421" s="35">
        <v>1.144904E-3</v>
      </c>
    </row>
    <row r="11422" spans="103:104" x14ac:dyDescent="0.3">
      <c r="CY11422" s="34" t="s">
        <v>12349</v>
      </c>
      <c r="CZ11422" s="35">
        <v>1.269704E-3</v>
      </c>
    </row>
    <row r="11423" spans="103:104" x14ac:dyDescent="0.3">
      <c r="CY11423" s="34" t="s">
        <v>12350</v>
      </c>
      <c r="CZ11423" s="35">
        <v>2.2527240000000002E-3</v>
      </c>
    </row>
    <row r="11424" spans="103:104" x14ac:dyDescent="0.3">
      <c r="CY11424" s="34" t="s">
        <v>12351</v>
      </c>
      <c r="CZ11424" s="35">
        <v>1.0355624000000001E-2</v>
      </c>
    </row>
    <row r="11425" spans="103:104" x14ac:dyDescent="0.3">
      <c r="CY11425" s="34" t="s">
        <v>12352</v>
      </c>
      <c r="CZ11425" s="35">
        <v>5.2200213333333342E-2</v>
      </c>
    </row>
    <row r="11426" spans="103:104" x14ac:dyDescent="0.3">
      <c r="CY11426" s="34" t="s">
        <v>12353</v>
      </c>
      <c r="CZ11426" s="35">
        <v>5.8423573499999992E-2</v>
      </c>
    </row>
    <row r="11427" spans="103:104" x14ac:dyDescent="0.3">
      <c r="CY11427" s="34" t="s">
        <v>12354</v>
      </c>
      <c r="CZ11427" s="35">
        <v>7.2429000000000007E-2</v>
      </c>
    </row>
    <row r="11428" spans="103:104" x14ac:dyDescent="0.3">
      <c r="CY11428" s="34" t="s">
        <v>12355</v>
      </c>
      <c r="CZ11428" s="35">
        <v>4.153482E-2</v>
      </c>
    </row>
    <row r="11429" spans="103:104" x14ac:dyDescent="0.3">
      <c r="CY11429" s="34" t="s">
        <v>12356</v>
      </c>
      <c r="CZ11429" s="35">
        <v>4.3246659999999999E-2</v>
      </c>
    </row>
    <row r="11430" spans="103:104" x14ac:dyDescent="0.3">
      <c r="CY11430" s="34" t="s">
        <v>12357</v>
      </c>
      <c r="CZ11430" s="35">
        <v>5.9534097291699993E-3</v>
      </c>
    </row>
    <row r="11431" spans="103:104" x14ac:dyDescent="0.3">
      <c r="CY11431" s="34" t="s">
        <v>12358</v>
      </c>
      <c r="CZ11431" s="35">
        <v>5.3205983374999995E-3</v>
      </c>
    </row>
    <row r="11432" spans="103:104" x14ac:dyDescent="0.3">
      <c r="CY11432" s="34" t="s">
        <v>12359</v>
      </c>
      <c r="CZ11432" s="35">
        <v>9.6735983272727283E-3</v>
      </c>
    </row>
    <row r="11433" spans="103:104" x14ac:dyDescent="0.3">
      <c r="CY11433" s="34" t="s">
        <v>12360</v>
      </c>
      <c r="CZ11433" s="35">
        <v>0.2302345066625</v>
      </c>
    </row>
    <row r="11434" spans="103:104" x14ac:dyDescent="0.3">
      <c r="CY11434" s="34" t="s">
        <v>12361</v>
      </c>
      <c r="CZ11434" s="35">
        <v>2.8793368E-2</v>
      </c>
    </row>
    <row r="11435" spans="103:104" x14ac:dyDescent="0.3">
      <c r="CY11435" s="34" t="s">
        <v>12362</v>
      </c>
      <c r="CZ11435" s="35">
        <v>2.3021744000000003E-3</v>
      </c>
    </row>
    <row r="11436" spans="103:104" x14ac:dyDescent="0.3">
      <c r="CY11436" s="34" t="s">
        <v>12363</v>
      </c>
      <c r="CZ11436" s="35">
        <v>6.729512E-2</v>
      </c>
    </row>
    <row r="11437" spans="103:104" x14ac:dyDescent="0.3">
      <c r="CY11437" s="34" t="s">
        <v>12364</v>
      </c>
      <c r="CZ11437" s="35">
        <v>1.0528271999999998E-2</v>
      </c>
    </row>
    <row r="11438" spans="103:104" x14ac:dyDescent="0.3">
      <c r="CY11438" s="34" t="s">
        <v>12365</v>
      </c>
      <c r="CZ11438" s="35">
        <v>2.7850919999999999E-3</v>
      </c>
    </row>
    <row r="11439" spans="103:104" x14ac:dyDescent="0.3">
      <c r="CY11439" s="34" t="s">
        <v>12366</v>
      </c>
      <c r="CZ11439" s="35">
        <v>0.18416632477777778</v>
      </c>
    </row>
    <row r="11440" spans="103:104" x14ac:dyDescent="0.3">
      <c r="CY11440" s="34" t="s">
        <v>12367</v>
      </c>
      <c r="CZ11440" s="35">
        <v>1.8852015999999997E-3</v>
      </c>
    </row>
    <row r="11441" spans="103:104" x14ac:dyDescent="0.3">
      <c r="CY11441" s="34" t="s">
        <v>12368</v>
      </c>
      <c r="CZ11441" s="35">
        <v>3.1306815999999995E-3</v>
      </c>
    </row>
    <row r="11442" spans="103:104" x14ac:dyDescent="0.3">
      <c r="CY11442" s="34" t="s">
        <v>12369</v>
      </c>
      <c r="CZ11442" s="35">
        <v>6.9008840000000004E-3</v>
      </c>
    </row>
    <row r="11443" spans="103:104" x14ac:dyDescent="0.3">
      <c r="CY11443" s="34" t="s">
        <v>12370</v>
      </c>
      <c r="CZ11443" s="35">
        <v>3.2722720000000001E-3</v>
      </c>
    </row>
    <row r="11444" spans="103:104" x14ac:dyDescent="0.3">
      <c r="CY11444" s="34" t="s">
        <v>12371</v>
      </c>
      <c r="CZ11444" s="35">
        <v>4.3585079999999994E-4</v>
      </c>
    </row>
    <row r="11445" spans="103:104" x14ac:dyDescent="0.3">
      <c r="CY11445" s="34" t="s">
        <v>12372</v>
      </c>
      <c r="CZ11445" s="35">
        <v>1.3807040000000002E-3</v>
      </c>
    </row>
    <row r="11446" spans="103:104" x14ac:dyDescent="0.3">
      <c r="CY11446" s="34" t="s">
        <v>12373</v>
      </c>
      <c r="CZ11446" s="35">
        <v>7.9401066671641787E-3</v>
      </c>
    </row>
    <row r="11447" spans="103:104" x14ac:dyDescent="0.3">
      <c r="CY11447" s="34" t="s">
        <v>12374</v>
      </c>
      <c r="CZ11447" s="35">
        <v>8.6457066666666658E-3</v>
      </c>
    </row>
    <row r="11448" spans="103:104" x14ac:dyDescent="0.3">
      <c r="CY11448" s="34" t="s">
        <v>12375</v>
      </c>
      <c r="CZ11448" s="35">
        <v>7.7989866659999999E-3</v>
      </c>
    </row>
    <row r="11449" spans="103:104" x14ac:dyDescent="0.3">
      <c r="CY11449" s="34" t="s">
        <v>12376</v>
      </c>
      <c r="CZ11449" s="35">
        <v>1.9866666666666665E-4</v>
      </c>
    </row>
    <row r="11450" spans="103:104" x14ac:dyDescent="0.3">
      <c r="CY11450" s="34" t="s">
        <v>12377</v>
      </c>
      <c r="CZ11450" s="35">
        <v>9.3496266666666661E-3</v>
      </c>
    </row>
    <row r="11451" spans="103:104" x14ac:dyDescent="0.3">
      <c r="CY11451" s="34" t="s">
        <v>12378</v>
      </c>
      <c r="CZ11451" s="35">
        <v>1.7681800000000001E-2</v>
      </c>
    </row>
    <row r="11452" spans="103:104" x14ac:dyDescent="0.3">
      <c r="CY11452" s="34" t="s">
        <v>12379</v>
      </c>
      <c r="CZ11452" s="35">
        <v>9.9961999999999985E-3</v>
      </c>
    </row>
    <row r="11453" spans="103:104" x14ac:dyDescent="0.3">
      <c r="CY11453" s="34" t="s">
        <v>12380</v>
      </c>
      <c r="CZ11453" s="35">
        <v>2.8966347000000003E-2</v>
      </c>
    </row>
    <row r="11454" spans="103:104" x14ac:dyDescent="0.3">
      <c r="CY11454" s="34" t="s">
        <v>12381</v>
      </c>
      <c r="CZ11454" s="35">
        <v>2.9405440000000002E-3</v>
      </c>
    </row>
    <row r="11455" spans="103:104" x14ac:dyDescent="0.3">
      <c r="CY11455" s="34" t="s">
        <v>12382</v>
      </c>
      <c r="CZ11455" s="35">
        <v>2.1751455999999996E-3</v>
      </c>
    </row>
    <row r="11456" spans="103:104" x14ac:dyDescent="0.3">
      <c r="CY11456" s="34" t="s">
        <v>12383</v>
      </c>
      <c r="CZ11456" s="35">
        <v>2.1750613374999998E-2</v>
      </c>
    </row>
    <row r="11457" spans="103:104" x14ac:dyDescent="0.3">
      <c r="CY11457" s="34" t="s">
        <v>12384</v>
      </c>
      <c r="CZ11457" s="35">
        <v>8.8572684999999995E-3</v>
      </c>
    </row>
    <row r="11458" spans="103:104" x14ac:dyDescent="0.3">
      <c r="CY11458" s="34" t="s">
        <v>12385</v>
      </c>
      <c r="CZ11458" s="35">
        <v>8.1790809999999995E-3</v>
      </c>
    </row>
    <row r="11459" spans="103:104" x14ac:dyDescent="0.3">
      <c r="CY11459" s="34" t="s">
        <v>12386</v>
      </c>
      <c r="CZ11459" s="35">
        <v>3.0746719999999998E-2</v>
      </c>
    </row>
    <row r="11460" spans="103:104" x14ac:dyDescent="0.3">
      <c r="CY11460" s="34" t="s">
        <v>12387</v>
      </c>
      <c r="CZ11460" s="35">
        <v>7.2457879999999995E-3</v>
      </c>
    </row>
    <row r="11461" spans="103:104" x14ac:dyDescent="0.3">
      <c r="CY11461" s="34" t="s">
        <v>12388</v>
      </c>
      <c r="CZ11461" s="35">
        <v>3.2894920000000002E-3</v>
      </c>
    </row>
    <row r="11462" spans="103:104" x14ac:dyDescent="0.3">
      <c r="CY11462" s="34" t="s">
        <v>12389</v>
      </c>
      <c r="CZ11462" s="35">
        <v>2.0756906E-3</v>
      </c>
    </row>
    <row r="11463" spans="103:104" x14ac:dyDescent="0.3">
      <c r="CY11463" s="34" t="s">
        <v>12390</v>
      </c>
      <c r="CZ11463" s="35">
        <v>1.4055056E-2</v>
      </c>
    </row>
    <row r="11464" spans="103:104" x14ac:dyDescent="0.3">
      <c r="CY11464" s="34" t="s">
        <v>12391</v>
      </c>
      <c r="CZ11464" s="35">
        <v>8.225296E-3</v>
      </c>
    </row>
    <row r="11465" spans="103:104" x14ac:dyDescent="0.3">
      <c r="CY11465" s="34" t="s">
        <v>12392</v>
      </c>
      <c r="CZ11465" s="35">
        <v>3.6305679999999998E-3</v>
      </c>
    </row>
    <row r="11466" spans="103:104" x14ac:dyDescent="0.3">
      <c r="CY11466" s="34" t="s">
        <v>12393</v>
      </c>
      <c r="CZ11466" s="35">
        <v>1.2731776000000001E-3</v>
      </c>
    </row>
    <row r="11467" spans="103:104" x14ac:dyDescent="0.3">
      <c r="CY11467" s="34" t="s">
        <v>12394</v>
      </c>
      <c r="CZ11467" s="35">
        <v>2.3241079999999997E-2</v>
      </c>
    </row>
    <row r="11468" spans="103:104" x14ac:dyDescent="0.3">
      <c r="CY11468" s="34" t="s">
        <v>12395</v>
      </c>
      <c r="CZ11468" s="35">
        <v>2.1148746649999994E-2</v>
      </c>
    </row>
    <row r="11469" spans="103:104" x14ac:dyDescent="0.3">
      <c r="CY11469" s="34" t="s">
        <v>12396</v>
      </c>
      <c r="CZ11469" s="35">
        <v>1.2695735999999999E-2</v>
      </c>
    </row>
    <row r="11470" spans="103:104" x14ac:dyDescent="0.3">
      <c r="CY11470" s="34" t="s">
        <v>12397</v>
      </c>
      <c r="CZ11470" s="35">
        <v>1.0000575999999999E-2</v>
      </c>
    </row>
    <row r="11471" spans="103:104" x14ac:dyDescent="0.3">
      <c r="CY11471" s="34" t="s">
        <v>12398</v>
      </c>
      <c r="CZ11471" s="35">
        <v>5.3361552000000005E-3</v>
      </c>
    </row>
    <row r="11472" spans="103:104" x14ac:dyDescent="0.3">
      <c r="CY11472" s="34" t="s">
        <v>12399</v>
      </c>
      <c r="CZ11472" s="35">
        <v>1.3217075E-2</v>
      </c>
    </row>
    <row r="11473" spans="103:104" x14ac:dyDescent="0.3">
      <c r="CY11473" s="34" t="s">
        <v>12400</v>
      </c>
      <c r="CZ11473" s="35">
        <v>1.331035E-2</v>
      </c>
    </row>
    <row r="11474" spans="103:104" x14ac:dyDescent="0.3">
      <c r="CY11474" s="34" t="s">
        <v>12401</v>
      </c>
      <c r="CZ11474" s="35">
        <v>2.3471975514285717E-3</v>
      </c>
    </row>
    <row r="11475" spans="103:104" x14ac:dyDescent="0.3">
      <c r="CY11475" s="34" t="s">
        <v>12402</v>
      </c>
      <c r="CZ11475" s="35">
        <v>2.1623656349999999E-3</v>
      </c>
    </row>
    <row r="11476" spans="103:104" x14ac:dyDescent="0.3">
      <c r="CY11476" s="34" t="s">
        <v>12403</v>
      </c>
      <c r="CZ11476" s="35">
        <v>1.4349629200000004E-3</v>
      </c>
    </row>
    <row r="11477" spans="103:104" x14ac:dyDescent="0.3">
      <c r="CY11477" s="34" t="s">
        <v>12404</v>
      </c>
      <c r="CZ11477" s="35">
        <v>1.5243974700000001E-3</v>
      </c>
    </row>
    <row r="11478" spans="103:104" x14ac:dyDescent="0.3">
      <c r="CY11478" s="34" t="s">
        <v>12405</v>
      </c>
      <c r="CZ11478" s="35">
        <v>1.55739642E-3</v>
      </c>
    </row>
    <row r="11479" spans="103:104" x14ac:dyDescent="0.3">
      <c r="CY11479" s="34" t="s">
        <v>12406</v>
      </c>
      <c r="CZ11479" s="35">
        <v>1.8796041866666667E-3</v>
      </c>
    </row>
    <row r="11480" spans="103:104" x14ac:dyDescent="0.3">
      <c r="CY11480" s="34" t="s">
        <v>12407</v>
      </c>
      <c r="CZ11480" s="35">
        <v>4.6556000000000002E-3</v>
      </c>
    </row>
    <row r="11481" spans="103:104" x14ac:dyDescent="0.3">
      <c r="CY11481" s="34" t="s">
        <v>12408</v>
      </c>
      <c r="CZ11481" s="35">
        <v>2.20324122E-2</v>
      </c>
    </row>
    <row r="11482" spans="103:104" x14ac:dyDescent="0.3">
      <c r="CY11482" s="34" t="s">
        <v>12409</v>
      </c>
      <c r="CZ11482" s="35">
        <v>1.2728120000000001E-2</v>
      </c>
    </row>
    <row r="11483" spans="103:104" x14ac:dyDescent="0.3">
      <c r="CY11483" s="34" t="s">
        <v>12410</v>
      </c>
      <c r="CZ11483" s="35">
        <v>0.2064928</v>
      </c>
    </row>
    <row r="11484" spans="103:104" x14ac:dyDescent="0.3">
      <c r="CY11484" s="34" t="s">
        <v>12411</v>
      </c>
      <c r="CZ11484" s="35">
        <v>1.0829308444444445E-3</v>
      </c>
    </row>
    <row r="11485" spans="103:104" x14ac:dyDescent="0.3">
      <c r="CY11485" s="34" t="s">
        <v>12412</v>
      </c>
      <c r="CZ11485" s="35">
        <v>9.4567887999999989E-2</v>
      </c>
    </row>
    <row r="11486" spans="103:104" x14ac:dyDescent="0.3">
      <c r="CY11486" s="34" t="s">
        <v>12413</v>
      </c>
      <c r="CZ11486" s="35">
        <v>2.4389279999999999E-3</v>
      </c>
    </row>
    <row r="11487" spans="103:104" x14ac:dyDescent="0.3">
      <c r="CY11487" s="34" t="s">
        <v>12414</v>
      </c>
      <c r="CZ11487" s="35">
        <v>2.6829535999999998E-3</v>
      </c>
    </row>
    <row r="11488" spans="103:104" x14ac:dyDescent="0.3">
      <c r="CY11488" s="34" t="s">
        <v>12415</v>
      </c>
      <c r="CZ11488" s="35">
        <v>3.3642760000000002E-3</v>
      </c>
    </row>
    <row r="11489" spans="103:104" x14ac:dyDescent="0.3">
      <c r="CY11489" s="34" t="s">
        <v>12416</v>
      </c>
      <c r="CZ11489" s="35">
        <v>8.6940800000000001E-4</v>
      </c>
    </row>
    <row r="11490" spans="103:104" x14ac:dyDescent="0.3">
      <c r="CY11490" s="34" t="s">
        <v>12417</v>
      </c>
      <c r="CZ11490" s="35">
        <v>1.7249851555555555</v>
      </c>
    </row>
    <row r="11491" spans="103:104" x14ac:dyDescent="0.3">
      <c r="CY11491" s="34" t="s">
        <v>12418</v>
      </c>
      <c r="CZ11491" s="35">
        <v>1.2131944E-3</v>
      </c>
    </row>
    <row r="11492" spans="103:104" x14ac:dyDescent="0.3">
      <c r="CY11492" s="34" t="s">
        <v>12419</v>
      </c>
      <c r="CZ11492" s="35">
        <v>7.6112799999999994E-2</v>
      </c>
    </row>
    <row r="11493" spans="103:104" x14ac:dyDescent="0.3">
      <c r="CY11493" s="34" t="s">
        <v>12420</v>
      </c>
      <c r="CZ11493" s="35">
        <v>3.5771559999999994E-2</v>
      </c>
    </row>
    <row r="11494" spans="103:104" x14ac:dyDescent="0.3">
      <c r="CY11494" s="34" t="s">
        <v>12421</v>
      </c>
      <c r="CZ11494" s="35">
        <v>2.3985514000000003E-2</v>
      </c>
    </row>
    <row r="11495" spans="103:104" x14ac:dyDescent="0.3">
      <c r="CY11495" s="34" t="s">
        <v>12422</v>
      </c>
      <c r="CZ11495" s="35">
        <v>8.4833249999999982E-3</v>
      </c>
    </row>
    <row r="11496" spans="103:104" x14ac:dyDescent="0.3">
      <c r="CY11496" s="34" t="s">
        <v>12423</v>
      </c>
      <c r="CZ11496" s="35">
        <v>9.0367048799999995E-3</v>
      </c>
    </row>
    <row r="11497" spans="103:104" x14ac:dyDescent="0.3">
      <c r="CY11497" s="34" t="s">
        <v>12424</v>
      </c>
      <c r="CZ11497" s="35">
        <v>8.2263219550000009E-3</v>
      </c>
    </row>
    <row r="11498" spans="103:104" x14ac:dyDescent="0.3">
      <c r="CY11498" s="34" t="s">
        <v>12425</v>
      </c>
      <c r="CZ11498" s="35">
        <v>9.6213280000000002E-3</v>
      </c>
    </row>
    <row r="11499" spans="103:104" x14ac:dyDescent="0.3">
      <c r="CY11499" s="34" t="s">
        <v>12426</v>
      </c>
      <c r="CZ11499" s="35">
        <v>8.4913283599999997E-3</v>
      </c>
    </row>
    <row r="11500" spans="103:104" x14ac:dyDescent="0.3">
      <c r="CY11500" s="34" t="s">
        <v>12427</v>
      </c>
      <c r="CZ11500" s="35">
        <v>8.0087123400000015E-3</v>
      </c>
    </row>
    <row r="11501" spans="103:104" x14ac:dyDescent="0.3">
      <c r="CY11501" s="34" t="s">
        <v>12428</v>
      </c>
      <c r="CZ11501" s="35">
        <v>5.164087999999999E-3</v>
      </c>
    </row>
    <row r="11502" spans="103:104" x14ac:dyDescent="0.3">
      <c r="CY11502" s="34" t="s">
        <v>12429</v>
      </c>
      <c r="CZ11502" s="35">
        <v>5.164087999999999E-3</v>
      </c>
    </row>
    <row r="11503" spans="103:104" x14ac:dyDescent="0.3">
      <c r="CY11503" s="34" t="s">
        <v>12430</v>
      </c>
      <c r="CZ11503" s="35">
        <v>0.15346360000000001</v>
      </c>
    </row>
    <row r="11504" spans="103:104" x14ac:dyDescent="0.3">
      <c r="CY11504" s="34" t="s">
        <v>12431</v>
      </c>
      <c r="CZ11504" s="35">
        <v>2.8026902899999998E-2</v>
      </c>
    </row>
    <row r="11505" spans="103:104" x14ac:dyDescent="0.3">
      <c r="CY11505" s="34" t="s">
        <v>12432</v>
      </c>
      <c r="CZ11505" s="35">
        <v>2.4724160000000002E-2</v>
      </c>
    </row>
    <row r="11506" spans="103:104" x14ac:dyDescent="0.3">
      <c r="CY11506" s="34" t="s">
        <v>12433</v>
      </c>
      <c r="CZ11506" s="35">
        <v>3.4950946624999993E-2</v>
      </c>
    </row>
    <row r="11507" spans="103:104" x14ac:dyDescent="0.3">
      <c r="CY11507" s="34" t="s">
        <v>12434</v>
      </c>
      <c r="CZ11507" s="35">
        <v>3.6054946624999994E-2</v>
      </c>
    </row>
    <row r="11508" spans="103:104" x14ac:dyDescent="0.3">
      <c r="CY11508" s="34" t="s">
        <v>12435</v>
      </c>
      <c r="CZ11508" s="35">
        <v>0.10641500799999999</v>
      </c>
    </row>
    <row r="11509" spans="103:104" x14ac:dyDescent="0.3">
      <c r="CY11509" s="34" t="s">
        <v>12436</v>
      </c>
      <c r="CZ11509" s="35">
        <v>0.106514239</v>
      </c>
    </row>
    <row r="11510" spans="103:104" x14ac:dyDescent="0.3">
      <c r="CY11510" s="34" t="s">
        <v>12437</v>
      </c>
      <c r="CZ11510" s="35">
        <v>3.4176239999999997E-2</v>
      </c>
    </row>
    <row r="11511" spans="103:104" x14ac:dyDescent="0.3">
      <c r="CY11511" s="34" t="s">
        <v>12438</v>
      </c>
      <c r="CZ11511" s="35">
        <v>3.8882340000000001E-2</v>
      </c>
    </row>
    <row r="11512" spans="103:104" x14ac:dyDescent="0.3">
      <c r="CY11512" s="34" t="s">
        <v>12439</v>
      </c>
      <c r="CZ11512" s="35">
        <v>2.9031870000000001E-2</v>
      </c>
    </row>
    <row r="11513" spans="103:104" x14ac:dyDescent="0.3">
      <c r="CY11513" s="34" t="s">
        <v>12440</v>
      </c>
      <c r="CZ11513" s="35">
        <v>3.3018982500000002E-2</v>
      </c>
    </row>
    <row r="11514" spans="103:104" x14ac:dyDescent="0.3">
      <c r="CY11514" s="34" t="s">
        <v>12441</v>
      </c>
      <c r="CZ11514" s="35">
        <v>1.874313E-2</v>
      </c>
    </row>
    <row r="11515" spans="103:104" x14ac:dyDescent="0.3">
      <c r="CY11515" s="34" t="s">
        <v>12442</v>
      </c>
      <c r="CZ11515" s="35">
        <v>2.12922675E-2</v>
      </c>
    </row>
    <row r="11516" spans="103:104" x14ac:dyDescent="0.3">
      <c r="CY11516" s="34" t="s">
        <v>12443</v>
      </c>
      <c r="CZ11516" s="35">
        <v>0.14476520000000001</v>
      </c>
    </row>
    <row r="11517" spans="103:104" x14ac:dyDescent="0.3">
      <c r="CY11517" s="34" t="s">
        <v>12444</v>
      </c>
      <c r="CZ11517" s="35">
        <v>0.14989656000000004</v>
      </c>
    </row>
    <row r="11518" spans="103:104" x14ac:dyDescent="0.3">
      <c r="CY11518" s="34" t="s">
        <v>12445</v>
      </c>
      <c r="CZ11518" s="35">
        <v>0.14196136000000001</v>
      </c>
    </row>
    <row r="11519" spans="103:104" x14ac:dyDescent="0.3">
      <c r="CY11519" s="34" t="s">
        <v>12446</v>
      </c>
      <c r="CZ11519" s="35">
        <v>6.9901840000000007E-2</v>
      </c>
    </row>
    <row r="11520" spans="103:104" x14ac:dyDescent="0.3">
      <c r="CY11520" s="34" t="s">
        <v>12447</v>
      </c>
      <c r="CZ11520" s="35">
        <v>0.11974280000000001</v>
      </c>
    </row>
    <row r="11521" spans="103:104" x14ac:dyDescent="0.3">
      <c r="CY11521" s="34" t="s">
        <v>12448</v>
      </c>
      <c r="CZ11521" s="35">
        <v>3.8142383999999999E-3</v>
      </c>
    </row>
    <row r="11522" spans="103:104" x14ac:dyDescent="0.3">
      <c r="CY11522" s="34" t="s">
        <v>12449</v>
      </c>
      <c r="CZ11522" s="35">
        <v>2.0851656000000001E-3</v>
      </c>
    </row>
    <row r="11523" spans="103:104" x14ac:dyDescent="0.3">
      <c r="CY11523" s="34" t="s">
        <v>12450</v>
      </c>
      <c r="CZ11523" s="35">
        <v>1.1308876000000001E-3</v>
      </c>
    </row>
    <row r="11524" spans="103:104" x14ac:dyDescent="0.3">
      <c r="CY11524" s="34" t="s">
        <v>12451</v>
      </c>
      <c r="CZ11524" s="35">
        <v>3.0472479999999998E-3</v>
      </c>
    </row>
    <row r="11525" spans="103:104" x14ac:dyDescent="0.3">
      <c r="CY11525" s="34" t="s">
        <v>12452</v>
      </c>
      <c r="CZ11525" s="35">
        <v>1.7423880000000003E-2</v>
      </c>
    </row>
    <row r="11526" spans="103:104" x14ac:dyDescent="0.3">
      <c r="CY11526" s="34" t="s">
        <v>12453</v>
      </c>
      <c r="CZ11526" s="35">
        <v>5.720715555555555E-3</v>
      </c>
    </row>
    <row r="11527" spans="103:104" x14ac:dyDescent="0.3">
      <c r="CY11527" s="34" t="s">
        <v>12454</v>
      </c>
      <c r="CZ11527" s="35">
        <v>1.0037108000000001E-2</v>
      </c>
    </row>
    <row r="11528" spans="103:104" x14ac:dyDescent="0.3">
      <c r="CY11528" s="34" t="s">
        <v>12455</v>
      </c>
      <c r="CZ11528" s="35">
        <v>2.3668768E-2</v>
      </c>
    </row>
    <row r="11529" spans="103:104" x14ac:dyDescent="0.3">
      <c r="CY11529" s="34" t="s">
        <v>12456</v>
      </c>
      <c r="CZ11529" s="35">
        <v>0.13145888</v>
      </c>
    </row>
    <row r="11530" spans="103:104" x14ac:dyDescent="0.3">
      <c r="CY11530" s="34" t="s">
        <v>12457</v>
      </c>
      <c r="CZ11530" s="35">
        <v>1.9557047999999998E-3</v>
      </c>
    </row>
    <row r="11531" spans="103:104" x14ac:dyDescent="0.3">
      <c r="CY11531" s="34" t="s">
        <v>12458</v>
      </c>
      <c r="CZ11531" s="35">
        <v>2.3874011257142856E-2</v>
      </c>
    </row>
    <row r="11532" spans="103:104" x14ac:dyDescent="0.3">
      <c r="CY11532" s="34" t="s">
        <v>12459</v>
      </c>
      <c r="CZ11532" s="35">
        <v>0.14035983999999999</v>
      </c>
    </row>
    <row r="11533" spans="103:104" x14ac:dyDescent="0.3">
      <c r="CY11533" s="34" t="s">
        <v>12460</v>
      </c>
      <c r="CZ11533" s="35">
        <v>9.1878063999999999E-3</v>
      </c>
    </row>
    <row r="11534" spans="103:104" x14ac:dyDescent="0.3">
      <c r="CY11534" s="34" t="s">
        <v>12461</v>
      </c>
      <c r="CZ11534" s="35">
        <v>6.7738559999999989E-2</v>
      </c>
    </row>
    <row r="11535" spans="103:104" x14ac:dyDescent="0.3">
      <c r="CY11535" s="34" t="s">
        <v>12462</v>
      </c>
      <c r="CZ11535" s="35">
        <v>0.11007352000000001</v>
      </c>
    </row>
    <row r="11536" spans="103:104" x14ac:dyDescent="0.3">
      <c r="CY11536" s="34" t="s">
        <v>12463</v>
      </c>
      <c r="CZ11536" s="35">
        <v>0.18739226700000003</v>
      </c>
    </row>
    <row r="11537" spans="103:104" x14ac:dyDescent="0.3">
      <c r="CY11537" s="34" t="s">
        <v>12464</v>
      </c>
      <c r="CZ11537" s="35">
        <v>5.9362485000000006E-2</v>
      </c>
    </row>
    <row r="11538" spans="103:104" x14ac:dyDescent="0.3">
      <c r="CY11538" s="34" t="s">
        <v>12465</v>
      </c>
      <c r="CZ11538" s="35">
        <v>4.9745440595000003E-2</v>
      </c>
    </row>
    <row r="11539" spans="103:104" x14ac:dyDescent="0.3">
      <c r="CY11539" s="34" t="s">
        <v>12466</v>
      </c>
      <c r="CZ11539" s="35">
        <v>4.327818181818182E-2</v>
      </c>
    </row>
    <row r="11540" spans="103:104" x14ac:dyDescent="0.3">
      <c r="CY11540" s="34" t="s">
        <v>12467</v>
      </c>
      <c r="CZ11540" s="35">
        <v>0</v>
      </c>
    </row>
    <row r="11541" spans="103:104" x14ac:dyDescent="0.3">
      <c r="CY11541" s="34" t="s">
        <v>12468</v>
      </c>
      <c r="CZ11541" s="35">
        <v>6.0064527476923077E-2</v>
      </c>
    </row>
    <row r="11542" spans="103:104" x14ac:dyDescent="0.3">
      <c r="CY11542" s="34" t="s">
        <v>12469</v>
      </c>
      <c r="CZ11542" s="35">
        <v>2.8008327221052627E-2</v>
      </c>
    </row>
    <row r="11543" spans="103:104" x14ac:dyDescent="0.3">
      <c r="CY11543" s="34" t="s">
        <v>12470</v>
      </c>
      <c r="CZ11543" s="35">
        <v>4.2397022440625001E-2</v>
      </c>
    </row>
    <row r="11544" spans="103:104" x14ac:dyDescent="0.3">
      <c r="CY11544" s="34" t="s">
        <v>12471</v>
      </c>
      <c r="CZ11544" s="35">
        <v>4.0379583157894743E-2</v>
      </c>
    </row>
    <row r="11545" spans="103:104" x14ac:dyDescent="0.3">
      <c r="CY11545" s="34" t="s">
        <v>12472</v>
      </c>
      <c r="CZ11545" s="35">
        <v>3.7309379747748006E-2</v>
      </c>
    </row>
    <row r="11546" spans="103:104" x14ac:dyDescent="0.3">
      <c r="CY11546" s="34" t="s">
        <v>12473</v>
      </c>
      <c r="CZ11546" s="35">
        <v>3.7686242169442427E-2</v>
      </c>
    </row>
    <row r="11547" spans="103:104" x14ac:dyDescent="0.3">
      <c r="CY11547" s="34" t="s">
        <v>12474</v>
      </c>
      <c r="CZ11547" s="35">
        <v>0</v>
      </c>
    </row>
    <row r="11548" spans="103:104" x14ac:dyDescent="0.3">
      <c r="CY11548" s="34" t="s">
        <v>12475</v>
      </c>
      <c r="CZ11548" s="35">
        <v>3.7686242169442427E-2</v>
      </c>
    </row>
    <row r="11549" spans="103:104" x14ac:dyDescent="0.3">
      <c r="CY11549" s="34" t="s">
        <v>12476</v>
      </c>
      <c r="CZ11549" s="35">
        <v>3.9728098624912276E-3</v>
      </c>
    </row>
    <row r="11550" spans="103:104" x14ac:dyDescent="0.3">
      <c r="CY11550" s="34" t="s">
        <v>12477</v>
      </c>
      <c r="CZ11550" s="35">
        <v>1.5586336888888888</v>
      </c>
    </row>
    <row r="11551" spans="103:104" x14ac:dyDescent="0.3">
      <c r="CY11551" s="34" t="s">
        <v>12478</v>
      </c>
      <c r="CZ11551" s="35">
        <v>6.4144293320000004E-2</v>
      </c>
    </row>
    <row r="11552" spans="103:104" x14ac:dyDescent="0.3">
      <c r="CY11552" s="34" t="s">
        <v>12479</v>
      </c>
      <c r="CZ11552" s="35">
        <v>2.0989008255555552E-2</v>
      </c>
    </row>
    <row r="11553" spans="103:104" x14ac:dyDescent="0.3">
      <c r="CY11553" s="34" t="s">
        <v>12480</v>
      </c>
      <c r="CZ11553" s="35">
        <v>2.0114344E-3</v>
      </c>
    </row>
    <row r="11554" spans="103:104" x14ac:dyDescent="0.3">
      <c r="CY11554" s="34" t="s">
        <v>12481</v>
      </c>
      <c r="CZ11554" s="35">
        <v>3.90595652173913E-4</v>
      </c>
    </row>
    <row r="11555" spans="103:104" x14ac:dyDescent="0.3">
      <c r="CY11555" s="34" t="s">
        <v>12482</v>
      </c>
      <c r="CZ11555" s="35">
        <v>3.8009565217391302E-4</v>
      </c>
    </row>
    <row r="11556" spans="103:104" x14ac:dyDescent="0.3">
      <c r="CY11556" s="34" t="s">
        <v>12483</v>
      </c>
      <c r="CZ11556" s="35">
        <v>8.1410520000000011E-3</v>
      </c>
    </row>
    <row r="11557" spans="103:104" x14ac:dyDescent="0.3">
      <c r="CY11557" s="34" t="s">
        <v>12484</v>
      </c>
      <c r="CZ11557" s="35">
        <v>1.6781304E-4</v>
      </c>
    </row>
    <row r="11558" spans="103:104" x14ac:dyDescent="0.3">
      <c r="CY11558" s="34" t="s">
        <v>12485</v>
      </c>
      <c r="CZ11558" s="35">
        <v>1.7875488000000002E-4</v>
      </c>
    </row>
    <row r="11559" spans="103:104" x14ac:dyDescent="0.3">
      <c r="CY11559" s="34" t="s">
        <v>12486</v>
      </c>
      <c r="CZ11559" s="35">
        <v>1.8486689361702128E-4</v>
      </c>
    </row>
    <row r="11560" spans="103:104" x14ac:dyDescent="0.3">
      <c r="CY11560" s="34" t="s">
        <v>12487</v>
      </c>
      <c r="CZ11560" s="35">
        <v>1.51125888E-2</v>
      </c>
    </row>
    <row r="11561" spans="103:104" x14ac:dyDescent="0.3">
      <c r="CY11561" s="34" t="s">
        <v>12488</v>
      </c>
      <c r="CZ11561" s="35">
        <v>1.5630088800000001E-2</v>
      </c>
    </row>
    <row r="11562" spans="103:104" x14ac:dyDescent="0.3">
      <c r="CY11562" s="34" t="s">
        <v>12489</v>
      </c>
      <c r="CZ11562" s="35">
        <v>1.1373144000000001E-3</v>
      </c>
    </row>
    <row r="11563" spans="103:104" x14ac:dyDescent="0.3">
      <c r="CY11563" s="34" t="s">
        <v>12490</v>
      </c>
      <c r="CZ11563" s="35">
        <v>1.2395144000000001E-3</v>
      </c>
    </row>
    <row r="11564" spans="103:104" x14ac:dyDescent="0.3">
      <c r="CY11564" s="34" t="s">
        <v>12491</v>
      </c>
      <c r="CZ11564" s="35">
        <v>1.237754742857143E-3</v>
      </c>
    </row>
    <row r="11565" spans="103:104" x14ac:dyDescent="0.3">
      <c r="CY11565" s="34" t="s">
        <v>12492</v>
      </c>
      <c r="CZ11565" s="35">
        <v>1.397606E-3</v>
      </c>
    </row>
    <row r="11566" spans="103:104" x14ac:dyDescent="0.3">
      <c r="CY11566" s="34" t="s">
        <v>12493</v>
      </c>
      <c r="CZ11566" s="35">
        <v>8.6973573283582097E-3</v>
      </c>
    </row>
    <row r="11567" spans="103:104" x14ac:dyDescent="0.3">
      <c r="CY11567" s="34" t="s">
        <v>12494</v>
      </c>
      <c r="CZ11567" s="35">
        <v>2.5461480000000002E-2</v>
      </c>
    </row>
    <row r="11568" spans="103:104" x14ac:dyDescent="0.3">
      <c r="CY11568" s="34" t="s">
        <v>12495</v>
      </c>
      <c r="CZ11568" s="35">
        <v>2.8499360000000001E-2</v>
      </c>
    </row>
    <row r="11569" spans="103:104" x14ac:dyDescent="0.3">
      <c r="CY11569" s="34" t="s">
        <v>12496</v>
      </c>
      <c r="CZ11569" s="35">
        <v>4.0429720000000006E-3</v>
      </c>
    </row>
    <row r="11570" spans="103:104" x14ac:dyDescent="0.3">
      <c r="CY11570" s="34" t="s">
        <v>12497</v>
      </c>
      <c r="CZ11570" s="35">
        <v>4.4331800000000001E-3</v>
      </c>
    </row>
    <row r="11571" spans="103:104" x14ac:dyDescent="0.3">
      <c r="CY11571" s="34" t="s">
        <v>12498</v>
      </c>
      <c r="CZ11571" s="35">
        <v>5.8041760000000003E-3</v>
      </c>
    </row>
    <row r="11572" spans="103:104" x14ac:dyDescent="0.3">
      <c r="CY11572" s="34" t="s">
        <v>12499</v>
      </c>
      <c r="CZ11572" s="35">
        <v>5.2803368749999996E-3</v>
      </c>
    </row>
    <row r="11573" spans="103:104" x14ac:dyDescent="0.3">
      <c r="CY11573" s="34" t="s">
        <v>12500</v>
      </c>
      <c r="CZ11573" s="35">
        <v>2.3284531999999999E-3</v>
      </c>
    </row>
    <row r="11574" spans="103:104" x14ac:dyDescent="0.3">
      <c r="CY11574" s="34" t="s">
        <v>12501</v>
      </c>
      <c r="CZ11574" s="35">
        <v>0.27897187500000004</v>
      </c>
    </row>
    <row r="11575" spans="103:104" x14ac:dyDescent="0.3">
      <c r="CY11575" s="34" t="s">
        <v>12502</v>
      </c>
      <c r="CZ11575" s="35">
        <v>0.87352580000000002</v>
      </c>
    </row>
    <row r="11576" spans="103:104" x14ac:dyDescent="0.3">
      <c r="CY11576" s="34" t="s">
        <v>12503</v>
      </c>
      <c r="CZ11576" s="35">
        <v>1.1224140999999998E-3</v>
      </c>
    </row>
    <row r="11577" spans="103:104" x14ac:dyDescent="0.3">
      <c r="CY11577" s="34" t="s">
        <v>12504</v>
      </c>
      <c r="CZ11577" s="35">
        <v>0.15179373142857147</v>
      </c>
    </row>
    <row r="11578" spans="103:104" x14ac:dyDescent="0.3">
      <c r="CY11578" s="34" t="s">
        <v>12505</v>
      </c>
      <c r="CZ11578" s="35">
        <v>7.4364524000000001E-2</v>
      </c>
    </row>
    <row r="11579" spans="103:104" x14ac:dyDescent="0.3">
      <c r="CY11579" s="34" t="s">
        <v>12506</v>
      </c>
      <c r="CZ11579" s="35">
        <v>2.6911760000000004E-3</v>
      </c>
    </row>
    <row r="11580" spans="103:104" x14ac:dyDescent="0.3">
      <c r="CY11580" s="34" t="s">
        <v>12507</v>
      </c>
      <c r="CZ11580" s="35">
        <v>8.702652000000001E-2</v>
      </c>
    </row>
    <row r="11581" spans="103:104" x14ac:dyDescent="0.3">
      <c r="CY11581" s="34" t="s">
        <v>12508</v>
      </c>
      <c r="CZ11581" s="35">
        <v>6.5591610000000009E-2</v>
      </c>
    </row>
    <row r="11582" spans="103:104" x14ac:dyDescent="0.3">
      <c r="CY11582" s="34" t="s">
        <v>12509</v>
      </c>
      <c r="CZ11582" s="35">
        <v>5.5730495999999997E-2</v>
      </c>
    </row>
    <row r="11583" spans="103:104" x14ac:dyDescent="0.3">
      <c r="CY11583" s="34" t="s">
        <v>12510</v>
      </c>
      <c r="CZ11583" s="35">
        <v>6.1823266000000002E-2</v>
      </c>
    </row>
    <row r="11584" spans="103:104" x14ac:dyDescent="0.3">
      <c r="CY11584" s="34" t="s">
        <v>12511</v>
      </c>
      <c r="CZ11584" s="35">
        <v>3.2233950000000004E-2</v>
      </c>
    </row>
    <row r="11585" spans="103:104" x14ac:dyDescent="0.3">
      <c r="CY11585" s="34" t="s">
        <v>12512</v>
      </c>
      <c r="CZ11585" s="35">
        <v>4.2792907500000005E-2</v>
      </c>
    </row>
    <row r="11586" spans="103:104" x14ac:dyDescent="0.3">
      <c r="CY11586" s="34" t="s">
        <v>12513</v>
      </c>
      <c r="CZ11586" s="35">
        <v>0.51314800000000005</v>
      </c>
    </row>
    <row r="11587" spans="103:104" x14ac:dyDescent="0.3">
      <c r="CY11587" s="34" t="s">
        <v>12514</v>
      </c>
      <c r="CZ11587" s="35">
        <v>0.94379840000000004</v>
      </c>
    </row>
    <row r="11588" spans="103:104" x14ac:dyDescent="0.3">
      <c r="CY11588" s="34" t="s">
        <v>12515</v>
      </c>
      <c r="CZ11588" s="35">
        <v>0.98447240000000003</v>
      </c>
    </row>
    <row r="11589" spans="103:104" x14ac:dyDescent="0.3">
      <c r="CY11589" s="34" t="s">
        <v>12516</v>
      </c>
      <c r="CZ11589" s="35">
        <v>0.54130080000000003</v>
      </c>
    </row>
    <row r="11590" spans="103:104" x14ac:dyDescent="0.3">
      <c r="CY11590" s="34" t="s">
        <v>12517</v>
      </c>
      <c r="CZ11590" s="35">
        <v>6.4890080000000001E-3</v>
      </c>
    </row>
    <row r="11591" spans="103:104" x14ac:dyDescent="0.3">
      <c r="CY11591" s="34" t="s">
        <v>12518</v>
      </c>
      <c r="CZ11591" s="35">
        <v>3.2307399999999993E-2</v>
      </c>
    </row>
    <row r="11592" spans="103:104" x14ac:dyDescent="0.3">
      <c r="CY11592" s="34" t="s">
        <v>12519</v>
      </c>
      <c r="CZ11592" s="35">
        <v>1.7177400000000002E-2</v>
      </c>
    </row>
    <row r="11593" spans="103:104" x14ac:dyDescent="0.3">
      <c r="CY11593" s="34" t="s">
        <v>12520</v>
      </c>
      <c r="CZ11593" s="35">
        <v>2.3685579999999998E-2</v>
      </c>
    </row>
    <row r="11594" spans="103:104" x14ac:dyDescent="0.3">
      <c r="CY11594" s="34" t="s">
        <v>12521</v>
      </c>
      <c r="CZ11594" s="35">
        <v>3.0156600000000003E-3</v>
      </c>
    </row>
    <row r="11595" spans="103:104" x14ac:dyDescent="0.3">
      <c r="CY11595" s="34" t="s">
        <v>12522</v>
      </c>
      <c r="CZ11595" s="35">
        <v>7.3189999999999996E-4</v>
      </c>
    </row>
    <row r="11596" spans="103:104" x14ac:dyDescent="0.3">
      <c r="CY11596" s="34" t="s">
        <v>12523</v>
      </c>
      <c r="CZ11596" s="35">
        <v>1.1024044000000002E-2</v>
      </c>
    </row>
    <row r="11597" spans="103:104" x14ac:dyDescent="0.3">
      <c r="CY11597" s="34" t="s">
        <v>12524</v>
      </c>
      <c r="CZ11597" s="35">
        <v>0.39263480000000001</v>
      </c>
    </row>
    <row r="11598" spans="103:104" x14ac:dyDescent="0.3">
      <c r="CY11598" s="34" t="s">
        <v>12525</v>
      </c>
      <c r="CZ11598" s="35">
        <v>1.3045424E-2</v>
      </c>
    </row>
    <row r="11599" spans="103:104" x14ac:dyDescent="0.3">
      <c r="CY11599" s="34" t="s">
        <v>12526</v>
      </c>
      <c r="CZ11599" s="35">
        <v>2.1244996599999996E-2</v>
      </c>
    </row>
    <row r="11600" spans="103:104" x14ac:dyDescent="0.3">
      <c r="CY11600" s="34" t="s">
        <v>12527</v>
      </c>
      <c r="CZ11600" s="35">
        <v>0.13833119999999999</v>
      </c>
    </row>
    <row r="11601" spans="103:104" x14ac:dyDescent="0.3">
      <c r="CY11601" s="34" t="s">
        <v>12528</v>
      </c>
      <c r="CZ11601" s="35">
        <v>0.13850370000000001</v>
      </c>
    </row>
    <row r="11602" spans="103:104" x14ac:dyDescent="0.3">
      <c r="CY11602" s="34" t="s">
        <v>12529</v>
      </c>
      <c r="CZ11602" s="35">
        <v>1.9544799999999998E-2</v>
      </c>
    </row>
    <row r="11603" spans="103:104" x14ac:dyDescent="0.3">
      <c r="CY11603" s="34" t="s">
        <v>12530</v>
      </c>
      <c r="CZ11603" s="35">
        <v>2.0559591999999998E-2</v>
      </c>
    </row>
    <row r="11604" spans="103:104" x14ac:dyDescent="0.3">
      <c r="CY11604" s="34" t="s">
        <v>12531</v>
      </c>
      <c r="CZ11604" s="35">
        <v>3.707889221428571E-3</v>
      </c>
    </row>
    <row r="11605" spans="103:104" x14ac:dyDescent="0.3">
      <c r="CY11605" s="34" t="s">
        <v>12532</v>
      </c>
      <c r="CZ11605" s="35">
        <v>3.7078879999999999E-3</v>
      </c>
    </row>
    <row r="11606" spans="103:104" x14ac:dyDescent="0.3">
      <c r="CY11606" s="34" t="s">
        <v>12533</v>
      </c>
      <c r="CZ11606" s="35">
        <v>2.9748315E-3</v>
      </c>
    </row>
    <row r="11607" spans="103:104" x14ac:dyDescent="0.3">
      <c r="CY11607" s="34" t="s">
        <v>12534</v>
      </c>
      <c r="CZ11607" s="35">
        <v>3.6266060000000003E-2</v>
      </c>
    </row>
    <row r="11608" spans="103:104" x14ac:dyDescent="0.3">
      <c r="CY11608" s="34" t="s">
        <v>12535</v>
      </c>
      <c r="CZ11608" s="35">
        <v>5.0094020000000003E-2</v>
      </c>
    </row>
    <row r="11609" spans="103:104" x14ac:dyDescent="0.3">
      <c r="CY11609" s="34" t="s">
        <v>12536</v>
      </c>
      <c r="CZ11609" s="35">
        <v>1.1405200000000001E-2</v>
      </c>
    </row>
    <row r="11610" spans="103:104" x14ac:dyDescent="0.3">
      <c r="CY11610" s="34" t="s">
        <v>12537</v>
      </c>
      <c r="CZ11610" s="35">
        <v>5.6728000000000001E-2</v>
      </c>
    </row>
    <row r="11611" spans="103:104" x14ac:dyDescent="0.3">
      <c r="CY11611" s="34" t="s">
        <v>12538</v>
      </c>
      <c r="CZ11611" s="35">
        <v>0.13266720000000001</v>
      </c>
    </row>
    <row r="11612" spans="103:104" x14ac:dyDescent="0.3">
      <c r="CY11612" s="34" t="s">
        <v>12539</v>
      </c>
      <c r="CZ11612" s="35">
        <v>0.13519719999999999</v>
      </c>
    </row>
    <row r="11613" spans="103:104" x14ac:dyDescent="0.3">
      <c r="CY11613" s="34" t="s">
        <v>12540</v>
      </c>
      <c r="CZ11613" s="35">
        <v>1.2064399999999999E-2</v>
      </c>
    </row>
    <row r="11614" spans="103:104" x14ac:dyDescent="0.3">
      <c r="CY11614" s="34" t="s">
        <v>12541</v>
      </c>
      <c r="CZ11614" s="35">
        <v>1.1836640000000001E-2</v>
      </c>
    </row>
    <row r="11615" spans="103:104" x14ac:dyDescent="0.3">
      <c r="CY11615" s="34" t="s">
        <v>12542</v>
      </c>
      <c r="CZ11615" s="35">
        <v>9.3096827266666654E-2</v>
      </c>
    </row>
    <row r="11616" spans="103:104" x14ac:dyDescent="0.3">
      <c r="CY11616" s="34" t="s">
        <v>12543</v>
      </c>
      <c r="CZ11616" s="35">
        <v>3.9729529999999996E-3</v>
      </c>
    </row>
    <row r="11617" spans="103:104" x14ac:dyDescent="0.3">
      <c r="CY11617" s="34" t="s">
        <v>12544</v>
      </c>
      <c r="CZ11617" s="35">
        <v>9.6801290000000026E-3</v>
      </c>
    </row>
    <row r="11618" spans="103:104" x14ac:dyDescent="0.3">
      <c r="CY11618" s="34" t="s">
        <v>12545</v>
      </c>
      <c r="CZ11618" s="35">
        <v>3.8229529999999996E-3</v>
      </c>
    </row>
    <row r="11619" spans="103:104" x14ac:dyDescent="0.3">
      <c r="CY11619" s="34" t="s">
        <v>12546</v>
      </c>
      <c r="CZ11619" s="35">
        <v>1.6054384E-3</v>
      </c>
    </row>
    <row r="11620" spans="103:104" x14ac:dyDescent="0.3">
      <c r="CY11620" s="34" t="s">
        <v>12547</v>
      </c>
      <c r="CZ11620" s="35">
        <v>0.12369064</v>
      </c>
    </row>
    <row r="11621" spans="103:104" x14ac:dyDescent="0.3">
      <c r="CY11621" s="34" t="s">
        <v>12548</v>
      </c>
      <c r="CZ11621" s="35">
        <v>1.2846049999999999E-2</v>
      </c>
    </row>
    <row r="11622" spans="103:104" x14ac:dyDescent="0.3">
      <c r="CY11622" s="34" t="s">
        <v>12549</v>
      </c>
      <c r="CZ11622" s="35">
        <v>2.0949564E-2</v>
      </c>
    </row>
    <row r="11623" spans="103:104" x14ac:dyDescent="0.3">
      <c r="CY11623" s="34" t="s">
        <v>12550</v>
      </c>
      <c r="CZ11623" s="35">
        <v>1.7707279999999999E-4</v>
      </c>
    </row>
    <row r="11624" spans="103:104" x14ac:dyDescent="0.3">
      <c r="CY11624" s="34" t="s">
        <v>12551</v>
      </c>
      <c r="CZ11624" s="35">
        <v>1.8178273339999999E-2</v>
      </c>
    </row>
    <row r="11625" spans="103:104" x14ac:dyDescent="0.3">
      <c r="CY11625" s="34" t="s">
        <v>12552</v>
      </c>
      <c r="CZ11625" s="35">
        <v>6.5239057000000003E-2</v>
      </c>
    </row>
    <row r="11626" spans="103:104" x14ac:dyDescent="0.3">
      <c r="CY11626" s="34" t="s">
        <v>12553</v>
      </c>
      <c r="CZ11626" s="35">
        <v>6.5239057000000003E-2</v>
      </c>
    </row>
    <row r="11627" spans="103:104" x14ac:dyDescent="0.3">
      <c r="CY11627" s="34" t="s">
        <v>12554</v>
      </c>
      <c r="CZ11627" s="35">
        <v>1.2679956E-3</v>
      </c>
    </row>
    <row r="11628" spans="103:104" x14ac:dyDescent="0.3">
      <c r="CY11628" s="34" t="s">
        <v>12555</v>
      </c>
      <c r="CZ11628" s="35">
        <v>6.3926440000000003E-3</v>
      </c>
    </row>
    <row r="11629" spans="103:104" x14ac:dyDescent="0.3">
      <c r="CY11629" s="34" t="s">
        <v>12556</v>
      </c>
      <c r="CZ11629" s="35">
        <v>1.1286838471544717E-2</v>
      </c>
    </row>
    <row r="11630" spans="103:104" x14ac:dyDescent="0.3">
      <c r="CY11630" s="34" t="s">
        <v>12557</v>
      </c>
      <c r="CZ11630" s="35">
        <v>5.471272000000001E-3</v>
      </c>
    </row>
    <row r="11631" spans="103:104" x14ac:dyDescent="0.3">
      <c r="CY11631" s="34" t="s">
        <v>12558</v>
      </c>
      <c r="CZ11631" s="35">
        <v>4.331952E-3</v>
      </c>
    </row>
    <row r="11632" spans="103:104" x14ac:dyDescent="0.3">
      <c r="CY11632" s="34" t="s">
        <v>12559</v>
      </c>
      <c r="CZ11632" s="35">
        <v>2.7338879999999999E-3</v>
      </c>
    </row>
    <row r="11633" spans="103:104" x14ac:dyDescent="0.3">
      <c r="CY11633" s="34" t="s">
        <v>12560</v>
      </c>
      <c r="CZ11633" s="35">
        <v>3.9729822333333335E-3</v>
      </c>
    </row>
    <row r="11634" spans="103:104" x14ac:dyDescent="0.3">
      <c r="CY11634" s="34" t="s">
        <v>12561</v>
      </c>
      <c r="CZ11634" s="35">
        <v>1.4784824E-2</v>
      </c>
    </row>
    <row r="11635" spans="103:104" x14ac:dyDescent="0.3">
      <c r="CY11635" s="34" t="s">
        <v>12562</v>
      </c>
      <c r="CZ11635" s="35">
        <v>5.3286280000000002E-3</v>
      </c>
    </row>
    <row r="11636" spans="103:104" x14ac:dyDescent="0.3">
      <c r="CY11636" s="34" t="s">
        <v>12563</v>
      </c>
      <c r="CZ11636" s="35">
        <v>1.0074512E-3</v>
      </c>
    </row>
    <row r="11637" spans="103:104" x14ac:dyDescent="0.3">
      <c r="CY11637" s="34" t="s">
        <v>12564</v>
      </c>
      <c r="CZ11637" s="35">
        <v>0.14830951999999997</v>
      </c>
    </row>
    <row r="11638" spans="103:104" x14ac:dyDescent="0.3">
      <c r="CY11638" s="34" t="s">
        <v>12565</v>
      </c>
      <c r="CZ11638" s="35">
        <v>0.38796432000000008</v>
      </c>
    </row>
    <row r="11639" spans="103:104" x14ac:dyDescent="0.3">
      <c r="CY11639" s="34" t="s">
        <v>12566</v>
      </c>
      <c r="CZ11639" s="35">
        <v>6.5390849999999986E-2</v>
      </c>
    </row>
    <row r="11640" spans="103:104" x14ac:dyDescent="0.3">
      <c r="CY11640" s="34" t="s">
        <v>12567</v>
      </c>
      <c r="CZ11640" s="35">
        <v>5.15088E-2</v>
      </c>
    </row>
    <row r="11641" spans="103:104" x14ac:dyDescent="0.3">
      <c r="CY11641" s="34" t="s">
        <v>12568</v>
      </c>
      <c r="CZ11641" s="35">
        <v>9.7796800000000003E-2</v>
      </c>
    </row>
    <row r="11642" spans="103:104" x14ac:dyDescent="0.3">
      <c r="CY11642" s="34" t="s">
        <v>12569</v>
      </c>
      <c r="CZ11642" s="35">
        <v>3.5588395333333335E-3</v>
      </c>
    </row>
    <row r="11643" spans="103:104" x14ac:dyDescent="0.3">
      <c r="CY11643" s="34" t="s">
        <v>12570</v>
      </c>
      <c r="CZ11643" s="35">
        <v>9.8519799999999985E-4</v>
      </c>
    </row>
    <row r="11644" spans="103:104" x14ac:dyDescent="0.3">
      <c r="CY11644" s="34" t="s">
        <v>12571</v>
      </c>
      <c r="CZ11644" s="35">
        <v>2.4271034385964919E-3</v>
      </c>
    </row>
    <row r="11645" spans="103:104" x14ac:dyDescent="0.3">
      <c r="CY11645" s="34" t="s">
        <v>12572</v>
      </c>
      <c r="CZ11645" s="35">
        <v>1.6958536470588232E-3</v>
      </c>
    </row>
    <row r="11646" spans="103:104" x14ac:dyDescent="0.3">
      <c r="CY11646" s="34" t="s">
        <v>12573</v>
      </c>
      <c r="CZ11646" s="35">
        <v>9.0570119999999997E-3</v>
      </c>
    </row>
    <row r="11647" spans="103:104" x14ac:dyDescent="0.3">
      <c r="CY11647" s="34" t="s">
        <v>12574</v>
      </c>
      <c r="CZ11647" s="35">
        <v>2.1598986666666667E-3</v>
      </c>
    </row>
    <row r="11648" spans="103:104" x14ac:dyDescent="0.3">
      <c r="CY11648" s="34" t="s">
        <v>12575</v>
      </c>
      <c r="CZ11648" s="35">
        <v>3.1195733333333332E-3</v>
      </c>
    </row>
    <row r="11649" spans="103:104" x14ac:dyDescent="0.3">
      <c r="CY11649" s="34" t="s">
        <v>12576</v>
      </c>
      <c r="CZ11649" s="35">
        <v>3.0626E-3</v>
      </c>
    </row>
    <row r="11650" spans="103:104" x14ac:dyDescent="0.3">
      <c r="CY11650" s="34" t="s">
        <v>12577</v>
      </c>
      <c r="CZ11650" s="35">
        <v>8.4484636000000009E-3</v>
      </c>
    </row>
    <row r="11651" spans="103:104" x14ac:dyDescent="0.3">
      <c r="CY11651" s="34" t="s">
        <v>12578</v>
      </c>
      <c r="CZ11651" s="35">
        <v>2.9550967999999997E-2</v>
      </c>
    </row>
    <row r="11652" spans="103:104" x14ac:dyDescent="0.3">
      <c r="CY11652" s="34" t="s">
        <v>12579</v>
      </c>
      <c r="CZ11652" s="35">
        <v>2.1956472000000001E-2</v>
      </c>
    </row>
    <row r="11653" spans="103:104" x14ac:dyDescent="0.3">
      <c r="CY11653" s="34" t="s">
        <v>12580</v>
      </c>
      <c r="CZ11653" s="35">
        <v>1.3325272000000003E-2</v>
      </c>
    </row>
    <row r="11654" spans="103:104" x14ac:dyDescent="0.3">
      <c r="CY11654" s="34" t="s">
        <v>12581</v>
      </c>
      <c r="CZ11654" s="35">
        <v>1.1194312999999999E-2</v>
      </c>
    </row>
    <row r="11655" spans="103:104" x14ac:dyDescent="0.3">
      <c r="CY11655" s="34" t="s">
        <v>12582</v>
      </c>
      <c r="CZ11655" s="35">
        <v>3.2268479999999996E-3</v>
      </c>
    </row>
    <row r="11656" spans="103:104" x14ac:dyDescent="0.3">
      <c r="CY11656" s="34" t="s">
        <v>12583</v>
      </c>
      <c r="CZ11656" s="35">
        <v>8.0841222399999999E-3</v>
      </c>
    </row>
    <row r="11657" spans="103:104" x14ac:dyDescent="0.3">
      <c r="CY11657" s="34" t="s">
        <v>12584</v>
      </c>
      <c r="CZ11657" s="35">
        <v>7.7072280000000009E-3</v>
      </c>
    </row>
    <row r="11658" spans="103:104" x14ac:dyDescent="0.3">
      <c r="CY11658" s="34" t="s">
        <v>12585</v>
      </c>
      <c r="CZ11658" s="35">
        <v>7.4174780800000005E-3</v>
      </c>
    </row>
    <row r="11659" spans="103:104" x14ac:dyDescent="0.3">
      <c r="CY11659" s="34" t="s">
        <v>12586</v>
      </c>
      <c r="CZ11659" s="35">
        <v>5.7039619999999999E-3</v>
      </c>
    </row>
    <row r="11660" spans="103:104" x14ac:dyDescent="0.3">
      <c r="CY11660" s="34" t="s">
        <v>12587</v>
      </c>
      <c r="CZ11660" s="35">
        <v>1.4975719999999998E-2</v>
      </c>
    </row>
    <row r="11661" spans="103:104" x14ac:dyDescent="0.3">
      <c r="CY11661" s="34" t="s">
        <v>12588</v>
      </c>
      <c r="CZ11661" s="35">
        <v>5.2588836666666661E-3</v>
      </c>
    </row>
    <row r="11662" spans="103:104" x14ac:dyDescent="0.3">
      <c r="CY11662" s="34" t="s">
        <v>12589</v>
      </c>
      <c r="CZ11662" s="35">
        <v>3.8557120000000003E-3</v>
      </c>
    </row>
    <row r="11663" spans="103:104" x14ac:dyDescent="0.3">
      <c r="CY11663" s="34" t="s">
        <v>12590</v>
      </c>
      <c r="CZ11663" s="35">
        <v>4.3474239999999999E-3</v>
      </c>
    </row>
    <row r="11664" spans="103:104" x14ac:dyDescent="0.3">
      <c r="CY11664" s="34" t="s">
        <v>12591</v>
      </c>
      <c r="CZ11664" s="35">
        <v>5.0297930571428567E-3</v>
      </c>
    </row>
    <row r="11665" spans="103:104" x14ac:dyDescent="0.3">
      <c r="CY11665" s="34" t="s">
        <v>12592</v>
      </c>
      <c r="CZ11665" s="35">
        <v>7.7466698000000006E-3</v>
      </c>
    </row>
    <row r="11666" spans="103:104" x14ac:dyDescent="0.3">
      <c r="CY11666" s="34" t="s">
        <v>12593</v>
      </c>
      <c r="CZ11666" s="35">
        <v>6.6101263999999993E-3</v>
      </c>
    </row>
    <row r="11667" spans="103:104" x14ac:dyDescent="0.3">
      <c r="CY11667" s="34" t="s">
        <v>12594</v>
      </c>
      <c r="CZ11667" s="35">
        <v>2.17216072E-2</v>
      </c>
    </row>
    <row r="11668" spans="103:104" x14ac:dyDescent="0.3">
      <c r="CY11668" s="34" t="s">
        <v>12595</v>
      </c>
      <c r="CZ11668" s="35">
        <v>5.8906982857142853E-2</v>
      </c>
    </row>
    <row r="11669" spans="103:104" x14ac:dyDescent="0.3">
      <c r="CY11669" s="34" t="s">
        <v>12596</v>
      </c>
      <c r="CZ11669" s="35">
        <v>3.1310600000000002E-3</v>
      </c>
    </row>
    <row r="11670" spans="103:104" x14ac:dyDescent="0.3">
      <c r="CY11670" s="34" t="s">
        <v>12597</v>
      </c>
      <c r="CZ11670" s="35">
        <v>3.5954200000000002E-3</v>
      </c>
    </row>
    <row r="11671" spans="103:104" x14ac:dyDescent="0.3">
      <c r="CY11671" s="34" t="s">
        <v>12598</v>
      </c>
      <c r="CZ11671" s="35">
        <v>8.3801999999999998E-4</v>
      </c>
    </row>
    <row r="11672" spans="103:104" x14ac:dyDescent="0.3">
      <c r="CY11672" s="34" t="s">
        <v>12599</v>
      </c>
      <c r="CZ11672" s="35">
        <v>0.21905579999999999</v>
      </c>
    </row>
    <row r="11673" spans="103:104" x14ac:dyDescent="0.3">
      <c r="CY11673" s="34" t="s">
        <v>12600</v>
      </c>
      <c r="CZ11673" s="35">
        <v>7.5881999999999991E-2</v>
      </c>
    </row>
    <row r="11674" spans="103:104" x14ac:dyDescent="0.3">
      <c r="CY11674" s="34" t="s">
        <v>12601</v>
      </c>
      <c r="CZ11674" s="35">
        <v>0.161195</v>
      </c>
    </row>
    <row r="11675" spans="103:104" x14ac:dyDescent="0.3">
      <c r="CY11675" s="34" t="s">
        <v>12602</v>
      </c>
      <c r="CZ11675" s="35">
        <v>4.9890819199999999E-2</v>
      </c>
    </row>
    <row r="11676" spans="103:104" x14ac:dyDescent="0.3">
      <c r="CY11676" s="34" t="s">
        <v>12603</v>
      </c>
      <c r="CZ11676" s="35">
        <v>6.9084840000000008E-2</v>
      </c>
    </row>
    <row r="11677" spans="103:104" x14ac:dyDescent="0.3">
      <c r="CY11677" s="34" t="s">
        <v>12604</v>
      </c>
      <c r="CZ11677" s="35">
        <v>8.6144200000000004E-2</v>
      </c>
    </row>
    <row r="11678" spans="103:104" x14ac:dyDescent="0.3">
      <c r="CY11678" s="34" t="s">
        <v>12605</v>
      </c>
      <c r="CZ11678" s="35">
        <v>0.1070354</v>
      </c>
    </row>
    <row r="11679" spans="103:104" x14ac:dyDescent="0.3">
      <c r="CY11679" s="34" t="s">
        <v>12606</v>
      </c>
      <c r="CZ11679" s="35">
        <v>5.8445894000000012E-2</v>
      </c>
    </row>
    <row r="11680" spans="103:104" x14ac:dyDescent="0.3">
      <c r="CY11680" s="34" t="s">
        <v>12607</v>
      </c>
      <c r="CZ11680" s="35">
        <v>1.2991839999999999E-3</v>
      </c>
    </row>
    <row r="11681" spans="103:104" x14ac:dyDescent="0.3">
      <c r="CY11681" s="34" t="s">
        <v>12608</v>
      </c>
      <c r="CZ11681" s="35">
        <v>1.4380840000000001E-2</v>
      </c>
    </row>
    <row r="11682" spans="103:104" x14ac:dyDescent="0.3">
      <c r="CY11682" s="34" t="s">
        <v>12609</v>
      </c>
      <c r="CZ11682" s="35">
        <v>3.6746666666666664E-3</v>
      </c>
    </row>
    <row r="11683" spans="103:104" x14ac:dyDescent="0.3">
      <c r="CY11683" s="34" t="s">
        <v>12610</v>
      </c>
      <c r="CZ11683" s="35">
        <v>0.26150302660000002</v>
      </c>
    </row>
    <row r="11684" spans="103:104" x14ac:dyDescent="0.3">
      <c r="CY11684" s="34" t="s">
        <v>12611</v>
      </c>
      <c r="CZ11684" s="35">
        <v>8.0079999999999995E-3</v>
      </c>
    </row>
    <row r="11685" spans="103:104" x14ac:dyDescent="0.3">
      <c r="CY11685" s="34" t="s">
        <v>12612</v>
      </c>
      <c r="CZ11685" s="35">
        <v>4.2673799999999997E-4</v>
      </c>
    </row>
    <row r="11686" spans="103:104" x14ac:dyDescent="0.3">
      <c r="CY11686" s="34" t="s">
        <v>12613</v>
      </c>
      <c r="CZ11686" s="35">
        <v>4.8562440000000005E-2</v>
      </c>
    </row>
    <row r="11687" spans="103:104" x14ac:dyDescent="0.3">
      <c r="CY11687" s="34" t="s">
        <v>12614</v>
      </c>
      <c r="CZ11687" s="35">
        <v>2.3361032999999996E-2</v>
      </c>
    </row>
    <row r="11688" spans="103:104" x14ac:dyDescent="0.3">
      <c r="CY11688" s="34" t="s">
        <v>12615</v>
      </c>
      <c r="CZ11688" s="35">
        <v>6.9869733333333336E-3</v>
      </c>
    </row>
    <row r="11689" spans="103:104" x14ac:dyDescent="0.3">
      <c r="CY11689" s="34" t="s">
        <v>12616</v>
      </c>
      <c r="CZ11689" s="35">
        <v>9.1492401000000008E-3</v>
      </c>
    </row>
    <row r="11690" spans="103:104" x14ac:dyDescent="0.3">
      <c r="CY11690" s="34" t="s">
        <v>12617</v>
      </c>
      <c r="CZ11690" s="35">
        <v>0.16659445999999997</v>
      </c>
    </row>
    <row r="11691" spans="103:104" x14ac:dyDescent="0.3">
      <c r="CY11691" s="34" t="s">
        <v>12618</v>
      </c>
      <c r="CZ11691" s="35">
        <v>6.5984499999999988E-2</v>
      </c>
    </row>
    <row r="11692" spans="103:104" x14ac:dyDescent="0.3">
      <c r="CY11692" s="34" t="s">
        <v>12619</v>
      </c>
      <c r="CZ11692" s="35">
        <v>3.8138399999999997E-4</v>
      </c>
    </row>
    <row r="11693" spans="103:104" x14ac:dyDescent="0.3">
      <c r="CY11693" s="34" t="s">
        <v>12620</v>
      </c>
      <c r="CZ11693" s="35">
        <v>1.0795202E-2</v>
      </c>
    </row>
    <row r="11694" spans="103:104" x14ac:dyDescent="0.3">
      <c r="CY11694" s="34" t="s">
        <v>12621</v>
      </c>
      <c r="CZ11694" s="35">
        <v>4.6670340000000005E-2</v>
      </c>
    </row>
    <row r="11695" spans="103:104" x14ac:dyDescent="0.3">
      <c r="CY11695" s="34" t="s">
        <v>12622</v>
      </c>
      <c r="CZ11695" s="35">
        <v>4.6670340000000005E-2</v>
      </c>
    </row>
    <row r="11696" spans="103:104" x14ac:dyDescent="0.3">
      <c r="CY11696" s="34" t="s">
        <v>12623</v>
      </c>
      <c r="CZ11696" s="35">
        <v>5.4031460000000003E-2</v>
      </c>
    </row>
    <row r="11697" spans="103:104" x14ac:dyDescent="0.3">
      <c r="CY11697" s="34" t="s">
        <v>12624</v>
      </c>
      <c r="CZ11697" s="35">
        <v>5.4031460000000003E-2</v>
      </c>
    </row>
    <row r="11698" spans="103:104" x14ac:dyDescent="0.3">
      <c r="CY11698" s="34" t="s">
        <v>12625</v>
      </c>
      <c r="CZ11698" s="35">
        <v>3.5932143999999999E-2</v>
      </c>
    </row>
    <row r="11699" spans="103:104" x14ac:dyDescent="0.3">
      <c r="CY11699" s="34" t="s">
        <v>12626</v>
      </c>
      <c r="CZ11699" s="35">
        <v>3.5932143999999999E-2</v>
      </c>
    </row>
    <row r="11700" spans="103:104" x14ac:dyDescent="0.3">
      <c r="CY11700" s="34" t="s">
        <v>12627</v>
      </c>
      <c r="CZ11700" s="35">
        <v>1.0434502399999999E-3</v>
      </c>
    </row>
    <row r="11701" spans="103:104" x14ac:dyDescent="0.3">
      <c r="CY11701" s="34" t="s">
        <v>12628</v>
      </c>
      <c r="CZ11701" s="35">
        <v>0.25943168</v>
      </c>
    </row>
    <row r="11702" spans="103:104" x14ac:dyDescent="0.3">
      <c r="CY11702" s="34" t="s">
        <v>12629</v>
      </c>
      <c r="CZ11702" s="35">
        <v>0.27337600000000001</v>
      </c>
    </row>
    <row r="11703" spans="103:104" x14ac:dyDescent="0.3">
      <c r="CY11703" s="34" t="s">
        <v>12630</v>
      </c>
      <c r="CZ11703" s="35">
        <v>0.25646851199999998</v>
      </c>
    </row>
    <row r="11704" spans="103:104" x14ac:dyDescent="0.3">
      <c r="CY11704" s="34" t="s">
        <v>12631</v>
      </c>
      <c r="CZ11704" s="35">
        <v>4.7093000000000005E-3</v>
      </c>
    </row>
    <row r="11705" spans="103:104" x14ac:dyDescent="0.3">
      <c r="CY11705" s="34" t="s">
        <v>12632</v>
      </c>
      <c r="CZ11705" s="35">
        <v>4.6825719999999994E-3</v>
      </c>
    </row>
    <row r="11706" spans="103:104" x14ac:dyDescent="0.3">
      <c r="CY11706" s="34" t="s">
        <v>12633</v>
      </c>
      <c r="CZ11706" s="35">
        <v>1.422848E-3</v>
      </c>
    </row>
    <row r="11707" spans="103:104" x14ac:dyDescent="0.3">
      <c r="CY11707" s="34" t="s">
        <v>12634</v>
      </c>
      <c r="CZ11707" s="35">
        <v>5.0179200000000004E-3</v>
      </c>
    </row>
    <row r="11708" spans="103:104" x14ac:dyDescent="0.3">
      <c r="CY11708" s="34" t="s">
        <v>12635</v>
      </c>
      <c r="CZ11708" s="35">
        <v>3.3349920000000002E-3</v>
      </c>
    </row>
    <row r="11709" spans="103:104" x14ac:dyDescent="0.3">
      <c r="CY11709" s="34" t="s">
        <v>12636</v>
      </c>
      <c r="CZ11709" s="35">
        <v>1.0762239999999999E-2</v>
      </c>
    </row>
    <row r="11710" spans="103:104" x14ac:dyDescent="0.3">
      <c r="CY11710" s="34" t="s">
        <v>12637</v>
      </c>
      <c r="CZ11710" s="35">
        <v>1.7733423999999998E-2</v>
      </c>
    </row>
    <row r="11711" spans="103:104" x14ac:dyDescent="0.3">
      <c r="CY11711" s="34" t="s">
        <v>12638</v>
      </c>
      <c r="CZ11711" s="35">
        <v>6.3793039999999995E-2</v>
      </c>
    </row>
    <row r="11712" spans="103:104" x14ac:dyDescent="0.3">
      <c r="CY11712" s="34" t="s">
        <v>12639</v>
      </c>
      <c r="CZ11712" s="35">
        <v>8.0179840000000002E-2</v>
      </c>
    </row>
    <row r="11713" spans="103:104" x14ac:dyDescent="0.3">
      <c r="CY11713" s="34" t="s">
        <v>12640</v>
      </c>
      <c r="CZ11713" s="35">
        <v>0.14652021199999998</v>
      </c>
    </row>
    <row r="11714" spans="103:104" x14ac:dyDescent="0.3">
      <c r="CY11714" s="34" t="s">
        <v>12641</v>
      </c>
      <c r="CZ11714" s="35">
        <v>3.669982222222222E-2</v>
      </c>
    </row>
    <row r="11715" spans="103:104" x14ac:dyDescent="0.3">
      <c r="CY11715" s="34" t="s">
        <v>12642</v>
      </c>
      <c r="CZ11715" s="35">
        <v>1.1164676000000001E-3</v>
      </c>
    </row>
    <row r="11716" spans="103:104" x14ac:dyDescent="0.3">
      <c r="CY11716" s="34" t="s">
        <v>12643</v>
      </c>
      <c r="CZ11716" s="35">
        <v>1.117181333E-2</v>
      </c>
    </row>
    <row r="11717" spans="103:104" x14ac:dyDescent="0.3">
      <c r="CY11717" s="34" t="s">
        <v>12644</v>
      </c>
      <c r="CZ11717" s="35">
        <v>1.09502827333E-3</v>
      </c>
    </row>
    <row r="11718" spans="103:104" x14ac:dyDescent="0.3">
      <c r="CY11718" s="34" t="s">
        <v>12645</v>
      </c>
      <c r="CZ11718" s="35">
        <v>3.1655999999999998E-3</v>
      </c>
    </row>
    <row r="11719" spans="103:104" x14ac:dyDescent="0.3">
      <c r="CY11719" s="34" t="s">
        <v>12646</v>
      </c>
      <c r="CZ11719" s="35">
        <v>0.25127006670000002</v>
      </c>
    </row>
    <row r="11720" spans="103:104" x14ac:dyDescent="0.3">
      <c r="CY11720" s="34" t="s">
        <v>12647</v>
      </c>
      <c r="CZ11720" s="35">
        <v>3.2742399999999999E-3</v>
      </c>
    </row>
    <row r="11721" spans="103:104" x14ac:dyDescent="0.3">
      <c r="CY11721" s="34" t="s">
        <v>12648</v>
      </c>
      <c r="CZ11721" s="35">
        <v>1.9610373250000001E-3</v>
      </c>
    </row>
    <row r="11722" spans="103:104" x14ac:dyDescent="0.3">
      <c r="CY11722" s="34" t="s">
        <v>12649</v>
      </c>
      <c r="CZ11722" s="35">
        <v>0.12254248</v>
      </c>
    </row>
    <row r="11723" spans="103:104" x14ac:dyDescent="0.3">
      <c r="CY11723" s="34" t="s">
        <v>12650</v>
      </c>
      <c r="CZ11723" s="35">
        <v>1.73472E-2</v>
      </c>
    </row>
    <row r="11724" spans="103:104" x14ac:dyDescent="0.3">
      <c r="CY11724" s="34" t="s">
        <v>12651</v>
      </c>
      <c r="CZ11724" s="35">
        <v>1.34284E-2</v>
      </c>
    </row>
    <row r="11725" spans="103:104" x14ac:dyDescent="0.3">
      <c r="CY11725" s="34" t="s">
        <v>12652</v>
      </c>
      <c r="CZ11725" s="35">
        <v>0.10980162199999999</v>
      </c>
    </row>
    <row r="11726" spans="103:104" x14ac:dyDescent="0.3">
      <c r="CY11726" s="34" t="s">
        <v>12653</v>
      </c>
      <c r="CZ11726" s="35">
        <v>8.0600644000000013E-2</v>
      </c>
    </row>
    <row r="11727" spans="103:104" x14ac:dyDescent="0.3">
      <c r="CY11727" s="34" t="s">
        <v>12654</v>
      </c>
      <c r="CZ11727" s="35">
        <v>8.0600644000000013E-2</v>
      </c>
    </row>
    <row r="11728" spans="103:104" x14ac:dyDescent="0.3">
      <c r="CY11728" s="34" t="s">
        <v>12655</v>
      </c>
      <c r="CZ11728" s="35">
        <v>2.04952E-3</v>
      </c>
    </row>
    <row r="11729" spans="103:104" x14ac:dyDescent="0.3">
      <c r="CY11729" s="34" t="s">
        <v>12656</v>
      </c>
      <c r="CZ11729" s="35">
        <v>3.2332456000000002E-2</v>
      </c>
    </row>
    <row r="11730" spans="103:104" x14ac:dyDescent="0.3">
      <c r="CY11730" s="34" t="s">
        <v>12657</v>
      </c>
      <c r="CZ11730" s="35">
        <v>3.1287799999999998E-2</v>
      </c>
    </row>
    <row r="11731" spans="103:104" x14ac:dyDescent="0.3">
      <c r="CY11731" s="34" t="s">
        <v>12658</v>
      </c>
      <c r="CZ11731" s="35">
        <v>2.8206176000000003E-2</v>
      </c>
    </row>
    <row r="11732" spans="103:104" x14ac:dyDescent="0.3">
      <c r="CY11732" s="34" t="s">
        <v>12659</v>
      </c>
      <c r="CZ11732" s="35">
        <v>1.318742E-2</v>
      </c>
    </row>
    <row r="11733" spans="103:104" x14ac:dyDescent="0.3">
      <c r="CY11733" s="34" t="s">
        <v>12660</v>
      </c>
      <c r="CZ11733" s="35">
        <v>0.11497792</v>
      </c>
    </row>
    <row r="11734" spans="103:104" x14ac:dyDescent="0.3">
      <c r="CY11734" s="34" t="s">
        <v>12661</v>
      </c>
      <c r="CZ11734" s="35">
        <v>3.3630528E-2</v>
      </c>
    </row>
    <row r="11735" spans="103:104" x14ac:dyDescent="0.3">
      <c r="CY11735" s="34" t="s">
        <v>12662</v>
      </c>
      <c r="CZ11735" s="35">
        <v>3.3630528E-2</v>
      </c>
    </row>
    <row r="11736" spans="103:104" x14ac:dyDescent="0.3">
      <c r="CY11736" s="34" t="s">
        <v>12663</v>
      </c>
      <c r="CZ11736" s="35">
        <v>4.5199603999999997E-2</v>
      </c>
    </row>
    <row r="11737" spans="103:104" x14ac:dyDescent="0.3">
      <c r="CY11737" s="34" t="s">
        <v>12664</v>
      </c>
      <c r="CZ11737" s="35">
        <v>1.6552359999999999E-2</v>
      </c>
    </row>
    <row r="11738" spans="103:104" x14ac:dyDescent="0.3">
      <c r="CY11738" s="34" t="s">
        <v>12665</v>
      </c>
      <c r="CZ11738" s="35">
        <v>0.12642520000000002</v>
      </c>
    </row>
    <row r="11739" spans="103:104" x14ac:dyDescent="0.3">
      <c r="CY11739" s="34" t="s">
        <v>12666</v>
      </c>
      <c r="CZ11739" s="35">
        <v>1.1440072000000001E-3</v>
      </c>
    </row>
    <row r="11740" spans="103:104" x14ac:dyDescent="0.3">
      <c r="CY11740" s="34" t="s">
        <v>12667</v>
      </c>
      <c r="CZ11740" s="35">
        <v>1.1662072000000001E-3</v>
      </c>
    </row>
    <row r="11741" spans="103:104" x14ac:dyDescent="0.3">
      <c r="CY11741" s="34" t="s">
        <v>12668</v>
      </c>
      <c r="CZ11741" s="35">
        <v>7.3421928E-4</v>
      </c>
    </row>
    <row r="11742" spans="103:104" x14ac:dyDescent="0.3">
      <c r="CY11742" s="34" t="s">
        <v>12669</v>
      </c>
      <c r="CZ11742" s="35">
        <v>1.069352E-3</v>
      </c>
    </row>
    <row r="11743" spans="103:104" x14ac:dyDescent="0.3">
      <c r="CY11743" s="34" t="s">
        <v>12670</v>
      </c>
      <c r="CZ11743" s="35">
        <v>2.4890240000000003E-3</v>
      </c>
    </row>
    <row r="11744" spans="103:104" x14ac:dyDescent="0.3">
      <c r="CY11744" s="34" t="s">
        <v>12671</v>
      </c>
      <c r="CZ11744" s="35">
        <v>4.451552000000001E-3</v>
      </c>
    </row>
    <row r="11745" spans="103:104" x14ac:dyDescent="0.3">
      <c r="CY11745" s="34" t="s">
        <v>12672</v>
      </c>
      <c r="CZ11745" s="35">
        <v>9.0120640000000002E-3</v>
      </c>
    </row>
    <row r="11746" spans="103:104" x14ac:dyDescent="0.3">
      <c r="CY11746" s="34" t="s">
        <v>12673</v>
      </c>
      <c r="CZ11746" s="35">
        <v>1.9557047999999998E-3</v>
      </c>
    </row>
    <row r="11747" spans="103:104" x14ac:dyDescent="0.3">
      <c r="CY11747" s="34" t="s">
        <v>12674</v>
      </c>
      <c r="CZ11747" s="35">
        <v>1.9557047999999998E-3</v>
      </c>
    </row>
    <row r="11748" spans="103:104" x14ac:dyDescent="0.3">
      <c r="CY11748" s="34" t="s">
        <v>12675</v>
      </c>
      <c r="CZ11748" s="35">
        <v>9.1471360000000002E-3</v>
      </c>
    </row>
    <row r="11749" spans="103:104" x14ac:dyDescent="0.3">
      <c r="CY11749" s="34" t="s">
        <v>12676</v>
      </c>
      <c r="CZ11749" s="35">
        <v>3.0219360000000002E-3</v>
      </c>
    </row>
    <row r="11750" spans="103:104" x14ac:dyDescent="0.3">
      <c r="CY11750" s="34" t="s">
        <v>12677</v>
      </c>
      <c r="CZ11750" s="35">
        <v>4.0640863999999999E-2</v>
      </c>
    </row>
    <row r="11751" spans="103:104" x14ac:dyDescent="0.3">
      <c r="CY11751" s="34" t="s">
        <v>12678</v>
      </c>
      <c r="CZ11751" s="35">
        <v>4.0640863999999999E-2</v>
      </c>
    </row>
    <row r="11752" spans="103:104" x14ac:dyDescent="0.3">
      <c r="CY11752" s="34" t="s">
        <v>12679</v>
      </c>
      <c r="CZ11752" s="35">
        <v>0.39494594</v>
      </c>
    </row>
    <row r="11753" spans="103:104" x14ac:dyDescent="0.3">
      <c r="CY11753" s="34" t="s">
        <v>12680</v>
      </c>
      <c r="CZ11753" s="35">
        <v>7.874594E-2</v>
      </c>
    </row>
    <row r="11754" spans="103:104" x14ac:dyDescent="0.3">
      <c r="CY11754" s="34" t="s">
        <v>12681</v>
      </c>
      <c r="CZ11754" s="35">
        <v>0.39494594</v>
      </c>
    </row>
    <row r="11755" spans="103:104" x14ac:dyDescent="0.3">
      <c r="CY11755" s="34" t="s">
        <v>12682</v>
      </c>
      <c r="CZ11755" s="35">
        <v>7.874594E-2</v>
      </c>
    </row>
    <row r="11756" spans="103:104" x14ac:dyDescent="0.3">
      <c r="CY11756" s="34" t="s">
        <v>12683</v>
      </c>
      <c r="CZ11756" s="35">
        <v>4.5302479999999999E-2</v>
      </c>
    </row>
    <row r="11757" spans="103:104" x14ac:dyDescent="0.3">
      <c r="CY11757" s="34" t="s">
        <v>12684</v>
      </c>
      <c r="CZ11757" s="35">
        <v>1.6401800000000002E-3</v>
      </c>
    </row>
    <row r="11758" spans="103:104" x14ac:dyDescent="0.3">
      <c r="CY11758" s="34" t="s">
        <v>12685</v>
      </c>
      <c r="CZ11758" s="35">
        <v>7.9188359999999999E-2</v>
      </c>
    </row>
    <row r="11759" spans="103:104" x14ac:dyDescent="0.3">
      <c r="CY11759" s="34" t="s">
        <v>12686</v>
      </c>
      <c r="CZ11759" s="35">
        <v>0.1572848</v>
      </c>
    </row>
    <row r="11760" spans="103:104" x14ac:dyDescent="0.3">
      <c r="CY11760" s="34" t="s">
        <v>12687</v>
      </c>
      <c r="CZ11760" s="35">
        <v>0.1572848</v>
      </c>
    </row>
    <row r="11761" spans="103:104" x14ac:dyDescent="0.3">
      <c r="CY11761" s="34" t="s">
        <v>12688</v>
      </c>
      <c r="CZ11761" s="35">
        <v>3.7225999999999995E-2</v>
      </c>
    </row>
    <row r="11762" spans="103:104" x14ac:dyDescent="0.3">
      <c r="CY11762" s="34" t="s">
        <v>12689</v>
      </c>
      <c r="CZ11762" s="35">
        <v>2.2100312E-3</v>
      </c>
    </row>
    <row r="11763" spans="103:104" x14ac:dyDescent="0.3">
      <c r="CY11763" s="34" t="s">
        <v>12690</v>
      </c>
      <c r="CZ11763" s="35">
        <v>1.5309084444444443</v>
      </c>
    </row>
    <row r="11764" spans="103:104" x14ac:dyDescent="0.3">
      <c r="CY11764" s="34" t="s">
        <v>12691</v>
      </c>
      <c r="CZ11764" s="35">
        <v>0.18311848619528615</v>
      </c>
    </row>
    <row r="11765" spans="103:104" x14ac:dyDescent="0.3">
      <c r="CY11765" s="34" t="s">
        <v>12692</v>
      </c>
      <c r="CZ11765" s="35">
        <v>0.2222376888888889</v>
      </c>
    </row>
    <row r="11766" spans="103:104" x14ac:dyDescent="0.3">
      <c r="CY11766" s="34" t="s">
        <v>12693</v>
      </c>
      <c r="CZ11766" s="35">
        <v>6.4819177142857148E-2</v>
      </c>
    </row>
    <row r="11767" spans="103:104" x14ac:dyDescent="0.3">
      <c r="CY11767" s="34" t="s">
        <v>12694</v>
      </c>
      <c r="CZ11767" s="35">
        <v>0.21088295647058825</v>
      </c>
    </row>
    <row r="11768" spans="103:104" x14ac:dyDescent="0.3">
      <c r="CY11768" s="34" t="s">
        <v>12695</v>
      </c>
      <c r="CZ11768" s="35">
        <v>2.3274205999999999E-2</v>
      </c>
    </row>
    <row r="11769" spans="103:104" x14ac:dyDescent="0.3">
      <c r="CY11769" s="34" t="s">
        <v>12696</v>
      </c>
      <c r="CZ11769" s="35">
        <v>1.18676588E-2</v>
      </c>
    </row>
    <row r="11770" spans="103:104" x14ac:dyDescent="0.3">
      <c r="CY11770" s="34" t="s">
        <v>12697</v>
      </c>
      <c r="CZ11770" s="35">
        <v>3.9429920000000004E-4</v>
      </c>
    </row>
    <row r="11771" spans="103:104" x14ac:dyDescent="0.3">
      <c r="CY11771" s="34" t="s">
        <v>12698</v>
      </c>
      <c r="CZ11771" s="35">
        <v>1.4862200000000001E-2</v>
      </c>
    </row>
    <row r="11772" spans="103:104" x14ac:dyDescent="0.3">
      <c r="CY11772" s="34" t="s">
        <v>12699</v>
      </c>
      <c r="CZ11772" s="35">
        <v>0.16983179555</v>
      </c>
    </row>
    <row r="11773" spans="103:104" x14ac:dyDescent="0.3">
      <c r="CY11773" s="34" t="s">
        <v>12700</v>
      </c>
      <c r="CZ11773" s="35">
        <v>3.8852480000000002E-2</v>
      </c>
    </row>
    <row r="11774" spans="103:104" x14ac:dyDescent="0.3">
      <c r="CY11774" s="34" t="s">
        <v>12701</v>
      </c>
      <c r="CZ11774" s="35">
        <v>0.40410099999999999</v>
      </c>
    </row>
    <row r="11775" spans="103:104" x14ac:dyDescent="0.3">
      <c r="CY11775" s="34" t="s">
        <v>12702</v>
      </c>
      <c r="CZ11775" s="35">
        <v>4.1875693600333334E-3</v>
      </c>
    </row>
    <row r="11776" spans="103:104" x14ac:dyDescent="0.3">
      <c r="CY11776" s="34" t="s">
        <v>12703</v>
      </c>
      <c r="CZ11776" s="35">
        <v>4.0733080000000003E-3</v>
      </c>
    </row>
    <row r="11777" spans="103:104" x14ac:dyDescent="0.3">
      <c r="CY11777" s="34" t="s">
        <v>12704</v>
      </c>
      <c r="CZ11777" s="35">
        <v>0.13292319999999999</v>
      </c>
    </row>
    <row r="11778" spans="103:104" x14ac:dyDescent="0.3">
      <c r="CY11778" s="34" t="s">
        <v>12705</v>
      </c>
      <c r="CZ11778" s="35">
        <v>6.0786319999999991E-2</v>
      </c>
    </row>
    <row r="11779" spans="103:104" x14ac:dyDescent="0.3">
      <c r="CY11779" s="34" t="s">
        <v>12706</v>
      </c>
      <c r="CZ11779" s="35">
        <v>1.2592807099076923E-2</v>
      </c>
    </row>
    <row r="11780" spans="103:104" x14ac:dyDescent="0.3">
      <c r="CY11780" s="34" t="s">
        <v>12707</v>
      </c>
      <c r="CZ11780" s="35">
        <v>1.7075876229019606E-2</v>
      </c>
    </row>
    <row r="11781" spans="103:104" x14ac:dyDescent="0.3">
      <c r="CY11781" s="34" t="s">
        <v>12708</v>
      </c>
      <c r="CZ11781" s="35">
        <v>2.2001E-2</v>
      </c>
    </row>
    <row r="11782" spans="103:104" x14ac:dyDescent="0.3">
      <c r="CY11782" s="34" t="s">
        <v>12709</v>
      </c>
      <c r="CZ11782" s="35">
        <v>2.063108E-2</v>
      </c>
    </row>
    <row r="11783" spans="103:104" x14ac:dyDescent="0.3">
      <c r="CY11783" s="34" t="s">
        <v>12710</v>
      </c>
      <c r="CZ11783" s="35">
        <v>1.0546188E-2</v>
      </c>
    </row>
    <row r="11784" spans="103:104" x14ac:dyDescent="0.3">
      <c r="CY11784" s="34" t="s">
        <v>12711</v>
      </c>
      <c r="CZ11784" s="35">
        <v>3.5774472000000002E-2</v>
      </c>
    </row>
    <row r="11785" spans="103:104" x14ac:dyDescent="0.3">
      <c r="CY11785" s="34" t="s">
        <v>12712</v>
      </c>
      <c r="CZ11785" s="35">
        <v>2.5676729999999998E-2</v>
      </c>
    </row>
    <row r="11786" spans="103:104" x14ac:dyDescent="0.3">
      <c r="CY11786" s="34" t="s">
        <v>12713</v>
      </c>
      <c r="CZ11786" s="35">
        <v>1.3839065133333332E-2</v>
      </c>
    </row>
    <row r="11787" spans="103:104" x14ac:dyDescent="0.3">
      <c r="CY11787" s="34" t="s">
        <v>12714</v>
      </c>
      <c r="CZ11787" s="35">
        <v>2.3980489999999997E-2</v>
      </c>
    </row>
    <row r="11788" spans="103:104" x14ac:dyDescent="0.3">
      <c r="CY11788" s="34" t="s">
        <v>12715</v>
      </c>
      <c r="CZ11788" s="35">
        <v>0.17528919999999998</v>
      </c>
    </row>
    <row r="11789" spans="103:104" x14ac:dyDescent="0.3">
      <c r="CY11789" s="34" t="s">
        <v>12716</v>
      </c>
      <c r="CZ11789" s="35">
        <v>8.4418179999999985E-3</v>
      </c>
    </row>
    <row r="11790" spans="103:104" x14ac:dyDescent="0.3">
      <c r="CY11790" s="34" t="s">
        <v>12717</v>
      </c>
      <c r="CZ11790" s="35">
        <v>7.4927140000000001E-3</v>
      </c>
    </row>
    <row r="11791" spans="103:104" x14ac:dyDescent="0.3">
      <c r="CY11791" s="34" t="s">
        <v>12718</v>
      </c>
      <c r="CZ11791" s="35">
        <v>6.8599780000000009E-3</v>
      </c>
    </row>
    <row r="11792" spans="103:104" x14ac:dyDescent="0.3">
      <c r="CY11792" s="34" t="s">
        <v>12719</v>
      </c>
      <c r="CZ11792" s="35">
        <v>1.057344E-2</v>
      </c>
    </row>
    <row r="11793" spans="103:104" x14ac:dyDescent="0.3">
      <c r="CY11793" s="34" t="s">
        <v>12720</v>
      </c>
      <c r="CZ11793" s="35">
        <v>3.091996E-2</v>
      </c>
    </row>
    <row r="11794" spans="103:104" x14ac:dyDescent="0.3">
      <c r="CY11794" s="34" t="s">
        <v>12721</v>
      </c>
      <c r="CZ11794" s="35">
        <v>8.2124160000000002E-2</v>
      </c>
    </row>
    <row r="11795" spans="103:104" x14ac:dyDescent="0.3">
      <c r="CY11795" s="34" t="s">
        <v>12722</v>
      </c>
      <c r="CZ11795" s="35">
        <v>6.619680000000001E-3</v>
      </c>
    </row>
    <row r="11796" spans="103:104" x14ac:dyDescent="0.3">
      <c r="CY11796" s="34" t="s">
        <v>12723</v>
      </c>
      <c r="CZ11796" s="35">
        <v>5.3306599999999996E-2</v>
      </c>
    </row>
    <row r="11797" spans="103:104" x14ac:dyDescent="0.3">
      <c r="CY11797" s="34" t="s">
        <v>12724</v>
      </c>
      <c r="CZ11797" s="35">
        <v>5.6599199999999988E-2</v>
      </c>
    </row>
    <row r="11798" spans="103:104" x14ac:dyDescent="0.3">
      <c r="CY11798" s="34" t="s">
        <v>12725</v>
      </c>
      <c r="CZ11798" s="35">
        <v>9.0066463999999985E-2</v>
      </c>
    </row>
    <row r="11799" spans="103:104" x14ac:dyDescent="0.3">
      <c r="CY11799" s="34" t="s">
        <v>12726</v>
      </c>
      <c r="CZ11799" s="35">
        <v>2.1830823999999999E-2</v>
      </c>
    </row>
    <row r="11800" spans="103:104" x14ac:dyDescent="0.3">
      <c r="CY11800" s="34" t="s">
        <v>12727</v>
      </c>
      <c r="CZ11800" s="35">
        <v>2.8165824000000003E-3</v>
      </c>
    </row>
    <row r="11801" spans="103:104" x14ac:dyDescent="0.3">
      <c r="CY11801" s="34" t="s">
        <v>12728</v>
      </c>
      <c r="CZ11801" s="35">
        <v>6.3321871999999987E-2</v>
      </c>
    </row>
    <row r="11802" spans="103:104" x14ac:dyDescent="0.3">
      <c r="CY11802" s="34" t="s">
        <v>12729</v>
      </c>
      <c r="CZ11802" s="35">
        <v>0.12311148</v>
      </c>
    </row>
    <row r="11803" spans="103:104" x14ac:dyDescent="0.3">
      <c r="CY11803" s="34" t="s">
        <v>12730</v>
      </c>
      <c r="CZ11803" s="35">
        <v>0.105199</v>
      </c>
    </row>
    <row r="11804" spans="103:104" x14ac:dyDescent="0.3">
      <c r="CY11804" s="34" t="s">
        <v>12731</v>
      </c>
      <c r="CZ11804" s="35">
        <v>7.010106666666667E-2</v>
      </c>
    </row>
    <row r="11805" spans="103:104" x14ac:dyDescent="0.3">
      <c r="CY11805" s="34" t="s">
        <v>12732</v>
      </c>
      <c r="CZ11805" s="35">
        <v>5.6492837500000004E-2</v>
      </c>
    </row>
    <row r="11806" spans="103:104" x14ac:dyDescent="0.3">
      <c r="CY11806" s="34" t="s">
        <v>12733</v>
      </c>
      <c r="CZ11806" s="35">
        <v>4.4630175000000001E-2</v>
      </c>
    </row>
    <row r="11807" spans="103:104" x14ac:dyDescent="0.3">
      <c r="CY11807" s="34" t="s">
        <v>12734</v>
      </c>
      <c r="CZ11807" s="35">
        <v>7.5543199999999989E-4</v>
      </c>
    </row>
    <row r="11808" spans="103:104" x14ac:dyDescent="0.3">
      <c r="CY11808" s="34" t="s">
        <v>12735</v>
      </c>
      <c r="CZ11808" s="35">
        <v>2.6199839999999999E-2</v>
      </c>
    </row>
    <row r="11809" spans="103:104" x14ac:dyDescent="0.3">
      <c r="CY11809" s="34" t="s">
        <v>12736</v>
      </c>
      <c r="CZ11809" s="35">
        <v>9.9861572592000007E-3</v>
      </c>
    </row>
    <row r="11810" spans="103:104" x14ac:dyDescent="0.3">
      <c r="CY11810" s="34" t="s">
        <v>12737</v>
      </c>
      <c r="CZ11810" s="35">
        <v>3.9308142222222217E-2</v>
      </c>
    </row>
    <row r="11811" spans="103:104" x14ac:dyDescent="0.3">
      <c r="CY11811" s="34" t="s">
        <v>12738</v>
      </c>
      <c r="CZ11811" s="35">
        <v>3.2572320000000001E-3</v>
      </c>
    </row>
    <row r="11812" spans="103:104" x14ac:dyDescent="0.3">
      <c r="CY11812" s="34" t="s">
        <v>12739</v>
      </c>
      <c r="CZ11812" s="35">
        <v>2.4592599999999999E-2</v>
      </c>
    </row>
    <row r="11813" spans="103:104" x14ac:dyDescent="0.3">
      <c r="CY11813" s="34" t="s">
        <v>12740</v>
      </c>
      <c r="CZ11813" s="35">
        <v>5.150336000000001E-3</v>
      </c>
    </row>
    <row r="11814" spans="103:104" x14ac:dyDescent="0.3">
      <c r="CY11814" s="34" t="s">
        <v>12741</v>
      </c>
      <c r="CZ11814" s="35">
        <v>5.150336000000001E-3</v>
      </c>
    </row>
    <row r="11815" spans="103:104" x14ac:dyDescent="0.3">
      <c r="CY11815" s="34" t="s">
        <v>12742</v>
      </c>
      <c r="CZ11815" s="35">
        <v>1.230876E-2</v>
      </c>
    </row>
    <row r="11816" spans="103:104" x14ac:dyDescent="0.3">
      <c r="CY11816" s="34" t="s">
        <v>12743</v>
      </c>
      <c r="CZ11816" s="35">
        <v>2.1617939999999999E-2</v>
      </c>
    </row>
    <row r="11817" spans="103:104" x14ac:dyDescent="0.3">
      <c r="CY11817" s="34" t="s">
        <v>12744</v>
      </c>
      <c r="CZ11817" s="35">
        <v>0.21207003999999999</v>
      </c>
    </row>
    <row r="11818" spans="103:104" x14ac:dyDescent="0.3">
      <c r="CY11818" s="34" t="s">
        <v>12745</v>
      </c>
      <c r="CZ11818" s="35">
        <v>0.18667739999999999</v>
      </c>
    </row>
    <row r="11819" spans="103:104" x14ac:dyDescent="0.3">
      <c r="CY11819" s="34" t="s">
        <v>12746</v>
      </c>
      <c r="CZ11819" s="35">
        <v>3.1572853333333333E-3</v>
      </c>
    </row>
    <row r="11820" spans="103:104" x14ac:dyDescent="0.3">
      <c r="CY11820" s="34" t="s">
        <v>12747</v>
      </c>
      <c r="CZ11820" s="35">
        <v>2.72668532E-3</v>
      </c>
    </row>
    <row r="11821" spans="103:104" x14ac:dyDescent="0.3">
      <c r="CY11821" s="34" t="s">
        <v>12748</v>
      </c>
      <c r="CZ11821" s="35">
        <v>5.5665699999999999E-3</v>
      </c>
    </row>
    <row r="11822" spans="103:104" x14ac:dyDescent="0.3">
      <c r="CY11822" s="34" t="s">
        <v>12749</v>
      </c>
      <c r="CZ11822" s="35">
        <v>0.14513543999999998</v>
      </c>
    </row>
    <row r="11823" spans="103:104" x14ac:dyDescent="0.3">
      <c r="CY11823" s="34" t="s">
        <v>12750</v>
      </c>
      <c r="CZ11823" s="35">
        <v>0.13777544</v>
      </c>
    </row>
    <row r="11824" spans="103:104" x14ac:dyDescent="0.3">
      <c r="CY11824" s="34" t="s">
        <v>12751</v>
      </c>
      <c r="CZ11824" s="35">
        <v>2.8960000000000003E-2</v>
      </c>
    </row>
    <row r="11825" spans="103:104" x14ac:dyDescent="0.3">
      <c r="CY11825" s="34" t="s">
        <v>12752</v>
      </c>
      <c r="CZ11825" s="35">
        <v>7.8258399999999988E-3</v>
      </c>
    </row>
    <row r="11826" spans="103:104" x14ac:dyDescent="0.3">
      <c r="CY11826" s="34" t="s">
        <v>12753</v>
      </c>
      <c r="CZ11826" s="35">
        <v>6.1785440000000011E-3</v>
      </c>
    </row>
    <row r="11827" spans="103:104" x14ac:dyDescent="0.3">
      <c r="CY11827" s="34" t="s">
        <v>12754</v>
      </c>
      <c r="CZ11827" s="35">
        <v>2.6686044444444442E-2</v>
      </c>
    </row>
    <row r="11828" spans="103:104" x14ac:dyDescent="0.3">
      <c r="CY11828" s="34" t="s">
        <v>12755</v>
      </c>
      <c r="CZ11828" s="35">
        <v>3.3029214285714287E-2</v>
      </c>
    </row>
    <row r="11829" spans="103:104" x14ac:dyDescent="0.3">
      <c r="CY11829" s="34" t="s">
        <v>12756</v>
      </c>
      <c r="CZ11829" s="35">
        <v>3.1881463556851314E-2</v>
      </c>
    </row>
    <row r="11830" spans="103:104" x14ac:dyDescent="0.3">
      <c r="CY11830" s="34" t="s">
        <v>12757</v>
      </c>
      <c r="CZ11830" s="35">
        <v>1.6484899999999997E-2</v>
      </c>
    </row>
    <row r="11831" spans="103:104" x14ac:dyDescent="0.3">
      <c r="CY11831" s="34" t="s">
        <v>12758</v>
      </c>
      <c r="CZ11831" s="35">
        <v>1.2930249400000001E-2</v>
      </c>
    </row>
    <row r="11832" spans="103:104" x14ac:dyDescent="0.3">
      <c r="CY11832" s="34" t="s">
        <v>12759</v>
      </c>
      <c r="CZ11832" s="35">
        <v>0.22620704</v>
      </c>
    </row>
    <row r="11833" spans="103:104" x14ac:dyDescent="0.3">
      <c r="CY11833" s="34" t="s">
        <v>12760</v>
      </c>
      <c r="CZ11833" s="35">
        <v>0.22522099999999998</v>
      </c>
    </row>
    <row r="11834" spans="103:104" x14ac:dyDescent="0.3">
      <c r="CY11834" s="34" t="s">
        <v>12761</v>
      </c>
      <c r="CZ11834" s="35">
        <v>4.3898559999999993E-3</v>
      </c>
    </row>
    <row r="11835" spans="103:104" x14ac:dyDescent="0.3">
      <c r="CY11835" s="34" t="s">
        <v>12762</v>
      </c>
      <c r="CZ11835" s="35">
        <v>1.0048576E-2</v>
      </c>
    </row>
    <row r="11836" spans="103:104" x14ac:dyDescent="0.3">
      <c r="CY11836" s="34" t="s">
        <v>12763</v>
      </c>
      <c r="CZ11836" s="35">
        <v>4.1926720000000004E-4</v>
      </c>
    </row>
    <row r="11837" spans="103:104" x14ac:dyDescent="0.3">
      <c r="CY11837" s="34" t="s">
        <v>12764</v>
      </c>
      <c r="CZ11837" s="35">
        <v>1.6521000000000001E-2</v>
      </c>
    </row>
    <row r="11838" spans="103:104" x14ac:dyDescent="0.3">
      <c r="CY11838" s="34" t="s">
        <v>12765</v>
      </c>
      <c r="CZ11838" s="35">
        <v>1.184851E-2</v>
      </c>
    </row>
    <row r="11839" spans="103:104" x14ac:dyDescent="0.3">
      <c r="CY11839" s="34" t="s">
        <v>12766</v>
      </c>
      <c r="CZ11839" s="35">
        <v>7.579920952380953E-2</v>
      </c>
    </row>
    <row r="11840" spans="103:104" x14ac:dyDescent="0.3">
      <c r="CY11840" s="34" t="s">
        <v>12767</v>
      </c>
      <c r="CZ11840" s="35">
        <v>7.4265724000000005E-2</v>
      </c>
    </row>
    <row r="11841" spans="103:104" x14ac:dyDescent="0.3">
      <c r="CY11841" s="34" t="s">
        <v>12768</v>
      </c>
      <c r="CZ11841" s="35">
        <v>7.4496224E-2</v>
      </c>
    </row>
    <row r="11842" spans="103:104" x14ac:dyDescent="0.3">
      <c r="CY11842" s="34" t="s">
        <v>12769</v>
      </c>
      <c r="CZ11842" s="35">
        <v>7.85584176E-2</v>
      </c>
    </row>
    <row r="11843" spans="103:104" x14ac:dyDescent="0.3">
      <c r="CY11843" s="34" t="s">
        <v>12770</v>
      </c>
      <c r="CZ11843" s="35">
        <v>7.85584176E-2</v>
      </c>
    </row>
    <row r="11844" spans="103:104" x14ac:dyDescent="0.3">
      <c r="CY11844" s="34" t="s">
        <v>12771</v>
      </c>
      <c r="CZ11844" s="35">
        <v>0.46806399999999998</v>
      </c>
    </row>
    <row r="11845" spans="103:104" x14ac:dyDescent="0.3">
      <c r="CY11845" s="34" t="s">
        <v>12772</v>
      </c>
      <c r="CZ11845" s="35">
        <v>7.2836511999999992E-2</v>
      </c>
    </row>
    <row r="11846" spans="103:104" x14ac:dyDescent="0.3">
      <c r="CY11846" s="34" t="s">
        <v>12773</v>
      </c>
      <c r="CZ11846" s="35">
        <v>6.2390600000000004E-2</v>
      </c>
    </row>
    <row r="11847" spans="103:104" x14ac:dyDescent="0.3">
      <c r="CY11847" s="34" t="s">
        <v>12774</v>
      </c>
      <c r="CZ11847" s="35">
        <v>1.6695139199999996E-3</v>
      </c>
    </row>
    <row r="11848" spans="103:104" x14ac:dyDescent="0.3">
      <c r="CY11848" s="34" t="s">
        <v>12775</v>
      </c>
      <c r="CZ11848" s="35">
        <v>1.0651679999999998E-3</v>
      </c>
    </row>
    <row r="11849" spans="103:104" x14ac:dyDescent="0.3">
      <c r="CY11849" s="34" t="s">
        <v>12776</v>
      </c>
      <c r="CZ11849" s="35">
        <v>5.7454591999999999E-4</v>
      </c>
    </row>
    <row r="11850" spans="103:104" x14ac:dyDescent="0.3">
      <c r="CY11850" s="34" t="s">
        <v>12777</v>
      </c>
      <c r="CZ11850" s="35">
        <v>8.9880735999999992E-4</v>
      </c>
    </row>
    <row r="11851" spans="103:104" x14ac:dyDescent="0.3">
      <c r="CY11851" s="34" t="s">
        <v>12778</v>
      </c>
      <c r="CZ11851" s="35">
        <v>6.1859787234042549E-3</v>
      </c>
    </row>
    <row r="11852" spans="103:104" x14ac:dyDescent="0.3">
      <c r="CY11852" s="34" t="s">
        <v>12779</v>
      </c>
      <c r="CZ11852" s="35">
        <v>4.0712240000000009E-3</v>
      </c>
    </row>
    <row r="11853" spans="103:104" x14ac:dyDescent="0.3">
      <c r="CY11853" s="34" t="s">
        <v>12780</v>
      </c>
      <c r="CZ11853" s="35">
        <v>7.3346400000000008E-4</v>
      </c>
    </row>
    <row r="11854" spans="103:104" x14ac:dyDescent="0.3">
      <c r="CY11854" s="34" t="s">
        <v>12781</v>
      </c>
      <c r="CZ11854" s="35">
        <v>1.520946666666667E-3</v>
      </c>
    </row>
    <row r="11855" spans="103:104" x14ac:dyDescent="0.3">
      <c r="CY11855" s="34" t="s">
        <v>12782</v>
      </c>
      <c r="CZ11855" s="35">
        <v>8.284915339999999E-3</v>
      </c>
    </row>
    <row r="11856" spans="103:104" x14ac:dyDescent="0.3">
      <c r="CY11856" s="34" t="s">
        <v>12783</v>
      </c>
      <c r="CZ11856" s="35">
        <v>8.21304034E-3</v>
      </c>
    </row>
    <row r="11857" spans="103:104" x14ac:dyDescent="0.3">
      <c r="CY11857" s="34" t="s">
        <v>12784</v>
      </c>
      <c r="CZ11857" s="35">
        <v>4.7451192E-3</v>
      </c>
    </row>
    <row r="11858" spans="103:104" x14ac:dyDescent="0.3">
      <c r="CY11858" s="34" t="s">
        <v>12785</v>
      </c>
      <c r="CZ11858" s="35">
        <v>4.0238897894736836E-2</v>
      </c>
    </row>
    <row r="11859" spans="103:104" x14ac:dyDescent="0.3">
      <c r="CY11859" s="34" t="s">
        <v>12786</v>
      </c>
      <c r="CZ11859" s="35">
        <v>3.2988760000000001E-3</v>
      </c>
    </row>
    <row r="11860" spans="103:104" x14ac:dyDescent="0.3">
      <c r="CY11860" s="34" t="s">
        <v>12787</v>
      </c>
      <c r="CZ11860" s="35">
        <v>2.0507696000000002E-2</v>
      </c>
    </row>
    <row r="11861" spans="103:104" x14ac:dyDescent="0.3">
      <c r="CY11861" s="34" t="s">
        <v>12788</v>
      </c>
      <c r="CZ11861" s="35">
        <v>6.3000160000000003E-3</v>
      </c>
    </row>
    <row r="11862" spans="103:104" x14ac:dyDescent="0.3">
      <c r="CY11862" s="34" t="s">
        <v>12789</v>
      </c>
      <c r="CZ11862" s="35">
        <v>4.6508719999999995E-4</v>
      </c>
    </row>
    <row r="11863" spans="103:104" x14ac:dyDescent="0.3">
      <c r="CY11863" s="34" t="s">
        <v>12790</v>
      </c>
      <c r="CZ11863" s="35">
        <v>3.0889839999999998E-2</v>
      </c>
    </row>
    <row r="11864" spans="103:104" x14ac:dyDescent="0.3">
      <c r="CY11864" s="34" t="s">
        <v>12791</v>
      </c>
      <c r="CZ11864" s="35">
        <v>2.9833636133333335E-3</v>
      </c>
    </row>
    <row r="11865" spans="103:104" x14ac:dyDescent="0.3">
      <c r="CY11865" s="34" t="s">
        <v>12792</v>
      </c>
      <c r="CZ11865" s="35">
        <v>5.150336000000001E-3</v>
      </c>
    </row>
    <row r="11866" spans="103:104" x14ac:dyDescent="0.3">
      <c r="CY11866" s="34" t="s">
        <v>12793</v>
      </c>
      <c r="CZ11866" s="35">
        <v>5.150336000000001E-3</v>
      </c>
    </row>
    <row r="11867" spans="103:104" x14ac:dyDescent="0.3">
      <c r="CY11867" s="34" t="s">
        <v>12794</v>
      </c>
      <c r="CZ11867" s="35">
        <v>8.8251041650000001E-3</v>
      </c>
    </row>
    <row r="11868" spans="103:104" x14ac:dyDescent="0.3">
      <c r="CY11868" s="34" t="s">
        <v>12795</v>
      </c>
      <c r="CZ11868" s="35">
        <v>2.314076E-2</v>
      </c>
    </row>
    <row r="11869" spans="103:104" x14ac:dyDescent="0.3">
      <c r="CY11869" s="34" t="s">
        <v>12796</v>
      </c>
      <c r="CZ11869" s="35">
        <v>8.1091519999999997E-3</v>
      </c>
    </row>
    <row r="11870" spans="103:104" x14ac:dyDescent="0.3">
      <c r="CY11870" s="34" t="s">
        <v>12797</v>
      </c>
      <c r="CZ11870" s="35">
        <v>1.1857824000000002E-3</v>
      </c>
    </row>
    <row r="11871" spans="103:104" x14ac:dyDescent="0.3">
      <c r="CY11871" s="34" t="s">
        <v>12798</v>
      </c>
      <c r="CZ11871" s="35">
        <v>2.8201170600000002E-2</v>
      </c>
    </row>
    <row r="11872" spans="103:104" x14ac:dyDescent="0.3">
      <c r="CY11872" s="34" t="s">
        <v>12799</v>
      </c>
      <c r="CZ11872" s="35">
        <v>2.8052483725000001E-2</v>
      </c>
    </row>
    <row r="11873" spans="103:104" x14ac:dyDescent="0.3">
      <c r="CY11873" s="34" t="s">
        <v>12800</v>
      </c>
      <c r="CZ11873" s="35">
        <v>7.184318000000002E-2</v>
      </c>
    </row>
    <row r="11874" spans="103:104" x14ac:dyDescent="0.3">
      <c r="CY11874" s="34" t="s">
        <v>12801</v>
      </c>
      <c r="CZ11874" s="35">
        <v>6.7300680000000015E-2</v>
      </c>
    </row>
    <row r="11875" spans="103:104" x14ac:dyDescent="0.3">
      <c r="CY11875" s="34" t="s">
        <v>12802</v>
      </c>
      <c r="CZ11875" s="35">
        <v>2.547166E-2</v>
      </c>
    </row>
    <row r="11876" spans="103:104" x14ac:dyDescent="0.3">
      <c r="CY11876" s="34" t="s">
        <v>12803</v>
      </c>
      <c r="CZ11876" s="35">
        <v>3.5513994000000004E-3</v>
      </c>
    </row>
    <row r="11877" spans="103:104" x14ac:dyDescent="0.3">
      <c r="CY11877" s="34" t="s">
        <v>12804</v>
      </c>
      <c r="CZ11877" s="35">
        <v>2.1931966664285714E-2</v>
      </c>
    </row>
    <row r="11878" spans="103:104" x14ac:dyDescent="0.3">
      <c r="CY11878" s="34" t="s">
        <v>12805</v>
      </c>
      <c r="CZ11878" s="35">
        <v>2.8969890000000002E-2</v>
      </c>
    </row>
    <row r="11879" spans="103:104" x14ac:dyDescent="0.3">
      <c r="CY11879" s="34" t="s">
        <v>12806</v>
      </c>
      <c r="CZ11879" s="35">
        <v>4.1166000000000001E-2</v>
      </c>
    </row>
    <row r="11880" spans="103:104" x14ac:dyDescent="0.3">
      <c r="CY11880" s="34" t="s">
        <v>12807</v>
      </c>
      <c r="CZ11880" s="35">
        <v>9.6609600000000006E-4</v>
      </c>
    </row>
    <row r="11881" spans="103:104" x14ac:dyDescent="0.3">
      <c r="CY11881" s="34" t="s">
        <v>12808</v>
      </c>
      <c r="CZ11881" s="35">
        <v>9.6609600000000006E-4</v>
      </c>
    </row>
    <row r="11882" spans="103:104" x14ac:dyDescent="0.3">
      <c r="CY11882" s="34" t="s">
        <v>12809</v>
      </c>
      <c r="CZ11882" s="35">
        <v>1.1279200000000001E-3</v>
      </c>
    </row>
    <row r="11883" spans="103:104" x14ac:dyDescent="0.3">
      <c r="CY11883" s="34" t="s">
        <v>12810</v>
      </c>
      <c r="CZ11883" s="35">
        <v>6.608984E-3</v>
      </c>
    </row>
    <row r="11884" spans="103:104" x14ac:dyDescent="0.3">
      <c r="CY11884" s="34" t="s">
        <v>12811</v>
      </c>
      <c r="CZ11884" s="35">
        <v>3.2344975999999998E-2</v>
      </c>
    </row>
    <row r="11885" spans="103:104" x14ac:dyDescent="0.3">
      <c r="CY11885" s="34" t="s">
        <v>12812</v>
      </c>
      <c r="CZ11885" s="35">
        <v>1.5483904000000002E-4</v>
      </c>
    </row>
    <row r="11886" spans="103:104" x14ac:dyDescent="0.3">
      <c r="CY11886" s="34" t="s">
        <v>12813</v>
      </c>
      <c r="CZ11886" s="35">
        <v>2.9041663999999994E-3</v>
      </c>
    </row>
    <row r="11887" spans="103:104" x14ac:dyDescent="0.3">
      <c r="CY11887" s="34" t="s">
        <v>12814</v>
      </c>
      <c r="CZ11887" s="35">
        <v>3.9138240000000006E-3</v>
      </c>
    </row>
    <row r="11888" spans="103:104" x14ac:dyDescent="0.3">
      <c r="CY11888" s="34" t="s">
        <v>12815</v>
      </c>
      <c r="CZ11888" s="35">
        <v>7.6447680000000006E-3</v>
      </c>
    </row>
    <row r="11889" spans="103:104" x14ac:dyDescent="0.3">
      <c r="CY11889" s="34" t="s">
        <v>12816</v>
      </c>
      <c r="CZ11889" s="35">
        <v>1.4095812000000001E-2</v>
      </c>
    </row>
    <row r="11890" spans="103:104" x14ac:dyDescent="0.3">
      <c r="CY11890" s="34" t="s">
        <v>12817</v>
      </c>
      <c r="CZ11890" s="35">
        <v>2.747666E-2</v>
      </c>
    </row>
    <row r="11891" spans="103:104" x14ac:dyDescent="0.3">
      <c r="CY11891" s="34" t="s">
        <v>12818</v>
      </c>
      <c r="CZ11891" s="35">
        <v>1.1253608000000002E-3</v>
      </c>
    </row>
    <row r="11892" spans="103:104" x14ac:dyDescent="0.3">
      <c r="CY11892" s="34" t="s">
        <v>12819</v>
      </c>
      <c r="CZ11892" s="35">
        <v>2.3935864000000001E-2</v>
      </c>
    </row>
    <row r="11893" spans="103:104" x14ac:dyDescent="0.3">
      <c r="CY11893" s="34" t="s">
        <v>12820</v>
      </c>
      <c r="CZ11893" s="35">
        <v>2.359556925E-2</v>
      </c>
    </row>
    <row r="11894" spans="103:104" x14ac:dyDescent="0.3">
      <c r="CY11894" s="34" t="s">
        <v>12821</v>
      </c>
      <c r="CZ11894" s="35">
        <v>2.7547599999999998E-2</v>
      </c>
    </row>
    <row r="11895" spans="103:104" x14ac:dyDescent="0.3">
      <c r="CY11895" s="34" t="s">
        <v>12822</v>
      </c>
      <c r="CZ11895" s="35">
        <v>8.5617263999999998E-2</v>
      </c>
    </row>
    <row r="11896" spans="103:104" x14ac:dyDescent="0.3">
      <c r="CY11896" s="34" t="s">
        <v>12823</v>
      </c>
      <c r="CZ11896" s="35">
        <v>2.1495215999999999E-3</v>
      </c>
    </row>
    <row r="11897" spans="103:104" x14ac:dyDescent="0.3">
      <c r="CY11897" s="34" t="s">
        <v>12824</v>
      </c>
      <c r="CZ11897" s="35">
        <v>4.9450879999999994E-3</v>
      </c>
    </row>
    <row r="11898" spans="103:104" x14ac:dyDescent="0.3">
      <c r="CY11898" s="34" t="s">
        <v>12825</v>
      </c>
      <c r="CZ11898" s="35">
        <v>3.9138240000000006E-3</v>
      </c>
    </row>
    <row r="11899" spans="103:104" x14ac:dyDescent="0.3">
      <c r="CY11899" s="34" t="s">
        <v>12826</v>
      </c>
      <c r="CZ11899" s="35">
        <v>2.7191983999999999E-2</v>
      </c>
    </row>
    <row r="11900" spans="103:104" x14ac:dyDescent="0.3">
      <c r="CY11900" s="34" t="s">
        <v>12827</v>
      </c>
      <c r="CZ11900" s="35">
        <v>3.5180016000000001E-2</v>
      </c>
    </row>
    <row r="11901" spans="103:104" x14ac:dyDescent="0.3">
      <c r="CY11901" s="34" t="s">
        <v>12828</v>
      </c>
      <c r="CZ11901" s="35">
        <v>1.6021759999999999E-2</v>
      </c>
    </row>
    <row r="11902" spans="103:104" x14ac:dyDescent="0.3">
      <c r="CY11902" s="34" t="s">
        <v>12829</v>
      </c>
      <c r="CZ11902" s="35">
        <v>6.8939679999999989E-2</v>
      </c>
    </row>
    <row r="11903" spans="103:104" x14ac:dyDescent="0.3">
      <c r="CY11903" s="34" t="s">
        <v>12830</v>
      </c>
      <c r="CZ11903" s="35">
        <v>4.6626904000000007E-3</v>
      </c>
    </row>
    <row r="11904" spans="103:104" x14ac:dyDescent="0.3">
      <c r="CY11904" s="34" t="s">
        <v>12831</v>
      </c>
      <c r="CZ11904" s="35">
        <v>5.3427879999999994E-3</v>
      </c>
    </row>
    <row r="11905" spans="103:104" x14ac:dyDescent="0.3">
      <c r="CY11905" s="34" t="s">
        <v>12832</v>
      </c>
      <c r="CZ11905" s="35">
        <v>4.2439240000000005E-3</v>
      </c>
    </row>
    <row r="11906" spans="103:104" x14ac:dyDescent="0.3">
      <c r="CY11906" s="34" t="s">
        <v>12833</v>
      </c>
      <c r="CZ11906" s="35">
        <v>2.7249599999999999E-2</v>
      </c>
    </row>
    <row r="11907" spans="103:104" x14ac:dyDescent="0.3">
      <c r="CY11907" s="34" t="s">
        <v>12834</v>
      </c>
      <c r="CZ11907" s="35">
        <v>1.0649808000000001E-3</v>
      </c>
    </row>
    <row r="11908" spans="103:104" x14ac:dyDescent="0.3">
      <c r="CY11908" s="34" t="s">
        <v>12835</v>
      </c>
      <c r="CZ11908" s="35">
        <v>5.2922199999999998E-4</v>
      </c>
    </row>
    <row r="11909" spans="103:104" x14ac:dyDescent="0.3">
      <c r="CY11909" s="34" t="s">
        <v>12836</v>
      </c>
      <c r="CZ11909" s="35">
        <v>1.5366178666666665E-3</v>
      </c>
    </row>
    <row r="11910" spans="103:104" x14ac:dyDescent="0.3">
      <c r="CY11910" s="34" t="s">
        <v>12837</v>
      </c>
      <c r="CZ11910" s="35">
        <v>1.5263551999999999E-3</v>
      </c>
    </row>
    <row r="11911" spans="103:104" x14ac:dyDescent="0.3">
      <c r="CY11911" s="34" t="s">
        <v>12838</v>
      </c>
      <c r="CZ11911" s="35">
        <v>0.1488961</v>
      </c>
    </row>
    <row r="11912" spans="103:104" x14ac:dyDescent="0.3">
      <c r="CY11912" s="34" t="s">
        <v>12839</v>
      </c>
      <c r="CZ11912" s="35">
        <v>5.4299023999999994E-2</v>
      </c>
    </row>
    <row r="11913" spans="103:104" x14ac:dyDescent="0.3">
      <c r="CY11913" s="34" t="s">
        <v>12840</v>
      </c>
      <c r="CZ11913" s="35">
        <v>0.18830923999999999</v>
      </c>
    </row>
    <row r="11914" spans="103:104" x14ac:dyDescent="0.3">
      <c r="CY11914" s="34" t="s">
        <v>12841</v>
      </c>
      <c r="CZ11914" s="35">
        <v>7.8196480000000002E-3</v>
      </c>
    </row>
    <row r="11915" spans="103:104" x14ac:dyDescent="0.3">
      <c r="CY11915" s="34" t="s">
        <v>12842</v>
      </c>
      <c r="CZ11915" s="35">
        <v>4.9948699999999999E-2</v>
      </c>
    </row>
    <row r="11916" spans="103:104" x14ac:dyDescent="0.3">
      <c r="CY11916" s="34" t="s">
        <v>12843</v>
      </c>
      <c r="CZ11916" s="35">
        <v>2.2977944000000003E-3</v>
      </c>
    </row>
    <row r="11917" spans="103:104" x14ac:dyDescent="0.3">
      <c r="CY11917" s="34" t="s">
        <v>12844</v>
      </c>
      <c r="CZ11917" s="35">
        <v>1.1777420533333335E-3</v>
      </c>
    </row>
    <row r="11918" spans="103:104" x14ac:dyDescent="0.3">
      <c r="CY11918" s="34" t="s">
        <v>12845</v>
      </c>
      <c r="CZ11918" s="35">
        <v>0.11786888</v>
      </c>
    </row>
    <row r="11919" spans="103:104" x14ac:dyDescent="0.3">
      <c r="CY11919" s="34" t="s">
        <v>12846</v>
      </c>
      <c r="CZ11919" s="35">
        <v>8.6074560000000008E-2</v>
      </c>
    </row>
    <row r="11920" spans="103:104" x14ac:dyDescent="0.3">
      <c r="CY11920" s="34" t="s">
        <v>12847</v>
      </c>
      <c r="CZ11920" s="35">
        <v>7.9535295555555562E-4</v>
      </c>
    </row>
    <row r="11921" spans="103:104" x14ac:dyDescent="0.3">
      <c r="CY11921" s="34" t="s">
        <v>12848</v>
      </c>
      <c r="CZ11921" s="35">
        <v>0.11786888</v>
      </c>
    </row>
    <row r="11922" spans="103:104" x14ac:dyDescent="0.3">
      <c r="CY11922" s="34" t="s">
        <v>12849</v>
      </c>
      <c r="CZ11922" s="35">
        <v>9.4528773846153848E-3</v>
      </c>
    </row>
    <row r="11923" spans="103:104" x14ac:dyDescent="0.3">
      <c r="CY11923" s="34" t="s">
        <v>12850</v>
      </c>
      <c r="CZ11923" s="35">
        <v>1.1958546666666666E-3</v>
      </c>
    </row>
    <row r="11924" spans="103:104" x14ac:dyDescent="0.3">
      <c r="CY11924" s="34" t="s">
        <v>12851</v>
      </c>
      <c r="CZ11924" s="35">
        <v>4.04354E-3</v>
      </c>
    </row>
    <row r="11925" spans="103:104" x14ac:dyDescent="0.3">
      <c r="CY11925" s="34" t="s">
        <v>12852</v>
      </c>
      <c r="CZ11925" s="35">
        <v>3.1109564000000004E-3</v>
      </c>
    </row>
    <row r="11926" spans="103:104" x14ac:dyDescent="0.3">
      <c r="CY11926" s="34" t="s">
        <v>12853</v>
      </c>
      <c r="CZ11926" s="35">
        <v>1.0852120000000002E-2</v>
      </c>
    </row>
    <row r="11927" spans="103:104" x14ac:dyDescent="0.3">
      <c r="CY11927" s="34" t="s">
        <v>12854</v>
      </c>
      <c r="CZ11927" s="35">
        <v>3.2615711999999998E-2</v>
      </c>
    </row>
    <row r="11928" spans="103:104" x14ac:dyDescent="0.3">
      <c r="CY11928" s="34" t="s">
        <v>12855</v>
      </c>
      <c r="CZ11928" s="35">
        <v>2.2528439999999997E-2</v>
      </c>
    </row>
    <row r="11929" spans="103:104" x14ac:dyDescent="0.3">
      <c r="CY11929" s="34" t="s">
        <v>12856</v>
      </c>
      <c r="CZ11929" s="35">
        <v>3.8954760250000005E-3</v>
      </c>
    </row>
    <row r="11930" spans="103:104" x14ac:dyDescent="0.3">
      <c r="CY11930" s="34" t="s">
        <v>12857</v>
      </c>
      <c r="CZ11930" s="35">
        <v>1.6598979999999999E-3</v>
      </c>
    </row>
    <row r="11931" spans="103:104" x14ac:dyDescent="0.3">
      <c r="CY11931" s="34" t="s">
        <v>12858</v>
      </c>
      <c r="CZ11931" s="35">
        <v>2.71112E-4</v>
      </c>
    </row>
    <row r="11932" spans="103:104" x14ac:dyDescent="0.3">
      <c r="CY11932" s="34" t="s">
        <v>12859</v>
      </c>
      <c r="CZ11932" s="35">
        <v>1.3430976000000001E-2</v>
      </c>
    </row>
    <row r="11933" spans="103:104" x14ac:dyDescent="0.3">
      <c r="CY11933" s="34" t="s">
        <v>12860</v>
      </c>
      <c r="CZ11933" s="35">
        <v>8.4944000000000013E-4</v>
      </c>
    </row>
    <row r="11934" spans="103:104" x14ac:dyDescent="0.3">
      <c r="CY11934" s="34" t="s">
        <v>12861</v>
      </c>
      <c r="CZ11934" s="35">
        <v>1.2879199999999999E-3</v>
      </c>
    </row>
    <row r="11935" spans="103:104" x14ac:dyDescent="0.3">
      <c r="CY11935" s="34" t="s">
        <v>12862</v>
      </c>
      <c r="CZ11935" s="35">
        <v>6.2714759999999998E-3</v>
      </c>
    </row>
    <row r="11936" spans="103:104" x14ac:dyDescent="0.3">
      <c r="CY11936" s="34" t="s">
        <v>12863</v>
      </c>
      <c r="CZ11936" s="35">
        <v>7.4979786666666678E-4</v>
      </c>
    </row>
    <row r="11937" spans="103:104" x14ac:dyDescent="0.3">
      <c r="CY11937" s="34" t="s">
        <v>12864</v>
      </c>
      <c r="CZ11937" s="35">
        <v>6.4632441270000007E-2</v>
      </c>
    </row>
    <row r="11938" spans="103:104" x14ac:dyDescent="0.3">
      <c r="CY11938" s="34" t="s">
        <v>12865</v>
      </c>
      <c r="CZ11938" s="35">
        <v>0.14776571733333332</v>
      </c>
    </row>
    <row r="11939" spans="103:104" x14ac:dyDescent="0.3">
      <c r="CY11939" s="34" t="s">
        <v>12866</v>
      </c>
      <c r="CZ11939" s="35">
        <v>0.14131990133333333</v>
      </c>
    </row>
    <row r="11940" spans="103:104" x14ac:dyDescent="0.3">
      <c r="CY11940" s="34" t="s">
        <v>12867</v>
      </c>
      <c r="CZ11940" s="35">
        <v>0.101112838</v>
      </c>
    </row>
    <row r="11941" spans="103:104" x14ac:dyDescent="0.3">
      <c r="CY11941" s="34" t="s">
        <v>12868</v>
      </c>
      <c r="CZ11941" s="35">
        <v>3.0479696000000001E-2</v>
      </c>
    </row>
    <row r="11942" spans="103:104" x14ac:dyDescent="0.3">
      <c r="CY11942" s="34" t="s">
        <v>12869</v>
      </c>
      <c r="CZ11942" s="35">
        <v>0.121512222</v>
      </c>
    </row>
    <row r="11943" spans="103:104" x14ac:dyDescent="0.3">
      <c r="CY11943" s="34" t="s">
        <v>12870</v>
      </c>
      <c r="CZ11943" s="35">
        <v>5.5856735999999997E-2</v>
      </c>
    </row>
    <row r="11944" spans="103:104" x14ac:dyDescent="0.3">
      <c r="CY11944" s="34" t="s">
        <v>12871</v>
      </c>
      <c r="CZ11944" s="35">
        <v>0.13177632</v>
      </c>
    </row>
    <row r="11945" spans="103:104" x14ac:dyDescent="0.3">
      <c r="CY11945" s="34" t="s">
        <v>12872</v>
      </c>
      <c r="CZ11945" s="35">
        <v>5.2925560000000003E-2</v>
      </c>
    </row>
    <row r="11946" spans="103:104" x14ac:dyDescent="0.3">
      <c r="CY11946" s="34" t="s">
        <v>12873</v>
      </c>
      <c r="CZ11946" s="35">
        <v>9.4072160000000002E-2</v>
      </c>
    </row>
    <row r="11947" spans="103:104" x14ac:dyDescent="0.3">
      <c r="CY11947" s="34" t="s">
        <v>12874</v>
      </c>
      <c r="CZ11947" s="35">
        <v>8.5914800000000003E-3</v>
      </c>
    </row>
    <row r="11948" spans="103:104" x14ac:dyDescent="0.3">
      <c r="CY11948" s="34" t="s">
        <v>12875</v>
      </c>
      <c r="CZ11948" s="35">
        <v>0.12094082675000001</v>
      </c>
    </row>
    <row r="11949" spans="103:104" x14ac:dyDescent="0.3">
      <c r="CY11949" s="34" t="s">
        <v>12876</v>
      </c>
      <c r="CZ11949" s="35">
        <v>5.9477080000000002E-2</v>
      </c>
    </row>
    <row r="11950" spans="103:104" x14ac:dyDescent="0.3">
      <c r="CY11950" s="34" t="s">
        <v>12877</v>
      </c>
      <c r="CZ11950" s="35">
        <v>9.7595439999999985E-3</v>
      </c>
    </row>
    <row r="11951" spans="103:104" x14ac:dyDescent="0.3">
      <c r="CY11951" s="34" t="s">
        <v>12878</v>
      </c>
      <c r="CZ11951" s="35">
        <v>6.3793039999999995E-2</v>
      </c>
    </row>
    <row r="11952" spans="103:104" x14ac:dyDescent="0.3">
      <c r="CY11952" s="34" t="s">
        <v>12879</v>
      </c>
      <c r="CZ11952" s="35">
        <v>5.8035120000000003E-2</v>
      </c>
    </row>
    <row r="11953" spans="103:104" x14ac:dyDescent="0.3">
      <c r="CY11953" s="34" t="s">
        <v>12880</v>
      </c>
      <c r="CZ11953" s="35">
        <v>4.3770959999999998E-2</v>
      </c>
    </row>
    <row r="11954" spans="103:104" x14ac:dyDescent="0.3">
      <c r="CY11954" s="34" t="s">
        <v>12881</v>
      </c>
      <c r="CZ11954" s="35">
        <v>3.4761479999999997E-2</v>
      </c>
    </row>
    <row r="11955" spans="103:104" x14ac:dyDescent="0.3">
      <c r="CY11955" s="34" t="s">
        <v>12882</v>
      </c>
      <c r="CZ11955" s="35">
        <v>1.1993764000000001E-2</v>
      </c>
    </row>
    <row r="11956" spans="103:104" x14ac:dyDescent="0.3">
      <c r="CY11956" s="34" t="s">
        <v>12883</v>
      </c>
      <c r="CZ11956" s="35">
        <v>5.0386855999999994E-2</v>
      </c>
    </row>
    <row r="11957" spans="103:104" x14ac:dyDescent="0.3">
      <c r="CY11957" s="34" t="s">
        <v>12884</v>
      </c>
      <c r="CZ11957" s="35">
        <v>4.9352472000000001E-2</v>
      </c>
    </row>
    <row r="11958" spans="103:104" x14ac:dyDescent="0.3">
      <c r="CY11958" s="34" t="s">
        <v>12885</v>
      </c>
      <c r="CZ11958" s="35">
        <v>9.1726608000000001E-2</v>
      </c>
    </row>
    <row r="11959" spans="103:104" x14ac:dyDescent="0.3">
      <c r="CY11959" s="34" t="s">
        <v>12886</v>
      </c>
      <c r="CZ11959" s="35">
        <v>0.120237028</v>
      </c>
    </row>
    <row r="11960" spans="103:104" x14ac:dyDescent="0.3">
      <c r="CY11960" s="34" t="s">
        <v>12887</v>
      </c>
      <c r="CZ11960" s="35">
        <v>0.15676734933333336</v>
      </c>
    </row>
    <row r="11961" spans="103:104" x14ac:dyDescent="0.3">
      <c r="CY11961" s="34" t="s">
        <v>12888</v>
      </c>
      <c r="CZ11961" s="35">
        <v>0.17385077714285713</v>
      </c>
    </row>
    <row r="11962" spans="103:104" x14ac:dyDescent="0.3">
      <c r="CY11962" s="34" t="s">
        <v>12889</v>
      </c>
      <c r="CZ11962" s="35">
        <v>0.17385077714285713</v>
      </c>
    </row>
    <row r="11963" spans="103:104" x14ac:dyDescent="0.3">
      <c r="CY11963" s="34" t="s">
        <v>12890</v>
      </c>
      <c r="CZ11963" s="35">
        <v>0.17385077714285713</v>
      </c>
    </row>
    <row r="11964" spans="103:104" x14ac:dyDescent="0.3">
      <c r="CY11964" s="34" t="s">
        <v>12891</v>
      </c>
      <c r="CZ11964" s="35">
        <v>0.15533381052631579</v>
      </c>
    </row>
    <row r="11965" spans="103:104" x14ac:dyDescent="0.3">
      <c r="CY11965" s="34" t="s">
        <v>12892</v>
      </c>
      <c r="CZ11965" s="35">
        <v>2.2096543999999999E-2</v>
      </c>
    </row>
    <row r="11966" spans="103:104" x14ac:dyDescent="0.3">
      <c r="CY11966" s="34" t="s">
        <v>12893</v>
      </c>
      <c r="CZ11966" s="35">
        <v>2.4551715555555555E-2</v>
      </c>
    </row>
    <row r="11967" spans="103:104" x14ac:dyDescent="0.3">
      <c r="CY11967" s="34" t="s">
        <v>12894</v>
      </c>
      <c r="CZ11967" s="35">
        <v>8.1790143999999985E-3</v>
      </c>
    </row>
    <row r="11968" spans="103:104" x14ac:dyDescent="0.3">
      <c r="CY11968" s="34" t="s">
        <v>12895</v>
      </c>
      <c r="CZ11968" s="35">
        <v>8.1790143999999985E-3</v>
      </c>
    </row>
    <row r="11969" spans="103:104" x14ac:dyDescent="0.3">
      <c r="CY11969" s="34" t="s">
        <v>12896</v>
      </c>
      <c r="CZ11969" s="35">
        <v>1.3596072000000002E-3</v>
      </c>
    </row>
    <row r="11970" spans="103:104" x14ac:dyDescent="0.3">
      <c r="CY11970" s="34" t="s">
        <v>12897</v>
      </c>
      <c r="CZ11970" s="35">
        <v>2.7057408888888888E-2</v>
      </c>
    </row>
    <row r="11971" spans="103:104" x14ac:dyDescent="0.3">
      <c r="CY11971" s="34" t="s">
        <v>12898</v>
      </c>
      <c r="CZ11971" s="35">
        <v>2.7057408888888888E-2</v>
      </c>
    </row>
    <row r="11972" spans="103:104" x14ac:dyDescent="0.3">
      <c r="CY11972" s="34" t="s">
        <v>12899</v>
      </c>
      <c r="CZ11972" s="35">
        <v>2.6582822222222222E-2</v>
      </c>
    </row>
    <row r="11973" spans="103:104" x14ac:dyDescent="0.3">
      <c r="CY11973" s="34" t="s">
        <v>12900</v>
      </c>
      <c r="CZ11973" s="35">
        <v>2.1933043999999999E-2</v>
      </c>
    </row>
    <row r="11974" spans="103:104" x14ac:dyDescent="0.3">
      <c r="CY11974" s="34" t="s">
        <v>12901</v>
      </c>
      <c r="CZ11974" s="35">
        <v>2.4370048888888888E-2</v>
      </c>
    </row>
    <row r="11975" spans="103:104" x14ac:dyDescent="0.3">
      <c r="CY11975" s="34" t="s">
        <v>12902</v>
      </c>
      <c r="CZ11975" s="35">
        <v>2.2096543999999996E-2</v>
      </c>
    </row>
    <row r="11976" spans="103:104" x14ac:dyDescent="0.3">
      <c r="CY11976" s="34" t="s">
        <v>12903</v>
      </c>
      <c r="CZ11976" s="35">
        <v>2.4370048888888891E-2</v>
      </c>
    </row>
    <row r="11977" spans="103:104" x14ac:dyDescent="0.3">
      <c r="CY11977" s="34" t="s">
        <v>12904</v>
      </c>
      <c r="CZ11977" s="35">
        <v>2.6582822222222222E-2</v>
      </c>
    </row>
    <row r="11978" spans="103:104" x14ac:dyDescent="0.3">
      <c r="CY11978" s="34" t="s">
        <v>12905</v>
      </c>
      <c r="CZ11978" s="35">
        <v>0.12754711999999999</v>
      </c>
    </row>
    <row r="11979" spans="103:104" x14ac:dyDescent="0.3">
      <c r="CY11979" s="34" t="s">
        <v>12906</v>
      </c>
      <c r="CZ11979" s="35">
        <v>7.5096799999999991E-2</v>
      </c>
    </row>
    <row r="11980" spans="103:104" x14ac:dyDescent="0.3">
      <c r="CY11980" s="34" t="s">
        <v>12907</v>
      </c>
      <c r="CZ11980" s="35">
        <v>0.1399417</v>
      </c>
    </row>
    <row r="11981" spans="103:104" x14ac:dyDescent="0.3">
      <c r="CY11981" s="34" t="s">
        <v>12908</v>
      </c>
      <c r="CZ11981" s="35">
        <v>8.1106800000000021E-3</v>
      </c>
    </row>
    <row r="11982" spans="103:104" x14ac:dyDescent="0.3">
      <c r="CY11982" s="34" t="s">
        <v>12909</v>
      </c>
      <c r="CZ11982" s="35">
        <v>0.10327144000000001</v>
      </c>
    </row>
    <row r="11983" spans="103:104" x14ac:dyDescent="0.3">
      <c r="CY11983" s="34" t="s">
        <v>12910</v>
      </c>
      <c r="CZ11983" s="35">
        <v>8.6414599999999994E-2</v>
      </c>
    </row>
    <row r="11984" spans="103:104" x14ac:dyDescent="0.3">
      <c r="CY11984" s="34" t="s">
        <v>12911</v>
      </c>
      <c r="CZ11984" s="35">
        <v>3.8598488E-2</v>
      </c>
    </row>
    <row r="11985" spans="103:104" x14ac:dyDescent="0.3">
      <c r="CY11985" s="34" t="s">
        <v>12912</v>
      </c>
      <c r="CZ11985" s="35">
        <v>3.4177914285714296E-2</v>
      </c>
    </row>
    <row r="11986" spans="103:104" x14ac:dyDescent="0.3">
      <c r="CY11986" s="34" t="s">
        <v>12913</v>
      </c>
      <c r="CZ11986" s="35">
        <v>2.6582822222222222E-2</v>
      </c>
    </row>
    <row r="11987" spans="103:104" x14ac:dyDescent="0.3">
      <c r="CY11987" s="34" t="s">
        <v>12914</v>
      </c>
      <c r="CZ11987" s="35">
        <v>7.7909465000000011E-2</v>
      </c>
    </row>
    <row r="11988" spans="103:104" x14ac:dyDescent="0.3">
      <c r="CY11988" s="34" t="s">
        <v>12915</v>
      </c>
      <c r="CZ11988" s="35">
        <v>4.1451137999999992E-2</v>
      </c>
    </row>
    <row r="11989" spans="103:104" x14ac:dyDescent="0.3">
      <c r="CY11989" s="34" t="s">
        <v>12916</v>
      </c>
      <c r="CZ11989" s="35">
        <v>0.15689907999999997</v>
      </c>
    </row>
    <row r="11990" spans="103:104" x14ac:dyDescent="0.3">
      <c r="CY11990" s="34" t="s">
        <v>12917</v>
      </c>
      <c r="CZ11990" s="35">
        <v>0.11588088000000002</v>
      </c>
    </row>
    <row r="11991" spans="103:104" x14ac:dyDescent="0.3">
      <c r="CY11991" s="34" t="s">
        <v>12918</v>
      </c>
      <c r="CZ11991" s="35">
        <v>0.10590004255319149</v>
      </c>
    </row>
    <row r="11992" spans="103:104" x14ac:dyDescent="0.3">
      <c r="CY11992" s="34" t="s">
        <v>12919</v>
      </c>
      <c r="CZ11992" s="35">
        <v>0.1001104</v>
      </c>
    </row>
    <row r="11993" spans="103:104" x14ac:dyDescent="0.3">
      <c r="CY11993" s="34" t="s">
        <v>12920</v>
      </c>
      <c r="CZ11993" s="35">
        <v>8.9770160000000002E-2</v>
      </c>
    </row>
    <row r="11994" spans="103:104" x14ac:dyDescent="0.3">
      <c r="CY11994" s="34" t="s">
        <v>12921</v>
      </c>
      <c r="CZ11994" s="35">
        <v>0.18555498647058821</v>
      </c>
    </row>
    <row r="11995" spans="103:104" x14ac:dyDescent="0.3">
      <c r="CY11995" s="34" t="s">
        <v>12922</v>
      </c>
      <c r="CZ11995" s="35">
        <v>9.178415999999999E-2</v>
      </c>
    </row>
    <row r="11996" spans="103:104" x14ac:dyDescent="0.3">
      <c r="CY11996" s="34" t="s">
        <v>12923</v>
      </c>
      <c r="CZ11996" s="35">
        <v>8.9184159999999998E-2</v>
      </c>
    </row>
    <row r="11997" spans="103:104" x14ac:dyDescent="0.3">
      <c r="CY11997" s="34" t="s">
        <v>12924</v>
      </c>
      <c r="CZ11997" s="35">
        <v>3.1658328000000006E-2</v>
      </c>
    </row>
    <row r="11998" spans="103:104" x14ac:dyDescent="0.3">
      <c r="CY11998" s="34" t="s">
        <v>12925</v>
      </c>
      <c r="CZ11998" s="35">
        <v>1.9968856E-2</v>
      </c>
    </row>
    <row r="11999" spans="103:104" x14ac:dyDescent="0.3">
      <c r="CY11999" s="34" t="s">
        <v>12926</v>
      </c>
      <c r="CZ11999" s="35">
        <v>4.5702119999999999E-2</v>
      </c>
    </row>
    <row r="12000" spans="103:104" x14ac:dyDescent="0.3">
      <c r="CY12000" s="34" t="s">
        <v>12927</v>
      </c>
      <c r="CZ12000" s="35">
        <v>0.11822557446808513</v>
      </c>
    </row>
    <row r="12001" spans="103:104" x14ac:dyDescent="0.3">
      <c r="CY12001" s="34" t="s">
        <v>12928</v>
      </c>
      <c r="CZ12001" s="35">
        <v>2.1849999999999999E-3</v>
      </c>
    </row>
    <row r="12002" spans="103:104" x14ac:dyDescent="0.3">
      <c r="CY12002" s="34" t="s">
        <v>12929</v>
      </c>
      <c r="CZ12002" s="35">
        <v>7.6296159999999992E-4</v>
      </c>
    </row>
    <row r="12003" spans="103:104" x14ac:dyDescent="0.3">
      <c r="CY12003" s="34" t="s">
        <v>12930</v>
      </c>
      <c r="CZ12003" s="35">
        <v>3.3472759999999998E-4</v>
      </c>
    </row>
    <row r="12004" spans="103:104" x14ac:dyDescent="0.3">
      <c r="CY12004" s="34" t="s">
        <v>12931</v>
      </c>
      <c r="CZ12004" s="35">
        <v>1.2647371999999998E-3</v>
      </c>
    </row>
    <row r="12005" spans="103:104" x14ac:dyDescent="0.3">
      <c r="CY12005" s="34" t="s">
        <v>12932</v>
      </c>
      <c r="CZ12005" s="35">
        <v>1.0160604799999999E-3</v>
      </c>
    </row>
    <row r="12006" spans="103:104" x14ac:dyDescent="0.3">
      <c r="CY12006" s="34" t="s">
        <v>12933</v>
      </c>
      <c r="CZ12006" s="35">
        <v>1.2976871999999999E-3</v>
      </c>
    </row>
    <row r="12007" spans="103:104" x14ac:dyDescent="0.3">
      <c r="CY12007" s="34" t="s">
        <v>12934</v>
      </c>
      <c r="CZ12007" s="35">
        <v>1.8030959999999999E-3</v>
      </c>
    </row>
    <row r="12008" spans="103:104" x14ac:dyDescent="0.3">
      <c r="CY12008" s="34" t="s">
        <v>12935</v>
      </c>
      <c r="CZ12008" s="35">
        <v>1.8030960000000001E-3</v>
      </c>
    </row>
    <row r="12009" spans="103:104" x14ac:dyDescent="0.3">
      <c r="CY12009" s="34" t="s">
        <v>12936</v>
      </c>
      <c r="CZ12009" s="35">
        <v>1.5101800000000001E-3</v>
      </c>
    </row>
    <row r="12010" spans="103:104" x14ac:dyDescent="0.3">
      <c r="CY12010" s="34" t="s">
        <v>12937</v>
      </c>
      <c r="CZ12010" s="35">
        <v>6.4254964705882348E-4</v>
      </c>
    </row>
    <row r="12011" spans="103:104" x14ac:dyDescent="0.3">
      <c r="CY12011" s="34" t="s">
        <v>12938</v>
      </c>
      <c r="CZ12011" s="35">
        <v>1.179264E-2</v>
      </c>
    </row>
    <row r="12012" spans="103:104" x14ac:dyDescent="0.3">
      <c r="CY12012" s="34" t="s">
        <v>12939</v>
      </c>
      <c r="CZ12012" s="35">
        <v>1.2912012800000001E-2</v>
      </c>
    </row>
    <row r="12013" spans="103:104" x14ac:dyDescent="0.3">
      <c r="CY12013" s="34" t="s">
        <v>12940</v>
      </c>
      <c r="CZ12013" s="35">
        <v>4.6059032E-2</v>
      </c>
    </row>
    <row r="12014" spans="103:104" x14ac:dyDescent="0.3">
      <c r="CY12014" s="34" t="s">
        <v>12941</v>
      </c>
      <c r="CZ12014" s="35">
        <v>3.8236050000000001E-2</v>
      </c>
    </row>
    <row r="12015" spans="103:104" x14ac:dyDescent="0.3">
      <c r="CY12015" s="34" t="s">
        <v>12942</v>
      </c>
      <c r="CZ12015" s="35">
        <v>3.1987559999999998E-2</v>
      </c>
    </row>
    <row r="12016" spans="103:104" x14ac:dyDescent="0.3">
      <c r="CY12016" s="34" t="s">
        <v>12943</v>
      </c>
      <c r="CZ12016" s="35">
        <v>3.2355919999999996E-2</v>
      </c>
    </row>
    <row r="12017" spans="103:104" x14ac:dyDescent="0.3">
      <c r="CY12017" s="34" t="s">
        <v>12944</v>
      </c>
      <c r="CZ12017" s="35">
        <v>0.10039496000000001</v>
      </c>
    </row>
    <row r="12018" spans="103:104" x14ac:dyDescent="0.3">
      <c r="CY12018" s="34" t="s">
        <v>12945</v>
      </c>
      <c r="CZ12018" s="35">
        <v>0.12874795999999999</v>
      </c>
    </row>
    <row r="12019" spans="103:104" x14ac:dyDescent="0.3">
      <c r="CY12019" s="34" t="s">
        <v>12946</v>
      </c>
      <c r="CZ12019" s="35">
        <v>0.10943219999999999</v>
      </c>
    </row>
    <row r="12020" spans="103:104" x14ac:dyDescent="0.3">
      <c r="CY12020" s="34" t="s">
        <v>12947</v>
      </c>
      <c r="CZ12020" s="35">
        <v>2.1534335228571427E-2</v>
      </c>
    </row>
    <row r="12021" spans="103:104" x14ac:dyDescent="0.3">
      <c r="CY12021" s="34" t="s">
        <v>12948</v>
      </c>
      <c r="CZ12021" s="35">
        <v>1.3979635999999999E-3</v>
      </c>
    </row>
    <row r="12022" spans="103:104" x14ac:dyDescent="0.3">
      <c r="CY12022" s="34" t="s">
        <v>12949</v>
      </c>
      <c r="CZ12022" s="35">
        <v>1.3979635999999999E-3</v>
      </c>
    </row>
    <row r="12023" spans="103:104" x14ac:dyDescent="0.3">
      <c r="CY12023" s="34" t="s">
        <v>12950</v>
      </c>
      <c r="CZ12023" s="35">
        <v>4.4783528E-3</v>
      </c>
    </row>
    <row r="12024" spans="103:104" x14ac:dyDescent="0.3">
      <c r="CY12024" s="34" t="s">
        <v>12951</v>
      </c>
      <c r="CZ12024" s="35">
        <v>4.3830296000000003E-3</v>
      </c>
    </row>
    <row r="12025" spans="103:104" x14ac:dyDescent="0.3">
      <c r="CY12025" s="34" t="s">
        <v>12952</v>
      </c>
      <c r="CZ12025" s="35">
        <v>4.5045735999999998E-3</v>
      </c>
    </row>
    <row r="12026" spans="103:104" x14ac:dyDescent="0.3">
      <c r="CY12026" s="34" t="s">
        <v>12953</v>
      </c>
      <c r="CZ12026" s="35">
        <v>4.8356000000000007E-3</v>
      </c>
    </row>
    <row r="12027" spans="103:104" x14ac:dyDescent="0.3">
      <c r="CY12027" s="34" t="s">
        <v>12954</v>
      </c>
      <c r="CZ12027" s="35">
        <v>2.9568480000000002E-3</v>
      </c>
    </row>
    <row r="12028" spans="103:104" x14ac:dyDescent="0.3">
      <c r="CY12028" s="34" t="s">
        <v>12955</v>
      </c>
      <c r="CZ12028" s="35">
        <v>4.0183172157416663E-3</v>
      </c>
    </row>
    <row r="12029" spans="103:104" x14ac:dyDescent="0.3">
      <c r="CY12029" s="34" t="s">
        <v>12956</v>
      </c>
      <c r="CZ12029" s="35">
        <v>8.0851535999999988E-2</v>
      </c>
    </row>
    <row r="12030" spans="103:104" x14ac:dyDescent="0.3">
      <c r="CY12030" s="34" t="s">
        <v>12957</v>
      </c>
      <c r="CZ12030" s="35">
        <v>6.7374799999999999E-2</v>
      </c>
    </row>
    <row r="12031" spans="103:104" x14ac:dyDescent="0.3">
      <c r="CY12031" s="34" t="s">
        <v>12958</v>
      </c>
      <c r="CZ12031" s="35">
        <v>2.5985071428571429E-4</v>
      </c>
    </row>
    <row r="12032" spans="103:104" x14ac:dyDescent="0.3">
      <c r="CY12032" s="34" t="s">
        <v>12959</v>
      </c>
      <c r="CZ12032" s="35">
        <v>8.3613866999999987E-4</v>
      </c>
    </row>
    <row r="12033" spans="103:104" x14ac:dyDescent="0.3">
      <c r="CY12033" s="34" t="s">
        <v>12960</v>
      </c>
      <c r="CZ12033" s="35">
        <v>1.6199408000000002E-2</v>
      </c>
    </row>
    <row r="12034" spans="103:104" x14ac:dyDescent="0.3">
      <c r="CY12034" s="34" t="s">
        <v>12961</v>
      </c>
      <c r="CZ12034" s="35">
        <v>2.4761728E-2</v>
      </c>
    </row>
    <row r="12035" spans="103:104" x14ac:dyDescent="0.3">
      <c r="CY12035" s="34" t="s">
        <v>12962</v>
      </c>
      <c r="CZ12035" s="35">
        <v>0.11527270666</v>
      </c>
    </row>
    <row r="12036" spans="103:104" x14ac:dyDescent="0.3">
      <c r="CY12036" s="34" t="s">
        <v>12963</v>
      </c>
      <c r="CZ12036" s="35">
        <v>4.6135658666666669E-2</v>
      </c>
    </row>
    <row r="12037" spans="103:104" x14ac:dyDescent="0.3">
      <c r="CY12037" s="34" t="s">
        <v>12964</v>
      </c>
      <c r="CZ12037" s="35">
        <v>1.2570406666666667E-2</v>
      </c>
    </row>
    <row r="12038" spans="103:104" x14ac:dyDescent="0.3">
      <c r="CY12038" s="34" t="s">
        <v>12965</v>
      </c>
      <c r="CZ12038" s="35">
        <v>7.9590826666666673E-4</v>
      </c>
    </row>
    <row r="12039" spans="103:104" x14ac:dyDescent="0.3">
      <c r="CY12039" s="34" t="s">
        <v>12966</v>
      </c>
      <c r="CZ12039" s="35">
        <v>5.22475632E-2</v>
      </c>
    </row>
    <row r="12040" spans="103:104" x14ac:dyDescent="0.3">
      <c r="CY12040" s="34" t="s">
        <v>12967</v>
      </c>
      <c r="CZ12040" s="35">
        <v>6.5378000000000006E-2</v>
      </c>
    </row>
    <row r="12041" spans="103:104" x14ac:dyDescent="0.3">
      <c r="CY12041" s="34" t="s">
        <v>12968</v>
      </c>
      <c r="CZ12041" s="35">
        <v>0.14110279999999997</v>
      </c>
    </row>
    <row r="12042" spans="103:104" x14ac:dyDescent="0.3">
      <c r="CY12042" s="34" t="s">
        <v>12969</v>
      </c>
      <c r="CZ12042" s="35">
        <v>3.7666631999999999E-2</v>
      </c>
    </row>
    <row r="12043" spans="103:104" x14ac:dyDescent="0.3">
      <c r="CY12043" s="34" t="s">
        <v>12970</v>
      </c>
      <c r="CZ12043" s="35">
        <v>3.9529271999999997E-2</v>
      </c>
    </row>
    <row r="12044" spans="103:104" x14ac:dyDescent="0.3">
      <c r="CY12044" s="34" t="s">
        <v>12971</v>
      </c>
      <c r="CZ12044" s="35">
        <v>3.6299073400000006E-2</v>
      </c>
    </row>
    <row r="12045" spans="103:104" x14ac:dyDescent="0.3">
      <c r="CY12045" s="34" t="s">
        <v>12972</v>
      </c>
      <c r="CZ12045" s="35">
        <v>3.62990734E-2</v>
      </c>
    </row>
    <row r="12046" spans="103:104" x14ac:dyDescent="0.3">
      <c r="CY12046" s="34" t="s">
        <v>12973</v>
      </c>
      <c r="CZ12046" s="35">
        <v>0.15520951999999999</v>
      </c>
    </row>
    <row r="12047" spans="103:104" x14ac:dyDescent="0.3">
      <c r="CY12047" s="34" t="s">
        <v>12974</v>
      </c>
      <c r="CZ12047" s="35">
        <v>0.14094951999999999</v>
      </c>
    </row>
    <row r="12048" spans="103:104" x14ac:dyDescent="0.3">
      <c r="CY12048" s="34" t="s">
        <v>12975</v>
      </c>
      <c r="CZ12048" s="35">
        <v>7.0035120000000006E-2</v>
      </c>
    </row>
    <row r="12049" spans="103:104" x14ac:dyDescent="0.3">
      <c r="CY12049" s="34" t="s">
        <v>12976</v>
      </c>
      <c r="CZ12049" s="35">
        <v>0.32561874999999996</v>
      </c>
    </row>
    <row r="12050" spans="103:104" x14ac:dyDescent="0.3">
      <c r="CY12050" s="34" t="s">
        <v>12977</v>
      </c>
      <c r="CZ12050" s="35">
        <v>0.1277508</v>
      </c>
    </row>
    <row r="12051" spans="103:104" x14ac:dyDescent="0.3">
      <c r="CY12051" s="34" t="s">
        <v>12978</v>
      </c>
      <c r="CZ12051" s="35">
        <v>4.790604435559999E-3</v>
      </c>
    </row>
    <row r="12052" spans="103:104" x14ac:dyDescent="0.3">
      <c r="CY12052" s="34" t="s">
        <v>12979</v>
      </c>
      <c r="CZ12052" s="35">
        <v>5.1468688799999997E-3</v>
      </c>
    </row>
    <row r="12053" spans="103:104" x14ac:dyDescent="0.3">
      <c r="CY12053" s="34" t="s">
        <v>12980</v>
      </c>
      <c r="CZ12053" s="35">
        <v>5.5062159999999995E-3</v>
      </c>
    </row>
    <row r="12054" spans="103:104" x14ac:dyDescent="0.3">
      <c r="CY12054" s="34" t="s">
        <v>12981</v>
      </c>
      <c r="CZ12054" s="35">
        <v>1.66343744E-3</v>
      </c>
    </row>
    <row r="12055" spans="103:104" x14ac:dyDescent="0.3">
      <c r="CY12055" s="34" t="s">
        <v>12982</v>
      </c>
      <c r="CZ12055" s="35">
        <v>1.2750378679999999E-2</v>
      </c>
    </row>
    <row r="12056" spans="103:104" x14ac:dyDescent="0.3">
      <c r="CY12056" s="34" t="s">
        <v>12983</v>
      </c>
      <c r="CZ12056" s="35">
        <v>2.2054412200000002E-2</v>
      </c>
    </row>
    <row r="12057" spans="103:104" x14ac:dyDescent="0.3">
      <c r="CY12057" s="34" t="s">
        <v>12984</v>
      </c>
      <c r="CZ12057" s="35">
        <v>1.1897460000000002E-2</v>
      </c>
    </row>
    <row r="12058" spans="103:104" x14ac:dyDescent="0.3">
      <c r="CY12058" s="34" t="s">
        <v>12985</v>
      </c>
      <c r="CZ12058" s="35">
        <v>3.8333840000000008E-2</v>
      </c>
    </row>
    <row r="12059" spans="103:104" x14ac:dyDescent="0.3">
      <c r="CY12059" s="34" t="s">
        <v>12986</v>
      </c>
      <c r="CZ12059" s="35">
        <v>3.65908E-2</v>
      </c>
    </row>
    <row r="12060" spans="103:104" x14ac:dyDescent="0.3">
      <c r="CY12060" s="34" t="s">
        <v>12987</v>
      </c>
      <c r="CZ12060" s="35">
        <v>3.0730026666666663E-2</v>
      </c>
    </row>
    <row r="12061" spans="103:104" x14ac:dyDescent="0.3">
      <c r="CY12061" s="34" t="s">
        <v>12988</v>
      </c>
      <c r="CZ12061" s="35">
        <v>3.031909E-2</v>
      </c>
    </row>
    <row r="12062" spans="103:104" x14ac:dyDescent="0.3">
      <c r="CY12062" s="34" t="s">
        <v>12989</v>
      </c>
      <c r="CZ12062" s="35">
        <v>4.5509813333333336E-2</v>
      </c>
    </row>
    <row r="12063" spans="103:104" x14ac:dyDescent="0.3">
      <c r="CY12063" s="34" t="s">
        <v>12990</v>
      </c>
      <c r="CZ12063" s="35">
        <v>1.4704135E-2</v>
      </c>
    </row>
    <row r="12064" spans="103:104" x14ac:dyDescent="0.3">
      <c r="CY12064" s="34" t="s">
        <v>12991</v>
      </c>
      <c r="CZ12064" s="35">
        <v>1.8537612500000002E-2</v>
      </c>
    </row>
    <row r="12065" spans="103:104" x14ac:dyDescent="0.3">
      <c r="CY12065" s="34" t="s">
        <v>12992</v>
      </c>
      <c r="CZ12065" s="35">
        <v>3.5546380499999995E-3</v>
      </c>
    </row>
    <row r="12066" spans="103:104" x14ac:dyDescent="0.3">
      <c r="CY12066" s="34" t="s">
        <v>12993</v>
      </c>
      <c r="CZ12066" s="35">
        <v>8.92072E-3</v>
      </c>
    </row>
    <row r="12067" spans="103:104" x14ac:dyDescent="0.3">
      <c r="CY12067" s="34" t="s">
        <v>12994</v>
      </c>
      <c r="CZ12067" s="35">
        <v>0.2150658</v>
      </c>
    </row>
    <row r="12068" spans="103:104" x14ac:dyDescent="0.3">
      <c r="CY12068" s="34" t="s">
        <v>12995</v>
      </c>
      <c r="CZ12068" s="35">
        <v>5.6512000000000003E-3</v>
      </c>
    </row>
    <row r="12069" spans="103:104" x14ac:dyDescent="0.3">
      <c r="CY12069" s="34" t="s">
        <v>12996</v>
      </c>
      <c r="CZ12069" s="35">
        <v>1.9665579586666669E-2</v>
      </c>
    </row>
    <row r="12070" spans="103:104" x14ac:dyDescent="0.3">
      <c r="CY12070" s="34" t="s">
        <v>12997</v>
      </c>
      <c r="CZ12070" s="35">
        <v>1.6184986666666666E-3</v>
      </c>
    </row>
    <row r="12071" spans="103:104" x14ac:dyDescent="0.3">
      <c r="CY12071" s="34" t="s">
        <v>12998</v>
      </c>
      <c r="CZ12071" s="35">
        <v>9.8933626666666677E-2</v>
      </c>
    </row>
    <row r="12072" spans="103:104" x14ac:dyDescent="0.3">
      <c r="CY12072" s="34" t="s">
        <v>12999</v>
      </c>
      <c r="CZ12072" s="35">
        <v>8.3369800000000001E-4</v>
      </c>
    </row>
    <row r="12073" spans="103:104" x14ac:dyDescent="0.3">
      <c r="CY12073" s="34" t="s">
        <v>13000</v>
      </c>
      <c r="CZ12073" s="35">
        <v>5.0600000000000003E-3</v>
      </c>
    </row>
    <row r="12074" spans="103:104" x14ac:dyDescent="0.3">
      <c r="CY12074" s="34" t="s">
        <v>13001</v>
      </c>
      <c r="CZ12074" s="35">
        <v>8.490000000000001E-3</v>
      </c>
    </row>
    <row r="12075" spans="103:104" x14ac:dyDescent="0.3">
      <c r="CY12075" s="34" t="s">
        <v>13002</v>
      </c>
      <c r="CZ12075" s="35">
        <v>3.6529720000000002E-2</v>
      </c>
    </row>
    <row r="12076" spans="103:104" x14ac:dyDescent="0.3">
      <c r="CY12076" s="34" t="s">
        <v>13003</v>
      </c>
      <c r="CZ12076" s="35">
        <v>3.0514360000000001E-2</v>
      </c>
    </row>
    <row r="12077" spans="103:104" x14ac:dyDescent="0.3">
      <c r="CY12077" s="34" t="s">
        <v>13004</v>
      </c>
      <c r="CZ12077" s="35">
        <v>1.86325E-2</v>
      </c>
    </row>
    <row r="12078" spans="103:104" x14ac:dyDescent="0.3">
      <c r="CY12078" s="34" t="s">
        <v>13005</v>
      </c>
      <c r="CZ12078" s="35">
        <v>5.8429735000000003E-2</v>
      </c>
    </row>
    <row r="12079" spans="103:104" x14ac:dyDescent="0.3">
      <c r="CY12079" s="34" t="s">
        <v>13006</v>
      </c>
      <c r="CZ12079" s="35">
        <v>1.8169486661290323E-2</v>
      </c>
    </row>
    <row r="12080" spans="103:104" x14ac:dyDescent="0.3">
      <c r="CY12080" s="34" t="s">
        <v>13007</v>
      </c>
      <c r="CZ12080" s="35">
        <v>0.11184546250000001</v>
      </c>
    </row>
    <row r="12081" spans="103:104" x14ac:dyDescent="0.3">
      <c r="CY12081" s="34" t="s">
        <v>13008</v>
      </c>
      <c r="CZ12081" s="35">
        <v>0.14834461999999998</v>
      </c>
    </row>
    <row r="12082" spans="103:104" x14ac:dyDescent="0.3">
      <c r="CY12082" s="34" t="s">
        <v>13009</v>
      </c>
      <c r="CZ12082" s="35">
        <v>0.25240060000000003</v>
      </c>
    </row>
    <row r="12083" spans="103:104" x14ac:dyDescent="0.3">
      <c r="CY12083" s="34" t="s">
        <v>13010</v>
      </c>
      <c r="CZ12083" s="35">
        <v>3.2295700000000002E-3</v>
      </c>
    </row>
    <row r="12084" spans="103:104" x14ac:dyDescent="0.3">
      <c r="CY12084" s="34" t="s">
        <v>13011</v>
      </c>
      <c r="CZ12084" s="35">
        <v>2.526265E-4</v>
      </c>
    </row>
    <row r="12085" spans="103:104" x14ac:dyDescent="0.3">
      <c r="CY12085" s="34" t="s">
        <v>13012</v>
      </c>
      <c r="CZ12085" s="35">
        <v>1.7099968E-2</v>
      </c>
    </row>
    <row r="12086" spans="103:104" x14ac:dyDescent="0.3">
      <c r="CY12086" s="34" t="s">
        <v>13013</v>
      </c>
      <c r="CZ12086" s="35">
        <v>2.3246806355555559E-2</v>
      </c>
    </row>
    <row r="12087" spans="103:104" x14ac:dyDescent="0.3">
      <c r="CY12087" s="34" t="s">
        <v>13014</v>
      </c>
      <c r="CZ12087" s="35">
        <v>2.1414099999999995E-2</v>
      </c>
    </row>
    <row r="12088" spans="103:104" x14ac:dyDescent="0.3">
      <c r="CY12088" s="34" t="s">
        <v>13015</v>
      </c>
      <c r="CZ12088" s="35">
        <v>2.3246811111111109E-2</v>
      </c>
    </row>
    <row r="12089" spans="103:104" x14ac:dyDescent="0.3">
      <c r="CY12089" s="34" t="s">
        <v>13016</v>
      </c>
      <c r="CZ12089" s="35">
        <v>2.3973155555555556E-2</v>
      </c>
    </row>
    <row r="12090" spans="103:104" x14ac:dyDescent="0.3">
      <c r="CY12090" s="34" t="s">
        <v>13017</v>
      </c>
      <c r="CZ12090" s="35">
        <v>2.1789266666666664E-2</v>
      </c>
    </row>
    <row r="12091" spans="103:104" x14ac:dyDescent="0.3">
      <c r="CY12091" s="34" t="s">
        <v>13018</v>
      </c>
      <c r="CZ12091" s="35">
        <v>2.1112111111111109E-2</v>
      </c>
    </row>
    <row r="12092" spans="103:104" x14ac:dyDescent="0.3">
      <c r="CY12092" s="34" t="s">
        <v>13019</v>
      </c>
      <c r="CZ12092" s="35">
        <v>2.5006717980955554E-2</v>
      </c>
    </row>
    <row r="12093" spans="103:104" x14ac:dyDescent="0.3">
      <c r="CY12093" s="34" t="s">
        <v>13020</v>
      </c>
      <c r="CZ12093" s="35">
        <v>9.4245334000000007E-3</v>
      </c>
    </row>
    <row r="12094" spans="103:104" x14ac:dyDescent="0.3">
      <c r="CY12094" s="34" t="s">
        <v>13021</v>
      </c>
      <c r="CZ12094" s="35">
        <v>1.581376E-2</v>
      </c>
    </row>
    <row r="12095" spans="103:104" x14ac:dyDescent="0.3">
      <c r="CY12095" s="34" t="s">
        <v>13022</v>
      </c>
      <c r="CZ12095" s="35">
        <v>4.3052960000000001E-3</v>
      </c>
    </row>
    <row r="12096" spans="103:104" x14ac:dyDescent="0.3">
      <c r="CY12096" s="34" t="s">
        <v>13023</v>
      </c>
      <c r="CZ12096" s="35">
        <v>2.6402845399999996E-2</v>
      </c>
    </row>
    <row r="12097" spans="103:104" x14ac:dyDescent="0.3">
      <c r="CY12097" s="34" t="s">
        <v>13024</v>
      </c>
      <c r="CZ12097" s="35">
        <v>5.2453639999999998E-3</v>
      </c>
    </row>
    <row r="12098" spans="103:104" x14ac:dyDescent="0.3">
      <c r="CY12098" s="34" t="s">
        <v>13025</v>
      </c>
      <c r="CZ12098" s="35">
        <v>2.3883279999999999E-3</v>
      </c>
    </row>
    <row r="12099" spans="103:104" x14ac:dyDescent="0.3">
      <c r="CY12099" s="34" t="s">
        <v>13026</v>
      </c>
      <c r="CZ12099" s="35">
        <v>3.4559920000000002E-3</v>
      </c>
    </row>
    <row r="12100" spans="103:104" x14ac:dyDescent="0.3">
      <c r="CY12100" s="34" t="s">
        <v>13027</v>
      </c>
      <c r="CZ12100" s="35">
        <v>9.3732000000000017E-3</v>
      </c>
    </row>
    <row r="12101" spans="103:104" x14ac:dyDescent="0.3">
      <c r="CY12101" s="34" t="s">
        <v>13028</v>
      </c>
      <c r="CZ12101" s="35">
        <v>1.475576E-2</v>
      </c>
    </row>
    <row r="12102" spans="103:104" x14ac:dyDescent="0.3">
      <c r="CY12102" s="34" t="s">
        <v>13029</v>
      </c>
      <c r="CZ12102" s="35">
        <v>0.16098685000000001</v>
      </c>
    </row>
    <row r="12103" spans="103:104" x14ac:dyDescent="0.3">
      <c r="CY12103" s="34" t="s">
        <v>13030</v>
      </c>
      <c r="CZ12103" s="35">
        <v>2.98796E-3</v>
      </c>
    </row>
    <row r="12104" spans="103:104" x14ac:dyDescent="0.3">
      <c r="CY12104" s="34" t="s">
        <v>13031</v>
      </c>
      <c r="CZ12104" s="35">
        <v>9.4329920000000012E-2</v>
      </c>
    </row>
    <row r="12105" spans="103:104" x14ac:dyDescent="0.3">
      <c r="CY12105" s="34" t="s">
        <v>13032</v>
      </c>
      <c r="CZ12105" s="35">
        <v>9.689768E-2</v>
      </c>
    </row>
    <row r="12106" spans="103:104" x14ac:dyDescent="0.3">
      <c r="CY12106" s="34" t="s">
        <v>13033</v>
      </c>
      <c r="CZ12106" s="35">
        <v>5.7681249999999998E-3</v>
      </c>
    </row>
    <row r="12107" spans="103:104" x14ac:dyDescent="0.3">
      <c r="CY12107" s="34" t="s">
        <v>13034</v>
      </c>
      <c r="CZ12107" s="35">
        <v>2.0007379999999998E-2</v>
      </c>
    </row>
    <row r="12108" spans="103:104" x14ac:dyDescent="0.3">
      <c r="CY12108" s="34" t="s">
        <v>13035</v>
      </c>
      <c r="CZ12108" s="35">
        <v>2.062930625E-2</v>
      </c>
    </row>
    <row r="12109" spans="103:104" x14ac:dyDescent="0.3">
      <c r="CY12109" s="34" t="s">
        <v>13036</v>
      </c>
      <c r="CZ12109" s="35">
        <v>9.7134880000000007E-2</v>
      </c>
    </row>
    <row r="12110" spans="103:104" x14ac:dyDescent="0.3">
      <c r="CY12110" s="34" t="s">
        <v>13037</v>
      </c>
      <c r="CZ12110" s="35">
        <v>6.1308959999999996E-2</v>
      </c>
    </row>
    <row r="12111" spans="103:104" x14ac:dyDescent="0.3">
      <c r="CY12111" s="34" t="s">
        <v>13038</v>
      </c>
      <c r="CZ12111" s="35">
        <v>4.9664879999999998E-3</v>
      </c>
    </row>
    <row r="12112" spans="103:104" x14ac:dyDescent="0.3">
      <c r="CY12112" s="34" t="s">
        <v>13039</v>
      </c>
      <c r="CZ12112" s="35">
        <v>7.711708170000002E-2</v>
      </c>
    </row>
    <row r="12113" spans="103:104" x14ac:dyDescent="0.3">
      <c r="CY12113" s="34" t="s">
        <v>13040</v>
      </c>
      <c r="CZ12113" s="35">
        <v>0.46087172500000001</v>
      </c>
    </row>
    <row r="12114" spans="103:104" x14ac:dyDescent="0.3">
      <c r="CY12114" s="34" t="s">
        <v>13041</v>
      </c>
      <c r="CZ12114" s="35">
        <v>0.14283360000000001</v>
      </c>
    </row>
    <row r="12115" spans="103:104" x14ac:dyDescent="0.3">
      <c r="CY12115" s="34" t="s">
        <v>13042</v>
      </c>
      <c r="CZ12115" s="35">
        <v>8.9519928000000009E-3</v>
      </c>
    </row>
    <row r="12116" spans="103:104" x14ac:dyDescent="0.3">
      <c r="CY12116" s="34" t="s">
        <v>13043</v>
      </c>
      <c r="CZ12116" s="35">
        <v>7.9688566666666662E-3</v>
      </c>
    </row>
    <row r="12117" spans="103:104" x14ac:dyDescent="0.3">
      <c r="CY12117" s="34" t="s">
        <v>13044</v>
      </c>
      <c r="CZ12117" s="35">
        <v>1.1410490666666666</v>
      </c>
    </row>
    <row r="12118" spans="103:104" x14ac:dyDescent="0.3">
      <c r="CY12118" s="34" t="s">
        <v>13045</v>
      </c>
      <c r="CZ12118" s="35">
        <v>2.1916119999999999E-3</v>
      </c>
    </row>
    <row r="12119" spans="103:104" x14ac:dyDescent="0.3">
      <c r="CY12119" s="34" t="s">
        <v>13046</v>
      </c>
      <c r="CZ12119" s="35">
        <v>1.56318E-3</v>
      </c>
    </row>
    <row r="12120" spans="103:104" x14ac:dyDescent="0.3">
      <c r="CY12120" s="34" t="s">
        <v>13047</v>
      </c>
      <c r="CZ12120" s="35">
        <v>2.7430103999999999E-3</v>
      </c>
    </row>
    <row r="12121" spans="103:104" x14ac:dyDescent="0.3">
      <c r="CY12121" s="34" t="s">
        <v>13048</v>
      </c>
      <c r="CZ12121" s="35">
        <v>3.6096235294117651E-2</v>
      </c>
    </row>
    <row r="12122" spans="103:104" x14ac:dyDescent="0.3">
      <c r="CY12122" s="34" t="s">
        <v>13049</v>
      </c>
      <c r="CZ12122" s="35">
        <v>0.2322714333333333</v>
      </c>
    </row>
    <row r="12123" spans="103:104" x14ac:dyDescent="0.3">
      <c r="CY12123" s="34" t="s">
        <v>13050</v>
      </c>
      <c r="CZ12123" s="35">
        <v>3.3857474470588241E-2</v>
      </c>
    </row>
    <row r="12124" spans="103:104" x14ac:dyDescent="0.3">
      <c r="CY12124" s="34" t="s">
        <v>13051</v>
      </c>
      <c r="CZ12124" s="35">
        <v>3.5921201529411764E-2</v>
      </c>
    </row>
    <row r="12125" spans="103:104" x14ac:dyDescent="0.3">
      <c r="CY12125" s="34" t="s">
        <v>13052</v>
      </c>
      <c r="CZ12125" s="35">
        <v>3.5921201568627457E-2</v>
      </c>
    </row>
    <row r="12126" spans="103:104" x14ac:dyDescent="0.3">
      <c r="CY12126" s="34" t="s">
        <v>13053</v>
      </c>
      <c r="CZ12126" s="35">
        <v>3.2702964705882361E-2</v>
      </c>
    </row>
    <row r="12127" spans="103:104" x14ac:dyDescent="0.3">
      <c r="CY12127" s="34" t="s">
        <v>13054</v>
      </c>
      <c r="CZ12127" s="35">
        <v>3.3954393270588239E-2</v>
      </c>
    </row>
    <row r="12128" spans="103:104" x14ac:dyDescent="0.3">
      <c r="CY12128" s="34" t="s">
        <v>13055</v>
      </c>
      <c r="CZ12128" s="35">
        <v>3.3616912313725489E-2</v>
      </c>
    </row>
    <row r="12129" spans="103:104" x14ac:dyDescent="0.3">
      <c r="CY12129" s="34" t="s">
        <v>13056</v>
      </c>
      <c r="CZ12129" s="35">
        <v>3.6018123137254908E-2</v>
      </c>
    </row>
    <row r="12130" spans="103:104" x14ac:dyDescent="0.3">
      <c r="CY12130" s="34" t="s">
        <v>13057</v>
      </c>
      <c r="CZ12130" s="35">
        <v>3.6018123137254908E-2</v>
      </c>
    </row>
    <row r="12131" spans="103:104" x14ac:dyDescent="0.3">
      <c r="CY12131" s="34" t="s">
        <v>13058</v>
      </c>
      <c r="CZ12131" s="35">
        <v>4.398880235294117E-2</v>
      </c>
    </row>
    <row r="12132" spans="103:104" x14ac:dyDescent="0.3">
      <c r="CY12132" s="34" t="s">
        <v>13059</v>
      </c>
      <c r="CZ12132" s="35">
        <v>3.3846494117647064E-2</v>
      </c>
    </row>
    <row r="12133" spans="103:104" x14ac:dyDescent="0.3">
      <c r="CY12133" s="34" t="s">
        <v>13060</v>
      </c>
      <c r="CZ12133" s="35">
        <v>3.6260417258823528E-2</v>
      </c>
    </row>
    <row r="12134" spans="103:104" x14ac:dyDescent="0.3">
      <c r="CY12134" s="34" t="s">
        <v>13061</v>
      </c>
      <c r="CZ12134" s="35">
        <v>3.4817279999999999E-2</v>
      </c>
    </row>
    <row r="12135" spans="103:104" x14ac:dyDescent="0.3">
      <c r="CY12135" s="34" t="s">
        <v>13062</v>
      </c>
      <c r="CZ12135" s="35">
        <v>3.4817279999999999E-2</v>
      </c>
    </row>
    <row r="12136" spans="103:104" x14ac:dyDescent="0.3">
      <c r="CY12136" s="34" t="s">
        <v>13063</v>
      </c>
      <c r="CZ12136" s="35">
        <v>3.2753552941176475E-2</v>
      </c>
    </row>
    <row r="12137" spans="103:104" x14ac:dyDescent="0.3">
      <c r="CY12137" s="34" t="s">
        <v>13064</v>
      </c>
      <c r="CZ12137" s="35">
        <v>3.5549631388235303E-2</v>
      </c>
    </row>
    <row r="12138" spans="103:104" x14ac:dyDescent="0.3">
      <c r="CY12138" s="34" t="s">
        <v>13065</v>
      </c>
      <c r="CZ12138" s="35">
        <v>3.5199435294117655E-2</v>
      </c>
    </row>
    <row r="12139" spans="103:104" x14ac:dyDescent="0.3">
      <c r="CY12139" s="34" t="s">
        <v>13066</v>
      </c>
      <c r="CZ12139" s="35">
        <v>3.1113428722840494E-2</v>
      </c>
    </row>
    <row r="12140" spans="103:104" x14ac:dyDescent="0.3">
      <c r="CY12140" s="34" t="s">
        <v>13067</v>
      </c>
      <c r="CZ12140" s="35">
        <v>2.5526855199999999E-3</v>
      </c>
    </row>
    <row r="12141" spans="103:104" x14ac:dyDescent="0.3">
      <c r="CY12141" s="34" t="s">
        <v>13068</v>
      </c>
      <c r="CZ12141" s="35">
        <v>3.60298E-3</v>
      </c>
    </row>
    <row r="12142" spans="103:104" x14ac:dyDescent="0.3">
      <c r="CY12142" s="34" t="s">
        <v>13069</v>
      </c>
      <c r="CZ12142" s="35">
        <v>5.6719327999999999E-2</v>
      </c>
    </row>
    <row r="12143" spans="103:104" x14ac:dyDescent="0.3">
      <c r="CY12143" s="34" t="s">
        <v>13070</v>
      </c>
      <c r="CZ12143" s="35">
        <v>5.1759152000000003E-2</v>
      </c>
    </row>
    <row r="12144" spans="103:104" x14ac:dyDescent="0.3">
      <c r="CY12144" s="34" t="s">
        <v>13071</v>
      </c>
      <c r="CZ12144" s="35">
        <v>1.8330976000000002E-2</v>
      </c>
    </row>
    <row r="12145" spans="103:104" x14ac:dyDescent="0.3">
      <c r="CY12145" s="34" t="s">
        <v>13072</v>
      </c>
      <c r="CZ12145" s="35">
        <v>1.8330975999999999E-2</v>
      </c>
    </row>
    <row r="12146" spans="103:104" x14ac:dyDescent="0.3">
      <c r="CY12146" s="34" t="s">
        <v>13073</v>
      </c>
      <c r="CZ12146" s="35">
        <v>1.8921116633333339E-2</v>
      </c>
    </row>
    <row r="12147" spans="103:104" x14ac:dyDescent="0.3">
      <c r="CY12147" s="34" t="s">
        <v>13074</v>
      </c>
      <c r="CZ12147" s="35">
        <v>3.9545440000000008E-2</v>
      </c>
    </row>
    <row r="12148" spans="103:104" x14ac:dyDescent="0.3">
      <c r="CY12148" s="34" t="s">
        <v>13075</v>
      </c>
      <c r="CZ12148" s="35">
        <v>1.1672271999999999E-2</v>
      </c>
    </row>
    <row r="12149" spans="103:104" x14ac:dyDescent="0.3">
      <c r="CY12149" s="34" t="s">
        <v>13076</v>
      </c>
      <c r="CZ12149" s="35">
        <v>2.036812E-2</v>
      </c>
    </row>
    <row r="12150" spans="103:104" x14ac:dyDescent="0.3">
      <c r="CY12150" s="34" t="s">
        <v>13077</v>
      </c>
      <c r="CZ12150" s="35">
        <v>5.6599199999999988E-2</v>
      </c>
    </row>
    <row r="12151" spans="103:104" x14ac:dyDescent="0.3">
      <c r="CY12151" s="34" t="s">
        <v>13078</v>
      </c>
      <c r="CZ12151" s="35">
        <v>0.1122127</v>
      </c>
    </row>
    <row r="12152" spans="103:104" x14ac:dyDescent="0.3">
      <c r="CY12152" s="34" t="s">
        <v>13079</v>
      </c>
      <c r="CZ12152" s="35">
        <v>1.004904E-3</v>
      </c>
    </row>
    <row r="12153" spans="103:104" x14ac:dyDescent="0.3">
      <c r="CY12153" s="34" t="s">
        <v>13080</v>
      </c>
      <c r="CZ12153" s="35">
        <v>1.2291204E-2</v>
      </c>
    </row>
    <row r="12154" spans="103:104" x14ac:dyDescent="0.3">
      <c r="CY12154" s="34" t="s">
        <v>13081</v>
      </c>
      <c r="CZ12154" s="35">
        <v>7.1868210000000002E-2</v>
      </c>
    </row>
    <row r="12155" spans="103:104" x14ac:dyDescent="0.3">
      <c r="CY12155" s="34" t="s">
        <v>13082</v>
      </c>
      <c r="CZ12155" s="35">
        <v>5.6309810000000002E-2</v>
      </c>
    </row>
    <row r="12156" spans="103:104" x14ac:dyDescent="0.3">
      <c r="CY12156" s="34" t="s">
        <v>13083</v>
      </c>
      <c r="CZ12156" s="35">
        <v>4.2307249999999998E-2</v>
      </c>
    </row>
    <row r="12157" spans="103:104" x14ac:dyDescent="0.3">
      <c r="CY12157" s="34" t="s">
        <v>13084</v>
      </c>
      <c r="CZ12157" s="35">
        <v>3.763973000000001E-2</v>
      </c>
    </row>
    <row r="12158" spans="103:104" x14ac:dyDescent="0.3">
      <c r="CY12158" s="34" t="s">
        <v>13085</v>
      </c>
      <c r="CZ12158" s="35">
        <v>1.2700941320000001E-2</v>
      </c>
    </row>
    <row r="12159" spans="103:104" x14ac:dyDescent="0.3">
      <c r="CY12159" s="34" t="s">
        <v>13086</v>
      </c>
      <c r="CZ12159" s="35">
        <v>2.9652623999999999E-2</v>
      </c>
    </row>
    <row r="12160" spans="103:104" x14ac:dyDescent="0.3">
      <c r="CY12160" s="34" t="s">
        <v>13087</v>
      </c>
      <c r="CZ12160" s="35">
        <v>3.1534472665E-2</v>
      </c>
    </row>
    <row r="12161" spans="103:104" x14ac:dyDescent="0.3">
      <c r="CY12161" s="34" t="s">
        <v>13088</v>
      </c>
      <c r="CZ12161" s="35">
        <v>2.3390947368421053E-2</v>
      </c>
    </row>
    <row r="12162" spans="103:104" x14ac:dyDescent="0.3">
      <c r="CY12162" s="34" t="s">
        <v>13089</v>
      </c>
      <c r="CZ12162" s="35">
        <v>4.8868879999999998E-3</v>
      </c>
    </row>
    <row r="12163" spans="103:104" x14ac:dyDescent="0.3">
      <c r="CY12163" s="34" t="s">
        <v>13090</v>
      </c>
      <c r="CZ12163" s="35">
        <v>5.1182680631578943E-3</v>
      </c>
    </row>
    <row r="12164" spans="103:104" x14ac:dyDescent="0.3">
      <c r="CY12164" s="34" t="s">
        <v>13091</v>
      </c>
      <c r="CZ12164" s="35">
        <v>4.5605159999999999E-2</v>
      </c>
    </row>
    <row r="12165" spans="103:104" x14ac:dyDescent="0.3">
      <c r="CY12165" s="34" t="s">
        <v>13092</v>
      </c>
      <c r="CZ12165" s="35">
        <v>4.883332E-2</v>
      </c>
    </row>
    <row r="12166" spans="103:104" x14ac:dyDescent="0.3">
      <c r="CY12166" s="34" t="s">
        <v>13093</v>
      </c>
      <c r="CZ12166" s="35">
        <v>6.4737900000000015E-2</v>
      </c>
    </row>
    <row r="12167" spans="103:104" x14ac:dyDescent="0.3">
      <c r="CY12167" s="34" t="s">
        <v>13094</v>
      </c>
      <c r="CZ12167" s="35">
        <v>0.29263099999999997</v>
      </c>
    </row>
    <row r="12168" spans="103:104" x14ac:dyDescent="0.3">
      <c r="CY12168" s="34" t="s">
        <v>13095</v>
      </c>
      <c r="CZ12168" s="35">
        <v>0.23198027000000002</v>
      </c>
    </row>
    <row r="12169" spans="103:104" x14ac:dyDescent="0.3">
      <c r="CY12169" s="34" t="s">
        <v>13096</v>
      </c>
      <c r="CZ12169" s="35">
        <v>0.19168662456140351</v>
      </c>
    </row>
    <row r="12170" spans="103:104" x14ac:dyDescent="0.3">
      <c r="CY12170" s="34" t="s">
        <v>13097</v>
      </c>
      <c r="CZ12170" s="35">
        <v>2.9899999999999996E-3</v>
      </c>
    </row>
    <row r="12171" spans="103:104" x14ac:dyDescent="0.3">
      <c r="CY12171" s="34" t="s">
        <v>13098</v>
      </c>
      <c r="CZ12171" s="35">
        <v>0.11890762666666667</v>
      </c>
    </row>
    <row r="12172" spans="103:104" x14ac:dyDescent="0.3">
      <c r="CY12172" s="34" t="s">
        <v>13099</v>
      </c>
      <c r="CZ12172" s="35">
        <v>6.9325479999999995E-2</v>
      </c>
    </row>
    <row r="12173" spans="103:104" x14ac:dyDescent="0.3">
      <c r="CY12173" s="34" t="s">
        <v>13100</v>
      </c>
      <c r="CZ12173" s="35">
        <v>7.1409119999999993E-2</v>
      </c>
    </row>
    <row r="12174" spans="103:104" x14ac:dyDescent="0.3">
      <c r="CY12174" s="34" t="s">
        <v>13101</v>
      </c>
      <c r="CZ12174" s="35">
        <v>0.48309028500000001</v>
      </c>
    </row>
    <row r="12175" spans="103:104" x14ac:dyDescent="0.3">
      <c r="CY12175" s="34" t="s">
        <v>13102</v>
      </c>
      <c r="CZ12175" s="35">
        <v>0.16505216</v>
      </c>
    </row>
    <row r="12176" spans="103:104" x14ac:dyDescent="0.3">
      <c r="CY12176" s="34" t="s">
        <v>13103</v>
      </c>
      <c r="CZ12176" s="35">
        <v>1.9270280599999998E-2</v>
      </c>
    </row>
    <row r="12177" spans="103:104" x14ac:dyDescent="0.3">
      <c r="CY12177" s="34" t="s">
        <v>13104</v>
      </c>
      <c r="CZ12177" s="35">
        <v>1.5920076254545452E-3</v>
      </c>
    </row>
    <row r="12178" spans="103:104" x14ac:dyDescent="0.3">
      <c r="CY12178" s="34" t="s">
        <v>13105</v>
      </c>
      <c r="CZ12178" s="35">
        <v>4.6933249999999999E-3</v>
      </c>
    </row>
    <row r="12179" spans="103:104" x14ac:dyDescent="0.3">
      <c r="CY12179" s="34" t="s">
        <v>13106</v>
      </c>
      <c r="CZ12179" s="35">
        <v>0.25008260000000004</v>
      </c>
    </row>
    <row r="12180" spans="103:104" x14ac:dyDescent="0.3">
      <c r="CY12180" s="34" t="s">
        <v>13107</v>
      </c>
      <c r="CZ12180" s="35">
        <v>0.11589694117647059</v>
      </c>
    </row>
    <row r="12181" spans="103:104" x14ac:dyDescent="0.3">
      <c r="CY12181" s="34" t="s">
        <v>13108</v>
      </c>
      <c r="CZ12181" s="35">
        <v>1.5171240000000001E-2</v>
      </c>
    </row>
    <row r="12182" spans="103:104" x14ac:dyDescent="0.3">
      <c r="CY12182" s="34" t="s">
        <v>13109</v>
      </c>
      <c r="CZ12182" s="35">
        <v>4.168616E-3</v>
      </c>
    </row>
    <row r="12183" spans="103:104" x14ac:dyDescent="0.3">
      <c r="CY12183" s="34" t="s">
        <v>13110</v>
      </c>
      <c r="CZ12183" s="35">
        <v>1.3696677063749999E-3</v>
      </c>
    </row>
    <row r="12184" spans="103:104" x14ac:dyDescent="0.3">
      <c r="CY12184" s="34" t="s">
        <v>13111</v>
      </c>
      <c r="CZ12184" s="35">
        <v>3.5704149999999997E-2</v>
      </c>
    </row>
    <row r="12185" spans="103:104" x14ac:dyDescent="0.3">
      <c r="CY12185" s="34" t="s">
        <v>13112</v>
      </c>
      <c r="CZ12185" s="35">
        <v>3.7948399999999993E-2</v>
      </c>
    </row>
    <row r="12186" spans="103:104" x14ac:dyDescent="0.3">
      <c r="CY12186" s="34" t="s">
        <v>13113</v>
      </c>
      <c r="CZ12186" s="35">
        <v>6.5531759999999991E-3</v>
      </c>
    </row>
    <row r="12187" spans="103:104" x14ac:dyDescent="0.3">
      <c r="CY12187" s="34" t="s">
        <v>13114</v>
      </c>
      <c r="CZ12187" s="35">
        <v>3.2966384000000001E-2</v>
      </c>
    </row>
    <row r="12188" spans="103:104" x14ac:dyDescent="0.3">
      <c r="CY12188" s="34" t="s">
        <v>13115</v>
      </c>
      <c r="CZ12188" s="35">
        <v>0.73417750000000004</v>
      </c>
    </row>
    <row r="12189" spans="103:104" x14ac:dyDescent="0.3">
      <c r="CY12189" s="34" t="s">
        <v>13116</v>
      </c>
      <c r="CZ12189" s="35">
        <v>0.46494373332000005</v>
      </c>
    </row>
    <row r="12190" spans="103:104" x14ac:dyDescent="0.3">
      <c r="CY12190" s="34" t="s">
        <v>13117</v>
      </c>
      <c r="CZ12190" s="35">
        <v>3.9718369571428574E-3</v>
      </c>
    </row>
    <row r="12191" spans="103:104" x14ac:dyDescent="0.3">
      <c r="CY12191" s="34" t="s">
        <v>13118</v>
      </c>
      <c r="CZ12191" s="35">
        <v>3.388141867142857E-3</v>
      </c>
    </row>
    <row r="12192" spans="103:104" x14ac:dyDescent="0.3">
      <c r="CY12192" s="34" t="s">
        <v>13119</v>
      </c>
      <c r="CZ12192" s="35">
        <v>3.2307757266666669E-3</v>
      </c>
    </row>
    <row r="12193" spans="103:104" x14ac:dyDescent="0.3">
      <c r="CY12193" s="34" t="s">
        <v>13120</v>
      </c>
      <c r="CZ12193" s="35">
        <v>6.4513999999999999E-4</v>
      </c>
    </row>
    <row r="12194" spans="103:104" x14ac:dyDescent="0.3">
      <c r="CY12194" s="34" t="s">
        <v>13121</v>
      </c>
      <c r="CZ12194" s="35">
        <v>0.73148599999999997</v>
      </c>
    </row>
    <row r="12195" spans="103:104" x14ac:dyDescent="0.3">
      <c r="CY12195" s="34" t="s">
        <v>13122</v>
      </c>
      <c r="CZ12195" s="35">
        <v>4.5418930000000003E-2</v>
      </c>
    </row>
    <row r="12196" spans="103:104" x14ac:dyDescent="0.3">
      <c r="CY12196" s="34" t="s">
        <v>13123</v>
      </c>
      <c r="CZ12196" s="35">
        <v>4.3020799999999998E-3</v>
      </c>
    </row>
    <row r="12197" spans="103:104" x14ac:dyDescent="0.3">
      <c r="CY12197" s="34" t="s">
        <v>13124</v>
      </c>
      <c r="CZ12197" s="35">
        <v>3.0901200000000005E-3</v>
      </c>
    </row>
    <row r="12198" spans="103:104" x14ac:dyDescent="0.3">
      <c r="CY12198" s="34" t="s">
        <v>13125</v>
      </c>
      <c r="CZ12198" s="35">
        <v>1.6765586666666666E-3</v>
      </c>
    </row>
    <row r="12199" spans="103:104" x14ac:dyDescent="0.3">
      <c r="CY12199" s="34" t="s">
        <v>13126</v>
      </c>
      <c r="CZ12199" s="35">
        <v>5.2727199999999998E-3</v>
      </c>
    </row>
    <row r="12200" spans="103:104" x14ac:dyDescent="0.3">
      <c r="CY12200" s="34" t="s">
        <v>13127</v>
      </c>
      <c r="CZ12200" s="35">
        <v>7.5200300000000012E-2</v>
      </c>
    </row>
    <row r="12201" spans="103:104" x14ac:dyDescent="0.3">
      <c r="CY12201" s="34" t="s">
        <v>13128</v>
      </c>
      <c r="CZ12201" s="35">
        <v>2.2848376000000003E-3</v>
      </c>
    </row>
    <row r="12202" spans="103:104" x14ac:dyDescent="0.3">
      <c r="CY12202" s="34" t="s">
        <v>13129</v>
      </c>
      <c r="CZ12202" s="35">
        <v>2.2742776000000001E-3</v>
      </c>
    </row>
    <row r="12203" spans="103:104" x14ac:dyDescent="0.3">
      <c r="CY12203" s="34" t="s">
        <v>13130</v>
      </c>
      <c r="CZ12203" s="35">
        <v>5.9702679999999999E-3</v>
      </c>
    </row>
    <row r="12204" spans="103:104" x14ac:dyDescent="0.3">
      <c r="CY12204" s="34" t="s">
        <v>13131</v>
      </c>
      <c r="CZ12204" s="35">
        <v>1.1820736E-2</v>
      </c>
    </row>
    <row r="12205" spans="103:104" x14ac:dyDescent="0.3">
      <c r="CY12205" s="34" t="s">
        <v>13132</v>
      </c>
      <c r="CZ12205" s="35">
        <v>3.4979079999999996E-2</v>
      </c>
    </row>
    <row r="12206" spans="103:104" x14ac:dyDescent="0.3">
      <c r="CY12206" s="34" t="s">
        <v>13133</v>
      </c>
      <c r="CZ12206" s="35">
        <v>0.24284983999999998</v>
      </c>
    </row>
    <row r="12207" spans="103:104" x14ac:dyDescent="0.3">
      <c r="CY12207" s="34" t="s">
        <v>13134</v>
      </c>
      <c r="CZ12207" s="35">
        <v>2.5137306999999998E-2</v>
      </c>
    </row>
    <row r="12208" spans="103:104" x14ac:dyDescent="0.3">
      <c r="CY12208" s="34" t="s">
        <v>13135</v>
      </c>
      <c r="CZ12208" s="35">
        <v>8.4879039999999989E-2</v>
      </c>
    </row>
    <row r="12209" spans="103:104" x14ac:dyDescent="0.3">
      <c r="CY12209" s="34" t="s">
        <v>13136</v>
      </c>
      <c r="CZ12209" s="35">
        <v>5.8065199999999997E-2</v>
      </c>
    </row>
    <row r="12210" spans="103:104" x14ac:dyDescent="0.3">
      <c r="CY12210" s="34" t="s">
        <v>13137</v>
      </c>
      <c r="CZ12210" s="35">
        <v>2.6756640162499998E-2</v>
      </c>
    </row>
    <row r="12211" spans="103:104" x14ac:dyDescent="0.3">
      <c r="CY12211" s="34" t="s">
        <v>13138</v>
      </c>
      <c r="CZ12211" s="35">
        <v>2.71958375E-2</v>
      </c>
    </row>
    <row r="12212" spans="103:104" x14ac:dyDescent="0.3">
      <c r="CY12212" s="34" t="s">
        <v>13139</v>
      </c>
      <c r="CZ12212" s="35">
        <v>2.6496726462499998E-2</v>
      </c>
    </row>
    <row r="12213" spans="103:104" x14ac:dyDescent="0.3">
      <c r="CY12213" s="34" t="s">
        <v>13140</v>
      </c>
      <c r="CZ12213" s="35">
        <v>2.6641640170000001E-2</v>
      </c>
    </row>
    <row r="12214" spans="103:104" x14ac:dyDescent="0.3">
      <c r="CY12214" s="34" t="s">
        <v>13141</v>
      </c>
      <c r="CZ12214" s="35">
        <v>2.586E-4</v>
      </c>
    </row>
    <row r="12215" spans="103:104" x14ac:dyDescent="0.3">
      <c r="CY12215" s="34" t="s">
        <v>13142</v>
      </c>
      <c r="CZ12215" s="35">
        <v>2.1792290000000002E-2</v>
      </c>
    </row>
    <row r="12216" spans="103:104" x14ac:dyDescent="0.3">
      <c r="CY12216" s="34" t="s">
        <v>13143</v>
      </c>
      <c r="CZ12216" s="35">
        <v>2.0007649999999998E-2</v>
      </c>
    </row>
    <row r="12217" spans="103:104" x14ac:dyDescent="0.3">
      <c r="CY12217" s="34" t="s">
        <v>13144</v>
      </c>
      <c r="CZ12217" s="35">
        <v>1.9650722000000002E-2</v>
      </c>
    </row>
    <row r="12218" spans="103:104" x14ac:dyDescent="0.3">
      <c r="CY12218" s="34" t="s">
        <v>13145</v>
      </c>
      <c r="CZ12218" s="35">
        <v>2.3944000000000001E-3</v>
      </c>
    </row>
    <row r="12219" spans="103:104" x14ac:dyDescent="0.3">
      <c r="CY12219" s="34" t="s">
        <v>13146</v>
      </c>
      <c r="CZ12219" s="35">
        <v>1.9721427999999999E-2</v>
      </c>
    </row>
    <row r="12220" spans="103:104" x14ac:dyDescent="0.3">
      <c r="CY12220" s="34" t="s">
        <v>13147</v>
      </c>
      <c r="CZ12220" s="35">
        <v>3.8365440000000008E-2</v>
      </c>
    </row>
    <row r="12221" spans="103:104" x14ac:dyDescent="0.3">
      <c r="CY12221" s="34" t="s">
        <v>13148</v>
      </c>
      <c r="CZ12221" s="35">
        <v>3.8381327999999999E-2</v>
      </c>
    </row>
    <row r="12222" spans="103:104" x14ac:dyDescent="0.3">
      <c r="CY12222" s="34" t="s">
        <v>13149</v>
      </c>
      <c r="CZ12222" s="35">
        <v>1.5282407999999997E-2</v>
      </c>
    </row>
    <row r="12223" spans="103:104" x14ac:dyDescent="0.3">
      <c r="CY12223" s="34" t="s">
        <v>13150</v>
      </c>
      <c r="CZ12223" s="35">
        <v>5.2909840000000007E-2</v>
      </c>
    </row>
    <row r="12224" spans="103:104" x14ac:dyDescent="0.3">
      <c r="CY12224" s="34" t="s">
        <v>13151</v>
      </c>
      <c r="CZ12224" s="35">
        <v>1.9712379999999998E-2</v>
      </c>
    </row>
    <row r="12225" spans="103:104" x14ac:dyDescent="0.3">
      <c r="CY12225" s="34" t="s">
        <v>13152</v>
      </c>
      <c r="CZ12225" s="35">
        <v>2.6285773399999997E-2</v>
      </c>
    </row>
    <row r="12226" spans="103:104" x14ac:dyDescent="0.3">
      <c r="CY12226" s="34" t="s">
        <v>13153</v>
      </c>
      <c r="CZ12226" s="35">
        <v>4.0692544000000004E-2</v>
      </c>
    </row>
    <row r="12227" spans="103:104" x14ac:dyDescent="0.3">
      <c r="CY12227" s="34" t="s">
        <v>13154</v>
      </c>
      <c r="CZ12227" s="35">
        <v>1.3319672000000001E-2</v>
      </c>
    </row>
    <row r="12228" spans="103:104" x14ac:dyDescent="0.3">
      <c r="CY12228" s="34" t="s">
        <v>13155</v>
      </c>
      <c r="CZ12228" s="35">
        <v>7.9916133340000001E-2</v>
      </c>
    </row>
    <row r="12229" spans="103:104" x14ac:dyDescent="0.3">
      <c r="CY12229" s="34" t="s">
        <v>13156</v>
      </c>
      <c r="CZ12229" s="35">
        <v>8.3339813299999996E-2</v>
      </c>
    </row>
    <row r="12230" spans="103:104" x14ac:dyDescent="0.3">
      <c r="CY12230" s="34" t="s">
        <v>13157</v>
      </c>
      <c r="CZ12230" s="35">
        <v>9.9019066700000005E-2</v>
      </c>
    </row>
    <row r="12231" spans="103:104" x14ac:dyDescent="0.3">
      <c r="CY12231" s="34" t="s">
        <v>13158</v>
      </c>
      <c r="CZ12231" s="35">
        <v>1.5363794285714286E-3</v>
      </c>
    </row>
    <row r="12232" spans="103:104" x14ac:dyDescent="0.3">
      <c r="CY12232" s="34" t="s">
        <v>13159</v>
      </c>
      <c r="CZ12232" s="35">
        <v>2.3230560000000001E-2</v>
      </c>
    </row>
    <row r="12233" spans="103:104" x14ac:dyDescent="0.3">
      <c r="CY12233" s="34" t="s">
        <v>13160</v>
      </c>
      <c r="CZ12233" s="35">
        <v>2.1194919999999999E-2</v>
      </c>
    </row>
    <row r="12234" spans="103:104" x14ac:dyDescent="0.3">
      <c r="CY12234" s="34" t="s">
        <v>13161</v>
      </c>
      <c r="CZ12234" s="35">
        <v>6.6979056000000001E-4</v>
      </c>
    </row>
    <row r="12235" spans="103:104" x14ac:dyDescent="0.3">
      <c r="CY12235" s="34" t="s">
        <v>13162</v>
      </c>
      <c r="CZ12235" s="35">
        <v>6.697905599999999E-4</v>
      </c>
    </row>
    <row r="12236" spans="103:104" x14ac:dyDescent="0.3">
      <c r="CY12236" s="34" t="s">
        <v>13163</v>
      </c>
      <c r="CZ12236" s="35">
        <v>8.2818579533333325E-3</v>
      </c>
    </row>
    <row r="12237" spans="103:104" x14ac:dyDescent="0.3">
      <c r="CY12237" s="34" t="s">
        <v>13164</v>
      </c>
      <c r="CZ12237" s="35">
        <v>8.2818523999999994E-3</v>
      </c>
    </row>
    <row r="12238" spans="103:104" x14ac:dyDescent="0.3">
      <c r="CY12238" s="34" t="s">
        <v>13165</v>
      </c>
      <c r="CZ12238" s="35">
        <v>8.2818583999999997E-3</v>
      </c>
    </row>
    <row r="12239" spans="103:104" x14ac:dyDescent="0.3">
      <c r="CY12239" s="34" t="s">
        <v>13166</v>
      </c>
      <c r="CZ12239" s="35">
        <v>8.5490003499999988E-3</v>
      </c>
    </row>
    <row r="12240" spans="103:104" x14ac:dyDescent="0.3">
      <c r="CY12240" s="34" t="s">
        <v>13167</v>
      </c>
      <c r="CZ12240" s="35">
        <v>8.2818579535714285E-3</v>
      </c>
    </row>
    <row r="12241" spans="103:104" x14ac:dyDescent="0.3">
      <c r="CY12241" s="34" t="s">
        <v>13168</v>
      </c>
      <c r="CZ12241" s="35">
        <v>7.6536468705882352E-3</v>
      </c>
    </row>
    <row r="12242" spans="103:104" x14ac:dyDescent="0.3">
      <c r="CY12242" s="34" t="s">
        <v>13169</v>
      </c>
      <c r="CZ12242" s="35">
        <v>3.5150050000000002E-2</v>
      </c>
    </row>
    <row r="12243" spans="103:104" x14ac:dyDescent="0.3">
      <c r="CY12243" s="34" t="s">
        <v>13170</v>
      </c>
      <c r="CZ12243" s="35">
        <v>5.7276799999999996E-2</v>
      </c>
    </row>
    <row r="12244" spans="103:104" x14ac:dyDescent="0.3">
      <c r="CY12244" s="34" t="s">
        <v>13171</v>
      </c>
      <c r="CZ12244" s="35">
        <v>5.5368399999999998E-2</v>
      </c>
    </row>
    <row r="12245" spans="103:104" x14ac:dyDescent="0.3">
      <c r="CY12245" s="34" t="s">
        <v>13172</v>
      </c>
      <c r="CZ12245" s="35">
        <v>6.5158199999999999E-2</v>
      </c>
    </row>
    <row r="12246" spans="103:104" x14ac:dyDescent="0.3">
      <c r="CY12246" s="34" t="s">
        <v>13173</v>
      </c>
      <c r="CZ12246" s="35">
        <v>6.5158199999999999E-2</v>
      </c>
    </row>
    <row r="12247" spans="103:104" x14ac:dyDescent="0.3">
      <c r="CY12247" s="34" t="s">
        <v>13174</v>
      </c>
      <c r="CZ12247" s="35">
        <v>6.5158199999999999E-2</v>
      </c>
    </row>
    <row r="12248" spans="103:104" x14ac:dyDescent="0.3">
      <c r="CY12248" s="34" t="s">
        <v>13175</v>
      </c>
      <c r="CZ12248" s="35">
        <v>6.6800328000000006E-2</v>
      </c>
    </row>
    <row r="12249" spans="103:104" x14ac:dyDescent="0.3">
      <c r="CY12249" s="34" t="s">
        <v>13176</v>
      </c>
      <c r="CZ12249" s="35">
        <v>4.1338955000000004E-2</v>
      </c>
    </row>
    <row r="12250" spans="103:104" x14ac:dyDescent="0.3">
      <c r="CY12250" s="34" t="s">
        <v>13177</v>
      </c>
      <c r="CZ12250" s="35">
        <v>2.7068824000000001E-4</v>
      </c>
    </row>
    <row r="12251" spans="103:104" x14ac:dyDescent="0.3">
      <c r="CY12251" s="34" t="s">
        <v>13178</v>
      </c>
      <c r="CZ12251" s="35">
        <v>9.3369600000000003E-4</v>
      </c>
    </row>
    <row r="12252" spans="103:104" x14ac:dyDescent="0.3">
      <c r="CY12252" s="34" t="s">
        <v>13179</v>
      </c>
      <c r="CZ12252" s="35">
        <v>5.0476799999999997E-3</v>
      </c>
    </row>
    <row r="12253" spans="103:104" x14ac:dyDescent="0.3">
      <c r="CY12253" s="34" t="s">
        <v>13180</v>
      </c>
      <c r="CZ12253" s="35">
        <v>7.6839466666666675E-2</v>
      </c>
    </row>
    <row r="12254" spans="103:104" x14ac:dyDescent="0.3">
      <c r="CY12254" s="34" t="s">
        <v>13181</v>
      </c>
      <c r="CZ12254" s="35">
        <v>3.6482003999999998E-2</v>
      </c>
    </row>
    <row r="12255" spans="103:104" x14ac:dyDescent="0.3">
      <c r="CY12255" s="34" t="s">
        <v>13182</v>
      </c>
      <c r="CZ12255" s="35">
        <v>1.897673874285714E-2</v>
      </c>
    </row>
    <row r="12256" spans="103:104" x14ac:dyDescent="0.3">
      <c r="CY12256" s="34" t="s">
        <v>13183</v>
      </c>
      <c r="CZ12256" s="35">
        <v>1.4596688E-2</v>
      </c>
    </row>
    <row r="12257" spans="103:104" x14ac:dyDescent="0.3">
      <c r="CY12257" s="34" t="s">
        <v>13184</v>
      </c>
      <c r="CZ12257" s="35">
        <v>4.2463120000000005</v>
      </c>
    </row>
    <row r="12258" spans="103:104" x14ac:dyDescent="0.3">
      <c r="CY12258" s="34" t="s">
        <v>13185</v>
      </c>
      <c r="CZ12258" s="35">
        <v>3.5536000000000001E-3</v>
      </c>
    </row>
    <row r="12259" spans="103:104" x14ac:dyDescent="0.3">
      <c r="CY12259" s="34" t="s">
        <v>13186</v>
      </c>
      <c r="CZ12259" s="35">
        <v>1.0801813340000001E-3</v>
      </c>
    </row>
    <row r="12260" spans="103:104" x14ac:dyDescent="0.3">
      <c r="CY12260" s="34" t="s">
        <v>13187</v>
      </c>
      <c r="CZ12260" s="35">
        <v>1.15712E-3</v>
      </c>
    </row>
    <row r="12261" spans="103:104" x14ac:dyDescent="0.3">
      <c r="CY12261" s="34" t="s">
        <v>13188</v>
      </c>
      <c r="CZ12261" s="35">
        <v>6.5449519999999997E-3</v>
      </c>
    </row>
    <row r="12262" spans="103:104" x14ac:dyDescent="0.3">
      <c r="CY12262" s="34" t="s">
        <v>13189</v>
      </c>
      <c r="CZ12262" s="35">
        <v>1.0777439999999999E-2</v>
      </c>
    </row>
    <row r="12263" spans="103:104" x14ac:dyDescent="0.3">
      <c r="CY12263" s="34" t="s">
        <v>13190</v>
      </c>
      <c r="CZ12263" s="35">
        <v>6.1813519999999993E-3</v>
      </c>
    </row>
    <row r="12264" spans="103:104" x14ac:dyDescent="0.3">
      <c r="CY12264" s="34" t="s">
        <v>13191</v>
      </c>
      <c r="CZ12264" s="35">
        <v>7.7596559999999993E-3</v>
      </c>
    </row>
    <row r="12265" spans="103:104" x14ac:dyDescent="0.3">
      <c r="CY12265" s="34" t="s">
        <v>13192</v>
      </c>
      <c r="CZ12265" s="35">
        <v>1.0185726856666667E-2</v>
      </c>
    </row>
    <row r="12266" spans="103:104" x14ac:dyDescent="0.3">
      <c r="CY12266" s="34" t="s">
        <v>13193</v>
      </c>
      <c r="CZ12266" s="35">
        <v>2.7943999999999998E-3</v>
      </c>
    </row>
    <row r="12267" spans="103:104" x14ac:dyDescent="0.3">
      <c r="CY12267" s="34" t="s">
        <v>13194</v>
      </c>
      <c r="CZ12267" s="35">
        <v>9.1190119999999997E-4</v>
      </c>
    </row>
    <row r="12268" spans="103:104" x14ac:dyDescent="0.3">
      <c r="CY12268" s="34" t="s">
        <v>13195</v>
      </c>
      <c r="CZ12268" s="35">
        <v>1.0719519999999999E-3</v>
      </c>
    </row>
    <row r="12269" spans="103:104" x14ac:dyDescent="0.3">
      <c r="CY12269" s="34" t="s">
        <v>13196</v>
      </c>
      <c r="CZ12269" s="35">
        <v>5.6727466500000004E-4</v>
      </c>
    </row>
    <row r="12270" spans="103:104" x14ac:dyDescent="0.3">
      <c r="CY12270" s="34" t="s">
        <v>13197</v>
      </c>
      <c r="CZ12270" s="35">
        <v>5.043519999999999E-4</v>
      </c>
    </row>
    <row r="12271" spans="103:104" x14ac:dyDescent="0.3">
      <c r="CY12271" s="34" t="s">
        <v>13198</v>
      </c>
      <c r="CZ12271" s="35">
        <v>5.2025696000000003E-2</v>
      </c>
    </row>
    <row r="12272" spans="103:104" x14ac:dyDescent="0.3">
      <c r="CY12272" s="34" t="s">
        <v>13199</v>
      </c>
      <c r="CZ12272" s="35">
        <v>4.8973400000000002E-4</v>
      </c>
    </row>
    <row r="12273" spans="103:104" x14ac:dyDescent="0.3">
      <c r="CY12273" s="34" t="s">
        <v>13200</v>
      </c>
      <c r="CZ12273" s="35">
        <v>7.4525472000000004E-4</v>
      </c>
    </row>
    <row r="12274" spans="103:104" x14ac:dyDescent="0.3">
      <c r="CY12274" s="34" t="s">
        <v>13201</v>
      </c>
      <c r="CZ12274" s="35">
        <v>0.13619248</v>
      </c>
    </row>
    <row r="12275" spans="103:104" x14ac:dyDescent="0.3">
      <c r="CY12275" s="34" t="s">
        <v>13202</v>
      </c>
      <c r="CZ12275" s="35">
        <v>0.13619248</v>
      </c>
    </row>
    <row r="12276" spans="103:104" x14ac:dyDescent="0.3">
      <c r="CY12276" s="34" t="s">
        <v>13203</v>
      </c>
      <c r="CZ12276" s="35">
        <v>0.13037472</v>
      </c>
    </row>
    <row r="12277" spans="103:104" x14ac:dyDescent="0.3">
      <c r="CY12277" s="34" t="s">
        <v>13204</v>
      </c>
      <c r="CZ12277" s="35">
        <v>0.13037472</v>
      </c>
    </row>
    <row r="12278" spans="103:104" x14ac:dyDescent="0.3">
      <c r="CY12278" s="34" t="s">
        <v>13205</v>
      </c>
      <c r="CZ12278" s="35">
        <v>0.24432452499999999</v>
      </c>
    </row>
    <row r="12279" spans="103:104" x14ac:dyDescent="0.3">
      <c r="CY12279" s="34" t="s">
        <v>13206</v>
      </c>
      <c r="CZ12279" s="35">
        <v>0.24432452499999999</v>
      </c>
    </row>
    <row r="12280" spans="103:104" x14ac:dyDescent="0.3">
      <c r="CY12280" s="34" t="s">
        <v>13207</v>
      </c>
      <c r="CZ12280" s="35">
        <v>7.9694499999999988E-2</v>
      </c>
    </row>
    <row r="12281" spans="103:104" x14ac:dyDescent="0.3">
      <c r="CY12281" s="34" t="s">
        <v>13208</v>
      </c>
      <c r="CZ12281" s="35">
        <v>7.9694499999999988E-2</v>
      </c>
    </row>
    <row r="12282" spans="103:104" x14ac:dyDescent="0.3">
      <c r="CY12282" s="34" t="s">
        <v>13209</v>
      </c>
      <c r="CZ12282" s="35">
        <v>5.234888E-2</v>
      </c>
    </row>
    <row r="12283" spans="103:104" x14ac:dyDescent="0.3">
      <c r="CY12283" s="34" t="s">
        <v>13210</v>
      </c>
      <c r="CZ12283" s="35">
        <v>5.234888E-2</v>
      </c>
    </row>
    <row r="12284" spans="103:104" x14ac:dyDescent="0.3">
      <c r="CY12284" s="34" t="s">
        <v>13211</v>
      </c>
      <c r="CZ12284" s="35">
        <v>5.5524399999999998E-4</v>
      </c>
    </row>
    <row r="12285" spans="103:104" x14ac:dyDescent="0.3">
      <c r="CY12285" s="34" t="s">
        <v>13212</v>
      </c>
      <c r="CZ12285" s="35">
        <v>6.7744899999999997E-2</v>
      </c>
    </row>
    <row r="12286" spans="103:104" x14ac:dyDescent="0.3">
      <c r="CY12286" s="34" t="s">
        <v>13213</v>
      </c>
      <c r="CZ12286" s="35">
        <v>6.7744899999999997E-2</v>
      </c>
    </row>
    <row r="12287" spans="103:104" x14ac:dyDescent="0.3">
      <c r="CY12287" s="34" t="s">
        <v>13214</v>
      </c>
      <c r="CZ12287" s="35">
        <v>4.9865786874999998E-3</v>
      </c>
    </row>
    <row r="12288" spans="103:104" x14ac:dyDescent="0.3">
      <c r="CY12288" s="34" t="s">
        <v>13215</v>
      </c>
      <c r="CZ12288" s="35">
        <v>7.6904692799999994E-2</v>
      </c>
    </row>
    <row r="12289" spans="103:104" x14ac:dyDescent="0.3">
      <c r="CY12289" s="34" t="s">
        <v>13216</v>
      </c>
      <c r="CZ12289" s="35">
        <v>2.9652623999999999E-2</v>
      </c>
    </row>
    <row r="12290" spans="103:104" x14ac:dyDescent="0.3">
      <c r="CY12290" s="34" t="s">
        <v>13217</v>
      </c>
      <c r="CZ12290" s="35">
        <v>1.1481696499999999E-2</v>
      </c>
    </row>
    <row r="12291" spans="103:104" x14ac:dyDescent="0.3">
      <c r="CY12291" s="34" t="s">
        <v>13218</v>
      </c>
      <c r="CZ12291" s="35">
        <v>1.495616E-2</v>
      </c>
    </row>
    <row r="12292" spans="103:104" x14ac:dyDescent="0.3">
      <c r="CY12292" s="34" t="s">
        <v>13219</v>
      </c>
      <c r="CZ12292" s="35">
        <v>1.2254509399999999E-2</v>
      </c>
    </row>
    <row r="12293" spans="103:104" x14ac:dyDescent="0.3">
      <c r="CY12293" s="34" t="s">
        <v>13220</v>
      </c>
      <c r="CZ12293" s="35">
        <v>7.6395999999999999E-3</v>
      </c>
    </row>
    <row r="12294" spans="103:104" x14ac:dyDescent="0.3">
      <c r="CY12294" s="34" t="s">
        <v>13221</v>
      </c>
      <c r="CZ12294" s="35">
        <v>1.4540888E-2</v>
      </c>
    </row>
    <row r="12295" spans="103:104" x14ac:dyDescent="0.3">
      <c r="CY12295" s="34" t="s">
        <v>13222</v>
      </c>
      <c r="CZ12295" s="35">
        <v>1.4375888000000002E-2</v>
      </c>
    </row>
    <row r="12296" spans="103:104" x14ac:dyDescent="0.3">
      <c r="CY12296" s="34" t="s">
        <v>13223</v>
      </c>
      <c r="CZ12296" s="35">
        <v>9.0066933000000002E-3</v>
      </c>
    </row>
    <row r="12297" spans="103:104" x14ac:dyDescent="0.3">
      <c r="CY12297" s="34" t="s">
        <v>13224</v>
      </c>
      <c r="CZ12297" s="35">
        <v>9.0066933000000002E-3</v>
      </c>
    </row>
    <row r="12298" spans="103:104" x14ac:dyDescent="0.3">
      <c r="CY12298" s="34" t="s">
        <v>13225</v>
      </c>
      <c r="CZ12298" s="35">
        <v>2.9929687999999999E-2</v>
      </c>
    </row>
    <row r="12299" spans="103:104" x14ac:dyDescent="0.3">
      <c r="CY12299" s="34" t="s">
        <v>13226</v>
      </c>
      <c r="CZ12299" s="35">
        <v>2.6921984000000003E-2</v>
      </c>
    </row>
    <row r="12300" spans="103:104" x14ac:dyDescent="0.3">
      <c r="CY12300" s="34" t="s">
        <v>13227</v>
      </c>
      <c r="CZ12300" s="35">
        <v>2.4739983999999996E-2</v>
      </c>
    </row>
    <row r="12301" spans="103:104" x14ac:dyDescent="0.3">
      <c r="CY12301" s="34" t="s">
        <v>13228</v>
      </c>
      <c r="CZ12301" s="35">
        <v>1.9197384000000001E-2</v>
      </c>
    </row>
    <row r="12302" spans="103:104" x14ac:dyDescent="0.3">
      <c r="CY12302" s="34" t="s">
        <v>13229</v>
      </c>
      <c r="CZ12302" s="35">
        <v>3.1232800000000002E-2</v>
      </c>
    </row>
    <row r="12303" spans="103:104" x14ac:dyDescent="0.3">
      <c r="CY12303" s="34" t="s">
        <v>13230</v>
      </c>
      <c r="CZ12303" s="35">
        <v>1.3880661000000001E-2</v>
      </c>
    </row>
    <row r="12304" spans="103:104" x14ac:dyDescent="0.3">
      <c r="CY12304" s="34" t="s">
        <v>13231</v>
      </c>
      <c r="CZ12304" s="35">
        <v>3.6762120000000001E-4</v>
      </c>
    </row>
    <row r="12305" spans="103:104" x14ac:dyDescent="0.3">
      <c r="CY12305" s="34" t="s">
        <v>13232</v>
      </c>
      <c r="CZ12305" s="35">
        <v>8.8833719999999996E-4</v>
      </c>
    </row>
    <row r="12306" spans="103:104" x14ac:dyDescent="0.3">
      <c r="CY12306" s="34" t="s">
        <v>13233</v>
      </c>
      <c r="CZ12306" s="35">
        <v>1.2215520000000001E-3</v>
      </c>
    </row>
    <row r="12307" spans="103:104" x14ac:dyDescent="0.3">
      <c r="CY12307" s="34" t="s">
        <v>13234</v>
      </c>
      <c r="CZ12307" s="35">
        <v>0</v>
      </c>
    </row>
    <row r="12308" spans="103:104" x14ac:dyDescent="0.3">
      <c r="CY12308" s="34" t="s">
        <v>13235</v>
      </c>
      <c r="CZ12308" s="35">
        <v>1.6000000000000001E-4</v>
      </c>
    </row>
    <row r="12309" spans="103:104" x14ac:dyDescent="0.3">
      <c r="CY12309" s="34" t="s">
        <v>13236</v>
      </c>
      <c r="CZ12309" s="35">
        <v>0</v>
      </c>
    </row>
    <row r="12310" spans="103:104" x14ac:dyDescent="0.3">
      <c r="CY12310" s="34" t="s">
        <v>13237</v>
      </c>
      <c r="CZ12310" s="35">
        <v>0</v>
      </c>
    </row>
    <row r="12311" spans="103:104" x14ac:dyDescent="0.3">
      <c r="CY12311" s="34" t="s">
        <v>13238</v>
      </c>
      <c r="CZ12311" s="35">
        <v>3.3400000000000004E-4</v>
      </c>
    </row>
    <row r="12312" spans="103:104" x14ac:dyDescent="0.3">
      <c r="CY12312" s="34" t="s">
        <v>13239</v>
      </c>
      <c r="CZ12312" s="35">
        <v>0</v>
      </c>
    </row>
    <row r="12313" spans="103:104" x14ac:dyDescent="0.3">
      <c r="CY12313" s="34" t="s">
        <v>13240</v>
      </c>
      <c r="CZ12313" s="35">
        <v>0</v>
      </c>
    </row>
    <row r="12314" spans="103:104" x14ac:dyDescent="0.3">
      <c r="CY12314" s="34" t="s">
        <v>13241</v>
      </c>
      <c r="CZ12314" s="35">
        <v>4.3999999999999999E-5</v>
      </c>
    </row>
    <row r="12315" spans="103:104" x14ac:dyDescent="0.3">
      <c r="CY12315" s="34" t="s">
        <v>13242</v>
      </c>
      <c r="CZ12315" s="35">
        <v>2.3000000000000001E-4</v>
      </c>
    </row>
    <row r="12316" spans="103:104" x14ac:dyDescent="0.3">
      <c r="CY12316" s="34" t="s">
        <v>13243</v>
      </c>
      <c r="CZ12316" s="35">
        <v>1.1468252000000002E-2</v>
      </c>
    </row>
    <row r="12317" spans="103:104" x14ac:dyDescent="0.3">
      <c r="CY12317" s="34" t="s">
        <v>13244</v>
      </c>
      <c r="CZ12317" s="35">
        <v>0.28233639999999999</v>
      </c>
    </row>
    <row r="12318" spans="103:104" x14ac:dyDescent="0.3">
      <c r="CY12318" s="34" t="s">
        <v>13245</v>
      </c>
      <c r="CZ12318" s="35">
        <v>4.659120286738351E-2</v>
      </c>
    </row>
    <row r="12319" spans="103:104" x14ac:dyDescent="0.3">
      <c r="CY12319" s="34" t="s">
        <v>13246</v>
      </c>
      <c r="CZ12319" s="35">
        <v>0.23248300000000002</v>
      </c>
    </row>
    <row r="12320" spans="103:104" x14ac:dyDescent="0.3">
      <c r="CY12320" s="34" t="s">
        <v>13247</v>
      </c>
      <c r="CZ12320" s="35">
        <v>3.7556928000000003E-2</v>
      </c>
    </row>
    <row r="12321" spans="103:104" x14ac:dyDescent="0.3">
      <c r="CY12321" s="34" t="s">
        <v>13248</v>
      </c>
      <c r="CZ12321" s="35">
        <v>5.7329413500000002E-2</v>
      </c>
    </row>
    <row r="12322" spans="103:104" x14ac:dyDescent="0.3">
      <c r="CY12322" s="34" t="s">
        <v>13249</v>
      </c>
      <c r="CZ12322" s="35">
        <v>3.8681750000000008E-2</v>
      </c>
    </row>
    <row r="12323" spans="103:104" x14ac:dyDescent="0.3">
      <c r="CY12323" s="34" t="s">
        <v>13250</v>
      </c>
      <c r="CZ12323" s="35">
        <v>3.8428049999999998E-2</v>
      </c>
    </row>
    <row r="12324" spans="103:104" x14ac:dyDescent="0.3">
      <c r="CY12324" s="34" t="s">
        <v>13251</v>
      </c>
      <c r="CZ12324" s="35">
        <v>3.8390550000000002E-2</v>
      </c>
    </row>
    <row r="12325" spans="103:104" x14ac:dyDescent="0.3">
      <c r="CY12325" s="34" t="s">
        <v>13252</v>
      </c>
      <c r="CZ12325" s="35">
        <v>3.61193E-2</v>
      </c>
    </row>
    <row r="12326" spans="103:104" x14ac:dyDescent="0.3">
      <c r="CY12326" s="34" t="s">
        <v>13253</v>
      </c>
      <c r="CZ12326" s="35">
        <v>6.788799999999999E-2</v>
      </c>
    </row>
    <row r="12327" spans="103:104" x14ac:dyDescent="0.3">
      <c r="CY12327" s="34" t="s">
        <v>13254</v>
      </c>
      <c r="CZ12327" s="35">
        <v>1.7536313653846152E-2</v>
      </c>
    </row>
    <row r="12328" spans="103:104" x14ac:dyDescent="0.3">
      <c r="CY12328" s="34" t="s">
        <v>13255</v>
      </c>
      <c r="CZ12328" s="35">
        <v>2.2325305653846151E-2</v>
      </c>
    </row>
    <row r="12329" spans="103:104" x14ac:dyDescent="0.3">
      <c r="CY12329" s="34" t="s">
        <v>13256</v>
      </c>
      <c r="CZ12329" s="35">
        <v>3.4564320000000003E-2</v>
      </c>
    </row>
    <row r="12330" spans="103:104" x14ac:dyDescent="0.3">
      <c r="CY12330" s="34" t="s">
        <v>13257</v>
      </c>
      <c r="CZ12330" s="35">
        <v>0.20519520000000002</v>
      </c>
    </row>
    <row r="12331" spans="103:104" x14ac:dyDescent="0.3">
      <c r="CY12331" s="34" t="s">
        <v>13258</v>
      </c>
      <c r="CZ12331" s="35">
        <v>3.3262384000000006E-2</v>
      </c>
    </row>
    <row r="12332" spans="103:104" x14ac:dyDescent="0.3">
      <c r="CY12332" s="34" t="s">
        <v>13259</v>
      </c>
      <c r="CZ12332" s="35">
        <v>2.4028608E-2</v>
      </c>
    </row>
    <row r="12333" spans="103:104" x14ac:dyDescent="0.3">
      <c r="CY12333" s="34" t="s">
        <v>13260</v>
      </c>
      <c r="CZ12333" s="35">
        <v>2.5083352000000003E-2</v>
      </c>
    </row>
    <row r="12334" spans="103:104" x14ac:dyDescent="0.3">
      <c r="CY12334" s="34" t="s">
        <v>13261</v>
      </c>
      <c r="CZ12334" s="35">
        <v>2.3781465200000001E-2</v>
      </c>
    </row>
    <row r="12335" spans="103:104" x14ac:dyDescent="0.3">
      <c r="CY12335" s="34" t="s">
        <v>13262</v>
      </c>
      <c r="CZ12335" s="35">
        <v>2.5409600000000001E-2</v>
      </c>
    </row>
    <row r="12336" spans="103:104" x14ac:dyDescent="0.3">
      <c r="CY12336" s="34" t="s">
        <v>13263</v>
      </c>
      <c r="CZ12336" s="35">
        <v>2.8615332499999997E-2</v>
      </c>
    </row>
    <row r="12337" spans="103:104" x14ac:dyDescent="0.3">
      <c r="CY12337" s="34" t="s">
        <v>13264</v>
      </c>
      <c r="CZ12337" s="35">
        <v>3.3687399999999999E-2</v>
      </c>
    </row>
    <row r="12338" spans="103:104" x14ac:dyDescent="0.3">
      <c r="CY12338" s="34" t="s">
        <v>13265</v>
      </c>
      <c r="CZ12338" s="35">
        <v>2.4785983999999997E-2</v>
      </c>
    </row>
    <row r="12339" spans="103:104" x14ac:dyDescent="0.3">
      <c r="CY12339" s="34" t="s">
        <v>13266</v>
      </c>
      <c r="CZ12339" s="35">
        <v>0.12675041312499999</v>
      </c>
    </row>
    <row r="12340" spans="103:104" x14ac:dyDescent="0.3">
      <c r="CY12340" s="34" t="s">
        <v>13267</v>
      </c>
      <c r="CZ12340" s="35">
        <v>7.9571660000000001E-4</v>
      </c>
    </row>
    <row r="12341" spans="103:104" x14ac:dyDescent="0.3">
      <c r="CY12341" s="34" t="s">
        <v>13268</v>
      </c>
      <c r="CZ12341" s="35">
        <v>5.9492379999999997E-4</v>
      </c>
    </row>
    <row r="12342" spans="103:104" x14ac:dyDescent="0.3">
      <c r="CY12342" s="34" t="s">
        <v>13269</v>
      </c>
      <c r="CZ12342" s="35">
        <v>6.5307879999999992E-4</v>
      </c>
    </row>
    <row r="12343" spans="103:104" x14ac:dyDescent="0.3">
      <c r="CY12343" s="34" t="s">
        <v>13270</v>
      </c>
      <c r="CZ12343" s="35">
        <v>6.631199999999999E-4</v>
      </c>
    </row>
    <row r="12344" spans="103:104" x14ac:dyDescent="0.3">
      <c r="CY12344" s="34" t="s">
        <v>13271</v>
      </c>
      <c r="CZ12344" s="35">
        <v>8.4678919999999999E-4</v>
      </c>
    </row>
    <row r="12345" spans="103:104" x14ac:dyDescent="0.3">
      <c r="CY12345" s="34" t="s">
        <v>13272</v>
      </c>
      <c r="CZ12345" s="35">
        <v>5.9856880000000001E-4</v>
      </c>
    </row>
    <row r="12346" spans="103:104" x14ac:dyDescent="0.3">
      <c r="CY12346" s="34" t="s">
        <v>13273</v>
      </c>
      <c r="CZ12346" s="35">
        <v>6.8979720000000008E-2</v>
      </c>
    </row>
    <row r="12347" spans="103:104" x14ac:dyDescent="0.3">
      <c r="CY12347" s="34" t="s">
        <v>13274</v>
      </c>
      <c r="CZ12347" s="35">
        <v>7.0057845000000007E-2</v>
      </c>
    </row>
    <row r="12348" spans="103:104" x14ac:dyDescent="0.3">
      <c r="CY12348" s="34" t="s">
        <v>13275</v>
      </c>
      <c r="CZ12348" s="35">
        <v>2.5427659999999994E-2</v>
      </c>
    </row>
    <row r="12349" spans="103:104" x14ac:dyDescent="0.3">
      <c r="CY12349" s="34" t="s">
        <v>13276</v>
      </c>
      <c r="CZ12349" s="35">
        <v>3.184924E-3</v>
      </c>
    </row>
    <row r="12350" spans="103:104" x14ac:dyDescent="0.3">
      <c r="CY12350" s="34" t="s">
        <v>13277</v>
      </c>
      <c r="CZ12350" s="35">
        <v>3.9817668600000003E-3</v>
      </c>
    </row>
    <row r="12351" spans="103:104" x14ac:dyDescent="0.3">
      <c r="CY12351" s="34" t="s">
        <v>13278</v>
      </c>
      <c r="CZ12351" s="35">
        <v>4.0128223999999997E-2</v>
      </c>
    </row>
    <row r="12352" spans="103:104" x14ac:dyDescent="0.3">
      <c r="CY12352" s="34" t="s">
        <v>13279</v>
      </c>
      <c r="CZ12352" s="35">
        <v>4.5384903999999997E-2</v>
      </c>
    </row>
    <row r="12353" spans="103:104" x14ac:dyDescent="0.3">
      <c r="CY12353" s="34" t="s">
        <v>13280</v>
      </c>
      <c r="CZ12353" s="35">
        <v>5.9827839999999997E-4</v>
      </c>
    </row>
    <row r="12354" spans="103:104" x14ac:dyDescent="0.3">
      <c r="CY12354" s="34" t="s">
        <v>13281</v>
      </c>
      <c r="CZ12354" s="35">
        <v>1.5467520000000002E-2</v>
      </c>
    </row>
    <row r="12355" spans="103:104" x14ac:dyDescent="0.3">
      <c r="CY12355" s="34" t="s">
        <v>13282</v>
      </c>
      <c r="CZ12355" s="35">
        <v>0.11146108999999998</v>
      </c>
    </row>
    <row r="12356" spans="103:104" x14ac:dyDescent="0.3">
      <c r="CY12356" s="34" t="s">
        <v>13283</v>
      </c>
      <c r="CZ12356" s="35">
        <v>1.3300090000000001E-2</v>
      </c>
    </row>
    <row r="12357" spans="103:104" x14ac:dyDescent="0.3">
      <c r="CY12357" s="34" t="s">
        <v>13284</v>
      </c>
      <c r="CZ12357" s="35">
        <v>1.3300089999999999E-2</v>
      </c>
    </row>
    <row r="12358" spans="103:104" x14ac:dyDescent="0.3">
      <c r="CY12358" s="34" t="s">
        <v>13285</v>
      </c>
      <c r="CZ12358" s="35">
        <v>5.9700713600000004E-2</v>
      </c>
    </row>
    <row r="12359" spans="103:104" x14ac:dyDescent="0.3">
      <c r="CY12359" s="34" t="s">
        <v>13286</v>
      </c>
      <c r="CZ12359" s="35">
        <v>5.9700713599999997E-2</v>
      </c>
    </row>
    <row r="12360" spans="103:104" x14ac:dyDescent="0.3">
      <c r="CY12360" s="34" t="s">
        <v>13287</v>
      </c>
      <c r="CZ12360" s="35">
        <v>5.0700713600000009E-2</v>
      </c>
    </row>
    <row r="12361" spans="103:104" x14ac:dyDescent="0.3">
      <c r="CY12361" s="34" t="s">
        <v>13288</v>
      </c>
      <c r="CZ12361" s="35">
        <v>1.2527883818253333E-2</v>
      </c>
    </row>
    <row r="12362" spans="103:104" x14ac:dyDescent="0.3">
      <c r="CY12362" s="34" t="s">
        <v>13289</v>
      </c>
      <c r="CZ12362" s="35">
        <v>1.1390072000000001E-3</v>
      </c>
    </row>
    <row r="12363" spans="103:104" x14ac:dyDescent="0.3">
      <c r="CY12363" s="34" t="s">
        <v>13290</v>
      </c>
      <c r="CZ12363" s="35">
        <v>1.3691264E-2</v>
      </c>
    </row>
    <row r="12364" spans="103:104" x14ac:dyDescent="0.3">
      <c r="CY12364" s="34" t="s">
        <v>13291</v>
      </c>
      <c r="CZ12364" s="35">
        <v>1.2837620000000001E-2</v>
      </c>
    </row>
    <row r="12365" spans="103:104" x14ac:dyDescent="0.3">
      <c r="CY12365" s="34" t="s">
        <v>13292</v>
      </c>
      <c r="CZ12365" s="35">
        <v>8.3241999999999986E-3</v>
      </c>
    </row>
    <row r="12366" spans="103:104" x14ac:dyDescent="0.3">
      <c r="CY12366" s="34" t="s">
        <v>13293</v>
      </c>
      <c r="CZ12366" s="35">
        <v>0.13987552</v>
      </c>
    </row>
    <row r="12367" spans="103:104" x14ac:dyDescent="0.3">
      <c r="CY12367" s="34" t="s">
        <v>13294</v>
      </c>
      <c r="CZ12367" s="35">
        <v>3.6940520000000004E-2</v>
      </c>
    </row>
    <row r="12368" spans="103:104" x14ac:dyDescent="0.3">
      <c r="CY12368" s="34" t="s">
        <v>13295</v>
      </c>
      <c r="CZ12368" s="35">
        <v>0.20687879340000001</v>
      </c>
    </row>
    <row r="12369" spans="103:104" x14ac:dyDescent="0.3">
      <c r="CY12369" s="34" t="s">
        <v>13296</v>
      </c>
      <c r="CZ12369" s="35">
        <v>3.4330551062500006E-2</v>
      </c>
    </row>
    <row r="12370" spans="103:104" x14ac:dyDescent="0.3">
      <c r="CY12370" s="34" t="s">
        <v>13297</v>
      </c>
      <c r="CZ12370" s="35">
        <v>3.6449447110000005E-2</v>
      </c>
    </row>
    <row r="12371" spans="103:104" x14ac:dyDescent="0.3">
      <c r="CY12371" s="34" t="s">
        <v>13298</v>
      </c>
      <c r="CZ12371" s="35">
        <v>2.1410613333333332E-2</v>
      </c>
    </row>
    <row r="12372" spans="103:104" x14ac:dyDescent="0.3">
      <c r="CY12372" s="34" t="s">
        <v>13299</v>
      </c>
      <c r="CZ12372" s="35">
        <v>0.1005689</v>
      </c>
    </row>
    <row r="12373" spans="103:104" x14ac:dyDescent="0.3">
      <c r="CY12373" s="34" t="s">
        <v>13300</v>
      </c>
      <c r="CZ12373" s="35">
        <v>5.01343E-2</v>
      </c>
    </row>
    <row r="12374" spans="103:104" x14ac:dyDescent="0.3">
      <c r="CY12374" s="34" t="s">
        <v>13301</v>
      </c>
      <c r="CZ12374" s="35">
        <v>8.8371680000000011E-3</v>
      </c>
    </row>
    <row r="12375" spans="103:104" x14ac:dyDescent="0.3">
      <c r="CY12375" s="34" t="s">
        <v>13302</v>
      </c>
      <c r="CZ12375" s="35">
        <v>2.3908933333333333E-2</v>
      </c>
    </row>
    <row r="12376" spans="103:104" x14ac:dyDescent="0.3">
      <c r="CY12376" s="34" t="s">
        <v>13303</v>
      </c>
      <c r="CZ12376" s="35">
        <v>0.10649088666666667</v>
      </c>
    </row>
    <row r="12377" spans="103:104" x14ac:dyDescent="0.3">
      <c r="CY12377" s="34" t="s">
        <v>13304</v>
      </c>
      <c r="CZ12377" s="35">
        <v>0.1064908867</v>
      </c>
    </row>
    <row r="12378" spans="103:104" x14ac:dyDescent="0.3">
      <c r="CY12378" s="34" t="s">
        <v>13305</v>
      </c>
      <c r="CZ12378" s="35">
        <v>0.16563856833333332</v>
      </c>
    </row>
    <row r="12379" spans="103:104" x14ac:dyDescent="0.3">
      <c r="CY12379" s="34" t="s">
        <v>13306</v>
      </c>
      <c r="CZ12379" s="35">
        <v>1.3351159999999999E-3</v>
      </c>
    </row>
    <row r="12380" spans="103:104" x14ac:dyDescent="0.3">
      <c r="CY12380" s="34" t="s">
        <v>13307</v>
      </c>
      <c r="CZ12380" s="35">
        <v>0.27155131252000003</v>
      </c>
    </row>
    <row r="12381" spans="103:104" x14ac:dyDescent="0.3">
      <c r="CY12381" s="34" t="s">
        <v>13308</v>
      </c>
      <c r="CZ12381" s="35">
        <v>9.7419560000000013E-3</v>
      </c>
    </row>
    <row r="12382" spans="103:104" x14ac:dyDescent="0.3">
      <c r="CY12382" s="34" t="s">
        <v>13309</v>
      </c>
      <c r="CZ12382" s="35">
        <v>1.1208752000000001E-2</v>
      </c>
    </row>
    <row r="12383" spans="103:104" x14ac:dyDescent="0.3">
      <c r="CY12383" s="34" t="s">
        <v>13310</v>
      </c>
      <c r="CZ12383" s="35">
        <v>3.6813440000000005E-3</v>
      </c>
    </row>
    <row r="12384" spans="103:104" x14ac:dyDescent="0.3">
      <c r="CY12384" s="34" t="s">
        <v>13311</v>
      </c>
      <c r="CZ12384" s="35">
        <v>0.10551718</v>
      </c>
    </row>
    <row r="12385" spans="103:104" x14ac:dyDescent="0.3">
      <c r="CY12385" s="34" t="s">
        <v>13312</v>
      </c>
      <c r="CZ12385" s="35">
        <v>1.5806762105263154E-2</v>
      </c>
    </row>
    <row r="12386" spans="103:104" x14ac:dyDescent="0.3">
      <c r="CY12386" s="34" t="s">
        <v>13313</v>
      </c>
      <c r="CZ12386" s="35">
        <v>1.0888063999999999E-2</v>
      </c>
    </row>
    <row r="12387" spans="103:104" x14ac:dyDescent="0.3">
      <c r="CY12387" s="34" t="s">
        <v>13314</v>
      </c>
      <c r="CZ12387" s="35">
        <v>1.2328533333333334E-2</v>
      </c>
    </row>
    <row r="12388" spans="103:104" x14ac:dyDescent="0.3">
      <c r="CY12388" s="34" t="s">
        <v>13315</v>
      </c>
      <c r="CZ12388" s="35">
        <v>1.1572747999999999E-2</v>
      </c>
    </row>
    <row r="12389" spans="103:104" x14ac:dyDescent="0.3">
      <c r="CY12389" s="34" t="s">
        <v>13316</v>
      </c>
      <c r="CZ12389" s="35">
        <v>3.8184274999999998E-3</v>
      </c>
    </row>
    <row r="12390" spans="103:104" x14ac:dyDescent="0.3">
      <c r="CY12390" s="34" t="s">
        <v>13317</v>
      </c>
      <c r="CZ12390" s="35">
        <v>4.9130600000000006E-4</v>
      </c>
    </row>
    <row r="12391" spans="103:104" x14ac:dyDescent="0.3">
      <c r="CY12391" s="34" t="s">
        <v>13318</v>
      </c>
      <c r="CZ12391" s="35">
        <v>1.1499519999999999E-2</v>
      </c>
    </row>
    <row r="12392" spans="103:104" x14ac:dyDescent="0.3">
      <c r="CY12392" s="34" t="s">
        <v>13319</v>
      </c>
      <c r="CZ12392" s="35">
        <v>1.1499519999999999E-2</v>
      </c>
    </row>
    <row r="12393" spans="103:104" x14ac:dyDescent="0.3">
      <c r="CY12393" s="34" t="s">
        <v>13320</v>
      </c>
      <c r="CZ12393" s="35">
        <v>1.9115960000000001E-2</v>
      </c>
    </row>
    <row r="12394" spans="103:104" x14ac:dyDescent="0.3">
      <c r="CY12394" s="34" t="s">
        <v>13321</v>
      </c>
      <c r="CZ12394" s="35">
        <v>1.5843232000000002E-2</v>
      </c>
    </row>
    <row r="12395" spans="103:104" x14ac:dyDescent="0.3">
      <c r="CY12395" s="34" t="s">
        <v>13322</v>
      </c>
      <c r="CZ12395" s="35">
        <v>3.7642311999999997E-2</v>
      </c>
    </row>
    <row r="12396" spans="103:104" x14ac:dyDescent="0.3">
      <c r="CY12396" s="34" t="s">
        <v>13323</v>
      </c>
      <c r="CZ12396" s="35">
        <v>4.176936E-4</v>
      </c>
    </row>
    <row r="12397" spans="103:104" x14ac:dyDescent="0.3">
      <c r="CY12397" s="34" t="s">
        <v>13324</v>
      </c>
      <c r="CZ12397" s="35">
        <v>1.904832E-3</v>
      </c>
    </row>
    <row r="12398" spans="103:104" x14ac:dyDescent="0.3">
      <c r="CY12398" s="34" t="s">
        <v>13325</v>
      </c>
      <c r="CZ12398" s="35">
        <v>0.16894103999999996</v>
      </c>
    </row>
    <row r="12399" spans="103:104" x14ac:dyDescent="0.3">
      <c r="CY12399" s="34" t="s">
        <v>13326</v>
      </c>
      <c r="CZ12399" s="35">
        <v>0.43830864999999997</v>
      </c>
    </row>
    <row r="12400" spans="103:104" x14ac:dyDescent="0.3">
      <c r="CY12400" s="34" t="s">
        <v>13327</v>
      </c>
      <c r="CZ12400" s="35">
        <v>0.36543886417500004</v>
      </c>
    </row>
    <row r="12401" spans="103:104" x14ac:dyDescent="0.3">
      <c r="CY12401" s="34" t="s">
        <v>13328</v>
      </c>
      <c r="CZ12401" s="35">
        <v>4.0523896E-4</v>
      </c>
    </row>
    <row r="12402" spans="103:104" x14ac:dyDescent="0.3">
      <c r="CY12402" s="34" t="s">
        <v>13329</v>
      </c>
      <c r="CZ12402" s="35">
        <v>6.1023520000000001E-3</v>
      </c>
    </row>
    <row r="12403" spans="103:104" x14ac:dyDescent="0.3">
      <c r="CY12403" s="34" t="s">
        <v>13330</v>
      </c>
      <c r="CZ12403" s="35">
        <v>4.9918008000000005E-3</v>
      </c>
    </row>
    <row r="12404" spans="103:104" x14ac:dyDescent="0.3">
      <c r="CY12404" s="34" t="s">
        <v>13331</v>
      </c>
      <c r="CZ12404" s="35">
        <v>1.6504293312500001E-2</v>
      </c>
    </row>
    <row r="12405" spans="103:104" x14ac:dyDescent="0.3">
      <c r="CY12405" s="34" t="s">
        <v>13332</v>
      </c>
      <c r="CZ12405" s="35">
        <v>1.2314703999999999E-2</v>
      </c>
    </row>
    <row r="12406" spans="103:104" x14ac:dyDescent="0.3">
      <c r="CY12406" s="34" t="s">
        <v>13333</v>
      </c>
      <c r="CZ12406" s="35">
        <v>1.8640766800000002</v>
      </c>
    </row>
    <row r="12407" spans="103:104" x14ac:dyDescent="0.3">
      <c r="CY12407" s="34" t="s">
        <v>13334</v>
      </c>
      <c r="CZ12407" s="35">
        <v>2.2143298339999999E-2</v>
      </c>
    </row>
    <row r="12408" spans="103:104" x14ac:dyDescent="0.3">
      <c r="CY12408" s="34" t="s">
        <v>13335</v>
      </c>
      <c r="CZ12408" s="35">
        <v>0.14462160899999998</v>
      </c>
    </row>
    <row r="12409" spans="103:104" x14ac:dyDescent="0.3">
      <c r="CY12409" s="34" t="s">
        <v>13336</v>
      </c>
      <c r="CZ12409" s="35">
        <v>2.6389664E-2</v>
      </c>
    </row>
    <row r="12410" spans="103:104" x14ac:dyDescent="0.3">
      <c r="CY12410" s="34" t="s">
        <v>13337</v>
      </c>
      <c r="CZ12410" s="35">
        <v>1.6885960000000001E-3</v>
      </c>
    </row>
    <row r="12411" spans="103:104" x14ac:dyDescent="0.3">
      <c r="CY12411" s="34" t="s">
        <v>13338</v>
      </c>
      <c r="CZ12411" s="35">
        <v>1.7362960000000002E-3</v>
      </c>
    </row>
    <row r="12412" spans="103:104" x14ac:dyDescent="0.3">
      <c r="CY12412" s="34" t="s">
        <v>13339</v>
      </c>
      <c r="CZ12412" s="35">
        <v>2.952508E-4</v>
      </c>
    </row>
    <row r="12413" spans="103:104" x14ac:dyDescent="0.3">
      <c r="CY12413" s="34" t="s">
        <v>13340</v>
      </c>
      <c r="CZ12413" s="35">
        <v>1.575988E-3</v>
      </c>
    </row>
    <row r="12414" spans="103:104" x14ac:dyDescent="0.3">
      <c r="CY12414" s="34" t="s">
        <v>13341</v>
      </c>
      <c r="CZ12414" s="35">
        <v>6.3839039999999988E-4</v>
      </c>
    </row>
    <row r="12415" spans="103:104" x14ac:dyDescent="0.3">
      <c r="CY12415" s="34" t="s">
        <v>13342</v>
      </c>
      <c r="CZ12415" s="35">
        <v>5.2839279999999998E-4</v>
      </c>
    </row>
    <row r="12416" spans="103:104" x14ac:dyDescent="0.3">
      <c r="CY12416" s="34" t="s">
        <v>13343</v>
      </c>
      <c r="CZ12416" s="35">
        <v>1.6634727999999999E-3</v>
      </c>
    </row>
    <row r="12417" spans="103:104" x14ac:dyDescent="0.3">
      <c r="CY12417" s="34" t="s">
        <v>13344</v>
      </c>
      <c r="CZ12417" s="35">
        <v>1.21473767E-2</v>
      </c>
    </row>
    <row r="12418" spans="103:104" x14ac:dyDescent="0.3">
      <c r="CY12418" s="34" t="s">
        <v>13345</v>
      </c>
      <c r="CZ12418" s="35">
        <v>1.2588856668421054E-2</v>
      </c>
    </row>
    <row r="12419" spans="103:104" x14ac:dyDescent="0.3">
      <c r="CY12419" s="34" t="s">
        <v>13346</v>
      </c>
      <c r="CZ12419" s="35">
        <v>2.7924159999999998E-3</v>
      </c>
    </row>
    <row r="12420" spans="103:104" x14ac:dyDescent="0.3">
      <c r="CY12420" s="34" t="s">
        <v>13347</v>
      </c>
      <c r="CZ12420" s="35">
        <v>4.5832960000000006E-2</v>
      </c>
    </row>
    <row r="12421" spans="103:104" x14ac:dyDescent="0.3">
      <c r="CY12421" s="34" t="s">
        <v>13348</v>
      </c>
      <c r="CZ12421" s="35">
        <v>5.4589238933333339E-2</v>
      </c>
    </row>
    <row r="12422" spans="103:104" x14ac:dyDescent="0.3">
      <c r="CY12422" s="34" t="s">
        <v>13349</v>
      </c>
      <c r="CZ12422" s="35">
        <v>7.3759333400000002E-2</v>
      </c>
    </row>
    <row r="12423" spans="103:104" x14ac:dyDescent="0.3">
      <c r="CY12423" s="34" t="s">
        <v>13350</v>
      </c>
      <c r="CZ12423" s="35">
        <v>7.6676488888888887E-3</v>
      </c>
    </row>
    <row r="12424" spans="103:104" x14ac:dyDescent="0.3">
      <c r="CY12424" s="34" t="s">
        <v>13351</v>
      </c>
      <c r="CZ12424" s="35">
        <v>0.12649095333333335</v>
      </c>
    </row>
    <row r="12425" spans="103:104" x14ac:dyDescent="0.3">
      <c r="CY12425" s="34" t="s">
        <v>13352</v>
      </c>
      <c r="CZ12425" s="35">
        <v>2.2557326659999998E-2</v>
      </c>
    </row>
    <row r="12426" spans="103:104" x14ac:dyDescent="0.3">
      <c r="CY12426" s="34" t="s">
        <v>13353</v>
      </c>
      <c r="CZ12426" s="35">
        <v>9.2231439999999991E-3</v>
      </c>
    </row>
    <row r="12427" spans="103:104" x14ac:dyDescent="0.3">
      <c r="CY12427" s="34" t="s">
        <v>13354</v>
      </c>
      <c r="CZ12427" s="35">
        <v>7.2995596671428561E-2</v>
      </c>
    </row>
    <row r="12428" spans="103:104" x14ac:dyDescent="0.3">
      <c r="CY12428" s="34" t="s">
        <v>13355</v>
      </c>
      <c r="CZ12428" s="35">
        <v>1.0978687999999999E-2</v>
      </c>
    </row>
    <row r="12429" spans="103:104" x14ac:dyDescent="0.3">
      <c r="CY12429" s="34" t="s">
        <v>13356</v>
      </c>
      <c r="CZ12429" s="35">
        <v>2.9205968000000002E-2</v>
      </c>
    </row>
    <row r="12430" spans="103:104" x14ac:dyDescent="0.3">
      <c r="CY12430" s="34" t="s">
        <v>13357</v>
      </c>
      <c r="CZ12430" s="35">
        <v>0.23415112000000002</v>
      </c>
    </row>
    <row r="12431" spans="103:104" x14ac:dyDescent="0.3">
      <c r="CY12431" s="34" t="s">
        <v>13358</v>
      </c>
      <c r="CZ12431" s="35">
        <v>2.4389519999999998E-2</v>
      </c>
    </row>
    <row r="12432" spans="103:104" x14ac:dyDescent="0.3">
      <c r="CY12432" s="34" t="s">
        <v>13359</v>
      </c>
      <c r="CZ12432" s="35">
        <v>1.27989173E-2</v>
      </c>
    </row>
    <row r="12433" spans="103:104" x14ac:dyDescent="0.3">
      <c r="CY12433" s="34" t="s">
        <v>13360</v>
      </c>
      <c r="CZ12433" s="35">
        <v>1.2798917320000002E-2</v>
      </c>
    </row>
    <row r="12434" spans="103:104" x14ac:dyDescent="0.3">
      <c r="CY12434" s="34" t="s">
        <v>13361</v>
      </c>
      <c r="CZ12434" s="35">
        <v>7.158775E-3</v>
      </c>
    </row>
    <row r="12435" spans="103:104" x14ac:dyDescent="0.3">
      <c r="CY12435" s="34" t="s">
        <v>13362</v>
      </c>
      <c r="CZ12435" s="35">
        <v>5.5711520000000002E-3</v>
      </c>
    </row>
    <row r="12436" spans="103:104" x14ac:dyDescent="0.3">
      <c r="CY12436" s="34" t="s">
        <v>13363</v>
      </c>
      <c r="CZ12436" s="35">
        <v>6.2386245000000005E-3</v>
      </c>
    </row>
    <row r="12437" spans="103:104" x14ac:dyDescent="0.3">
      <c r="CY12437" s="34" t="s">
        <v>13364</v>
      </c>
      <c r="CZ12437" s="35">
        <v>4.7073284999999999E-3</v>
      </c>
    </row>
    <row r="12438" spans="103:104" x14ac:dyDescent="0.3">
      <c r="CY12438" s="34" t="s">
        <v>13365</v>
      </c>
      <c r="CZ12438" s="35">
        <v>8.9633560000000004E-3</v>
      </c>
    </row>
    <row r="12439" spans="103:104" x14ac:dyDescent="0.3">
      <c r="CY12439" s="34" t="s">
        <v>13366</v>
      </c>
      <c r="CZ12439" s="35">
        <v>3.942404E-2</v>
      </c>
    </row>
    <row r="12440" spans="103:104" x14ac:dyDescent="0.3">
      <c r="CY12440" s="34" t="s">
        <v>13367</v>
      </c>
      <c r="CZ12440" s="35">
        <v>3.942404E-2</v>
      </c>
    </row>
    <row r="12441" spans="103:104" x14ac:dyDescent="0.3">
      <c r="CY12441" s="34" t="s">
        <v>13368</v>
      </c>
      <c r="CZ12441" s="35">
        <v>4.3277240000000002E-2</v>
      </c>
    </row>
    <row r="12442" spans="103:104" x14ac:dyDescent="0.3">
      <c r="CY12442" s="34" t="s">
        <v>13369</v>
      </c>
      <c r="CZ12442" s="35">
        <v>3.59509E-3</v>
      </c>
    </row>
    <row r="12443" spans="103:104" x14ac:dyDescent="0.3">
      <c r="CY12443" s="34" t="s">
        <v>13370</v>
      </c>
      <c r="CZ12443" s="35">
        <v>6.3838666750000005E-4</v>
      </c>
    </row>
    <row r="12444" spans="103:104" x14ac:dyDescent="0.3">
      <c r="CY12444" s="34" t="s">
        <v>13371</v>
      </c>
      <c r="CZ12444" s="35">
        <v>6.8249231999999993E-2</v>
      </c>
    </row>
    <row r="12445" spans="103:104" x14ac:dyDescent="0.3">
      <c r="CY12445" s="34" t="s">
        <v>13372</v>
      </c>
      <c r="CZ12445" s="35">
        <v>2.3946039999999998E-2</v>
      </c>
    </row>
    <row r="12446" spans="103:104" x14ac:dyDescent="0.3">
      <c r="CY12446" s="34" t="s">
        <v>13373</v>
      </c>
      <c r="CZ12446" s="35">
        <v>0.18046270659999997</v>
      </c>
    </row>
    <row r="12447" spans="103:104" x14ac:dyDescent="0.3">
      <c r="CY12447" s="34" t="s">
        <v>13374</v>
      </c>
      <c r="CZ12447" s="35">
        <v>8.50011E-3</v>
      </c>
    </row>
    <row r="12448" spans="103:104" x14ac:dyDescent="0.3">
      <c r="CY12448" s="34" t="s">
        <v>13375</v>
      </c>
      <c r="CZ12448" s="35">
        <v>6.647595664285715E-3</v>
      </c>
    </row>
    <row r="12449" spans="103:104" x14ac:dyDescent="0.3">
      <c r="CY12449" s="34" t="s">
        <v>13376</v>
      </c>
      <c r="CZ12449" s="35">
        <v>1.8087967999999999E-3</v>
      </c>
    </row>
    <row r="12450" spans="103:104" x14ac:dyDescent="0.3">
      <c r="CY12450" s="34" t="s">
        <v>13377</v>
      </c>
      <c r="CZ12450" s="35">
        <v>0.21397680000000002</v>
      </c>
    </row>
    <row r="12451" spans="103:104" x14ac:dyDescent="0.3">
      <c r="CY12451" s="34" t="s">
        <v>13378</v>
      </c>
      <c r="CZ12451" s="35">
        <v>6.2448387096774194E-2</v>
      </c>
    </row>
    <row r="12452" spans="103:104" x14ac:dyDescent="0.3">
      <c r="CY12452" s="34" t="s">
        <v>13379</v>
      </c>
      <c r="CZ12452" s="35">
        <v>1.6559999999999999E-3</v>
      </c>
    </row>
    <row r="12453" spans="103:104" x14ac:dyDescent="0.3">
      <c r="CY12453" s="34" t="s">
        <v>13380</v>
      </c>
      <c r="CZ12453" s="35">
        <v>3.5924207058823529E-2</v>
      </c>
    </row>
    <row r="12454" spans="103:104" x14ac:dyDescent="0.3">
      <c r="CY12454" s="34" t="s">
        <v>13381</v>
      </c>
      <c r="CZ12454" s="35">
        <v>9.2121800000000021E-3</v>
      </c>
    </row>
    <row r="12455" spans="103:104" x14ac:dyDescent="0.3">
      <c r="CY12455" s="34" t="s">
        <v>13382</v>
      </c>
      <c r="CZ12455" s="35">
        <v>8.1226880000000012E-3</v>
      </c>
    </row>
    <row r="12456" spans="103:104" x14ac:dyDescent="0.3">
      <c r="CY12456" s="34" t="s">
        <v>13383</v>
      </c>
      <c r="CZ12456" s="35">
        <v>2.597528E-2</v>
      </c>
    </row>
    <row r="12457" spans="103:104" x14ac:dyDescent="0.3">
      <c r="CY12457" s="34" t="s">
        <v>13384</v>
      </c>
      <c r="CZ12457" s="35">
        <v>0.16811700000000004</v>
      </c>
    </row>
    <row r="12458" spans="103:104" x14ac:dyDescent="0.3">
      <c r="CY12458" s="34" t="s">
        <v>13385</v>
      </c>
      <c r="CZ12458" s="35">
        <v>0.24525000000000002</v>
      </c>
    </row>
    <row r="12459" spans="103:104" x14ac:dyDescent="0.3">
      <c r="CY12459" s="34" t="s">
        <v>13386</v>
      </c>
      <c r="CZ12459" s="35">
        <v>4.0940999999999991E-2</v>
      </c>
    </row>
    <row r="12460" spans="103:104" x14ac:dyDescent="0.3">
      <c r="CY12460" s="34" t="s">
        <v>13387</v>
      </c>
      <c r="CZ12460" s="35">
        <v>0.25741799999999998</v>
      </c>
    </row>
    <row r="12461" spans="103:104" x14ac:dyDescent="0.3">
      <c r="CY12461" s="34" t="s">
        <v>13388</v>
      </c>
      <c r="CZ12461" s="35">
        <v>1.5678108731707315E-3</v>
      </c>
    </row>
    <row r="12462" spans="103:104" x14ac:dyDescent="0.3">
      <c r="CY12462" s="34" t="s">
        <v>13389</v>
      </c>
      <c r="CZ12462" s="35">
        <v>0.1772794</v>
      </c>
    </row>
    <row r="12463" spans="103:104" x14ac:dyDescent="0.3">
      <c r="CY12463" s="34" t="s">
        <v>13390</v>
      </c>
      <c r="CZ12463" s="35">
        <v>0.49225299999999994</v>
      </c>
    </row>
    <row r="12464" spans="103:104" x14ac:dyDescent="0.3">
      <c r="CY12464" s="34" t="s">
        <v>13391</v>
      </c>
      <c r="CZ12464" s="35">
        <v>0.1174912</v>
      </c>
    </row>
    <row r="12465" spans="103:104" x14ac:dyDescent="0.3">
      <c r="CY12465" s="34" t="s">
        <v>13392</v>
      </c>
      <c r="CZ12465" s="35">
        <v>5.3926533333333332E-2</v>
      </c>
    </row>
    <row r="12466" spans="103:104" x14ac:dyDescent="0.3">
      <c r="CY12466" s="34" t="s">
        <v>13393</v>
      </c>
      <c r="CZ12466" s="35">
        <v>5.3205700000000002E-2</v>
      </c>
    </row>
    <row r="12467" spans="103:104" x14ac:dyDescent="0.3">
      <c r="CY12467" s="34" t="s">
        <v>13394</v>
      </c>
      <c r="CZ12467" s="35">
        <v>7.7746693333333339E-2</v>
      </c>
    </row>
    <row r="12468" spans="103:104" x14ac:dyDescent="0.3">
      <c r="CY12468" s="34" t="s">
        <v>13395</v>
      </c>
      <c r="CZ12468" s="35">
        <v>0.4673214</v>
      </c>
    </row>
    <row r="12469" spans="103:104" x14ac:dyDescent="0.3">
      <c r="CY12469" s="34" t="s">
        <v>13396</v>
      </c>
      <c r="CZ12469" s="35">
        <v>4.9103940000000011E-3</v>
      </c>
    </row>
    <row r="12470" spans="103:104" x14ac:dyDescent="0.3">
      <c r="CY12470" s="34" t="s">
        <v>13397</v>
      </c>
      <c r="CZ12470" s="35">
        <v>3.1685607999999997E-2</v>
      </c>
    </row>
    <row r="12471" spans="103:104" x14ac:dyDescent="0.3">
      <c r="CY12471" s="34" t="s">
        <v>13398</v>
      </c>
      <c r="CZ12471" s="35">
        <v>3.8098664000000004E-2</v>
      </c>
    </row>
    <row r="12472" spans="103:104" x14ac:dyDescent="0.3">
      <c r="CY12472" s="34" t="s">
        <v>13399</v>
      </c>
      <c r="CZ12472" s="35">
        <v>4.0017256000000001E-2</v>
      </c>
    </row>
    <row r="12473" spans="103:104" x14ac:dyDescent="0.3">
      <c r="CY12473" s="34" t="s">
        <v>13400</v>
      </c>
      <c r="CZ12473" s="35">
        <v>2.2188120000000002E-2</v>
      </c>
    </row>
    <row r="12474" spans="103:104" x14ac:dyDescent="0.3">
      <c r="CY12474" s="34" t="s">
        <v>13401</v>
      </c>
      <c r="CZ12474" s="35">
        <v>3.7838800000000006E-2</v>
      </c>
    </row>
    <row r="12475" spans="103:104" x14ac:dyDescent="0.3">
      <c r="CY12475" s="34" t="s">
        <v>13402</v>
      </c>
      <c r="CZ12475" s="35">
        <v>1.395236E-2</v>
      </c>
    </row>
    <row r="12476" spans="103:104" x14ac:dyDescent="0.3">
      <c r="CY12476" s="34" t="s">
        <v>13403</v>
      </c>
      <c r="CZ12476" s="35">
        <v>3.3104720000000004E-2</v>
      </c>
    </row>
    <row r="12477" spans="103:104" x14ac:dyDescent="0.3">
      <c r="CY12477" s="34" t="s">
        <v>13404</v>
      </c>
      <c r="CZ12477" s="35">
        <v>2.5687720000000001E-2</v>
      </c>
    </row>
    <row r="12478" spans="103:104" x14ac:dyDescent="0.3">
      <c r="CY12478" s="34" t="s">
        <v>13405</v>
      </c>
      <c r="CZ12478" s="35">
        <v>1.2259584E-2</v>
      </c>
    </row>
    <row r="12479" spans="103:104" x14ac:dyDescent="0.3">
      <c r="CY12479" s="34" t="s">
        <v>13406</v>
      </c>
      <c r="CZ12479" s="35">
        <v>8.9160266666666654E-2</v>
      </c>
    </row>
    <row r="12480" spans="103:104" x14ac:dyDescent="0.3">
      <c r="CY12480" s="34" t="s">
        <v>13407</v>
      </c>
      <c r="CZ12480" s="35">
        <v>6.9435759999999999E-2</v>
      </c>
    </row>
    <row r="12481" spans="103:104" x14ac:dyDescent="0.3">
      <c r="CY12481" s="34" t="s">
        <v>13408</v>
      </c>
      <c r="CZ12481" s="35">
        <v>9.1612200000000005E-2</v>
      </c>
    </row>
    <row r="12482" spans="103:104" x14ac:dyDescent="0.3">
      <c r="CY12482" s="34" t="s">
        <v>13409</v>
      </c>
      <c r="CZ12482" s="35">
        <v>6.7829333333333343E-4</v>
      </c>
    </row>
    <row r="12483" spans="103:104" x14ac:dyDescent="0.3">
      <c r="CY12483" s="34" t="s">
        <v>13410</v>
      </c>
      <c r="CZ12483" s="35">
        <v>7.4243973283582088E-3</v>
      </c>
    </row>
    <row r="12484" spans="103:104" x14ac:dyDescent="0.3">
      <c r="CY12484" s="34" t="s">
        <v>13411</v>
      </c>
      <c r="CZ12484" s="35">
        <v>1.9512599999999998E-3</v>
      </c>
    </row>
    <row r="12485" spans="103:104" x14ac:dyDescent="0.3">
      <c r="CY12485" s="34" t="s">
        <v>13412</v>
      </c>
      <c r="CZ12485" s="35">
        <v>5.9913519999999993E-3</v>
      </c>
    </row>
    <row r="12486" spans="103:104" x14ac:dyDescent="0.3">
      <c r="CY12486" s="34" t="s">
        <v>13413</v>
      </c>
      <c r="CZ12486" s="35">
        <v>3.3004142222222222E-3</v>
      </c>
    </row>
    <row r="12487" spans="103:104" x14ac:dyDescent="0.3">
      <c r="CY12487" s="34" t="s">
        <v>13414</v>
      </c>
      <c r="CZ12487" s="35">
        <v>3.3759806222222223E-3</v>
      </c>
    </row>
    <row r="12488" spans="103:104" x14ac:dyDescent="0.3">
      <c r="CY12488" s="34" t="s">
        <v>13415</v>
      </c>
      <c r="CZ12488" s="35">
        <v>5.4565422222222215E-3</v>
      </c>
    </row>
    <row r="12489" spans="103:104" x14ac:dyDescent="0.3">
      <c r="CY12489" s="34" t="s">
        <v>13416</v>
      </c>
      <c r="CZ12489" s="35">
        <v>2.9501622999999998E-2</v>
      </c>
    </row>
    <row r="12490" spans="103:104" x14ac:dyDescent="0.3">
      <c r="CY12490" s="34" t="s">
        <v>13417</v>
      </c>
      <c r="CZ12490" s="35">
        <v>2.3761999999999998E-2</v>
      </c>
    </row>
    <row r="12491" spans="103:104" x14ac:dyDescent="0.3">
      <c r="CY12491" s="34" t="s">
        <v>13418</v>
      </c>
      <c r="CZ12491" s="35">
        <v>1.9835999999999999E-2</v>
      </c>
    </row>
    <row r="12492" spans="103:104" x14ac:dyDescent="0.3">
      <c r="CY12492" s="34" t="s">
        <v>13419</v>
      </c>
      <c r="CZ12492" s="35">
        <v>1.9835999999999999E-2</v>
      </c>
    </row>
    <row r="12493" spans="103:104" x14ac:dyDescent="0.3">
      <c r="CY12493" s="34" t="s">
        <v>13420</v>
      </c>
      <c r="CZ12493" s="35">
        <v>2.3761999999999998E-2</v>
      </c>
    </row>
    <row r="12494" spans="103:104" x14ac:dyDescent="0.3">
      <c r="CY12494" s="34" t="s">
        <v>13421</v>
      </c>
      <c r="CZ12494" s="35">
        <v>1.564132E-3</v>
      </c>
    </row>
    <row r="12495" spans="103:104" x14ac:dyDescent="0.3">
      <c r="CY12495" s="34" t="s">
        <v>13422</v>
      </c>
      <c r="CZ12495" s="35">
        <v>1.5036879999999998E-3</v>
      </c>
    </row>
    <row r="12496" spans="103:104" x14ac:dyDescent="0.3">
      <c r="CY12496" s="34" t="s">
        <v>13423</v>
      </c>
      <c r="CZ12496" s="35">
        <v>0.15363984999999999</v>
      </c>
    </row>
    <row r="12497" spans="103:104" x14ac:dyDescent="0.3">
      <c r="CY12497" s="34" t="s">
        <v>13424</v>
      </c>
      <c r="CZ12497" s="35">
        <v>0.15363984999999997</v>
      </c>
    </row>
    <row r="12498" spans="103:104" x14ac:dyDescent="0.3">
      <c r="CY12498" s="34" t="s">
        <v>13425</v>
      </c>
      <c r="CZ12498" s="35">
        <v>8.698417E-2</v>
      </c>
    </row>
    <row r="12499" spans="103:104" x14ac:dyDescent="0.3">
      <c r="CY12499" s="34" t="s">
        <v>13426</v>
      </c>
      <c r="CZ12499" s="35">
        <v>8.698417E-2</v>
      </c>
    </row>
    <row r="12500" spans="103:104" x14ac:dyDescent="0.3">
      <c r="CY12500" s="34" t="s">
        <v>13427</v>
      </c>
      <c r="CZ12500" s="35">
        <v>9.0861679999999995E-4</v>
      </c>
    </row>
    <row r="12501" spans="103:104" x14ac:dyDescent="0.3">
      <c r="CY12501" s="34" t="s">
        <v>13428</v>
      </c>
      <c r="CZ12501" s="35">
        <v>7.5264799999999997E-4</v>
      </c>
    </row>
    <row r="12502" spans="103:104" x14ac:dyDescent="0.3">
      <c r="CY12502" s="34" t="s">
        <v>13429</v>
      </c>
      <c r="CZ12502" s="35">
        <v>8.6610159999999997E-4</v>
      </c>
    </row>
    <row r="12503" spans="103:104" x14ac:dyDescent="0.3">
      <c r="CY12503" s="34" t="s">
        <v>13430</v>
      </c>
      <c r="CZ12503" s="35">
        <v>6.3180186000000001E-3</v>
      </c>
    </row>
    <row r="12504" spans="103:104" x14ac:dyDescent="0.3">
      <c r="CY12504" s="34" t="s">
        <v>13431</v>
      </c>
      <c r="CZ12504" s="35">
        <v>2.5637511999999996E-3</v>
      </c>
    </row>
    <row r="12505" spans="103:104" x14ac:dyDescent="0.3">
      <c r="CY12505" s="34" t="s">
        <v>13432</v>
      </c>
      <c r="CZ12505" s="35">
        <v>4.2636112000000004E-2</v>
      </c>
    </row>
    <row r="12506" spans="103:104" x14ac:dyDescent="0.3">
      <c r="CY12506" s="34" t="s">
        <v>13433</v>
      </c>
      <c r="CZ12506" s="35">
        <v>1.3648799999999999E-2</v>
      </c>
    </row>
    <row r="12507" spans="103:104" x14ac:dyDescent="0.3">
      <c r="CY12507" s="34" t="s">
        <v>13434</v>
      </c>
      <c r="CZ12507" s="35">
        <v>2.5086399999999999E-3</v>
      </c>
    </row>
    <row r="12508" spans="103:104" x14ac:dyDescent="0.3">
      <c r="CY12508" s="34" t="s">
        <v>13435</v>
      </c>
      <c r="CZ12508" s="35">
        <v>0.44637840000000001</v>
      </c>
    </row>
    <row r="12509" spans="103:104" x14ac:dyDescent="0.3">
      <c r="CY12509" s="34" t="s">
        <v>13436</v>
      </c>
      <c r="CZ12509" s="35">
        <v>0.27168207999999994</v>
      </c>
    </row>
    <row r="12510" spans="103:104" x14ac:dyDescent="0.3">
      <c r="CY12510" s="34" t="s">
        <v>13437</v>
      </c>
      <c r="CZ12510" s="35">
        <v>2.0078399999999999E-3</v>
      </c>
    </row>
    <row r="12511" spans="103:104" x14ac:dyDescent="0.3">
      <c r="CY12511" s="34" t="s">
        <v>13438</v>
      </c>
      <c r="CZ12511" s="35">
        <v>1.8955200000000001E-3</v>
      </c>
    </row>
    <row r="12512" spans="103:104" x14ac:dyDescent="0.3">
      <c r="CY12512" s="34" t="s">
        <v>13439</v>
      </c>
      <c r="CZ12512" s="35">
        <v>0.63672119999999999</v>
      </c>
    </row>
    <row r="12513" spans="103:104" x14ac:dyDescent="0.3">
      <c r="CY12513" s="34" t="s">
        <v>13440</v>
      </c>
      <c r="CZ12513" s="35">
        <v>1.8281660000000002</v>
      </c>
    </row>
    <row r="12514" spans="103:104" x14ac:dyDescent="0.3">
      <c r="CY12514" s="34" t="s">
        <v>13441</v>
      </c>
      <c r="CZ12514" s="35">
        <v>0.20615817777777776</v>
      </c>
    </row>
    <row r="12515" spans="103:104" x14ac:dyDescent="0.3">
      <c r="CY12515" s="34" t="s">
        <v>13442</v>
      </c>
      <c r="CZ12515" s="35">
        <v>8.026230724867725E-2</v>
      </c>
    </row>
    <row r="12516" spans="103:104" x14ac:dyDescent="0.3">
      <c r="CY12516" s="34" t="s">
        <v>13443</v>
      </c>
      <c r="CZ12516" s="35">
        <v>3.850494095238096E-2</v>
      </c>
    </row>
    <row r="12517" spans="103:104" x14ac:dyDescent="0.3">
      <c r="CY12517" s="34" t="s">
        <v>13444</v>
      </c>
      <c r="CZ12517" s="35">
        <v>3.6946848484848485E-2</v>
      </c>
    </row>
    <row r="12518" spans="103:104" x14ac:dyDescent="0.3">
      <c r="CY12518" s="34" t="s">
        <v>13445</v>
      </c>
      <c r="CZ12518" s="35">
        <v>3.6946848484848485E-2</v>
      </c>
    </row>
    <row r="12519" spans="103:104" x14ac:dyDescent="0.3">
      <c r="CY12519" s="34" t="s">
        <v>13446</v>
      </c>
      <c r="CZ12519" s="35">
        <v>2.3492104999999999E-2</v>
      </c>
    </row>
    <row r="12520" spans="103:104" x14ac:dyDescent="0.3">
      <c r="CY12520" s="34" t="s">
        <v>13447</v>
      </c>
      <c r="CZ12520" s="35">
        <v>1.5798920000000001E-3</v>
      </c>
    </row>
    <row r="12521" spans="103:104" x14ac:dyDescent="0.3">
      <c r="CY12521" s="34" t="s">
        <v>13448</v>
      </c>
      <c r="CZ12521" s="35">
        <v>4.6179625002107033E-3</v>
      </c>
    </row>
    <row r="12522" spans="103:104" x14ac:dyDescent="0.3">
      <c r="CY12522" s="34" t="s">
        <v>13449</v>
      </c>
      <c r="CZ12522" s="35">
        <v>2.2742776000000001E-3</v>
      </c>
    </row>
    <row r="12523" spans="103:104" x14ac:dyDescent="0.3">
      <c r="CY12523" s="34" t="s">
        <v>13450</v>
      </c>
      <c r="CZ12523" s="35">
        <v>2.2742776000000001E-3</v>
      </c>
    </row>
    <row r="12524" spans="103:104" x14ac:dyDescent="0.3">
      <c r="CY12524" s="34" t="s">
        <v>13451</v>
      </c>
      <c r="CZ12524" s="35">
        <v>0.86390296700000002</v>
      </c>
    </row>
    <row r="12525" spans="103:104" x14ac:dyDescent="0.3">
      <c r="CY12525" s="34" t="s">
        <v>13452</v>
      </c>
      <c r="CZ12525" s="35">
        <v>1.3744992000000001E-2</v>
      </c>
    </row>
    <row r="12526" spans="103:104" x14ac:dyDescent="0.3">
      <c r="CY12526" s="34" t="s">
        <v>13453</v>
      </c>
      <c r="CZ12526" s="35">
        <v>0.13084184000000001</v>
      </c>
    </row>
    <row r="12527" spans="103:104" x14ac:dyDescent="0.3">
      <c r="CY12527" s="34" t="s">
        <v>13454</v>
      </c>
      <c r="CZ12527" s="35">
        <v>1.4688112E-2</v>
      </c>
    </row>
    <row r="12528" spans="103:104" x14ac:dyDescent="0.3">
      <c r="CY12528" s="34" t="s">
        <v>13455</v>
      </c>
      <c r="CZ12528" s="35">
        <v>1.4234879999999998E-2</v>
      </c>
    </row>
    <row r="12529" spans="103:104" x14ac:dyDescent="0.3">
      <c r="CY12529" s="34" t="s">
        <v>13456</v>
      </c>
      <c r="CZ12529" s="35">
        <v>3.626317285714286E-3</v>
      </c>
    </row>
    <row r="12530" spans="103:104" x14ac:dyDescent="0.3">
      <c r="CY12530" s="34" t="s">
        <v>13457</v>
      </c>
      <c r="CZ12530" s="35">
        <v>7.6647256E-3</v>
      </c>
    </row>
    <row r="12531" spans="103:104" x14ac:dyDescent="0.3">
      <c r="CY12531" s="34" t="s">
        <v>13458</v>
      </c>
      <c r="CZ12531" s="35">
        <v>0.2143360268</v>
      </c>
    </row>
    <row r="12532" spans="103:104" x14ac:dyDescent="0.3">
      <c r="CY12532" s="34" t="s">
        <v>13459</v>
      </c>
      <c r="CZ12532" s="35">
        <v>7.5023440000000008</v>
      </c>
    </row>
    <row r="12533" spans="103:104" x14ac:dyDescent="0.3">
      <c r="CY12533" s="34" t="s">
        <v>13460</v>
      </c>
      <c r="CZ12533" s="35">
        <v>8.3426488799999993E-3</v>
      </c>
    </row>
    <row r="12534" spans="103:104" x14ac:dyDescent="0.3">
      <c r="CY12534" s="34" t="s">
        <v>13461</v>
      </c>
      <c r="CZ12534" s="35">
        <v>6.99330242074E-3</v>
      </c>
    </row>
    <row r="12535" spans="103:104" x14ac:dyDescent="0.3">
      <c r="CY12535" s="34" t="s">
        <v>13462</v>
      </c>
      <c r="CZ12535" s="35">
        <v>3.2444698412698414E-3</v>
      </c>
    </row>
    <row r="12536" spans="103:104" x14ac:dyDescent="0.3">
      <c r="CY12536" s="34" t="s">
        <v>13463</v>
      </c>
      <c r="CZ12536" s="35">
        <v>7.1658680666666667E-3</v>
      </c>
    </row>
    <row r="12537" spans="103:104" x14ac:dyDescent="0.3">
      <c r="CY12537" s="34" t="s">
        <v>13464</v>
      </c>
      <c r="CZ12537" s="35">
        <v>8.5130192666666663E-3</v>
      </c>
    </row>
    <row r="12538" spans="103:104" x14ac:dyDescent="0.3">
      <c r="CY12538" s="34" t="s">
        <v>13465</v>
      </c>
      <c r="CZ12538" s="35">
        <v>8.51301925E-3</v>
      </c>
    </row>
    <row r="12539" spans="103:104" x14ac:dyDescent="0.3">
      <c r="CY12539" s="34" t="s">
        <v>13466</v>
      </c>
      <c r="CZ12539" s="35">
        <v>4.84131556665E-3</v>
      </c>
    </row>
    <row r="12540" spans="103:104" x14ac:dyDescent="0.3">
      <c r="CY12540" s="34" t="s">
        <v>13467</v>
      </c>
      <c r="CZ12540" s="35">
        <v>6.9953160000000006E-3</v>
      </c>
    </row>
    <row r="12541" spans="103:104" x14ac:dyDescent="0.3">
      <c r="CY12541" s="34" t="s">
        <v>13468</v>
      </c>
      <c r="CZ12541" s="35">
        <v>9.7535280000000009E-3</v>
      </c>
    </row>
    <row r="12542" spans="103:104" x14ac:dyDescent="0.3">
      <c r="CY12542" s="34" t="s">
        <v>13469</v>
      </c>
      <c r="CZ12542" s="35">
        <v>8.0462208000000007E-2</v>
      </c>
    </row>
    <row r="12543" spans="103:104" x14ac:dyDescent="0.3">
      <c r="CY12543" s="34" t="s">
        <v>13470</v>
      </c>
      <c r="CZ12543" s="35">
        <v>0.3182336733333333</v>
      </c>
    </row>
    <row r="12544" spans="103:104" x14ac:dyDescent="0.3">
      <c r="CY12544" s="34" t="s">
        <v>13471</v>
      </c>
      <c r="CZ12544" s="35">
        <v>1.0870781999999999E-2</v>
      </c>
    </row>
    <row r="12545" spans="103:104" x14ac:dyDescent="0.3">
      <c r="CY12545" s="34" t="s">
        <v>13472</v>
      </c>
      <c r="CZ12545" s="35">
        <v>9.2787500000000005E-3</v>
      </c>
    </row>
    <row r="12546" spans="103:104" x14ac:dyDescent="0.3">
      <c r="CY12546" s="34" t="s">
        <v>13473</v>
      </c>
      <c r="CZ12546" s="35">
        <v>4.2090000000000001E-3</v>
      </c>
    </row>
    <row r="12547" spans="103:104" x14ac:dyDescent="0.3">
      <c r="CY12547" s="34" t="s">
        <v>13474</v>
      </c>
      <c r="CZ12547" s="35">
        <v>1.5644696E-2</v>
      </c>
    </row>
    <row r="12548" spans="103:104" x14ac:dyDescent="0.3">
      <c r="CY12548" s="34" t="s">
        <v>13475</v>
      </c>
      <c r="CZ12548" s="35">
        <v>1.6038752E-2</v>
      </c>
    </row>
    <row r="12549" spans="103:104" x14ac:dyDescent="0.3">
      <c r="CY12549" s="34" t="s">
        <v>13476</v>
      </c>
      <c r="CZ12549" s="35">
        <v>3.5761819999999999E-4</v>
      </c>
    </row>
    <row r="12550" spans="103:104" x14ac:dyDescent="0.3">
      <c r="CY12550" s="34" t="s">
        <v>13477</v>
      </c>
      <c r="CZ12550" s="35">
        <v>2.631462</v>
      </c>
    </row>
    <row r="12551" spans="103:104" x14ac:dyDescent="0.3">
      <c r="CY12551" s="34" t="s">
        <v>13478</v>
      </c>
      <c r="CZ12551" s="35">
        <v>0.80862800000000012</v>
      </c>
    </row>
    <row r="12552" spans="103:104" x14ac:dyDescent="0.3">
      <c r="CY12552" s="34" t="s">
        <v>13479</v>
      </c>
      <c r="CZ12552" s="35">
        <v>4.3613087999999994E-2</v>
      </c>
    </row>
    <row r="12553" spans="103:104" x14ac:dyDescent="0.3">
      <c r="CY12553" s="34" t="s">
        <v>13480</v>
      </c>
      <c r="CZ12553" s="35">
        <v>1.4225096E-2</v>
      </c>
    </row>
    <row r="12554" spans="103:104" x14ac:dyDescent="0.3">
      <c r="CY12554" s="34" t="s">
        <v>13481</v>
      </c>
      <c r="CZ12554" s="35">
        <v>3.2351560000000001E-4</v>
      </c>
    </row>
    <row r="12555" spans="103:104" x14ac:dyDescent="0.3">
      <c r="CY12555" s="34" t="s">
        <v>13482</v>
      </c>
      <c r="CZ12555" s="35">
        <v>1.3958180000000001E-2</v>
      </c>
    </row>
    <row r="12556" spans="103:104" x14ac:dyDescent="0.3">
      <c r="CY12556" s="34" t="s">
        <v>13483</v>
      </c>
      <c r="CZ12556" s="35">
        <v>3.0919059999999997E-4</v>
      </c>
    </row>
    <row r="12557" spans="103:104" x14ac:dyDescent="0.3">
      <c r="CY12557" s="34" t="s">
        <v>13484</v>
      </c>
      <c r="CZ12557" s="35">
        <v>3.0473567999999996E-3</v>
      </c>
    </row>
    <row r="12558" spans="103:104" x14ac:dyDescent="0.3">
      <c r="CY12558" s="34" t="s">
        <v>13485</v>
      </c>
      <c r="CZ12558" s="35">
        <v>1.2618867999999999E-3</v>
      </c>
    </row>
    <row r="12559" spans="103:104" x14ac:dyDescent="0.3">
      <c r="CY12559" s="34" t="s">
        <v>13486</v>
      </c>
      <c r="CZ12559" s="35">
        <v>5.2659625054466237E-3</v>
      </c>
    </row>
    <row r="12560" spans="103:104" x14ac:dyDescent="0.3">
      <c r="CY12560" s="34" t="s">
        <v>13487</v>
      </c>
      <c r="CZ12560" s="35">
        <v>1.6014130526315791E-2</v>
      </c>
    </row>
    <row r="12561" spans="103:104" x14ac:dyDescent="0.3">
      <c r="CY12561" s="34" t="s">
        <v>13488</v>
      </c>
      <c r="CZ12561" s="35">
        <v>0.12091786666666668</v>
      </c>
    </row>
    <row r="12562" spans="103:104" x14ac:dyDescent="0.3">
      <c r="CY12562" s="34" t="s">
        <v>13489</v>
      </c>
      <c r="CZ12562" s="35">
        <v>2.3035955000000005E-3</v>
      </c>
    </row>
    <row r="12563" spans="103:104" x14ac:dyDescent="0.3">
      <c r="CY12563" s="34" t="s">
        <v>13490</v>
      </c>
      <c r="CZ12563" s="35">
        <v>3.1799100000000002E-3</v>
      </c>
    </row>
    <row r="12564" spans="103:104" x14ac:dyDescent="0.3">
      <c r="CY12564" s="34" t="s">
        <v>13491</v>
      </c>
      <c r="CZ12564" s="35">
        <v>3.1279100000000002E-3</v>
      </c>
    </row>
    <row r="12565" spans="103:104" x14ac:dyDescent="0.3">
      <c r="CY12565" s="34" t="s">
        <v>13492</v>
      </c>
      <c r="CZ12565" s="35">
        <v>2.5420780000000001E-3</v>
      </c>
    </row>
    <row r="12566" spans="103:104" x14ac:dyDescent="0.3">
      <c r="CY12566" s="34" t="s">
        <v>13493</v>
      </c>
      <c r="CZ12566" s="35">
        <v>1.47620229E-2</v>
      </c>
    </row>
    <row r="12567" spans="103:104" x14ac:dyDescent="0.3">
      <c r="CY12567" s="34" t="s">
        <v>13494</v>
      </c>
      <c r="CZ12567" s="35">
        <v>2.30037664E-2</v>
      </c>
    </row>
    <row r="12568" spans="103:104" x14ac:dyDescent="0.3">
      <c r="CY12568" s="34" t="s">
        <v>13495</v>
      </c>
      <c r="CZ12568" s="35">
        <v>3.9468257999999999E-2</v>
      </c>
    </row>
    <row r="12569" spans="103:104" x14ac:dyDescent="0.3">
      <c r="CY12569" s="34" t="s">
        <v>13496</v>
      </c>
      <c r="CZ12569" s="35">
        <v>3.1360534666666662E-2</v>
      </c>
    </row>
    <row r="12570" spans="103:104" x14ac:dyDescent="0.3">
      <c r="CY12570" s="34" t="s">
        <v>13497</v>
      </c>
      <c r="CZ12570" s="35">
        <v>3.9871239999999993E-4</v>
      </c>
    </row>
    <row r="12571" spans="103:104" x14ac:dyDescent="0.3">
      <c r="CY12571" s="34" t="s">
        <v>13498</v>
      </c>
      <c r="CZ12571" s="35">
        <v>5.1620369999999999E-2</v>
      </c>
    </row>
    <row r="12572" spans="103:104" x14ac:dyDescent="0.3">
      <c r="CY12572" s="34" t="s">
        <v>13499</v>
      </c>
      <c r="CZ12572" s="35">
        <v>7.7669169999999982E-2</v>
      </c>
    </row>
    <row r="12573" spans="103:104" x14ac:dyDescent="0.3">
      <c r="CY12573" s="34" t="s">
        <v>13500</v>
      </c>
      <c r="CZ12573" s="35">
        <v>5.6849490000000003E-2</v>
      </c>
    </row>
    <row r="12574" spans="103:104" x14ac:dyDescent="0.3">
      <c r="CY12574" s="34" t="s">
        <v>13501</v>
      </c>
      <c r="CZ12574" s="35">
        <v>7.9380050000000008E-2</v>
      </c>
    </row>
    <row r="12575" spans="103:104" x14ac:dyDescent="0.3">
      <c r="CY12575" s="34" t="s">
        <v>13502</v>
      </c>
      <c r="CZ12575" s="35">
        <v>5.0242880000000009E-3</v>
      </c>
    </row>
    <row r="12576" spans="103:104" x14ac:dyDescent="0.3">
      <c r="CY12576" s="34" t="s">
        <v>13503</v>
      </c>
      <c r="CZ12576" s="35">
        <v>2.3170047200000003E-3</v>
      </c>
    </row>
    <row r="12577" spans="103:104" x14ac:dyDescent="0.3">
      <c r="CY12577" s="34" t="s">
        <v>13504</v>
      </c>
      <c r="CZ12577" s="35">
        <v>7.0543055999999993E-2</v>
      </c>
    </row>
    <row r="12578" spans="103:104" x14ac:dyDescent="0.3">
      <c r="CY12578" s="34" t="s">
        <v>13505</v>
      </c>
      <c r="CZ12578" s="35">
        <v>3.0525000000000005E-3</v>
      </c>
    </row>
    <row r="12579" spans="103:104" x14ac:dyDescent="0.3">
      <c r="CY12579" s="34" t="s">
        <v>13506</v>
      </c>
      <c r="CZ12579" s="35">
        <v>1.7778846165000001E-2</v>
      </c>
    </row>
    <row r="12580" spans="103:104" x14ac:dyDescent="0.3">
      <c r="CY12580" s="34" t="s">
        <v>13507</v>
      </c>
      <c r="CZ12580" s="35">
        <v>1.1770800000000001E-3</v>
      </c>
    </row>
    <row r="12581" spans="103:104" x14ac:dyDescent="0.3">
      <c r="CY12581" s="34" t="s">
        <v>13508</v>
      </c>
      <c r="CZ12581" s="35">
        <v>1.8587705799999999E-3</v>
      </c>
    </row>
    <row r="12582" spans="103:104" x14ac:dyDescent="0.3">
      <c r="CY12582" s="34" t="s">
        <v>13509</v>
      </c>
      <c r="CZ12582" s="35">
        <v>9.7077899999999985E-4</v>
      </c>
    </row>
    <row r="12583" spans="103:104" x14ac:dyDescent="0.3">
      <c r="CY12583" s="34" t="s">
        <v>13510</v>
      </c>
      <c r="CZ12583" s="35">
        <v>2.4916799999999996E-3</v>
      </c>
    </row>
    <row r="12584" spans="103:104" x14ac:dyDescent="0.3">
      <c r="CY12584" s="34" t="s">
        <v>13511</v>
      </c>
      <c r="CZ12584" s="35">
        <v>7.6246493850000013E-3</v>
      </c>
    </row>
    <row r="12585" spans="103:104" x14ac:dyDescent="0.3">
      <c r="CY12585" s="34" t="s">
        <v>13512</v>
      </c>
      <c r="CZ12585" s="35">
        <v>1.0130922666666668E-4</v>
      </c>
    </row>
    <row r="12586" spans="103:104" x14ac:dyDescent="0.3">
      <c r="CY12586" s="34" t="s">
        <v>13513</v>
      </c>
      <c r="CZ12586" s="35">
        <v>1.4849996482758619E-3</v>
      </c>
    </row>
    <row r="12587" spans="103:104" x14ac:dyDescent="0.3">
      <c r="CY12587" s="34" t="s">
        <v>13514</v>
      </c>
      <c r="CZ12587" s="35">
        <v>2.1385575666666668E-3</v>
      </c>
    </row>
    <row r="12588" spans="103:104" x14ac:dyDescent="0.3">
      <c r="CY12588" s="34" t="s">
        <v>13515</v>
      </c>
      <c r="CZ12588" s="35">
        <v>5.4774880000000008E-3</v>
      </c>
    </row>
    <row r="12589" spans="103:104" x14ac:dyDescent="0.3">
      <c r="CY12589" s="34" t="s">
        <v>13516</v>
      </c>
      <c r="CZ12589" s="35">
        <v>4.1468799999999995E-3</v>
      </c>
    </row>
    <row r="12590" spans="103:104" x14ac:dyDescent="0.3">
      <c r="CY12590" s="34" t="s">
        <v>13517</v>
      </c>
      <c r="CZ12590" s="35">
        <v>1.5960032000000002E-3</v>
      </c>
    </row>
    <row r="12591" spans="103:104" x14ac:dyDescent="0.3">
      <c r="CY12591" s="34" t="s">
        <v>13518</v>
      </c>
      <c r="CZ12591" s="35">
        <v>1.0866879999999999E-3</v>
      </c>
    </row>
    <row r="12592" spans="103:104" x14ac:dyDescent="0.3">
      <c r="CY12592" s="34" t="s">
        <v>13519</v>
      </c>
      <c r="CZ12592" s="35">
        <v>1.6468032000000001E-3</v>
      </c>
    </row>
    <row r="12593" spans="103:104" x14ac:dyDescent="0.3">
      <c r="CY12593" s="34" t="s">
        <v>13520</v>
      </c>
      <c r="CZ12593" s="35">
        <v>3.700121666666667E-2</v>
      </c>
    </row>
    <row r="12594" spans="103:104" x14ac:dyDescent="0.3">
      <c r="CY12594" s="34" t="s">
        <v>13521</v>
      </c>
      <c r="CZ12594" s="35">
        <v>3.7001216666666663E-2</v>
      </c>
    </row>
    <row r="12595" spans="103:104" x14ac:dyDescent="0.3">
      <c r="CY12595" s="34" t="s">
        <v>13522</v>
      </c>
      <c r="CZ12595" s="35">
        <v>4.5399000000000002E-2</v>
      </c>
    </row>
    <row r="12596" spans="103:104" x14ac:dyDescent="0.3">
      <c r="CY12596" s="34" t="s">
        <v>13523</v>
      </c>
      <c r="CZ12596" s="35">
        <v>9.2307200000000006E-2</v>
      </c>
    </row>
    <row r="12597" spans="103:104" x14ac:dyDescent="0.3">
      <c r="CY12597" s="34" t="s">
        <v>13524</v>
      </c>
      <c r="CZ12597" s="35">
        <v>6.6299199999999989E-2</v>
      </c>
    </row>
    <row r="12598" spans="103:104" x14ac:dyDescent="0.3">
      <c r="CY12598" s="34" t="s">
        <v>13525</v>
      </c>
      <c r="CZ12598" s="35">
        <v>8.8418700000000003E-2</v>
      </c>
    </row>
    <row r="12599" spans="103:104" x14ac:dyDescent="0.3">
      <c r="CY12599" s="34" t="s">
        <v>13526</v>
      </c>
      <c r="CZ12599" s="35">
        <v>4.3937359999999995E-2</v>
      </c>
    </row>
    <row r="12600" spans="103:104" x14ac:dyDescent="0.3">
      <c r="CY12600" s="34" t="s">
        <v>13527</v>
      </c>
      <c r="CZ12600" s="35">
        <v>3.8924240000000002E-3</v>
      </c>
    </row>
    <row r="12601" spans="103:104" x14ac:dyDescent="0.3">
      <c r="CY12601" s="34" t="s">
        <v>13528</v>
      </c>
      <c r="CZ12601" s="35">
        <v>6.0129759999999997E-2</v>
      </c>
    </row>
    <row r="12602" spans="103:104" x14ac:dyDescent="0.3">
      <c r="CY12602" s="34" t="s">
        <v>13529</v>
      </c>
      <c r="CZ12602" s="35">
        <v>2.5801888000000002E-2</v>
      </c>
    </row>
    <row r="12603" spans="103:104" x14ac:dyDescent="0.3">
      <c r="CY12603" s="34" t="s">
        <v>13530</v>
      </c>
      <c r="CZ12603" s="35">
        <v>2.5686194E-3</v>
      </c>
    </row>
    <row r="12604" spans="103:104" x14ac:dyDescent="0.3">
      <c r="CY12604" s="34" t="s">
        <v>13531</v>
      </c>
      <c r="CZ12604" s="35">
        <v>2.5686194E-3</v>
      </c>
    </row>
    <row r="12605" spans="103:104" x14ac:dyDescent="0.3">
      <c r="CY12605" s="34" t="s">
        <v>13532</v>
      </c>
      <c r="CZ12605" s="35">
        <v>0.12982025</v>
      </c>
    </row>
    <row r="12606" spans="103:104" x14ac:dyDescent="0.3">
      <c r="CY12606" s="34" t="s">
        <v>13533</v>
      </c>
      <c r="CZ12606" s="35">
        <v>1.02925125E-2</v>
      </c>
    </row>
    <row r="12607" spans="103:104" x14ac:dyDescent="0.3">
      <c r="CY12607" s="34" t="s">
        <v>13534</v>
      </c>
      <c r="CZ12607" s="35">
        <v>3.9559307000000002E-2</v>
      </c>
    </row>
    <row r="12608" spans="103:104" x14ac:dyDescent="0.3">
      <c r="CY12608" s="34" t="s">
        <v>13535</v>
      </c>
      <c r="CZ12608" s="35">
        <v>3.9559307000000009E-2</v>
      </c>
    </row>
    <row r="12609" spans="103:104" x14ac:dyDescent="0.3">
      <c r="CY12609" s="34" t="s">
        <v>13536</v>
      </c>
      <c r="CZ12609" s="35">
        <v>0.188372125</v>
      </c>
    </row>
    <row r="12610" spans="103:104" x14ac:dyDescent="0.3">
      <c r="CY12610" s="34" t="s">
        <v>13537</v>
      </c>
      <c r="CZ12610" s="35">
        <v>3.9855915000000006E-2</v>
      </c>
    </row>
    <row r="12611" spans="103:104" x14ac:dyDescent="0.3">
      <c r="CY12611" s="34" t="s">
        <v>13538</v>
      </c>
      <c r="CZ12611" s="35">
        <v>3.9855914999999999E-2</v>
      </c>
    </row>
    <row r="12612" spans="103:104" x14ac:dyDescent="0.3">
      <c r="CY12612" s="34" t="s">
        <v>13539</v>
      </c>
      <c r="CZ12612" s="35">
        <v>0.19417893750000001</v>
      </c>
    </row>
    <row r="12613" spans="103:104" x14ac:dyDescent="0.3">
      <c r="CY12613" s="34" t="s">
        <v>13540</v>
      </c>
      <c r="CZ12613" s="35">
        <v>7.0805679999999996E-2</v>
      </c>
    </row>
    <row r="12614" spans="103:104" x14ac:dyDescent="0.3">
      <c r="CY12614" s="34" t="s">
        <v>13541</v>
      </c>
      <c r="CZ12614" s="35">
        <v>7.0805679999999996E-2</v>
      </c>
    </row>
    <row r="12615" spans="103:104" x14ac:dyDescent="0.3">
      <c r="CY12615" s="34" t="s">
        <v>13542</v>
      </c>
      <c r="CZ12615" s="35">
        <v>7.795784E-3</v>
      </c>
    </row>
    <row r="12616" spans="103:104" x14ac:dyDescent="0.3">
      <c r="CY12616" s="34" t="s">
        <v>13543</v>
      </c>
      <c r="CZ12616" s="35">
        <v>0.2048625882352941</v>
      </c>
    </row>
    <row r="12617" spans="103:104" x14ac:dyDescent="0.3">
      <c r="CY12617" s="34" t="s">
        <v>13544</v>
      </c>
      <c r="CZ12617" s="35">
        <v>0.19335407058823528</v>
      </c>
    </row>
    <row r="12618" spans="103:104" x14ac:dyDescent="0.3">
      <c r="CY12618" s="34" t="s">
        <v>13545</v>
      </c>
      <c r="CZ12618" s="35">
        <v>0.10684707500000001</v>
      </c>
    </row>
    <row r="12619" spans="103:104" x14ac:dyDescent="0.3">
      <c r="CY12619" s="34" t="s">
        <v>13546</v>
      </c>
      <c r="CZ12619" s="35">
        <v>7.1171095714285711E-3</v>
      </c>
    </row>
    <row r="12620" spans="103:104" x14ac:dyDescent="0.3">
      <c r="CY12620" s="34" t="s">
        <v>13547</v>
      </c>
      <c r="CZ12620" s="35">
        <v>8.3561489999999985E-3</v>
      </c>
    </row>
    <row r="12621" spans="103:104" x14ac:dyDescent="0.3">
      <c r="CY12621" s="34" t="s">
        <v>13548</v>
      </c>
      <c r="CZ12621" s="35">
        <v>4.6885827999999996E-3</v>
      </c>
    </row>
    <row r="12622" spans="103:104" x14ac:dyDescent="0.3">
      <c r="CY12622" s="34" t="s">
        <v>13549</v>
      </c>
      <c r="CZ12622" s="35">
        <v>6.7848961329999998E-4</v>
      </c>
    </row>
    <row r="12623" spans="103:104" x14ac:dyDescent="0.3">
      <c r="CY12623" s="34" t="s">
        <v>13550</v>
      </c>
      <c r="CZ12623" s="35">
        <v>1.0615711999999999E-3</v>
      </c>
    </row>
    <row r="12624" spans="103:104" x14ac:dyDescent="0.3">
      <c r="CY12624" s="34" t="s">
        <v>13551</v>
      </c>
      <c r="CZ12624" s="35">
        <v>1.3450437300000001E-3</v>
      </c>
    </row>
    <row r="12625" spans="103:104" x14ac:dyDescent="0.3">
      <c r="CY12625" s="34" t="s">
        <v>13552</v>
      </c>
      <c r="CZ12625" s="35">
        <v>1.4654874666666668E-2</v>
      </c>
    </row>
    <row r="12626" spans="103:104" x14ac:dyDescent="0.3">
      <c r="CY12626" s="34" t="s">
        <v>13553</v>
      </c>
      <c r="CZ12626" s="35">
        <v>1.0947030818278428E-2</v>
      </c>
    </row>
    <row r="12627" spans="103:104" x14ac:dyDescent="0.3">
      <c r="CY12627" s="34" t="s">
        <v>13554</v>
      </c>
      <c r="CZ12627" s="35">
        <v>1.0506771784232365E-2</v>
      </c>
    </row>
    <row r="12628" spans="103:104" x14ac:dyDescent="0.3">
      <c r="CY12628" s="34" t="s">
        <v>13555</v>
      </c>
      <c r="CZ12628" s="35">
        <v>1.5912682352941177E-2</v>
      </c>
    </row>
    <row r="12629" spans="103:104" x14ac:dyDescent="0.3">
      <c r="CY12629" s="34" t="s">
        <v>13556</v>
      </c>
      <c r="CZ12629" s="35">
        <v>1.5912682352941177E-2</v>
      </c>
    </row>
    <row r="12630" spans="103:104" x14ac:dyDescent="0.3">
      <c r="CY12630" s="34" t="s">
        <v>13557</v>
      </c>
      <c r="CZ12630" s="35">
        <v>1.9684693333333333E-2</v>
      </c>
    </row>
    <row r="12631" spans="103:104" x14ac:dyDescent="0.3">
      <c r="CY12631" s="34" t="s">
        <v>13558</v>
      </c>
      <c r="CZ12631" s="35">
        <v>1.9684693333333333E-2</v>
      </c>
    </row>
    <row r="12632" spans="103:104" x14ac:dyDescent="0.3">
      <c r="CY12632" s="34" t="s">
        <v>13559</v>
      </c>
      <c r="CZ12632" s="35">
        <v>1.9684693333333333E-2</v>
      </c>
    </row>
    <row r="12633" spans="103:104" x14ac:dyDescent="0.3">
      <c r="CY12633" s="34" t="s">
        <v>13560</v>
      </c>
      <c r="CZ12633" s="35">
        <v>2.4675583999999997E-2</v>
      </c>
    </row>
    <row r="12634" spans="103:104" x14ac:dyDescent="0.3">
      <c r="CY12634" s="34" t="s">
        <v>13561</v>
      </c>
      <c r="CZ12634" s="35">
        <v>2.4675583999999997E-2</v>
      </c>
    </row>
    <row r="12635" spans="103:104" x14ac:dyDescent="0.3">
      <c r="CY12635" s="34" t="s">
        <v>13562</v>
      </c>
      <c r="CZ12635" s="35">
        <v>2.6000175735294114E-2</v>
      </c>
    </row>
    <row r="12636" spans="103:104" x14ac:dyDescent="0.3">
      <c r="CY12636" s="34" t="s">
        <v>13563</v>
      </c>
      <c r="CZ12636" s="35">
        <v>0.22937915</v>
      </c>
    </row>
    <row r="12637" spans="103:104" x14ac:dyDescent="0.3">
      <c r="CY12637" s="34" t="s">
        <v>13564</v>
      </c>
      <c r="CZ12637" s="35">
        <v>0.23288033683999998</v>
      </c>
    </row>
    <row r="12638" spans="103:104" x14ac:dyDescent="0.3">
      <c r="CY12638" s="34" t="s">
        <v>13565</v>
      </c>
      <c r="CZ12638" s="35">
        <v>0.24481402104999997</v>
      </c>
    </row>
    <row r="12639" spans="103:104" x14ac:dyDescent="0.3">
      <c r="CY12639" s="34" t="s">
        <v>13566</v>
      </c>
      <c r="CZ12639" s="35">
        <v>0.27915160000000006</v>
      </c>
    </row>
    <row r="12640" spans="103:104" x14ac:dyDescent="0.3">
      <c r="CY12640" s="34" t="s">
        <v>13567</v>
      </c>
      <c r="CZ12640" s="35">
        <v>0.26648160000000004</v>
      </c>
    </row>
    <row r="12641" spans="103:104" x14ac:dyDescent="0.3">
      <c r="CY12641" s="34" t="s">
        <v>13568</v>
      </c>
      <c r="CZ12641" s="35">
        <v>9.3978602670000008E-2</v>
      </c>
    </row>
    <row r="12642" spans="103:104" x14ac:dyDescent="0.3">
      <c r="CY12642" s="34" t="s">
        <v>13569</v>
      </c>
      <c r="CZ12642" s="35">
        <v>2.6947640000000005E-3</v>
      </c>
    </row>
    <row r="12643" spans="103:104" x14ac:dyDescent="0.3">
      <c r="CY12643" s="34" t="s">
        <v>13570</v>
      </c>
      <c r="CZ12643" s="35">
        <v>3.1395879999999996E-3</v>
      </c>
    </row>
    <row r="12644" spans="103:104" x14ac:dyDescent="0.3">
      <c r="CY12644" s="34" t="s">
        <v>13571</v>
      </c>
      <c r="CZ12644" s="35">
        <v>2.4712440000000005E-3</v>
      </c>
    </row>
    <row r="12645" spans="103:104" x14ac:dyDescent="0.3">
      <c r="CY12645" s="34" t="s">
        <v>13572</v>
      </c>
      <c r="CZ12645" s="35">
        <v>7.3671999999999987E-2</v>
      </c>
    </row>
    <row r="12646" spans="103:104" x14ac:dyDescent="0.3">
      <c r="CY12646" s="34" t="s">
        <v>13573</v>
      </c>
      <c r="CZ12646" s="35">
        <v>7.3671999999999987E-2</v>
      </c>
    </row>
    <row r="12647" spans="103:104" x14ac:dyDescent="0.3">
      <c r="CY12647" s="34" t="s">
        <v>13574</v>
      </c>
      <c r="CZ12647" s="35">
        <v>1.7738239999999999E-4</v>
      </c>
    </row>
    <row r="12648" spans="103:104" x14ac:dyDescent="0.3">
      <c r="CY12648" s="34" t="s">
        <v>13575</v>
      </c>
      <c r="CZ12648" s="35">
        <v>1.8899872000000001E-4</v>
      </c>
    </row>
    <row r="12649" spans="103:104" x14ac:dyDescent="0.3">
      <c r="CY12649" s="34" t="s">
        <v>13576</v>
      </c>
      <c r="CZ12649" s="35">
        <v>3.9620879999999995E-4</v>
      </c>
    </row>
    <row r="12650" spans="103:104" x14ac:dyDescent="0.3">
      <c r="CY12650" s="34" t="s">
        <v>13577</v>
      </c>
      <c r="CZ12650" s="35">
        <v>4.0826213307692313E-4</v>
      </c>
    </row>
    <row r="12651" spans="103:104" x14ac:dyDescent="0.3">
      <c r="CY12651" s="34" t="s">
        <v>13578</v>
      </c>
      <c r="CZ12651" s="35">
        <v>5.6677088000000003E-4</v>
      </c>
    </row>
    <row r="12652" spans="103:104" x14ac:dyDescent="0.3">
      <c r="CY12652" s="34" t="s">
        <v>13579</v>
      </c>
      <c r="CZ12652" s="35">
        <v>5.7882421333333345E-4</v>
      </c>
    </row>
    <row r="12653" spans="103:104" x14ac:dyDescent="0.3">
      <c r="CY12653" s="34" t="s">
        <v>13580</v>
      </c>
      <c r="CZ12653" s="35">
        <v>5.5294719999999999E-4</v>
      </c>
    </row>
    <row r="12654" spans="103:104" x14ac:dyDescent="0.3">
      <c r="CY12654" s="34" t="s">
        <v>13581</v>
      </c>
      <c r="CZ12654" s="35">
        <v>5.6500053333333341E-4</v>
      </c>
    </row>
    <row r="12655" spans="103:104" x14ac:dyDescent="0.3">
      <c r="CY12655" s="34" t="s">
        <v>13582</v>
      </c>
      <c r="CZ12655" s="35">
        <v>3.2628959999999999E-4</v>
      </c>
    </row>
    <row r="12656" spans="103:104" x14ac:dyDescent="0.3">
      <c r="CY12656" s="34" t="s">
        <v>13583</v>
      </c>
      <c r="CZ12656" s="35">
        <v>3.6638959999999999E-4</v>
      </c>
    </row>
    <row r="12657" spans="103:104" x14ac:dyDescent="0.3">
      <c r="CY12657" s="34" t="s">
        <v>13584</v>
      </c>
      <c r="CZ12657" s="35">
        <v>5.3604719999999996E-4</v>
      </c>
    </row>
    <row r="12658" spans="103:104" x14ac:dyDescent="0.3">
      <c r="CY12658" s="34" t="s">
        <v>13585</v>
      </c>
      <c r="CZ12658" s="35">
        <v>3.4704726666666664E-3</v>
      </c>
    </row>
    <row r="12659" spans="103:104" x14ac:dyDescent="0.3">
      <c r="CY12659" s="34" t="s">
        <v>13586</v>
      </c>
      <c r="CZ12659" s="35">
        <v>9.2320066666666675E-4</v>
      </c>
    </row>
    <row r="12660" spans="103:104" x14ac:dyDescent="0.3">
      <c r="CY12660" s="34" t="s">
        <v>13587</v>
      </c>
      <c r="CZ12660" s="35">
        <v>8.8524363555555555E-2</v>
      </c>
    </row>
    <row r="12661" spans="103:104" x14ac:dyDescent="0.3">
      <c r="CY12661" s="34" t="s">
        <v>13588</v>
      </c>
      <c r="CZ12661" s="35">
        <v>2.8737254423999999E-2</v>
      </c>
    </row>
    <row r="12662" spans="103:104" x14ac:dyDescent="0.3">
      <c r="CY12662" s="34" t="s">
        <v>13589</v>
      </c>
      <c r="CZ12662" s="35">
        <v>3.9793967999999999E-3</v>
      </c>
    </row>
    <row r="12663" spans="103:104" x14ac:dyDescent="0.3">
      <c r="CY12663" s="34" t="s">
        <v>13590</v>
      </c>
      <c r="CZ12663" s="35">
        <v>3.0823679999999998E-3</v>
      </c>
    </row>
    <row r="12664" spans="103:104" x14ac:dyDescent="0.3">
      <c r="CY12664" s="34" t="s">
        <v>13591</v>
      </c>
      <c r="CZ12664" s="35">
        <v>3.1305407999999996E-3</v>
      </c>
    </row>
    <row r="12665" spans="103:104" x14ac:dyDescent="0.3">
      <c r="CY12665" s="34" t="s">
        <v>13592</v>
      </c>
      <c r="CZ12665" s="35">
        <v>3.1707973333333327E-3</v>
      </c>
    </row>
    <row r="12666" spans="103:104" x14ac:dyDescent="0.3">
      <c r="CY12666" s="34" t="s">
        <v>13593</v>
      </c>
      <c r="CZ12666" s="35">
        <v>0.57129739999999996</v>
      </c>
    </row>
    <row r="12667" spans="103:104" x14ac:dyDescent="0.3">
      <c r="CY12667" s="34" t="s">
        <v>13594</v>
      </c>
      <c r="CZ12667" s="35">
        <v>4.5264520000000003E-3</v>
      </c>
    </row>
    <row r="12668" spans="103:104" x14ac:dyDescent="0.3">
      <c r="CY12668" s="34" t="s">
        <v>13595</v>
      </c>
      <c r="CZ12668" s="35">
        <v>3.18454E-3</v>
      </c>
    </row>
    <row r="12669" spans="103:104" x14ac:dyDescent="0.3">
      <c r="CY12669" s="34" t="s">
        <v>13596</v>
      </c>
      <c r="CZ12669" s="35">
        <v>6.1300279999999999E-2</v>
      </c>
    </row>
    <row r="12670" spans="103:104" x14ac:dyDescent="0.3">
      <c r="CY12670" s="34" t="s">
        <v>13597</v>
      </c>
      <c r="CZ12670" s="35">
        <v>5.081248E-2</v>
      </c>
    </row>
    <row r="12671" spans="103:104" x14ac:dyDescent="0.3">
      <c r="CY12671" s="34" t="s">
        <v>13598</v>
      </c>
      <c r="CZ12671" s="35">
        <v>5.7053348579999996E-2</v>
      </c>
    </row>
    <row r="12672" spans="103:104" x14ac:dyDescent="0.3">
      <c r="CY12672" s="34" t="s">
        <v>13599</v>
      </c>
      <c r="CZ12672" s="35">
        <v>2.7804064E-2</v>
      </c>
    </row>
    <row r="12673" spans="103:104" x14ac:dyDescent="0.3">
      <c r="CY12673" s="34" t="s">
        <v>13600</v>
      </c>
      <c r="CZ12673" s="35">
        <v>5.9413314299999999E-2</v>
      </c>
    </row>
    <row r="12674" spans="103:104" x14ac:dyDescent="0.3">
      <c r="CY12674" s="34" t="s">
        <v>13601</v>
      </c>
      <c r="CZ12674" s="35">
        <v>4.2942267499999999E-2</v>
      </c>
    </row>
    <row r="12675" spans="103:104" x14ac:dyDescent="0.3">
      <c r="CY12675" s="34" t="s">
        <v>13602</v>
      </c>
      <c r="CZ12675" s="35">
        <v>1.4094010000000001E-2</v>
      </c>
    </row>
    <row r="12676" spans="103:104" x14ac:dyDescent="0.3">
      <c r="CY12676" s="34" t="s">
        <v>13603</v>
      </c>
      <c r="CZ12676" s="35">
        <v>2.7795901252173913E-3</v>
      </c>
    </row>
    <row r="12677" spans="103:104" x14ac:dyDescent="0.3">
      <c r="CY12677" s="34" t="s">
        <v>13604</v>
      </c>
      <c r="CZ12677" s="35">
        <v>8.0353844999999993E-3</v>
      </c>
    </row>
    <row r="12678" spans="103:104" x14ac:dyDescent="0.3">
      <c r="CY12678" s="34" t="s">
        <v>13605</v>
      </c>
      <c r="CZ12678" s="35">
        <v>4.8227634545454541E-4</v>
      </c>
    </row>
    <row r="12679" spans="103:104" x14ac:dyDescent="0.3">
      <c r="CY12679" s="34" t="s">
        <v>13606</v>
      </c>
      <c r="CZ12679" s="35">
        <v>0.23332652000000001</v>
      </c>
    </row>
    <row r="12680" spans="103:104" x14ac:dyDescent="0.3">
      <c r="CY12680" s="34" t="s">
        <v>13607</v>
      </c>
      <c r="CZ12680" s="35">
        <v>1.1612497000000001E-2</v>
      </c>
    </row>
    <row r="12681" spans="103:104" x14ac:dyDescent="0.3">
      <c r="CY12681" s="34" t="s">
        <v>13608</v>
      </c>
      <c r="CZ12681" s="35">
        <v>8.5195680000000012E-4</v>
      </c>
    </row>
    <row r="12682" spans="103:104" x14ac:dyDescent="0.3">
      <c r="CY12682" s="34" t="s">
        <v>13609</v>
      </c>
      <c r="CZ12682" s="35">
        <v>6.6963908484848475E-3</v>
      </c>
    </row>
    <row r="12683" spans="103:104" x14ac:dyDescent="0.3">
      <c r="CY12683" s="34" t="s">
        <v>13610</v>
      </c>
      <c r="CZ12683" s="35">
        <v>4.241350666666666E-3</v>
      </c>
    </row>
    <row r="12684" spans="103:104" x14ac:dyDescent="0.3">
      <c r="CY12684" s="34" t="s">
        <v>13611</v>
      </c>
      <c r="CZ12684" s="35">
        <v>1.6804514393939395E-3</v>
      </c>
    </row>
    <row r="12685" spans="103:104" x14ac:dyDescent="0.3">
      <c r="CY12685" s="34" t="s">
        <v>13612</v>
      </c>
      <c r="CZ12685" s="35">
        <v>8.7498639999999993E-4</v>
      </c>
    </row>
    <row r="12686" spans="103:104" x14ac:dyDescent="0.3">
      <c r="CY12686" s="34" t="s">
        <v>13613</v>
      </c>
      <c r="CZ12686" s="35">
        <v>3.0875908484848482E-3</v>
      </c>
    </row>
    <row r="12687" spans="103:104" x14ac:dyDescent="0.3">
      <c r="CY12687" s="34" t="s">
        <v>13614</v>
      </c>
      <c r="CZ12687" s="35">
        <v>5.8262649000000001E-3</v>
      </c>
    </row>
    <row r="12688" spans="103:104" x14ac:dyDescent="0.3">
      <c r="CY12688" s="34" t="s">
        <v>13615</v>
      </c>
      <c r="CZ12688" s="35">
        <v>5.6353200000000001E-3</v>
      </c>
    </row>
    <row r="12689" spans="103:104" x14ac:dyDescent="0.3">
      <c r="CY12689" s="34" t="s">
        <v>13616</v>
      </c>
      <c r="CZ12689" s="35">
        <v>1.5334848E-2</v>
      </c>
    </row>
    <row r="12690" spans="103:104" x14ac:dyDescent="0.3">
      <c r="CY12690" s="34" t="s">
        <v>13617</v>
      </c>
      <c r="CZ12690" s="35">
        <v>5.3115759999999998E-2</v>
      </c>
    </row>
    <row r="12691" spans="103:104" x14ac:dyDescent="0.3">
      <c r="CY12691" s="34" t="s">
        <v>13618</v>
      </c>
      <c r="CZ12691" s="35">
        <v>1.8795320000000004E-2</v>
      </c>
    </row>
    <row r="12692" spans="103:104" x14ac:dyDescent="0.3">
      <c r="CY12692" s="34" t="s">
        <v>13619</v>
      </c>
      <c r="CZ12692" s="35">
        <v>1.8795320000000004E-2</v>
      </c>
    </row>
    <row r="12693" spans="103:104" x14ac:dyDescent="0.3">
      <c r="CY12693" s="34" t="s">
        <v>13620</v>
      </c>
      <c r="CZ12693" s="35">
        <v>3.3953599999999994E-2</v>
      </c>
    </row>
    <row r="12694" spans="103:104" x14ac:dyDescent="0.3">
      <c r="CY12694" s="34" t="s">
        <v>13621</v>
      </c>
      <c r="CZ12694" s="35">
        <v>2.2452399999999997E-2</v>
      </c>
    </row>
    <row r="12695" spans="103:104" x14ac:dyDescent="0.3">
      <c r="CY12695" s="34" t="s">
        <v>13622</v>
      </c>
      <c r="CZ12695" s="35">
        <v>2.6932279999999999E-2</v>
      </c>
    </row>
    <row r="12696" spans="103:104" x14ac:dyDescent="0.3">
      <c r="CY12696" s="34" t="s">
        <v>13623</v>
      </c>
      <c r="CZ12696" s="35">
        <v>2.6813200000000002E-2</v>
      </c>
    </row>
    <row r="12697" spans="103:104" x14ac:dyDescent="0.3">
      <c r="CY12697" s="34" t="s">
        <v>13624</v>
      </c>
      <c r="CZ12697" s="35">
        <v>0.123819364</v>
      </c>
    </row>
    <row r="12698" spans="103:104" x14ac:dyDescent="0.3">
      <c r="CY12698" s="34" t="s">
        <v>13625</v>
      </c>
      <c r="CZ12698" s="35">
        <v>0.123819364</v>
      </c>
    </row>
    <row r="12699" spans="103:104" x14ac:dyDescent="0.3">
      <c r="CY12699" s="34" t="s">
        <v>13626</v>
      </c>
      <c r="CZ12699" s="35">
        <v>3.8725736999999996E-2</v>
      </c>
    </row>
    <row r="12700" spans="103:104" x14ac:dyDescent="0.3">
      <c r="CY12700" s="34" t="s">
        <v>13627</v>
      </c>
      <c r="CZ12700" s="35">
        <v>0.15040450249999998</v>
      </c>
    </row>
    <row r="12701" spans="103:104" x14ac:dyDescent="0.3">
      <c r="CY12701" s="34" t="s">
        <v>13628</v>
      </c>
      <c r="CZ12701" s="35">
        <v>0.22646628499999999</v>
      </c>
    </row>
    <row r="12702" spans="103:104" x14ac:dyDescent="0.3">
      <c r="CY12702" s="34" t="s">
        <v>13629</v>
      </c>
      <c r="CZ12702" s="35">
        <v>0.19777536332967033</v>
      </c>
    </row>
    <row r="12703" spans="103:104" x14ac:dyDescent="0.3">
      <c r="CY12703" s="34" t="s">
        <v>13630</v>
      </c>
      <c r="CZ12703" s="35">
        <v>3.5454334330000004E-2</v>
      </c>
    </row>
    <row r="12704" spans="103:104" x14ac:dyDescent="0.3">
      <c r="CY12704" s="34" t="s">
        <v>13631</v>
      </c>
      <c r="CZ12704" s="35">
        <v>5.1389911600000001E-3</v>
      </c>
    </row>
    <row r="12705" spans="103:104" x14ac:dyDescent="0.3">
      <c r="CY12705" s="34" t="s">
        <v>13632</v>
      </c>
      <c r="CZ12705" s="35">
        <v>0.59444175999999993</v>
      </c>
    </row>
    <row r="12706" spans="103:104" x14ac:dyDescent="0.3">
      <c r="CY12706" s="34" t="s">
        <v>13633</v>
      </c>
      <c r="CZ12706" s="35">
        <v>0.47344288334999995</v>
      </c>
    </row>
    <row r="12707" spans="103:104" x14ac:dyDescent="0.3">
      <c r="CY12707" s="34" t="s">
        <v>13634</v>
      </c>
      <c r="CZ12707" s="35">
        <v>0.9847866666666667</v>
      </c>
    </row>
    <row r="12708" spans="103:104" x14ac:dyDescent="0.3">
      <c r="CY12708" s="34" t="s">
        <v>13635</v>
      </c>
      <c r="CZ12708" s="35">
        <v>1.0151182222222224E-3</v>
      </c>
    </row>
    <row r="12709" spans="103:104" x14ac:dyDescent="0.3">
      <c r="CY12709" s="34" t="s">
        <v>13636</v>
      </c>
      <c r="CZ12709" s="35">
        <v>0.34143395009999999</v>
      </c>
    </row>
    <row r="12710" spans="103:104" x14ac:dyDescent="0.3">
      <c r="CY12710" s="34" t="s">
        <v>13637</v>
      </c>
      <c r="CZ12710" s="35">
        <v>0.2671063125</v>
      </c>
    </row>
    <row r="12711" spans="103:104" x14ac:dyDescent="0.3">
      <c r="CY12711" s="34" t="s">
        <v>13638</v>
      </c>
      <c r="CZ12711" s="35">
        <v>2.050519111111111E-3</v>
      </c>
    </row>
    <row r="12712" spans="103:104" x14ac:dyDescent="0.3">
      <c r="CY12712" s="34" t="s">
        <v>13639</v>
      </c>
      <c r="CZ12712" s="35">
        <v>2.481128E-3</v>
      </c>
    </row>
    <row r="12713" spans="103:104" x14ac:dyDescent="0.3">
      <c r="CY12713" s="34" t="s">
        <v>13640</v>
      </c>
      <c r="CZ12713" s="35">
        <v>1.5787800000000001E-3</v>
      </c>
    </row>
    <row r="12714" spans="103:104" x14ac:dyDescent="0.3">
      <c r="CY12714" s="34" t="s">
        <v>13641</v>
      </c>
      <c r="CZ12714" s="35">
        <v>4.9428560000000007E-3</v>
      </c>
    </row>
    <row r="12715" spans="103:104" x14ac:dyDescent="0.3">
      <c r="CY12715" s="34" t="s">
        <v>13642</v>
      </c>
      <c r="CZ12715" s="35">
        <v>6.0313200000000006E-3</v>
      </c>
    </row>
    <row r="12716" spans="103:104" x14ac:dyDescent="0.3">
      <c r="CY12716" s="34" t="s">
        <v>13643</v>
      </c>
      <c r="CZ12716" s="35">
        <v>6.0313200000000006E-3</v>
      </c>
    </row>
    <row r="12717" spans="103:104" x14ac:dyDescent="0.3">
      <c r="CY12717" s="34" t="s">
        <v>13644</v>
      </c>
      <c r="CZ12717" s="35">
        <v>6.3046519999999991E-3</v>
      </c>
    </row>
    <row r="12718" spans="103:104" x14ac:dyDescent="0.3">
      <c r="CY12718" s="34" t="s">
        <v>13645</v>
      </c>
      <c r="CZ12718" s="35">
        <v>1.021266E-2</v>
      </c>
    </row>
    <row r="12719" spans="103:104" x14ac:dyDescent="0.3">
      <c r="CY12719" s="34" t="s">
        <v>13646</v>
      </c>
      <c r="CZ12719" s="35">
        <v>5.7708200000000003E-3</v>
      </c>
    </row>
    <row r="12720" spans="103:104" x14ac:dyDescent="0.3">
      <c r="CY12720" s="34" t="s">
        <v>13647</v>
      </c>
      <c r="CZ12720" s="35">
        <v>5.7708200000000003E-3</v>
      </c>
    </row>
    <row r="12721" spans="103:104" x14ac:dyDescent="0.3">
      <c r="CY12721" s="34" t="s">
        <v>13648</v>
      </c>
      <c r="CZ12721" s="35">
        <v>7.9789479999999996E-3</v>
      </c>
    </row>
    <row r="12722" spans="103:104" x14ac:dyDescent="0.3">
      <c r="CY12722" s="34" t="s">
        <v>13649</v>
      </c>
      <c r="CZ12722" s="35">
        <v>0.18335499</v>
      </c>
    </row>
    <row r="12723" spans="103:104" x14ac:dyDescent="0.3">
      <c r="CY12723" s="34" t="s">
        <v>13650</v>
      </c>
      <c r="CZ12723" s="35">
        <v>1.65293735E-2</v>
      </c>
    </row>
    <row r="12724" spans="103:104" x14ac:dyDescent="0.3">
      <c r="CY12724" s="34" t="s">
        <v>13651</v>
      </c>
      <c r="CZ12724" s="35">
        <v>2.7867928888888885E-3</v>
      </c>
    </row>
    <row r="12725" spans="103:104" x14ac:dyDescent="0.3">
      <c r="CY12725" s="34" t="s">
        <v>13652</v>
      </c>
      <c r="CZ12725" s="35">
        <v>2.9739740844444439E-2</v>
      </c>
    </row>
    <row r="12726" spans="103:104" x14ac:dyDescent="0.3">
      <c r="CY12726" s="34" t="s">
        <v>13653</v>
      </c>
      <c r="CZ12726" s="35">
        <v>0.10933463999999998</v>
      </c>
    </row>
    <row r="12727" spans="103:104" x14ac:dyDescent="0.3">
      <c r="CY12727" s="34" t="s">
        <v>13654</v>
      </c>
      <c r="CZ12727" s="35">
        <v>1.6163768888888888E-3</v>
      </c>
    </row>
    <row r="12728" spans="103:104" x14ac:dyDescent="0.3">
      <c r="CY12728" s="34" t="s">
        <v>13655</v>
      </c>
      <c r="CZ12728" s="35">
        <v>4.5185422222222219E-4</v>
      </c>
    </row>
    <row r="12729" spans="103:104" x14ac:dyDescent="0.3">
      <c r="CY12729" s="34" t="s">
        <v>13656</v>
      </c>
      <c r="CZ12729" s="35">
        <v>2.050519111111111E-3</v>
      </c>
    </row>
    <row r="12730" spans="103:104" x14ac:dyDescent="0.3">
      <c r="CY12730" s="34" t="s">
        <v>13657</v>
      </c>
      <c r="CZ12730" s="35">
        <v>5.6775644444444456E-4</v>
      </c>
    </row>
    <row r="12731" spans="103:104" x14ac:dyDescent="0.3">
      <c r="CY12731" s="34" t="s">
        <v>13658</v>
      </c>
      <c r="CZ12731" s="35">
        <v>2.1039256000000002E-3</v>
      </c>
    </row>
    <row r="12732" spans="103:104" x14ac:dyDescent="0.3">
      <c r="CY12732" s="34" t="s">
        <v>13659</v>
      </c>
      <c r="CZ12732" s="35">
        <v>1.4406472E-3</v>
      </c>
    </row>
    <row r="12733" spans="103:104" x14ac:dyDescent="0.3">
      <c r="CY12733" s="34" t="s">
        <v>13660</v>
      </c>
      <c r="CZ12733" s="35">
        <v>4.5339508500000007E-2</v>
      </c>
    </row>
    <row r="12734" spans="103:104" x14ac:dyDescent="0.3">
      <c r="CY12734" s="34" t="s">
        <v>13661</v>
      </c>
      <c r="CZ12734" s="35">
        <v>4.6138720000000001E-2</v>
      </c>
    </row>
    <row r="12735" spans="103:104" x14ac:dyDescent="0.3">
      <c r="CY12735" s="34" t="s">
        <v>13662</v>
      </c>
      <c r="CZ12735" s="35">
        <v>3.8560159999999996E-2</v>
      </c>
    </row>
    <row r="12736" spans="103:104" x14ac:dyDescent="0.3">
      <c r="CY12736" s="34" t="s">
        <v>13663</v>
      </c>
      <c r="CZ12736" s="35">
        <v>9.413493715E-2</v>
      </c>
    </row>
    <row r="12737" spans="103:104" x14ac:dyDescent="0.3">
      <c r="CY12737" s="34" t="s">
        <v>13664</v>
      </c>
      <c r="CZ12737" s="35">
        <v>5.8424800000000006E-3</v>
      </c>
    </row>
    <row r="12738" spans="103:104" x14ac:dyDescent="0.3">
      <c r="CY12738" s="34" t="s">
        <v>13665</v>
      </c>
      <c r="CZ12738" s="35">
        <v>0.29557186665999996</v>
      </c>
    </row>
    <row r="12739" spans="103:104" x14ac:dyDescent="0.3">
      <c r="CY12739" s="34" t="s">
        <v>13666</v>
      </c>
      <c r="CZ12739" s="35">
        <v>3.2148085459999996E-2</v>
      </c>
    </row>
    <row r="12740" spans="103:104" x14ac:dyDescent="0.3">
      <c r="CY12740" s="34" t="s">
        <v>13667</v>
      </c>
      <c r="CZ12740" s="35">
        <v>7.1198399999999988E-3</v>
      </c>
    </row>
    <row r="12741" spans="103:104" x14ac:dyDescent="0.3">
      <c r="CY12741" s="34" t="s">
        <v>13668</v>
      </c>
      <c r="CZ12741" s="35">
        <v>2.4471199999999999E-2</v>
      </c>
    </row>
    <row r="12742" spans="103:104" x14ac:dyDescent="0.3">
      <c r="CY12742" s="34" t="s">
        <v>13669</v>
      </c>
      <c r="CZ12742" s="35">
        <v>3.9816524127999995E-3</v>
      </c>
    </row>
    <row r="12743" spans="103:104" x14ac:dyDescent="0.3">
      <c r="CY12743" s="34" t="s">
        <v>13670</v>
      </c>
      <c r="CZ12743" s="35">
        <v>8.9404692200000004E-3</v>
      </c>
    </row>
    <row r="12744" spans="103:104" x14ac:dyDescent="0.3">
      <c r="CY12744" s="34" t="s">
        <v>13671</v>
      </c>
      <c r="CZ12744" s="35">
        <v>3.0272759999999998E-3</v>
      </c>
    </row>
    <row r="12745" spans="103:104" x14ac:dyDescent="0.3">
      <c r="CY12745" s="34" t="s">
        <v>13672</v>
      </c>
      <c r="CZ12745" s="35">
        <v>3.7594426666666673E-2</v>
      </c>
    </row>
    <row r="12746" spans="103:104" x14ac:dyDescent="0.3">
      <c r="CY12746" s="34" t="s">
        <v>13673</v>
      </c>
      <c r="CZ12746" s="35">
        <v>8.5786420000000002E-2</v>
      </c>
    </row>
    <row r="12747" spans="103:104" x14ac:dyDescent="0.3">
      <c r="CY12747" s="34" t="s">
        <v>13674</v>
      </c>
      <c r="CZ12747" s="35">
        <v>8.5786420000000002E-2</v>
      </c>
    </row>
    <row r="12748" spans="103:104" x14ac:dyDescent="0.3">
      <c r="CY12748" s="34" t="s">
        <v>13675</v>
      </c>
      <c r="CZ12748" s="35">
        <v>2.3008862466666665E-3</v>
      </c>
    </row>
    <row r="12749" spans="103:104" x14ac:dyDescent="0.3">
      <c r="CY12749" s="34" t="s">
        <v>13676</v>
      </c>
      <c r="CZ12749" s="35">
        <v>2.5891527966666666E-3</v>
      </c>
    </row>
    <row r="12750" spans="103:104" x14ac:dyDescent="0.3">
      <c r="CY12750" s="34" t="s">
        <v>13677</v>
      </c>
      <c r="CZ12750" s="35">
        <v>2.7725333333333329E-3</v>
      </c>
    </row>
    <row r="12751" spans="103:104" x14ac:dyDescent="0.3">
      <c r="CY12751" s="34" t="s">
        <v>13678</v>
      </c>
      <c r="CZ12751" s="35">
        <v>1.9024999999999997E-2</v>
      </c>
    </row>
    <row r="12752" spans="103:104" x14ac:dyDescent="0.3">
      <c r="CY12752" s="34" t="s">
        <v>13679</v>
      </c>
      <c r="CZ12752" s="35">
        <v>0.26088166428000004</v>
      </c>
    </row>
    <row r="12753" spans="103:104" x14ac:dyDescent="0.3">
      <c r="CY12753" s="34" t="s">
        <v>13680</v>
      </c>
      <c r="CZ12753" s="35">
        <v>6.0602200000000002E-2</v>
      </c>
    </row>
    <row r="12754" spans="103:104" x14ac:dyDescent="0.3">
      <c r="CY12754" s="34" t="s">
        <v>13681</v>
      </c>
      <c r="CZ12754" s="35">
        <v>0.17411232000000001</v>
      </c>
    </row>
    <row r="12755" spans="103:104" x14ac:dyDescent="0.3">
      <c r="CY12755" s="34" t="s">
        <v>13682</v>
      </c>
      <c r="CZ12755" s="35">
        <v>3.8011520000000007E-2</v>
      </c>
    </row>
    <row r="12756" spans="103:104" x14ac:dyDescent="0.3">
      <c r="CY12756" s="34" t="s">
        <v>13683</v>
      </c>
      <c r="CZ12756" s="35">
        <v>0.11004208000000001</v>
      </c>
    </row>
    <row r="12757" spans="103:104" x14ac:dyDescent="0.3">
      <c r="CY12757" s="34" t="s">
        <v>13684</v>
      </c>
      <c r="CZ12757" s="35">
        <v>0.12247977777777778</v>
      </c>
    </row>
    <row r="12758" spans="103:104" x14ac:dyDescent="0.3">
      <c r="CY12758" s="34" t="s">
        <v>13685</v>
      </c>
      <c r="CZ12758" s="35">
        <v>0.208298925</v>
      </c>
    </row>
    <row r="12759" spans="103:104" x14ac:dyDescent="0.3">
      <c r="CY12759" s="34" t="s">
        <v>13686</v>
      </c>
      <c r="CZ12759" s="35">
        <v>0.10379960500000002</v>
      </c>
    </row>
    <row r="12760" spans="103:104" x14ac:dyDescent="0.3">
      <c r="CY12760" s="34" t="s">
        <v>13687</v>
      </c>
      <c r="CZ12760" s="35">
        <v>0.27535812500000001</v>
      </c>
    </row>
    <row r="12761" spans="103:104" x14ac:dyDescent="0.3">
      <c r="CY12761" s="34" t="s">
        <v>13688</v>
      </c>
      <c r="CZ12761" s="35">
        <v>0.10062552500000001</v>
      </c>
    </row>
    <row r="12762" spans="103:104" x14ac:dyDescent="0.3">
      <c r="CY12762" s="34" t="s">
        <v>13689</v>
      </c>
      <c r="CZ12762" s="35">
        <v>0.12903774001886789</v>
      </c>
    </row>
    <row r="12763" spans="103:104" x14ac:dyDescent="0.3">
      <c r="CY12763" s="34" t="s">
        <v>13690</v>
      </c>
      <c r="CZ12763" s="35">
        <v>2.6861314299999998E-2</v>
      </c>
    </row>
    <row r="12764" spans="103:104" x14ac:dyDescent="0.3">
      <c r="CY12764" s="34" t="s">
        <v>13691</v>
      </c>
      <c r="CZ12764" s="35">
        <v>1.96602133E-2</v>
      </c>
    </row>
    <row r="12765" spans="103:104" x14ac:dyDescent="0.3">
      <c r="CY12765" s="34" t="s">
        <v>13692</v>
      </c>
      <c r="CZ12765" s="35">
        <v>7.8315599999999999E-2</v>
      </c>
    </row>
    <row r="12766" spans="103:104" x14ac:dyDescent="0.3">
      <c r="CY12766" s="34" t="s">
        <v>13693</v>
      </c>
      <c r="CZ12766" s="35">
        <v>4.2828391100000002E-2</v>
      </c>
    </row>
    <row r="12767" spans="103:104" x14ac:dyDescent="0.3">
      <c r="CY12767" s="34" t="s">
        <v>13694</v>
      </c>
      <c r="CZ12767" s="35">
        <v>4.2828391100000002E-2</v>
      </c>
    </row>
    <row r="12768" spans="103:104" x14ac:dyDescent="0.3">
      <c r="CY12768" s="34" t="s">
        <v>13695</v>
      </c>
      <c r="CZ12768" s="35">
        <v>9.2740400000000001E-2</v>
      </c>
    </row>
    <row r="12769" spans="103:104" x14ac:dyDescent="0.3">
      <c r="CY12769" s="34" t="s">
        <v>13696</v>
      </c>
      <c r="CZ12769" s="35">
        <v>7.9120320000000008E-2</v>
      </c>
    </row>
    <row r="12770" spans="103:104" x14ac:dyDescent="0.3">
      <c r="CY12770" s="34" t="s">
        <v>13697</v>
      </c>
      <c r="CZ12770" s="35">
        <v>4.1340049999999996E-3</v>
      </c>
    </row>
    <row r="12771" spans="103:104" x14ac:dyDescent="0.3">
      <c r="CY12771" s="34" t="s">
        <v>13698</v>
      </c>
      <c r="CZ12771" s="35">
        <v>4.1891340000000006E-2</v>
      </c>
    </row>
    <row r="12772" spans="103:104" x14ac:dyDescent="0.3">
      <c r="CY12772" s="34" t="s">
        <v>13699</v>
      </c>
      <c r="CZ12772" s="35">
        <v>1.4446567999999998E-2</v>
      </c>
    </row>
    <row r="12773" spans="103:104" x14ac:dyDescent="0.3">
      <c r="CY12773" s="34" t="s">
        <v>13700</v>
      </c>
      <c r="CZ12773" s="35">
        <v>0.26308265000000003</v>
      </c>
    </row>
    <row r="12774" spans="103:104" x14ac:dyDescent="0.3">
      <c r="CY12774" s="34" t="s">
        <v>13701</v>
      </c>
      <c r="CZ12774" s="35">
        <v>0.23947464999999998</v>
      </c>
    </row>
    <row r="12775" spans="103:104" x14ac:dyDescent="0.3">
      <c r="CY12775" s="34" t="s">
        <v>13702</v>
      </c>
      <c r="CZ12775" s="35">
        <v>3.8391239999999997E-3</v>
      </c>
    </row>
    <row r="12776" spans="103:104" x14ac:dyDescent="0.3">
      <c r="CY12776" s="34" t="s">
        <v>13703</v>
      </c>
      <c r="CZ12776" s="35">
        <v>0.54426450000000004</v>
      </c>
    </row>
    <row r="12777" spans="103:104" x14ac:dyDescent="0.3">
      <c r="CY12777" s="34" t="s">
        <v>13704</v>
      </c>
      <c r="CZ12777" s="35">
        <v>7.8876456571428596E-2</v>
      </c>
    </row>
    <row r="12778" spans="103:104" x14ac:dyDescent="0.3">
      <c r="CY12778" s="34" t="s">
        <v>13705</v>
      </c>
      <c r="CZ12778" s="35">
        <v>2.5595409999999999E-2</v>
      </c>
    </row>
    <row r="12779" spans="103:104" x14ac:dyDescent="0.3">
      <c r="CY12779" s="34" t="s">
        <v>13706</v>
      </c>
      <c r="CZ12779" s="35">
        <v>2.6117765306122444E-2</v>
      </c>
    </row>
    <row r="12780" spans="103:104" x14ac:dyDescent="0.3">
      <c r="CY12780" s="34" t="s">
        <v>13707</v>
      </c>
      <c r="CZ12780" s="35">
        <v>3.988996996996997E-2</v>
      </c>
    </row>
    <row r="12781" spans="103:104" x14ac:dyDescent="0.3">
      <c r="CY12781" s="34" t="s">
        <v>13708</v>
      </c>
      <c r="CZ12781" s="35">
        <v>0.1240205868</v>
      </c>
    </row>
    <row r="12782" spans="103:104" x14ac:dyDescent="0.3">
      <c r="CY12782" s="34" t="s">
        <v>13709</v>
      </c>
      <c r="CZ12782" s="35">
        <v>0.15645118599999996</v>
      </c>
    </row>
    <row r="12783" spans="103:104" x14ac:dyDescent="0.3">
      <c r="CY12783" s="34" t="s">
        <v>13710</v>
      </c>
      <c r="CZ12783" s="35">
        <v>9.0748383999999988E-2</v>
      </c>
    </row>
    <row r="12784" spans="103:104" x14ac:dyDescent="0.3">
      <c r="CY12784" s="34" t="s">
        <v>13711</v>
      </c>
      <c r="CZ12784" s="35">
        <v>1.0718066666666668E-2</v>
      </c>
    </row>
    <row r="12785" spans="103:104" x14ac:dyDescent="0.3">
      <c r="CY12785" s="34" t="s">
        <v>13712</v>
      </c>
      <c r="CZ12785" s="35">
        <v>0.7087378571428572</v>
      </c>
    </row>
    <row r="12786" spans="103:104" x14ac:dyDescent="0.3">
      <c r="CY12786" s="34" t="s">
        <v>13713</v>
      </c>
      <c r="CZ12786" s="35">
        <v>2.4464679999999999E-2</v>
      </c>
    </row>
    <row r="12787" spans="103:104" x14ac:dyDescent="0.3">
      <c r="CY12787" s="34" t="s">
        <v>13714</v>
      </c>
      <c r="CZ12787" s="35">
        <v>8.5763946666666667E-4</v>
      </c>
    </row>
    <row r="12788" spans="103:104" x14ac:dyDescent="0.3">
      <c r="CY12788" s="34" t="s">
        <v>13715</v>
      </c>
      <c r="CZ12788" s="35">
        <v>4.0140959999999996E-2</v>
      </c>
    </row>
    <row r="12789" spans="103:104" x14ac:dyDescent="0.3">
      <c r="CY12789" s="34" t="s">
        <v>13716</v>
      </c>
      <c r="CZ12789" s="35">
        <v>0.23059016000000002</v>
      </c>
    </row>
    <row r="12790" spans="103:104" x14ac:dyDescent="0.3">
      <c r="CY12790" s="34" t="s">
        <v>13717</v>
      </c>
      <c r="CZ12790" s="35">
        <v>6.8228684459999994E-2</v>
      </c>
    </row>
    <row r="12791" spans="103:104" x14ac:dyDescent="0.3">
      <c r="CY12791" s="34" t="s">
        <v>13718</v>
      </c>
      <c r="CZ12791" s="35">
        <v>2.1994114285714284E-3</v>
      </c>
    </row>
    <row r="12792" spans="103:104" x14ac:dyDescent="0.3">
      <c r="CY12792" s="34" t="s">
        <v>13719</v>
      </c>
      <c r="CZ12792" s="35">
        <v>0.31389</v>
      </c>
    </row>
    <row r="12793" spans="103:104" x14ac:dyDescent="0.3">
      <c r="CY12793" s="34" t="s">
        <v>13720</v>
      </c>
      <c r="CZ12793" s="35">
        <v>2.2563499999999998E-3</v>
      </c>
    </row>
    <row r="12794" spans="103:104" x14ac:dyDescent="0.3">
      <c r="CY12794" s="34" t="s">
        <v>13721</v>
      </c>
      <c r="CZ12794" s="35">
        <v>2.538004266666667E-3</v>
      </c>
    </row>
    <row r="12795" spans="103:104" x14ac:dyDescent="0.3">
      <c r="CY12795" s="34" t="s">
        <v>13722</v>
      </c>
      <c r="CZ12795" s="35">
        <v>1.9928160000000001E-3</v>
      </c>
    </row>
    <row r="12796" spans="103:104" x14ac:dyDescent="0.3">
      <c r="CY12796" s="34" t="s">
        <v>13723</v>
      </c>
      <c r="CZ12796" s="35">
        <v>1.9516166670000001E-2</v>
      </c>
    </row>
    <row r="12797" spans="103:104" x14ac:dyDescent="0.3">
      <c r="CY12797" s="34" t="s">
        <v>13724</v>
      </c>
      <c r="CZ12797" s="35">
        <v>9.8933628000000023E-2</v>
      </c>
    </row>
    <row r="12798" spans="103:104" x14ac:dyDescent="0.3">
      <c r="CY12798" s="34" t="s">
        <v>13725</v>
      </c>
      <c r="CZ12798" s="35">
        <v>9.8933626800000007E-2</v>
      </c>
    </row>
    <row r="12799" spans="103:104" x14ac:dyDescent="0.3">
      <c r="CY12799" s="34" t="s">
        <v>13726</v>
      </c>
      <c r="CZ12799" s="35">
        <v>1.3533800666666667</v>
      </c>
    </row>
    <row r="12800" spans="103:104" x14ac:dyDescent="0.3">
      <c r="CY12800" s="34" t="s">
        <v>13727</v>
      </c>
      <c r="CZ12800" s="35">
        <v>0.28035900000000002</v>
      </c>
    </row>
    <row r="12801" spans="103:104" x14ac:dyDescent="0.3">
      <c r="CY12801" s="34" t="s">
        <v>13728</v>
      </c>
      <c r="CZ12801" s="35">
        <v>1.2645237714999999</v>
      </c>
    </row>
    <row r="12802" spans="103:104" x14ac:dyDescent="0.3">
      <c r="CY12802" s="34" t="s">
        <v>13729</v>
      </c>
      <c r="CZ12802" s="35">
        <v>0.62220921669999996</v>
      </c>
    </row>
    <row r="12803" spans="103:104" x14ac:dyDescent="0.3">
      <c r="CY12803" s="34" t="s">
        <v>13730</v>
      </c>
      <c r="CZ12803" s="35">
        <v>9.3725333333333325E-4</v>
      </c>
    </row>
    <row r="12804" spans="103:104" x14ac:dyDescent="0.3">
      <c r="CY12804" s="34" t="s">
        <v>13731</v>
      </c>
      <c r="CZ12804" s="35">
        <v>1.3083229333333335E-2</v>
      </c>
    </row>
    <row r="12805" spans="103:104" x14ac:dyDescent="0.3">
      <c r="CY12805" s="34" t="s">
        <v>13732</v>
      </c>
      <c r="CZ12805" s="35">
        <v>5.0150194714285716E-2</v>
      </c>
    </row>
    <row r="12806" spans="103:104" x14ac:dyDescent="0.3">
      <c r="CY12806" s="34" t="s">
        <v>13733</v>
      </c>
      <c r="CZ12806" s="35">
        <v>1.4016883344827586E-2</v>
      </c>
    </row>
    <row r="12807" spans="103:104" x14ac:dyDescent="0.3">
      <c r="CY12807" s="34" t="s">
        <v>13734</v>
      </c>
      <c r="CZ12807" s="35">
        <v>1.4327534666642855E-2</v>
      </c>
    </row>
    <row r="12808" spans="103:104" x14ac:dyDescent="0.3">
      <c r="CY12808" s="34" t="s">
        <v>13735</v>
      </c>
      <c r="CZ12808" s="35">
        <v>2.6614705000000002E-3</v>
      </c>
    </row>
    <row r="12809" spans="103:104" x14ac:dyDescent="0.3">
      <c r="CY12809" s="34" t="s">
        <v>13736</v>
      </c>
      <c r="CZ12809" s="35">
        <v>2.8216120000000003E-3</v>
      </c>
    </row>
    <row r="12810" spans="103:104" x14ac:dyDescent="0.3">
      <c r="CY12810" s="34" t="s">
        <v>13737</v>
      </c>
      <c r="CZ12810" s="35">
        <v>3.7826690000000003E-2</v>
      </c>
    </row>
    <row r="12811" spans="103:104" x14ac:dyDescent="0.3">
      <c r="CY12811" s="34" t="s">
        <v>13738</v>
      </c>
      <c r="CZ12811" s="35">
        <v>3.7826690000000003E-2</v>
      </c>
    </row>
    <row r="12812" spans="103:104" x14ac:dyDescent="0.3">
      <c r="CY12812" s="34" t="s">
        <v>13739</v>
      </c>
      <c r="CZ12812" s="35">
        <v>3.738184E-2</v>
      </c>
    </row>
    <row r="12813" spans="103:104" x14ac:dyDescent="0.3">
      <c r="CY12813" s="34" t="s">
        <v>13740</v>
      </c>
      <c r="CZ12813" s="35">
        <v>8.894680000000002E-3</v>
      </c>
    </row>
    <row r="12814" spans="103:104" x14ac:dyDescent="0.3">
      <c r="CY12814" s="34" t="s">
        <v>13741</v>
      </c>
      <c r="CZ12814" s="35">
        <v>9.9457039999999997E-3</v>
      </c>
    </row>
    <row r="12815" spans="103:104" x14ac:dyDescent="0.3">
      <c r="CY12815" s="34" t="s">
        <v>13742</v>
      </c>
      <c r="CZ12815" s="35">
        <v>3.1239760000000005E-3</v>
      </c>
    </row>
    <row r="12816" spans="103:104" x14ac:dyDescent="0.3">
      <c r="CY12816" s="34" t="s">
        <v>13743</v>
      </c>
      <c r="CZ12816" s="35">
        <v>5.326532000000001E-3</v>
      </c>
    </row>
    <row r="12817" spans="103:104" x14ac:dyDescent="0.3">
      <c r="CY12817" s="34" t="s">
        <v>13744</v>
      </c>
      <c r="CZ12817" s="35">
        <v>5.8200320000000002E-3</v>
      </c>
    </row>
    <row r="12818" spans="103:104" x14ac:dyDescent="0.3">
      <c r="CY12818" s="34" t="s">
        <v>13745</v>
      </c>
      <c r="CZ12818" s="35">
        <v>0.40191520000000003</v>
      </c>
    </row>
    <row r="12819" spans="103:104" x14ac:dyDescent="0.3">
      <c r="CY12819" s="34" t="s">
        <v>13746</v>
      </c>
      <c r="CZ12819" s="35">
        <v>3.2382301259999996E-2</v>
      </c>
    </row>
    <row r="12820" spans="103:104" x14ac:dyDescent="0.3">
      <c r="CY12820" s="34" t="s">
        <v>13747</v>
      </c>
      <c r="CZ12820" s="35">
        <v>2.0520143999999997E-2</v>
      </c>
    </row>
    <row r="12821" spans="103:104" x14ac:dyDescent="0.3">
      <c r="CY12821" s="34" t="s">
        <v>13748</v>
      </c>
      <c r="CZ12821" s="35">
        <v>1.0890740000000001E-2</v>
      </c>
    </row>
    <row r="12822" spans="103:104" x14ac:dyDescent="0.3">
      <c r="CY12822" s="34" t="s">
        <v>13749</v>
      </c>
      <c r="CZ12822" s="35">
        <v>0.16445676000000004</v>
      </c>
    </row>
    <row r="12823" spans="103:104" x14ac:dyDescent="0.3">
      <c r="CY12823" s="34" t="s">
        <v>13750</v>
      </c>
      <c r="CZ12823" s="35">
        <v>5.6102666650000004E-3</v>
      </c>
    </row>
    <row r="12824" spans="103:104" x14ac:dyDescent="0.3">
      <c r="CY12824" s="34" t="s">
        <v>13751</v>
      </c>
      <c r="CZ12824" s="35">
        <v>5.1196000000000002E-3</v>
      </c>
    </row>
    <row r="12825" spans="103:104" x14ac:dyDescent="0.3">
      <c r="CY12825" s="34" t="s">
        <v>13752</v>
      </c>
      <c r="CZ12825" s="35">
        <v>5.1052666750000001E-3</v>
      </c>
    </row>
    <row r="12826" spans="103:104" x14ac:dyDescent="0.3">
      <c r="CY12826" s="34" t="s">
        <v>13753</v>
      </c>
      <c r="CZ12826" s="35">
        <v>1.1508600000000001E-2</v>
      </c>
    </row>
    <row r="12827" spans="103:104" x14ac:dyDescent="0.3">
      <c r="CY12827" s="34" t="s">
        <v>13754</v>
      </c>
      <c r="CZ12827" s="35">
        <v>2.3688351999999998E-3</v>
      </c>
    </row>
    <row r="12828" spans="103:104" x14ac:dyDescent="0.3">
      <c r="CY12828" s="34" t="s">
        <v>13755</v>
      </c>
      <c r="CZ12828" s="35">
        <v>0.12900537000000001</v>
      </c>
    </row>
    <row r="12829" spans="103:104" x14ac:dyDescent="0.3">
      <c r="CY12829" s="34" t="s">
        <v>13756</v>
      </c>
      <c r="CZ12829" s="35">
        <v>3.6428559999999994E-3</v>
      </c>
    </row>
    <row r="12830" spans="103:104" x14ac:dyDescent="0.3">
      <c r="CY12830" s="34" t="s">
        <v>13757</v>
      </c>
      <c r="CZ12830" s="35">
        <v>3.5542923599999998E-2</v>
      </c>
    </row>
    <row r="12831" spans="103:104" x14ac:dyDescent="0.3">
      <c r="CY12831" s="34" t="s">
        <v>13758</v>
      </c>
      <c r="CZ12831" s="35">
        <v>1.7885779999999997E-2</v>
      </c>
    </row>
    <row r="12832" spans="103:104" x14ac:dyDescent="0.3">
      <c r="CY12832" s="34" t="s">
        <v>13759</v>
      </c>
      <c r="CZ12832" s="35">
        <v>9.1654140000000002E-3</v>
      </c>
    </row>
    <row r="12833" spans="103:104" x14ac:dyDescent="0.3">
      <c r="CY12833" s="34" t="s">
        <v>13760</v>
      </c>
      <c r="CZ12833" s="35">
        <v>3.2293386800000004E-2</v>
      </c>
    </row>
    <row r="12834" spans="103:104" x14ac:dyDescent="0.3">
      <c r="CY12834" s="34" t="s">
        <v>13761</v>
      </c>
      <c r="CZ12834" s="35">
        <v>3.3411679999999999E-2</v>
      </c>
    </row>
    <row r="12835" spans="103:104" x14ac:dyDescent="0.3">
      <c r="CY12835" s="34" t="s">
        <v>13762</v>
      </c>
      <c r="CZ12835" s="35">
        <v>3.339168E-2</v>
      </c>
    </row>
    <row r="12836" spans="103:104" x14ac:dyDescent="0.3">
      <c r="CY12836" s="34" t="s">
        <v>13763</v>
      </c>
      <c r="CZ12836" s="35">
        <v>0.36987039999999999</v>
      </c>
    </row>
    <row r="12837" spans="103:104" x14ac:dyDescent="0.3">
      <c r="CY12837" s="34" t="s">
        <v>13764</v>
      </c>
      <c r="CZ12837" s="35">
        <v>5.2649408500000001E-2</v>
      </c>
    </row>
    <row r="12838" spans="103:104" x14ac:dyDescent="0.3">
      <c r="CY12838" s="34" t="s">
        <v>13765</v>
      </c>
      <c r="CZ12838" s="35">
        <v>3.0707266699999999E-2</v>
      </c>
    </row>
    <row r="12839" spans="103:104" x14ac:dyDescent="0.3">
      <c r="CY12839" s="34" t="s">
        <v>13766</v>
      </c>
      <c r="CZ12839" s="35">
        <v>1.15E-4</v>
      </c>
    </row>
    <row r="12840" spans="103:104" x14ac:dyDescent="0.3">
      <c r="CY12840" s="34" t="s">
        <v>13767</v>
      </c>
      <c r="CZ12840" s="35">
        <v>8.9999999999999993E-3</v>
      </c>
    </row>
    <row r="12841" spans="103:104" x14ac:dyDescent="0.3">
      <c r="CY12841" s="34" t="s">
        <v>13768</v>
      </c>
      <c r="CZ12841" s="35">
        <v>9.5431678666666672E-2</v>
      </c>
    </row>
    <row r="12842" spans="103:104" x14ac:dyDescent="0.3">
      <c r="CY12842" s="34" t="s">
        <v>13769</v>
      </c>
      <c r="CZ12842" s="35">
        <v>4.9341810000000007E-2</v>
      </c>
    </row>
    <row r="12843" spans="103:104" x14ac:dyDescent="0.3">
      <c r="CY12843" s="34" t="s">
        <v>13770</v>
      </c>
      <c r="CZ12843" s="35">
        <v>4.7708060000000004E-2</v>
      </c>
    </row>
    <row r="12844" spans="103:104" x14ac:dyDescent="0.3">
      <c r="CY12844" s="34" t="s">
        <v>13771</v>
      </c>
      <c r="CZ12844" s="35">
        <v>4.7708060000000004E-2</v>
      </c>
    </row>
    <row r="12845" spans="103:104" x14ac:dyDescent="0.3">
      <c r="CY12845" s="34" t="s">
        <v>13772</v>
      </c>
      <c r="CZ12845" s="35">
        <v>4.1777408000000002E-2</v>
      </c>
    </row>
    <row r="12846" spans="103:104" x14ac:dyDescent="0.3">
      <c r="CY12846" s="34" t="s">
        <v>13773</v>
      </c>
      <c r="CZ12846" s="35">
        <v>0.17527839331999998</v>
      </c>
    </row>
    <row r="12847" spans="103:104" x14ac:dyDescent="0.3">
      <c r="CY12847" s="34" t="s">
        <v>13774</v>
      </c>
      <c r="CZ12847" s="35">
        <v>8.1944368000000004E-2</v>
      </c>
    </row>
    <row r="12848" spans="103:104" x14ac:dyDescent="0.3">
      <c r="CY12848" s="34" t="s">
        <v>13775</v>
      </c>
      <c r="CZ12848" s="35">
        <v>2.4199999999999998E-3</v>
      </c>
    </row>
    <row r="12849" spans="103:104" x14ac:dyDescent="0.3">
      <c r="CY12849" s="34" t="s">
        <v>13776</v>
      </c>
      <c r="CZ12849" s="35">
        <v>2.2615911578947372E-2</v>
      </c>
    </row>
    <row r="12850" spans="103:104" x14ac:dyDescent="0.3">
      <c r="CY12850" s="34" t="s">
        <v>13777</v>
      </c>
      <c r="CZ12850" s="35">
        <v>0.1051792</v>
      </c>
    </row>
    <row r="12851" spans="103:104" x14ac:dyDescent="0.3">
      <c r="CY12851" s="34" t="s">
        <v>13778</v>
      </c>
      <c r="CZ12851" s="35">
        <v>2.4946687999999998E-2</v>
      </c>
    </row>
    <row r="12852" spans="103:104" x14ac:dyDescent="0.3">
      <c r="CY12852" s="34" t="s">
        <v>13779</v>
      </c>
      <c r="CZ12852" s="35">
        <v>0.2011383575</v>
      </c>
    </row>
    <row r="12853" spans="103:104" x14ac:dyDescent="0.3">
      <c r="CY12853" s="34" t="s">
        <v>13780</v>
      </c>
      <c r="CZ12853" s="35">
        <v>0.19218381848739496</v>
      </c>
    </row>
    <row r="12854" spans="103:104" x14ac:dyDescent="0.3">
      <c r="CY12854" s="34" t="s">
        <v>13781</v>
      </c>
      <c r="CZ12854" s="35">
        <v>0.44904700000000003</v>
      </c>
    </row>
    <row r="12855" spans="103:104" x14ac:dyDescent="0.3">
      <c r="CY12855" s="34" t="s">
        <v>13782</v>
      </c>
      <c r="CZ12855" s="35">
        <v>0.19673054000000004</v>
      </c>
    </row>
    <row r="12856" spans="103:104" x14ac:dyDescent="0.3">
      <c r="CY12856" s="34" t="s">
        <v>13783</v>
      </c>
      <c r="CZ12856" s="35">
        <v>0.37662419749999998</v>
      </c>
    </row>
    <row r="12857" spans="103:104" x14ac:dyDescent="0.3">
      <c r="CY12857" s="34" t="s">
        <v>13784</v>
      </c>
      <c r="CZ12857" s="35">
        <v>8.5674474399999995E-4</v>
      </c>
    </row>
    <row r="12858" spans="103:104" x14ac:dyDescent="0.3">
      <c r="CY12858" s="34" t="s">
        <v>13785</v>
      </c>
      <c r="CZ12858" s="35">
        <v>5.5602799999999997E-4</v>
      </c>
    </row>
    <row r="12859" spans="103:104" x14ac:dyDescent="0.3">
      <c r="CY12859" s="34" t="s">
        <v>13786</v>
      </c>
      <c r="CZ12859" s="35">
        <v>7.7948016000000005E-4</v>
      </c>
    </row>
    <row r="12860" spans="103:104" x14ac:dyDescent="0.3">
      <c r="CY12860" s="34" t="s">
        <v>13787</v>
      </c>
      <c r="CZ12860" s="35">
        <v>7.0285295999999997E-4</v>
      </c>
    </row>
    <row r="12861" spans="103:104" x14ac:dyDescent="0.3">
      <c r="CY12861" s="34" t="s">
        <v>13788</v>
      </c>
      <c r="CZ12861" s="35">
        <v>9.8455375999999999E-4</v>
      </c>
    </row>
    <row r="12862" spans="103:104" x14ac:dyDescent="0.3">
      <c r="CY12862" s="34" t="s">
        <v>13789</v>
      </c>
      <c r="CZ12862" s="35">
        <v>4.69192E-4</v>
      </c>
    </row>
    <row r="12863" spans="103:104" x14ac:dyDescent="0.3">
      <c r="CY12863" s="34" t="s">
        <v>13790</v>
      </c>
      <c r="CZ12863" s="35">
        <v>7.9972183999999988E-4</v>
      </c>
    </row>
    <row r="12864" spans="103:104" x14ac:dyDescent="0.3">
      <c r="CY12864" s="34" t="s">
        <v>13791</v>
      </c>
      <c r="CZ12864" s="35">
        <v>7.8781998000000003E-4</v>
      </c>
    </row>
    <row r="12865" spans="103:104" x14ac:dyDescent="0.3">
      <c r="CY12865" s="34" t="s">
        <v>13792</v>
      </c>
      <c r="CZ12865" s="35">
        <v>1.3223676E-2</v>
      </c>
    </row>
    <row r="12866" spans="103:104" x14ac:dyDescent="0.3">
      <c r="CY12866" s="34" t="s">
        <v>13793</v>
      </c>
      <c r="CZ12866" s="35">
        <v>1.3223676E-2</v>
      </c>
    </row>
    <row r="12867" spans="103:104" x14ac:dyDescent="0.3">
      <c r="CY12867" s="34" t="s">
        <v>13794</v>
      </c>
      <c r="CZ12867" s="35">
        <v>0.10062552499999999</v>
      </c>
    </row>
    <row r="12868" spans="103:104" x14ac:dyDescent="0.3">
      <c r="CY12868" s="34" t="s">
        <v>13795</v>
      </c>
      <c r="CZ12868" s="35">
        <v>0.35402800000000001</v>
      </c>
    </row>
    <row r="12869" spans="103:104" x14ac:dyDescent="0.3">
      <c r="CY12869" s="34" t="s">
        <v>13796</v>
      </c>
      <c r="CZ12869" s="35">
        <v>0.3426244</v>
      </c>
    </row>
    <row r="12870" spans="103:104" x14ac:dyDescent="0.3">
      <c r="CY12870" s="34" t="s">
        <v>13797</v>
      </c>
      <c r="CZ12870" s="35">
        <v>0.41104599999999997</v>
      </c>
    </row>
    <row r="12871" spans="103:104" x14ac:dyDescent="0.3">
      <c r="CY12871" s="34" t="s">
        <v>13798</v>
      </c>
      <c r="CZ12871" s="35">
        <v>0.51367840000000009</v>
      </c>
    </row>
    <row r="12872" spans="103:104" x14ac:dyDescent="0.3">
      <c r="CY12872" s="34" t="s">
        <v>13799</v>
      </c>
      <c r="CZ12872" s="35">
        <v>2.9125600000000001E-2</v>
      </c>
    </row>
    <row r="12873" spans="103:104" x14ac:dyDescent="0.3">
      <c r="CY12873" s="34" t="s">
        <v>13800</v>
      </c>
      <c r="CZ12873" s="35">
        <v>3.8710240000000007E-2</v>
      </c>
    </row>
    <row r="12874" spans="103:104" x14ac:dyDescent="0.3">
      <c r="CY12874" s="34" t="s">
        <v>13801</v>
      </c>
      <c r="CZ12874" s="35">
        <v>0.44833999999999996</v>
      </c>
    </row>
    <row r="12875" spans="103:104" x14ac:dyDescent="0.3">
      <c r="CY12875" s="34" t="s">
        <v>13802</v>
      </c>
      <c r="CZ12875" s="35">
        <v>0.67823</v>
      </c>
    </row>
    <row r="12876" spans="103:104" x14ac:dyDescent="0.3">
      <c r="CY12876" s="34" t="s">
        <v>13803</v>
      </c>
      <c r="CZ12876" s="35">
        <v>9.0788900000000005E-4</v>
      </c>
    </row>
    <row r="12877" spans="103:104" x14ac:dyDescent="0.3">
      <c r="CY12877" s="34" t="s">
        <v>13804</v>
      </c>
      <c r="CZ12877" s="35">
        <v>2.7028399999999998E-3</v>
      </c>
    </row>
    <row r="12878" spans="103:104" x14ac:dyDescent="0.3">
      <c r="CY12878" s="34" t="s">
        <v>13805</v>
      </c>
      <c r="CZ12878" s="35">
        <v>3.7267760000000004E-2</v>
      </c>
    </row>
    <row r="12879" spans="103:104" x14ac:dyDescent="0.3">
      <c r="CY12879" s="34" t="s">
        <v>13806</v>
      </c>
      <c r="CZ12879" s="35">
        <v>5.8271866650000004E-2</v>
      </c>
    </row>
    <row r="12880" spans="103:104" x14ac:dyDescent="0.3">
      <c r="CY12880" s="34" t="s">
        <v>13807</v>
      </c>
      <c r="CZ12880" s="35">
        <v>0.10185324166250001</v>
      </c>
    </row>
    <row r="12881" spans="103:104" x14ac:dyDescent="0.3">
      <c r="CY12881" s="34" t="s">
        <v>13808</v>
      </c>
      <c r="CZ12881" s="35">
        <v>2.9468600000000008E-2</v>
      </c>
    </row>
    <row r="12882" spans="103:104" x14ac:dyDescent="0.3">
      <c r="CY12882" s="34" t="s">
        <v>13809</v>
      </c>
      <c r="CZ12882" s="35">
        <v>0.10326197500000001</v>
      </c>
    </row>
    <row r="12883" spans="103:104" x14ac:dyDescent="0.3">
      <c r="CY12883" s="34" t="s">
        <v>13810</v>
      </c>
      <c r="CZ12883" s="35">
        <v>1.1285536</v>
      </c>
    </row>
    <row r="12884" spans="103:104" x14ac:dyDescent="0.3">
      <c r="CY12884" s="34" t="s">
        <v>13811</v>
      </c>
      <c r="CZ12884" s="35">
        <v>2.4466167999999996E-4</v>
      </c>
    </row>
    <row r="12885" spans="103:104" x14ac:dyDescent="0.3">
      <c r="CY12885" s="34" t="s">
        <v>13812</v>
      </c>
      <c r="CZ12885" s="35">
        <v>7.1311292499999998E-2</v>
      </c>
    </row>
    <row r="12886" spans="103:104" x14ac:dyDescent="0.3">
      <c r="CY12886" s="34" t="s">
        <v>13813</v>
      </c>
      <c r="CZ12886" s="35">
        <v>3.6783022222222229E-3</v>
      </c>
    </row>
    <row r="12887" spans="103:104" x14ac:dyDescent="0.3">
      <c r="CY12887" s="34" t="s">
        <v>13814</v>
      </c>
      <c r="CZ12887" s="35">
        <v>1.9290114285714284E-3</v>
      </c>
    </row>
    <row r="12888" spans="103:104" x14ac:dyDescent="0.3">
      <c r="CY12888" s="34" t="s">
        <v>13815</v>
      </c>
      <c r="CZ12888" s="35">
        <v>4.2396586666666675E-3</v>
      </c>
    </row>
    <row r="12889" spans="103:104" x14ac:dyDescent="0.3">
      <c r="CY12889" s="34" t="s">
        <v>13816</v>
      </c>
      <c r="CZ12889" s="35">
        <v>4.4704800000000002E-4</v>
      </c>
    </row>
    <row r="12890" spans="103:104" x14ac:dyDescent="0.3">
      <c r="CY12890" s="34" t="s">
        <v>13817</v>
      </c>
      <c r="CZ12890" s="35">
        <v>4.2252420000000006E-3</v>
      </c>
    </row>
    <row r="12891" spans="103:104" x14ac:dyDescent="0.3">
      <c r="CY12891" s="34" t="s">
        <v>13818</v>
      </c>
      <c r="CZ12891" s="35">
        <v>2.5528142222222224E-3</v>
      </c>
    </row>
    <row r="12892" spans="103:104" x14ac:dyDescent="0.3">
      <c r="CY12892" s="34" t="s">
        <v>13819</v>
      </c>
      <c r="CZ12892" s="35">
        <v>2.1830823999999999E-2</v>
      </c>
    </row>
    <row r="12893" spans="103:104" x14ac:dyDescent="0.3">
      <c r="CY12893" s="34" t="s">
        <v>13820</v>
      </c>
      <c r="CZ12893" s="35">
        <v>5.9292799999999994E-3</v>
      </c>
    </row>
    <row r="12894" spans="103:104" x14ac:dyDescent="0.3">
      <c r="CY12894" s="34" t="s">
        <v>13821</v>
      </c>
      <c r="CZ12894" s="35">
        <v>0.14888972</v>
      </c>
    </row>
    <row r="12895" spans="103:104" x14ac:dyDescent="0.3">
      <c r="CY12895" s="34" t="s">
        <v>13822</v>
      </c>
      <c r="CZ12895" s="35">
        <v>1.5210714666666666E-2</v>
      </c>
    </row>
    <row r="12896" spans="103:104" x14ac:dyDescent="0.3">
      <c r="CY12896" s="34" t="s">
        <v>13823</v>
      </c>
      <c r="CZ12896" s="35">
        <v>1.2283515566666667E-2</v>
      </c>
    </row>
    <row r="12897" spans="103:104" x14ac:dyDescent="0.3">
      <c r="CY12897" s="34" t="s">
        <v>13824</v>
      </c>
      <c r="CZ12897" s="35">
        <v>3.8443679999999999E-3</v>
      </c>
    </row>
    <row r="12898" spans="103:104" x14ac:dyDescent="0.3">
      <c r="CY12898" s="34" t="s">
        <v>13825</v>
      </c>
      <c r="CZ12898" s="35">
        <v>1.2451052000000001E-2</v>
      </c>
    </row>
    <row r="12899" spans="103:104" x14ac:dyDescent="0.3">
      <c r="CY12899" s="34" t="s">
        <v>13826</v>
      </c>
      <c r="CZ12899" s="35">
        <v>1.4016056000000001E-2</v>
      </c>
    </row>
    <row r="12900" spans="103:104" x14ac:dyDescent="0.3">
      <c r="CY12900" s="34" t="s">
        <v>13827</v>
      </c>
      <c r="CZ12900" s="35">
        <v>0.1224006</v>
      </c>
    </row>
    <row r="12901" spans="103:104" x14ac:dyDescent="0.3">
      <c r="CY12901" s="34" t="s">
        <v>13828</v>
      </c>
      <c r="CZ12901" s="35">
        <v>0.16842902628</v>
      </c>
    </row>
    <row r="12902" spans="103:104" x14ac:dyDescent="0.3">
      <c r="CY12902" s="34" t="s">
        <v>13829</v>
      </c>
      <c r="CZ12902" s="35">
        <v>0.17602872228000005</v>
      </c>
    </row>
    <row r="12903" spans="103:104" x14ac:dyDescent="0.3">
      <c r="CY12903" s="34" t="s">
        <v>13830</v>
      </c>
      <c r="CZ12903" s="35">
        <v>3.5345634285714279E-2</v>
      </c>
    </row>
    <row r="12904" spans="103:104" x14ac:dyDescent="0.3">
      <c r="CY12904" s="34" t="s">
        <v>13831</v>
      </c>
      <c r="CZ12904" s="35">
        <v>6.9021600000000001E-3</v>
      </c>
    </row>
    <row r="12905" spans="103:104" x14ac:dyDescent="0.3">
      <c r="CY12905" s="34" t="s">
        <v>13832</v>
      </c>
      <c r="CZ12905" s="35">
        <v>1.5971759999999998E-2</v>
      </c>
    </row>
    <row r="12906" spans="103:104" x14ac:dyDescent="0.3">
      <c r="CY12906" s="34" t="s">
        <v>13833</v>
      </c>
      <c r="CZ12906" s="35">
        <v>0.10848722666153847</v>
      </c>
    </row>
    <row r="12907" spans="103:104" x14ac:dyDescent="0.3">
      <c r="CY12907" s="34" t="s">
        <v>13834</v>
      </c>
      <c r="CZ12907" s="35">
        <v>8.9300620000000011E-2</v>
      </c>
    </row>
    <row r="12908" spans="103:104" x14ac:dyDescent="0.3">
      <c r="CY12908" s="34" t="s">
        <v>13835</v>
      </c>
      <c r="CZ12908" s="35">
        <v>8.9128120000000019E-2</v>
      </c>
    </row>
    <row r="12909" spans="103:104" x14ac:dyDescent="0.3">
      <c r="CY12909" s="34" t="s">
        <v>13836</v>
      </c>
      <c r="CZ12909" s="35">
        <v>5.0150000000000004E-3</v>
      </c>
    </row>
    <row r="12910" spans="103:104" x14ac:dyDescent="0.3">
      <c r="CY12910" s="34" t="s">
        <v>13837</v>
      </c>
      <c r="CZ12910" s="35">
        <v>8.5189270000000011E-2</v>
      </c>
    </row>
    <row r="12911" spans="103:104" x14ac:dyDescent="0.3">
      <c r="CY12911" s="34" t="s">
        <v>13838</v>
      </c>
      <c r="CZ12911" s="35">
        <v>4.5608120000000009E-2</v>
      </c>
    </row>
    <row r="12912" spans="103:104" x14ac:dyDescent="0.3">
      <c r="CY12912" s="34" t="s">
        <v>13839</v>
      </c>
      <c r="CZ12912" s="35">
        <v>6.3765853338461548E-2</v>
      </c>
    </row>
    <row r="12913" spans="103:104" x14ac:dyDescent="0.3">
      <c r="CY12913" s="34" t="s">
        <v>13840</v>
      </c>
      <c r="CZ12913" s="35">
        <v>3.8059513000000003E-2</v>
      </c>
    </row>
    <row r="12914" spans="103:104" x14ac:dyDescent="0.3">
      <c r="CY12914" s="34" t="s">
        <v>13841</v>
      </c>
      <c r="CZ12914" s="35">
        <v>5.9159600000000001E-4</v>
      </c>
    </row>
    <row r="12915" spans="103:104" x14ac:dyDescent="0.3">
      <c r="CY12915" s="34" t="s">
        <v>13842</v>
      </c>
      <c r="CZ12915" s="35">
        <v>6.5389199999999995E-2</v>
      </c>
    </row>
    <row r="12916" spans="103:104" x14ac:dyDescent="0.3">
      <c r="CY12916" s="34" t="s">
        <v>13843</v>
      </c>
      <c r="CZ12916" s="35">
        <v>6.9084839999999995E-2</v>
      </c>
    </row>
    <row r="12917" spans="103:104" x14ac:dyDescent="0.3">
      <c r="CY12917" s="34" t="s">
        <v>13844</v>
      </c>
      <c r="CZ12917" s="35">
        <v>2.8625000000000001E-2</v>
      </c>
    </row>
    <row r="12918" spans="103:104" x14ac:dyDescent="0.3">
      <c r="CY12918" s="34" t="s">
        <v>13845</v>
      </c>
      <c r="CZ12918" s="35">
        <v>1.7489645600000001</v>
      </c>
    </row>
    <row r="12919" spans="103:104" x14ac:dyDescent="0.3">
      <c r="CY12919" s="34" t="s">
        <v>13846</v>
      </c>
      <c r="CZ12919" s="35">
        <v>1.1311411</v>
      </c>
    </row>
    <row r="12920" spans="103:104" x14ac:dyDescent="0.3">
      <c r="CY12920" s="34" t="s">
        <v>13847</v>
      </c>
      <c r="CZ12920" s="35">
        <v>4.0251539999999995E-3</v>
      </c>
    </row>
    <row r="12921" spans="103:104" x14ac:dyDescent="0.3">
      <c r="CY12921" s="34" t="s">
        <v>13848</v>
      </c>
      <c r="CZ12921" s="35">
        <v>5.6786533333333328E-3</v>
      </c>
    </row>
    <row r="12922" spans="103:104" x14ac:dyDescent="0.3">
      <c r="CY12922" s="34" t="s">
        <v>13849</v>
      </c>
      <c r="CZ12922" s="35">
        <v>4.5589859999999992E-3</v>
      </c>
    </row>
    <row r="12923" spans="103:104" x14ac:dyDescent="0.3">
      <c r="CY12923" s="34" t="s">
        <v>13850</v>
      </c>
      <c r="CZ12923" s="35">
        <v>2.006126126126126E-3</v>
      </c>
    </row>
    <row r="12924" spans="103:104" x14ac:dyDescent="0.3">
      <c r="CY12924" s="34" t="s">
        <v>13851</v>
      </c>
      <c r="CZ12924" s="35">
        <v>1.9977199999999997E-3</v>
      </c>
    </row>
    <row r="12925" spans="103:104" x14ac:dyDescent="0.3">
      <c r="CY12925" s="34" t="s">
        <v>13852</v>
      </c>
      <c r="CZ12925" s="35">
        <v>1.9367960000000002E-3</v>
      </c>
    </row>
    <row r="12926" spans="103:104" x14ac:dyDescent="0.3">
      <c r="CY12926" s="34" t="s">
        <v>13853</v>
      </c>
      <c r="CZ12926" s="35">
        <v>2.4753807058823527E-3</v>
      </c>
    </row>
    <row r="12927" spans="103:104" x14ac:dyDescent="0.3">
      <c r="CY12927" s="34" t="s">
        <v>13854</v>
      </c>
      <c r="CZ12927" s="35">
        <v>4.0968560000000001E-2</v>
      </c>
    </row>
    <row r="12928" spans="103:104" x14ac:dyDescent="0.3">
      <c r="CY12928" s="34" t="s">
        <v>13855</v>
      </c>
      <c r="CZ12928" s="35">
        <v>4.0968560000000001E-2</v>
      </c>
    </row>
    <row r="12929" spans="103:104" x14ac:dyDescent="0.3">
      <c r="CY12929" s="34" t="s">
        <v>13856</v>
      </c>
      <c r="CZ12929" s="35">
        <v>4.0968560000000001E-2</v>
      </c>
    </row>
    <row r="12930" spans="103:104" x14ac:dyDescent="0.3">
      <c r="CY12930" s="34" t="s">
        <v>13857</v>
      </c>
      <c r="CZ12930" s="35">
        <v>4.0968560000000001E-2</v>
      </c>
    </row>
    <row r="12931" spans="103:104" x14ac:dyDescent="0.3">
      <c r="CY12931" s="34" t="s">
        <v>13858</v>
      </c>
      <c r="CZ12931" s="35">
        <v>4.0968560000000001E-2</v>
      </c>
    </row>
    <row r="12932" spans="103:104" x14ac:dyDescent="0.3">
      <c r="CY12932" s="34" t="s">
        <v>13859</v>
      </c>
      <c r="CZ12932" s="35">
        <v>4.0968560000000001E-2</v>
      </c>
    </row>
    <row r="12933" spans="103:104" x14ac:dyDescent="0.3">
      <c r="CY12933" s="34" t="s">
        <v>13860</v>
      </c>
      <c r="CZ12933" s="35">
        <v>4.0968560000000001E-2</v>
      </c>
    </row>
    <row r="12934" spans="103:104" x14ac:dyDescent="0.3">
      <c r="CY12934" s="34" t="s">
        <v>13861</v>
      </c>
      <c r="CZ12934" s="35">
        <v>4.0968560000000001E-2</v>
      </c>
    </row>
    <row r="12935" spans="103:104" x14ac:dyDescent="0.3">
      <c r="CY12935" s="34" t="s">
        <v>13862</v>
      </c>
      <c r="CZ12935" s="35">
        <v>4.0968560000000001E-2</v>
      </c>
    </row>
    <row r="12936" spans="103:104" x14ac:dyDescent="0.3">
      <c r="CY12936" s="34" t="s">
        <v>13863</v>
      </c>
      <c r="CZ12936" s="35">
        <v>4.5382320000000004E-2</v>
      </c>
    </row>
    <row r="12937" spans="103:104" x14ac:dyDescent="0.3">
      <c r="CY12937" s="34" t="s">
        <v>13864</v>
      </c>
      <c r="CZ12937" s="35">
        <v>4.5382320000000004E-2</v>
      </c>
    </row>
    <row r="12938" spans="103:104" x14ac:dyDescent="0.3">
      <c r="CY12938" s="34" t="s">
        <v>13865</v>
      </c>
      <c r="CZ12938" s="35">
        <v>4.5382320000000004E-2</v>
      </c>
    </row>
    <row r="12939" spans="103:104" x14ac:dyDescent="0.3">
      <c r="CY12939" s="34" t="s">
        <v>13866</v>
      </c>
      <c r="CZ12939" s="35">
        <v>4.5382320000000004E-2</v>
      </c>
    </row>
    <row r="12940" spans="103:104" x14ac:dyDescent="0.3">
      <c r="CY12940" s="34" t="s">
        <v>13867</v>
      </c>
      <c r="CZ12940" s="35">
        <v>4.5382320000000004E-2</v>
      </c>
    </row>
    <row r="12941" spans="103:104" x14ac:dyDescent="0.3">
      <c r="CY12941" s="34" t="s">
        <v>13868</v>
      </c>
      <c r="CZ12941" s="35">
        <v>4.5382320000000004E-2</v>
      </c>
    </row>
    <row r="12942" spans="103:104" x14ac:dyDescent="0.3">
      <c r="CY12942" s="34" t="s">
        <v>13869</v>
      </c>
      <c r="CZ12942" s="35">
        <v>4.8525200000000004E-2</v>
      </c>
    </row>
    <row r="12943" spans="103:104" x14ac:dyDescent="0.3">
      <c r="CY12943" s="34" t="s">
        <v>13870</v>
      </c>
      <c r="CZ12943" s="35">
        <v>4.8525200000000004E-2</v>
      </c>
    </row>
    <row r="12944" spans="103:104" x14ac:dyDescent="0.3">
      <c r="CY12944" s="34" t="s">
        <v>13871</v>
      </c>
      <c r="CZ12944" s="35">
        <v>4.8661231999999999E-2</v>
      </c>
    </row>
    <row r="12945" spans="103:104" x14ac:dyDescent="0.3">
      <c r="CY12945" s="34" t="s">
        <v>13872</v>
      </c>
      <c r="CZ12945" s="35">
        <v>6.8422063999999991E-2</v>
      </c>
    </row>
    <row r="12946" spans="103:104" x14ac:dyDescent="0.3">
      <c r="CY12946" s="34" t="s">
        <v>13873</v>
      </c>
      <c r="CZ12946" s="35">
        <v>5.9099503999999997E-2</v>
      </c>
    </row>
    <row r="12947" spans="103:104" x14ac:dyDescent="0.3">
      <c r="CY12947" s="34" t="s">
        <v>13874</v>
      </c>
      <c r="CZ12947" s="35">
        <v>1.9161008000000004E-2</v>
      </c>
    </row>
    <row r="12948" spans="103:104" x14ac:dyDescent="0.3">
      <c r="CY12948" s="34" t="s">
        <v>13875</v>
      </c>
      <c r="CZ12948" s="35">
        <v>1.9161008000000004E-2</v>
      </c>
    </row>
    <row r="12949" spans="103:104" x14ac:dyDescent="0.3">
      <c r="CY12949" s="34" t="s">
        <v>13876</v>
      </c>
      <c r="CZ12949" s="35">
        <v>2.5784560000000002E-2</v>
      </c>
    </row>
    <row r="12950" spans="103:104" x14ac:dyDescent="0.3">
      <c r="CY12950" s="34" t="s">
        <v>13877</v>
      </c>
      <c r="CZ12950" s="35">
        <v>2.6830383999999999E-2</v>
      </c>
    </row>
    <row r="12951" spans="103:104" x14ac:dyDescent="0.3">
      <c r="CY12951" s="34" t="s">
        <v>13878</v>
      </c>
      <c r="CZ12951" s="35">
        <v>2.6830383999999999E-2</v>
      </c>
    </row>
    <row r="12952" spans="103:104" x14ac:dyDescent="0.3">
      <c r="CY12952" s="34" t="s">
        <v>13879</v>
      </c>
      <c r="CZ12952" s="35">
        <v>2.8605040000000002E-2</v>
      </c>
    </row>
    <row r="12953" spans="103:104" x14ac:dyDescent="0.3">
      <c r="CY12953" s="34" t="s">
        <v>13880</v>
      </c>
      <c r="CZ12953" s="35">
        <v>2.8605040000000002E-2</v>
      </c>
    </row>
    <row r="12954" spans="103:104" x14ac:dyDescent="0.3">
      <c r="CY12954" s="34" t="s">
        <v>13881</v>
      </c>
      <c r="CZ12954" s="35">
        <v>3.6091376000000001E-2</v>
      </c>
    </row>
    <row r="12955" spans="103:104" x14ac:dyDescent="0.3">
      <c r="CY12955" s="34" t="s">
        <v>13882</v>
      </c>
      <c r="CZ12955" s="35">
        <v>3.6091376000000001E-2</v>
      </c>
    </row>
    <row r="12956" spans="103:104" x14ac:dyDescent="0.3">
      <c r="CY12956" s="34" t="s">
        <v>13883</v>
      </c>
      <c r="CZ12956" s="35">
        <v>4.0740591999999999E-2</v>
      </c>
    </row>
    <row r="12957" spans="103:104" x14ac:dyDescent="0.3">
      <c r="CY12957" s="34" t="s">
        <v>13884</v>
      </c>
      <c r="CZ12957" s="35">
        <v>4.0740591999999999E-2</v>
      </c>
    </row>
    <row r="12958" spans="103:104" x14ac:dyDescent="0.3">
      <c r="CY12958" s="34" t="s">
        <v>13885</v>
      </c>
      <c r="CZ12958" s="35">
        <v>1.9458578000000001E-2</v>
      </c>
    </row>
    <row r="12959" spans="103:104" x14ac:dyDescent="0.3">
      <c r="CY12959" s="34" t="s">
        <v>13886</v>
      </c>
      <c r="CZ12959" s="35">
        <v>1.5007939910675382E-2</v>
      </c>
    </row>
    <row r="12960" spans="103:104" x14ac:dyDescent="0.3">
      <c r="CY12960" s="34" t="s">
        <v>13887</v>
      </c>
      <c r="CZ12960" s="35">
        <v>7.8317105208333317E-3</v>
      </c>
    </row>
    <row r="12961" spans="103:104" x14ac:dyDescent="0.3">
      <c r="CY12961" s="34" t="s">
        <v>13888</v>
      </c>
      <c r="CZ12961" s="35">
        <v>1.9509616000000004E-2</v>
      </c>
    </row>
    <row r="12962" spans="103:104" x14ac:dyDescent="0.3">
      <c r="CY12962" s="34" t="s">
        <v>13889</v>
      </c>
      <c r="CZ12962" s="35">
        <v>1.9509616000000004E-2</v>
      </c>
    </row>
    <row r="12963" spans="103:104" x14ac:dyDescent="0.3">
      <c r="CY12963" s="34" t="s">
        <v>13890</v>
      </c>
      <c r="CZ12963" s="35">
        <v>1.9509616000000004E-2</v>
      </c>
    </row>
    <row r="12964" spans="103:104" x14ac:dyDescent="0.3">
      <c r="CY12964" s="34" t="s">
        <v>13891</v>
      </c>
      <c r="CZ12964" s="35">
        <v>2.6481776000000002E-2</v>
      </c>
    </row>
    <row r="12965" spans="103:104" x14ac:dyDescent="0.3">
      <c r="CY12965" s="34" t="s">
        <v>13892</v>
      </c>
      <c r="CZ12965" s="35">
        <v>2.6481776000000002E-2</v>
      </c>
    </row>
    <row r="12966" spans="103:104" x14ac:dyDescent="0.3">
      <c r="CY12966" s="34" t="s">
        <v>13893</v>
      </c>
      <c r="CZ12966" s="35">
        <v>0.20888703999999997</v>
      </c>
    </row>
    <row r="12967" spans="103:104" x14ac:dyDescent="0.3">
      <c r="CY12967" s="34" t="s">
        <v>13894</v>
      </c>
      <c r="CZ12967" s="35">
        <v>2.9966191999999999E-2</v>
      </c>
    </row>
    <row r="12968" spans="103:104" x14ac:dyDescent="0.3">
      <c r="CY12968" s="34" t="s">
        <v>13895</v>
      </c>
      <c r="CZ12968" s="35">
        <v>2.9966191999999999E-2</v>
      </c>
    </row>
    <row r="12969" spans="103:104" x14ac:dyDescent="0.3">
      <c r="CY12969" s="34" t="s">
        <v>13896</v>
      </c>
      <c r="CZ12969" s="35">
        <v>2.9966191999999999E-2</v>
      </c>
    </row>
    <row r="12970" spans="103:104" x14ac:dyDescent="0.3">
      <c r="CY12970" s="34" t="s">
        <v>13897</v>
      </c>
      <c r="CZ12970" s="35">
        <v>3.7452527999999999E-2</v>
      </c>
    </row>
    <row r="12971" spans="103:104" x14ac:dyDescent="0.3">
      <c r="CY12971" s="34" t="s">
        <v>13898</v>
      </c>
      <c r="CZ12971" s="35">
        <v>3.7452527999999999E-2</v>
      </c>
    </row>
    <row r="12972" spans="103:104" x14ac:dyDescent="0.3">
      <c r="CY12972" s="34" t="s">
        <v>13899</v>
      </c>
      <c r="CZ12972" s="35">
        <v>4.1564000000000004E-2</v>
      </c>
    </row>
    <row r="12973" spans="103:104" x14ac:dyDescent="0.3">
      <c r="CY12973" s="34" t="s">
        <v>13900</v>
      </c>
      <c r="CZ12973" s="35">
        <v>1.7886496E-3</v>
      </c>
    </row>
    <row r="12974" spans="103:104" x14ac:dyDescent="0.3">
      <c r="CY12974" s="34" t="s">
        <v>13901</v>
      </c>
      <c r="CZ12974" s="35">
        <v>8.5142320000000009E-4</v>
      </c>
    </row>
    <row r="12975" spans="103:104" x14ac:dyDescent="0.3">
      <c r="CY12975" s="34" t="s">
        <v>13902</v>
      </c>
      <c r="CZ12975" s="35">
        <v>2.2271783999999999E-3</v>
      </c>
    </row>
    <row r="12976" spans="103:104" x14ac:dyDescent="0.3">
      <c r="CY12976" s="34" t="s">
        <v>13903</v>
      </c>
      <c r="CZ12976" s="35">
        <v>6.8140320000000002E-3</v>
      </c>
    </row>
    <row r="12977" spans="103:104" x14ac:dyDescent="0.3">
      <c r="CY12977" s="34" t="s">
        <v>13904</v>
      </c>
      <c r="CZ12977" s="35">
        <v>4.4314560000000003E-3</v>
      </c>
    </row>
    <row r="12978" spans="103:104" x14ac:dyDescent="0.3">
      <c r="CY12978" s="34" t="s">
        <v>13905</v>
      </c>
      <c r="CZ12978" s="35">
        <v>3.3693583999999995E-3</v>
      </c>
    </row>
    <row r="12979" spans="103:104" x14ac:dyDescent="0.3">
      <c r="CY12979" s="34" t="s">
        <v>13906</v>
      </c>
      <c r="CZ12979" s="35">
        <v>1.7365336000000002E-2</v>
      </c>
    </row>
    <row r="12980" spans="103:104" x14ac:dyDescent="0.3">
      <c r="CY12980" s="34" t="s">
        <v>13907</v>
      </c>
      <c r="CZ12980" s="35">
        <v>1.5844752E-2</v>
      </c>
    </row>
    <row r="12981" spans="103:104" x14ac:dyDescent="0.3">
      <c r="CY12981" s="34" t="s">
        <v>13908</v>
      </c>
      <c r="CZ12981" s="35">
        <v>1.9270280000000001E-2</v>
      </c>
    </row>
    <row r="12982" spans="103:104" x14ac:dyDescent="0.3">
      <c r="CY12982" s="34" t="s">
        <v>13909</v>
      </c>
      <c r="CZ12982" s="35">
        <v>9.7629680000000003E-3</v>
      </c>
    </row>
    <row r="12983" spans="103:104" x14ac:dyDescent="0.3">
      <c r="CY12983" s="34" t="s">
        <v>13910</v>
      </c>
      <c r="CZ12983" s="35">
        <v>9.7629680000000003E-3</v>
      </c>
    </row>
    <row r="12984" spans="103:104" x14ac:dyDescent="0.3">
      <c r="CY12984" s="34" t="s">
        <v>13911</v>
      </c>
      <c r="CZ12984" s="35">
        <v>2.5593344000000001E-2</v>
      </c>
    </row>
    <row r="12985" spans="103:104" x14ac:dyDescent="0.3">
      <c r="CY12985" s="34" t="s">
        <v>13912</v>
      </c>
      <c r="CZ12985" s="35">
        <v>2.5593344000000001E-2</v>
      </c>
    </row>
    <row r="12986" spans="103:104" x14ac:dyDescent="0.3">
      <c r="CY12986" s="34" t="s">
        <v>13913</v>
      </c>
      <c r="CZ12986" s="35">
        <v>2.5593344000000001E-2</v>
      </c>
    </row>
    <row r="12987" spans="103:104" x14ac:dyDescent="0.3">
      <c r="CY12987" s="34" t="s">
        <v>13914</v>
      </c>
      <c r="CZ12987" s="35">
        <v>2.5593344000000001E-2</v>
      </c>
    </row>
    <row r="12988" spans="103:104" x14ac:dyDescent="0.3">
      <c r="CY12988" s="34" t="s">
        <v>13915</v>
      </c>
      <c r="CZ12988" s="35">
        <v>2.5593344000000001E-2</v>
      </c>
    </row>
    <row r="12989" spans="103:104" x14ac:dyDescent="0.3">
      <c r="CY12989" s="34" t="s">
        <v>13916</v>
      </c>
      <c r="CZ12989" s="35">
        <v>1.7245638502673796E-2</v>
      </c>
    </row>
    <row r="12990" spans="103:104" x14ac:dyDescent="0.3">
      <c r="CY12990" s="34" t="s">
        <v>13917</v>
      </c>
      <c r="CZ12990" s="35">
        <v>3.5236224000000003E-2</v>
      </c>
    </row>
    <row r="12991" spans="103:104" x14ac:dyDescent="0.3">
      <c r="CY12991" s="34" t="s">
        <v>13918</v>
      </c>
      <c r="CZ12991" s="35">
        <v>2.0983534722222225E-2</v>
      </c>
    </row>
    <row r="12992" spans="103:104" x14ac:dyDescent="0.3">
      <c r="CY12992" s="34" t="s">
        <v>13919</v>
      </c>
      <c r="CZ12992" s="35">
        <v>3.5270252800000006E-2</v>
      </c>
    </row>
    <row r="12993" spans="103:104" x14ac:dyDescent="0.3">
      <c r="CY12993" s="34" t="s">
        <v>13920</v>
      </c>
      <c r="CZ12993" s="35">
        <v>3.5270252800000006E-2</v>
      </c>
    </row>
    <row r="12994" spans="103:104" x14ac:dyDescent="0.3">
      <c r="CY12994" s="34" t="s">
        <v>13921</v>
      </c>
      <c r="CZ12994" s="35">
        <v>3.5270252800000006E-2</v>
      </c>
    </row>
    <row r="12995" spans="103:104" x14ac:dyDescent="0.3">
      <c r="CY12995" s="34" t="s">
        <v>13922</v>
      </c>
      <c r="CZ12995" s="35">
        <v>3.5270252800000006E-2</v>
      </c>
    </row>
    <row r="12996" spans="103:104" x14ac:dyDescent="0.3">
      <c r="CY12996" s="34" t="s">
        <v>13923</v>
      </c>
      <c r="CZ12996" s="35">
        <v>3.5916800000000006E-2</v>
      </c>
    </row>
    <row r="12997" spans="103:104" x14ac:dyDescent="0.3">
      <c r="CY12997" s="34" t="s">
        <v>13924</v>
      </c>
      <c r="CZ12997" s="35">
        <v>4.1361408000000009E-2</v>
      </c>
    </row>
    <row r="12998" spans="103:104" x14ac:dyDescent="0.3">
      <c r="CY12998" s="34" t="s">
        <v>13925</v>
      </c>
      <c r="CZ12998" s="35">
        <v>4.1361408000000009E-2</v>
      </c>
    </row>
    <row r="12999" spans="103:104" x14ac:dyDescent="0.3">
      <c r="CY12999" s="34" t="s">
        <v>13926</v>
      </c>
      <c r="CZ12999" s="35">
        <v>4.1361408000000009E-2</v>
      </c>
    </row>
    <row r="13000" spans="103:104" x14ac:dyDescent="0.3">
      <c r="CY13000" s="34" t="s">
        <v>13927</v>
      </c>
      <c r="CZ13000" s="35">
        <v>4.221656E-2</v>
      </c>
    </row>
    <row r="13001" spans="103:104" x14ac:dyDescent="0.3">
      <c r="CY13001" s="34" t="s">
        <v>13928</v>
      </c>
      <c r="CZ13001" s="35">
        <v>4.221656E-2</v>
      </c>
    </row>
    <row r="13002" spans="103:104" x14ac:dyDescent="0.3">
      <c r="CY13002" s="34" t="s">
        <v>13929</v>
      </c>
      <c r="CZ13002" s="35">
        <v>4.1361408000000009E-2</v>
      </c>
    </row>
    <row r="13003" spans="103:104" x14ac:dyDescent="0.3">
      <c r="CY13003" s="34" t="s">
        <v>13930</v>
      </c>
      <c r="CZ13003" s="35">
        <v>6.4481920000000002E-3</v>
      </c>
    </row>
    <row r="13004" spans="103:104" x14ac:dyDescent="0.3">
      <c r="CY13004" s="34" t="s">
        <v>13931</v>
      </c>
      <c r="CZ13004" s="35">
        <v>1.9331568E-2</v>
      </c>
    </row>
    <row r="13005" spans="103:104" x14ac:dyDescent="0.3">
      <c r="CY13005" s="34" t="s">
        <v>13932</v>
      </c>
      <c r="CZ13005" s="35">
        <v>2.1510576000000003E-2</v>
      </c>
    </row>
    <row r="13006" spans="103:104" x14ac:dyDescent="0.3">
      <c r="CY13006" s="34" t="s">
        <v>13933</v>
      </c>
      <c r="CZ13006" s="35">
        <v>2.67884096E-2</v>
      </c>
    </row>
    <row r="13007" spans="103:104" x14ac:dyDescent="0.3">
      <c r="CY13007" s="34" t="s">
        <v>13934</v>
      </c>
      <c r="CZ13007" s="35">
        <v>2.67884096E-2</v>
      </c>
    </row>
    <row r="13008" spans="103:104" x14ac:dyDescent="0.3">
      <c r="CY13008" s="34" t="s">
        <v>13935</v>
      </c>
      <c r="CZ13008" s="35">
        <v>3.0019439999999998E-2</v>
      </c>
    </row>
    <row r="13009" spans="103:104" x14ac:dyDescent="0.3">
      <c r="CY13009" s="34" t="s">
        <v>13936</v>
      </c>
      <c r="CZ13009" s="35">
        <v>3.3241151999999996E-2</v>
      </c>
    </row>
    <row r="13010" spans="103:104" x14ac:dyDescent="0.3">
      <c r="CY13010" s="34" t="s">
        <v>13937</v>
      </c>
      <c r="CZ13010" s="35">
        <v>3.1731696000000004E-2</v>
      </c>
    </row>
    <row r="13011" spans="103:104" x14ac:dyDescent="0.3">
      <c r="CY13011" s="34" t="s">
        <v>13938</v>
      </c>
      <c r="CZ13011" s="35">
        <v>3.1731696000000004E-2</v>
      </c>
    </row>
    <row r="13012" spans="103:104" x14ac:dyDescent="0.3">
      <c r="CY13012" s="34" t="s">
        <v>13939</v>
      </c>
      <c r="CZ13012" s="35">
        <v>3.6350128000000002E-2</v>
      </c>
    </row>
    <row r="13013" spans="103:104" x14ac:dyDescent="0.3">
      <c r="CY13013" s="34" t="s">
        <v>13940</v>
      </c>
      <c r="CZ13013" s="35">
        <v>3.5030576000000001E-2</v>
      </c>
    </row>
    <row r="13014" spans="103:104" x14ac:dyDescent="0.3">
      <c r="CY13014" s="34" t="s">
        <v>13941</v>
      </c>
      <c r="CZ13014" s="35">
        <v>3.9096560000000002E-2</v>
      </c>
    </row>
    <row r="13015" spans="103:104" x14ac:dyDescent="0.3">
      <c r="CY13015" s="34" t="s">
        <v>13942</v>
      </c>
      <c r="CZ13015" s="35">
        <v>4.2239440000000003E-2</v>
      </c>
    </row>
    <row r="13016" spans="103:104" x14ac:dyDescent="0.3">
      <c r="CY13016" s="34" t="s">
        <v>13943</v>
      </c>
      <c r="CZ13016" s="35">
        <v>4.2239440000000003E-2</v>
      </c>
    </row>
    <row r="13017" spans="103:104" x14ac:dyDescent="0.3">
      <c r="CY13017" s="34" t="s">
        <v>13944</v>
      </c>
      <c r="CZ13017" s="35">
        <v>3.9096560000000002E-2</v>
      </c>
    </row>
    <row r="13018" spans="103:104" x14ac:dyDescent="0.3">
      <c r="CY13018" s="34" t="s">
        <v>13945</v>
      </c>
      <c r="CZ13018" s="35">
        <v>3.9096560000000002E-2</v>
      </c>
    </row>
    <row r="13019" spans="103:104" x14ac:dyDescent="0.3">
      <c r="CY13019" s="34" t="s">
        <v>13946</v>
      </c>
      <c r="CZ13019" s="35">
        <v>4.8047216000000004E-2</v>
      </c>
    </row>
    <row r="13020" spans="103:104" x14ac:dyDescent="0.3">
      <c r="CY13020" s="34" t="s">
        <v>13947</v>
      </c>
      <c r="CZ13020" s="35">
        <v>2.617444E-2</v>
      </c>
    </row>
    <row r="13021" spans="103:104" x14ac:dyDescent="0.3">
      <c r="CY13021" s="34" t="s">
        <v>13948</v>
      </c>
      <c r="CZ13021" s="35">
        <v>4.8047216000000004E-2</v>
      </c>
    </row>
    <row r="13022" spans="103:104" x14ac:dyDescent="0.3">
      <c r="CY13022" s="34" t="s">
        <v>13949</v>
      </c>
      <c r="CZ13022" s="35">
        <v>4.8047216000000004E-2</v>
      </c>
    </row>
    <row r="13023" spans="103:104" x14ac:dyDescent="0.3">
      <c r="CY13023" s="34" t="s">
        <v>13950</v>
      </c>
      <c r="CZ13023" s="35">
        <v>4.8661231999999999E-2</v>
      </c>
    </row>
    <row r="13024" spans="103:104" x14ac:dyDescent="0.3">
      <c r="CY13024" s="34" t="s">
        <v>13951</v>
      </c>
      <c r="CZ13024" s="35">
        <v>4.988926400000001E-2</v>
      </c>
    </row>
    <row r="13025" spans="103:104" x14ac:dyDescent="0.3">
      <c r="CY13025" s="34" t="s">
        <v>13952</v>
      </c>
      <c r="CZ13025" s="35">
        <v>5.8485488000000002E-2</v>
      </c>
    </row>
    <row r="13026" spans="103:104" x14ac:dyDescent="0.3">
      <c r="CY13026" s="34" t="s">
        <v>13953</v>
      </c>
      <c r="CZ13026" s="35">
        <v>5.8485488000000002E-2</v>
      </c>
    </row>
    <row r="13027" spans="103:104" x14ac:dyDescent="0.3">
      <c r="CY13027" s="34" t="s">
        <v>13954</v>
      </c>
      <c r="CZ13027" s="35">
        <v>5.5415407999999999E-2</v>
      </c>
    </row>
    <row r="13028" spans="103:104" x14ac:dyDescent="0.3">
      <c r="CY13028" s="34" t="s">
        <v>13955</v>
      </c>
      <c r="CZ13028" s="35">
        <v>6.1555567999999998E-2</v>
      </c>
    </row>
    <row r="13029" spans="103:104" x14ac:dyDescent="0.3">
      <c r="CY13029" s="34" t="s">
        <v>13956</v>
      </c>
      <c r="CZ13029" s="35">
        <v>6.1862576000000002E-2</v>
      </c>
    </row>
    <row r="13030" spans="103:104" x14ac:dyDescent="0.3">
      <c r="CY13030" s="34" t="s">
        <v>13957</v>
      </c>
      <c r="CZ13030" s="35">
        <v>5.4164080000000003E-2</v>
      </c>
    </row>
    <row r="13031" spans="103:104" x14ac:dyDescent="0.3">
      <c r="CY13031" s="34" t="s">
        <v>13958</v>
      </c>
      <c r="CZ13031" s="35">
        <v>5.4164080000000003E-2</v>
      </c>
    </row>
    <row r="13032" spans="103:104" x14ac:dyDescent="0.3">
      <c r="CY13032" s="34" t="s">
        <v>13959</v>
      </c>
      <c r="CZ13032" s="35">
        <v>5.4670080000000003E-2</v>
      </c>
    </row>
    <row r="13033" spans="103:104" x14ac:dyDescent="0.3">
      <c r="CY13033" s="34" t="s">
        <v>13960</v>
      </c>
      <c r="CZ13033" s="35">
        <v>5.4670080000000003E-2</v>
      </c>
    </row>
    <row r="13034" spans="103:104" x14ac:dyDescent="0.3">
      <c r="CY13034" s="34" t="s">
        <v>13961</v>
      </c>
      <c r="CZ13034" s="35">
        <v>6.9429759999999993E-2</v>
      </c>
    </row>
    <row r="13035" spans="103:104" x14ac:dyDescent="0.3">
      <c r="CY13035" s="34" t="s">
        <v>13962</v>
      </c>
      <c r="CZ13035" s="35">
        <v>6.9429759999999993E-2</v>
      </c>
    </row>
    <row r="13036" spans="103:104" x14ac:dyDescent="0.3">
      <c r="CY13036" s="34" t="s">
        <v>13963</v>
      </c>
      <c r="CZ13036" s="35">
        <v>6.8923759999999987E-2</v>
      </c>
    </row>
    <row r="13037" spans="103:104" x14ac:dyDescent="0.3">
      <c r="CY13037" s="34" t="s">
        <v>13964</v>
      </c>
      <c r="CZ13037" s="35">
        <v>6.9429759999999993E-2</v>
      </c>
    </row>
    <row r="13038" spans="103:104" x14ac:dyDescent="0.3">
      <c r="CY13038" s="34" t="s">
        <v>13965</v>
      </c>
      <c r="CZ13038" s="35">
        <v>7.7004875392000002E-2</v>
      </c>
    </row>
    <row r="13039" spans="103:104" x14ac:dyDescent="0.3">
      <c r="CY13039" s="34" t="s">
        <v>13966</v>
      </c>
      <c r="CZ13039" s="35">
        <v>7.7004875392000002E-2</v>
      </c>
    </row>
    <row r="13040" spans="103:104" x14ac:dyDescent="0.3">
      <c r="CY13040" s="34" t="s">
        <v>13967</v>
      </c>
      <c r="CZ13040" s="35">
        <v>7.7004875392000002E-2</v>
      </c>
    </row>
    <row r="13041" spans="103:104" x14ac:dyDescent="0.3">
      <c r="CY13041" s="34" t="s">
        <v>13968</v>
      </c>
      <c r="CZ13041" s="35">
        <v>7.7004875392000002E-2</v>
      </c>
    </row>
    <row r="13042" spans="103:104" x14ac:dyDescent="0.3">
      <c r="CY13042" s="34" t="s">
        <v>13969</v>
      </c>
      <c r="CZ13042" s="35">
        <v>7.4240239999999999E-2</v>
      </c>
    </row>
    <row r="13043" spans="103:104" x14ac:dyDescent="0.3">
      <c r="CY13043" s="34" t="s">
        <v>13970</v>
      </c>
      <c r="CZ13043" s="35">
        <v>7.0597327999999987E-2</v>
      </c>
    </row>
    <row r="13044" spans="103:104" x14ac:dyDescent="0.3">
      <c r="CY13044" s="34" t="s">
        <v>13971</v>
      </c>
      <c r="CZ13044" s="35">
        <v>7.0597327999999987E-2</v>
      </c>
    </row>
    <row r="13045" spans="103:104" x14ac:dyDescent="0.3">
      <c r="CY13045" s="34" t="s">
        <v>13972</v>
      </c>
      <c r="CZ13045" s="35">
        <v>7.0597327999999987E-2</v>
      </c>
    </row>
    <row r="13046" spans="103:104" x14ac:dyDescent="0.3">
      <c r="CY13046" s="34" t="s">
        <v>13973</v>
      </c>
      <c r="CZ13046" s="35">
        <v>7.4455847872000006E-2</v>
      </c>
    </row>
    <row r="13047" spans="103:104" x14ac:dyDescent="0.3">
      <c r="CY13047" s="34" t="s">
        <v>13974</v>
      </c>
      <c r="CZ13047" s="35">
        <v>7.9950399999999991E-2</v>
      </c>
    </row>
    <row r="13048" spans="103:104" x14ac:dyDescent="0.3">
      <c r="CY13048" s="34" t="s">
        <v>13975</v>
      </c>
      <c r="CZ13048" s="35">
        <v>7.4455847872000006E-2</v>
      </c>
    </row>
    <row r="13049" spans="103:104" x14ac:dyDescent="0.3">
      <c r="CY13049" s="34" t="s">
        <v>13976</v>
      </c>
      <c r="CZ13049" s="35">
        <v>7.7348320000000012E-2</v>
      </c>
    </row>
    <row r="13050" spans="103:104" x14ac:dyDescent="0.3">
      <c r="CY13050" s="34" t="s">
        <v>13977</v>
      </c>
      <c r="CZ13050" s="35">
        <v>7.6842320000000006E-2</v>
      </c>
    </row>
    <row r="13051" spans="103:104" x14ac:dyDescent="0.3">
      <c r="CY13051" s="34" t="s">
        <v>13978</v>
      </c>
      <c r="CZ13051" s="35">
        <v>7.6842320000000006E-2</v>
      </c>
    </row>
    <row r="13052" spans="103:104" x14ac:dyDescent="0.3">
      <c r="CY13052" s="34" t="s">
        <v>13979</v>
      </c>
      <c r="CZ13052" s="35">
        <v>7.6842320000000006E-2</v>
      </c>
    </row>
    <row r="13053" spans="103:104" x14ac:dyDescent="0.3">
      <c r="CY13053" s="34" t="s">
        <v>13980</v>
      </c>
      <c r="CZ13053" s="35">
        <v>0.1078144</v>
      </c>
    </row>
    <row r="13054" spans="103:104" x14ac:dyDescent="0.3">
      <c r="CY13054" s="34" t="s">
        <v>13981</v>
      </c>
      <c r="CZ13054" s="35">
        <v>0.1078144</v>
      </c>
    </row>
    <row r="13055" spans="103:104" x14ac:dyDescent="0.3">
      <c r="CY13055" s="34" t="s">
        <v>13982</v>
      </c>
      <c r="CZ13055" s="35">
        <v>6.654604800000001E-2</v>
      </c>
    </row>
    <row r="13056" spans="103:104" x14ac:dyDescent="0.3">
      <c r="CY13056" s="34" t="s">
        <v>13983</v>
      </c>
      <c r="CZ13056" s="35">
        <v>5.5494800000000004E-2</v>
      </c>
    </row>
    <row r="13057" spans="103:104" x14ac:dyDescent="0.3">
      <c r="CY13057" s="34" t="s">
        <v>13984</v>
      </c>
      <c r="CZ13057" s="35">
        <v>5.5494800000000004E-2</v>
      </c>
    </row>
    <row r="13058" spans="103:104" x14ac:dyDescent="0.3">
      <c r="CY13058" s="34" t="s">
        <v>13985</v>
      </c>
      <c r="CZ13058" s="35">
        <v>6.3906944000000007E-2</v>
      </c>
    </row>
    <row r="13059" spans="103:104" x14ac:dyDescent="0.3">
      <c r="CY13059" s="34" t="s">
        <v>13986</v>
      </c>
      <c r="CZ13059" s="35">
        <v>7.1031360000000002E-2</v>
      </c>
    </row>
    <row r="13060" spans="103:104" x14ac:dyDescent="0.3">
      <c r="CY13060" s="34" t="s">
        <v>13987</v>
      </c>
      <c r="CZ13060" s="35">
        <v>7.1031360000000002E-2</v>
      </c>
    </row>
    <row r="13061" spans="103:104" x14ac:dyDescent="0.3">
      <c r="CY13061" s="34" t="s">
        <v>13988</v>
      </c>
      <c r="CZ13061" s="35">
        <v>7.9254015999999997E-2</v>
      </c>
    </row>
    <row r="13062" spans="103:104" x14ac:dyDescent="0.3">
      <c r="CY13062" s="34" t="s">
        <v>13989</v>
      </c>
      <c r="CZ13062" s="35">
        <v>7.9254015999999997E-2</v>
      </c>
    </row>
    <row r="13063" spans="103:104" x14ac:dyDescent="0.3">
      <c r="CY13063" s="34" t="s">
        <v>13990</v>
      </c>
      <c r="CZ13063" s="35">
        <v>7.9254015999999997E-2</v>
      </c>
    </row>
    <row r="13064" spans="103:104" x14ac:dyDescent="0.3">
      <c r="CY13064" s="34" t="s">
        <v>13991</v>
      </c>
      <c r="CZ13064" s="35">
        <v>7.9254015999999997E-2</v>
      </c>
    </row>
    <row r="13065" spans="103:104" x14ac:dyDescent="0.3">
      <c r="CY13065" s="34" t="s">
        <v>13992</v>
      </c>
      <c r="CZ13065" s="35">
        <v>6.3289600000000001E-2</v>
      </c>
    </row>
    <row r="13066" spans="103:104" x14ac:dyDescent="0.3">
      <c r="CY13066" s="34" t="s">
        <v>13993</v>
      </c>
      <c r="CZ13066" s="35">
        <v>6.3289600000000001E-2</v>
      </c>
    </row>
    <row r="13067" spans="103:104" x14ac:dyDescent="0.3">
      <c r="CY13067" s="34" t="s">
        <v>13994</v>
      </c>
      <c r="CZ13067" s="35">
        <v>6.3289600000000001E-2</v>
      </c>
    </row>
    <row r="13068" spans="103:104" x14ac:dyDescent="0.3">
      <c r="CY13068" s="34" t="s">
        <v>13995</v>
      </c>
      <c r="CZ13068" s="35">
        <v>6.3289600000000001E-2</v>
      </c>
    </row>
    <row r="13069" spans="103:104" x14ac:dyDescent="0.3">
      <c r="CY13069" s="34" t="s">
        <v>13996</v>
      </c>
      <c r="CZ13069" s="35">
        <v>7.5569920000000013E-2</v>
      </c>
    </row>
    <row r="13070" spans="103:104" x14ac:dyDescent="0.3">
      <c r="CY13070" s="34" t="s">
        <v>13997</v>
      </c>
      <c r="CZ13070" s="35">
        <v>4.049995789473685E-2</v>
      </c>
    </row>
    <row r="13071" spans="103:104" x14ac:dyDescent="0.3">
      <c r="CY13071" s="34" t="s">
        <v>13998</v>
      </c>
      <c r="CZ13071" s="35">
        <v>9.1625926400000002E-2</v>
      </c>
    </row>
    <row r="13072" spans="103:104" x14ac:dyDescent="0.3">
      <c r="CY13072" s="34" t="s">
        <v>13999</v>
      </c>
      <c r="CZ13072" s="35">
        <v>8.7498207999999994E-2</v>
      </c>
    </row>
    <row r="13073" spans="103:104" x14ac:dyDescent="0.3">
      <c r="CY13073" s="34" t="s">
        <v>14000</v>
      </c>
      <c r="CZ13073" s="35">
        <v>8.4989728E-2</v>
      </c>
    </row>
    <row r="13074" spans="103:104" x14ac:dyDescent="0.3">
      <c r="CY13074" s="34" t="s">
        <v>14001</v>
      </c>
      <c r="CZ13074" s="35">
        <v>9.6554879999999996E-2</v>
      </c>
    </row>
    <row r="13075" spans="103:104" x14ac:dyDescent="0.3">
      <c r="CY13075" s="34" t="s">
        <v>14002</v>
      </c>
      <c r="CZ13075" s="35">
        <v>0.102683872</v>
      </c>
    </row>
    <row r="13076" spans="103:104" x14ac:dyDescent="0.3">
      <c r="CY13076" s="34" t="s">
        <v>14003</v>
      </c>
      <c r="CZ13076" s="35">
        <v>0.10320428799999999</v>
      </c>
    </row>
    <row r="13077" spans="103:104" x14ac:dyDescent="0.3">
      <c r="CY13077" s="34" t="s">
        <v>14004</v>
      </c>
      <c r="CZ13077" s="35">
        <v>0.10724583865600001</v>
      </c>
    </row>
    <row r="13078" spans="103:104" x14ac:dyDescent="0.3">
      <c r="CY13078" s="34" t="s">
        <v>14005</v>
      </c>
      <c r="CZ13078" s="35">
        <v>0.10724655999999999</v>
      </c>
    </row>
    <row r="13079" spans="103:104" x14ac:dyDescent="0.3">
      <c r="CY13079" s="34" t="s">
        <v>14006</v>
      </c>
      <c r="CZ13079" s="35">
        <v>0.10724655999999999</v>
      </c>
    </row>
    <row r="13080" spans="103:104" x14ac:dyDescent="0.3">
      <c r="CY13080" s="34" t="s">
        <v>14007</v>
      </c>
      <c r="CZ13080" s="35">
        <v>0.10724655999999999</v>
      </c>
    </row>
    <row r="13081" spans="103:104" x14ac:dyDescent="0.3">
      <c r="CY13081" s="34" t="s">
        <v>14008</v>
      </c>
      <c r="CZ13081" s="35">
        <v>0.10724655999999999</v>
      </c>
    </row>
    <row r="13082" spans="103:104" x14ac:dyDescent="0.3">
      <c r="CY13082" s="34" t="s">
        <v>14009</v>
      </c>
      <c r="CZ13082" s="35">
        <v>0.10724655999999999</v>
      </c>
    </row>
    <row r="13083" spans="103:104" x14ac:dyDescent="0.3">
      <c r="CY13083" s="34" t="s">
        <v>14010</v>
      </c>
      <c r="CZ13083" s="35">
        <v>2.543849411764706E-3</v>
      </c>
    </row>
    <row r="13084" spans="103:104" x14ac:dyDescent="0.3">
      <c r="CY13084" s="34" t="s">
        <v>14011</v>
      </c>
      <c r="CZ13084" s="35">
        <v>4.0862305882352944E-3</v>
      </c>
    </row>
    <row r="13085" spans="103:104" x14ac:dyDescent="0.3">
      <c r="CY13085" s="34" t="s">
        <v>14012</v>
      </c>
      <c r="CZ13085" s="35">
        <v>3.2982063999999998E-3</v>
      </c>
    </row>
    <row r="13086" spans="103:104" x14ac:dyDescent="0.3">
      <c r="CY13086" s="34" t="s">
        <v>14013</v>
      </c>
      <c r="CZ13086" s="35">
        <v>1.8907245333333333E-2</v>
      </c>
    </row>
    <row r="13087" spans="103:104" x14ac:dyDescent="0.3">
      <c r="CY13087" s="34" t="s">
        <v>14014</v>
      </c>
      <c r="CZ13087" s="35">
        <v>5.0566666666666659E-3</v>
      </c>
    </row>
    <row r="13088" spans="103:104" x14ac:dyDescent="0.3">
      <c r="CY13088" s="34" t="s">
        <v>14015</v>
      </c>
      <c r="CZ13088" s="35">
        <v>1.4225096E-2</v>
      </c>
    </row>
    <row r="13089" spans="103:104" x14ac:dyDescent="0.3">
      <c r="CY13089" s="34" t="s">
        <v>14016</v>
      </c>
      <c r="CZ13089" s="35">
        <v>0.14000132000000001</v>
      </c>
    </row>
    <row r="13090" spans="103:104" x14ac:dyDescent="0.3">
      <c r="CY13090" s="34" t="s">
        <v>14017</v>
      </c>
      <c r="CZ13090" s="35">
        <v>0.11805368000000001</v>
      </c>
    </row>
    <row r="13091" spans="103:104" x14ac:dyDescent="0.3">
      <c r="CY13091" s="34" t="s">
        <v>14018</v>
      </c>
      <c r="CZ13091" s="35">
        <v>6.8528640000000002E-2</v>
      </c>
    </row>
    <row r="13092" spans="103:104" x14ac:dyDescent="0.3">
      <c r="CY13092" s="34" t="s">
        <v>14019</v>
      </c>
      <c r="CZ13092" s="35">
        <v>1.0734116E-2</v>
      </c>
    </row>
    <row r="13093" spans="103:104" x14ac:dyDescent="0.3">
      <c r="CY13093" s="34" t="s">
        <v>14020</v>
      </c>
      <c r="CZ13093" s="35">
        <v>1.0734116E-2</v>
      </c>
    </row>
    <row r="13094" spans="103:104" x14ac:dyDescent="0.3">
      <c r="CY13094" s="34" t="s">
        <v>14021</v>
      </c>
      <c r="CZ13094" s="35">
        <v>7.6216359999999997E-2</v>
      </c>
    </row>
    <row r="13095" spans="103:104" x14ac:dyDescent="0.3">
      <c r="CY13095" s="34" t="s">
        <v>14022</v>
      </c>
      <c r="CZ13095" s="35">
        <v>3.7818080000000002E-3</v>
      </c>
    </row>
    <row r="13096" spans="103:104" x14ac:dyDescent="0.3">
      <c r="CY13096" s="34" t="s">
        <v>14023</v>
      </c>
      <c r="CZ13096" s="35">
        <v>1.2109824999999999E-2</v>
      </c>
    </row>
    <row r="13097" spans="103:104" x14ac:dyDescent="0.3">
      <c r="CY13097" s="34" t="s">
        <v>14024</v>
      </c>
      <c r="CZ13097" s="35">
        <v>8.4879039999999989E-2</v>
      </c>
    </row>
    <row r="13098" spans="103:104" x14ac:dyDescent="0.3">
      <c r="CY13098" s="34" t="s">
        <v>14025</v>
      </c>
      <c r="CZ13098" s="35">
        <v>2.0065155555555555E-3</v>
      </c>
    </row>
    <row r="13099" spans="103:104" x14ac:dyDescent="0.3">
      <c r="CY13099" s="34" t="s">
        <v>14026</v>
      </c>
      <c r="CZ13099" s="35">
        <v>1.9030912000000001E-2</v>
      </c>
    </row>
    <row r="13100" spans="103:104" x14ac:dyDescent="0.3">
      <c r="CY13100" s="34" t="s">
        <v>14027</v>
      </c>
      <c r="CZ13100" s="35">
        <v>6.3289600000000001E-2</v>
      </c>
    </row>
    <row r="13101" spans="103:104" x14ac:dyDescent="0.3">
      <c r="CY13101" s="34" t="s">
        <v>14028</v>
      </c>
      <c r="CZ13101" s="35">
        <v>7.8715100000000017E-3</v>
      </c>
    </row>
    <row r="13102" spans="103:104" x14ac:dyDescent="0.3">
      <c r="CY13102" s="34" t="s">
        <v>14029</v>
      </c>
      <c r="CZ13102" s="35">
        <v>0.39123450000000004</v>
      </c>
    </row>
    <row r="13103" spans="103:104" x14ac:dyDescent="0.3">
      <c r="CY13103" s="34" t="s">
        <v>14030</v>
      </c>
      <c r="CZ13103" s="35">
        <v>7.2914439999999997E-2</v>
      </c>
    </row>
    <row r="13104" spans="103:104" x14ac:dyDescent="0.3">
      <c r="CY13104" s="34" t="s">
        <v>14031</v>
      </c>
      <c r="CZ13104" s="35">
        <v>7.2914439999999997E-2</v>
      </c>
    </row>
    <row r="13105" spans="103:104" x14ac:dyDescent="0.3">
      <c r="CY13105" s="34" t="s">
        <v>14032</v>
      </c>
      <c r="CZ13105" s="35">
        <v>4.4943300000000012E-3</v>
      </c>
    </row>
    <row r="13106" spans="103:104" x14ac:dyDescent="0.3">
      <c r="CY13106" s="34" t="s">
        <v>14033</v>
      </c>
      <c r="CZ13106" s="35">
        <v>7.1341499999999997E-3</v>
      </c>
    </row>
    <row r="13107" spans="103:104" x14ac:dyDescent="0.3">
      <c r="CY13107" s="34" t="s">
        <v>14034</v>
      </c>
      <c r="CZ13107" s="35">
        <v>0.21329599999999999</v>
      </c>
    </row>
    <row r="13108" spans="103:104" x14ac:dyDescent="0.3">
      <c r="CY13108" s="34" t="s">
        <v>14035</v>
      </c>
      <c r="CZ13108" s="35">
        <v>1.14467E-3</v>
      </c>
    </row>
    <row r="13109" spans="103:104" x14ac:dyDescent="0.3">
      <c r="CY13109" s="34" t="s">
        <v>14036</v>
      </c>
      <c r="CZ13109" s="35">
        <v>0.13157184166666663</v>
      </c>
    </row>
    <row r="13110" spans="103:104" x14ac:dyDescent="0.3">
      <c r="CY13110" s="34" t="s">
        <v>14037</v>
      </c>
      <c r="CZ13110" s="35">
        <v>0.13157184167142857</v>
      </c>
    </row>
    <row r="13111" spans="103:104" x14ac:dyDescent="0.3">
      <c r="CY13111" s="34" t="s">
        <v>14038</v>
      </c>
      <c r="CZ13111" s="35">
        <v>0.14747554999999998</v>
      </c>
    </row>
    <row r="13112" spans="103:104" x14ac:dyDescent="0.3">
      <c r="CY13112" s="34" t="s">
        <v>14039</v>
      </c>
      <c r="CZ13112" s="35">
        <v>0.16841475</v>
      </c>
    </row>
    <row r="13113" spans="103:104" x14ac:dyDescent="0.3">
      <c r="CY13113" s="34" t="s">
        <v>14040</v>
      </c>
      <c r="CZ13113" s="35">
        <v>5.9317760000000004E-2</v>
      </c>
    </row>
    <row r="13114" spans="103:104" x14ac:dyDescent="0.3">
      <c r="CY13114" s="34" t="s">
        <v>14041</v>
      </c>
      <c r="CZ13114" s="35">
        <v>3.4777039999999999E-3</v>
      </c>
    </row>
    <row r="13115" spans="103:104" x14ac:dyDescent="0.3">
      <c r="CY13115" s="34" t="s">
        <v>14042</v>
      </c>
      <c r="CZ13115" s="35">
        <v>0.49644040000000006</v>
      </c>
    </row>
    <row r="13116" spans="103:104" x14ac:dyDescent="0.3">
      <c r="CY13116" s="34" t="s">
        <v>14043</v>
      </c>
      <c r="CZ13116" s="35">
        <v>0.65331399999999995</v>
      </c>
    </row>
    <row r="13117" spans="103:104" x14ac:dyDescent="0.3">
      <c r="CY13117" s="34" t="s">
        <v>14044</v>
      </c>
      <c r="CZ13117" s="35">
        <v>7.5681600000000002E-2</v>
      </c>
    </row>
    <row r="13118" spans="103:104" x14ac:dyDescent="0.3">
      <c r="CY13118" s="34" t="s">
        <v>14045</v>
      </c>
      <c r="CZ13118" s="35">
        <v>1.3773799999999999E-2</v>
      </c>
    </row>
    <row r="13119" spans="103:104" x14ac:dyDescent="0.3">
      <c r="CY13119" s="34" t="s">
        <v>14046</v>
      </c>
      <c r="CZ13119" s="35">
        <v>3.0932136000000002E-2</v>
      </c>
    </row>
    <row r="13120" spans="103:104" x14ac:dyDescent="0.3">
      <c r="CY13120" s="34" t="s">
        <v>14047</v>
      </c>
      <c r="CZ13120" s="35">
        <v>1.4685328000000001E-2</v>
      </c>
    </row>
    <row r="13121" spans="103:104" x14ac:dyDescent="0.3">
      <c r="CY13121" s="34" t="s">
        <v>14048</v>
      </c>
      <c r="CZ13121" s="35">
        <v>2.4219536E-2</v>
      </c>
    </row>
    <row r="13122" spans="103:104" x14ac:dyDescent="0.3">
      <c r="CY13122" s="34" t="s">
        <v>14049</v>
      </c>
      <c r="CZ13122" s="35">
        <v>4.7942496000000001E-2</v>
      </c>
    </row>
    <row r="13123" spans="103:104" x14ac:dyDescent="0.3">
      <c r="CY13123" s="34" t="s">
        <v>14050</v>
      </c>
      <c r="CZ13123" s="35">
        <v>1.2216999999999999E-2</v>
      </c>
    </row>
    <row r="13124" spans="103:104" x14ac:dyDescent="0.3">
      <c r="CY13124" s="34" t="s">
        <v>14051</v>
      </c>
      <c r="CZ13124" s="35">
        <v>4.1660231999999991E-2</v>
      </c>
    </row>
    <row r="13125" spans="103:104" x14ac:dyDescent="0.3">
      <c r="CY13125" s="34" t="s">
        <v>14052</v>
      </c>
      <c r="CZ13125" s="35">
        <v>3.1558333333333334E-2</v>
      </c>
    </row>
    <row r="13126" spans="103:104" x14ac:dyDescent="0.3">
      <c r="CY13126" s="34" t="s">
        <v>14053</v>
      </c>
      <c r="CZ13126" s="35">
        <v>2.7312373333333331E-2</v>
      </c>
    </row>
    <row r="13127" spans="103:104" x14ac:dyDescent="0.3">
      <c r="CY13127" s="34" t="s">
        <v>14054</v>
      </c>
      <c r="CZ13127" s="35">
        <v>2.7312373333333331E-2</v>
      </c>
    </row>
    <row r="13128" spans="103:104" x14ac:dyDescent="0.3">
      <c r="CY13128" s="34" t="s">
        <v>14055</v>
      </c>
      <c r="CZ13128" s="35">
        <v>2.7312373333333331E-2</v>
      </c>
    </row>
    <row r="13129" spans="103:104" x14ac:dyDescent="0.3">
      <c r="CY13129" s="34" t="s">
        <v>14056</v>
      </c>
      <c r="CZ13129" s="35">
        <v>2.7312373333333331E-2</v>
      </c>
    </row>
    <row r="13130" spans="103:104" x14ac:dyDescent="0.3">
      <c r="CY13130" s="34" t="s">
        <v>14057</v>
      </c>
      <c r="CZ13130" s="35">
        <v>2.7312373333333331E-2</v>
      </c>
    </row>
    <row r="13131" spans="103:104" x14ac:dyDescent="0.3">
      <c r="CY13131" s="34" t="s">
        <v>14058</v>
      </c>
      <c r="CZ13131" s="35">
        <v>2.7312373333333331E-2</v>
      </c>
    </row>
    <row r="13132" spans="103:104" x14ac:dyDescent="0.3">
      <c r="CY13132" s="34" t="s">
        <v>14059</v>
      </c>
      <c r="CZ13132" s="35">
        <v>2.7312373333333331E-2</v>
      </c>
    </row>
    <row r="13133" spans="103:104" x14ac:dyDescent="0.3">
      <c r="CY13133" s="34" t="s">
        <v>14060</v>
      </c>
      <c r="CZ13133" s="35">
        <v>2.7312373333333331E-2</v>
      </c>
    </row>
    <row r="13134" spans="103:104" x14ac:dyDescent="0.3">
      <c r="CY13134" s="34" t="s">
        <v>14061</v>
      </c>
      <c r="CZ13134" s="35">
        <v>3.0254880000000001E-2</v>
      </c>
    </row>
    <row r="13135" spans="103:104" x14ac:dyDescent="0.3">
      <c r="CY13135" s="34" t="s">
        <v>14062</v>
      </c>
      <c r="CZ13135" s="35">
        <v>3.0254880000000001E-2</v>
      </c>
    </row>
    <row r="13136" spans="103:104" x14ac:dyDescent="0.3">
      <c r="CY13136" s="34" t="s">
        <v>14063</v>
      </c>
      <c r="CZ13136" s="35">
        <v>3.0254880000000001E-2</v>
      </c>
    </row>
    <row r="13137" spans="103:104" x14ac:dyDescent="0.3">
      <c r="CY13137" s="34" t="s">
        <v>14064</v>
      </c>
      <c r="CZ13137" s="35">
        <v>3.0254880000000001E-2</v>
      </c>
    </row>
    <row r="13138" spans="103:104" x14ac:dyDescent="0.3">
      <c r="CY13138" s="34" t="s">
        <v>14065</v>
      </c>
      <c r="CZ13138" s="35">
        <v>3.0254880000000001E-2</v>
      </c>
    </row>
    <row r="13139" spans="103:104" x14ac:dyDescent="0.3">
      <c r="CY13139" s="34" t="s">
        <v>14066</v>
      </c>
      <c r="CZ13139" s="35">
        <v>3.0254880000000001E-2</v>
      </c>
    </row>
    <row r="13140" spans="103:104" x14ac:dyDescent="0.3">
      <c r="CY13140" s="34" t="s">
        <v>14067</v>
      </c>
      <c r="CZ13140" s="35">
        <v>3.2350133333333336E-2</v>
      </c>
    </row>
    <row r="13141" spans="103:104" x14ac:dyDescent="0.3">
      <c r="CY13141" s="34" t="s">
        <v>14068</v>
      </c>
      <c r="CZ13141" s="35">
        <v>3.2350133333333329E-2</v>
      </c>
    </row>
    <row r="13142" spans="103:104" x14ac:dyDescent="0.3">
      <c r="CY13142" s="34" t="s">
        <v>14069</v>
      </c>
      <c r="CZ13142" s="35">
        <v>3.2440821333333342E-2</v>
      </c>
    </row>
    <row r="13143" spans="103:104" x14ac:dyDescent="0.3">
      <c r="CY13143" s="34" t="s">
        <v>14070</v>
      </c>
      <c r="CZ13143" s="35">
        <v>4.5614709333333329E-2</v>
      </c>
    </row>
    <row r="13144" spans="103:104" x14ac:dyDescent="0.3">
      <c r="CY13144" s="34" t="s">
        <v>14071</v>
      </c>
      <c r="CZ13144" s="35">
        <v>3.9399669333333345E-2</v>
      </c>
    </row>
    <row r="13145" spans="103:104" x14ac:dyDescent="0.3">
      <c r="CY13145" s="34" t="s">
        <v>14072</v>
      </c>
      <c r="CZ13145" s="35">
        <v>1.3738944999999999E-2</v>
      </c>
    </row>
    <row r="13146" spans="103:104" x14ac:dyDescent="0.3">
      <c r="CY13146" s="34" t="s">
        <v>14073</v>
      </c>
      <c r="CZ13146" s="35">
        <v>1.2119007058823529E-2</v>
      </c>
    </row>
    <row r="13147" spans="103:104" x14ac:dyDescent="0.3">
      <c r="CY13147" s="34" t="s">
        <v>14074</v>
      </c>
      <c r="CZ13147" s="35">
        <v>1.5912682352941177E-2</v>
      </c>
    </row>
    <row r="13148" spans="103:104" x14ac:dyDescent="0.3">
      <c r="CY13148" s="34" t="s">
        <v>14075</v>
      </c>
      <c r="CZ13148" s="35">
        <v>1.603444705882353E-2</v>
      </c>
    </row>
    <row r="13149" spans="103:104" x14ac:dyDescent="0.3">
      <c r="CY13149" s="34" t="s">
        <v>14076</v>
      </c>
      <c r="CZ13149" s="35">
        <v>1.603444705882353E-2</v>
      </c>
    </row>
    <row r="13150" spans="103:104" x14ac:dyDescent="0.3">
      <c r="CY13150" s="34" t="s">
        <v>14077</v>
      </c>
      <c r="CZ13150" s="35">
        <v>3.3668853333333339E-2</v>
      </c>
    </row>
    <row r="13151" spans="103:104" x14ac:dyDescent="0.3">
      <c r="CY13151" s="34" t="s">
        <v>14078</v>
      </c>
      <c r="CZ13151" s="35">
        <v>3.3668853333333332E-2</v>
      </c>
    </row>
    <row r="13152" spans="103:104" x14ac:dyDescent="0.3">
      <c r="CY13152" s="34" t="s">
        <v>14079</v>
      </c>
      <c r="CZ13152" s="35">
        <v>4.2674421333333337E-2</v>
      </c>
    </row>
    <row r="13153" spans="103:104" x14ac:dyDescent="0.3">
      <c r="CY13153" s="34" t="s">
        <v>14080</v>
      </c>
      <c r="CZ13153" s="35">
        <v>4.267442133333333E-2</v>
      </c>
    </row>
    <row r="13154" spans="103:104" x14ac:dyDescent="0.3">
      <c r="CY13154" s="34" t="s">
        <v>14081</v>
      </c>
      <c r="CZ13154" s="35">
        <v>2.3965054117647058E-2</v>
      </c>
    </row>
    <row r="13155" spans="103:104" x14ac:dyDescent="0.3">
      <c r="CY13155" s="34" t="s">
        <v>14082</v>
      </c>
      <c r="CZ13155" s="35">
        <v>2.6000175735294111E-2</v>
      </c>
    </row>
    <row r="13156" spans="103:104" x14ac:dyDescent="0.3">
      <c r="CY13156" s="34" t="s">
        <v>14083</v>
      </c>
      <c r="CZ13156" s="35">
        <v>2.7312373333333331E-2</v>
      </c>
    </row>
    <row r="13157" spans="103:104" x14ac:dyDescent="0.3">
      <c r="CY13157" s="34" t="s">
        <v>14084</v>
      </c>
      <c r="CZ13157" s="35">
        <v>7.3875970700000007E-4</v>
      </c>
    </row>
    <row r="13158" spans="103:104" x14ac:dyDescent="0.3">
      <c r="CY13158" s="34" t="s">
        <v>14085</v>
      </c>
      <c r="CZ13158" s="35">
        <v>7.3875970700000007E-4</v>
      </c>
    </row>
    <row r="13159" spans="103:104" x14ac:dyDescent="0.3">
      <c r="CY13159" s="34" t="s">
        <v>14086</v>
      </c>
      <c r="CZ13159" s="35">
        <v>4.0050799999999994E-3</v>
      </c>
    </row>
    <row r="13160" spans="103:104" x14ac:dyDescent="0.3">
      <c r="CY13160" s="34" t="s">
        <v>14087</v>
      </c>
      <c r="CZ13160" s="35">
        <v>2.1095319999999999E-3</v>
      </c>
    </row>
    <row r="13161" spans="103:104" x14ac:dyDescent="0.3">
      <c r="CY13161" s="34" t="s">
        <v>14088</v>
      </c>
      <c r="CZ13161" s="35">
        <v>9.4766399999999997E-4</v>
      </c>
    </row>
    <row r="13162" spans="103:104" x14ac:dyDescent="0.3">
      <c r="CY13162" s="34" t="s">
        <v>14089</v>
      </c>
      <c r="CZ13162" s="35">
        <v>2.1095319999999999E-3</v>
      </c>
    </row>
    <row r="13163" spans="103:104" x14ac:dyDescent="0.3">
      <c r="CY13163" s="34" t="s">
        <v>14090</v>
      </c>
      <c r="CZ13163" s="35">
        <v>3.5962120000000005E-3</v>
      </c>
    </row>
    <row r="13164" spans="103:104" x14ac:dyDescent="0.3">
      <c r="CY13164" s="34" t="s">
        <v>14091</v>
      </c>
      <c r="CZ13164" s="35">
        <v>4.0506239999999995E-4</v>
      </c>
    </row>
    <row r="13165" spans="103:104" x14ac:dyDescent="0.3">
      <c r="CY13165" s="34" t="s">
        <v>14092</v>
      </c>
      <c r="CZ13165" s="35">
        <v>3.6188959999999999E-2</v>
      </c>
    </row>
    <row r="13166" spans="103:104" x14ac:dyDescent="0.3">
      <c r="CY13166" s="34" t="s">
        <v>14093</v>
      </c>
      <c r="CZ13166" s="35">
        <v>5.777094E-2</v>
      </c>
    </row>
    <row r="13167" spans="103:104" x14ac:dyDescent="0.3">
      <c r="CY13167" s="34" t="s">
        <v>14094</v>
      </c>
      <c r="CZ13167" s="35">
        <v>1.13696E-3</v>
      </c>
    </row>
    <row r="13168" spans="103:104" x14ac:dyDescent="0.3">
      <c r="CY13168" s="34" t="s">
        <v>14095</v>
      </c>
      <c r="CZ13168" s="35">
        <v>6.800303999999999E-4</v>
      </c>
    </row>
    <row r="13169" spans="103:104" x14ac:dyDescent="0.3">
      <c r="CY13169" s="34" t="s">
        <v>14096</v>
      </c>
      <c r="CZ13169" s="35">
        <v>4.6119360000000003E-4</v>
      </c>
    </row>
    <row r="13170" spans="103:104" x14ac:dyDescent="0.3">
      <c r="CY13170" s="34" t="s">
        <v>14097</v>
      </c>
      <c r="CZ13170" s="35">
        <v>2.423568E-4</v>
      </c>
    </row>
    <row r="13171" spans="103:104" x14ac:dyDescent="0.3">
      <c r="CY13171" s="34" t="s">
        <v>14098</v>
      </c>
      <c r="CZ13171" s="35">
        <v>1.3953441111190477E-3</v>
      </c>
    </row>
    <row r="13172" spans="103:104" x14ac:dyDescent="0.3">
      <c r="CY13172" s="34" t="s">
        <v>14099</v>
      </c>
      <c r="CZ13172" s="35">
        <v>4.1438320000000006E-4</v>
      </c>
    </row>
    <row r="13173" spans="103:104" x14ac:dyDescent="0.3">
      <c r="CY13173" s="34" t="s">
        <v>14100</v>
      </c>
      <c r="CZ13173" s="35">
        <v>4.0250640000000004E-4</v>
      </c>
    </row>
    <row r="13174" spans="103:104" x14ac:dyDescent="0.3">
      <c r="CY13174" s="34" t="s">
        <v>14101</v>
      </c>
      <c r="CZ13174" s="35">
        <v>2.3966542222222218E-3</v>
      </c>
    </row>
    <row r="13175" spans="103:104" x14ac:dyDescent="0.3">
      <c r="CY13175" s="34" t="s">
        <v>14102</v>
      </c>
      <c r="CZ13175" s="35">
        <v>2.142295111111111E-3</v>
      </c>
    </row>
    <row r="13176" spans="103:104" x14ac:dyDescent="0.3">
      <c r="CY13176" s="34" t="s">
        <v>14103</v>
      </c>
      <c r="CZ13176" s="35">
        <v>0.17325978999999994</v>
      </c>
    </row>
    <row r="13177" spans="103:104" x14ac:dyDescent="0.3">
      <c r="CY13177" s="34" t="s">
        <v>14104</v>
      </c>
      <c r="CZ13177" s="35">
        <v>1.36342928E-2</v>
      </c>
    </row>
    <row r="13178" spans="103:104" x14ac:dyDescent="0.3">
      <c r="CY13178" s="34" t="s">
        <v>14105</v>
      </c>
      <c r="CZ13178" s="35">
        <v>1.7964700000000001E-3</v>
      </c>
    </row>
    <row r="13179" spans="103:104" x14ac:dyDescent="0.3">
      <c r="CY13179" s="34" t="s">
        <v>14106</v>
      </c>
      <c r="CZ13179" s="35">
        <v>0.20001195744680852</v>
      </c>
    </row>
    <row r="13180" spans="103:104" x14ac:dyDescent="0.3">
      <c r="CY13180" s="34" t="s">
        <v>14107</v>
      </c>
      <c r="CZ13180" s="35">
        <v>0.26865605714285717</v>
      </c>
    </row>
    <row r="13181" spans="103:104" x14ac:dyDescent="0.3">
      <c r="CY13181" s="34" t="s">
        <v>14108</v>
      </c>
      <c r="CZ13181" s="35">
        <v>2.0588399999999996E-4</v>
      </c>
    </row>
    <row r="13182" spans="103:104" x14ac:dyDescent="0.3">
      <c r="CY13182" s="34" t="s">
        <v>14109</v>
      </c>
      <c r="CZ13182" s="35">
        <v>1.9103279999999997E-4</v>
      </c>
    </row>
    <row r="13183" spans="103:104" x14ac:dyDescent="0.3">
      <c r="CY13183" s="34" t="s">
        <v>14110</v>
      </c>
      <c r="CZ13183" s="35">
        <v>2.127716E-3</v>
      </c>
    </row>
    <row r="13184" spans="103:104" x14ac:dyDescent="0.3">
      <c r="CY13184" s="34" t="s">
        <v>14111</v>
      </c>
      <c r="CZ13184" s="35">
        <v>4.6596719999999998E-4</v>
      </c>
    </row>
    <row r="13185" spans="103:104" x14ac:dyDescent="0.3">
      <c r="CY13185" s="34" t="s">
        <v>14112</v>
      </c>
      <c r="CZ13185" s="35">
        <v>2.0355386666666662E-3</v>
      </c>
    </row>
    <row r="13186" spans="103:104" x14ac:dyDescent="0.3">
      <c r="CY13186" s="34" t="s">
        <v>14113</v>
      </c>
      <c r="CZ13186" s="35">
        <v>8.5277200000000001E-4</v>
      </c>
    </row>
    <row r="13187" spans="103:104" x14ac:dyDescent="0.3">
      <c r="CY13187" s="34" t="s">
        <v>14114</v>
      </c>
      <c r="CZ13187" s="35">
        <v>1.25212E-3</v>
      </c>
    </row>
    <row r="13188" spans="103:104" x14ac:dyDescent="0.3">
      <c r="CY13188" s="34" t="s">
        <v>14115</v>
      </c>
      <c r="CZ13188" s="35">
        <v>3.9783760000000005E-3</v>
      </c>
    </row>
    <row r="13189" spans="103:104" x14ac:dyDescent="0.3">
      <c r="CY13189" s="34" t="s">
        <v>14116</v>
      </c>
      <c r="CZ13189" s="35">
        <v>3.5991656999999996E-2</v>
      </c>
    </row>
    <row r="13190" spans="103:104" x14ac:dyDescent="0.3">
      <c r="CY13190" s="34" t="s">
        <v>14117</v>
      </c>
      <c r="CZ13190" s="35">
        <v>6.6287520000000001E-4</v>
      </c>
    </row>
    <row r="13191" spans="103:104" x14ac:dyDescent="0.3">
      <c r="CY13191" s="34" t="s">
        <v>14118</v>
      </c>
      <c r="CZ13191" s="35">
        <v>4.9544559999999994E-4</v>
      </c>
    </row>
    <row r="13192" spans="103:104" x14ac:dyDescent="0.3">
      <c r="CY13192" s="34" t="s">
        <v>14119</v>
      </c>
      <c r="CZ13192" s="35">
        <v>4.3582239999999996E-4</v>
      </c>
    </row>
    <row r="13193" spans="103:104" x14ac:dyDescent="0.3">
      <c r="CY13193" s="34" t="s">
        <v>14120</v>
      </c>
      <c r="CZ13193" s="35">
        <v>4.3582239999999996E-4</v>
      </c>
    </row>
    <row r="13194" spans="103:104" x14ac:dyDescent="0.3">
      <c r="CY13194" s="34" t="s">
        <v>14121</v>
      </c>
      <c r="CZ13194" s="35">
        <v>3.8533352E-4</v>
      </c>
    </row>
    <row r="13195" spans="103:104" x14ac:dyDescent="0.3">
      <c r="CY13195" s="34" t="s">
        <v>14122</v>
      </c>
      <c r="CZ13195" s="35">
        <v>4.0588080000000001E-4</v>
      </c>
    </row>
    <row r="13196" spans="103:104" x14ac:dyDescent="0.3">
      <c r="CY13196" s="34" t="s">
        <v>14123</v>
      </c>
      <c r="CZ13196" s="35">
        <v>4.3582239999999996E-4</v>
      </c>
    </row>
    <row r="13197" spans="103:104" x14ac:dyDescent="0.3">
      <c r="CY13197" s="34" t="s">
        <v>14124</v>
      </c>
      <c r="CZ13197" s="35">
        <v>4.0588079999999996E-4</v>
      </c>
    </row>
    <row r="13198" spans="103:104" x14ac:dyDescent="0.3">
      <c r="CY13198" s="34" t="s">
        <v>14125</v>
      </c>
      <c r="CZ13198" s="35">
        <v>3.5745319999999999E-4</v>
      </c>
    </row>
    <row r="13199" spans="103:104" x14ac:dyDescent="0.3">
      <c r="CY13199" s="34" t="s">
        <v>14126</v>
      </c>
      <c r="CZ13199" s="35">
        <v>0.13084333333333334</v>
      </c>
    </row>
    <row r="13200" spans="103:104" x14ac:dyDescent="0.3">
      <c r="CY13200" s="34" t="s">
        <v>14127</v>
      </c>
      <c r="CZ13200" s="35">
        <v>2.5681270000000003E-2</v>
      </c>
    </row>
    <row r="13201" spans="103:104" x14ac:dyDescent="0.3">
      <c r="CY13201" s="34" t="s">
        <v>14128</v>
      </c>
      <c r="CZ13201" s="35">
        <v>7.3061817200000004E-2</v>
      </c>
    </row>
    <row r="13202" spans="103:104" x14ac:dyDescent="0.3">
      <c r="CY13202" s="34" t="s">
        <v>14129</v>
      </c>
      <c r="CZ13202" s="35">
        <v>5.373319E-2</v>
      </c>
    </row>
    <row r="13203" spans="103:104" x14ac:dyDescent="0.3">
      <c r="CY13203" s="34" t="s">
        <v>14130</v>
      </c>
      <c r="CZ13203" s="35">
        <v>1.4843100000000001E-2</v>
      </c>
    </row>
    <row r="13204" spans="103:104" x14ac:dyDescent="0.3">
      <c r="CY13204" s="34" t="s">
        <v>14131</v>
      </c>
      <c r="CZ13204" s="35">
        <v>3.9688920000000003E-2</v>
      </c>
    </row>
    <row r="13205" spans="103:104" x14ac:dyDescent="0.3">
      <c r="CY13205" s="34" t="s">
        <v>14132</v>
      </c>
      <c r="CZ13205" s="35">
        <v>3.9688920000000003E-2</v>
      </c>
    </row>
    <row r="13206" spans="103:104" x14ac:dyDescent="0.3">
      <c r="CY13206" s="34" t="s">
        <v>14133</v>
      </c>
      <c r="CZ13206" s="35">
        <v>6.376119999999999E-2</v>
      </c>
    </row>
    <row r="13207" spans="103:104" x14ac:dyDescent="0.3">
      <c r="CY13207" s="34" t="s">
        <v>14134</v>
      </c>
      <c r="CZ13207" s="35">
        <v>5.1353786666666665E-2</v>
      </c>
    </row>
    <row r="13208" spans="103:104" x14ac:dyDescent="0.3">
      <c r="CY13208" s="34" t="s">
        <v>14135</v>
      </c>
      <c r="CZ13208" s="35">
        <v>5.1353786666666672E-2</v>
      </c>
    </row>
    <row r="13209" spans="103:104" x14ac:dyDescent="0.3">
      <c r="CY13209" s="34" t="s">
        <v>14136</v>
      </c>
      <c r="CZ13209" s="35">
        <v>8.3295046680000012E-2</v>
      </c>
    </row>
    <row r="13210" spans="103:104" x14ac:dyDescent="0.3">
      <c r="CY13210" s="34" t="s">
        <v>14137</v>
      </c>
      <c r="CZ13210" s="35">
        <v>7.4993399999999984E-4</v>
      </c>
    </row>
    <row r="13211" spans="103:104" x14ac:dyDescent="0.3">
      <c r="CY13211" s="34" t="s">
        <v>14138</v>
      </c>
      <c r="CZ13211" s="35">
        <v>5.6012879999999996E-4</v>
      </c>
    </row>
    <row r="13212" spans="103:104" x14ac:dyDescent="0.3">
      <c r="CY13212" s="34" t="s">
        <v>14139</v>
      </c>
      <c r="CZ13212" s="35">
        <v>5.3633480000000004E-3</v>
      </c>
    </row>
    <row r="13213" spans="103:104" x14ac:dyDescent="0.3">
      <c r="CY13213" s="34" t="s">
        <v>14140</v>
      </c>
      <c r="CZ13213" s="35">
        <v>9.2411960000000019E-3</v>
      </c>
    </row>
    <row r="13214" spans="103:104" x14ac:dyDescent="0.3">
      <c r="CY13214" s="34" t="s">
        <v>14141</v>
      </c>
      <c r="CZ13214" s="35">
        <v>9.9207200000000009E-4</v>
      </c>
    </row>
    <row r="13215" spans="103:104" x14ac:dyDescent="0.3">
      <c r="CY13215" s="34" t="s">
        <v>14142</v>
      </c>
      <c r="CZ13215" s="35">
        <v>2.6897271999999996E-2</v>
      </c>
    </row>
    <row r="13216" spans="103:104" x14ac:dyDescent="0.3">
      <c r="CY13216" s="34" t="s">
        <v>14143</v>
      </c>
      <c r="CZ13216" s="35">
        <v>1.8220293399999999E-3</v>
      </c>
    </row>
    <row r="13217" spans="103:104" x14ac:dyDescent="0.3">
      <c r="CY13217" s="34" t="s">
        <v>14144</v>
      </c>
      <c r="CZ13217" s="35">
        <v>4.9146559999999999E-3</v>
      </c>
    </row>
    <row r="13218" spans="103:104" x14ac:dyDescent="0.3">
      <c r="CY13218" s="34" t="s">
        <v>14145</v>
      </c>
      <c r="CZ13218" s="35">
        <v>3.6989880000000003E-2</v>
      </c>
    </row>
    <row r="13219" spans="103:104" x14ac:dyDescent="0.3">
      <c r="CY13219" s="34" t="s">
        <v>14146</v>
      </c>
      <c r="CZ13219" s="35">
        <v>3.6989880000000003E-2</v>
      </c>
    </row>
    <row r="13220" spans="103:104" x14ac:dyDescent="0.3">
      <c r="CY13220" s="34" t="s">
        <v>14147</v>
      </c>
      <c r="CZ13220" s="35">
        <v>5.1031279999999998E-2</v>
      </c>
    </row>
    <row r="13221" spans="103:104" x14ac:dyDescent="0.3">
      <c r="CY13221" s="34" t="s">
        <v>14148</v>
      </c>
      <c r="CZ13221" s="35">
        <v>5.1031279999999998E-2</v>
      </c>
    </row>
    <row r="13222" spans="103:104" x14ac:dyDescent="0.3">
      <c r="CY13222" s="34" t="s">
        <v>14149</v>
      </c>
      <c r="CZ13222" s="35">
        <v>0.13846596561999999</v>
      </c>
    </row>
    <row r="13223" spans="103:104" x14ac:dyDescent="0.3">
      <c r="CY13223" s="34" t="s">
        <v>14150</v>
      </c>
      <c r="CZ13223" s="35">
        <v>1.5304180380952383E-2</v>
      </c>
    </row>
    <row r="13224" spans="103:104" x14ac:dyDescent="0.3">
      <c r="CY13224" s="34" t="s">
        <v>14151</v>
      </c>
      <c r="CZ13224" s="35">
        <v>1.5304188000000002E-2</v>
      </c>
    </row>
    <row r="13225" spans="103:104" x14ac:dyDescent="0.3">
      <c r="CY13225" s="34" t="s">
        <v>14152</v>
      </c>
      <c r="CZ13225" s="35">
        <v>1.5304188000000002E-2</v>
      </c>
    </row>
    <row r="13226" spans="103:104" x14ac:dyDescent="0.3">
      <c r="CY13226" s="34" t="s">
        <v>14153</v>
      </c>
      <c r="CZ13226" s="35">
        <v>1.5304188000000002E-2</v>
      </c>
    </row>
    <row r="13227" spans="103:104" x14ac:dyDescent="0.3">
      <c r="CY13227" s="34" t="s">
        <v>14154</v>
      </c>
      <c r="CZ13227" s="35">
        <v>1.5304178000000002E-2</v>
      </c>
    </row>
    <row r="13228" spans="103:104" x14ac:dyDescent="0.3">
      <c r="CY13228" s="34" t="s">
        <v>14155</v>
      </c>
      <c r="CZ13228" s="35">
        <v>0.10703539999999999</v>
      </c>
    </row>
    <row r="13229" spans="103:104" x14ac:dyDescent="0.3">
      <c r="CY13229" s="34" t="s">
        <v>14156</v>
      </c>
      <c r="CZ13229" s="35">
        <v>0.1060060350877193</v>
      </c>
    </row>
    <row r="13230" spans="103:104" x14ac:dyDescent="0.3">
      <c r="CY13230" s="34" t="s">
        <v>14157</v>
      </c>
      <c r="CZ13230" s="35">
        <v>4.0171537164750949E-2</v>
      </c>
    </row>
    <row r="13231" spans="103:104" x14ac:dyDescent="0.3">
      <c r="CY13231" s="34" t="s">
        <v>14158</v>
      </c>
      <c r="CZ13231" s="35">
        <v>1.3596072000000002E-3</v>
      </c>
    </row>
    <row r="13232" spans="103:104" x14ac:dyDescent="0.3">
      <c r="CY13232" s="34" t="s">
        <v>14159</v>
      </c>
      <c r="CZ13232" s="35">
        <v>2.7843600000000005E-3</v>
      </c>
    </row>
    <row r="13233" spans="103:104" x14ac:dyDescent="0.3">
      <c r="CY13233" s="34" t="s">
        <v>14160</v>
      </c>
      <c r="CZ13233" s="35">
        <v>1.52176245</v>
      </c>
    </row>
    <row r="13234" spans="103:104" x14ac:dyDescent="0.3">
      <c r="CY13234" s="34" t="s">
        <v>14161</v>
      </c>
      <c r="CZ13234" s="35">
        <v>1.5916487671232878E-3</v>
      </c>
    </row>
    <row r="13235" spans="103:104" x14ac:dyDescent="0.3">
      <c r="CY13235" s="34" t="s">
        <v>14162</v>
      </c>
      <c r="CZ13235" s="35">
        <v>2.3393440000000001E-3</v>
      </c>
    </row>
    <row r="13236" spans="103:104" x14ac:dyDescent="0.3">
      <c r="CY13236" s="34" t="s">
        <v>14163</v>
      </c>
      <c r="CZ13236" s="35">
        <v>5.0835060000000007E-3</v>
      </c>
    </row>
    <row r="13237" spans="103:104" x14ac:dyDescent="0.3">
      <c r="CY13237" s="34" t="s">
        <v>14164</v>
      </c>
      <c r="CZ13237" s="35">
        <v>8.8027199999999998E-4</v>
      </c>
    </row>
    <row r="13238" spans="103:104" x14ac:dyDescent="0.3">
      <c r="CY13238" s="34" t="s">
        <v>14165</v>
      </c>
      <c r="CZ13238" s="35">
        <v>2.1614400000000001E-3</v>
      </c>
    </row>
    <row r="13239" spans="103:104" x14ac:dyDescent="0.3">
      <c r="CY13239" s="34" t="s">
        <v>14166</v>
      </c>
      <c r="CZ13239" s="35">
        <v>5.5879319999999996E-2</v>
      </c>
    </row>
    <row r="13240" spans="103:104" x14ac:dyDescent="0.3">
      <c r="CY13240" s="34" t="s">
        <v>14167</v>
      </c>
      <c r="CZ13240" s="35">
        <v>0.11476258666666667</v>
      </c>
    </row>
    <row r="13241" spans="103:104" x14ac:dyDescent="0.3">
      <c r="CY13241" s="34" t="s">
        <v>14168</v>
      </c>
      <c r="CZ13241" s="35">
        <v>0.11476258666666667</v>
      </c>
    </row>
    <row r="13242" spans="103:104" x14ac:dyDescent="0.3">
      <c r="CY13242" s="34" t="s">
        <v>14169</v>
      </c>
      <c r="CZ13242" s="35">
        <v>8.8310690000000011E-2</v>
      </c>
    </row>
    <row r="13243" spans="103:104" x14ac:dyDescent="0.3">
      <c r="CY13243" s="34" t="s">
        <v>14170</v>
      </c>
      <c r="CZ13243" s="35">
        <v>0.22025302999999999</v>
      </c>
    </row>
    <row r="13244" spans="103:104" x14ac:dyDescent="0.3">
      <c r="CY13244" s="34" t="s">
        <v>14171</v>
      </c>
      <c r="CZ13244" s="35">
        <v>1.4544725E-2</v>
      </c>
    </row>
    <row r="13245" spans="103:104" x14ac:dyDescent="0.3">
      <c r="CY13245" s="34" t="s">
        <v>14172</v>
      </c>
      <c r="CZ13245" s="35">
        <v>1.1870375000000001E-2</v>
      </c>
    </row>
    <row r="13246" spans="103:104" x14ac:dyDescent="0.3">
      <c r="CY13246" s="34" t="s">
        <v>14173</v>
      </c>
      <c r="CZ13246" s="35">
        <v>6.745685671428572E-3</v>
      </c>
    </row>
    <row r="13247" spans="103:104" x14ac:dyDescent="0.3">
      <c r="CY13247" s="34" t="s">
        <v>14174</v>
      </c>
      <c r="CZ13247" s="35">
        <v>0.16879718000000002</v>
      </c>
    </row>
    <row r="13248" spans="103:104" x14ac:dyDescent="0.3">
      <c r="CY13248" s="34" t="s">
        <v>14175</v>
      </c>
      <c r="CZ13248" s="35">
        <v>0.16879717999999999</v>
      </c>
    </row>
    <row r="13249" spans="103:104" x14ac:dyDescent="0.3">
      <c r="CY13249" s="34" t="s">
        <v>14176</v>
      </c>
      <c r="CZ13249" s="35">
        <v>0.11766549999999999</v>
      </c>
    </row>
    <row r="13250" spans="103:104" x14ac:dyDescent="0.3">
      <c r="CY13250" s="34" t="s">
        <v>14177</v>
      </c>
      <c r="CZ13250" s="35">
        <v>0.12173741836734694</v>
      </c>
    </row>
    <row r="13251" spans="103:104" x14ac:dyDescent="0.3">
      <c r="CY13251" s="34" t="s">
        <v>14178</v>
      </c>
      <c r="CZ13251" s="35">
        <v>2.3793568000000001E-2</v>
      </c>
    </row>
    <row r="13252" spans="103:104" x14ac:dyDescent="0.3">
      <c r="CY13252" s="34" t="s">
        <v>14179</v>
      </c>
      <c r="CZ13252" s="35">
        <v>2.3793568000000001E-2</v>
      </c>
    </row>
    <row r="13253" spans="103:104" x14ac:dyDescent="0.3">
      <c r="CY13253" s="34" t="s">
        <v>14180</v>
      </c>
      <c r="CZ13253" s="35">
        <v>2.3793568000000001E-2</v>
      </c>
    </row>
    <row r="13254" spans="103:104" x14ac:dyDescent="0.3">
      <c r="CY13254" s="34" t="s">
        <v>14181</v>
      </c>
      <c r="CZ13254" s="35">
        <v>3.1092981333333335E-2</v>
      </c>
    </row>
    <row r="13255" spans="103:104" x14ac:dyDescent="0.3">
      <c r="CY13255" s="34" t="s">
        <v>14182</v>
      </c>
      <c r="CZ13255" s="35">
        <v>3.1092981333333335E-2</v>
      </c>
    </row>
    <row r="13256" spans="103:104" x14ac:dyDescent="0.3">
      <c r="CY13256" s="34" t="s">
        <v>14183</v>
      </c>
      <c r="CZ13256" s="35">
        <v>3.5306229333333335E-2</v>
      </c>
    </row>
    <row r="13257" spans="103:104" x14ac:dyDescent="0.3">
      <c r="CY13257" s="34" t="s">
        <v>14184</v>
      </c>
      <c r="CZ13257" s="35">
        <v>3.5306229333333328E-2</v>
      </c>
    </row>
    <row r="13258" spans="103:104" x14ac:dyDescent="0.3">
      <c r="CY13258" s="34" t="s">
        <v>14185</v>
      </c>
      <c r="CZ13258" s="35">
        <v>3.5306229333333335E-2</v>
      </c>
    </row>
    <row r="13259" spans="103:104" x14ac:dyDescent="0.3">
      <c r="CY13259" s="34" t="s">
        <v>14186</v>
      </c>
      <c r="CZ13259" s="35">
        <v>4.4311797333333333E-2</v>
      </c>
    </row>
    <row r="13260" spans="103:104" x14ac:dyDescent="0.3">
      <c r="CY13260" s="34" t="s">
        <v>14187</v>
      </c>
      <c r="CZ13260" s="35">
        <v>4.431179733333334E-2</v>
      </c>
    </row>
    <row r="13261" spans="103:104" x14ac:dyDescent="0.3">
      <c r="CY13261" s="34" t="s">
        <v>14188</v>
      </c>
      <c r="CZ13261" s="35">
        <v>4.6361386666666664E-2</v>
      </c>
    </row>
    <row r="13262" spans="103:104" x14ac:dyDescent="0.3">
      <c r="CY13262" s="34" t="s">
        <v>14189</v>
      </c>
      <c r="CZ13262" s="35">
        <v>2.9706639999999999E-4</v>
      </c>
    </row>
    <row r="13263" spans="103:104" x14ac:dyDescent="0.3">
      <c r="CY13263" s="34" t="s">
        <v>14190</v>
      </c>
      <c r="CZ13263" s="35">
        <v>7.976204000000002E-2</v>
      </c>
    </row>
    <row r="13264" spans="103:104" x14ac:dyDescent="0.3">
      <c r="CY13264" s="34" t="s">
        <v>14191</v>
      </c>
      <c r="CZ13264" s="35">
        <v>6.5377359999999997E-3</v>
      </c>
    </row>
    <row r="13265" spans="103:104" x14ac:dyDescent="0.3">
      <c r="CY13265" s="34" t="s">
        <v>14192</v>
      </c>
      <c r="CZ13265" s="35">
        <v>2.5880262500000001E-2</v>
      </c>
    </row>
    <row r="13266" spans="103:104" x14ac:dyDescent="0.3">
      <c r="CY13266" s="34" t="s">
        <v>14193</v>
      </c>
      <c r="CZ13266" s="35">
        <v>0.1089243</v>
      </c>
    </row>
    <row r="13267" spans="103:104" x14ac:dyDescent="0.3">
      <c r="CY13267" s="34" t="s">
        <v>14194</v>
      </c>
      <c r="CZ13267" s="35">
        <v>3.2755102399999993E-2</v>
      </c>
    </row>
    <row r="13268" spans="103:104" x14ac:dyDescent="0.3">
      <c r="CY13268" s="34" t="s">
        <v>14195</v>
      </c>
      <c r="CZ13268" s="35">
        <v>0.36073314700000003</v>
      </c>
    </row>
    <row r="13269" spans="103:104" x14ac:dyDescent="0.3">
      <c r="CY13269" s="34" t="s">
        <v>14196</v>
      </c>
      <c r="CZ13269" s="35">
        <v>4.2430326000000001E-3</v>
      </c>
    </row>
    <row r="13270" spans="103:104" x14ac:dyDescent="0.3">
      <c r="CY13270" s="34" t="s">
        <v>14197</v>
      </c>
      <c r="CZ13270" s="35">
        <v>8.344855E-3</v>
      </c>
    </row>
    <row r="13271" spans="103:104" x14ac:dyDescent="0.3">
      <c r="CY13271" s="34" t="s">
        <v>14198</v>
      </c>
      <c r="CZ13271" s="35">
        <v>5.7448827000000004E-3</v>
      </c>
    </row>
    <row r="13272" spans="103:104" x14ac:dyDescent="0.3">
      <c r="CY13272" s="34" t="s">
        <v>14199</v>
      </c>
      <c r="CZ13272" s="35">
        <v>4.5117344E-3</v>
      </c>
    </row>
    <row r="13273" spans="103:104" x14ac:dyDescent="0.3">
      <c r="CY13273" s="34" t="s">
        <v>14200</v>
      </c>
      <c r="CZ13273" s="35">
        <v>8.1787040000000002E-3</v>
      </c>
    </row>
    <row r="13274" spans="103:104" x14ac:dyDescent="0.3">
      <c r="CY13274" s="34" t="s">
        <v>14201</v>
      </c>
      <c r="CZ13274" s="35">
        <v>1.2820494E-2</v>
      </c>
    </row>
    <row r="13275" spans="103:104" x14ac:dyDescent="0.3">
      <c r="CY13275" s="34" t="s">
        <v>14202</v>
      </c>
      <c r="CZ13275" s="35">
        <v>6.3987872000000002E-4</v>
      </c>
    </row>
    <row r="13276" spans="103:104" x14ac:dyDescent="0.3">
      <c r="CY13276" s="34" t="s">
        <v>14203</v>
      </c>
      <c r="CZ13276" s="35">
        <v>2.729736E-3</v>
      </c>
    </row>
    <row r="13277" spans="103:104" x14ac:dyDescent="0.3">
      <c r="CY13277" s="34" t="s">
        <v>14204</v>
      </c>
      <c r="CZ13277" s="35">
        <v>0.13502407999999999</v>
      </c>
    </row>
    <row r="13278" spans="103:104" x14ac:dyDescent="0.3">
      <c r="CY13278" s="34" t="s">
        <v>14205</v>
      </c>
      <c r="CZ13278" s="35">
        <v>0.13502407999999999</v>
      </c>
    </row>
    <row r="13279" spans="103:104" x14ac:dyDescent="0.3">
      <c r="CY13279" s="34" t="s">
        <v>14206</v>
      </c>
      <c r="CZ13279" s="35">
        <v>0.13502407999999999</v>
      </c>
    </row>
    <row r="13280" spans="103:104" x14ac:dyDescent="0.3">
      <c r="CY13280" s="34" t="s">
        <v>14207</v>
      </c>
      <c r="CZ13280" s="35">
        <v>0.23879786833333333</v>
      </c>
    </row>
    <row r="13281" spans="103:104" x14ac:dyDescent="0.3">
      <c r="CY13281" s="34" t="s">
        <v>14208</v>
      </c>
      <c r="CZ13281" s="35">
        <v>9.779789333333333E-2</v>
      </c>
    </row>
    <row r="13282" spans="103:104" x14ac:dyDescent="0.3">
      <c r="CY13282" s="34" t="s">
        <v>14209</v>
      </c>
      <c r="CZ13282" s="35">
        <v>6.1060933333333338E-2</v>
      </c>
    </row>
    <row r="13283" spans="103:104" x14ac:dyDescent="0.3">
      <c r="CY13283" s="34" t="s">
        <v>14210</v>
      </c>
      <c r="CZ13283" s="35">
        <v>3.2006656000000001E-2</v>
      </c>
    </row>
    <row r="13284" spans="103:104" x14ac:dyDescent="0.3">
      <c r="CY13284" s="34" t="s">
        <v>14211</v>
      </c>
      <c r="CZ13284" s="35">
        <v>3.7408320000000002E-2</v>
      </c>
    </row>
    <row r="13285" spans="103:104" x14ac:dyDescent="0.3">
      <c r="CY13285" s="34" t="s">
        <v>14212</v>
      </c>
      <c r="CZ13285" s="35">
        <v>4.4050606400000006E-3</v>
      </c>
    </row>
    <row r="13286" spans="103:104" x14ac:dyDescent="0.3">
      <c r="CY13286" s="34" t="s">
        <v>14213</v>
      </c>
      <c r="CZ13286" s="35">
        <v>7.7483040000000017E-2</v>
      </c>
    </row>
    <row r="13287" spans="103:104" x14ac:dyDescent="0.3">
      <c r="CY13287" s="34" t="s">
        <v>14214</v>
      </c>
      <c r="CZ13287" s="35">
        <v>5.6595984999999998E-3</v>
      </c>
    </row>
    <row r="13288" spans="103:104" x14ac:dyDescent="0.3">
      <c r="CY13288" s="34" t="s">
        <v>14215</v>
      </c>
      <c r="CZ13288" s="35">
        <v>5.6595984999999998E-3</v>
      </c>
    </row>
    <row r="13289" spans="103:104" x14ac:dyDescent="0.3">
      <c r="CY13289" s="34" t="s">
        <v>14216</v>
      </c>
      <c r="CZ13289" s="35">
        <v>0.16362656</v>
      </c>
    </row>
    <row r="13290" spans="103:104" x14ac:dyDescent="0.3">
      <c r="CY13290" s="34" t="s">
        <v>14217</v>
      </c>
      <c r="CZ13290" s="35">
        <v>0.44904699999999997</v>
      </c>
    </row>
    <row r="13291" spans="103:104" x14ac:dyDescent="0.3">
      <c r="CY13291" s="34" t="s">
        <v>14218</v>
      </c>
      <c r="CZ13291" s="35">
        <v>7.6452239999999999E-3</v>
      </c>
    </row>
    <row r="13292" spans="103:104" x14ac:dyDescent="0.3">
      <c r="CY13292" s="34" t="s">
        <v>14219</v>
      </c>
      <c r="CZ13292" s="35">
        <v>0.31840653316650003</v>
      </c>
    </row>
    <row r="13293" spans="103:104" x14ac:dyDescent="0.3">
      <c r="CY13293" s="34" t="s">
        <v>14220</v>
      </c>
      <c r="CZ13293" s="35">
        <v>8.8937745142000002E-4</v>
      </c>
    </row>
    <row r="13294" spans="103:104" x14ac:dyDescent="0.3">
      <c r="CY13294" s="34" t="s">
        <v>14221</v>
      </c>
      <c r="CZ13294" s="35">
        <v>2.98876E-3</v>
      </c>
    </row>
    <row r="13295" spans="103:104" x14ac:dyDescent="0.3">
      <c r="CY13295" s="34" t="s">
        <v>14222</v>
      </c>
      <c r="CZ13295" s="35">
        <v>0.69144500000000009</v>
      </c>
    </row>
    <row r="13296" spans="103:104" x14ac:dyDescent="0.3">
      <c r="CY13296" s="34" t="s">
        <v>14223</v>
      </c>
      <c r="CZ13296" s="35">
        <v>0.73109500000000005</v>
      </c>
    </row>
    <row r="13297" spans="103:104" x14ac:dyDescent="0.3">
      <c r="CY13297" s="34" t="s">
        <v>14224</v>
      </c>
      <c r="CZ13297" s="35">
        <v>0.72651900000000003</v>
      </c>
    </row>
    <row r="13298" spans="103:104" x14ac:dyDescent="0.3">
      <c r="CY13298" s="34" t="s">
        <v>14225</v>
      </c>
      <c r="CZ13298" s="35">
        <v>2.5935439999999997E-2</v>
      </c>
    </row>
    <row r="13299" spans="103:104" x14ac:dyDescent="0.3">
      <c r="CY13299" s="34" t="s">
        <v>14226</v>
      </c>
      <c r="CZ13299" s="35">
        <v>4.052E-2</v>
      </c>
    </row>
    <row r="13300" spans="103:104" x14ac:dyDescent="0.3">
      <c r="CY13300" s="34" t="s">
        <v>14227</v>
      </c>
      <c r="CZ13300" s="35">
        <v>5.4216053E-2</v>
      </c>
    </row>
    <row r="13301" spans="103:104" x14ac:dyDescent="0.3">
      <c r="CY13301" s="34" t="s">
        <v>14228</v>
      </c>
      <c r="CZ13301" s="35">
        <v>1.539952E-3</v>
      </c>
    </row>
    <row r="13302" spans="103:104" x14ac:dyDescent="0.3">
      <c r="CY13302" s="34" t="s">
        <v>14229</v>
      </c>
      <c r="CZ13302" s="35">
        <v>1.4817937037033335E-2</v>
      </c>
    </row>
    <row r="13303" spans="103:104" x14ac:dyDescent="0.3">
      <c r="CY13303" s="34" t="s">
        <v>14230</v>
      </c>
      <c r="CZ13303" s="35">
        <v>3.2535537777777781E-3</v>
      </c>
    </row>
    <row r="13304" spans="103:104" x14ac:dyDescent="0.3">
      <c r="CY13304" s="34" t="s">
        <v>14231</v>
      </c>
      <c r="CZ13304" s="35">
        <v>2.1831399999999997E-2</v>
      </c>
    </row>
    <row r="13305" spans="103:104" x14ac:dyDescent="0.3">
      <c r="CY13305" s="34" t="s">
        <v>14232</v>
      </c>
      <c r="CZ13305" s="35">
        <v>0.30311579999999999</v>
      </c>
    </row>
    <row r="13306" spans="103:104" x14ac:dyDescent="0.3">
      <c r="CY13306" s="34" t="s">
        <v>14233</v>
      </c>
      <c r="CZ13306" s="35">
        <v>2.4828332000000002E-2</v>
      </c>
    </row>
    <row r="13307" spans="103:104" x14ac:dyDescent="0.3">
      <c r="CY13307" s="34" t="s">
        <v>14234</v>
      </c>
      <c r="CZ13307" s="35">
        <v>8.8773685000000005E-2</v>
      </c>
    </row>
    <row r="13308" spans="103:104" x14ac:dyDescent="0.3">
      <c r="CY13308" s="34" t="s">
        <v>14235</v>
      </c>
      <c r="CZ13308" s="35">
        <v>3.5581985882352944E-2</v>
      </c>
    </row>
    <row r="13309" spans="103:104" x14ac:dyDescent="0.3">
      <c r="CY13309" s="34" t="s">
        <v>14236</v>
      </c>
      <c r="CZ13309" s="35">
        <v>3.1374676000000004E-2</v>
      </c>
    </row>
    <row r="13310" spans="103:104" x14ac:dyDescent="0.3">
      <c r="CY13310" s="34" t="s">
        <v>14237</v>
      </c>
      <c r="CZ13310" s="35">
        <v>6.6605462599999998E-2</v>
      </c>
    </row>
    <row r="13311" spans="103:104" x14ac:dyDescent="0.3">
      <c r="CY13311" s="34" t="s">
        <v>14238</v>
      </c>
      <c r="CZ13311" s="35">
        <v>6.2397999999999995E-2</v>
      </c>
    </row>
    <row r="13312" spans="103:104" x14ac:dyDescent="0.3">
      <c r="CY13312" s="34" t="s">
        <v>14239</v>
      </c>
      <c r="CZ13312" s="35">
        <v>4.2546800000000003E-3</v>
      </c>
    </row>
    <row r="13313" spans="103:104" x14ac:dyDescent="0.3">
      <c r="CY13313" s="34" t="s">
        <v>14240</v>
      </c>
      <c r="CZ13313" s="35">
        <v>3.6146759999999998E-3</v>
      </c>
    </row>
    <row r="13314" spans="103:104" x14ac:dyDescent="0.3">
      <c r="CY13314" s="34" t="s">
        <v>14241</v>
      </c>
      <c r="CZ13314" s="35">
        <v>0.10834510000000001</v>
      </c>
    </row>
    <row r="13315" spans="103:104" x14ac:dyDescent="0.3">
      <c r="CY13315" s="34" t="s">
        <v>14242</v>
      </c>
      <c r="CZ13315" s="35">
        <v>8.2541679999999992E-3</v>
      </c>
    </row>
    <row r="13316" spans="103:104" x14ac:dyDescent="0.3">
      <c r="CY13316" s="34" t="s">
        <v>14243</v>
      </c>
      <c r="CZ13316" s="35">
        <v>2.426232E-3</v>
      </c>
    </row>
    <row r="13317" spans="103:104" x14ac:dyDescent="0.3">
      <c r="CY13317" s="34" t="s">
        <v>14244</v>
      </c>
      <c r="CZ13317" s="35">
        <v>7.4647191999999999E-3</v>
      </c>
    </row>
    <row r="13318" spans="103:104" x14ac:dyDescent="0.3">
      <c r="CY13318" s="34" t="s">
        <v>14245</v>
      </c>
      <c r="CZ13318" s="35">
        <v>2.5304120000000001E-3</v>
      </c>
    </row>
    <row r="13319" spans="103:104" x14ac:dyDescent="0.3">
      <c r="CY13319" s="34" t="s">
        <v>14246</v>
      </c>
      <c r="CZ13319" s="35">
        <v>4.6907600000000004E-3</v>
      </c>
    </row>
    <row r="13320" spans="103:104" x14ac:dyDescent="0.3">
      <c r="CY13320" s="34" t="s">
        <v>14247</v>
      </c>
      <c r="CZ13320" s="35">
        <v>0.37525444000000002</v>
      </c>
    </row>
    <row r="13321" spans="103:104" x14ac:dyDescent="0.3">
      <c r="CY13321" s="34" t="s">
        <v>14248</v>
      </c>
      <c r="CZ13321" s="35">
        <v>0.12824308571428575</v>
      </c>
    </row>
    <row r="13322" spans="103:104" x14ac:dyDescent="0.3">
      <c r="CY13322" s="34" t="s">
        <v>14249</v>
      </c>
      <c r="CZ13322" s="35">
        <v>0.12830796</v>
      </c>
    </row>
    <row r="13323" spans="103:104" x14ac:dyDescent="0.3">
      <c r="CY13323" s="34" t="s">
        <v>14250</v>
      </c>
      <c r="CZ13323" s="35">
        <v>3.769604E-2</v>
      </c>
    </row>
    <row r="13324" spans="103:104" x14ac:dyDescent="0.3">
      <c r="CY13324" s="34" t="s">
        <v>14251</v>
      </c>
      <c r="CZ13324" s="35">
        <v>5.5263700000000006E-2</v>
      </c>
    </row>
    <row r="13325" spans="103:104" x14ac:dyDescent="0.3">
      <c r="CY13325" s="34" t="s">
        <v>14252</v>
      </c>
      <c r="CZ13325" s="35">
        <v>5.4197200000000008E-2</v>
      </c>
    </row>
    <row r="13326" spans="103:104" x14ac:dyDescent="0.3">
      <c r="CY13326" s="34" t="s">
        <v>14253</v>
      </c>
      <c r="CZ13326" s="35">
        <v>5.5091200000000007E-2</v>
      </c>
    </row>
    <row r="13327" spans="103:104" x14ac:dyDescent="0.3">
      <c r="CY13327" s="34" t="s">
        <v>14254</v>
      </c>
      <c r="CZ13327" s="35">
        <v>0.21752380000000002</v>
      </c>
    </row>
    <row r="13328" spans="103:104" x14ac:dyDescent="0.3">
      <c r="CY13328" s="34" t="s">
        <v>14255</v>
      </c>
      <c r="CZ13328" s="35">
        <v>2.4534794100000003E-3</v>
      </c>
    </row>
    <row r="13329" spans="103:104" x14ac:dyDescent="0.3">
      <c r="CY13329" s="34" t="s">
        <v>14256</v>
      </c>
      <c r="CZ13329" s="35">
        <v>2.1921679999999995E-3</v>
      </c>
    </row>
    <row r="13330" spans="103:104" x14ac:dyDescent="0.3">
      <c r="CY13330" s="34" t="s">
        <v>14257</v>
      </c>
      <c r="CZ13330" s="35">
        <v>0.10672893999999999</v>
      </c>
    </row>
    <row r="13331" spans="103:104" x14ac:dyDescent="0.3">
      <c r="CY13331" s="34" t="s">
        <v>14258</v>
      </c>
      <c r="CZ13331" s="35">
        <v>1.4832043999999999E-2</v>
      </c>
    </row>
    <row r="13332" spans="103:104" x14ac:dyDescent="0.3">
      <c r="CY13332" s="34" t="s">
        <v>14259</v>
      </c>
      <c r="CZ13332" s="35">
        <v>0.1858889</v>
      </c>
    </row>
    <row r="13333" spans="103:104" x14ac:dyDescent="0.3">
      <c r="CY13333" s="34" t="s">
        <v>14260</v>
      </c>
      <c r="CZ13333" s="35">
        <v>3.5968976344000002E-2</v>
      </c>
    </row>
    <row r="13334" spans="103:104" x14ac:dyDescent="0.3">
      <c r="CY13334" s="34" t="s">
        <v>14261</v>
      </c>
      <c r="CZ13334" s="35">
        <v>3.5968976344000002E-2</v>
      </c>
    </row>
    <row r="13335" spans="103:104" x14ac:dyDescent="0.3">
      <c r="CY13335" s="34" t="s">
        <v>14262</v>
      </c>
      <c r="CZ13335" s="35">
        <v>3.292115555555556E-2</v>
      </c>
    </row>
    <row r="13336" spans="103:104" x14ac:dyDescent="0.3">
      <c r="CY13336" s="34" t="s">
        <v>14263</v>
      </c>
      <c r="CZ13336" s="35">
        <v>3.3253973333333332E-2</v>
      </c>
    </row>
    <row r="13337" spans="103:104" x14ac:dyDescent="0.3">
      <c r="CY13337" s="34" t="s">
        <v>14264</v>
      </c>
      <c r="CZ13337" s="35">
        <v>0.16172963999999998</v>
      </c>
    </row>
    <row r="13338" spans="103:104" x14ac:dyDescent="0.3">
      <c r="CY13338" s="34" t="s">
        <v>14265</v>
      </c>
      <c r="CZ13338" s="35">
        <v>0.18802218000000001</v>
      </c>
    </row>
    <row r="13339" spans="103:104" x14ac:dyDescent="0.3">
      <c r="CY13339" s="34" t="s">
        <v>14266</v>
      </c>
      <c r="CZ13339" s="35">
        <v>7.5282850000000012E-2</v>
      </c>
    </row>
    <row r="13340" spans="103:104" x14ac:dyDescent="0.3">
      <c r="CY13340" s="34" t="s">
        <v>14267</v>
      </c>
      <c r="CZ13340" s="35">
        <v>6.2419099999999998E-2</v>
      </c>
    </row>
    <row r="13341" spans="103:104" x14ac:dyDescent="0.3">
      <c r="CY13341" s="34" t="s">
        <v>14268</v>
      </c>
      <c r="CZ13341" s="35">
        <v>0.13486400000000001</v>
      </c>
    </row>
    <row r="13342" spans="103:104" x14ac:dyDescent="0.3">
      <c r="CY13342" s="34" t="s">
        <v>14269</v>
      </c>
      <c r="CZ13342" s="35">
        <v>0.13486400000000001</v>
      </c>
    </row>
    <row r="13343" spans="103:104" x14ac:dyDescent="0.3">
      <c r="CY13343" s="34" t="s">
        <v>14270</v>
      </c>
      <c r="CZ13343" s="35">
        <v>0.1616688</v>
      </c>
    </row>
    <row r="13344" spans="103:104" x14ac:dyDescent="0.3">
      <c r="CY13344" s="34" t="s">
        <v>14271</v>
      </c>
      <c r="CZ13344" s="35">
        <v>0.1616688</v>
      </c>
    </row>
    <row r="13345" spans="103:104" x14ac:dyDescent="0.3">
      <c r="CY13345" s="34" t="s">
        <v>14272</v>
      </c>
      <c r="CZ13345" s="35">
        <v>0.17507120000000001</v>
      </c>
    </row>
    <row r="13346" spans="103:104" x14ac:dyDescent="0.3">
      <c r="CY13346" s="34" t="s">
        <v>14273</v>
      </c>
      <c r="CZ13346" s="35">
        <v>3.6895106700000006E-2</v>
      </c>
    </row>
    <row r="13347" spans="103:104" x14ac:dyDescent="0.3">
      <c r="CY13347" s="34" t="s">
        <v>14274</v>
      </c>
      <c r="CZ13347" s="35">
        <v>6.3100539999999997E-2</v>
      </c>
    </row>
    <row r="13348" spans="103:104" x14ac:dyDescent="0.3">
      <c r="CY13348" s="34" t="s">
        <v>14275</v>
      </c>
      <c r="CZ13348" s="35">
        <v>0.1083451</v>
      </c>
    </row>
    <row r="13349" spans="103:104" x14ac:dyDescent="0.3">
      <c r="CY13349" s="34" t="s">
        <v>14276</v>
      </c>
      <c r="CZ13349" s="35">
        <v>4.4502804E-2</v>
      </c>
    </row>
    <row r="13350" spans="103:104" x14ac:dyDescent="0.3">
      <c r="CY13350" s="34" t="s">
        <v>14277</v>
      </c>
      <c r="CZ13350" s="35">
        <v>3.2182632000000003E-2</v>
      </c>
    </row>
    <row r="13351" spans="103:104" x14ac:dyDescent="0.3">
      <c r="CY13351" s="34" t="s">
        <v>14278</v>
      </c>
      <c r="CZ13351" s="35">
        <v>7.4420466666666662E-3</v>
      </c>
    </row>
    <row r="13352" spans="103:104" x14ac:dyDescent="0.3">
      <c r="CY13352" s="34" t="s">
        <v>14279</v>
      </c>
      <c r="CZ13352" s="35">
        <v>2.725234E-2</v>
      </c>
    </row>
    <row r="13353" spans="103:104" x14ac:dyDescent="0.3">
      <c r="CY13353" s="34" t="s">
        <v>14280</v>
      </c>
      <c r="CZ13353" s="35">
        <v>2.5146564E-2</v>
      </c>
    </row>
    <row r="13354" spans="103:104" x14ac:dyDescent="0.3">
      <c r="CY13354" s="34" t="s">
        <v>14281</v>
      </c>
      <c r="CZ13354" s="35">
        <v>2.0250706E-2</v>
      </c>
    </row>
    <row r="13355" spans="103:104" x14ac:dyDescent="0.3">
      <c r="CY13355" s="34" t="s">
        <v>14282</v>
      </c>
      <c r="CZ13355" s="35">
        <v>3.4292120000000002E-2</v>
      </c>
    </row>
    <row r="13356" spans="103:104" x14ac:dyDescent="0.3">
      <c r="CY13356" s="34" t="s">
        <v>14283</v>
      </c>
      <c r="CZ13356" s="35">
        <v>3.2585691450000003E-2</v>
      </c>
    </row>
    <row r="13357" spans="103:104" x14ac:dyDescent="0.3">
      <c r="CY13357" s="34" t="s">
        <v>14284</v>
      </c>
      <c r="CZ13357" s="35">
        <v>3.4292120000000002E-2</v>
      </c>
    </row>
    <row r="13358" spans="103:104" x14ac:dyDescent="0.3">
      <c r="CY13358" s="34" t="s">
        <v>14285</v>
      </c>
      <c r="CZ13358" s="35">
        <v>3.4292120000000002E-2</v>
      </c>
    </row>
    <row r="13359" spans="103:104" x14ac:dyDescent="0.3">
      <c r="CY13359" s="34" t="s">
        <v>14286</v>
      </c>
      <c r="CZ13359" s="35">
        <v>3.8390550000000002E-2</v>
      </c>
    </row>
    <row r="13360" spans="103:104" x14ac:dyDescent="0.3">
      <c r="CY13360" s="34" t="s">
        <v>14287</v>
      </c>
      <c r="CZ13360" s="35">
        <v>3.8390550000000002E-2</v>
      </c>
    </row>
    <row r="13361" spans="103:104" x14ac:dyDescent="0.3">
      <c r="CY13361" s="34" t="s">
        <v>14288</v>
      </c>
      <c r="CZ13361" s="35">
        <v>3.848202726666667E-2</v>
      </c>
    </row>
    <row r="13362" spans="103:104" x14ac:dyDescent="0.3">
      <c r="CY13362" s="34" t="s">
        <v>14289</v>
      </c>
      <c r="CZ13362" s="35">
        <v>5.6801762800000009E-2</v>
      </c>
    </row>
    <row r="13363" spans="103:104" x14ac:dyDescent="0.3">
      <c r="CY13363" s="34" t="s">
        <v>14290</v>
      </c>
      <c r="CZ13363" s="35">
        <v>0.10582270000000002</v>
      </c>
    </row>
    <row r="13364" spans="103:104" x14ac:dyDescent="0.3">
      <c r="CY13364" s="34" t="s">
        <v>14291</v>
      </c>
      <c r="CZ13364" s="35">
        <v>0.10582270000000002</v>
      </c>
    </row>
    <row r="13365" spans="103:104" x14ac:dyDescent="0.3">
      <c r="CY13365" s="34" t="s">
        <v>14292</v>
      </c>
      <c r="CZ13365" s="35">
        <v>7.1180544999999998E-2</v>
      </c>
    </row>
    <row r="13366" spans="103:104" x14ac:dyDescent="0.3">
      <c r="CY13366" s="34" t="s">
        <v>14293</v>
      </c>
      <c r="CZ13366" s="35">
        <v>1.4208207058823532E-3</v>
      </c>
    </row>
    <row r="13367" spans="103:104" x14ac:dyDescent="0.3">
      <c r="CY13367" s="34" t="s">
        <v>14294</v>
      </c>
      <c r="CZ13367" s="35">
        <v>7.6278389999999993E-4</v>
      </c>
    </row>
    <row r="13368" spans="103:104" x14ac:dyDescent="0.3">
      <c r="CY13368" s="34" t="s">
        <v>14295</v>
      </c>
      <c r="CZ13368" s="35">
        <v>1.093079111111111E-3</v>
      </c>
    </row>
    <row r="13369" spans="103:104" x14ac:dyDescent="0.3">
      <c r="CY13369" s="34" t="s">
        <v>14296</v>
      </c>
      <c r="CZ13369" s="35">
        <v>1.0584053333333333E-3</v>
      </c>
    </row>
    <row r="13370" spans="103:104" x14ac:dyDescent="0.3">
      <c r="CY13370" s="34" t="s">
        <v>14297</v>
      </c>
      <c r="CZ13370" s="35">
        <v>3.267528E-3</v>
      </c>
    </row>
    <row r="13371" spans="103:104" x14ac:dyDescent="0.3">
      <c r="CY13371" s="34" t="s">
        <v>14298</v>
      </c>
      <c r="CZ13371" s="35">
        <v>2.6330669600000002E-2</v>
      </c>
    </row>
    <row r="13372" spans="103:104" x14ac:dyDescent="0.3">
      <c r="CY13372" s="34" t="s">
        <v>14299</v>
      </c>
      <c r="CZ13372" s="35">
        <v>5.1630900000000004E-3</v>
      </c>
    </row>
    <row r="13373" spans="103:104" x14ac:dyDescent="0.3">
      <c r="CY13373" s="34" t="s">
        <v>14300</v>
      </c>
      <c r="CZ13373" s="35">
        <v>2.1781927999999996E-2</v>
      </c>
    </row>
    <row r="13374" spans="103:104" x14ac:dyDescent="0.3">
      <c r="CY13374" s="34" t="s">
        <v>14301</v>
      </c>
      <c r="CZ13374" s="35">
        <v>1.3372500000000001E-2</v>
      </c>
    </row>
    <row r="13375" spans="103:104" x14ac:dyDescent="0.3">
      <c r="CY13375" s="34" t="s">
        <v>14302</v>
      </c>
      <c r="CZ13375" s="35">
        <v>1.7098868991999999E-2</v>
      </c>
    </row>
    <row r="13376" spans="103:104" x14ac:dyDescent="0.3">
      <c r="CY13376" s="34" t="s">
        <v>14303</v>
      </c>
      <c r="CZ13376" s="35">
        <v>1.7098868991999999E-2</v>
      </c>
    </row>
    <row r="13377" spans="103:104" x14ac:dyDescent="0.3">
      <c r="CY13377" s="34" t="s">
        <v>14304</v>
      </c>
      <c r="CZ13377" s="35">
        <v>1.3668232000000001E-2</v>
      </c>
    </row>
    <row r="13378" spans="103:104" x14ac:dyDescent="0.3">
      <c r="CY13378" s="34" t="s">
        <v>14305</v>
      </c>
      <c r="CZ13378" s="35">
        <v>1.6313608447999998E-2</v>
      </c>
    </row>
    <row r="13379" spans="103:104" x14ac:dyDescent="0.3">
      <c r="CY13379" s="34" t="s">
        <v>14306</v>
      </c>
      <c r="CZ13379" s="35">
        <v>1.6313608447999998E-2</v>
      </c>
    </row>
    <row r="13380" spans="103:104" x14ac:dyDescent="0.3">
      <c r="CY13380" s="34" t="s">
        <v>14307</v>
      </c>
      <c r="CZ13380" s="35">
        <v>1.6814880000000001E-3</v>
      </c>
    </row>
    <row r="13381" spans="103:104" x14ac:dyDescent="0.3">
      <c r="CY13381" s="34" t="s">
        <v>14308</v>
      </c>
      <c r="CZ13381" s="35">
        <v>0.11476258665</v>
      </c>
    </row>
    <row r="13382" spans="103:104" x14ac:dyDescent="0.3">
      <c r="CY13382" s="34" t="s">
        <v>14309</v>
      </c>
      <c r="CZ13382" s="35">
        <v>0.11476258666666668</v>
      </c>
    </row>
    <row r="13383" spans="103:104" x14ac:dyDescent="0.3">
      <c r="CY13383" s="34" t="s">
        <v>14310</v>
      </c>
      <c r="CZ13383" s="35">
        <v>2.7759531285714286E-2</v>
      </c>
    </row>
    <row r="13384" spans="103:104" x14ac:dyDescent="0.3">
      <c r="CY13384" s="34" t="s">
        <v>14311</v>
      </c>
      <c r="CZ13384" s="35">
        <v>1.0901839999999999E-2</v>
      </c>
    </row>
    <row r="13385" spans="103:104" x14ac:dyDescent="0.3">
      <c r="CY13385" s="34" t="s">
        <v>14312</v>
      </c>
      <c r="CZ13385" s="35">
        <v>1.3421799999999999E-2</v>
      </c>
    </row>
    <row r="13386" spans="103:104" x14ac:dyDescent="0.3">
      <c r="CY13386" s="34" t="s">
        <v>14313</v>
      </c>
      <c r="CZ13386" s="35">
        <v>1.2044332E-2</v>
      </c>
    </row>
    <row r="13387" spans="103:104" x14ac:dyDescent="0.3">
      <c r="CY13387" s="34" t="s">
        <v>14314</v>
      </c>
      <c r="CZ13387" s="35">
        <v>2.5341492352000002E-2</v>
      </c>
    </row>
    <row r="13388" spans="103:104" x14ac:dyDescent="0.3">
      <c r="CY13388" s="34" t="s">
        <v>14315</v>
      </c>
      <c r="CZ13388" s="35">
        <v>9.4795500000000005E-2</v>
      </c>
    </row>
    <row r="13389" spans="103:104" x14ac:dyDescent="0.3">
      <c r="CY13389" s="34" t="s">
        <v>14316</v>
      </c>
      <c r="CZ13389" s="35">
        <v>2.4093724444444447E-3</v>
      </c>
    </row>
    <row r="13390" spans="103:104" x14ac:dyDescent="0.3">
      <c r="CY13390" s="34" t="s">
        <v>14317</v>
      </c>
      <c r="CZ13390" s="35">
        <v>4.1283239999999992E-3</v>
      </c>
    </row>
    <row r="13391" spans="103:104" x14ac:dyDescent="0.3">
      <c r="CY13391" s="34" t="s">
        <v>14318</v>
      </c>
      <c r="CZ13391" s="35">
        <v>3.8674159999999999E-2</v>
      </c>
    </row>
    <row r="13392" spans="103:104" x14ac:dyDescent="0.3">
      <c r="CY13392" s="34" t="s">
        <v>14319</v>
      </c>
      <c r="CZ13392" s="35">
        <v>3.9517480000000001E-2</v>
      </c>
    </row>
    <row r="13393" spans="103:104" x14ac:dyDescent="0.3">
      <c r="CY13393" s="34" t="s">
        <v>14320</v>
      </c>
      <c r="CZ13393" s="35">
        <v>0.10703540000000002</v>
      </c>
    </row>
    <row r="13394" spans="103:104" x14ac:dyDescent="0.3">
      <c r="CY13394" s="34" t="s">
        <v>14321</v>
      </c>
      <c r="CZ13394" s="35">
        <v>2.6832640000000001E-2</v>
      </c>
    </row>
    <row r="13395" spans="103:104" x14ac:dyDescent="0.3">
      <c r="CY13395" s="34" t="s">
        <v>14322</v>
      </c>
      <c r="CZ13395" s="35">
        <v>2.8410816000000002E-2</v>
      </c>
    </row>
    <row r="13396" spans="103:104" x14ac:dyDescent="0.3">
      <c r="CY13396" s="34" t="s">
        <v>14323</v>
      </c>
      <c r="CZ13396" s="35">
        <v>2.8410816000000002E-2</v>
      </c>
    </row>
    <row r="13397" spans="103:104" x14ac:dyDescent="0.3">
      <c r="CY13397" s="34" t="s">
        <v>14324</v>
      </c>
      <c r="CZ13397" s="35">
        <v>2.8410816000000002E-2</v>
      </c>
    </row>
    <row r="13398" spans="103:104" x14ac:dyDescent="0.3">
      <c r="CY13398" s="34" t="s">
        <v>14325</v>
      </c>
      <c r="CZ13398" s="35">
        <v>2.8410816000000002E-2</v>
      </c>
    </row>
    <row r="13399" spans="103:104" x14ac:dyDescent="0.3">
      <c r="CY13399" s="34" t="s">
        <v>14326</v>
      </c>
      <c r="CZ13399" s="35">
        <v>2.0833655999999996E-3</v>
      </c>
    </row>
    <row r="13400" spans="103:104" x14ac:dyDescent="0.3">
      <c r="CY13400" s="34" t="s">
        <v>14327</v>
      </c>
      <c r="CZ13400" s="35">
        <v>1.4521000800000001E-2</v>
      </c>
    </row>
    <row r="13401" spans="103:104" x14ac:dyDescent="0.3">
      <c r="CY13401" s="34" t="s">
        <v>14328</v>
      </c>
      <c r="CZ13401" s="35">
        <v>8.3567148333333341E-3</v>
      </c>
    </row>
    <row r="13402" spans="103:104" x14ac:dyDescent="0.3">
      <c r="CY13402" s="34" t="s">
        <v>14329</v>
      </c>
      <c r="CZ13402" s="35">
        <v>1.4347626666666667E-2</v>
      </c>
    </row>
    <row r="13403" spans="103:104" x14ac:dyDescent="0.3">
      <c r="CY13403" s="34" t="s">
        <v>14330</v>
      </c>
      <c r="CZ13403" s="35">
        <v>1.4347626666666667E-2</v>
      </c>
    </row>
    <row r="13404" spans="103:104" x14ac:dyDescent="0.3">
      <c r="CY13404" s="34" t="s">
        <v>14331</v>
      </c>
      <c r="CZ13404" s="35">
        <v>1.4347626666666667E-2</v>
      </c>
    </row>
    <row r="13405" spans="103:104" x14ac:dyDescent="0.3">
      <c r="CY13405" s="34" t="s">
        <v>14332</v>
      </c>
      <c r="CZ13405" s="35">
        <v>1.4347626666666667E-2</v>
      </c>
    </row>
    <row r="13406" spans="103:104" x14ac:dyDescent="0.3">
      <c r="CY13406" s="34" t="s">
        <v>14333</v>
      </c>
      <c r="CZ13406" s="35">
        <v>1.4347626666666667E-2</v>
      </c>
    </row>
    <row r="13407" spans="103:104" x14ac:dyDescent="0.3">
      <c r="CY13407" s="34" t="s">
        <v>14334</v>
      </c>
      <c r="CZ13407" s="35">
        <v>1.4347626666666667E-2</v>
      </c>
    </row>
    <row r="13408" spans="103:104" x14ac:dyDescent="0.3">
      <c r="CY13408" s="34" t="s">
        <v>14335</v>
      </c>
      <c r="CZ13408" s="35">
        <v>1.4347626666666667E-2</v>
      </c>
    </row>
    <row r="13409" spans="103:104" x14ac:dyDescent="0.3">
      <c r="CY13409" s="34" t="s">
        <v>14336</v>
      </c>
      <c r="CZ13409" s="35">
        <v>1.4347626666666667E-2</v>
      </c>
    </row>
    <row r="13410" spans="103:104" x14ac:dyDescent="0.3">
      <c r="CY13410" s="34" t="s">
        <v>14337</v>
      </c>
      <c r="CZ13410" s="35">
        <v>1.7368896000000002E-2</v>
      </c>
    </row>
    <row r="13411" spans="103:104" x14ac:dyDescent="0.3">
      <c r="CY13411" s="34" t="s">
        <v>14338</v>
      </c>
      <c r="CZ13411" s="35">
        <v>1.7368896000000002E-2</v>
      </c>
    </row>
    <row r="13412" spans="103:104" x14ac:dyDescent="0.3">
      <c r="CY13412" s="34" t="s">
        <v>14339</v>
      </c>
      <c r="CZ13412" s="35">
        <v>1.7368896000000002E-2</v>
      </c>
    </row>
    <row r="13413" spans="103:104" x14ac:dyDescent="0.3">
      <c r="CY13413" s="34" t="s">
        <v>14340</v>
      </c>
      <c r="CZ13413" s="35">
        <v>1.7368896000000002E-2</v>
      </c>
    </row>
    <row r="13414" spans="103:104" x14ac:dyDescent="0.3">
      <c r="CY13414" s="34" t="s">
        <v>14341</v>
      </c>
      <c r="CZ13414" s="35">
        <v>1.6571562666666668E-2</v>
      </c>
    </row>
    <row r="13415" spans="103:104" x14ac:dyDescent="0.3">
      <c r="CY13415" s="34" t="s">
        <v>14342</v>
      </c>
      <c r="CZ13415" s="35">
        <v>1.7368896000000002E-2</v>
      </c>
    </row>
    <row r="13416" spans="103:104" x14ac:dyDescent="0.3">
      <c r="CY13416" s="34" t="s">
        <v>14343</v>
      </c>
      <c r="CZ13416" s="35">
        <v>1.8066112000000002E-2</v>
      </c>
    </row>
    <row r="13417" spans="103:104" x14ac:dyDescent="0.3">
      <c r="CY13417" s="34" t="s">
        <v>14344</v>
      </c>
      <c r="CZ13417" s="35">
        <v>1.8066112000000006E-2</v>
      </c>
    </row>
    <row r="13418" spans="103:104" x14ac:dyDescent="0.3">
      <c r="CY13418" s="34" t="s">
        <v>14345</v>
      </c>
      <c r="CZ13418" s="35">
        <v>1.8126016000000002E-2</v>
      </c>
    </row>
    <row r="13419" spans="103:104" x14ac:dyDescent="0.3">
      <c r="CY13419" s="34" t="s">
        <v>14346</v>
      </c>
      <c r="CZ13419" s="35">
        <v>1.9714026666666669E-2</v>
      </c>
    </row>
    <row r="13420" spans="103:104" x14ac:dyDescent="0.3">
      <c r="CY13420" s="34" t="s">
        <v>14347</v>
      </c>
      <c r="CZ13420" s="35">
        <v>2.1755754666666672E-2</v>
      </c>
    </row>
    <row r="13421" spans="103:104" x14ac:dyDescent="0.3">
      <c r="CY13421" s="34" t="s">
        <v>14348</v>
      </c>
      <c r="CZ13421" s="35">
        <v>1.4347626666666667E-2</v>
      </c>
    </row>
    <row r="13422" spans="103:104" x14ac:dyDescent="0.3">
      <c r="CY13422" s="34" t="s">
        <v>14349</v>
      </c>
      <c r="CZ13422" s="35">
        <v>6.1031695999999996E-3</v>
      </c>
    </row>
    <row r="13423" spans="103:104" x14ac:dyDescent="0.3">
      <c r="CY13423" s="34" t="s">
        <v>14350</v>
      </c>
      <c r="CZ13423" s="35">
        <v>5.4960799999999995E-3</v>
      </c>
    </row>
    <row r="13424" spans="103:104" x14ac:dyDescent="0.3">
      <c r="CY13424" s="34" t="s">
        <v>14351</v>
      </c>
      <c r="CZ13424" s="35">
        <v>0.107415334</v>
      </c>
    </row>
    <row r="13425" spans="103:104" x14ac:dyDescent="0.3">
      <c r="CY13425" s="34" t="s">
        <v>14352</v>
      </c>
      <c r="CZ13425" s="35">
        <v>6.5389199999999995E-2</v>
      </c>
    </row>
    <row r="13426" spans="103:104" x14ac:dyDescent="0.3">
      <c r="CY13426" s="34" t="s">
        <v>14353</v>
      </c>
      <c r="CZ13426" s="35">
        <v>8.631831999999999E-2</v>
      </c>
    </row>
    <row r="13427" spans="103:104" x14ac:dyDescent="0.3">
      <c r="CY13427" s="34" t="s">
        <v>14354</v>
      </c>
      <c r="CZ13427" s="35">
        <v>3.8328239999999999E-3</v>
      </c>
    </row>
    <row r="13428" spans="103:104" x14ac:dyDescent="0.3">
      <c r="CY13428" s="34" t="s">
        <v>14355</v>
      </c>
      <c r="CZ13428" s="35">
        <v>0.10576717222222222</v>
      </c>
    </row>
    <row r="13429" spans="103:104" x14ac:dyDescent="0.3">
      <c r="CY13429" s="34" t="s">
        <v>14356</v>
      </c>
      <c r="CZ13429" s="35">
        <v>9.0570119999999997E-3</v>
      </c>
    </row>
    <row r="13430" spans="103:104" x14ac:dyDescent="0.3">
      <c r="CY13430" s="34" t="s">
        <v>14357</v>
      </c>
      <c r="CZ13430" s="35">
        <v>5.5974666666666673E-2</v>
      </c>
    </row>
    <row r="13431" spans="103:104" x14ac:dyDescent="0.3">
      <c r="CY13431" s="34" t="s">
        <v>14358</v>
      </c>
      <c r="CZ13431" s="35">
        <v>3.5834000000000005E-2</v>
      </c>
    </row>
    <row r="13432" spans="103:104" x14ac:dyDescent="0.3">
      <c r="CY13432" s="34" t="s">
        <v>14359</v>
      </c>
      <c r="CZ13432" s="35">
        <v>0.119124165</v>
      </c>
    </row>
    <row r="13433" spans="103:104" x14ac:dyDescent="0.3">
      <c r="CY13433" s="34" t="s">
        <v>14360</v>
      </c>
      <c r="CZ13433" s="35">
        <v>3.0338080000000003E-2</v>
      </c>
    </row>
    <row r="13434" spans="103:104" x14ac:dyDescent="0.3">
      <c r="CY13434" s="34" t="s">
        <v>14361</v>
      </c>
      <c r="CZ13434" s="35">
        <v>1.9005664000000002E-2</v>
      </c>
    </row>
    <row r="13435" spans="103:104" x14ac:dyDescent="0.3">
      <c r="CY13435" s="34" t="s">
        <v>14362</v>
      </c>
      <c r="CZ13435" s="35">
        <v>2.0769357575757576E-2</v>
      </c>
    </row>
    <row r="13436" spans="103:104" x14ac:dyDescent="0.3">
      <c r="CY13436" s="34" t="s">
        <v>14363</v>
      </c>
      <c r="CZ13436" s="35">
        <v>6.2409588888888888E-2</v>
      </c>
    </row>
    <row r="13437" spans="103:104" x14ac:dyDescent="0.3">
      <c r="CY13437" s="34" t="s">
        <v>14364</v>
      </c>
      <c r="CZ13437" s="35">
        <v>8.8803499999999987E-3</v>
      </c>
    </row>
    <row r="13438" spans="103:104" x14ac:dyDescent="0.3">
      <c r="CY13438" s="34" t="s">
        <v>14365</v>
      </c>
      <c r="CZ13438" s="35">
        <v>1.6761194666666667E-3</v>
      </c>
    </row>
    <row r="13439" spans="103:104" x14ac:dyDescent="0.3">
      <c r="CY13439" s="34" t="s">
        <v>14366</v>
      </c>
      <c r="CZ13439" s="35">
        <v>5.0220802499999998E-3</v>
      </c>
    </row>
    <row r="13440" spans="103:104" x14ac:dyDescent="0.3">
      <c r="CY13440" s="34" t="s">
        <v>14367</v>
      </c>
      <c r="CZ13440" s="35">
        <v>1.0716648607142859E-2</v>
      </c>
    </row>
    <row r="13441" spans="103:104" x14ac:dyDescent="0.3">
      <c r="CY13441" s="34" t="s">
        <v>14368</v>
      </c>
      <c r="CZ13441" s="35">
        <v>1.1537257846153847E-2</v>
      </c>
    </row>
    <row r="13442" spans="103:104" x14ac:dyDescent="0.3">
      <c r="CY13442" s="34" t="s">
        <v>14369</v>
      </c>
      <c r="CZ13442" s="35">
        <v>7.3785423333333336E-2</v>
      </c>
    </row>
    <row r="13443" spans="103:104" x14ac:dyDescent="0.3">
      <c r="CY13443" s="34" t="s">
        <v>14370</v>
      </c>
      <c r="CZ13443" s="35">
        <v>3.8455583333333328E-2</v>
      </c>
    </row>
    <row r="13444" spans="103:104" x14ac:dyDescent="0.3">
      <c r="CY13444" s="34" t="s">
        <v>14371</v>
      </c>
      <c r="CZ13444" s="35">
        <v>4.3257140221621623E-2</v>
      </c>
    </row>
    <row r="13445" spans="103:104" x14ac:dyDescent="0.3">
      <c r="CY13445" s="34" t="s">
        <v>14372</v>
      </c>
      <c r="CZ13445" s="35">
        <v>4.1610527333333334E-2</v>
      </c>
    </row>
    <row r="13446" spans="103:104" x14ac:dyDescent="0.3">
      <c r="CY13446" s="34" t="s">
        <v>14373</v>
      </c>
      <c r="CZ13446" s="35">
        <v>4.9301743333333335E-2</v>
      </c>
    </row>
    <row r="13447" spans="103:104" x14ac:dyDescent="0.3">
      <c r="CY13447" s="34" t="s">
        <v>14374</v>
      </c>
      <c r="CZ13447" s="35">
        <v>5.3272457148148149E-2</v>
      </c>
    </row>
    <row r="13448" spans="103:104" x14ac:dyDescent="0.3">
      <c r="CY13448" s="34" t="s">
        <v>14375</v>
      </c>
      <c r="CZ13448" s="35">
        <v>0.16100584000000001</v>
      </c>
    </row>
    <row r="13449" spans="103:104" x14ac:dyDescent="0.3">
      <c r="CY13449" s="34" t="s">
        <v>14376</v>
      </c>
      <c r="CZ13449" s="35">
        <v>0.16100584000000001</v>
      </c>
    </row>
    <row r="13450" spans="103:104" x14ac:dyDescent="0.3">
      <c r="CY13450" s="34" t="s">
        <v>14377</v>
      </c>
      <c r="CZ13450" s="35">
        <v>0.27831854</v>
      </c>
    </row>
    <row r="13451" spans="103:104" x14ac:dyDescent="0.3">
      <c r="CY13451" s="34" t="s">
        <v>14378</v>
      </c>
      <c r="CZ13451" s="35">
        <v>0.10713733328571429</v>
      </c>
    </row>
    <row r="13452" spans="103:104" x14ac:dyDescent="0.3">
      <c r="CY13452" s="34" t="s">
        <v>14379</v>
      </c>
      <c r="CZ13452" s="35">
        <v>0.11904148142857142</v>
      </c>
    </row>
    <row r="13453" spans="103:104" x14ac:dyDescent="0.3">
      <c r="CY13453" s="34" t="s">
        <v>14380</v>
      </c>
      <c r="CZ13453" s="35">
        <v>2.5307742500000001E-2</v>
      </c>
    </row>
    <row r="13454" spans="103:104" x14ac:dyDescent="0.3">
      <c r="CY13454" s="34" t="s">
        <v>14381</v>
      </c>
      <c r="CZ13454" s="35">
        <v>3.2791600000000001E-3</v>
      </c>
    </row>
    <row r="13455" spans="103:104" x14ac:dyDescent="0.3">
      <c r="CY13455" s="34" t="s">
        <v>14382</v>
      </c>
      <c r="CZ13455" s="35">
        <v>4.1255523720749995E-3</v>
      </c>
    </row>
    <row r="13456" spans="103:104" x14ac:dyDescent="0.3">
      <c r="CY13456" s="34" t="s">
        <v>14383</v>
      </c>
      <c r="CZ13456" s="35">
        <v>3.3519359999999998E-2</v>
      </c>
    </row>
    <row r="13457" spans="103:104" x14ac:dyDescent="0.3">
      <c r="CY13457" s="34" t="s">
        <v>14384</v>
      </c>
      <c r="CZ13457" s="35">
        <v>4.4888615E-2</v>
      </c>
    </row>
    <row r="13458" spans="103:104" x14ac:dyDescent="0.3">
      <c r="CY13458" s="34" t="s">
        <v>14385</v>
      </c>
      <c r="CZ13458" s="35">
        <v>3.287248E-3</v>
      </c>
    </row>
    <row r="13459" spans="103:104" x14ac:dyDescent="0.3">
      <c r="CY13459" s="34" t="s">
        <v>14386</v>
      </c>
      <c r="CZ13459" s="35">
        <v>3.8152559999999999E-3</v>
      </c>
    </row>
    <row r="13460" spans="103:104" x14ac:dyDescent="0.3">
      <c r="CY13460" s="34" t="s">
        <v>14387</v>
      </c>
      <c r="CZ13460" s="35">
        <v>5.6383680000000004E-3</v>
      </c>
    </row>
    <row r="13461" spans="103:104" x14ac:dyDescent="0.3">
      <c r="CY13461" s="34" t="s">
        <v>14388</v>
      </c>
      <c r="CZ13461" s="35">
        <v>5.6383680000000004E-3</v>
      </c>
    </row>
    <row r="13462" spans="103:104" x14ac:dyDescent="0.3">
      <c r="CY13462" s="34" t="s">
        <v>14389</v>
      </c>
      <c r="CZ13462" s="35">
        <v>5.2775200000000004E-4</v>
      </c>
    </row>
    <row r="13463" spans="103:104" x14ac:dyDescent="0.3">
      <c r="CY13463" s="34" t="s">
        <v>14390</v>
      </c>
      <c r="CZ13463" s="35">
        <v>4.847344E-3</v>
      </c>
    </row>
    <row r="13464" spans="103:104" x14ac:dyDescent="0.3">
      <c r="CY13464" s="34" t="s">
        <v>14391</v>
      </c>
      <c r="CZ13464" s="35">
        <v>0.13204210199999999</v>
      </c>
    </row>
    <row r="13465" spans="103:104" x14ac:dyDescent="0.3">
      <c r="CY13465" s="34" t="s">
        <v>14392</v>
      </c>
      <c r="CZ13465" s="35">
        <v>9.8318240000000012E-3</v>
      </c>
    </row>
    <row r="13466" spans="103:104" x14ac:dyDescent="0.3">
      <c r="CY13466" s="34" t="s">
        <v>14393</v>
      </c>
      <c r="CZ13466" s="35">
        <v>3.1059552000000002E-3</v>
      </c>
    </row>
    <row r="13467" spans="103:104" x14ac:dyDescent="0.3">
      <c r="CY13467" s="34" t="s">
        <v>14394</v>
      </c>
      <c r="CZ13467" s="35">
        <v>3.0644384000000002E-3</v>
      </c>
    </row>
    <row r="13468" spans="103:104" x14ac:dyDescent="0.3">
      <c r="CY13468" s="34" t="s">
        <v>14395</v>
      </c>
      <c r="CZ13468" s="35">
        <v>6.5507424000000009E-2</v>
      </c>
    </row>
    <row r="13469" spans="103:104" x14ac:dyDescent="0.3">
      <c r="CY13469" s="34" t="s">
        <v>14396</v>
      </c>
      <c r="CZ13469" s="35">
        <v>6.3381119999999999E-2</v>
      </c>
    </row>
    <row r="13470" spans="103:104" x14ac:dyDescent="0.3">
      <c r="CY13470" s="34" t="s">
        <v>14397</v>
      </c>
      <c r="CZ13470" s="35">
        <v>6.2333119999999999E-2</v>
      </c>
    </row>
    <row r="13471" spans="103:104" x14ac:dyDescent="0.3">
      <c r="CY13471" s="34" t="s">
        <v>14398</v>
      </c>
      <c r="CZ13471" s="35">
        <v>4.6218480000000006E-2</v>
      </c>
    </row>
    <row r="13472" spans="103:104" x14ac:dyDescent="0.3">
      <c r="CY13472" s="34" t="s">
        <v>14399</v>
      </c>
      <c r="CZ13472" s="35">
        <v>4.6218480000000006E-2</v>
      </c>
    </row>
    <row r="13473" spans="103:104" x14ac:dyDescent="0.3">
      <c r="CY13473" s="34" t="s">
        <v>14400</v>
      </c>
      <c r="CZ13473" s="35">
        <v>9.0696319999999993E-3</v>
      </c>
    </row>
    <row r="13474" spans="103:104" x14ac:dyDescent="0.3">
      <c r="CY13474" s="34" t="s">
        <v>14401</v>
      </c>
      <c r="CZ13474" s="35">
        <v>1.2052639999999999E-3</v>
      </c>
    </row>
    <row r="13475" spans="103:104" x14ac:dyDescent="0.3">
      <c r="CY13475" s="34" t="s">
        <v>14402</v>
      </c>
      <c r="CZ13475" s="35">
        <v>2.0989932599999997E-2</v>
      </c>
    </row>
    <row r="13476" spans="103:104" x14ac:dyDescent="0.3">
      <c r="CY13476" s="34" t="s">
        <v>14403</v>
      </c>
      <c r="CZ13476" s="35">
        <v>2.9069726675000001E-2</v>
      </c>
    </row>
    <row r="13477" spans="103:104" x14ac:dyDescent="0.3">
      <c r="CY13477" s="34" t="s">
        <v>14404</v>
      </c>
      <c r="CZ13477" s="35">
        <v>0.25447466666700003</v>
      </c>
    </row>
    <row r="13478" spans="103:104" x14ac:dyDescent="0.3">
      <c r="CY13478" s="34" t="s">
        <v>14405</v>
      </c>
      <c r="CZ13478" s="35">
        <v>0.29842679999999994</v>
      </c>
    </row>
    <row r="13479" spans="103:104" x14ac:dyDescent="0.3">
      <c r="CY13479" s="34" t="s">
        <v>14406</v>
      </c>
      <c r="CZ13479" s="35">
        <v>0.51259816000000002</v>
      </c>
    </row>
    <row r="13480" spans="103:104" x14ac:dyDescent="0.3">
      <c r="CY13480" s="34" t="s">
        <v>14407</v>
      </c>
      <c r="CZ13480" s="35">
        <v>0.31055319999999997</v>
      </c>
    </row>
    <row r="13481" spans="103:104" x14ac:dyDescent="0.3">
      <c r="CY13481" s="34" t="s">
        <v>14408</v>
      </c>
      <c r="CZ13481" s="35">
        <v>1.48361402E-2</v>
      </c>
    </row>
    <row r="13482" spans="103:104" x14ac:dyDescent="0.3">
      <c r="CY13482" s="34" t="s">
        <v>14409</v>
      </c>
      <c r="CZ13482" s="35">
        <v>3.1902973333333331E-3</v>
      </c>
    </row>
    <row r="13483" spans="103:104" x14ac:dyDescent="0.3">
      <c r="CY13483" s="34" t="s">
        <v>14410</v>
      </c>
      <c r="CZ13483" s="35">
        <v>2.9592209627659575E-3</v>
      </c>
    </row>
    <row r="13484" spans="103:104" x14ac:dyDescent="0.3">
      <c r="CY13484" s="34" t="s">
        <v>14411</v>
      </c>
      <c r="CZ13484" s="35">
        <v>5.4855161516666672E-3</v>
      </c>
    </row>
    <row r="13485" spans="103:104" x14ac:dyDescent="0.3">
      <c r="CY13485" s="34" t="s">
        <v>14412</v>
      </c>
      <c r="CZ13485" s="35">
        <v>5.4855161486666677E-3</v>
      </c>
    </row>
    <row r="13486" spans="103:104" x14ac:dyDescent="0.3">
      <c r="CY13486" s="34" t="s">
        <v>14413</v>
      </c>
      <c r="CZ13486" s="35">
        <v>5.2737721486666661E-3</v>
      </c>
    </row>
    <row r="13487" spans="103:104" x14ac:dyDescent="0.3">
      <c r="CY13487" s="34" t="s">
        <v>14414</v>
      </c>
      <c r="CZ13487" s="35">
        <v>5.0478277040000002E-3</v>
      </c>
    </row>
    <row r="13488" spans="103:104" x14ac:dyDescent="0.3">
      <c r="CY13488" s="34" t="s">
        <v>14415</v>
      </c>
      <c r="CZ13488" s="35">
        <v>4.825883264516129E-3</v>
      </c>
    </row>
    <row r="13489" spans="103:104" x14ac:dyDescent="0.3">
      <c r="CY13489" s="34" t="s">
        <v>14416</v>
      </c>
      <c r="CZ13489" s="35">
        <v>5.2737721476666666E-3</v>
      </c>
    </row>
    <row r="13490" spans="103:104" x14ac:dyDescent="0.3">
      <c r="CY13490" s="34" t="s">
        <v>14417</v>
      </c>
      <c r="CZ13490" s="35">
        <v>3.1902973333333331E-3</v>
      </c>
    </row>
    <row r="13491" spans="103:104" x14ac:dyDescent="0.3">
      <c r="CY13491" s="34" t="s">
        <v>14418</v>
      </c>
      <c r="CZ13491" s="35">
        <v>3.2309551666666668E-3</v>
      </c>
    </row>
    <row r="13492" spans="103:104" x14ac:dyDescent="0.3">
      <c r="CY13492" s="34" t="s">
        <v>14419</v>
      </c>
      <c r="CZ13492" s="35">
        <v>6.0241871666666669E-3</v>
      </c>
    </row>
    <row r="13493" spans="103:104" x14ac:dyDescent="0.3">
      <c r="CY13493" s="34" t="s">
        <v>14420</v>
      </c>
      <c r="CZ13493" s="35">
        <v>6.2565871571428578E-3</v>
      </c>
    </row>
    <row r="13494" spans="103:104" x14ac:dyDescent="0.3">
      <c r="CY13494" s="34" t="s">
        <v>14421</v>
      </c>
      <c r="CZ13494" s="35">
        <v>3.5461853333333335E-3</v>
      </c>
    </row>
    <row r="13495" spans="103:104" x14ac:dyDescent="0.3">
      <c r="CY13495" s="34" t="s">
        <v>14422</v>
      </c>
      <c r="CZ13495" s="35">
        <v>3.546185333333333E-3</v>
      </c>
    </row>
    <row r="13496" spans="103:104" x14ac:dyDescent="0.3">
      <c r="CY13496" s="34" t="s">
        <v>14423</v>
      </c>
      <c r="CZ13496" s="35">
        <v>9.3512512820512813E-4</v>
      </c>
    </row>
    <row r="13497" spans="103:104" x14ac:dyDescent="0.3">
      <c r="CY13497" s="34" t="s">
        <v>14424</v>
      </c>
      <c r="CZ13497" s="35">
        <v>0.53661500000000006</v>
      </c>
    </row>
    <row r="13498" spans="103:104" x14ac:dyDescent="0.3">
      <c r="CY13498" s="34" t="s">
        <v>14425</v>
      </c>
      <c r="CZ13498" s="35">
        <v>0.29443640000000004</v>
      </c>
    </row>
    <row r="13499" spans="103:104" x14ac:dyDescent="0.3">
      <c r="CY13499" s="34" t="s">
        <v>14426</v>
      </c>
      <c r="CZ13499" s="35">
        <v>1.1287720000000001E-2</v>
      </c>
    </row>
    <row r="13500" spans="103:104" x14ac:dyDescent="0.3">
      <c r="CY13500" s="34" t="s">
        <v>14427</v>
      </c>
      <c r="CZ13500" s="35">
        <v>7.5372939999999999E-2</v>
      </c>
    </row>
    <row r="13501" spans="103:104" x14ac:dyDescent="0.3">
      <c r="CY13501" s="34" t="s">
        <v>14428</v>
      </c>
      <c r="CZ13501" s="35">
        <v>1.8718477920000001E-2</v>
      </c>
    </row>
    <row r="13502" spans="103:104" x14ac:dyDescent="0.3">
      <c r="CY13502" s="34" t="s">
        <v>14429</v>
      </c>
      <c r="CZ13502" s="35">
        <v>1.5366683999999996E-3</v>
      </c>
    </row>
    <row r="13503" spans="103:104" x14ac:dyDescent="0.3">
      <c r="CY13503" s="34" t="s">
        <v>14430</v>
      </c>
      <c r="CZ13503" s="35">
        <v>6.8354400000000008E-3</v>
      </c>
    </row>
    <row r="13504" spans="103:104" x14ac:dyDescent="0.3">
      <c r="CY13504" s="34" t="s">
        <v>14431</v>
      </c>
      <c r="CZ13504" s="35">
        <v>1.9380906666666666E-2</v>
      </c>
    </row>
    <row r="13505" spans="103:104" x14ac:dyDescent="0.3">
      <c r="CY13505" s="34" t="s">
        <v>14432</v>
      </c>
      <c r="CZ13505" s="35">
        <v>1.2530493332999999</v>
      </c>
    </row>
    <row r="13506" spans="103:104" x14ac:dyDescent="0.3">
      <c r="CY13506" s="34" t="s">
        <v>14433</v>
      </c>
      <c r="CZ13506" s="35">
        <v>0.21602229166666667</v>
      </c>
    </row>
    <row r="13507" spans="103:104" x14ac:dyDescent="0.3">
      <c r="CY13507" s="34" t="s">
        <v>14434</v>
      </c>
      <c r="CZ13507" s="35">
        <v>0.1109454</v>
      </c>
    </row>
    <row r="13508" spans="103:104" x14ac:dyDescent="0.3">
      <c r="CY13508" s="34" t="s">
        <v>14435</v>
      </c>
      <c r="CZ13508" s="35">
        <v>6.4159751111111116E-3</v>
      </c>
    </row>
    <row r="13509" spans="103:104" x14ac:dyDescent="0.3">
      <c r="CY13509" s="34" t="s">
        <v>14436</v>
      </c>
      <c r="CZ13509" s="35">
        <v>7.3160919999999997E-3</v>
      </c>
    </row>
    <row r="13510" spans="103:104" x14ac:dyDescent="0.3">
      <c r="CY13510" s="34" t="s">
        <v>14437</v>
      </c>
      <c r="CZ13510" s="35">
        <v>6.6126391000000005E-3</v>
      </c>
    </row>
    <row r="13511" spans="103:104" x14ac:dyDescent="0.3">
      <c r="CY13511" s="34" t="s">
        <v>14438</v>
      </c>
      <c r="CZ13511" s="35">
        <v>5.7943751111111117E-3</v>
      </c>
    </row>
    <row r="13512" spans="103:104" x14ac:dyDescent="0.3">
      <c r="CY13512" s="34" t="s">
        <v>14439</v>
      </c>
      <c r="CZ13512" s="35">
        <v>7.5629550000000004E-2</v>
      </c>
    </row>
    <row r="13513" spans="103:104" x14ac:dyDescent="0.3">
      <c r="CY13513" s="34" t="s">
        <v>14440</v>
      </c>
      <c r="CZ13513" s="35">
        <v>2.4731087999999997E-3</v>
      </c>
    </row>
    <row r="13514" spans="103:104" x14ac:dyDescent="0.3">
      <c r="CY13514" s="34" t="s">
        <v>14441</v>
      </c>
      <c r="CZ13514" s="35">
        <v>1.8479367999999999E-3</v>
      </c>
    </row>
    <row r="13515" spans="103:104" x14ac:dyDescent="0.3">
      <c r="CY13515" s="34" t="s">
        <v>14442</v>
      </c>
      <c r="CZ13515" s="35">
        <v>4.4277994999999994E-2</v>
      </c>
    </row>
    <row r="13516" spans="103:104" x14ac:dyDescent="0.3">
      <c r="CY13516" s="34" t="s">
        <v>14443</v>
      </c>
      <c r="CZ13516" s="35">
        <v>3.8118424000000005E-2</v>
      </c>
    </row>
    <row r="13517" spans="103:104" x14ac:dyDescent="0.3">
      <c r="CY13517" s="34" t="s">
        <v>14444</v>
      </c>
      <c r="CZ13517" s="35">
        <v>2.4655499040000003E-3</v>
      </c>
    </row>
    <row r="13518" spans="103:104" x14ac:dyDescent="0.3">
      <c r="CY13518" s="34" t="s">
        <v>14445</v>
      </c>
      <c r="CZ13518" s="35">
        <v>2.292128E-3</v>
      </c>
    </row>
    <row r="13519" spans="103:104" x14ac:dyDescent="0.3">
      <c r="CY13519" s="34" t="s">
        <v>14446</v>
      </c>
      <c r="CZ13519" s="35">
        <v>5.7739447422680409E-3</v>
      </c>
    </row>
    <row r="13520" spans="103:104" x14ac:dyDescent="0.3">
      <c r="CY13520" s="34" t="s">
        <v>14447</v>
      </c>
      <c r="CZ13520" s="35">
        <v>3.1557532200000002E-2</v>
      </c>
    </row>
    <row r="13521" spans="103:104" x14ac:dyDescent="0.3">
      <c r="CY13521" s="34" t="s">
        <v>14448</v>
      </c>
      <c r="CZ13521" s="35">
        <v>6.5580583333333331E-2</v>
      </c>
    </row>
    <row r="13522" spans="103:104" x14ac:dyDescent="0.3">
      <c r="CY13522" s="34" t="s">
        <v>14449</v>
      </c>
      <c r="CZ13522" s="35">
        <v>1.8956535191999999E-2</v>
      </c>
    </row>
    <row r="13523" spans="103:104" x14ac:dyDescent="0.3">
      <c r="CY13523" s="34" t="s">
        <v>14450</v>
      </c>
      <c r="CZ13523" s="35">
        <v>6.560062333333333E-2</v>
      </c>
    </row>
    <row r="13524" spans="103:104" x14ac:dyDescent="0.3">
      <c r="CY13524" s="34" t="s">
        <v>14451</v>
      </c>
      <c r="CZ13524" s="35">
        <v>5.2816319333333327E-2</v>
      </c>
    </row>
    <row r="13525" spans="103:104" x14ac:dyDescent="0.3">
      <c r="CY13525" s="34" t="s">
        <v>14452</v>
      </c>
      <c r="CZ13525" s="35">
        <v>3.2263600000000002E-3</v>
      </c>
    </row>
    <row r="13526" spans="103:104" x14ac:dyDescent="0.3">
      <c r="CY13526" s="34" t="s">
        <v>14453</v>
      </c>
      <c r="CZ13526" s="35">
        <v>1.1971664000000001E-3</v>
      </c>
    </row>
    <row r="13527" spans="103:104" x14ac:dyDescent="0.3">
      <c r="CY13527" s="34" t="s">
        <v>14454</v>
      </c>
      <c r="CZ13527" s="35">
        <v>0.11711139403292181</v>
      </c>
    </row>
    <row r="13528" spans="103:104" x14ac:dyDescent="0.3">
      <c r="CY13528" s="34" t="s">
        <v>14455</v>
      </c>
      <c r="CZ13528" s="35">
        <v>1.6099999999999999E-3</v>
      </c>
    </row>
    <row r="13529" spans="103:104" x14ac:dyDescent="0.3">
      <c r="CY13529" s="34" t="s">
        <v>14456</v>
      </c>
      <c r="CZ13529" s="35">
        <v>1.6135879999999998E-2</v>
      </c>
    </row>
    <row r="13530" spans="103:104" x14ac:dyDescent="0.3">
      <c r="CY13530" s="34" t="s">
        <v>14457</v>
      </c>
      <c r="CZ13530" s="35">
        <v>2.7038000000000001E-3</v>
      </c>
    </row>
    <row r="13531" spans="103:104" x14ac:dyDescent="0.3">
      <c r="CY13531" s="34" t="s">
        <v>14458</v>
      </c>
      <c r="CZ13531" s="35">
        <v>5.262124E-2</v>
      </c>
    </row>
    <row r="13532" spans="103:104" x14ac:dyDescent="0.3">
      <c r="CY13532" s="34" t="s">
        <v>14459</v>
      </c>
      <c r="CZ13532" s="35">
        <v>4.4803219999999998E-2</v>
      </c>
    </row>
    <row r="13533" spans="103:104" x14ac:dyDescent="0.3">
      <c r="CY13533" s="34" t="s">
        <v>14460</v>
      </c>
      <c r="CZ13533" s="35">
        <v>3.4519840000000003E-2</v>
      </c>
    </row>
    <row r="13534" spans="103:104" x14ac:dyDescent="0.3">
      <c r="CY13534" s="34" t="s">
        <v>14461</v>
      </c>
      <c r="CZ13534" s="35">
        <v>1.0488952000000003E-2</v>
      </c>
    </row>
    <row r="13535" spans="103:104" x14ac:dyDescent="0.3">
      <c r="CY13535" s="34" t="s">
        <v>14462</v>
      </c>
      <c r="CZ13535" s="35">
        <v>5.6987720000000004E-3</v>
      </c>
    </row>
    <row r="13536" spans="103:104" x14ac:dyDescent="0.3">
      <c r="CY13536" s="34" t="s">
        <v>14463</v>
      </c>
      <c r="CZ13536" s="35">
        <v>7.2802480000000004E-3</v>
      </c>
    </row>
    <row r="13537" spans="103:104" x14ac:dyDescent="0.3">
      <c r="CY13537" s="34" t="s">
        <v>14464</v>
      </c>
      <c r="CZ13537" s="35">
        <v>3.9769866799999999E-3</v>
      </c>
    </row>
    <row r="13538" spans="103:104" x14ac:dyDescent="0.3">
      <c r="CY13538" s="34" t="s">
        <v>14465</v>
      </c>
      <c r="CZ13538" s="35">
        <v>7.29672E-4</v>
      </c>
    </row>
    <row r="13539" spans="103:104" x14ac:dyDescent="0.3">
      <c r="CY13539" s="34" t="s">
        <v>14466</v>
      </c>
      <c r="CZ13539" s="35">
        <v>0.29050940000000003</v>
      </c>
    </row>
    <row r="13540" spans="103:104" x14ac:dyDescent="0.3">
      <c r="CY13540" s="34" t="s">
        <v>14467</v>
      </c>
      <c r="CZ13540" s="35">
        <v>1.1916679999999999E-3</v>
      </c>
    </row>
    <row r="13541" spans="103:104" x14ac:dyDescent="0.3">
      <c r="CY13541" s="34" t="s">
        <v>14468</v>
      </c>
      <c r="CZ13541" s="35">
        <v>1.8049480000000003E-2</v>
      </c>
    </row>
    <row r="13542" spans="103:104" x14ac:dyDescent="0.3">
      <c r="CY13542" s="34" t="s">
        <v>14469</v>
      </c>
      <c r="CZ13542" s="35">
        <v>7.6524640000000003E-3</v>
      </c>
    </row>
    <row r="13543" spans="103:104" x14ac:dyDescent="0.3">
      <c r="CY13543" s="34" t="s">
        <v>14470</v>
      </c>
      <c r="CZ13543" s="35">
        <v>5.7240919999999992E-3</v>
      </c>
    </row>
    <row r="13544" spans="103:104" x14ac:dyDescent="0.3">
      <c r="CY13544" s="34" t="s">
        <v>14471</v>
      </c>
      <c r="CZ13544" s="35">
        <v>5.0041E-3</v>
      </c>
    </row>
    <row r="13545" spans="103:104" x14ac:dyDescent="0.3">
      <c r="CY13545" s="34" t="s">
        <v>14472</v>
      </c>
      <c r="CZ13545" s="35">
        <v>1.8237493333333333E-3</v>
      </c>
    </row>
    <row r="13546" spans="103:104" x14ac:dyDescent="0.3">
      <c r="CY13546" s="34" t="s">
        <v>14473</v>
      </c>
      <c r="CZ13546" s="35">
        <v>1.38884E-2</v>
      </c>
    </row>
    <row r="13547" spans="103:104" x14ac:dyDescent="0.3">
      <c r="CY13547" s="34" t="s">
        <v>14474</v>
      </c>
      <c r="CZ13547" s="35">
        <v>7.3232800000000001E-2</v>
      </c>
    </row>
    <row r="13548" spans="103:104" x14ac:dyDescent="0.3">
      <c r="CY13548" s="34" t="s">
        <v>14475</v>
      </c>
      <c r="CZ13548" s="35">
        <v>4.4507840000000002E-3</v>
      </c>
    </row>
    <row r="13549" spans="103:104" x14ac:dyDescent="0.3">
      <c r="CY13549" s="34" t="s">
        <v>14476</v>
      </c>
      <c r="CZ13549" s="35">
        <v>6.307122133333333E-2</v>
      </c>
    </row>
    <row r="13550" spans="103:104" x14ac:dyDescent="0.3">
      <c r="CY13550" s="34" t="s">
        <v>14477</v>
      </c>
      <c r="CZ13550" s="35">
        <v>5.342417075E-2</v>
      </c>
    </row>
    <row r="13551" spans="103:104" x14ac:dyDescent="0.3">
      <c r="CY13551" s="34" t="s">
        <v>14478</v>
      </c>
      <c r="CZ13551" s="35">
        <v>9.6282499999999997E-3</v>
      </c>
    </row>
    <row r="13552" spans="103:104" x14ac:dyDescent="0.3">
      <c r="CY13552" s="34" t="s">
        <v>14479</v>
      </c>
      <c r="CZ13552" s="35">
        <v>4.3008879999999992E-3</v>
      </c>
    </row>
    <row r="13553" spans="103:104" x14ac:dyDescent="0.3">
      <c r="CY13553" s="34" t="s">
        <v>14480</v>
      </c>
      <c r="CZ13553" s="35">
        <v>3.9177440000000001E-2</v>
      </c>
    </row>
    <row r="13554" spans="103:104" x14ac:dyDescent="0.3">
      <c r="CY13554" s="34" t="s">
        <v>14481</v>
      </c>
      <c r="CZ13554" s="35">
        <v>8.6587959999999999E-3</v>
      </c>
    </row>
    <row r="13555" spans="103:104" x14ac:dyDescent="0.3">
      <c r="CY13555" s="34" t="s">
        <v>14482</v>
      </c>
      <c r="CZ13555" s="35">
        <v>7.5086240000000012E-2</v>
      </c>
    </row>
    <row r="13556" spans="103:104" x14ac:dyDescent="0.3">
      <c r="CY13556" s="34" t="s">
        <v>14483</v>
      </c>
      <c r="CZ13556" s="35">
        <v>4.2753039999999999E-2</v>
      </c>
    </row>
    <row r="13557" spans="103:104" x14ac:dyDescent="0.3">
      <c r="CY13557" s="34" t="s">
        <v>14484</v>
      </c>
      <c r="CZ13557" s="35">
        <v>1.5933772000000002E-2</v>
      </c>
    </row>
    <row r="13558" spans="103:104" x14ac:dyDescent="0.3">
      <c r="CY13558" s="34" t="s">
        <v>14485</v>
      </c>
      <c r="CZ13558" s="35">
        <v>0.78600247999999995</v>
      </c>
    </row>
    <row r="13559" spans="103:104" x14ac:dyDescent="0.3">
      <c r="CY13559" s="34" t="s">
        <v>14486</v>
      </c>
      <c r="CZ13559" s="35">
        <v>0.71257744000000001</v>
      </c>
    </row>
    <row r="13560" spans="103:104" x14ac:dyDescent="0.3">
      <c r="CY13560" s="34" t="s">
        <v>14487</v>
      </c>
      <c r="CZ13560" s="35">
        <v>0.14265580928555557</v>
      </c>
    </row>
    <row r="13561" spans="103:104" x14ac:dyDescent="0.3">
      <c r="CY13561" s="34" t="s">
        <v>14488</v>
      </c>
      <c r="CZ13561" s="35">
        <v>0.15283988569840742</v>
      </c>
    </row>
    <row r="13562" spans="103:104" x14ac:dyDescent="0.3">
      <c r="CY13562" s="34" t="s">
        <v>14489</v>
      </c>
      <c r="CZ13562" s="35">
        <v>5.6055360000000005E-2</v>
      </c>
    </row>
    <row r="13563" spans="103:104" x14ac:dyDescent="0.3">
      <c r="CY13563" s="34" t="s">
        <v>14490</v>
      </c>
      <c r="CZ13563" s="35">
        <v>6.2101920000000005E-2</v>
      </c>
    </row>
    <row r="13564" spans="103:104" x14ac:dyDescent="0.3">
      <c r="CY13564" s="34" t="s">
        <v>14491</v>
      </c>
      <c r="CZ13564" s="35">
        <v>1.0387092000000001E-2</v>
      </c>
    </row>
    <row r="13565" spans="103:104" x14ac:dyDescent="0.3">
      <c r="CY13565" s="34" t="s">
        <v>14492</v>
      </c>
      <c r="CZ13565" s="35">
        <v>1.6274335000000001E-2</v>
      </c>
    </row>
    <row r="13566" spans="103:104" x14ac:dyDescent="0.3">
      <c r="CY13566" s="34" t="s">
        <v>14493</v>
      </c>
      <c r="CZ13566" s="35">
        <v>9.0488419999999996E-3</v>
      </c>
    </row>
    <row r="13567" spans="103:104" x14ac:dyDescent="0.3">
      <c r="CY13567" s="34" t="s">
        <v>14494</v>
      </c>
      <c r="CZ13567" s="35">
        <v>4.2240359999999998E-2</v>
      </c>
    </row>
    <row r="13568" spans="103:104" x14ac:dyDescent="0.3">
      <c r="CY13568" s="34" t="s">
        <v>14495</v>
      </c>
      <c r="CZ13568" s="35">
        <v>3.7068440000000001E-2</v>
      </c>
    </row>
    <row r="13569" spans="103:104" x14ac:dyDescent="0.3">
      <c r="CY13569" s="34" t="s">
        <v>14496</v>
      </c>
      <c r="CZ13569" s="35">
        <v>4.2757551999999997E-2</v>
      </c>
    </row>
    <row r="13570" spans="103:104" x14ac:dyDescent="0.3">
      <c r="CY13570" s="34" t="s">
        <v>14497</v>
      </c>
      <c r="CZ13570" s="35">
        <v>3.8102824E-2</v>
      </c>
    </row>
    <row r="13571" spans="103:104" x14ac:dyDescent="0.3">
      <c r="CY13571" s="34" t="s">
        <v>14498</v>
      </c>
      <c r="CZ13571" s="35">
        <v>4.5737255999999997E-2</v>
      </c>
    </row>
    <row r="13572" spans="103:104" x14ac:dyDescent="0.3">
      <c r="CY13572" s="34" t="s">
        <v>14499</v>
      </c>
      <c r="CZ13572" s="35">
        <v>4.1657960000000001E-2</v>
      </c>
    </row>
    <row r="13573" spans="103:104" x14ac:dyDescent="0.3">
      <c r="CY13573" s="34" t="s">
        <v>14500</v>
      </c>
      <c r="CZ13573" s="35">
        <v>3.7578663999999991E-2</v>
      </c>
    </row>
    <row r="13574" spans="103:104" x14ac:dyDescent="0.3">
      <c r="CY13574" s="34" t="s">
        <v>14501</v>
      </c>
      <c r="CZ13574" s="35">
        <v>4.6757079999999999E-2</v>
      </c>
    </row>
    <row r="13575" spans="103:104" x14ac:dyDescent="0.3">
      <c r="CY13575" s="34" t="s">
        <v>14502</v>
      </c>
      <c r="CZ13575" s="35">
        <v>6.76316E-2</v>
      </c>
    </row>
    <row r="13576" spans="103:104" x14ac:dyDescent="0.3">
      <c r="CY13576" s="34" t="s">
        <v>14503</v>
      </c>
      <c r="CZ13576" s="35">
        <v>5.5830653333333334E-2</v>
      </c>
    </row>
    <row r="13577" spans="103:104" x14ac:dyDescent="0.3">
      <c r="CY13577" s="34" t="s">
        <v>14504</v>
      </c>
      <c r="CZ13577" s="35">
        <v>1.2449692543209876E-2</v>
      </c>
    </row>
    <row r="13578" spans="103:104" x14ac:dyDescent="0.3">
      <c r="CY13578" s="34" t="s">
        <v>14505</v>
      </c>
      <c r="CZ13578" s="35">
        <v>1.4457807743209875E-2</v>
      </c>
    </row>
    <row r="13579" spans="103:104" x14ac:dyDescent="0.3">
      <c r="CY13579" s="34" t="s">
        <v>14506</v>
      </c>
      <c r="CZ13579" s="35">
        <v>3.6651184000000003E-2</v>
      </c>
    </row>
    <row r="13580" spans="103:104" x14ac:dyDescent="0.3">
      <c r="CY13580" s="34" t="s">
        <v>14507</v>
      </c>
      <c r="CZ13580" s="35">
        <v>1.1180544E-3</v>
      </c>
    </row>
    <row r="13581" spans="103:104" x14ac:dyDescent="0.3">
      <c r="CY13581" s="34" t="s">
        <v>14508</v>
      </c>
      <c r="CZ13581" s="35">
        <v>4.0994008000000003E-4</v>
      </c>
    </row>
    <row r="13582" spans="103:104" x14ac:dyDescent="0.3">
      <c r="CY13582" s="34" t="s">
        <v>14509</v>
      </c>
      <c r="CZ13582" s="35">
        <v>6.5013599999999994E-3</v>
      </c>
    </row>
    <row r="13583" spans="103:104" x14ac:dyDescent="0.3">
      <c r="CY13583" s="34" t="s">
        <v>14510</v>
      </c>
      <c r="CZ13583" s="35">
        <v>1.2449692543209876E-2</v>
      </c>
    </row>
    <row r="13584" spans="103:104" x14ac:dyDescent="0.3">
      <c r="CY13584" s="34" t="s">
        <v>14511</v>
      </c>
      <c r="CZ13584" s="35">
        <v>1.4457807743209875E-2</v>
      </c>
    </row>
    <row r="13585" spans="103:104" x14ac:dyDescent="0.3">
      <c r="CY13585" s="34" t="s">
        <v>14512</v>
      </c>
      <c r="CZ13585" s="35">
        <v>6.9518159999999996E-2</v>
      </c>
    </row>
    <row r="13586" spans="103:104" x14ac:dyDescent="0.3">
      <c r="CY13586" s="34" t="s">
        <v>14513</v>
      </c>
      <c r="CZ13586" s="35">
        <v>3.1136788000000006E-2</v>
      </c>
    </row>
    <row r="13587" spans="103:104" x14ac:dyDescent="0.3">
      <c r="CY13587" s="34" t="s">
        <v>14514</v>
      </c>
      <c r="CZ13587" s="35">
        <v>6.8388719999999986E-2</v>
      </c>
    </row>
    <row r="13588" spans="103:104" x14ac:dyDescent="0.3">
      <c r="CY13588" s="34" t="s">
        <v>14515</v>
      </c>
      <c r="CZ13588" s="35">
        <v>0.85625275999999995</v>
      </c>
    </row>
    <row r="13589" spans="103:104" x14ac:dyDescent="0.3">
      <c r="CY13589" s="34" t="s">
        <v>14516</v>
      </c>
      <c r="CZ13589" s="35">
        <v>3.1921600000000003E-3</v>
      </c>
    </row>
    <row r="13590" spans="103:104" x14ac:dyDescent="0.3">
      <c r="CY13590" s="34" t="s">
        <v>14517</v>
      </c>
      <c r="CZ13590" s="35">
        <v>6.7603887999999987E-2</v>
      </c>
    </row>
    <row r="13591" spans="103:104" x14ac:dyDescent="0.3">
      <c r="CY13591" s="34" t="s">
        <v>14518</v>
      </c>
      <c r="CZ13591" s="35">
        <v>6.6586792000000006E-2</v>
      </c>
    </row>
    <row r="13592" spans="103:104" x14ac:dyDescent="0.3">
      <c r="CY13592" s="34" t="s">
        <v>14519</v>
      </c>
      <c r="CZ13592" s="35">
        <v>2.33096E-2</v>
      </c>
    </row>
    <row r="13593" spans="103:104" x14ac:dyDescent="0.3">
      <c r="CY13593" s="34" t="s">
        <v>14520</v>
      </c>
      <c r="CZ13593" s="35">
        <v>2.33096E-2</v>
      </c>
    </row>
    <row r="13594" spans="103:104" x14ac:dyDescent="0.3">
      <c r="CY13594" s="34" t="s">
        <v>14521</v>
      </c>
      <c r="CZ13594" s="35">
        <v>1.5289728000000002E-2</v>
      </c>
    </row>
    <row r="13595" spans="103:104" x14ac:dyDescent="0.3">
      <c r="CY13595" s="34" t="s">
        <v>14522</v>
      </c>
      <c r="CZ13595" s="35">
        <v>5.4925999999999987E-4</v>
      </c>
    </row>
    <row r="13596" spans="103:104" x14ac:dyDescent="0.3">
      <c r="CY13596" s="34" t="s">
        <v>14523</v>
      </c>
      <c r="CZ13596" s="35">
        <v>3.7300799999999998E-3</v>
      </c>
    </row>
    <row r="13597" spans="103:104" x14ac:dyDescent="0.3">
      <c r="CY13597" s="34" t="s">
        <v>14524</v>
      </c>
      <c r="CZ13597" s="35">
        <v>3.7300799999999998E-3</v>
      </c>
    </row>
    <row r="13598" spans="103:104" x14ac:dyDescent="0.3">
      <c r="CY13598" s="34" t="s">
        <v>14525</v>
      </c>
      <c r="CZ13598" s="35">
        <v>0.32678933333333332</v>
      </c>
    </row>
    <row r="13599" spans="103:104" x14ac:dyDescent="0.3">
      <c r="CY13599" s="34" t="s">
        <v>14526</v>
      </c>
      <c r="CZ13599" s="35">
        <v>0.4231061333333333</v>
      </c>
    </row>
    <row r="13600" spans="103:104" x14ac:dyDescent="0.3">
      <c r="CY13600" s="34" t="s">
        <v>14527</v>
      </c>
      <c r="CZ13600" s="35">
        <v>3.0939649999999999E-2</v>
      </c>
    </row>
    <row r="13601" spans="103:104" x14ac:dyDescent="0.3">
      <c r="CY13601" s="34" t="s">
        <v>14528</v>
      </c>
      <c r="CZ13601" s="35">
        <v>0.19788150000000002</v>
      </c>
    </row>
    <row r="13602" spans="103:104" x14ac:dyDescent="0.3">
      <c r="CY13602" s="34" t="s">
        <v>14529</v>
      </c>
      <c r="CZ13602" s="35">
        <v>0.22912252</v>
      </c>
    </row>
    <row r="13603" spans="103:104" x14ac:dyDescent="0.3">
      <c r="CY13603" s="34" t="s">
        <v>14530</v>
      </c>
      <c r="CZ13603" s="35">
        <v>0.25713596</v>
      </c>
    </row>
    <row r="13604" spans="103:104" x14ac:dyDescent="0.3">
      <c r="CY13604" s="34" t="s">
        <v>14531</v>
      </c>
      <c r="CZ13604" s="35">
        <v>4.7213353142857141E-4</v>
      </c>
    </row>
    <row r="13605" spans="103:104" x14ac:dyDescent="0.3">
      <c r="CY13605" s="34" t="s">
        <v>14532</v>
      </c>
      <c r="CZ13605" s="35">
        <v>6.6682333333333331E-3</v>
      </c>
    </row>
    <row r="13606" spans="103:104" x14ac:dyDescent="0.3">
      <c r="CY13606" s="34" t="s">
        <v>14533</v>
      </c>
      <c r="CZ13606" s="35">
        <v>0.39742624615555555</v>
      </c>
    </row>
    <row r="13607" spans="103:104" x14ac:dyDescent="0.3">
      <c r="CY13607" s="34" t="s">
        <v>14534</v>
      </c>
      <c r="CZ13607" s="35">
        <v>0.28878023333333336</v>
      </c>
    </row>
    <row r="13608" spans="103:104" x14ac:dyDescent="0.3">
      <c r="CY13608" s="34" t="s">
        <v>14535</v>
      </c>
      <c r="CZ13608" s="35">
        <v>7.192951111111112E-4</v>
      </c>
    </row>
    <row r="13609" spans="103:104" x14ac:dyDescent="0.3">
      <c r="CY13609" s="34" t="s">
        <v>14536</v>
      </c>
      <c r="CZ13609" s="35">
        <v>1.3023824E-2</v>
      </c>
    </row>
    <row r="13610" spans="103:104" x14ac:dyDescent="0.3">
      <c r="CY13610" s="34" t="s">
        <v>14537</v>
      </c>
      <c r="CZ13610" s="35">
        <v>1.2481528E-2</v>
      </c>
    </row>
    <row r="13611" spans="103:104" x14ac:dyDescent="0.3">
      <c r="CY13611" s="34" t="s">
        <v>14538</v>
      </c>
      <c r="CZ13611" s="35">
        <v>1.0181841999999998E-2</v>
      </c>
    </row>
    <row r="13612" spans="103:104" x14ac:dyDescent="0.3">
      <c r="CY13612" s="34" t="s">
        <v>14539</v>
      </c>
      <c r="CZ13612" s="35">
        <v>1.0181841999999998E-2</v>
      </c>
    </row>
    <row r="13613" spans="103:104" x14ac:dyDescent="0.3">
      <c r="CY13613" s="34" t="s">
        <v>14540</v>
      </c>
      <c r="CZ13613" s="35">
        <v>2.7943999999999998E-3</v>
      </c>
    </row>
    <row r="13614" spans="103:104" x14ac:dyDescent="0.3">
      <c r="CY13614" s="34" t="s">
        <v>14541</v>
      </c>
      <c r="CZ13614" s="35">
        <v>8.5327600000000003E-2</v>
      </c>
    </row>
    <row r="13615" spans="103:104" x14ac:dyDescent="0.3">
      <c r="CY13615" s="34" t="s">
        <v>14542</v>
      </c>
      <c r="CZ13615" s="35">
        <v>0.11906725335</v>
      </c>
    </row>
    <row r="13616" spans="103:104" x14ac:dyDescent="0.3">
      <c r="CY13616" s="34" t="s">
        <v>14543</v>
      </c>
      <c r="CZ13616" s="35">
        <v>0.18271251999999999</v>
      </c>
    </row>
    <row r="13617" spans="103:104" x14ac:dyDescent="0.3">
      <c r="CY13617" s="34" t="s">
        <v>14544</v>
      </c>
      <c r="CZ13617" s="35">
        <v>0.15794897777777778</v>
      </c>
    </row>
    <row r="13618" spans="103:104" x14ac:dyDescent="0.3">
      <c r="CY13618" s="34" t="s">
        <v>14545</v>
      </c>
      <c r="CZ13618" s="35">
        <v>0.10515576</v>
      </c>
    </row>
    <row r="13619" spans="103:104" x14ac:dyDescent="0.3">
      <c r="CY13619" s="34" t="s">
        <v>14546</v>
      </c>
      <c r="CZ13619" s="35">
        <v>4.9991759999999996E-2</v>
      </c>
    </row>
    <row r="13620" spans="103:104" x14ac:dyDescent="0.3">
      <c r="CY13620" s="34" t="s">
        <v>14547</v>
      </c>
      <c r="CZ13620" s="35">
        <v>0.39742624615555555</v>
      </c>
    </row>
    <row r="13621" spans="103:104" x14ac:dyDescent="0.3">
      <c r="CY13621" s="34" t="s">
        <v>14548</v>
      </c>
      <c r="CZ13621" s="35">
        <v>0.39742624615555555</v>
      </c>
    </row>
    <row r="13622" spans="103:104" x14ac:dyDescent="0.3">
      <c r="CY13622" s="34" t="s">
        <v>14549</v>
      </c>
      <c r="CZ13622" s="35">
        <v>2.0077666666666669</v>
      </c>
    </row>
    <row r="13623" spans="103:104" x14ac:dyDescent="0.3">
      <c r="CY13623" s="34" t="s">
        <v>14550</v>
      </c>
      <c r="CZ13623" s="35">
        <v>3.047058823529412E-4</v>
      </c>
    </row>
    <row r="13624" spans="103:104" x14ac:dyDescent="0.3">
      <c r="CY13624" s="34" t="s">
        <v>14551</v>
      </c>
      <c r="CZ13624" s="35">
        <v>0.23332700000000001</v>
      </c>
    </row>
    <row r="13625" spans="103:104" x14ac:dyDescent="0.3">
      <c r="CY13625" s="34" t="s">
        <v>14552</v>
      </c>
      <c r="CZ13625" s="35">
        <v>4.3769460000000003E-2</v>
      </c>
    </row>
    <row r="13626" spans="103:104" x14ac:dyDescent="0.3">
      <c r="CY13626" s="34" t="s">
        <v>14553</v>
      </c>
      <c r="CZ13626" s="35">
        <v>4.1828319999999995E-2</v>
      </c>
    </row>
    <row r="13627" spans="103:104" x14ac:dyDescent="0.3">
      <c r="CY13627" s="34" t="s">
        <v>14554</v>
      </c>
      <c r="CZ13627" s="35">
        <v>0.13846232</v>
      </c>
    </row>
    <row r="13628" spans="103:104" x14ac:dyDescent="0.3">
      <c r="CY13628" s="34" t="s">
        <v>14555</v>
      </c>
      <c r="CZ13628" s="35">
        <v>0.13846231999999997</v>
      </c>
    </row>
    <row r="13629" spans="103:104" x14ac:dyDescent="0.3">
      <c r="CY13629" s="34" t="s">
        <v>14556</v>
      </c>
      <c r="CZ13629" s="35">
        <v>1.9567904000000001E-2</v>
      </c>
    </row>
    <row r="13630" spans="103:104" x14ac:dyDescent="0.3">
      <c r="CY13630" s="34" t="s">
        <v>14557</v>
      </c>
      <c r="CZ13630" s="35">
        <v>0.11584072000000001</v>
      </c>
    </row>
    <row r="13631" spans="103:104" x14ac:dyDescent="0.3">
      <c r="CY13631" s="34" t="s">
        <v>14558</v>
      </c>
      <c r="CZ13631" s="35">
        <v>1.6350607999999997E-3</v>
      </c>
    </row>
    <row r="13632" spans="103:104" x14ac:dyDescent="0.3">
      <c r="CY13632" s="34" t="s">
        <v>14559</v>
      </c>
      <c r="CZ13632" s="35">
        <v>0.10713093333333333</v>
      </c>
    </row>
    <row r="13633" spans="103:104" x14ac:dyDescent="0.3">
      <c r="CY13633" s="34" t="s">
        <v>14560</v>
      </c>
      <c r="CZ13633" s="35">
        <v>5.1108421333333341E-2</v>
      </c>
    </row>
    <row r="13634" spans="103:104" x14ac:dyDescent="0.3">
      <c r="CY13634" s="34" t="s">
        <v>14561</v>
      </c>
      <c r="CZ13634" s="35">
        <v>8.3031844375000014E-3</v>
      </c>
    </row>
    <row r="13635" spans="103:104" x14ac:dyDescent="0.3">
      <c r="CY13635" s="34" t="s">
        <v>14562</v>
      </c>
      <c r="CZ13635" s="35">
        <v>4.1296711119999996E-2</v>
      </c>
    </row>
    <row r="13636" spans="103:104" x14ac:dyDescent="0.3">
      <c r="CY13636" s="34" t="s">
        <v>14563</v>
      </c>
      <c r="CZ13636" s="35">
        <v>4.0611979381443293E-2</v>
      </c>
    </row>
    <row r="13637" spans="103:104" x14ac:dyDescent="0.3">
      <c r="CY13637" s="34" t="s">
        <v>14564</v>
      </c>
      <c r="CZ13637" s="35">
        <v>1.4757731958762888E-3</v>
      </c>
    </row>
    <row r="13638" spans="103:104" x14ac:dyDescent="0.3">
      <c r="CY13638" s="34" t="s">
        <v>14565</v>
      </c>
      <c r="CZ13638" s="35">
        <v>6.8508797250824739E-3</v>
      </c>
    </row>
    <row r="13639" spans="103:104" x14ac:dyDescent="0.3">
      <c r="CY13639" s="34" t="s">
        <v>14566</v>
      </c>
      <c r="CZ13639" s="35">
        <v>6.1214814432989699E-2</v>
      </c>
    </row>
    <row r="13640" spans="103:104" x14ac:dyDescent="0.3">
      <c r="CY13640" s="34" t="s">
        <v>14567</v>
      </c>
      <c r="CZ13640" s="35">
        <v>6.1176154639175272E-2</v>
      </c>
    </row>
    <row r="13641" spans="103:104" x14ac:dyDescent="0.3">
      <c r="CY13641" s="34" t="s">
        <v>14568</v>
      </c>
      <c r="CZ13641" s="35">
        <v>4.0586206185567006E-2</v>
      </c>
    </row>
    <row r="13642" spans="103:104" x14ac:dyDescent="0.3">
      <c r="CY13642" s="34" t="s">
        <v>14569</v>
      </c>
      <c r="CZ13642" s="35">
        <v>4.2360086597938149E-2</v>
      </c>
    </row>
    <row r="13643" spans="103:104" x14ac:dyDescent="0.3">
      <c r="CY13643" s="34" t="s">
        <v>14570</v>
      </c>
      <c r="CZ13643" s="35">
        <v>4.2360086597938149E-2</v>
      </c>
    </row>
    <row r="13644" spans="103:104" x14ac:dyDescent="0.3">
      <c r="CY13644" s="34" t="s">
        <v>14571</v>
      </c>
      <c r="CZ13644" s="35">
        <v>4.167990515463918E-2</v>
      </c>
    </row>
    <row r="13645" spans="103:104" x14ac:dyDescent="0.3">
      <c r="CY13645" s="34" t="s">
        <v>14572</v>
      </c>
      <c r="CZ13645" s="35">
        <v>5.8673296E-2</v>
      </c>
    </row>
    <row r="13646" spans="103:104" x14ac:dyDescent="0.3">
      <c r="CY13646" s="34" t="s">
        <v>14573</v>
      </c>
      <c r="CZ13646" s="35">
        <v>9.0927400000000005E-2</v>
      </c>
    </row>
    <row r="13647" spans="103:104" x14ac:dyDescent="0.3">
      <c r="CY13647" s="34" t="s">
        <v>14574</v>
      </c>
      <c r="CZ13647" s="35">
        <v>0.1728978934</v>
      </c>
    </row>
    <row r="13648" spans="103:104" x14ac:dyDescent="0.3">
      <c r="CY13648" s="34" t="s">
        <v>14575</v>
      </c>
      <c r="CZ13648" s="35">
        <v>1.3588457759999999E-2</v>
      </c>
    </row>
    <row r="13649" spans="103:104" x14ac:dyDescent="0.3">
      <c r="CY13649" s="34" t="s">
        <v>14576</v>
      </c>
      <c r="CZ13649" s="35">
        <v>1.3588457759999999E-2</v>
      </c>
    </row>
    <row r="13650" spans="103:104" x14ac:dyDescent="0.3">
      <c r="CY13650" s="34" t="s">
        <v>14577</v>
      </c>
      <c r="CZ13650" s="35">
        <v>2.9822949120000001E-2</v>
      </c>
    </row>
    <row r="13651" spans="103:104" x14ac:dyDescent="0.3">
      <c r="CY13651" s="34" t="s">
        <v>14578</v>
      </c>
      <c r="CZ13651" s="35">
        <v>2.1433276220000002E-2</v>
      </c>
    </row>
    <row r="13652" spans="103:104" x14ac:dyDescent="0.3">
      <c r="CY13652" s="34" t="s">
        <v>14579</v>
      </c>
      <c r="CZ13652" s="35">
        <v>1.9565623359999999E-2</v>
      </c>
    </row>
    <row r="13653" spans="103:104" x14ac:dyDescent="0.3">
      <c r="CY13653" s="34" t="s">
        <v>14580</v>
      </c>
      <c r="CZ13653" s="35">
        <v>4.2583719999999999E-3</v>
      </c>
    </row>
    <row r="13654" spans="103:104" x14ac:dyDescent="0.3">
      <c r="CY13654" s="34" t="s">
        <v>14581</v>
      </c>
      <c r="CZ13654" s="35">
        <v>6.0405263424000016E-3</v>
      </c>
    </row>
    <row r="13655" spans="103:104" x14ac:dyDescent="0.3">
      <c r="CY13655" s="34" t="s">
        <v>14582</v>
      </c>
      <c r="CZ13655" s="35">
        <v>6.0646880000000004E-3</v>
      </c>
    </row>
    <row r="13656" spans="103:104" x14ac:dyDescent="0.3">
      <c r="CY13656" s="34" t="s">
        <v>14583</v>
      </c>
      <c r="CZ13656" s="35">
        <v>5.5220799999999995E-3</v>
      </c>
    </row>
    <row r="13657" spans="103:104" x14ac:dyDescent="0.3">
      <c r="CY13657" s="34" t="s">
        <v>14584</v>
      </c>
      <c r="CZ13657" s="35">
        <v>6.0500879999999995E-3</v>
      </c>
    </row>
    <row r="13658" spans="103:104" x14ac:dyDescent="0.3">
      <c r="CY13658" s="34" t="s">
        <v>14585</v>
      </c>
      <c r="CZ13658" s="35">
        <v>1.7310740000000002E-2</v>
      </c>
    </row>
    <row r="13659" spans="103:104" x14ac:dyDescent="0.3">
      <c r="CY13659" s="34" t="s">
        <v>14586</v>
      </c>
      <c r="CZ13659" s="35">
        <v>2.1305823999999999E-3</v>
      </c>
    </row>
    <row r="13660" spans="103:104" x14ac:dyDescent="0.3">
      <c r="CY13660" s="34" t="s">
        <v>14587</v>
      </c>
      <c r="CZ13660" s="35">
        <v>8.2253333333333334E-4</v>
      </c>
    </row>
    <row r="13661" spans="103:104" x14ac:dyDescent="0.3">
      <c r="CY13661" s="34" t="s">
        <v>14588</v>
      </c>
      <c r="CZ13661" s="35">
        <v>8.5609959999999995E-3</v>
      </c>
    </row>
    <row r="13662" spans="103:104" x14ac:dyDescent="0.3">
      <c r="CY13662" s="34" t="s">
        <v>14589</v>
      </c>
      <c r="CZ13662" s="35">
        <v>8.5609959999999995E-3</v>
      </c>
    </row>
    <row r="13663" spans="103:104" x14ac:dyDescent="0.3">
      <c r="CY13663" s="34" t="s">
        <v>14590</v>
      </c>
      <c r="CZ13663" s="35">
        <v>8.5609959999999995E-3</v>
      </c>
    </row>
    <row r="13664" spans="103:104" x14ac:dyDescent="0.3">
      <c r="CY13664" s="34" t="s">
        <v>14591</v>
      </c>
      <c r="CZ13664" s="35">
        <v>8.5609959999999995E-3</v>
      </c>
    </row>
    <row r="13665" spans="103:104" x14ac:dyDescent="0.3">
      <c r="CY13665" s="34" t="s">
        <v>14592</v>
      </c>
      <c r="CZ13665" s="35">
        <v>8.49748E-3</v>
      </c>
    </row>
    <row r="13666" spans="103:104" x14ac:dyDescent="0.3">
      <c r="CY13666" s="34" t="s">
        <v>14593</v>
      </c>
      <c r="CZ13666" s="35">
        <v>9.7667200000000004E-4</v>
      </c>
    </row>
    <row r="13667" spans="103:104" x14ac:dyDescent="0.3">
      <c r="CY13667" s="34" t="s">
        <v>14594</v>
      </c>
      <c r="CZ13667" s="35">
        <v>6.2115679999999998E-3</v>
      </c>
    </row>
    <row r="13668" spans="103:104" x14ac:dyDescent="0.3">
      <c r="CY13668" s="34" t="s">
        <v>14595</v>
      </c>
      <c r="CZ13668" s="35">
        <v>2.1056935999999995E-2</v>
      </c>
    </row>
    <row r="13669" spans="103:104" x14ac:dyDescent="0.3">
      <c r="CY13669" s="34" t="s">
        <v>14596</v>
      </c>
      <c r="CZ13669" s="35">
        <v>2.1056935999999995E-2</v>
      </c>
    </row>
    <row r="13670" spans="103:104" x14ac:dyDescent="0.3">
      <c r="CY13670" s="34" t="s">
        <v>14597</v>
      </c>
      <c r="CZ13670" s="35">
        <v>1.3059903999999998E-3</v>
      </c>
    </row>
    <row r="13671" spans="103:104" x14ac:dyDescent="0.3">
      <c r="CY13671" s="34" t="s">
        <v>14598</v>
      </c>
      <c r="CZ13671" s="35">
        <v>6.4893874592000002E-3</v>
      </c>
    </row>
    <row r="13672" spans="103:104" x14ac:dyDescent="0.3">
      <c r="CY13672" s="34" t="s">
        <v>14599</v>
      </c>
      <c r="CZ13672" s="35">
        <v>6.4893874592000002E-3</v>
      </c>
    </row>
    <row r="13673" spans="103:104" x14ac:dyDescent="0.3">
      <c r="CY13673" s="34" t="s">
        <v>14600</v>
      </c>
      <c r="CZ13673" s="35">
        <v>1.8482959999999999E-3</v>
      </c>
    </row>
    <row r="13674" spans="103:104" x14ac:dyDescent="0.3">
      <c r="CY13674" s="34" t="s">
        <v>14601</v>
      </c>
      <c r="CZ13674" s="35">
        <v>4.9010879999999996E-3</v>
      </c>
    </row>
    <row r="13675" spans="103:104" x14ac:dyDescent="0.3">
      <c r="CY13675" s="34" t="s">
        <v>14602</v>
      </c>
      <c r="CZ13675" s="35">
        <v>3.6198911999999997E-3</v>
      </c>
    </row>
    <row r="13676" spans="103:104" x14ac:dyDescent="0.3">
      <c r="CY13676" s="34" t="s">
        <v>14603</v>
      </c>
      <c r="CZ13676" s="35">
        <v>6.6370506666666666E-3</v>
      </c>
    </row>
    <row r="13677" spans="103:104" x14ac:dyDescent="0.3">
      <c r="CY13677" s="34" t="s">
        <v>14604</v>
      </c>
      <c r="CZ13677" s="35">
        <v>4.9806016000000005E-3</v>
      </c>
    </row>
    <row r="13678" spans="103:104" x14ac:dyDescent="0.3">
      <c r="CY13678" s="34" t="s">
        <v>14605</v>
      </c>
      <c r="CZ13678" s="35">
        <v>4.9806015999999996E-3</v>
      </c>
    </row>
    <row r="13679" spans="103:104" x14ac:dyDescent="0.3">
      <c r="CY13679" s="34" t="s">
        <v>14606</v>
      </c>
      <c r="CZ13679" s="35">
        <v>8.9399103999999993E-2</v>
      </c>
    </row>
    <row r="13680" spans="103:104" x14ac:dyDescent="0.3">
      <c r="CY13680" s="34" t="s">
        <v>14607</v>
      </c>
      <c r="CZ13680" s="35">
        <v>1.5965936E-2</v>
      </c>
    </row>
    <row r="13681" spans="103:104" x14ac:dyDescent="0.3">
      <c r="CY13681" s="34" t="s">
        <v>14608</v>
      </c>
      <c r="CZ13681" s="35">
        <v>0.23483585599999998</v>
      </c>
    </row>
    <row r="13682" spans="103:104" x14ac:dyDescent="0.3">
      <c r="CY13682" s="34" t="s">
        <v>14609</v>
      </c>
      <c r="CZ13682" s="35">
        <v>1.1849993599999999E-2</v>
      </c>
    </row>
    <row r="13683" spans="103:104" x14ac:dyDescent="0.3">
      <c r="CY13683" s="34" t="s">
        <v>14610</v>
      </c>
      <c r="CZ13683" s="35">
        <v>0.2085973092</v>
      </c>
    </row>
    <row r="13684" spans="103:104" x14ac:dyDescent="0.3">
      <c r="CY13684" s="34" t="s">
        <v>14611</v>
      </c>
      <c r="CZ13684" s="35">
        <v>9.9374900000000002E-2</v>
      </c>
    </row>
    <row r="13685" spans="103:104" x14ac:dyDescent="0.3">
      <c r="CY13685" s="34" t="s">
        <v>14612</v>
      </c>
      <c r="CZ13685" s="35">
        <v>4.9585002674999996E-2</v>
      </c>
    </row>
    <row r="13686" spans="103:104" x14ac:dyDescent="0.3">
      <c r="CY13686" s="34" t="s">
        <v>14613</v>
      </c>
      <c r="CZ13686" s="35">
        <v>3.9065952000000001E-2</v>
      </c>
    </row>
    <row r="13687" spans="103:104" x14ac:dyDescent="0.3">
      <c r="CY13687" s="34" t="s">
        <v>14614</v>
      </c>
      <c r="CZ13687" s="35">
        <v>5.668144E-3</v>
      </c>
    </row>
    <row r="13688" spans="103:104" x14ac:dyDescent="0.3">
      <c r="CY13688" s="34" t="s">
        <v>14615</v>
      </c>
      <c r="CZ13688" s="35">
        <v>3.7030506800000006E-3</v>
      </c>
    </row>
    <row r="13689" spans="103:104" x14ac:dyDescent="0.3">
      <c r="CY13689" s="34" t="s">
        <v>14616</v>
      </c>
      <c r="CZ13689" s="35">
        <v>6.7801120000000005E-3</v>
      </c>
    </row>
    <row r="13690" spans="103:104" x14ac:dyDescent="0.3">
      <c r="CY13690" s="34" t="s">
        <v>14617</v>
      </c>
      <c r="CZ13690" s="35">
        <v>1.3600432000000001E-2</v>
      </c>
    </row>
    <row r="13691" spans="103:104" x14ac:dyDescent="0.3">
      <c r="CY13691" s="34" t="s">
        <v>14618</v>
      </c>
      <c r="CZ13691" s="35">
        <v>1.8718477920000001E-2</v>
      </c>
    </row>
    <row r="13692" spans="103:104" x14ac:dyDescent="0.3">
      <c r="CY13692" s="34" t="s">
        <v>14619</v>
      </c>
      <c r="CZ13692" s="35">
        <v>0.20839302263157894</v>
      </c>
    </row>
    <row r="13693" spans="103:104" x14ac:dyDescent="0.3">
      <c r="CY13693" s="34" t="s">
        <v>14620</v>
      </c>
      <c r="CZ13693" s="35">
        <v>6.6481250000000006E-2</v>
      </c>
    </row>
    <row r="13694" spans="103:104" x14ac:dyDescent="0.3">
      <c r="CY13694" s="34" t="s">
        <v>14621</v>
      </c>
      <c r="CZ13694" s="35">
        <v>7.2337949999999984E-2</v>
      </c>
    </row>
    <row r="13695" spans="103:104" x14ac:dyDescent="0.3">
      <c r="CY13695" s="34" t="s">
        <v>14622</v>
      </c>
      <c r="CZ13695" s="35">
        <v>0.12714056000000001</v>
      </c>
    </row>
    <row r="13696" spans="103:104" x14ac:dyDescent="0.3">
      <c r="CY13696" s="34" t="s">
        <v>14623</v>
      </c>
      <c r="CZ13696" s="35">
        <v>0.17251794400000001</v>
      </c>
    </row>
    <row r="13697" spans="103:104" x14ac:dyDescent="0.3">
      <c r="CY13697" s="34" t="s">
        <v>14624</v>
      </c>
      <c r="CZ13697" s="35">
        <v>0.28375696</v>
      </c>
    </row>
    <row r="13698" spans="103:104" x14ac:dyDescent="0.3">
      <c r="CY13698" s="34" t="s">
        <v>14625</v>
      </c>
      <c r="CZ13698" s="35">
        <v>0.11198292000000001</v>
      </c>
    </row>
    <row r="13699" spans="103:104" x14ac:dyDescent="0.3">
      <c r="CY13699" s="34" t="s">
        <v>14626</v>
      </c>
      <c r="CZ13699" s="35">
        <v>1.9701409000000003E-2</v>
      </c>
    </row>
    <row r="13700" spans="103:104" x14ac:dyDescent="0.3">
      <c r="CY13700" s="34" t="s">
        <v>14627</v>
      </c>
      <c r="CZ13700" s="35">
        <v>6.8101880000000004E-2</v>
      </c>
    </row>
    <row r="13701" spans="103:104" x14ac:dyDescent="0.3">
      <c r="CY13701" s="34" t="s">
        <v>14628</v>
      </c>
      <c r="CZ13701" s="35">
        <v>6.8101880000000004E-2</v>
      </c>
    </row>
    <row r="13702" spans="103:104" x14ac:dyDescent="0.3">
      <c r="CY13702" s="34" t="s">
        <v>14629</v>
      </c>
      <c r="CZ13702" s="35">
        <v>4.3188840000000003E-3</v>
      </c>
    </row>
    <row r="13703" spans="103:104" x14ac:dyDescent="0.3">
      <c r="CY13703" s="34" t="s">
        <v>14630</v>
      </c>
      <c r="CZ13703" s="35">
        <v>0.22156240000000002</v>
      </c>
    </row>
    <row r="13704" spans="103:104" x14ac:dyDescent="0.3">
      <c r="CY13704" s="34" t="s">
        <v>14631</v>
      </c>
      <c r="CZ13704" s="35">
        <v>5.4946019999999995E-3</v>
      </c>
    </row>
    <row r="13705" spans="103:104" x14ac:dyDescent="0.3">
      <c r="CY13705" s="34" t="s">
        <v>14632</v>
      </c>
      <c r="CZ13705" s="35">
        <v>2.1773999999999999E-4</v>
      </c>
    </row>
    <row r="13706" spans="103:104" x14ac:dyDescent="0.3">
      <c r="CY13706" s="34" t="s">
        <v>14633</v>
      </c>
      <c r="CZ13706" s="35">
        <v>1.8951999999999999E-4</v>
      </c>
    </row>
    <row r="13707" spans="103:104" x14ac:dyDescent="0.3">
      <c r="CY13707" s="34" t="s">
        <v>14634</v>
      </c>
      <c r="CZ13707" s="35">
        <v>2.1771999999999997E-4</v>
      </c>
    </row>
    <row r="13708" spans="103:104" x14ac:dyDescent="0.3">
      <c r="CY13708" s="34" t="s">
        <v>14635</v>
      </c>
      <c r="CZ13708" s="35">
        <v>1.976944E-3</v>
      </c>
    </row>
    <row r="13709" spans="103:104" x14ac:dyDescent="0.3">
      <c r="CY13709" s="34" t="s">
        <v>14636</v>
      </c>
      <c r="CZ13709" s="35">
        <v>5.8460099999999994E-2</v>
      </c>
    </row>
    <row r="13710" spans="103:104" x14ac:dyDescent="0.3">
      <c r="CY13710" s="34" t="s">
        <v>14637</v>
      </c>
      <c r="CZ13710" s="35">
        <v>4.4491280000000001E-2</v>
      </c>
    </row>
    <row r="13711" spans="103:104" x14ac:dyDescent="0.3">
      <c r="CY13711" s="34" t="s">
        <v>14638</v>
      </c>
      <c r="CZ13711" s="35">
        <v>0.13297618823529414</v>
      </c>
    </row>
    <row r="13712" spans="103:104" x14ac:dyDescent="0.3">
      <c r="CY13712" s="34" t="s">
        <v>14639</v>
      </c>
      <c r="CZ13712" s="35">
        <v>3.6064063999999996E-3</v>
      </c>
    </row>
    <row r="13713" spans="103:104" x14ac:dyDescent="0.3">
      <c r="CY13713" s="34" t="s">
        <v>14640</v>
      </c>
      <c r="CZ13713" s="35">
        <v>3.2629715555555546E-3</v>
      </c>
    </row>
    <row r="13714" spans="103:104" x14ac:dyDescent="0.3">
      <c r="CY13714" s="34" t="s">
        <v>14641</v>
      </c>
      <c r="CZ13714" s="35">
        <v>8.7479570000000006E-3</v>
      </c>
    </row>
    <row r="13715" spans="103:104" x14ac:dyDescent="0.3">
      <c r="CY13715" s="34" t="s">
        <v>14642</v>
      </c>
      <c r="CZ13715" s="35">
        <v>1.056203E-2</v>
      </c>
    </row>
    <row r="13716" spans="103:104" x14ac:dyDescent="0.3">
      <c r="CY13716" s="34" t="s">
        <v>14643</v>
      </c>
      <c r="CZ13716" s="35">
        <v>1.4076027999999999E-2</v>
      </c>
    </row>
    <row r="13717" spans="103:104" x14ac:dyDescent="0.3">
      <c r="CY13717" s="34" t="s">
        <v>14644</v>
      </c>
      <c r="CZ13717" s="35">
        <v>1.0358004699999998E-2</v>
      </c>
    </row>
    <row r="13718" spans="103:104" x14ac:dyDescent="0.3">
      <c r="CY13718" s="34" t="s">
        <v>14645</v>
      </c>
      <c r="CZ13718" s="35">
        <v>2.132208E-2</v>
      </c>
    </row>
    <row r="13719" spans="103:104" x14ac:dyDescent="0.3">
      <c r="CY13719" s="34" t="s">
        <v>14646</v>
      </c>
      <c r="CZ13719" s="35">
        <v>5.7795599999999996E-3</v>
      </c>
    </row>
    <row r="13720" spans="103:104" x14ac:dyDescent="0.3">
      <c r="CY13720" s="34" t="s">
        <v>14647</v>
      </c>
      <c r="CZ13720" s="35">
        <v>1.4375454000000001E-2</v>
      </c>
    </row>
    <row r="13721" spans="103:104" x14ac:dyDescent="0.3">
      <c r="CY13721" s="34" t="s">
        <v>14648</v>
      </c>
      <c r="CZ13721" s="35">
        <v>8.5754799999999986E-4</v>
      </c>
    </row>
    <row r="13722" spans="103:104" x14ac:dyDescent="0.3">
      <c r="CY13722" s="34" t="s">
        <v>14649</v>
      </c>
      <c r="CZ13722" s="35">
        <v>1.58136E-3</v>
      </c>
    </row>
    <row r="13723" spans="103:104" x14ac:dyDescent="0.3">
      <c r="CY13723" s="34" t="s">
        <v>14650</v>
      </c>
      <c r="CZ13723" s="35">
        <v>4.0995999999999998E-2</v>
      </c>
    </row>
    <row r="13724" spans="103:104" x14ac:dyDescent="0.3">
      <c r="CY13724" s="34" t="s">
        <v>14651</v>
      </c>
      <c r="CZ13724" s="35">
        <v>1.7886767999999997E-2</v>
      </c>
    </row>
    <row r="13725" spans="103:104" x14ac:dyDescent="0.3">
      <c r="CY13725" s="34" t="s">
        <v>14652</v>
      </c>
      <c r="CZ13725" s="35">
        <v>2.3702360000000002E-2</v>
      </c>
    </row>
    <row r="13726" spans="103:104" x14ac:dyDescent="0.3">
      <c r="CY13726" s="34" t="s">
        <v>14653</v>
      </c>
      <c r="CZ13726" s="35">
        <v>3.3211391999999999E-3</v>
      </c>
    </row>
    <row r="13727" spans="103:104" x14ac:dyDescent="0.3">
      <c r="CY13727" s="34" t="s">
        <v>14654</v>
      </c>
      <c r="CZ13727" s="35">
        <v>2.3060946599999996E-2</v>
      </c>
    </row>
    <row r="13728" spans="103:104" x14ac:dyDescent="0.3">
      <c r="CY13728" s="34" t="s">
        <v>14655</v>
      </c>
      <c r="CZ13728" s="35">
        <v>1.5769384703999998E-2</v>
      </c>
    </row>
    <row r="13729" spans="103:104" x14ac:dyDescent="0.3">
      <c r="CY13729" s="34" t="s">
        <v>14656</v>
      </c>
      <c r="CZ13729" s="35">
        <v>1.5769384703999998E-2</v>
      </c>
    </row>
    <row r="13730" spans="103:104" x14ac:dyDescent="0.3">
      <c r="CY13730" s="34" t="s">
        <v>14657</v>
      </c>
      <c r="CZ13730" s="35">
        <v>3.0255043999999995E-2</v>
      </c>
    </row>
    <row r="13731" spans="103:104" x14ac:dyDescent="0.3">
      <c r="CY13731" s="34" t="s">
        <v>14658</v>
      </c>
      <c r="CZ13731" s="35">
        <v>1.5165424000000002E-2</v>
      </c>
    </row>
    <row r="13732" spans="103:104" x14ac:dyDescent="0.3">
      <c r="CY13732" s="34" t="s">
        <v>14659</v>
      </c>
      <c r="CZ13732" s="35">
        <v>5.4862024000000002E-2</v>
      </c>
    </row>
    <row r="13733" spans="103:104" x14ac:dyDescent="0.3">
      <c r="CY13733" s="34" t="s">
        <v>14660</v>
      </c>
      <c r="CZ13733" s="35">
        <v>6.8702600000000003E-2</v>
      </c>
    </row>
    <row r="13734" spans="103:104" x14ac:dyDescent="0.3">
      <c r="CY13734" s="34" t="s">
        <v>14661</v>
      </c>
      <c r="CZ13734" s="35">
        <v>7.58326E-2</v>
      </c>
    </row>
    <row r="13735" spans="103:104" x14ac:dyDescent="0.3">
      <c r="CY13735" s="34" t="s">
        <v>14662</v>
      </c>
      <c r="CZ13735" s="35">
        <v>8.8623839999999992E-3</v>
      </c>
    </row>
    <row r="13736" spans="103:104" x14ac:dyDescent="0.3">
      <c r="CY13736" s="34" t="s">
        <v>14663</v>
      </c>
      <c r="CZ13736" s="35">
        <v>5.4009749999999995E-2</v>
      </c>
    </row>
    <row r="13737" spans="103:104" x14ac:dyDescent="0.3">
      <c r="CY13737" s="34" t="s">
        <v>14664</v>
      </c>
      <c r="CZ13737" s="35">
        <v>1.8031066666666666E-3</v>
      </c>
    </row>
    <row r="13738" spans="103:104" x14ac:dyDescent="0.3">
      <c r="CY13738" s="34" t="s">
        <v>14665</v>
      </c>
      <c r="CZ13738" s="35">
        <v>0.11731311999999999</v>
      </c>
    </row>
    <row r="13739" spans="103:104" x14ac:dyDescent="0.3">
      <c r="CY13739" s="34" t="s">
        <v>14666</v>
      </c>
      <c r="CZ13739" s="35">
        <v>1.5417955999999999</v>
      </c>
    </row>
    <row r="13740" spans="103:104" x14ac:dyDescent="0.3">
      <c r="CY13740" s="34" t="s">
        <v>14667</v>
      </c>
      <c r="CZ13740" s="35">
        <v>8.6700746666666662E-2</v>
      </c>
    </row>
    <row r="13741" spans="103:104" x14ac:dyDescent="0.3">
      <c r="CY13741" s="34" t="s">
        <v>14668</v>
      </c>
      <c r="CZ13741" s="35">
        <v>4.6406746666666658E-2</v>
      </c>
    </row>
    <row r="13742" spans="103:104" x14ac:dyDescent="0.3">
      <c r="CY13742" s="34" t="s">
        <v>14669</v>
      </c>
      <c r="CZ13742" s="35">
        <v>4.3811746666666672E-2</v>
      </c>
    </row>
    <row r="13743" spans="103:104" x14ac:dyDescent="0.3">
      <c r="CY13743" s="34" t="s">
        <v>14670</v>
      </c>
      <c r="CZ13743" s="35">
        <v>4.2850079999999999E-2</v>
      </c>
    </row>
    <row r="13744" spans="103:104" x14ac:dyDescent="0.3">
      <c r="CY13744" s="34" t="s">
        <v>14671</v>
      </c>
      <c r="CZ13744" s="35">
        <v>2.8029731249999995E-2</v>
      </c>
    </row>
    <row r="13745" spans="103:104" x14ac:dyDescent="0.3">
      <c r="CY13745" s="34" t="s">
        <v>14672</v>
      </c>
      <c r="CZ13745" s="35">
        <v>3.0228809999999998E-2</v>
      </c>
    </row>
    <row r="13746" spans="103:104" x14ac:dyDescent="0.3">
      <c r="CY13746" s="34" t="s">
        <v>14673</v>
      </c>
      <c r="CZ13746" s="35">
        <v>1.9993720000000003E-2</v>
      </c>
    </row>
    <row r="13747" spans="103:104" x14ac:dyDescent="0.3">
      <c r="CY13747" s="34" t="s">
        <v>14674</v>
      </c>
      <c r="CZ13747" s="35">
        <v>2.7294266666666664E-2</v>
      </c>
    </row>
    <row r="13748" spans="103:104" x14ac:dyDescent="0.3">
      <c r="CY13748" s="34" t="s">
        <v>14675</v>
      </c>
      <c r="CZ13748" s="35">
        <v>6.6293839999999995E-3</v>
      </c>
    </row>
    <row r="13749" spans="103:104" x14ac:dyDescent="0.3">
      <c r="CY13749" s="34" t="s">
        <v>14676</v>
      </c>
      <c r="CZ13749" s="35">
        <v>0.15505768</v>
      </c>
    </row>
    <row r="13750" spans="103:104" x14ac:dyDescent="0.3">
      <c r="CY13750" s="34" t="s">
        <v>14677</v>
      </c>
      <c r="CZ13750" s="35">
        <v>5.4454450000000001E-2</v>
      </c>
    </row>
    <row r="13751" spans="103:104" x14ac:dyDescent="0.3">
      <c r="CY13751" s="34" t="s">
        <v>14678</v>
      </c>
      <c r="CZ13751" s="35">
        <v>1.6302859999999999E-3</v>
      </c>
    </row>
    <row r="13752" spans="103:104" x14ac:dyDescent="0.3">
      <c r="CY13752" s="34" t="s">
        <v>14679</v>
      </c>
      <c r="CZ13752" s="35">
        <v>8.587376842000001E-2</v>
      </c>
    </row>
    <row r="13753" spans="103:104" x14ac:dyDescent="0.3">
      <c r="CY13753" s="34" t="s">
        <v>14680</v>
      </c>
      <c r="CZ13753" s="35">
        <v>9.4533435079999992E-2</v>
      </c>
    </row>
    <row r="13754" spans="103:104" x14ac:dyDescent="0.3">
      <c r="CY13754" s="34" t="s">
        <v>14681</v>
      </c>
      <c r="CZ13754" s="35">
        <v>0.15039941339999999</v>
      </c>
    </row>
    <row r="13755" spans="103:104" x14ac:dyDescent="0.3">
      <c r="CY13755" s="34" t="s">
        <v>14682</v>
      </c>
      <c r="CZ13755" s="35">
        <v>0.16619946679999997</v>
      </c>
    </row>
    <row r="13756" spans="103:104" x14ac:dyDescent="0.3">
      <c r="CY13756" s="34" t="s">
        <v>14683</v>
      </c>
      <c r="CZ13756" s="35">
        <v>0.19896105599999997</v>
      </c>
    </row>
    <row r="13757" spans="103:104" x14ac:dyDescent="0.3">
      <c r="CY13757" s="34" t="s">
        <v>14684</v>
      </c>
      <c r="CZ13757" s="35">
        <v>1.4469770571428573E-2</v>
      </c>
    </row>
    <row r="13758" spans="103:104" x14ac:dyDescent="0.3">
      <c r="CY13758" s="34" t="s">
        <v>14685</v>
      </c>
      <c r="CZ13758" s="35">
        <v>8.6211786666666648E-3</v>
      </c>
    </row>
    <row r="13759" spans="103:104" x14ac:dyDescent="0.3">
      <c r="CY13759" s="34" t="s">
        <v>14686</v>
      </c>
      <c r="CZ13759" s="35">
        <v>2.4293769999999996E-2</v>
      </c>
    </row>
    <row r="13760" spans="103:104" x14ac:dyDescent="0.3">
      <c r="CY13760" s="34" t="s">
        <v>14687</v>
      </c>
      <c r="CZ13760" s="35">
        <v>2.4293770699999998E-2</v>
      </c>
    </row>
    <row r="13761" spans="103:104" x14ac:dyDescent="0.3">
      <c r="CY13761" s="34" t="s">
        <v>14688</v>
      </c>
      <c r="CZ13761" s="35">
        <v>2.4293770666666666E-2</v>
      </c>
    </row>
    <row r="13762" spans="103:104" x14ac:dyDescent="0.3">
      <c r="CY13762" s="34" t="s">
        <v>14689</v>
      </c>
      <c r="CZ13762" s="35">
        <v>0.17757468539999999</v>
      </c>
    </row>
    <row r="13763" spans="103:104" x14ac:dyDescent="0.3">
      <c r="CY13763" s="34" t="s">
        <v>14690</v>
      </c>
      <c r="CZ13763" s="35">
        <v>1.2970714666666668E-2</v>
      </c>
    </row>
    <row r="13764" spans="103:104" x14ac:dyDescent="0.3">
      <c r="CY13764" s="34" t="s">
        <v>14691</v>
      </c>
      <c r="CZ13764" s="35">
        <v>6.5931370666666659E-3</v>
      </c>
    </row>
    <row r="13765" spans="103:104" x14ac:dyDescent="0.3">
      <c r="CY13765" s="34" t="s">
        <v>14692</v>
      </c>
      <c r="CZ13765" s="35">
        <v>1.0479866000000001E-2</v>
      </c>
    </row>
    <row r="13766" spans="103:104" x14ac:dyDescent="0.3">
      <c r="CY13766" s="34" t="s">
        <v>14693</v>
      </c>
      <c r="CZ13766" s="35">
        <v>1.0479866500000001E-2</v>
      </c>
    </row>
    <row r="13767" spans="103:104" x14ac:dyDescent="0.3">
      <c r="CY13767" s="34" t="s">
        <v>14694</v>
      </c>
      <c r="CZ13767" s="35">
        <v>6.8901973285714277E-2</v>
      </c>
    </row>
    <row r="13768" spans="103:104" x14ac:dyDescent="0.3">
      <c r="CY13768" s="34" t="s">
        <v>14695</v>
      </c>
      <c r="CZ13768" s="35">
        <v>9.4894613333333336E-2</v>
      </c>
    </row>
    <row r="13769" spans="103:104" x14ac:dyDescent="0.3">
      <c r="CY13769" s="34" t="s">
        <v>14696</v>
      </c>
      <c r="CZ13769" s="35">
        <v>0.13383437333333337</v>
      </c>
    </row>
    <row r="13770" spans="103:104" x14ac:dyDescent="0.3">
      <c r="CY13770" s="34" t="s">
        <v>14697</v>
      </c>
      <c r="CZ13770" s="35">
        <v>0.10467269333333333</v>
      </c>
    </row>
    <row r="13771" spans="103:104" x14ac:dyDescent="0.3">
      <c r="CY13771" s="34" t="s">
        <v>14698</v>
      </c>
      <c r="CZ13771" s="35">
        <v>0.1046726935</v>
      </c>
    </row>
    <row r="13772" spans="103:104" x14ac:dyDescent="0.3">
      <c r="CY13772" s="34" t="s">
        <v>14699</v>
      </c>
      <c r="CZ13772" s="35">
        <v>0.10623893333333333</v>
      </c>
    </row>
    <row r="13773" spans="103:104" x14ac:dyDescent="0.3">
      <c r="CY13773" s="34" t="s">
        <v>14700</v>
      </c>
      <c r="CZ13773" s="35">
        <v>5.3789759999999999E-2</v>
      </c>
    </row>
    <row r="13774" spans="103:104" x14ac:dyDescent="0.3">
      <c r="CY13774" s="34" t="s">
        <v>14701</v>
      </c>
      <c r="CZ13774" s="35">
        <v>0.23590087999999998</v>
      </c>
    </row>
    <row r="13775" spans="103:104" x14ac:dyDescent="0.3">
      <c r="CY13775" s="34" t="s">
        <v>14702</v>
      </c>
      <c r="CZ13775" s="35">
        <v>1.5825973599999999E-3</v>
      </c>
    </row>
    <row r="13776" spans="103:104" x14ac:dyDescent="0.3">
      <c r="CY13776" s="34" t="s">
        <v>14703</v>
      </c>
      <c r="CZ13776" s="35">
        <v>9.3337919999999987E-3</v>
      </c>
    </row>
    <row r="13777" spans="103:104" x14ac:dyDescent="0.3">
      <c r="CY13777" s="34" t="s">
        <v>14704</v>
      </c>
      <c r="CZ13777" s="35">
        <v>2.53975725E-2</v>
      </c>
    </row>
    <row r="13778" spans="103:104" x14ac:dyDescent="0.3">
      <c r="CY13778" s="34" t="s">
        <v>14705</v>
      </c>
      <c r="CZ13778" s="35">
        <v>5.3449200000000002E-2</v>
      </c>
    </row>
    <row r="13779" spans="103:104" x14ac:dyDescent="0.3">
      <c r="CY13779" s="34" t="s">
        <v>14706</v>
      </c>
      <c r="CZ13779" s="35">
        <v>3.7933440000000006E-2</v>
      </c>
    </row>
    <row r="13780" spans="103:104" x14ac:dyDescent="0.3">
      <c r="CY13780" s="34" t="s">
        <v>14707</v>
      </c>
      <c r="CZ13780" s="35">
        <v>0.33580792000000004</v>
      </c>
    </row>
    <row r="13781" spans="103:104" x14ac:dyDescent="0.3">
      <c r="CY13781" s="34" t="s">
        <v>14708</v>
      </c>
      <c r="CZ13781" s="35">
        <v>3.5503584000000005E-2</v>
      </c>
    </row>
    <row r="13782" spans="103:104" x14ac:dyDescent="0.3">
      <c r="CY13782" s="34" t="s">
        <v>14709</v>
      </c>
      <c r="CZ13782" s="35">
        <v>1.5014872888888888E-2</v>
      </c>
    </row>
    <row r="13783" spans="103:104" x14ac:dyDescent="0.3">
      <c r="CY13783" s="34" t="s">
        <v>14710</v>
      </c>
      <c r="CZ13783" s="35">
        <v>0.24858592000000002</v>
      </c>
    </row>
    <row r="13784" spans="103:104" x14ac:dyDescent="0.3">
      <c r="CY13784" s="34" t="s">
        <v>14711</v>
      </c>
      <c r="CZ13784" s="35">
        <v>0.26641432000000004</v>
      </c>
    </row>
    <row r="13785" spans="103:104" x14ac:dyDescent="0.3">
      <c r="CY13785" s="34" t="s">
        <v>14712</v>
      </c>
      <c r="CZ13785" s="35">
        <v>0.25851096000000001</v>
      </c>
    </row>
    <row r="13786" spans="103:104" x14ac:dyDescent="0.3">
      <c r="CY13786" s="34" t="s">
        <v>14713</v>
      </c>
      <c r="CZ13786" s="35">
        <v>1.2212186599999999E-2</v>
      </c>
    </row>
    <row r="13787" spans="103:104" x14ac:dyDescent="0.3">
      <c r="CY13787" s="34" t="s">
        <v>14714</v>
      </c>
      <c r="CZ13787" s="35">
        <v>1.2212186599999999E-2</v>
      </c>
    </row>
    <row r="13788" spans="103:104" x14ac:dyDescent="0.3">
      <c r="CY13788" s="34" t="s">
        <v>14715</v>
      </c>
      <c r="CZ13788" s="35">
        <v>0.23096624000000002</v>
      </c>
    </row>
    <row r="13789" spans="103:104" x14ac:dyDescent="0.3">
      <c r="CY13789" s="34" t="s">
        <v>14716</v>
      </c>
      <c r="CZ13789" s="35">
        <v>0.23414032000000001</v>
      </c>
    </row>
    <row r="13790" spans="103:104" x14ac:dyDescent="0.3">
      <c r="CY13790" s="34" t="s">
        <v>14717</v>
      </c>
      <c r="CZ13790" s="35">
        <v>0.23890143999999999</v>
      </c>
    </row>
    <row r="13791" spans="103:104" x14ac:dyDescent="0.3">
      <c r="CY13791" s="34" t="s">
        <v>14718</v>
      </c>
      <c r="CZ13791" s="35">
        <v>0.24207551999999999</v>
      </c>
    </row>
    <row r="13792" spans="103:104" x14ac:dyDescent="0.3">
      <c r="CY13792" s="34" t="s">
        <v>14719</v>
      </c>
      <c r="CZ13792" s="35">
        <v>0.24524960000000001</v>
      </c>
    </row>
    <row r="13793" spans="103:104" x14ac:dyDescent="0.3">
      <c r="CY13793" s="34" t="s">
        <v>14720</v>
      </c>
      <c r="CZ13793" s="35">
        <v>0.24842368000000001</v>
      </c>
    </row>
    <row r="13794" spans="103:104" x14ac:dyDescent="0.3">
      <c r="CY13794" s="34" t="s">
        <v>14721</v>
      </c>
      <c r="CZ13794" s="35">
        <v>0.25318479999999999</v>
      </c>
    </row>
    <row r="13795" spans="103:104" x14ac:dyDescent="0.3">
      <c r="CY13795" s="34" t="s">
        <v>14722</v>
      </c>
      <c r="CZ13795" s="35">
        <v>0.25635888000000001</v>
      </c>
    </row>
    <row r="13796" spans="103:104" x14ac:dyDescent="0.3">
      <c r="CY13796" s="34" t="s">
        <v>14723</v>
      </c>
      <c r="CZ13796" s="35">
        <v>6.1706E-4</v>
      </c>
    </row>
    <row r="13797" spans="103:104" x14ac:dyDescent="0.3">
      <c r="CY13797" s="34" t="s">
        <v>14724</v>
      </c>
      <c r="CZ13797" s="35">
        <v>2.512919903614458E-5</v>
      </c>
    </row>
    <row r="13798" spans="103:104" x14ac:dyDescent="0.3">
      <c r="CY13798" s="34" t="s">
        <v>14725</v>
      </c>
      <c r="CZ13798" s="35">
        <v>5.1183564800000005E-6</v>
      </c>
    </row>
    <row r="13799" spans="103:104" x14ac:dyDescent="0.3">
      <c r="CY13799" s="34" t="s">
        <v>14726</v>
      </c>
      <c r="CZ13799" s="35">
        <v>1.0565776000000001E-2</v>
      </c>
    </row>
    <row r="13800" spans="103:104" x14ac:dyDescent="0.3">
      <c r="CY13800" s="34" t="s">
        <v>14727</v>
      </c>
      <c r="CZ13800" s="35">
        <v>8.569460000000001E-3</v>
      </c>
    </row>
    <row r="13801" spans="103:104" x14ac:dyDescent="0.3">
      <c r="CY13801" s="34" t="s">
        <v>14728</v>
      </c>
      <c r="CZ13801" s="35">
        <v>0.1211492</v>
      </c>
    </row>
    <row r="13802" spans="103:104" x14ac:dyDescent="0.3">
      <c r="CY13802" s="34" t="s">
        <v>14729</v>
      </c>
      <c r="CZ13802" s="35">
        <v>1.0950909349999999E-2</v>
      </c>
    </row>
    <row r="13803" spans="103:104" x14ac:dyDescent="0.3">
      <c r="CY13803" s="34" t="s">
        <v>14730</v>
      </c>
      <c r="CZ13803" s="35">
        <v>3.7917179999999995E-2</v>
      </c>
    </row>
    <row r="13804" spans="103:104" x14ac:dyDescent="0.3">
      <c r="CY13804" s="34" t="s">
        <v>14731</v>
      </c>
      <c r="CZ13804" s="35">
        <v>6.6008284499999995E-3</v>
      </c>
    </row>
    <row r="13805" spans="103:104" x14ac:dyDescent="0.3">
      <c r="CY13805" s="34" t="s">
        <v>14732</v>
      </c>
      <c r="CZ13805" s="35">
        <v>4.0575329350000001E-2</v>
      </c>
    </row>
    <row r="13806" spans="103:104" x14ac:dyDescent="0.3">
      <c r="CY13806" s="34" t="s">
        <v>14733</v>
      </c>
      <c r="CZ13806" s="35">
        <v>2.11137531E-3</v>
      </c>
    </row>
    <row r="13807" spans="103:104" x14ac:dyDescent="0.3">
      <c r="CY13807" s="34" t="s">
        <v>14734</v>
      </c>
      <c r="CZ13807" s="35">
        <v>0.10703539999999999</v>
      </c>
    </row>
    <row r="13808" spans="103:104" x14ac:dyDescent="0.3">
      <c r="CY13808" s="34" t="s">
        <v>14735</v>
      </c>
      <c r="CZ13808" s="35">
        <v>1.8315203199999999E-4</v>
      </c>
    </row>
    <row r="13809" spans="103:104" x14ac:dyDescent="0.3">
      <c r="CY13809" s="34" t="s">
        <v>14736</v>
      </c>
      <c r="CZ13809" s="35">
        <v>0.37006444444444447</v>
      </c>
    </row>
    <row r="13810" spans="103:104" x14ac:dyDescent="0.3">
      <c r="CY13810" s="34" t="s">
        <v>14737</v>
      </c>
      <c r="CZ13810" s="35">
        <v>1.3894423999999999E-2</v>
      </c>
    </row>
    <row r="13811" spans="103:104" x14ac:dyDescent="0.3">
      <c r="CY13811" s="34" t="s">
        <v>14738</v>
      </c>
      <c r="CZ13811" s="35">
        <v>2.0153360000000002E-2</v>
      </c>
    </row>
    <row r="13812" spans="103:104" x14ac:dyDescent="0.3">
      <c r="CY13812" s="34" t="s">
        <v>14739</v>
      </c>
      <c r="CZ13812" s="35">
        <v>1.8955399999999997E-2</v>
      </c>
    </row>
    <row r="13813" spans="103:104" x14ac:dyDescent="0.3">
      <c r="CY13813" s="34" t="s">
        <v>14740</v>
      </c>
      <c r="CZ13813" s="35">
        <v>1.0191347999999998E-2</v>
      </c>
    </row>
    <row r="13814" spans="103:104" x14ac:dyDescent="0.3">
      <c r="CY13814" s="34" t="s">
        <v>14741</v>
      </c>
      <c r="CZ13814" s="35">
        <v>1.6045672E-2</v>
      </c>
    </row>
    <row r="13815" spans="103:104" x14ac:dyDescent="0.3">
      <c r="CY13815" s="34" t="s">
        <v>14742</v>
      </c>
      <c r="CZ13815" s="35">
        <v>1.4271848000000002E-2</v>
      </c>
    </row>
    <row r="13816" spans="103:104" x14ac:dyDescent="0.3">
      <c r="CY13816" s="34" t="s">
        <v>14743</v>
      </c>
      <c r="CZ13816" s="35">
        <v>1.0665383999999998E-3</v>
      </c>
    </row>
    <row r="13817" spans="103:104" x14ac:dyDescent="0.3">
      <c r="CY13817" s="34" t="s">
        <v>14744</v>
      </c>
      <c r="CZ13817" s="35">
        <v>2.4506640000000003E-2</v>
      </c>
    </row>
    <row r="13818" spans="103:104" x14ac:dyDescent="0.3">
      <c r="CY13818" s="34" t="s">
        <v>14745</v>
      </c>
      <c r="CZ13818" s="35">
        <v>6.6751007999999987E-2</v>
      </c>
    </row>
    <row r="13819" spans="103:104" x14ac:dyDescent="0.3">
      <c r="CY13819" s="34" t="s">
        <v>14746</v>
      </c>
      <c r="CZ13819" s="35">
        <v>6.4893874592000002E-3</v>
      </c>
    </row>
    <row r="13820" spans="103:104" x14ac:dyDescent="0.3">
      <c r="CY13820" s="34" t="s">
        <v>14747</v>
      </c>
      <c r="CZ13820" s="35">
        <v>6.4893874592000002E-3</v>
      </c>
    </row>
    <row r="13821" spans="103:104" x14ac:dyDescent="0.3">
      <c r="CY13821" s="34" t="s">
        <v>14748</v>
      </c>
      <c r="CZ13821" s="35">
        <v>5.3001879999999999E-3</v>
      </c>
    </row>
    <row r="13822" spans="103:104" x14ac:dyDescent="0.3">
      <c r="CY13822" s="34" t="s">
        <v>14749</v>
      </c>
      <c r="CZ13822" s="35">
        <v>8.2777898666666671E-4</v>
      </c>
    </row>
    <row r="13823" spans="103:104" x14ac:dyDescent="0.3">
      <c r="CY13823" s="34" t="s">
        <v>14750</v>
      </c>
      <c r="CZ13823" s="35">
        <v>1.2643952E-3</v>
      </c>
    </row>
    <row r="13824" spans="103:104" x14ac:dyDescent="0.3">
      <c r="CY13824" s="34" t="s">
        <v>14751</v>
      </c>
      <c r="CZ13824" s="35">
        <v>1.4878592000000001E-3</v>
      </c>
    </row>
    <row r="13825" spans="103:104" x14ac:dyDescent="0.3">
      <c r="CY13825" s="34" t="s">
        <v>14752</v>
      </c>
      <c r="CZ13825" s="35">
        <v>2.6093580799999998E-2</v>
      </c>
    </row>
    <row r="13826" spans="103:104" x14ac:dyDescent="0.3">
      <c r="CY13826" s="34" t="s">
        <v>14753</v>
      </c>
      <c r="CZ13826" s="35">
        <v>3.4892169600000002E-2</v>
      </c>
    </row>
    <row r="13827" spans="103:104" x14ac:dyDescent="0.3">
      <c r="CY13827" s="34" t="s">
        <v>14754</v>
      </c>
      <c r="CZ13827" s="35">
        <v>3.2375238133333331E-2</v>
      </c>
    </row>
    <row r="13828" spans="103:104" x14ac:dyDescent="0.3">
      <c r="CY13828" s="34" t="s">
        <v>14755</v>
      </c>
      <c r="CZ13828" s="35">
        <v>2.4345424000000001E-2</v>
      </c>
    </row>
    <row r="13829" spans="103:104" x14ac:dyDescent="0.3">
      <c r="CY13829" s="34" t="s">
        <v>14756</v>
      </c>
      <c r="CZ13829" s="35">
        <v>1.5146649999999998E-2</v>
      </c>
    </row>
    <row r="13830" spans="103:104" x14ac:dyDescent="0.3">
      <c r="CY13830" s="34" t="s">
        <v>14757</v>
      </c>
      <c r="CZ13830" s="35">
        <v>8.0515407058823537E-3</v>
      </c>
    </row>
    <row r="13831" spans="103:104" x14ac:dyDescent="0.3">
      <c r="CY13831" s="34" t="s">
        <v>14758</v>
      </c>
      <c r="CZ13831" s="35">
        <v>4.5082453333333333E-3</v>
      </c>
    </row>
    <row r="13832" spans="103:104" x14ac:dyDescent="0.3">
      <c r="CY13832" s="34" t="s">
        <v>14759</v>
      </c>
      <c r="CZ13832" s="35">
        <v>1.4573850714285717E-2</v>
      </c>
    </row>
    <row r="13833" spans="103:104" x14ac:dyDescent="0.3">
      <c r="CY13833" s="34" t="s">
        <v>14760</v>
      </c>
      <c r="CZ13833" s="35">
        <v>7.7514240000000007E-3</v>
      </c>
    </row>
    <row r="13834" spans="103:104" x14ac:dyDescent="0.3">
      <c r="CY13834" s="34" t="s">
        <v>14761</v>
      </c>
      <c r="CZ13834" s="35">
        <v>4.1562880000000002E-3</v>
      </c>
    </row>
    <row r="13835" spans="103:104" x14ac:dyDescent="0.3">
      <c r="CY13835" s="34" t="s">
        <v>14762</v>
      </c>
      <c r="CZ13835" s="35">
        <v>5.0139967999999991E-3</v>
      </c>
    </row>
    <row r="13836" spans="103:104" x14ac:dyDescent="0.3">
      <c r="CY13836" s="34" t="s">
        <v>14763</v>
      </c>
      <c r="CZ13836" s="35">
        <v>2.4371065600000002E-2</v>
      </c>
    </row>
    <row r="13837" spans="103:104" x14ac:dyDescent="0.3">
      <c r="CY13837" s="34" t="s">
        <v>14764</v>
      </c>
      <c r="CZ13837" s="35">
        <v>3.5100619999999999E-2</v>
      </c>
    </row>
    <row r="13838" spans="103:104" x14ac:dyDescent="0.3">
      <c r="CY13838" s="34" t="s">
        <v>14765</v>
      </c>
      <c r="CZ13838" s="35">
        <v>7.4887725090909086E-3</v>
      </c>
    </row>
    <row r="13839" spans="103:104" x14ac:dyDescent="0.3">
      <c r="CY13839" s="34" t="s">
        <v>14766</v>
      </c>
      <c r="CZ13839" s="35">
        <v>5.9512959999999991E-3</v>
      </c>
    </row>
    <row r="13840" spans="103:104" x14ac:dyDescent="0.3">
      <c r="CY13840" s="34" t="s">
        <v>14767</v>
      </c>
      <c r="CZ13840" s="35">
        <v>5.951296E-3</v>
      </c>
    </row>
    <row r="13841" spans="103:104" x14ac:dyDescent="0.3">
      <c r="CY13841" s="34" t="s">
        <v>14768</v>
      </c>
      <c r="CZ13841" s="35">
        <v>6.7741047999999984E-2</v>
      </c>
    </row>
    <row r="13842" spans="103:104" x14ac:dyDescent="0.3">
      <c r="CY13842" s="34" t="s">
        <v>14769</v>
      </c>
      <c r="CZ13842" s="35">
        <v>9.3928959999999993E-4</v>
      </c>
    </row>
    <row r="13843" spans="103:104" x14ac:dyDescent="0.3">
      <c r="CY13843" s="34" t="s">
        <v>14770</v>
      </c>
      <c r="CZ13843" s="35">
        <v>1.7210663999999997E-3</v>
      </c>
    </row>
    <row r="13844" spans="103:104" x14ac:dyDescent="0.3">
      <c r="CY13844" s="34" t="s">
        <v>14771</v>
      </c>
      <c r="CZ13844" s="35">
        <v>1.4099503999999998E-3</v>
      </c>
    </row>
    <row r="13845" spans="103:104" x14ac:dyDescent="0.3">
      <c r="CY13845" s="34" t="s">
        <v>14772</v>
      </c>
      <c r="CZ13845" s="35">
        <v>2.6954831999999999E-3</v>
      </c>
    </row>
    <row r="13846" spans="103:104" x14ac:dyDescent="0.3">
      <c r="CY13846" s="34" t="s">
        <v>14773</v>
      </c>
      <c r="CZ13846" s="35">
        <v>1.60812E-3</v>
      </c>
    </row>
    <row r="13847" spans="103:104" x14ac:dyDescent="0.3">
      <c r="CY13847" s="34" t="s">
        <v>14774</v>
      </c>
      <c r="CZ13847" s="35">
        <v>2.3576152E-2</v>
      </c>
    </row>
    <row r="13848" spans="103:104" x14ac:dyDescent="0.3">
      <c r="CY13848" s="34" t="s">
        <v>14775</v>
      </c>
      <c r="CZ13848" s="35">
        <v>2.3576152E-2</v>
      </c>
    </row>
    <row r="13849" spans="103:104" x14ac:dyDescent="0.3">
      <c r="CY13849" s="34" t="s">
        <v>14776</v>
      </c>
      <c r="CZ13849" s="35">
        <v>1.3425307199999999E-3</v>
      </c>
    </row>
    <row r="13850" spans="103:104" x14ac:dyDescent="0.3">
      <c r="CY13850" s="34" t="s">
        <v>14777</v>
      </c>
      <c r="CZ13850" s="35">
        <v>3.5349478400000002E-3</v>
      </c>
    </row>
    <row r="13851" spans="103:104" x14ac:dyDescent="0.3">
      <c r="CY13851" s="34" t="s">
        <v>14778</v>
      </c>
      <c r="CZ13851" s="35">
        <v>5.0200581333333334E-2</v>
      </c>
    </row>
    <row r="13852" spans="103:104" x14ac:dyDescent="0.3">
      <c r="CY13852" s="34" t="s">
        <v>14779</v>
      </c>
      <c r="CZ13852" s="35">
        <v>0.30501219440000005</v>
      </c>
    </row>
    <row r="13853" spans="103:104" x14ac:dyDescent="0.3">
      <c r="CY13853" s="34" t="s">
        <v>14780</v>
      </c>
      <c r="CZ13853" s="35">
        <v>2.8675600000000004E-4</v>
      </c>
    </row>
    <row r="13854" spans="103:104" x14ac:dyDescent="0.3">
      <c r="CY13854" s="34" t="s">
        <v>14781</v>
      </c>
      <c r="CZ13854" s="35">
        <v>2.5734740000000005E-3</v>
      </c>
    </row>
    <row r="13855" spans="103:104" x14ac:dyDescent="0.3">
      <c r="CY13855" s="34" t="s">
        <v>14782</v>
      </c>
      <c r="CZ13855" s="35">
        <v>4.4165079999999995E-3</v>
      </c>
    </row>
    <row r="13856" spans="103:104" x14ac:dyDescent="0.3">
      <c r="CY13856" s="34" t="s">
        <v>14783</v>
      </c>
      <c r="CZ13856" s="35">
        <v>0.10819063999999999</v>
      </c>
    </row>
    <row r="13857" spans="103:104" x14ac:dyDescent="0.3">
      <c r="CY13857" s="34" t="s">
        <v>14784</v>
      </c>
      <c r="CZ13857" s="35">
        <v>0.11285463999999999</v>
      </c>
    </row>
    <row r="13858" spans="103:104" x14ac:dyDescent="0.3">
      <c r="CY13858" s="34" t="s">
        <v>14785</v>
      </c>
      <c r="CZ13858" s="35">
        <v>0.19960256000000001</v>
      </c>
    </row>
    <row r="13859" spans="103:104" x14ac:dyDescent="0.3">
      <c r="CY13859" s="34" t="s">
        <v>14786</v>
      </c>
      <c r="CZ13859" s="35">
        <v>0.71918435999999997</v>
      </c>
    </row>
    <row r="13860" spans="103:104" x14ac:dyDescent="0.3">
      <c r="CY13860" s="34" t="s">
        <v>14787</v>
      </c>
      <c r="CZ13860" s="35">
        <v>0.56656544000000009</v>
      </c>
    </row>
    <row r="13861" spans="103:104" x14ac:dyDescent="0.3">
      <c r="CY13861" s="34" t="s">
        <v>14788</v>
      </c>
      <c r="CZ13861" s="35">
        <v>0.358848528</v>
      </c>
    </row>
    <row r="13862" spans="103:104" x14ac:dyDescent="0.3">
      <c r="CY13862" s="34" t="s">
        <v>14789</v>
      </c>
      <c r="CZ13862" s="35">
        <v>0.50329706662500007</v>
      </c>
    </row>
    <row r="13863" spans="103:104" x14ac:dyDescent="0.3">
      <c r="CY13863" s="34" t="s">
        <v>14790</v>
      </c>
      <c r="CZ13863" s="35">
        <v>0.657524</v>
      </c>
    </row>
    <row r="13864" spans="103:104" x14ac:dyDescent="0.3">
      <c r="CY13864" s="34" t="s">
        <v>14791</v>
      </c>
      <c r="CZ13864" s="35">
        <v>0.46794713324999998</v>
      </c>
    </row>
    <row r="13865" spans="103:104" x14ac:dyDescent="0.3">
      <c r="CY13865" s="34" t="s">
        <v>14792</v>
      </c>
      <c r="CZ13865" s="35">
        <v>0.50172559999999999</v>
      </c>
    </row>
    <row r="13866" spans="103:104" x14ac:dyDescent="0.3">
      <c r="CY13866" s="34" t="s">
        <v>14793</v>
      </c>
      <c r="CZ13866" s="35">
        <v>0.22670720000000003</v>
      </c>
    </row>
    <row r="13867" spans="103:104" x14ac:dyDescent="0.3">
      <c r="CY13867" s="34" t="s">
        <v>14794</v>
      </c>
      <c r="CZ13867" s="35">
        <v>0.43512319999999999</v>
      </c>
    </row>
    <row r="13868" spans="103:104" x14ac:dyDescent="0.3">
      <c r="CY13868" s="34" t="s">
        <v>14795</v>
      </c>
      <c r="CZ13868" s="35">
        <v>0.14382544</v>
      </c>
    </row>
    <row r="13869" spans="103:104" x14ac:dyDescent="0.3">
      <c r="CY13869" s="34" t="s">
        <v>14796</v>
      </c>
      <c r="CZ13869" s="35">
        <v>8.9866080000000001E-2</v>
      </c>
    </row>
    <row r="13870" spans="103:104" x14ac:dyDescent="0.3">
      <c r="CY13870" s="34" t="s">
        <v>14797</v>
      </c>
      <c r="CZ13870" s="35">
        <v>7.8753599999999997E-3</v>
      </c>
    </row>
    <row r="13871" spans="103:104" x14ac:dyDescent="0.3">
      <c r="CY13871" s="34" t="s">
        <v>14798</v>
      </c>
      <c r="CZ13871" s="35">
        <v>6.6797760000000001E-3</v>
      </c>
    </row>
    <row r="13872" spans="103:104" x14ac:dyDescent="0.3">
      <c r="CY13872" s="34" t="s">
        <v>14799</v>
      </c>
      <c r="CZ13872" s="35">
        <v>0.11080608</v>
      </c>
    </row>
    <row r="13873" spans="103:104" x14ac:dyDescent="0.3">
      <c r="CY13873" s="34" t="s">
        <v>14800</v>
      </c>
      <c r="CZ13873" s="35">
        <v>9.7556914000000008E-2</v>
      </c>
    </row>
    <row r="13874" spans="103:104" x14ac:dyDescent="0.3">
      <c r="CY13874" s="34" t="s">
        <v>14801</v>
      </c>
      <c r="CZ13874" s="35">
        <v>7.81776E-3</v>
      </c>
    </row>
    <row r="13875" spans="103:104" x14ac:dyDescent="0.3">
      <c r="CY13875" s="34" t="s">
        <v>14802</v>
      </c>
      <c r="CZ13875" s="35">
        <v>9.7606399999999996E-2</v>
      </c>
    </row>
    <row r="13876" spans="103:104" x14ac:dyDescent="0.3">
      <c r="CY13876" s="34" t="s">
        <v>14803</v>
      </c>
      <c r="CZ13876" s="35">
        <v>0.15063079999999998</v>
      </c>
    </row>
    <row r="13877" spans="103:104" x14ac:dyDescent="0.3">
      <c r="CY13877" s="34" t="s">
        <v>14804</v>
      </c>
      <c r="CZ13877" s="35">
        <v>2.1293360000000003E-3</v>
      </c>
    </row>
    <row r="13878" spans="103:104" x14ac:dyDescent="0.3">
      <c r="CY13878" s="34" t="s">
        <v>14805</v>
      </c>
      <c r="CZ13878" s="35">
        <v>3.3339799999999998E-3</v>
      </c>
    </row>
    <row r="13879" spans="103:104" x14ac:dyDescent="0.3">
      <c r="CY13879" s="34" t="s">
        <v>14806</v>
      </c>
      <c r="CZ13879" s="35">
        <v>3.3339799999999998E-3</v>
      </c>
    </row>
    <row r="13880" spans="103:104" x14ac:dyDescent="0.3">
      <c r="CY13880" s="34" t="s">
        <v>14807</v>
      </c>
      <c r="CZ13880" s="35">
        <v>2.7800720000000002E-3</v>
      </c>
    </row>
    <row r="13881" spans="103:104" x14ac:dyDescent="0.3">
      <c r="CY13881" s="34" t="s">
        <v>14808</v>
      </c>
      <c r="CZ13881" s="35">
        <v>1.1242973333333333</v>
      </c>
    </row>
    <row r="13882" spans="103:104" x14ac:dyDescent="0.3">
      <c r="CY13882" s="34" t="s">
        <v>14809</v>
      </c>
      <c r="CZ13882" s="35">
        <v>0.17968729166666667</v>
      </c>
    </row>
    <row r="13883" spans="103:104" x14ac:dyDescent="0.3">
      <c r="CY13883" s="34" t="s">
        <v>14810</v>
      </c>
      <c r="CZ13883" s="35">
        <v>5.7717430000000007E-2</v>
      </c>
    </row>
    <row r="13884" spans="103:104" x14ac:dyDescent="0.3">
      <c r="CY13884" s="34" t="s">
        <v>14811</v>
      </c>
      <c r="CZ13884" s="35">
        <v>5.1513039999999998E-3</v>
      </c>
    </row>
    <row r="13885" spans="103:104" x14ac:dyDescent="0.3">
      <c r="CY13885" s="34" t="s">
        <v>14812</v>
      </c>
      <c r="CZ13885" s="35">
        <v>1.2305816714285713E-3</v>
      </c>
    </row>
    <row r="13886" spans="103:104" x14ac:dyDescent="0.3">
      <c r="CY13886" s="34" t="s">
        <v>14813</v>
      </c>
      <c r="CZ13886" s="35">
        <v>2.1041036363636363E-2</v>
      </c>
    </row>
    <row r="13887" spans="103:104" x14ac:dyDescent="0.3">
      <c r="CY13887" s="34" t="s">
        <v>14814</v>
      </c>
      <c r="CZ13887" s="35">
        <v>2.104103636363636E-2</v>
      </c>
    </row>
    <row r="13888" spans="103:104" x14ac:dyDescent="0.3">
      <c r="CY13888" s="34" t="s">
        <v>14815</v>
      </c>
      <c r="CZ13888" s="35">
        <v>5.0820358095238091E-2</v>
      </c>
    </row>
    <row r="13889" spans="103:104" x14ac:dyDescent="0.3">
      <c r="CY13889" s="34" t="s">
        <v>14816</v>
      </c>
      <c r="CZ13889" s="35">
        <v>3.9156159999999995E-2</v>
      </c>
    </row>
    <row r="13890" spans="103:104" x14ac:dyDescent="0.3">
      <c r="CY13890" s="34" t="s">
        <v>14817</v>
      </c>
      <c r="CZ13890" s="35">
        <v>3.7111279999999996E-2</v>
      </c>
    </row>
    <row r="13891" spans="103:104" x14ac:dyDescent="0.3">
      <c r="CY13891" s="34" t="s">
        <v>14818</v>
      </c>
      <c r="CZ13891" s="35">
        <v>3.0694719999999998E-2</v>
      </c>
    </row>
    <row r="13892" spans="103:104" x14ac:dyDescent="0.3">
      <c r="CY13892" s="34" t="s">
        <v>14819</v>
      </c>
      <c r="CZ13892" s="35">
        <v>3.2105154156250003E-2</v>
      </c>
    </row>
    <row r="13893" spans="103:104" x14ac:dyDescent="0.3">
      <c r="CY13893" s="34" t="s">
        <v>14820</v>
      </c>
      <c r="CZ13893" s="35">
        <v>9.2436546399999996E-3</v>
      </c>
    </row>
    <row r="13894" spans="103:104" x14ac:dyDescent="0.3">
      <c r="CY13894" s="34" t="s">
        <v>14821</v>
      </c>
      <c r="CZ13894" s="35">
        <v>6.9748339999999992E-2</v>
      </c>
    </row>
    <row r="13895" spans="103:104" x14ac:dyDescent="0.3">
      <c r="CY13895" s="34" t="s">
        <v>14822</v>
      </c>
      <c r="CZ13895" s="35">
        <v>4.4050496000000005E-3</v>
      </c>
    </row>
    <row r="13896" spans="103:104" x14ac:dyDescent="0.3">
      <c r="CY13896" s="34" t="s">
        <v>14823</v>
      </c>
      <c r="CZ13896" s="35">
        <v>4.4050496000000005E-3</v>
      </c>
    </row>
    <row r="13897" spans="103:104" x14ac:dyDescent="0.3">
      <c r="CY13897" s="34" t="s">
        <v>14824</v>
      </c>
      <c r="CZ13897" s="35">
        <v>5.1396848000000005E-3</v>
      </c>
    </row>
    <row r="13898" spans="103:104" x14ac:dyDescent="0.3">
      <c r="CY13898" s="34" t="s">
        <v>14825</v>
      </c>
      <c r="CZ13898" s="35">
        <v>5.8230768000000002E-2</v>
      </c>
    </row>
    <row r="13899" spans="103:104" x14ac:dyDescent="0.3">
      <c r="CY13899" s="34" t="s">
        <v>14826</v>
      </c>
      <c r="CZ13899" s="35">
        <v>0.17299979999999998</v>
      </c>
    </row>
    <row r="13900" spans="103:104" x14ac:dyDescent="0.3">
      <c r="CY13900" s="34" t="s">
        <v>14827</v>
      </c>
      <c r="CZ13900" s="35">
        <v>0.20723659999999999</v>
      </c>
    </row>
    <row r="13901" spans="103:104" x14ac:dyDescent="0.3">
      <c r="CY13901" s="34" t="s">
        <v>14828</v>
      </c>
      <c r="CZ13901" s="35">
        <v>0.1253707</v>
      </c>
    </row>
    <row r="13902" spans="103:104" x14ac:dyDescent="0.3">
      <c r="CY13902" s="34" t="s">
        <v>14829</v>
      </c>
      <c r="CZ13902" s="35">
        <v>1.3311488000000002E-2</v>
      </c>
    </row>
    <row r="13903" spans="103:104" x14ac:dyDescent="0.3">
      <c r="CY13903" s="34" t="s">
        <v>14830</v>
      </c>
      <c r="CZ13903" s="35">
        <v>1.8500080000000002E-2</v>
      </c>
    </row>
    <row r="13904" spans="103:104" x14ac:dyDescent="0.3">
      <c r="CY13904" s="34" t="s">
        <v>14831</v>
      </c>
      <c r="CZ13904" s="35">
        <v>1.3311488E-2</v>
      </c>
    </row>
    <row r="13905" spans="103:104" x14ac:dyDescent="0.3">
      <c r="CY13905" s="34" t="s">
        <v>14832</v>
      </c>
      <c r="CZ13905" s="35">
        <v>1.8500080000000002E-2</v>
      </c>
    </row>
    <row r="13906" spans="103:104" x14ac:dyDescent="0.3">
      <c r="CY13906" s="34" t="s">
        <v>14833</v>
      </c>
      <c r="CZ13906" s="35">
        <v>4.8424080000000001E-2</v>
      </c>
    </row>
    <row r="13907" spans="103:104" x14ac:dyDescent="0.3">
      <c r="CY13907" s="34" t="s">
        <v>14834</v>
      </c>
      <c r="CZ13907" s="35">
        <v>6.0825599999999994E-2</v>
      </c>
    </row>
    <row r="13908" spans="103:104" x14ac:dyDescent="0.3">
      <c r="CY13908" s="34" t="s">
        <v>14835</v>
      </c>
      <c r="CZ13908" s="35">
        <v>4.1789351399999994E-2</v>
      </c>
    </row>
    <row r="13909" spans="103:104" x14ac:dyDescent="0.3">
      <c r="CY13909" s="34" t="s">
        <v>14836</v>
      </c>
      <c r="CZ13909" s="35">
        <v>5.0340733333333332E-3</v>
      </c>
    </row>
    <row r="13910" spans="103:104" x14ac:dyDescent="0.3">
      <c r="CY13910" s="34" t="s">
        <v>14837</v>
      </c>
      <c r="CZ13910" s="35">
        <v>4.9496149299999986E-3</v>
      </c>
    </row>
    <row r="13911" spans="103:104" x14ac:dyDescent="0.3">
      <c r="CY13911" s="34" t="s">
        <v>14838</v>
      </c>
      <c r="CZ13911" s="35">
        <v>4.7243925333333332E-3</v>
      </c>
    </row>
    <row r="13912" spans="103:104" x14ac:dyDescent="0.3">
      <c r="CY13912" s="34" t="s">
        <v>14839</v>
      </c>
      <c r="CZ13912" s="35">
        <v>0.11093351999999999</v>
      </c>
    </row>
    <row r="13913" spans="103:104" x14ac:dyDescent="0.3">
      <c r="CY13913" s="34" t="s">
        <v>14840</v>
      </c>
      <c r="CZ13913" s="35">
        <v>0.17629290666666669</v>
      </c>
    </row>
    <row r="13914" spans="103:104" x14ac:dyDescent="0.3">
      <c r="CY13914" s="34" t="s">
        <v>14841</v>
      </c>
      <c r="CZ13914" s="35">
        <v>4.3676871400000006E-3</v>
      </c>
    </row>
    <row r="13915" spans="103:104" x14ac:dyDescent="0.3">
      <c r="CY13915" s="34" t="s">
        <v>14842</v>
      </c>
      <c r="CZ13915" s="35">
        <v>3.61696667E-3</v>
      </c>
    </row>
    <row r="13916" spans="103:104" x14ac:dyDescent="0.3">
      <c r="CY13916" s="34" t="s">
        <v>14843</v>
      </c>
      <c r="CZ13916" s="35">
        <v>8.2871062500000009E-2</v>
      </c>
    </row>
    <row r="13917" spans="103:104" x14ac:dyDescent="0.3">
      <c r="CY13917" s="34" t="s">
        <v>14844</v>
      </c>
      <c r="CZ13917" s="35">
        <v>9.5731786666666677E-4</v>
      </c>
    </row>
    <row r="13918" spans="103:104" x14ac:dyDescent="0.3">
      <c r="CY13918" s="34" t="s">
        <v>14845</v>
      </c>
      <c r="CZ13918" s="35">
        <v>1.1106479999999999E-3</v>
      </c>
    </row>
    <row r="13919" spans="103:104" x14ac:dyDescent="0.3">
      <c r="CY13919" s="34" t="s">
        <v>14846</v>
      </c>
      <c r="CZ13919" s="35">
        <v>1.24620696E-3</v>
      </c>
    </row>
    <row r="13920" spans="103:104" x14ac:dyDescent="0.3">
      <c r="CY13920" s="34" t="s">
        <v>14847</v>
      </c>
      <c r="CZ13920" s="35">
        <v>0.40264359999999999</v>
      </c>
    </row>
    <row r="13921" spans="103:104" x14ac:dyDescent="0.3">
      <c r="CY13921" s="34" t="s">
        <v>14848</v>
      </c>
      <c r="CZ13921" s="35">
        <v>2.1041711666666664E-2</v>
      </c>
    </row>
    <row r="13922" spans="103:104" x14ac:dyDescent="0.3">
      <c r="CY13922" s="34" t="s">
        <v>14849</v>
      </c>
      <c r="CZ13922" s="35">
        <v>0.15127656</v>
      </c>
    </row>
    <row r="13923" spans="103:104" x14ac:dyDescent="0.3">
      <c r="CY13923" s="34" t="s">
        <v>14850</v>
      </c>
      <c r="CZ13923" s="35">
        <v>1.4632801799999998E-2</v>
      </c>
    </row>
    <row r="13924" spans="103:104" x14ac:dyDescent="0.3">
      <c r="CY13924" s="34" t="s">
        <v>14851</v>
      </c>
      <c r="CZ13924" s="35">
        <v>0.36738799999999999</v>
      </c>
    </row>
    <row r="13925" spans="103:104" x14ac:dyDescent="0.3">
      <c r="CY13925" s="34" t="s">
        <v>14852</v>
      </c>
      <c r="CZ13925" s="35">
        <v>3.1312800799999999E-2</v>
      </c>
    </row>
    <row r="13926" spans="103:104" x14ac:dyDescent="0.3">
      <c r="CY13926" s="34" t="s">
        <v>14853</v>
      </c>
      <c r="CZ13926" s="35">
        <v>3.1312800799999999E-2</v>
      </c>
    </row>
    <row r="13927" spans="103:104" x14ac:dyDescent="0.3">
      <c r="CY13927" s="34" t="s">
        <v>14854</v>
      </c>
      <c r="CZ13927" s="35">
        <v>6.1409704000000009E-2</v>
      </c>
    </row>
    <row r="13928" spans="103:104" x14ac:dyDescent="0.3">
      <c r="CY13928" s="34" t="s">
        <v>14855</v>
      </c>
      <c r="CZ13928" s="35">
        <v>3.6227310400000004E-2</v>
      </c>
    </row>
    <row r="13929" spans="103:104" x14ac:dyDescent="0.3">
      <c r="CY13929" s="34" t="s">
        <v>14856</v>
      </c>
      <c r="CZ13929" s="35">
        <v>2.4717351999999997E-3</v>
      </c>
    </row>
    <row r="13930" spans="103:104" x14ac:dyDescent="0.3">
      <c r="CY13930" s="34" t="s">
        <v>14857</v>
      </c>
      <c r="CZ13930" s="35">
        <v>3.5581985882352937E-2</v>
      </c>
    </row>
    <row r="13931" spans="103:104" x14ac:dyDescent="0.3">
      <c r="CY13931" s="34" t="s">
        <v>14858</v>
      </c>
      <c r="CZ13931" s="35">
        <v>3.5581985882352937E-2</v>
      </c>
    </row>
    <row r="13932" spans="103:104" x14ac:dyDescent="0.3">
      <c r="CY13932" s="34" t="s">
        <v>14859</v>
      </c>
      <c r="CZ13932" s="35">
        <v>2.3826590769230771E-2</v>
      </c>
    </row>
    <row r="13933" spans="103:104" x14ac:dyDescent="0.3">
      <c r="CY13933" s="34" t="s">
        <v>14860</v>
      </c>
      <c r="CZ13933" s="35">
        <v>3.2066799999999999E-2</v>
      </c>
    </row>
    <row r="13934" spans="103:104" x14ac:dyDescent="0.3">
      <c r="CY13934" s="34" t="s">
        <v>14861</v>
      </c>
      <c r="CZ13934" s="35">
        <v>2.8043779999999997E-2</v>
      </c>
    </row>
    <row r="13935" spans="103:104" x14ac:dyDescent="0.3">
      <c r="CY13935" s="34" t="s">
        <v>14862</v>
      </c>
      <c r="CZ13935" s="35">
        <v>0.30184162399999998</v>
      </c>
    </row>
    <row r="13936" spans="103:104" x14ac:dyDescent="0.3">
      <c r="CY13936" s="34" t="s">
        <v>14863</v>
      </c>
      <c r="CZ13936" s="35">
        <v>0.32678015999999999</v>
      </c>
    </row>
    <row r="13937" spans="103:104" x14ac:dyDescent="0.3">
      <c r="CY13937" s="34" t="s">
        <v>14864</v>
      </c>
      <c r="CZ13937" s="35">
        <v>7.261720000000001E-3</v>
      </c>
    </row>
    <row r="13938" spans="103:104" x14ac:dyDescent="0.3">
      <c r="CY13938" s="34" t="s">
        <v>14865</v>
      </c>
      <c r="CZ13938" s="35">
        <v>7.3085199999999998E-3</v>
      </c>
    </row>
    <row r="13939" spans="103:104" x14ac:dyDescent="0.3">
      <c r="CY13939" s="34" t="s">
        <v>14866</v>
      </c>
      <c r="CZ13939" s="35">
        <v>0.66518656000000009</v>
      </c>
    </row>
    <row r="13940" spans="103:104" x14ac:dyDescent="0.3">
      <c r="CY13940" s="34" t="s">
        <v>14867</v>
      </c>
      <c r="CZ13940" s="35">
        <v>0.85079808000000001</v>
      </c>
    </row>
    <row r="13941" spans="103:104" x14ac:dyDescent="0.3">
      <c r="CY13941" s="34" t="s">
        <v>14868</v>
      </c>
      <c r="CZ13941" s="35">
        <v>0.87716415999999997</v>
      </c>
    </row>
    <row r="13942" spans="103:104" x14ac:dyDescent="0.3">
      <c r="CY13942" s="34" t="s">
        <v>14869</v>
      </c>
      <c r="CZ13942" s="35">
        <v>6.8432079999999999E-3</v>
      </c>
    </row>
    <row r="13943" spans="103:104" x14ac:dyDescent="0.3">
      <c r="CY13943" s="34" t="s">
        <v>14870</v>
      </c>
      <c r="CZ13943" s="35">
        <v>2.6425866666666669E-3</v>
      </c>
    </row>
    <row r="13944" spans="103:104" x14ac:dyDescent="0.3">
      <c r="CY13944" s="34" t="s">
        <v>14871</v>
      </c>
      <c r="CZ13944" s="35">
        <v>1.8672057142857142E-2</v>
      </c>
    </row>
    <row r="13945" spans="103:104" x14ac:dyDescent="0.3">
      <c r="CY13945" s="34" t="s">
        <v>14872</v>
      </c>
      <c r="CZ13945" s="35">
        <v>3.2946639999999999E-2</v>
      </c>
    </row>
    <row r="13946" spans="103:104" x14ac:dyDescent="0.3">
      <c r="CY13946" s="34" t="s">
        <v>14873</v>
      </c>
      <c r="CZ13946" s="35">
        <v>8.1256000000000002E-3</v>
      </c>
    </row>
    <row r="13947" spans="103:104" x14ac:dyDescent="0.3">
      <c r="CY13947" s="34" t="s">
        <v>14874</v>
      </c>
      <c r="CZ13947" s="35">
        <v>6.2079373333333342E-3</v>
      </c>
    </row>
    <row r="13948" spans="103:104" x14ac:dyDescent="0.3">
      <c r="CY13948" s="34" t="s">
        <v>14875</v>
      </c>
      <c r="CZ13948" s="35">
        <v>0.20172746153846155</v>
      </c>
    </row>
    <row r="13949" spans="103:104" x14ac:dyDescent="0.3">
      <c r="CY13949" s="34" t="s">
        <v>14876</v>
      </c>
      <c r="CZ13949" s="35">
        <v>2.2595604285714286E-3</v>
      </c>
    </row>
    <row r="13950" spans="103:104" x14ac:dyDescent="0.3">
      <c r="CY13950" s="34" t="s">
        <v>14877</v>
      </c>
      <c r="CZ13950" s="35">
        <v>2.7752076222222226E-3</v>
      </c>
    </row>
    <row r="13951" spans="103:104" x14ac:dyDescent="0.3">
      <c r="CY13951" s="34" t="s">
        <v>14878</v>
      </c>
      <c r="CZ13951" s="35">
        <v>4.1685226500000006E-2</v>
      </c>
    </row>
    <row r="13952" spans="103:104" x14ac:dyDescent="0.3">
      <c r="CY13952" s="34" t="s">
        <v>14879</v>
      </c>
      <c r="CZ13952" s="35">
        <v>2.4794880000000002E-2</v>
      </c>
    </row>
    <row r="13953" spans="103:104" x14ac:dyDescent="0.3">
      <c r="CY13953" s="34" t="s">
        <v>14880</v>
      </c>
      <c r="CZ13953" s="35">
        <v>8.2131840000000001E-3</v>
      </c>
    </row>
    <row r="13954" spans="103:104" x14ac:dyDescent="0.3">
      <c r="CY13954" s="34" t="s">
        <v>14881</v>
      </c>
      <c r="CZ13954" s="35">
        <v>8.2137600000000005E-3</v>
      </c>
    </row>
    <row r="13955" spans="103:104" x14ac:dyDescent="0.3">
      <c r="CY13955" s="34" t="s">
        <v>14882</v>
      </c>
      <c r="CZ13955" s="35">
        <v>8.592103999999999E-2</v>
      </c>
    </row>
    <row r="13956" spans="103:104" x14ac:dyDescent="0.3">
      <c r="CY13956" s="34" t="s">
        <v>14883</v>
      </c>
      <c r="CZ13956" s="35">
        <v>1.3836886666666666E-3</v>
      </c>
    </row>
    <row r="13957" spans="103:104" x14ac:dyDescent="0.3">
      <c r="CY13957" s="34" t="s">
        <v>14884</v>
      </c>
      <c r="CZ13957" s="35">
        <v>1.2563565714285714E-2</v>
      </c>
    </row>
    <row r="13958" spans="103:104" x14ac:dyDescent="0.3">
      <c r="CY13958" s="34" t="s">
        <v>14885</v>
      </c>
      <c r="CZ13958" s="35">
        <v>9.3555679999999988E-2</v>
      </c>
    </row>
    <row r="13959" spans="103:104" x14ac:dyDescent="0.3">
      <c r="CY13959" s="34" t="s">
        <v>14886</v>
      </c>
      <c r="CZ13959" s="35">
        <v>7.4359421333333328E-2</v>
      </c>
    </row>
    <row r="13960" spans="103:104" x14ac:dyDescent="0.3">
      <c r="CY13960" s="34" t="s">
        <v>14887</v>
      </c>
      <c r="CZ13960" s="35">
        <v>3.7203919999999999E-3</v>
      </c>
    </row>
    <row r="13961" spans="103:104" x14ac:dyDescent="0.3">
      <c r="CY13961" s="34" t="s">
        <v>14888</v>
      </c>
      <c r="CZ13961" s="35">
        <v>2.7470936000000001E-2</v>
      </c>
    </row>
    <row r="13962" spans="103:104" x14ac:dyDescent="0.3">
      <c r="CY13962" s="34" t="s">
        <v>14889</v>
      </c>
      <c r="CZ13962" s="35">
        <v>1.5074456666666668E-2</v>
      </c>
    </row>
    <row r="13963" spans="103:104" x14ac:dyDescent="0.3">
      <c r="CY13963" s="34" t="s">
        <v>14890</v>
      </c>
      <c r="CZ13963" s="35">
        <v>1.2544829999999998E-2</v>
      </c>
    </row>
    <row r="13964" spans="103:104" x14ac:dyDescent="0.3">
      <c r="CY13964" s="34" t="s">
        <v>14891</v>
      </c>
      <c r="CZ13964" s="35">
        <v>5.5508256000000008E-4</v>
      </c>
    </row>
    <row r="13965" spans="103:104" x14ac:dyDescent="0.3">
      <c r="CY13965" s="34" t="s">
        <v>14892</v>
      </c>
      <c r="CZ13965" s="35">
        <v>3.4716527999999998E-3</v>
      </c>
    </row>
    <row r="13966" spans="103:104" x14ac:dyDescent="0.3">
      <c r="CY13966" s="34" t="s">
        <v>14893</v>
      </c>
      <c r="CZ13966" s="35">
        <v>2.4616923999999998E-2</v>
      </c>
    </row>
    <row r="13967" spans="103:104" x14ac:dyDescent="0.3">
      <c r="CY13967" s="34" t="s">
        <v>14894</v>
      </c>
      <c r="CZ13967" s="35">
        <v>1.8057632900000002E-2</v>
      </c>
    </row>
    <row r="13968" spans="103:104" x14ac:dyDescent="0.3">
      <c r="CY13968" s="34" t="s">
        <v>14895</v>
      </c>
      <c r="CZ13968" s="35">
        <v>0.32075003999999996</v>
      </c>
    </row>
    <row r="13969" spans="103:104" x14ac:dyDescent="0.3">
      <c r="CY13969" s="34" t="s">
        <v>14896</v>
      </c>
      <c r="CZ13969" s="35">
        <v>0.39621270508333328</v>
      </c>
    </row>
    <row r="13970" spans="103:104" x14ac:dyDescent="0.3">
      <c r="CY13970" s="34" t="s">
        <v>14897</v>
      </c>
      <c r="CZ13970" s="35">
        <v>0.39621270514285711</v>
      </c>
    </row>
    <row r="13971" spans="103:104" x14ac:dyDescent="0.3">
      <c r="CY13971" s="34" t="s">
        <v>14898</v>
      </c>
      <c r="CZ13971" s="35">
        <v>0.25771611999999999</v>
      </c>
    </row>
    <row r="13972" spans="103:104" x14ac:dyDescent="0.3">
      <c r="CY13972" s="34" t="s">
        <v>14899</v>
      </c>
      <c r="CZ13972" s="35">
        <v>1.3299288000000001E-2</v>
      </c>
    </row>
    <row r="13973" spans="103:104" x14ac:dyDescent="0.3">
      <c r="CY13973" s="34" t="s">
        <v>14900</v>
      </c>
      <c r="CZ13973" s="35">
        <v>4.1986120000000001E-4</v>
      </c>
    </row>
    <row r="13974" spans="103:104" x14ac:dyDescent="0.3">
      <c r="CY13974" s="34" t="s">
        <v>14901</v>
      </c>
      <c r="CZ13974" s="35">
        <v>6.1710875999999989E-4</v>
      </c>
    </row>
    <row r="13975" spans="103:104" x14ac:dyDescent="0.3">
      <c r="CY13975" s="34" t="s">
        <v>14902</v>
      </c>
      <c r="CZ13975" s="35">
        <v>9.8748295999999988E-4</v>
      </c>
    </row>
    <row r="13976" spans="103:104" x14ac:dyDescent="0.3">
      <c r="CY13976" s="34" t="s">
        <v>14903</v>
      </c>
      <c r="CZ13976" s="35">
        <v>4.0536335999999994E-3</v>
      </c>
    </row>
    <row r="13977" spans="103:104" x14ac:dyDescent="0.3">
      <c r="CY13977" s="34" t="s">
        <v>14904</v>
      </c>
      <c r="CZ13977" s="35">
        <v>9.1360000000000018E-3</v>
      </c>
    </row>
    <row r="13978" spans="103:104" x14ac:dyDescent="0.3">
      <c r="CY13978" s="34" t="s">
        <v>14905</v>
      </c>
      <c r="CZ13978" s="35">
        <v>0.16504927999999999</v>
      </c>
    </row>
    <row r="13979" spans="103:104" x14ac:dyDescent="0.3">
      <c r="CY13979" s="34" t="s">
        <v>14906</v>
      </c>
      <c r="CZ13979" s="35">
        <v>7.6547200000000003E-3</v>
      </c>
    </row>
    <row r="13980" spans="103:104" x14ac:dyDescent="0.3">
      <c r="CY13980" s="34" t="s">
        <v>14907</v>
      </c>
      <c r="CZ13980" s="35">
        <v>1.88002E-3</v>
      </c>
    </row>
    <row r="13981" spans="103:104" x14ac:dyDescent="0.3">
      <c r="CY13981" s="34" t="s">
        <v>14908</v>
      </c>
      <c r="CZ13981" s="35">
        <v>3.2257066665999999E-2</v>
      </c>
    </row>
    <row r="13982" spans="103:104" x14ac:dyDescent="0.3">
      <c r="CY13982" s="34" t="s">
        <v>14909</v>
      </c>
      <c r="CZ13982" s="35">
        <v>2.0583103999999998E-2</v>
      </c>
    </row>
    <row r="13983" spans="103:104" x14ac:dyDescent="0.3">
      <c r="CY13983" s="34" t="s">
        <v>14910</v>
      </c>
      <c r="CZ13983" s="35">
        <v>0.52640419555555562</v>
      </c>
    </row>
    <row r="13984" spans="103:104" x14ac:dyDescent="0.3">
      <c r="CY13984" s="34" t="s">
        <v>14911</v>
      </c>
      <c r="CZ13984" s="35">
        <v>0.51824864000000004</v>
      </c>
    </row>
    <row r="13985" spans="103:104" x14ac:dyDescent="0.3">
      <c r="CY13985" s="34" t="s">
        <v>14912</v>
      </c>
      <c r="CZ13985" s="35">
        <v>0.113059728</v>
      </c>
    </row>
    <row r="13986" spans="103:104" x14ac:dyDescent="0.3">
      <c r="CY13986" s="34" t="s">
        <v>14913</v>
      </c>
      <c r="CZ13986" s="35">
        <v>0.103649728</v>
      </c>
    </row>
    <row r="13987" spans="103:104" x14ac:dyDescent="0.3">
      <c r="CY13987" s="34" t="s">
        <v>14914</v>
      </c>
      <c r="CZ13987" s="35">
        <v>0.26712263999999997</v>
      </c>
    </row>
    <row r="13988" spans="103:104" x14ac:dyDescent="0.3">
      <c r="CY13988" s="34" t="s">
        <v>14915</v>
      </c>
      <c r="CZ13988" s="35">
        <v>0.25562264000000001</v>
      </c>
    </row>
    <row r="13989" spans="103:104" x14ac:dyDescent="0.3">
      <c r="CY13989" s="34" t="s">
        <v>14916</v>
      </c>
      <c r="CZ13989" s="35">
        <v>0.11165905600000001</v>
      </c>
    </row>
    <row r="13990" spans="103:104" x14ac:dyDescent="0.3">
      <c r="CY13990" s="34" t="s">
        <v>14917</v>
      </c>
      <c r="CZ13990" s="35">
        <v>0.102249056</v>
      </c>
    </row>
    <row r="13991" spans="103:104" x14ac:dyDescent="0.3">
      <c r="CY13991" s="34" t="s">
        <v>14918</v>
      </c>
      <c r="CZ13991" s="35">
        <v>7.2765082714285709E-2</v>
      </c>
    </row>
    <row r="13992" spans="103:104" x14ac:dyDescent="0.3">
      <c r="CY13992" s="34" t="s">
        <v>14919</v>
      </c>
      <c r="CZ13992" s="35">
        <v>6.9628415999999999E-2</v>
      </c>
    </row>
    <row r="13993" spans="103:104" x14ac:dyDescent="0.3">
      <c r="CY13993" s="34" t="s">
        <v>14920</v>
      </c>
      <c r="CZ13993" s="35">
        <v>0.13784976000000002</v>
      </c>
    </row>
    <row r="13994" spans="103:104" x14ac:dyDescent="0.3">
      <c r="CY13994" s="34" t="s">
        <v>14921</v>
      </c>
      <c r="CZ13994" s="35">
        <v>0.13417976000000001</v>
      </c>
    </row>
    <row r="13995" spans="103:104" x14ac:dyDescent="0.3">
      <c r="CY13995" s="34" t="s">
        <v>14922</v>
      </c>
      <c r="CZ13995" s="35">
        <v>0.16894159999999997</v>
      </c>
    </row>
    <row r="13996" spans="103:104" x14ac:dyDescent="0.3">
      <c r="CY13996" s="34" t="s">
        <v>14923</v>
      </c>
      <c r="CZ13996" s="35">
        <v>0.16319159999999999</v>
      </c>
    </row>
    <row r="13997" spans="103:104" x14ac:dyDescent="0.3">
      <c r="CY13997" s="34" t="s">
        <v>14924</v>
      </c>
      <c r="CZ13997" s="35">
        <v>8.0480259999999998E-3</v>
      </c>
    </row>
    <row r="13998" spans="103:104" x14ac:dyDescent="0.3">
      <c r="CY13998" s="34" t="s">
        <v>14925</v>
      </c>
      <c r="CZ13998" s="35">
        <v>8.0058499999999993E-4</v>
      </c>
    </row>
    <row r="13999" spans="103:104" x14ac:dyDescent="0.3">
      <c r="CY13999" s="34" t="s">
        <v>14926</v>
      </c>
      <c r="CZ13999" s="35">
        <v>1.1281782074074074E-2</v>
      </c>
    </row>
    <row r="14000" spans="103:104" x14ac:dyDescent="0.3">
      <c r="CY14000" s="34" t="s">
        <v>14927</v>
      </c>
      <c r="CZ14000" s="35">
        <v>1.3299783051851852E-2</v>
      </c>
    </row>
    <row r="14001" spans="103:104" x14ac:dyDescent="0.3">
      <c r="CY14001" s="34" t="s">
        <v>14928</v>
      </c>
      <c r="CZ14001" s="35">
        <v>5.8526399999999992E-2</v>
      </c>
    </row>
    <row r="14002" spans="103:104" x14ac:dyDescent="0.3">
      <c r="CY14002" s="34" t="s">
        <v>14929</v>
      </c>
      <c r="CZ14002" s="35">
        <v>6.2970111999999995E-2</v>
      </c>
    </row>
    <row r="14003" spans="103:104" x14ac:dyDescent="0.3">
      <c r="CY14003" s="34" t="s">
        <v>14930</v>
      </c>
      <c r="CZ14003" s="35">
        <v>7.4396799999999985E-2</v>
      </c>
    </row>
    <row r="14004" spans="103:104" x14ac:dyDescent="0.3">
      <c r="CY14004" s="34" t="s">
        <v>14931</v>
      </c>
      <c r="CZ14004" s="35">
        <v>7.1967904000000013E-2</v>
      </c>
    </row>
    <row r="14005" spans="103:104" x14ac:dyDescent="0.3">
      <c r="CY14005" s="34" t="s">
        <v>14932</v>
      </c>
      <c r="CZ14005" s="35">
        <v>8.7874859999999999E-2</v>
      </c>
    </row>
    <row r="14006" spans="103:104" x14ac:dyDescent="0.3">
      <c r="CY14006" s="34" t="s">
        <v>14933</v>
      </c>
      <c r="CZ14006" s="35">
        <v>1.4726876600000001E-2</v>
      </c>
    </row>
    <row r="14007" spans="103:104" x14ac:dyDescent="0.3">
      <c r="CY14007" s="34" t="s">
        <v>14934</v>
      </c>
      <c r="CZ14007" s="35">
        <v>0.282941</v>
      </c>
    </row>
    <row r="14008" spans="103:104" x14ac:dyDescent="0.3">
      <c r="CY14008" s="34" t="s">
        <v>14935</v>
      </c>
      <c r="CZ14008" s="35">
        <v>1.0112831999999999E-2</v>
      </c>
    </row>
    <row r="14009" spans="103:104" x14ac:dyDescent="0.3">
      <c r="CY14009" s="34" t="s">
        <v>14936</v>
      </c>
      <c r="CZ14009" s="35">
        <v>5.2335152000000003E-3</v>
      </c>
    </row>
    <row r="14010" spans="103:104" x14ac:dyDescent="0.3">
      <c r="CY14010" s="34" t="s">
        <v>14937</v>
      </c>
      <c r="CZ14010" s="35">
        <v>1.3495454399999999E-2</v>
      </c>
    </row>
    <row r="14011" spans="103:104" x14ac:dyDescent="0.3">
      <c r="CY14011" s="34" t="s">
        <v>14938</v>
      </c>
      <c r="CZ14011" s="35">
        <v>1.3349368000000002E-3</v>
      </c>
    </row>
    <row r="14012" spans="103:104" x14ac:dyDescent="0.3">
      <c r="CY14012" s="34" t="s">
        <v>14939</v>
      </c>
      <c r="CZ14012" s="35">
        <v>6.7394880000000009E-3</v>
      </c>
    </row>
    <row r="14013" spans="103:104" x14ac:dyDescent="0.3">
      <c r="CY14013" s="34" t="s">
        <v>14940</v>
      </c>
      <c r="CZ14013" s="35">
        <v>2.7500710400000003E-2</v>
      </c>
    </row>
    <row r="14014" spans="103:104" x14ac:dyDescent="0.3">
      <c r="CY14014" s="34" t="s">
        <v>14941</v>
      </c>
      <c r="CZ14014" s="35">
        <v>1.4083848800000002E-2</v>
      </c>
    </row>
    <row r="14015" spans="103:104" x14ac:dyDescent="0.3">
      <c r="CY14015" s="34" t="s">
        <v>14942</v>
      </c>
      <c r="CZ14015" s="35">
        <v>1.40838488E-2</v>
      </c>
    </row>
    <row r="14016" spans="103:104" x14ac:dyDescent="0.3">
      <c r="CY14016" s="34" t="s">
        <v>14943</v>
      </c>
      <c r="CZ14016" s="35">
        <v>8.4024077199999995E-3</v>
      </c>
    </row>
    <row r="14017" spans="103:104" x14ac:dyDescent="0.3">
      <c r="CY14017" s="34" t="s">
        <v>14944</v>
      </c>
      <c r="CZ14017" s="35">
        <v>9.73426E-4</v>
      </c>
    </row>
    <row r="14018" spans="103:104" x14ac:dyDescent="0.3">
      <c r="CY14018" s="34" t="s">
        <v>14945</v>
      </c>
      <c r="CZ14018" s="35">
        <v>5.7269092000000006E-3</v>
      </c>
    </row>
    <row r="14019" spans="103:104" x14ac:dyDescent="0.3">
      <c r="CY14019" s="34" t="s">
        <v>14946</v>
      </c>
      <c r="CZ14019" s="35">
        <v>5.306426000000001E-4</v>
      </c>
    </row>
    <row r="14020" spans="103:104" x14ac:dyDescent="0.3">
      <c r="CY14020" s="34" t="s">
        <v>14947</v>
      </c>
      <c r="CZ14020" s="35">
        <v>6.3171546666666671E-4</v>
      </c>
    </row>
    <row r="14021" spans="103:104" x14ac:dyDescent="0.3">
      <c r="CY14021" s="34" t="s">
        <v>14948</v>
      </c>
      <c r="CZ14021" s="35">
        <v>9.4080306666666658E-4</v>
      </c>
    </row>
    <row r="14022" spans="103:104" x14ac:dyDescent="0.3">
      <c r="CY14022" s="34" t="s">
        <v>14949</v>
      </c>
      <c r="CZ14022" s="35">
        <v>1.9130463999999999E-4</v>
      </c>
    </row>
    <row r="14023" spans="103:104" x14ac:dyDescent="0.3">
      <c r="CY14023" s="34" t="s">
        <v>14950</v>
      </c>
      <c r="CZ14023" s="35">
        <v>2.3482447999999999E-4</v>
      </c>
    </row>
    <row r="14024" spans="103:104" x14ac:dyDescent="0.3">
      <c r="CY14024" s="34" t="s">
        <v>14951</v>
      </c>
      <c r="CZ14024" s="35">
        <v>7.0454480000000004E-4</v>
      </c>
    </row>
    <row r="14025" spans="103:104" x14ac:dyDescent="0.3">
      <c r="CY14025" s="34" t="s">
        <v>14952</v>
      </c>
      <c r="CZ14025" s="35">
        <v>8.2959440000000004E-4</v>
      </c>
    </row>
    <row r="14026" spans="103:104" x14ac:dyDescent="0.3">
      <c r="CY14026" s="34" t="s">
        <v>14953</v>
      </c>
      <c r="CZ14026" s="35">
        <v>0.18737559999999998</v>
      </c>
    </row>
    <row r="14027" spans="103:104" x14ac:dyDescent="0.3">
      <c r="CY14027" s="34" t="s">
        <v>14954</v>
      </c>
      <c r="CZ14027" s="35">
        <v>0.17506562970377776</v>
      </c>
    </row>
    <row r="14028" spans="103:104" x14ac:dyDescent="0.3">
      <c r="CY14028" s="34" t="s">
        <v>14955</v>
      </c>
      <c r="CZ14028" s="35">
        <v>2.2304960000000002E-2</v>
      </c>
    </row>
    <row r="14029" spans="103:104" x14ac:dyDescent="0.3">
      <c r="CY14029" s="34" t="s">
        <v>14956</v>
      </c>
      <c r="CZ14029" s="35">
        <v>7.4868239999999989E-4</v>
      </c>
    </row>
    <row r="14030" spans="103:104" x14ac:dyDescent="0.3">
      <c r="CY14030" s="34" t="s">
        <v>14957</v>
      </c>
      <c r="CZ14030" s="35">
        <v>8.5611039999999999E-2</v>
      </c>
    </row>
    <row r="14031" spans="103:104" x14ac:dyDescent="0.3">
      <c r="CY14031" s="34" t="s">
        <v>14958</v>
      </c>
      <c r="CZ14031" s="35">
        <v>3.4259999999999999E-2</v>
      </c>
    </row>
    <row r="14032" spans="103:104" x14ac:dyDescent="0.3">
      <c r="CY14032" s="34" t="s">
        <v>14959</v>
      </c>
      <c r="CZ14032" s="35">
        <v>3.4259999999999999E-2</v>
      </c>
    </row>
    <row r="14033" spans="103:104" x14ac:dyDescent="0.3">
      <c r="CY14033" s="34" t="s">
        <v>14960</v>
      </c>
      <c r="CZ14033" s="35">
        <v>2.5756332199999992E-2</v>
      </c>
    </row>
    <row r="14034" spans="103:104" x14ac:dyDescent="0.3">
      <c r="CY14034" s="34" t="s">
        <v>14961</v>
      </c>
      <c r="CZ14034" s="35">
        <v>2.5756332199999996E-2</v>
      </c>
    </row>
    <row r="14035" spans="103:104" x14ac:dyDescent="0.3">
      <c r="CY14035" s="34" t="s">
        <v>14962</v>
      </c>
      <c r="CZ14035" s="35">
        <v>2.0758964000000001E-2</v>
      </c>
    </row>
    <row r="14036" spans="103:104" x14ac:dyDescent="0.3">
      <c r="CY14036" s="34" t="s">
        <v>14963</v>
      </c>
      <c r="CZ14036" s="35">
        <v>0.16341777066666666</v>
      </c>
    </row>
    <row r="14037" spans="103:104" x14ac:dyDescent="0.3">
      <c r="CY14037" s="34" t="s">
        <v>14964</v>
      </c>
      <c r="CZ14037" s="35">
        <v>3.3709511999999999E-4</v>
      </c>
    </row>
    <row r="14038" spans="103:104" x14ac:dyDescent="0.3">
      <c r="CY14038" s="34" t="s">
        <v>14965</v>
      </c>
      <c r="CZ14038" s="35">
        <v>1.5970986666666669E-2</v>
      </c>
    </row>
    <row r="14039" spans="103:104" x14ac:dyDescent="0.3">
      <c r="CY14039" s="34" t="s">
        <v>14966</v>
      </c>
      <c r="CZ14039" s="35">
        <v>3.3724640000000004E-3</v>
      </c>
    </row>
    <row r="14040" spans="103:104" x14ac:dyDescent="0.3">
      <c r="CY14040" s="34" t="s">
        <v>14967</v>
      </c>
      <c r="CZ14040" s="35">
        <v>7.2180313328571416E-2</v>
      </c>
    </row>
    <row r="14041" spans="103:104" x14ac:dyDescent="0.3">
      <c r="CY14041" s="34" t="s">
        <v>14968</v>
      </c>
      <c r="CZ14041" s="35">
        <v>6.608266332857142E-2</v>
      </c>
    </row>
    <row r="14042" spans="103:104" x14ac:dyDescent="0.3">
      <c r="CY14042" s="34" t="s">
        <v>14969</v>
      </c>
      <c r="CZ14042" s="35">
        <v>5.5288683333333331E-2</v>
      </c>
    </row>
    <row r="14043" spans="103:104" x14ac:dyDescent="0.3">
      <c r="CY14043" s="34" t="s">
        <v>14970</v>
      </c>
      <c r="CZ14043" s="35">
        <v>6.5567214105263158E-3</v>
      </c>
    </row>
    <row r="14044" spans="103:104" x14ac:dyDescent="0.3">
      <c r="CY14044" s="34" t="s">
        <v>14971</v>
      </c>
      <c r="CZ14044" s="35">
        <v>4.0522346666666664E-3</v>
      </c>
    </row>
    <row r="14045" spans="103:104" x14ac:dyDescent="0.3">
      <c r="CY14045" s="34" t="s">
        <v>14972</v>
      </c>
      <c r="CZ14045" s="35">
        <v>3.9342546666666662E-3</v>
      </c>
    </row>
    <row r="14046" spans="103:104" x14ac:dyDescent="0.3">
      <c r="CY14046" s="34" t="s">
        <v>14973</v>
      </c>
      <c r="CZ14046" s="35">
        <v>1.50489036E-2</v>
      </c>
    </row>
    <row r="14047" spans="103:104" x14ac:dyDescent="0.3">
      <c r="CY14047" s="34" t="s">
        <v>14974</v>
      </c>
      <c r="CZ14047" s="35">
        <v>1.07507552E-2</v>
      </c>
    </row>
    <row r="14048" spans="103:104" x14ac:dyDescent="0.3">
      <c r="CY14048" s="34" t="s">
        <v>14975</v>
      </c>
      <c r="CZ14048" s="35">
        <v>1.6856448E-2</v>
      </c>
    </row>
    <row r="14049" spans="103:104" x14ac:dyDescent="0.3">
      <c r="CY14049" s="34" t="s">
        <v>14976</v>
      </c>
      <c r="CZ14049" s="35">
        <v>0.39513090000000001</v>
      </c>
    </row>
    <row r="14050" spans="103:104" x14ac:dyDescent="0.3">
      <c r="CY14050" s="34" t="s">
        <v>14977</v>
      </c>
      <c r="CZ14050" s="35">
        <v>1.5689500000000001</v>
      </c>
    </row>
    <row r="14051" spans="103:104" x14ac:dyDescent="0.3">
      <c r="CY14051" s="34" t="s">
        <v>14978</v>
      </c>
      <c r="CZ14051" s="35">
        <v>1.8282999999999998</v>
      </c>
    </row>
    <row r="14052" spans="103:104" x14ac:dyDescent="0.3">
      <c r="CY14052" s="34" t="s">
        <v>14979</v>
      </c>
      <c r="CZ14052" s="35">
        <v>0</v>
      </c>
    </row>
    <row r="14053" spans="103:104" x14ac:dyDescent="0.3">
      <c r="CY14053" s="34" t="s">
        <v>14980</v>
      </c>
      <c r="CZ14053" s="35">
        <v>0.3565856</v>
      </c>
    </row>
    <row r="14054" spans="103:104" x14ac:dyDescent="0.3">
      <c r="CY14054" s="34" t="s">
        <v>14981</v>
      </c>
      <c r="CZ14054" s="35">
        <v>0.11095063999999999</v>
      </c>
    </row>
    <row r="14055" spans="103:104" x14ac:dyDescent="0.3">
      <c r="CY14055" s="34" t="s">
        <v>14982</v>
      </c>
      <c r="CZ14055" s="35">
        <v>0.19707464</v>
      </c>
    </row>
    <row r="14056" spans="103:104" x14ac:dyDescent="0.3">
      <c r="CY14056" s="34" t="s">
        <v>14983</v>
      </c>
      <c r="CZ14056" s="35">
        <v>6.1136405830000004E-2</v>
      </c>
    </row>
    <row r="14057" spans="103:104" x14ac:dyDescent="0.3">
      <c r="CY14057" s="34" t="s">
        <v>14984</v>
      </c>
      <c r="CZ14057" s="35">
        <v>8.7720039999999999E-3</v>
      </c>
    </row>
    <row r="14058" spans="103:104" x14ac:dyDescent="0.3">
      <c r="CY14058" s="34" t="s">
        <v>14985</v>
      </c>
      <c r="CZ14058" s="35">
        <v>6.4711360000000006E-3</v>
      </c>
    </row>
    <row r="14059" spans="103:104" x14ac:dyDescent="0.3">
      <c r="CY14059" s="34" t="s">
        <v>14986</v>
      </c>
      <c r="CZ14059" s="35">
        <v>1.5732887199999997E-2</v>
      </c>
    </row>
    <row r="14060" spans="103:104" x14ac:dyDescent="0.3">
      <c r="CY14060" s="34" t="s">
        <v>14987</v>
      </c>
      <c r="CZ14060" s="35">
        <v>1.1485564E-2</v>
      </c>
    </row>
    <row r="14061" spans="103:104" x14ac:dyDescent="0.3">
      <c r="CY14061" s="34" t="s">
        <v>14988</v>
      </c>
      <c r="CZ14061" s="35">
        <v>8.8739863999999988E-3</v>
      </c>
    </row>
    <row r="14062" spans="103:104" x14ac:dyDescent="0.3">
      <c r="CY14062" s="34" t="s">
        <v>14989</v>
      </c>
      <c r="CZ14062" s="35">
        <v>6.0691919999999999E-4</v>
      </c>
    </row>
    <row r="14063" spans="103:104" x14ac:dyDescent="0.3">
      <c r="CY14063" s="34" t="s">
        <v>14990</v>
      </c>
      <c r="CZ14063" s="35">
        <v>9.412693333750001E-2</v>
      </c>
    </row>
    <row r="14064" spans="103:104" x14ac:dyDescent="0.3">
      <c r="CY14064" s="34" t="s">
        <v>14991</v>
      </c>
      <c r="CZ14064" s="35">
        <v>5.9382613350000002E-2</v>
      </c>
    </row>
    <row r="14065" spans="103:104" x14ac:dyDescent="0.3">
      <c r="CY14065" s="34" t="s">
        <v>14992</v>
      </c>
      <c r="CZ14065" s="35">
        <v>5.2602333337499994E-2</v>
      </c>
    </row>
    <row r="14066" spans="103:104" x14ac:dyDescent="0.3">
      <c r="CY14066" s="34" t="s">
        <v>14993</v>
      </c>
      <c r="CZ14066" s="35">
        <v>8.6310293337499996E-2</v>
      </c>
    </row>
    <row r="14067" spans="103:104" x14ac:dyDescent="0.3">
      <c r="CY14067" s="34" t="s">
        <v>14994</v>
      </c>
      <c r="CZ14067" s="35">
        <v>3.7887121799999993E-2</v>
      </c>
    </row>
    <row r="14068" spans="103:104" x14ac:dyDescent="0.3">
      <c r="CY14068" s="34" t="s">
        <v>14995</v>
      </c>
      <c r="CZ14068" s="35">
        <v>6.1287599999999998E-2</v>
      </c>
    </row>
    <row r="14069" spans="103:104" x14ac:dyDescent="0.3">
      <c r="CY14069" s="34" t="s">
        <v>14996</v>
      </c>
      <c r="CZ14069" s="35">
        <v>2.4862321690000001E-2</v>
      </c>
    </row>
    <row r="14070" spans="103:104" x14ac:dyDescent="0.3">
      <c r="CY14070" s="34" t="s">
        <v>14997</v>
      </c>
      <c r="CZ14070" s="35">
        <v>5.1634331428571434E-2</v>
      </c>
    </row>
    <row r="14071" spans="103:104" x14ac:dyDescent="0.3">
      <c r="CY14071" s="34" t="s">
        <v>14998</v>
      </c>
      <c r="CZ14071" s="35">
        <v>6.0798639999999994E-2</v>
      </c>
    </row>
    <row r="14072" spans="103:104" x14ac:dyDescent="0.3">
      <c r="CY14072" s="34" t="s">
        <v>14999</v>
      </c>
      <c r="CZ14072" s="35">
        <v>3.6789200000000001E-2</v>
      </c>
    </row>
    <row r="14073" spans="103:104" x14ac:dyDescent="0.3">
      <c r="CY14073" s="34" t="s">
        <v>15000</v>
      </c>
      <c r="CZ14073" s="35">
        <v>5.4350063999999993E-3</v>
      </c>
    </row>
    <row r="14074" spans="103:104" x14ac:dyDescent="0.3">
      <c r="CY14074" s="34" t="s">
        <v>15001</v>
      </c>
      <c r="CZ14074" s="35">
        <v>3.8938871999999996E-3</v>
      </c>
    </row>
    <row r="14075" spans="103:104" x14ac:dyDescent="0.3">
      <c r="CY14075" s="34" t="s">
        <v>15002</v>
      </c>
      <c r="CZ14075" s="35">
        <v>3.9611959999999995E-2</v>
      </c>
    </row>
    <row r="14076" spans="103:104" x14ac:dyDescent="0.3">
      <c r="CY14076" s="34" t="s">
        <v>15003</v>
      </c>
      <c r="CZ14076" s="35">
        <v>4.0807687999999995E-2</v>
      </c>
    </row>
    <row r="14077" spans="103:104" x14ac:dyDescent="0.3">
      <c r="CY14077" s="34" t="s">
        <v>15004</v>
      </c>
      <c r="CZ14077" s="35">
        <v>1.4179167999999999E-2</v>
      </c>
    </row>
    <row r="14078" spans="103:104" x14ac:dyDescent="0.3">
      <c r="CY14078" s="34" t="s">
        <v>15005</v>
      </c>
      <c r="CZ14078" s="35">
        <v>0.236823432</v>
      </c>
    </row>
    <row r="14079" spans="103:104" x14ac:dyDescent="0.3">
      <c r="CY14079" s="34" t="s">
        <v>15006</v>
      </c>
      <c r="CZ14079" s="35">
        <v>1.3739999999999999E-2</v>
      </c>
    </row>
    <row r="14080" spans="103:104" x14ac:dyDescent="0.3">
      <c r="CY14080" s="34" t="s">
        <v>15007</v>
      </c>
      <c r="CZ14080" s="35">
        <v>2.7343543999999997E-2</v>
      </c>
    </row>
    <row r="14081" spans="103:104" x14ac:dyDescent="0.3">
      <c r="CY14081" s="34" t="s">
        <v>15008</v>
      </c>
      <c r="CZ14081" s="35">
        <v>1.5470848000000002E-2</v>
      </c>
    </row>
    <row r="14082" spans="103:104" x14ac:dyDescent="0.3">
      <c r="CY14082" s="34" t="s">
        <v>15009</v>
      </c>
      <c r="CZ14082" s="35">
        <v>5.5805468000000007E-3</v>
      </c>
    </row>
    <row r="14083" spans="103:104" x14ac:dyDescent="0.3">
      <c r="CY14083" s="34" t="s">
        <v>15010</v>
      </c>
      <c r="CZ14083" s="35">
        <v>1.0444293333333333E-3</v>
      </c>
    </row>
    <row r="14084" spans="103:104" x14ac:dyDescent="0.3">
      <c r="CY14084" s="34" t="s">
        <v>15011</v>
      </c>
      <c r="CZ14084" s="35">
        <v>1.4936966666666664E-4</v>
      </c>
    </row>
    <row r="14085" spans="103:104" x14ac:dyDescent="0.3">
      <c r="CY14085" s="34" t="s">
        <v>15012</v>
      </c>
      <c r="CZ14085" s="35">
        <v>6.5551133333333327E-4</v>
      </c>
    </row>
    <row r="14086" spans="103:104" x14ac:dyDescent="0.3">
      <c r="CY14086" s="34" t="s">
        <v>15013</v>
      </c>
      <c r="CZ14086" s="35">
        <v>9.654610000000001E-3</v>
      </c>
    </row>
    <row r="14087" spans="103:104" x14ac:dyDescent="0.3">
      <c r="CY14087" s="34" t="s">
        <v>15014</v>
      </c>
      <c r="CZ14087" s="35">
        <v>3.3347673599999996E-4</v>
      </c>
    </row>
    <row r="14088" spans="103:104" x14ac:dyDescent="0.3">
      <c r="CY14088" s="34" t="s">
        <v>15015</v>
      </c>
      <c r="CZ14088" s="35">
        <v>8.5782300000000006E-2</v>
      </c>
    </row>
    <row r="14089" spans="103:104" x14ac:dyDescent="0.3">
      <c r="CY14089" s="34" t="s">
        <v>15016</v>
      </c>
      <c r="CZ14089" s="35">
        <v>0.1062768</v>
      </c>
    </row>
    <row r="14090" spans="103:104" x14ac:dyDescent="0.3">
      <c r="CY14090" s="34" t="s">
        <v>15017</v>
      </c>
      <c r="CZ14090" s="35">
        <v>2.6660087365714288E-2</v>
      </c>
    </row>
    <row r="14091" spans="103:104" x14ac:dyDescent="0.3">
      <c r="CY14091" s="34" t="s">
        <v>15018</v>
      </c>
      <c r="CZ14091" s="35">
        <v>1.5799723999999998E-2</v>
      </c>
    </row>
    <row r="14092" spans="103:104" x14ac:dyDescent="0.3">
      <c r="CY14092" s="34" t="s">
        <v>15019</v>
      </c>
      <c r="CZ14092" s="35">
        <v>1.5799723999999998E-2</v>
      </c>
    </row>
    <row r="14093" spans="103:104" x14ac:dyDescent="0.3">
      <c r="CY14093" s="34" t="s">
        <v>15020</v>
      </c>
      <c r="CZ14093" s="35">
        <v>1.2752208888888889E-2</v>
      </c>
    </row>
    <row r="14094" spans="103:104" x14ac:dyDescent="0.3">
      <c r="CY14094" s="34" t="s">
        <v>15021</v>
      </c>
      <c r="CZ14094" s="35">
        <v>4.2086760000000008E-2</v>
      </c>
    </row>
    <row r="14095" spans="103:104" x14ac:dyDescent="0.3">
      <c r="CY14095" s="34" t="s">
        <v>15022</v>
      </c>
      <c r="CZ14095" s="35">
        <v>1.3886219999999999E-2</v>
      </c>
    </row>
    <row r="14096" spans="103:104" x14ac:dyDescent="0.3">
      <c r="CY14096" s="34" t="s">
        <v>15023</v>
      </c>
      <c r="CZ14096" s="35">
        <v>1.5730819199999997</v>
      </c>
    </row>
    <row r="14097" spans="103:104" x14ac:dyDescent="0.3">
      <c r="CY14097" s="34" t="s">
        <v>15024</v>
      </c>
      <c r="CZ14097" s="35">
        <v>1.5047308799999999</v>
      </c>
    </row>
    <row r="14098" spans="103:104" x14ac:dyDescent="0.3">
      <c r="CY14098" s="34" t="s">
        <v>15025</v>
      </c>
      <c r="CZ14098" s="35">
        <v>1.0835416666666669E-2</v>
      </c>
    </row>
    <row r="14099" spans="103:104" x14ac:dyDescent="0.3">
      <c r="CY14099" s="34" t="s">
        <v>15026</v>
      </c>
      <c r="CZ14099" s="35">
        <v>5.3048266666666666E-3</v>
      </c>
    </row>
    <row r="14100" spans="103:104" x14ac:dyDescent="0.3">
      <c r="CY14100" s="34" t="s">
        <v>15027</v>
      </c>
      <c r="CZ14100" s="35">
        <v>0.13986540500000003</v>
      </c>
    </row>
    <row r="14101" spans="103:104" x14ac:dyDescent="0.3">
      <c r="CY14101" s="34" t="s">
        <v>15028</v>
      </c>
      <c r="CZ14101" s="35">
        <v>0.139865405</v>
      </c>
    </row>
    <row r="14102" spans="103:104" x14ac:dyDescent="0.3">
      <c r="CY14102" s="34" t="s">
        <v>15029</v>
      </c>
      <c r="CZ14102" s="35">
        <v>0.21043148500000003</v>
      </c>
    </row>
    <row r="14103" spans="103:104" x14ac:dyDescent="0.3">
      <c r="CY14103" s="34" t="s">
        <v>15030</v>
      </c>
      <c r="CZ14103" s="35">
        <v>2.5219773824000001E-2</v>
      </c>
    </row>
    <row r="14104" spans="103:104" x14ac:dyDescent="0.3">
      <c r="CY14104" s="34" t="s">
        <v>15031</v>
      </c>
      <c r="CZ14104" s="35">
        <v>5.5770159999999999E-2</v>
      </c>
    </row>
    <row r="14105" spans="103:104" x14ac:dyDescent="0.3">
      <c r="CY14105" s="34" t="s">
        <v>15032</v>
      </c>
      <c r="CZ14105" s="35">
        <v>1.6740000000000001E-2</v>
      </c>
    </row>
    <row r="14106" spans="103:104" x14ac:dyDescent="0.3">
      <c r="CY14106" s="34" t="s">
        <v>15033</v>
      </c>
      <c r="CZ14106" s="35">
        <v>0.14402327058823533</v>
      </c>
    </row>
    <row r="14107" spans="103:104" x14ac:dyDescent="0.3">
      <c r="CY14107" s="34" t="s">
        <v>15034</v>
      </c>
      <c r="CZ14107" s="35">
        <v>2.2534463999999998E-3</v>
      </c>
    </row>
    <row r="14108" spans="103:104" x14ac:dyDescent="0.3">
      <c r="CY14108" s="34" t="s">
        <v>15035</v>
      </c>
      <c r="CZ14108" s="35">
        <v>5.667704E-3</v>
      </c>
    </row>
    <row r="14109" spans="103:104" x14ac:dyDescent="0.3">
      <c r="CY14109" s="34" t="s">
        <v>15036</v>
      </c>
      <c r="CZ14109" s="35">
        <v>6.4084998000000001E-3</v>
      </c>
    </row>
    <row r="14110" spans="103:104" x14ac:dyDescent="0.3">
      <c r="CY14110" s="34" t="s">
        <v>15037</v>
      </c>
      <c r="CZ14110" s="35">
        <v>6.4084998000000001E-3</v>
      </c>
    </row>
    <row r="14111" spans="103:104" x14ac:dyDescent="0.3">
      <c r="CY14111" s="34" t="s">
        <v>15038</v>
      </c>
      <c r="CZ14111" s="35">
        <v>6.4084998000000001E-3</v>
      </c>
    </row>
    <row r="14112" spans="103:104" x14ac:dyDescent="0.3">
      <c r="CY14112" s="34" t="s">
        <v>15039</v>
      </c>
      <c r="CZ14112" s="35">
        <v>6.4622270000000001E-3</v>
      </c>
    </row>
    <row r="14113" spans="103:104" x14ac:dyDescent="0.3">
      <c r="CY14113" s="34" t="s">
        <v>15040</v>
      </c>
      <c r="CZ14113" s="35">
        <v>6.4622270000000001E-3</v>
      </c>
    </row>
    <row r="14114" spans="103:104" x14ac:dyDescent="0.3">
      <c r="CY14114" s="34" t="s">
        <v>15041</v>
      </c>
      <c r="CZ14114" s="35">
        <v>6.4622270000000001E-3</v>
      </c>
    </row>
    <row r="14115" spans="103:104" x14ac:dyDescent="0.3">
      <c r="CY14115" s="34" t="s">
        <v>15042</v>
      </c>
      <c r="CZ14115" s="35">
        <v>6.4622270000000001E-3</v>
      </c>
    </row>
    <row r="14116" spans="103:104" x14ac:dyDescent="0.3">
      <c r="CY14116" s="34" t="s">
        <v>15043</v>
      </c>
      <c r="CZ14116" s="35">
        <v>6.4622270000000001E-3</v>
      </c>
    </row>
    <row r="14117" spans="103:104" x14ac:dyDescent="0.3">
      <c r="CY14117" s="34" t="s">
        <v>15044</v>
      </c>
      <c r="CZ14117" s="35">
        <v>6.4622270000000001E-3</v>
      </c>
    </row>
    <row r="14118" spans="103:104" x14ac:dyDescent="0.3">
      <c r="CY14118" s="34" t="s">
        <v>15045</v>
      </c>
      <c r="CZ14118" s="35">
        <v>6.4622270000000001E-3</v>
      </c>
    </row>
    <row r="14119" spans="103:104" x14ac:dyDescent="0.3">
      <c r="CY14119" s="34" t="s">
        <v>15046</v>
      </c>
      <c r="CZ14119" s="35">
        <v>6.4622270000000001E-3</v>
      </c>
    </row>
    <row r="14120" spans="103:104" x14ac:dyDescent="0.3">
      <c r="CY14120" s="34" t="s">
        <v>15047</v>
      </c>
      <c r="CZ14120" s="35">
        <v>4.8315616666666665E-2</v>
      </c>
    </row>
    <row r="14121" spans="103:104" x14ac:dyDescent="0.3">
      <c r="CY14121" s="34" t="s">
        <v>15048</v>
      </c>
      <c r="CZ14121" s="35">
        <v>4.8315616666666665E-2</v>
      </c>
    </row>
    <row r="14122" spans="103:104" x14ac:dyDescent="0.3">
      <c r="CY14122" s="34" t="s">
        <v>15049</v>
      </c>
      <c r="CZ14122" s="35">
        <v>1.3166639999999999E-3</v>
      </c>
    </row>
    <row r="14123" spans="103:104" x14ac:dyDescent="0.3">
      <c r="CY14123" s="34" t="s">
        <v>15050</v>
      </c>
      <c r="CZ14123" s="35">
        <v>8.2813160000000004E-3</v>
      </c>
    </row>
    <row r="14124" spans="103:104" x14ac:dyDescent="0.3">
      <c r="CY14124" s="34" t="s">
        <v>15051</v>
      </c>
      <c r="CZ14124" s="35">
        <v>1.8616792E-3</v>
      </c>
    </row>
    <row r="14125" spans="103:104" x14ac:dyDescent="0.3">
      <c r="CY14125" s="34" t="s">
        <v>15052</v>
      </c>
      <c r="CZ14125" s="35">
        <v>1.8616792E-3</v>
      </c>
    </row>
    <row r="14126" spans="103:104" x14ac:dyDescent="0.3">
      <c r="CY14126" s="34" t="s">
        <v>15053</v>
      </c>
      <c r="CZ14126" s="35">
        <v>2.0960120000000004E-3</v>
      </c>
    </row>
    <row r="14127" spans="103:104" x14ac:dyDescent="0.3">
      <c r="CY14127" s="34" t="s">
        <v>15054</v>
      </c>
      <c r="CZ14127" s="35">
        <v>2.7739766400000003E-4</v>
      </c>
    </row>
    <row r="14128" spans="103:104" x14ac:dyDescent="0.3">
      <c r="CY14128" s="34" t="s">
        <v>15055</v>
      </c>
      <c r="CZ14128" s="35">
        <v>2.6538064E-4</v>
      </c>
    </row>
    <row r="14129" spans="103:104" x14ac:dyDescent="0.3">
      <c r="CY14129" s="34" t="s">
        <v>15056</v>
      </c>
      <c r="CZ14129" s="35">
        <v>1.0703936E-3</v>
      </c>
    </row>
    <row r="14130" spans="103:104" x14ac:dyDescent="0.3">
      <c r="CY14130" s="34" t="s">
        <v>15057</v>
      </c>
      <c r="CZ14130" s="35">
        <v>0.24392942000000001</v>
      </c>
    </row>
    <row r="14131" spans="103:104" x14ac:dyDescent="0.3">
      <c r="CY14131" s="34" t="s">
        <v>15058</v>
      </c>
      <c r="CZ14131" s="35">
        <v>3.6583928000000002E-3</v>
      </c>
    </row>
    <row r="14132" spans="103:104" x14ac:dyDescent="0.3">
      <c r="CY14132" s="34" t="s">
        <v>15059</v>
      </c>
      <c r="CZ14132" s="35">
        <v>3.4009655999999999E-2</v>
      </c>
    </row>
    <row r="14133" spans="103:104" x14ac:dyDescent="0.3">
      <c r="CY14133" s="34" t="s">
        <v>15060</v>
      </c>
      <c r="CZ14133" s="35">
        <v>5.3837155999999997E-2</v>
      </c>
    </row>
    <row r="14134" spans="103:104" x14ac:dyDescent="0.3">
      <c r="CY14134" s="34" t="s">
        <v>15061</v>
      </c>
      <c r="CZ14134" s="35">
        <v>0.67509999999999992</v>
      </c>
    </row>
    <row r="14135" spans="103:104" x14ac:dyDescent="0.3">
      <c r="CY14135" s="34" t="s">
        <v>15062</v>
      </c>
      <c r="CZ14135" s="35">
        <v>0.69088719999999992</v>
      </c>
    </row>
    <row r="14136" spans="103:104" x14ac:dyDescent="0.3">
      <c r="CY14136" s="34" t="s">
        <v>15063</v>
      </c>
      <c r="CZ14136" s="35">
        <v>0.72772399999999993</v>
      </c>
    </row>
    <row r="14137" spans="103:104" x14ac:dyDescent="0.3">
      <c r="CY14137" s="34" t="s">
        <v>15064</v>
      </c>
      <c r="CZ14137" s="35">
        <v>2.4196069059829059E-2</v>
      </c>
    </row>
    <row r="14138" spans="103:104" x14ac:dyDescent="0.3">
      <c r="CY14138" s="34" t="s">
        <v>15065</v>
      </c>
      <c r="CZ14138" s="35">
        <v>4.4192411428571429E-2</v>
      </c>
    </row>
    <row r="14139" spans="103:104" x14ac:dyDescent="0.3">
      <c r="CY14139" s="34" t="s">
        <v>15066</v>
      </c>
      <c r="CZ14139" s="35">
        <v>4.4192411428571429E-2</v>
      </c>
    </row>
    <row r="14140" spans="103:104" x14ac:dyDescent="0.3">
      <c r="CY14140" s="34" t="s">
        <v>15067</v>
      </c>
      <c r="CZ14140" s="35">
        <v>7.8691660000000001E-4</v>
      </c>
    </row>
    <row r="14141" spans="103:104" x14ac:dyDescent="0.3">
      <c r="CY14141" s="34" t="s">
        <v>15068</v>
      </c>
      <c r="CZ14141" s="35">
        <v>9.5442535999999984E-3</v>
      </c>
    </row>
    <row r="14142" spans="103:104" x14ac:dyDescent="0.3">
      <c r="CY14142" s="34" t="s">
        <v>15069</v>
      </c>
      <c r="CZ14142" s="35">
        <v>2.2862978666666665E-3</v>
      </c>
    </row>
    <row r="14143" spans="103:104" x14ac:dyDescent="0.3">
      <c r="CY14143" s="34" t="s">
        <v>15070</v>
      </c>
      <c r="CZ14143" s="35">
        <v>0.15739257600000001</v>
      </c>
    </row>
    <row r="14144" spans="103:104" x14ac:dyDescent="0.3">
      <c r="CY14144" s="34" t="s">
        <v>15071</v>
      </c>
      <c r="CZ14144" s="35">
        <v>2.3261071999999998E-4</v>
      </c>
    </row>
    <row r="14145" spans="103:104" x14ac:dyDescent="0.3">
      <c r="CY14145" s="34" t="s">
        <v>15072</v>
      </c>
      <c r="CZ14145" s="35">
        <v>0.14670223999999998</v>
      </c>
    </row>
    <row r="14146" spans="103:104" x14ac:dyDescent="0.3">
      <c r="CY14146" s="34" t="s">
        <v>15073</v>
      </c>
      <c r="CZ14146" s="35">
        <v>1.1888566666666668E-2</v>
      </c>
    </row>
    <row r="14147" spans="103:104" x14ac:dyDescent="0.3">
      <c r="CY14147" s="34" t="s">
        <v>15074</v>
      </c>
      <c r="CZ14147" s="35">
        <v>5.0754615999999995E-2</v>
      </c>
    </row>
    <row r="14148" spans="103:104" x14ac:dyDescent="0.3">
      <c r="CY14148" s="34" t="s">
        <v>15075</v>
      </c>
      <c r="CZ14148" s="35">
        <v>1.0085671733333334E-2</v>
      </c>
    </row>
    <row r="14149" spans="103:104" x14ac:dyDescent="0.3">
      <c r="CY14149" s="34" t="s">
        <v>15076</v>
      </c>
      <c r="CZ14149" s="35">
        <v>2.8731207999999997E-3</v>
      </c>
    </row>
    <row r="14150" spans="103:104" x14ac:dyDescent="0.3">
      <c r="CY14150" s="34" t="s">
        <v>15077</v>
      </c>
      <c r="CZ14150" s="35">
        <v>1.079167634285714E-2</v>
      </c>
    </row>
    <row r="14151" spans="103:104" x14ac:dyDescent="0.3">
      <c r="CY14151" s="34" t="s">
        <v>15078</v>
      </c>
      <c r="CZ14151" s="35">
        <v>3.1253287999999997E-2</v>
      </c>
    </row>
    <row r="14152" spans="103:104" x14ac:dyDescent="0.3">
      <c r="CY14152" s="34" t="s">
        <v>15079</v>
      </c>
      <c r="CZ14152" s="35">
        <v>5.0281631999999996E-3</v>
      </c>
    </row>
    <row r="14153" spans="103:104" x14ac:dyDescent="0.3">
      <c r="CY14153" s="34" t="s">
        <v>15080</v>
      </c>
      <c r="CZ14153" s="35">
        <v>6.3041247999999998E-3</v>
      </c>
    </row>
    <row r="14154" spans="103:104" x14ac:dyDescent="0.3">
      <c r="CY14154" s="34" t="s">
        <v>15081</v>
      </c>
      <c r="CZ14154" s="35">
        <v>4.8316800000000007E-2</v>
      </c>
    </row>
    <row r="14155" spans="103:104" x14ac:dyDescent="0.3">
      <c r="CY14155" s="34" t="s">
        <v>15082</v>
      </c>
      <c r="CZ14155" s="35">
        <v>2.7795E-2</v>
      </c>
    </row>
    <row r="14156" spans="103:104" x14ac:dyDescent="0.3">
      <c r="CY14156" s="34" t="s">
        <v>15083</v>
      </c>
      <c r="CZ14156" s="35">
        <v>5.04E-4</v>
      </c>
    </row>
    <row r="14157" spans="103:104" x14ac:dyDescent="0.3">
      <c r="CY14157" s="34" t="s">
        <v>15084</v>
      </c>
      <c r="CZ14157" s="35">
        <v>6.7108859999999992E-2</v>
      </c>
    </row>
    <row r="14158" spans="103:104" x14ac:dyDescent="0.3">
      <c r="CY14158" s="34" t="s">
        <v>15085</v>
      </c>
      <c r="CZ14158" s="35">
        <v>3.3600000000000004E-4</v>
      </c>
    </row>
    <row r="14159" spans="103:104" x14ac:dyDescent="0.3">
      <c r="CY14159" s="34" t="s">
        <v>15086</v>
      </c>
      <c r="CZ14159" s="35">
        <v>3.2776800000000002E-2</v>
      </c>
    </row>
    <row r="14160" spans="103:104" x14ac:dyDescent="0.3">
      <c r="CY14160" s="34" t="s">
        <v>15087</v>
      </c>
      <c r="CZ14160" s="35">
        <v>0.17319476</v>
      </c>
    </row>
    <row r="14161" spans="103:104" x14ac:dyDescent="0.3">
      <c r="CY14161" s="34" t="s">
        <v>15088</v>
      </c>
      <c r="CZ14161" s="35">
        <v>0.18245539999999999</v>
      </c>
    </row>
    <row r="14162" spans="103:104" x14ac:dyDescent="0.3">
      <c r="CY14162" s="34" t="s">
        <v>15089</v>
      </c>
      <c r="CZ14162" s="35">
        <v>2.8190812765957442E-2</v>
      </c>
    </row>
    <row r="14163" spans="103:104" x14ac:dyDescent="0.3">
      <c r="CY14163" s="34" t="s">
        <v>15090</v>
      </c>
      <c r="CZ14163" s="35">
        <v>2.826263111111111E-2</v>
      </c>
    </row>
    <row r="14164" spans="103:104" x14ac:dyDescent="0.3">
      <c r="CY14164" s="34" t="s">
        <v>15091</v>
      </c>
      <c r="CZ14164" s="35">
        <v>4.4179826285714291E-2</v>
      </c>
    </row>
    <row r="14165" spans="103:104" x14ac:dyDescent="0.3">
      <c r="CY14165" s="34" t="s">
        <v>15092</v>
      </c>
      <c r="CZ14165" s="35">
        <v>8.8341610500000008E-3</v>
      </c>
    </row>
    <row r="14166" spans="103:104" x14ac:dyDescent="0.3">
      <c r="CY14166" s="34" t="s">
        <v>15093</v>
      </c>
      <c r="CZ14166" s="35">
        <v>0.10269575933000001</v>
      </c>
    </row>
    <row r="14167" spans="103:104" x14ac:dyDescent="0.3">
      <c r="CY14167" s="34" t="s">
        <v>15094</v>
      </c>
      <c r="CZ14167" s="35">
        <v>8.4110543333333343E-2</v>
      </c>
    </row>
    <row r="14168" spans="103:104" x14ac:dyDescent="0.3">
      <c r="CY14168" s="34" t="s">
        <v>15095</v>
      </c>
      <c r="CZ14168" s="35">
        <v>7.3785423340000017E-2</v>
      </c>
    </row>
    <row r="14169" spans="103:104" x14ac:dyDescent="0.3">
      <c r="CY14169" s="34" t="s">
        <v>15096</v>
      </c>
      <c r="CZ14169" s="35">
        <v>6.5322380000000001E-3</v>
      </c>
    </row>
    <row r="14170" spans="103:104" x14ac:dyDescent="0.3">
      <c r="CY14170" s="34" t="s">
        <v>15097</v>
      </c>
      <c r="CZ14170" s="35">
        <v>6.532238000000001E-3</v>
      </c>
    </row>
    <row r="14171" spans="103:104" x14ac:dyDescent="0.3">
      <c r="CY14171" s="34" t="s">
        <v>15098</v>
      </c>
      <c r="CZ14171" s="35">
        <v>1.3450503999999999E-3</v>
      </c>
    </row>
    <row r="14172" spans="103:104" x14ac:dyDescent="0.3">
      <c r="CY14172" s="34" t="s">
        <v>15099</v>
      </c>
      <c r="CZ14172" s="35">
        <v>6.7920040000000015E-2</v>
      </c>
    </row>
    <row r="14173" spans="103:104" x14ac:dyDescent="0.3">
      <c r="CY14173" s="34" t="s">
        <v>15100</v>
      </c>
      <c r="CZ14173" s="35">
        <v>1.24067E-2</v>
      </c>
    </row>
    <row r="14174" spans="103:104" x14ac:dyDescent="0.3">
      <c r="CY14174" s="34" t="s">
        <v>15101</v>
      </c>
      <c r="CZ14174" s="35">
        <v>9.7628487999999999E-2</v>
      </c>
    </row>
    <row r="14175" spans="103:104" x14ac:dyDescent="0.3">
      <c r="CY14175" s="34" t="s">
        <v>15102</v>
      </c>
      <c r="CZ14175" s="35">
        <v>0.47170663999999995</v>
      </c>
    </row>
    <row r="14176" spans="103:104" x14ac:dyDescent="0.3">
      <c r="CY14176" s="34" t="s">
        <v>15103</v>
      </c>
      <c r="CZ14176" s="35">
        <v>1.5973296000000002E-3</v>
      </c>
    </row>
    <row r="14177" spans="103:104" x14ac:dyDescent="0.3">
      <c r="CY14177" s="34" t="s">
        <v>15104</v>
      </c>
      <c r="CZ14177" s="35">
        <v>1.8572456000000002E-3</v>
      </c>
    </row>
    <row r="14178" spans="103:104" x14ac:dyDescent="0.3">
      <c r="CY14178" s="34" t="s">
        <v>15105</v>
      </c>
      <c r="CZ14178" s="35">
        <v>2.5027259999999994E-3</v>
      </c>
    </row>
    <row r="14179" spans="103:104" x14ac:dyDescent="0.3">
      <c r="CY14179" s="34" t="s">
        <v>15106</v>
      </c>
      <c r="CZ14179" s="35">
        <v>2.9339789600000003E-2</v>
      </c>
    </row>
    <row r="14180" spans="103:104" x14ac:dyDescent="0.3">
      <c r="CY14180" s="34" t="s">
        <v>15107</v>
      </c>
      <c r="CZ14180" s="35">
        <v>1.4758499199999999E-2</v>
      </c>
    </row>
    <row r="14181" spans="103:104" x14ac:dyDescent="0.3">
      <c r="CY14181" s="34" t="s">
        <v>15108</v>
      </c>
      <c r="CZ14181" s="35">
        <v>4.1777960000000003E-2</v>
      </c>
    </row>
    <row r="14182" spans="103:104" x14ac:dyDescent="0.3">
      <c r="CY14182" s="34" t="s">
        <v>15109</v>
      </c>
      <c r="CZ14182" s="35">
        <v>6.4836796999999988E-2</v>
      </c>
    </row>
    <row r="14183" spans="103:104" x14ac:dyDescent="0.3">
      <c r="CY14183" s="34" t="s">
        <v>15110</v>
      </c>
      <c r="CZ14183" s="35">
        <v>1.7340604799999999E-2</v>
      </c>
    </row>
    <row r="14184" spans="103:104" x14ac:dyDescent="0.3">
      <c r="CY14184" s="34" t="s">
        <v>15111</v>
      </c>
      <c r="CZ14184" s="35">
        <v>2.2271783999999999E-3</v>
      </c>
    </row>
    <row r="14185" spans="103:104" x14ac:dyDescent="0.3">
      <c r="CY14185" s="34" t="s">
        <v>15112</v>
      </c>
      <c r="CZ14185" s="35">
        <v>1.9813952E-3</v>
      </c>
    </row>
    <row r="14186" spans="103:104" x14ac:dyDescent="0.3">
      <c r="CY14186" s="34" t="s">
        <v>15113</v>
      </c>
      <c r="CZ14186" s="35">
        <v>5.6552351999999998E-3</v>
      </c>
    </row>
    <row r="14187" spans="103:104" x14ac:dyDescent="0.3">
      <c r="CY14187" s="34" t="s">
        <v>15114</v>
      </c>
      <c r="CZ14187" s="35">
        <v>4.2153423220000007E-2</v>
      </c>
    </row>
    <row r="14188" spans="103:104" x14ac:dyDescent="0.3">
      <c r="CY14188" s="34" t="s">
        <v>15115</v>
      </c>
      <c r="CZ14188" s="35">
        <v>1.3226976000000003E-3</v>
      </c>
    </row>
    <row r="14189" spans="103:104" x14ac:dyDescent="0.3">
      <c r="CY14189" s="34" t="s">
        <v>15116</v>
      </c>
      <c r="CZ14189" s="35">
        <v>6.4059973334E-2</v>
      </c>
    </row>
    <row r="14190" spans="103:104" x14ac:dyDescent="0.3">
      <c r="CY14190" s="34" t="s">
        <v>15117</v>
      </c>
      <c r="CZ14190" s="35">
        <v>8.1088757333333317E-2</v>
      </c>
    </row>
    <row r="14191" spans="103:104" x14ac:dyDescent="0.3">
      <c r="CY14191" s="34" t="s">
        <v>15118</v>
      </c>
      <c r="CZ14191" s="35">
        <v>8.9348853333333325E-2</v>
      </c>
    </row>
    <row r="14192" spans="103:104" x14ac:dyDescent="0.3">
      <c r="CY14192" s="34" t="s">
        <v>15119</v>
      </c>
      <c r="CZ14192" s="35">
        <v>8.8341610500000008E-3</v>
      </c>
    </row>
    <row r="14193" spans="103:104" x14ac:dyDescent="0.3">
      <c r="CY14193" s="34" t="s">
        <v>15120</v>
      </c>
      <c r="CZ14193" s="35">
        <v>1.0594364500000002E-2</v>
      </c>
    </row>
    <row r="14194" spans="103:104" x14ac:dyDescent="0.3">
      <c r="CY14194" s="34" t="s">
        <v>15121</v>
      </c>
      <c r="CZ14194" s="35">
        <v>9.6859375999999997E-3</v>
      </c>
    </row>
    <row r="14195" spans="103:104" x14ac:dyDescent="0.3">
      <c r="CY14195" s="34" t="s">
        <v>15122</v>
      </c>
      <c r="CZ14195" s="35">
        <v>3.3041999999999998E-3</v>
      </c>
    </row>
    <row r="14196" spans="103:104" x14ac:dyDescent="0.3">
      <c r="CY14196" s="34" t="s">
        <v>15123</v>
      </c>
      <c r="CZ14196" s="35">
        <v>2.7634000000000001E-3</v>
      </c>
    </row>
    <row r="14197" spans="103:104" x14ac:dyDescent="0.3">
      <c r="CY14197" s="34" t="s">
        <v>15124</v>
      </c>
      <c r="CZ14197" s="35">
        <v>1.4487113920000001E-2</v>
      </c>
    </row>
    <row r="14198" spans="103:104" x14ac:dyDescent="0.3">
      <c r="CY14198" s="34" t="s">
        <v>15125</v>
      </c>
      <c r="CZ14198" s="35">
        <v>3.2393600000000002E-3</v>
      </c>
    </row>
    <row r="14199" spans="103:104" x14ac:dyDescent="0.3">
      <c r="CY14199" s="34" t="s">
        <v>15126</v>
      </c>
      <c r="CZ14199" s="35">
        <v>7.0200880000000001E-4</v>
      </c>
    </row>
    <row r="14200" spans="103:104" x14ac:dyDescent="0.3">
      <c r="CY14200" s="34" t="s">
        <v>15127</v>
      </c>
      <c r="CZ14200" s="35">
        <v>4.0331040000000001E-4</v>
      </c>
    </row>
    <row r="14201" spans="103:104" x14ac:dyDescent="0.3">
      <c r="CY14201" s="34" t="s">
        <v>15128</v>
      </c>
      <c r="CZ14201" s="35">
        <v>6.6157835789473693E-2</v>
      </c>
    </row>
    <row r="14202" spans="103:104" x14ac:dyDescent="0.3">
      <c r="CY14202" s="34" t="s">
        <v>15129</v>
      </c>
      <c r="CZ14202" s="35">
        <v>2.1078911999999998E-2</v>
      </c>
    </row>
    <row r="14203" spans="103:104" x14ac:dyDescent="0.3">
      <c r="CY14203" s="34" t="s">
        <v>15130</v>
      </c>
      <c r="CZ14203" s="35">
        <v>2.1078911999999998E-2</v>
      </c>
    </row>
    <row r="14204" spans="103:104" x14ac:dyDescent="0.3">
      <c r="CY14204" s="34" t="s">
        <v>15131</v>
      </c>
      <c r="CZ14204" s="35">
        <v>2.448295E-2</v>
      </c>
    </row>
    <row r="14205" spans="103:104" x14ac:dyDescent="0.3">
      <c r="CY14205" s="34" t="s">
        <v>15132</v>
      </c>
      <c r="CZ14205" s="35">
        <v>3.8776095999999996E-2</v>
      </c>
    </row>
    <row r="14206" spans="103:104" x14ac:dyDescent="0.3">
      <c r="CY14206" s="34" t="s">
        <v>15133</v>
      </c>
      <c r="CZ14206" s="35">
        <v>4.1425951999999999E-3</v>
      </c>
    </row>
    <row r="14207" spans="103:104" x14ac:dyDescent="0.3">
      <c r="CY14207" s="34" t="s">
        <v>15134</v>
      </c>
      <c r="CZ14207" s="35">
        <v>2.663552E-3</v>
      </c>
    </row>
    <row r="14208" spans="103:104" x14ac:dyDescent="0.3">
      <c r="CY14208" s="34" t="s">
        <v>15135</v>
      </c>
      <c r="CZ14208" s="35">
        <v>3.860590400000001E-2</v>
      </c>
    </row>
    <row r="14209" spans="103:104" x14ac:dyDescent="0.3">
      <c r="CY14209" s="34" t="s">
        <v>15136</v>
      </c>
      <c r="CZ14209" s="35">
        <v>4.3024760000000002E-2</v>
      </c>
    </row>
    <row r="14210" spans="103:104" x14ac:dyDescent="0.3">
      <c r="CY14210" s="34" t="s">
        <v>15137</v>
      </c>
      <c r="CZ14210" s="35">
        <v>9.154463199999999E-3</v>
      </c>
    </row>
    <row r="14211" spans="103:104" x14ac:dyDescent="0.3">
      <c r="CY14211" s="34" t="s">
        <v>15138</v>
      </c>
      <c r="CZ14211" s="35">
        <v>8.3440888888888898E-2</v>
      </c>
    </row>
    <row r="14212" spans="103:104" x14ac:dyDescent="0.3">
      <c r="CY14212" s="34" t="s">
        <v>15139</v>
      </c>
      <c r="CZ14212" s="35">
        <v>1.0163479999999998E-3</v>
      </c>
    </row>
    <row r="14213" spans="103:104" x14ac:dyDescent="0.3">
      <c r="CY14213" s="34" t="s">
        <v>15140</v>
      </c>
      <c r="CZ14213" s="35">
        <v>9.8869719999999994E-2</v>
      </c>
    </row>
    <row r="14214" spans="103:104" x14ac:dyDescent="0.3">
      <c r="CY14214" s="34" t="s">
        <v>15141</v>
      </c>
      <c r="CZ14214" s="35">
        <v>7.1528120000000001E-2</v>
      </c>
    </row>
    <row r="14215" spans="103:104" x14ac:dyDescent="0.3">
      <c r="CY14215" s="34" t="s">
        <v>15142</v>
      </c>
      <c r="CZ14215" s="35">
        <v>8.4950040000000004E-3</v>
      </c>
    </row>
    <row r="14216" spans="103:104" x14ac:dyDescent="0.3">
      <c r="CY14216" s="34" t="s">
        <v>15143</v>
      </c>
      <c r="CZ14216" s="35">
        <v>9.9584831999999998E-3</v>
      </c>
    </row>
    <row r="14217" spans="103:104" x14ac:dyDescent="0.3">
      <c r="CY14217" s="34" t="s">
        <v>15144</v>
      </c>
      <c r="CZ14217" s="35">
        <v>3.4816505333333345E-2</v>
      </c>
    </row>
    <row r="14218" spans="103:104" x14ac:dyDescent="0.3">
      <c r="CY14218" s="34" t="s">
        <v>15145</v>
      </c>
      <c r="CZ14218" s="35">
        <v>2.4697824E-2</v>
      </c>
    </row>
    <row r="14219" spans="103:104" x14ac:dyDescent="0.3">
      <c r="CY14219" s="34" t="s">
        <v>15146</v>
      </c>
      <c r="CZ14219" s="35">
        <v>3.225909894736842E-2</v>
      </c>
    </row>
    <row r="14220" spans="103:104" x14ac:dyDescent="0.3">
      <c r="CY14220" s="34" t="s">
        <v>15147</v>
      </c>
      <c r="CZ14220" s="35">
        <v>5.2688621072000001E-2</v>
      </c>
    </row>
    <row r="14221" spans="103:104" x14ac:dyDescent="0.3">
      <c r="CY14221" s="34" t="s">
        <v>15148</v>
      </c>
      <c r="CZ14221" s="35">
        <v>1.4584688000000001E-3</v>
      </c>
    </row>
    <row r="14222" spans="103:104" x14ac:dyDescent="0.3">
      <c r="CY14222" s="34" t="s">
        <v>15149</v>
      </c>
      <c r="CZ14222" s="35">
        <v>3.5557586799999999E-2</v>
      </c>
    </row>
    <row r="14223" spans="103:104" x14ac:dyDescent="0.3">
      <c r="CY14223" s="34" t="s">
        <v>15150</v>
      </c>
      <c r="CZ14223" s="35">
        <v>7.3511000000000002E-3</v>
      </c>
    </row>
    <row r="14224" spans="103:104" x14ac:dyDescent="0.3">
      <c r="CY14224" s="34" t="s">
        <v>15151</v>
      </c>
      <c r="CZ14224" s="35">
        <v>1.1148833333333334E-2</v>
      </c>
    </row>
    <row r="14225" spans="103:104" x14ac:dyDescent="0.3">
      <c r="CY14225" s="34" t="s">
        <v>15152</v>
      </c>
      <c r="CZ14225" s="35">
        <v>1.6002000000000002E-2</v>
      </c>
    </row>
    <row r="14226" spans="103:104" x14ac:dyDescent="0.3">
      <c r="CY14226" s="34" t="s">
        <v>15153</v>
      </c>
      <c r="CZ14226" s="35">
        <v>1.6002000000000002E-2</v>
      </c>
    </row>
    <row r="14227" spans="103:104" x14ac:dyDescent="0.3">
      <c r="CY14227" s="34" t="s">
        <v>15154</v>
      </c>
      <c r="CZ14227" s="35">
        <v>3.3053617777777787E-2</v>
      </c>
    </row>
    <row r="14228" spans="103:104" x14ac:dyDescent="0.3">
      <c r="CY14228" s="34" t="s">
        <v>15155</v>
      </c>
      <c r="CZ14228" s="35">
        <v>3.3053617777777787E-2</v>
      </c>
    </row>
    <row r="14229" spans="103:104" x14ac:dyDescent="0.3">
      <c r="CY14229" s="34" t="s">
        <v>15156</v>
      </c>
      <c r="CZ14229" s="35">
        <v>7.4593599999999999E-4</v>
      </c>
    </row>
    <row r="14230" spans="103:104" x14ac:dyDescent="0.3">
      <c r="CY14230" s="34" t="s">
        <v>15157</v>
      </c>
      <c r="CZ14230" s="35">
        <v>5.3378559999999993E-4</v>
      </c>
    </row>
    <row r="14231" spans="103:104" x14ac:dyDescent="0.3">
      <c r="CY14231" s="34" t="s">
        <v>15158</v>
      </c>
      <c r="CZ14231" s="35">
        <v>0.16929334999999998</v>
      </c>
    </row>
    <row r="14232" spans="103:104" x14ac:dyDescent="0.3">
      <c r="CY14232" s="34" t="s">
        <v>15159</v>
      </c>
      <c r="CZ14232" s="35">
        <v>0.48852875000000007</v>
      </c>
    </row>
    <row r="14233" spans="103:104" x14ac:dyDescent="0.3">
      <c r="CY14233" s="34" t="s">
        <v>15160</v>
      </c>
      <c r="CZ14233" s="35">
        <v>0.12807120000000002</v>
      </c>
    </row>
    <row r="14234" spans="103:104" x14ac:dyDescent="0.3">
      <c r="CY14234" s="34" t="s">
        <v>15161</v>
      </c>
      <c r="CZ14234" s="35">
        <v>7.0827544999999999E-3</v>
      </c>
    </row>
    <row r="14235" spans="103:104" x14ac:dyDescent="0.3">
      <c r="CY14235" s="34" t="s">
        <v>15162</v>
      </c>
      <c r="CZ14235" s="35">
        <v>9.0078559999999998E-3</v>
      </c>
    </row>
    <row r="14236" spans="103:104" x14ac:dyDescent="0.3">
      <c r="CY14236" s="34" t="s">
        <v>15163</v>
      </c>
      <c r="CZ14236" s="35">
        <v>1.8797387E-3</v>
      </c>
    </row>
    <row r="14237" spans="103:104" x14ac:dyDescent="0.3">
      <c r="CY14237" s="34" t="s">
        <v>15164</v>
      </c>
      <c r="CZ14237" s="35">
        <v>3.9222635555555561E-4</v>
      </c>
    </row>
    <row r="14238" spans="103:104" x14ac:dyDescent="0.3">
      <c r="CY14238" s="34" t="s">
        <v>15165</v>
      </c>
      <c r="CZ14238" s="35">
        <v>6.5319799999999997E-2</v>
      </c>
    </row>
    <row r="14239" spans="103:104" x14ac:dyDescent="0.3">
      <c r="CY14239" s="34" t="s">
        <v>15166</v>
      </c>
      <c r="CZ14239" s="35">
        <v>5.6847271111111104E-3</v>
      </c>
    </row>
    <row r="14240" spans="103:104" x14ac:dyDescent="0.3">
      <c r="CY14240" s="34" t="s">
        <v>15167</v>
      </c>
      <c r="CZ14240" s="35">
        <v>6.4690327333333337E-3</v>
      </c>
    </row>
    <row r="14241" spans="103:104" x14ac:dyDescent="0.3">
      <c r="CY14241" s="34" t="s">
        <v>15168</v>
      </c>
      <c r="CZ14241" s="35">
        <v>5.0457068320000006E-3</v>
      </c>
    </row>
    <row r="14242" spans="103:104" x14ac:dyDescent="0.3">
      <c r="CY14242" s="34" t="s">
        <v>15169</v>
      </c>
      <c r="CZ14242" s="35">
        <v>7.7080800000000008E-3</v>
      </c>
    </row>
    <row r="14243" spans="103:104" x14ac:dyDescent="0.3">
      <c r="CY14243" s="34" t="s">
        <v>15170</v>
      </c>
      <c r="CZ14243" s="35">
        <v>7.0248000000000012E-3</v>
      </c>
    </row>
    <row r="14244" spans="103:104" x14ac:dyDescent="0.3">
      <c r="CY14244" s="34" t="s">
        <v>15171</v>
      </c>
      <c r="CZ14244" s="35">
        <v>0.15554010000000001</v>
      </c>
    </row>
    <row r="14245" spans="103:104" x14ac:dyDescent="0.3">
      <c r="CY14245" s="34" t="s">
        <v>15172</v>
      </c>
      <c r="CZ14245" s="35">
        <v>0.15071392000000003</v>
      </c>
    </row>
    <row r="14246" spans="103:104" x14ac:dyDescent="0.3">
      <c r="CY14246" s="34" t="s">
        <v>15173</v>
      </c>
      <c r="CZ14246" s="35">
        <v>0.16931249000000001</v>
      </c>
    </row>
    <row r="14247" spans="103:104" x14ac:dyDescent="0.3">
      <c r="CY14247" s="34" t="s">
        <v>15174</v>
      </c>
      <c r="CZ14247" s="35">
        <v>3.07762912E-2</v>
      </c>
    </row>
    <row r="14248" spans="103:104" x14ac:dyDescent="0.3">
      <c r="CY14248" s="34" t="s">
        <v>15175</v>
      </c>
      <c r="CZ14248" s="35">
        <v>3.3050223157894743E-2</v>
      </c>
    </row>
    <row r="14249" spans="103:104" x14ac:dyDescent="0.3">
      <c r="CY14249" s="34" t="s">
        <v>15176</v>
      </c>
      <c r="CZ14249" s="35">
        <v>2.0607758666666667E-2</v>
      </c>
    </row>
    <row r="14250" spans="103:104" x14ac:dyDescent="0.3">
      <c r="CY14250" s="34" t="s">
        <v>15177</v>
      </c>
      <c r="CZ14250" s="35">
        <v>2.6002365664999996E-2</v>
      </c>
    </row>
    <row r="14251" spans="103:104" x14ac:dyDescent="0.3">
      <c r="CY14251" s="34" t="s">
        <v>15178</v>
      </c>
      <c r="CZ14251" s="35">
        <v>9.3379386639999992E-2</v>
      </c>
    </row>
    <row r="14252" spans="103:104" x14ac:dyDescent="0.3">
      <c r="CY14252" s="34" t="s">
        <v>15179</v>
      </c>
      <c r="CZ14252" s="35">
        <v>9.5463720000000002E-2</v>
      </c>
    </row>
    <row r="14253" spans="103:104" x14ac:dyDescent="0.3">
      <c r="CY14253" s="34" t="s">
        <v>15180</v>
      </c>
      <c r="CZ14253" s="35">
        <v>8.985361E-2</v>
      </c>
    </row>
    <row r="14254" spans="103:104" x14ac:dyDescent="0.3">
      <c r="CY14254" s="34" t="s">
        <v>15181</v>
      </c>
      <c r="CZ14254" s="35">
        <v>9.3379386639999992E-2</v>
      </c>
    </row>
    <row r="14255" spans="103:104" x14ac:dyDescent="0.3">
      <c r="CY14255" s="34" t="s">
        <v>15182</v>
      </c>
      <c r="CZ14255" s="35">
        <v>9.5463720000000002E-2</v>
      </c>
    </row>
    <row r="14256" spans="103:104" x14ac:dyDescent="0.3">
      <c r="CY14256" s="34" t="s">
        <v>15183</v>
      </c>
      <c r="CZ14256" s="35">
        <v>9.0284860000000008E-2</v>
      </c>
    </row>
    <row r="14257" spans="103:104" x14ac:dyDescent="0.3">
      <c r="CY14257" s="34" t="s">
        <v>15184</v>
      </c>
      <c r="CZ14257" s="35">
        <v>3.6789950420000002E-2</v>
      </c>
    </row>
    <row r="14258" spans="103:104" x14ac:dyDescent="0.3">
      <c r="CY14258" s="34" t="s">
        <v>15185</v>
      </c>
      <c r="CZ14258" s="35">
        <v>4.7410050251256282E-2</v>
      </c>
    </row>
    <row r="14259" spans="103:104" x14ac:dyDescent="0.3">
      <c r="CY14259" s="34" t="s">
        <v>15186</v>
      </c>
      <c r="CZ14259" s="35">
        <v>0.10669959818181818</v>
      </c>
    </row>
    <row r="14260" spans="103:104" x14ac:dyDescent="0.3">
      <c r="CY14260" s="34" t="s">
        <v>15187</v>
      </c>
      <c r="CZ14260" s="35">
        <v>5.0549898947368423E-2</v>
      </c>
    </row>
    <row r="14261" spans="103:104" x14ac:dyDescent="0.3">
      <c r="CY14261" s="34" t="s">
        <v>15188</v>
      </c>
      <c r="CZ14261" s="35">
        <v>8.7313461818181823E-2</v>
      </c>
    </row>
    <row r="14262" spans="103:104" x14ac:dyDescent="0.3">
      <c r="CY14262" s="34" t="s">
        <v>15189</v>
      </c>
      <c r="CZ14262" s="35">
        <v>8.1697543999999997E-3</v>
      </c>
    </row>
    <row r="14263" spans="103:104" x14ac:dyDescent="0.3">
      <c r="CY14263" s="34" t="s">
        <v>15190</v>
      </c>
      <c r="CZ14263" s="35">
        <v>1.8250609599999999E-2</v>
      </c>
    </row>
    <row r="14264" spans="103:104" x14ac:dyDescent="0.3">
      <c r="CY14264" s="34" t="s">
        <v>15191</v>
      </c>
      <c r="CZ14264" s="35">
        <v>9.3480812499999993E-3</v>
      </c>
    </row>
    <row r="14265" spans="103:104" x14ac:dyDescent="0.3">
      <c r="CY14265" s="34" t="s">
        <v>15192</v>
      </c>
      <c r="CZ14265" s="35">
        <v>2.7861714285714284E-3</v>
      </c>
    </row>
    <row r="14266" spans="103:104" x14ac:dyDescent="0.3">
      <c r="CY14266" s="34" t="s">
        <v>15193</v>
      </c>
      <c r="CZ14266" s="35">
        <v>2.5904444444444442E-2</v>
      </c>
    </row>
    <row r="14267" spans="103:104" x14ac:dyDescent="0.3">
      <c r="CY14267" s="34" t="s">
        <v>15194</v>
      </c>
      <c r="CZ14267" s="35">
        <v>3.5060533333333338E-2</v>
      </c>
    </row>
    <row r="14268" spans="103:104" x14ac:dyDescent="0.3">
      <c r="CY14268" s="34" t="s">
        <v>15195</v>
      </c>
      <c r="CZ14268" s="35">
        <v>1.3787591299999999E-2</v>
      </c>
    </row>
    <row r="14269" spans="103:104" x14ac:dyDescent="0.3">
      <c r="CY14269" s="34" t="s">
        <v>15196</v>
      </c>
      <c r="CZ14269" s="35">
        <v>8.6943423999999991E-3</v>
      </c>
    </row>
    <row r="14270" spans="103:104" x14ac:dyDescent="0.3">
      <c r="CY14270" s="34" t="s">
        <v>15197</v>
      </c>
      <c r="CZ14270" s="35">
        <v>7.4399134117647064E-2</v>
      </c>
    </row>
    <row r="14271" spans="103:104" x14ac:dyDescent="0.3">
      <c r="CY14271" s="34" t="s">
        <v>15198</v>
      </c>
      <c r="CZ14271" s="35">
        <v>2.946387E-2</v>
      </c>
    </row>
    <row r="14272" spans="103:104" x14ac:dyDescent="0.3">
      <c r="CY14272" s="34" t="s">
        <v>15199</v>
      </c>
      <c r="CZ14272" s="35">
        <v>7.5009194958895317E-3</v>
      </c>
    </row>
    <row r="14273" spans="103:104" x14ac:dyDescent="0.3">
      <c r="CY14273" s="34" t="s">
        <v>15200</v>
      </c>
      <c r="CZ14273" s="35">
        <v>7.1945599999999998E-2</v>
      </c>
    </row>
    <row r="14274" spans="103:104" x14ac:dyDescent="0.3">
      <c r="CY14274" s="34" t="s">
        <v>15201</v>
      </c>
      <c r="CZ14274" s="35">
        <v>8.5952319999999999E-2</v>
      </c>
    </row>
    <row r="14275" spans="103:104" x14ac:dyDescent="0.3">
      <c r="CY14275" s="34" t="s">
        <v>15202</v>
      </c>
      <c r="CZ14275" s="35">
        <v>0.1248438</v>
      </c>
    </row>
    <row r="14276" spans="103:104" x14ac:dyDescent="0.3">
      <c r="CY14276" s="34" t="s">
        <v>15203</v>
      </c>
      <c r="CZ14276" s="35">
        <v>4.7682308000000003E-3</v>
      </c>
    </row>
    <row r="14277" spans="103:104" x14ac:dyDescent="0.3">
      <c r="CY14277" s="34" t="s">
        <v>15204</v>
      </c>
      <c r="CZ14277" s="35">
        <v>9.527544332E-2</v>
      </c>
    </row>
    <row r="14278" spans="103:104" x14ac:dyDescent="0.3">
      <c r="CY14278" s="34" t="s">
        <v>15205</v>
      </c>
      <c r="CZ14278" s="35">
        <v>9.8693683319999989E-2</v>
      </c>
    </row>
    <row r="14279" spans="103:104" x14ac:dyDescent="0.3">
      <c r="CY14279" s="34" t="s">
        <v>15206</v>
      </c>
      <c r="CZ14279" s="35">
        <v>2.3255999999999999E-2</v>
      </c>
    </row>
    <row r="14280" spans="103:104" x14ac:dyDescent="0.3">
      <c r="CY14280" s="34" t="s">
        <v>15207</v>
      </c>
      <c r="CZ14280" s="35">
        <v>1.4261799999999998E-2</v>
      </c>
    </row>
    <row r="14281" spans="103:104" x14ac:dyDescent="0.3">
      <c r="CY14281" s="34" t="s">
        <v>15208</v>
      </c>
      <c r="CZ14281" s="35">
        <v>1.4156E-2</v>
      </c>
    </row>
    <row r="14282" spans="103:104" x14ac:dyDescent="0.3">
      <c r="CY14282" s="34" t="s">
        <v>15209</v>
      </c>
      <c r="CZ14282" s="35">
        <v>2.2564399999999998E-2</v>
      </c>
    </row>
    <row r="14283" spans="103:104" x14ac:dyDescent="0.3">
      <c r="CY14283" s="34" t="s">
        <v>15210</v>
      </c>
      <c r="CZ14283" s="35">
        <v>2.0174479999999998E-2</v>
      </c>
    </row>
    <row r="14284" spans="103:104" x14ac:dyDescent="0.3">
      <c r="CY14284" s="34" t="s">
        <v>15211</v>
      </c>
      <c r="CZ14284" s="35">
        <v>2.3854E-2</v>
      </c>
    </row>
    <row r="14285" spans="103:104" x14ac:dyDescent="0.3">
      <c r="CY14285" s="34" t="s">
        <v>15212</v>
      </c>
      <c r="CZ14285" s="35">
        <v>0.26374225000000001</v>
      </c>
    </row>
    <row r="14286" spans="103:104" x14ac:dyDescent="0.3">
      <c r="CY14286" s="34" t="s">
        <v>15213</v>
      </c>
      <c r="CZ14286" s="35">
        <v>1.1925219799999999E-2</v>
      </c>
    </row>
    <row r="14287" spans="103:104" x14ac:dyDescent="0.3">
      <c r="CY14287" s="34" t="s">
        <v>15214</v>
      </c>
      <c r="CZ14287" s="35">
        <v>1.8547220499999999E-2</v>
      </c>
    </row>
    <row r="14288" spans="103:104" x14ac:dyDescent="0.3">
      <c r="CY14288" s="34" t="s">
        <v>15215</v>
      </c>
      <c r="CZ14288" s="35">
        <v>9.1103066600000001E-4</v>
      </c>
    </row>
    <row r="14289" spans="103:104" x14ac:dyDescent="0.3">
      <c r="CY14289" s="34" t="s">
        <v>15216</v>
      </c>
      <c r="CZ14289" s="35">
        <v>1.6508293272727275E-3</v>
      </c>
    </row>
    <row r="14290" spans="103:104" x14ac:dyDescent="0.3">
      <c r="CY14290" s="34" t="s">
        <v>15217</v>
      </c>
      <c r="CZ14290" s="35">
        <v>1.070890667272727E-2</v>
      </c>
    </row>
    <row r="14291" spans="103:104" x14ac:dyDescent="0.3">
      <c r="CY14291" s="34" t="s">
        <v>15218</v>
      </c>
      <c r="CZ14291" s="35">
        <v>0.30311580000000005</v>
      </c>
    </row>
    <row r="14292" spans="103:104" x14ac:dyDescent="0.3">
      <c r="CY14292" s="34" t="s">
        <v>15219</v>
      </c>
      <c r="CZ14292" s="35">
        <v>7.1543660000000009E-2</v>
      </c>
    </row>
    <row r="14293" spans="103:104" x14ac:dyDescent="0.3">
      <c r="CY14293" s="34" t="s">
        <v>15220</v>
      </c>
      <c r="CZ14293" s="35">
        <v>5.5735659999999999E-2</v>
      </c>
    </row>
    <row r="14294" spans="103:104" x14ac:dyDescent="0.3">
      <c r="CY14294" s="34" t="s">
        <v>15221</v>
      </c>
      <c r="CZ14294" s="35">
        <v>0.48929375000000003</v>
      </c>
    </row>
    <row r="14295" spans="103:104" x14ac:dyDescent="0.3">
      <c r="CY14295" s="34" t="s">
        <v>15222</v>
      </c>
      <c r="CZ14295" s="35">
        <v>0.16350460000000003</v>
      </c>
    </row>
    <row r="14296" spans="103:104" x14ac:dyDescent="0.3">
      <c r="CY14296" s="34" t="s">
        <v>15223</v>
      </c>
      <c r="CZ14296" s="35">
        <v>0.17641377777777778</v>
      </c>
    </row>
    <row r="14297" spans="103:104" x14ac:dyDescent="0.3">
      <c r="CY14297" s="34" t="s">
        <v>15224</v>
      </c>
      <c r="CZ14297" s="35">
        <v>1.424121544E-2</v>
      </c>
    </row>
    <row r="14298" spans="103:104" x14ac:dyDescent="0.3">
      <c r="CY14298" s="34" t="s">
        <v>15225</v>
      </c>
      <c r="CZ14298" s="35">
        <v>3.5831500000000002E-3</v>
      </c>
    </row>
    <row r="14299" spans="103:104" x14ac:dyDescent="0.3">
      <c r="CY14299" s="34" t="s">
        <v>15226</v>
      </c>
      <c r="CZ14299" s="35">
        <v>0.10862896399999999</v>
      </c>
    </row>
    <row r="14300" spans="103:104" x14ac:dyDescent="0.3">
      <c r="CY14300" s="34" t="s">
        <v>15227</v>
      </c>
      <c r="CZ14300" s="35">
        <v>5.6514883333333335E-2</v>
      </c>
    </row>
    <row r="14301" spans="103:104" x14ac:dyDescent="0.3">
      <c r="CY14301" s="34" t="s">
        <v>15228</v>
      </c>
      <c r="CZ14301" s="35">
        <v>1.6407591999999999E-2</v>
      </c>
    </row>
    <row r="14302" spans="103:104" x14ac:dyDescent="0.3">
      <c r="CY14302" s="34" t="s">
        <v>15229</v>
      </c>
      <c r="CZ14302" s="35">
        <v>3.7981887999999998E-2</v>
      </c>
    </row>
    <row r="14303" spans="103:104" x14ac:dyDescent="0.3">
      <c r="CY14303" s="34" t="s">
        <v>15230</v>
      </c>
      <c r="CZ14303" s="35">
        <v>2.4973123999999999E-2</v>
      </c>
    </row>
    <row r="14304" spans="103:104" x14ac:dyDescent="0.3">
      <c r="CY14304" s="34" t="s">
        <v>15231</v>
      </c>
      <c r="CZ14304" s="35">
        <v>4.060028900000001E-3</v>
      </c>
    </row>
    <row r="14305" spans="103:104" x14ac:dyDescent="0.3">
      <c r="CY14305" s="34" t="s">
        <v>15232</v>
      </c>
      <c r="CZ14305" s="35">
        <v>9.8445000000000008E-3</v>
      </c>
    </row>
    <row r="14306" spans="103:104" x14ac:dyDescent="0.3">
      <c r="CY14306" s="34" t="s">
        <v>15233</v>
      </c>
      <c r="CZ14306" s="35">
        <v>1.5806762105263154E-2</v>
      </c>
    </row>
    <row r="14307" spans="103:104" x14ac:dyDescent="0.3">
      <c r="CY14307" s="34" t="s">
        <v>15234</v>
      </c>
      <c r="CZ14307" s="35">
        <v>1.5806762105263154E-2</v>
      </c>
    </row>
    <row r="14308" spans="103:104" x14ac:dyDescent="0.3">
      <c r="CY14308" s="34" t="s">
        <v>15235</v>
      </c>
      <c r="CZ14308" s="35">
        <v>1.5806762105263154E-2</v>
      </c>
    </row>
    <row r="14309" spans="103:104" x14ac:dyDescent="0.3">
      <c r="CY14309" s="34" t="s">
        <v>15236</v>
      </c>
      <c r="CZ14309" s="35">
        <v>9.5907500000000003E-3</v>
      </c>
    </row>
    <row r="14310" spans="103:104" x14ac:dyDescent="0.3">
      <c r="CY14310" s="34" t="s">
        <v>15237</v>
      </c>
      <c r="CZ14310" s="35">
        <v>2.5642360000000003E-2</v>
      </c>
    </row>
    <row r="14311" spans="103:104" x14ac:dyDescent="0.3">
      <c r="CY14311" s="34" t="s">
        <v>15238</v>
      </c>
      <c r="CZ14311" s="35">
        <v>6.4942239999999998E-2</v>
      </c>
    </row>
    <row r="14312" spans="103:104" x14ac:dyDescent="0.3">
      <c r="CY14312" s="34" t="s">
        <v>15239</v>
      </c>
      <c r="CZ14312" s="35">
        <v>8.7685600000000002E-2</v>
      </c>
    </row>
    <row r="14313" spans="103:104" x14ac:dyDescent="0.3">
      <c r="CY14313" s="34" t="s">
        <v>15240</v>
      </c>
      <c r="CZ14313" s="35">
        <v>0.11132064</v>
      </c>
    </row>
    <row r="14314" spans="103:104" x14ac:dyDescent="0.3">
      <c r="CY14314" s="34" t="s">
        <v>15241</v>
      </c>
      <c r="CZ14314" s="35">
        <v>2.1050822797927461E-2</v>
      </c>
    </row>
    <row r="14315" spans="103:104" x14ac:dyDescent="0.3">
      <c r="CY14315" s="34" t="s">
        <v>15242</v>
      </c>
      <c r="CZ14315" s="35">
        <v>2.1775145263157894E-2</v>
      </c>
    </row>
    <row r="14316" spans="103:104" x14ac:dyDescent="0.3">
      <c r="CY14316" s="34" t="s">
        <v>15243</v>
      </c>
      <c r="CZ14316" s="35">
        <v>1.9463773049645392E-2</v>
      </c>
    </row>
    <row r="14317" spans="103:104" x14ac:dyDescent="0.3">
      <c r="CY14317" s="34" t="s">
        <v>15244</v>
      </c>
      <c r="CZ14317" s="35">
        <v>2.0796690307328607E-2</v>
      </c>
    </row>
    <row r="14318" spans="103:104" x14ac:dyDescent="0.3">
      <c r="CY14318" s="34" t="s">
        <v>15245</v>
      </c>
      <c r="CZ14318" s="35">
        <v>3.1821488235294113E-2</v>
      </c>
    </row>
    <row r="14319" spans="103:104" x14ac:dyDescent="0.3">
      <c r="CY14319" s="34" t="s">
        <v>15246</v>
      </c>
      <c r="CZ14319" s="35">
        <v>3.3540799999999996E-2</v>
      </c>
    </row>
    <row r="14320" spans="103:104" x14ac:dyDescent="0.3">
      <c r="CY14320" s="34" t="s">
        <v>15247</v>
      </c>
      <c r="CZ14320" s="35">
        <v>3.0638511627906977E-2</v>
      </c>
    </row>
    <row r="14321" spans="103:104" x14ac:dyDescent="0.3">
      <c r="CY14321" s="34" t="s">
        <v>15248</v>
      </c>
      <c r="CZ14321" s="35">
        <v>3.1821488235294113E-2</v>
      </c>
    </row>
    <row r="14322" spans="103:104" x14ac:dyDescent="0.3">
      <c r="CY14322" s="34" t="s">
        <v>15249</v>
      </c>
      <c r="CZ14322" s="35">
        <v>2.5688202352941177E-2</v>
      </c>
    </row>
    <row r="14323" spans="103:104" x14ac:dyDescent="0.3">
      <c r="CY14323" s="34" t="s">
        <v>15250</v>
      </c>
      <c r="CZ14323" s="35">
        <v>3.2798268235294109E-2</v>
      </c>
    </row>
    <row r="14324" spans="103:104" x14ac:dyDescent="0.3">
      <c r="CY14324" s="34" t="s">
        <v>15251</v>
      </c>
      <c r="CZ14324" s="35">
        <v>6.4159751333333339E-3</v>
      </c>
    </row>
    <row r="14325" spans="103:104" x14ac:dyDescent="0.3">
      <c r="CY14325" s="34" t="s">
        <v>15252</v>
      </c>
      <c r="CZ14325" s="35">
        <v>7.2488819333333347E-3</v>
      </c>
    </row>
    <row r="14326" spans="103:104" x14ac:dyDescent="0.3">
      <c r="CY14326" s="34" t="s">
        <v>15253</v>
      </c>
      <c r="CZ14326" s="35">
        <v>3.9499892000000002E-2</v>
      </c>
    </row>
    <row r="14327" spans="103:104" x14ac:dyDescent="0.3">
      <c r="CY14327" s="34" t="s">
        <v>15254</v>
      </c>
      <c r="CZ14327" s="35">
        <v>0.32259024000000003</v>
      </c>
    </row>
    <row r="14328" spans="103:104" x14ac:dyDescent="0.3">
      <c r="CY14328" s="34" t="s">
        <v>15255</v>
      </c>
      <c r="CZ14328" s="35">
        <v>0.64932328000000006</v>
      </c>
    </row>
    <row r="14329" spans="103:104" x14ac:dyDescent="0.3">
      <c r="CY14329" s="34" t="s">
        <v>15256</v>
      </c>
      <c r="CZ14329" s="35">
        <v>2.0209017142857142E-3</v>
      </c>
    </row>
    <row r="14330" spans="103:104" x14ac:dyDescent="0.3">
      <c r="CY14330" s="34" t="s">
        <v>15257</v>
      </c>
      <c r="CZ14330" s="35">
        <v>3.1256380000000002E-4</v>
      </c>
    </row>
    <row r="14331" spans="103:104" x14ac:dyDescent="0.3">
      <c r="CY14331" s="34" t="s">
        <v>15258</v>
      </c>
      <c r="CZ14331" s="35">
        <v>0</v>
      </c>
    </row>
    <row r="14332" spans="103:104" x14ac:dyDescent="0.3">
      <c r="CY14332" s="34" t="s">
        <v>15259</v>
      </c>
      <c r="CZ14332" s="35">
        <v>1.259E-2</v>
      </c>
    </row>
    <row r="14333" spans="103:104" x14ac:dyDescent="0.3">
      <c r="CY14333" s="34" t="s">
        <v>15260</v>
      </c>
      <c r="CZ14333" s="35">
        <v>1.1773126666666666E-2</v>
      </c>
    </row>
    <row r="14334" spans="103:104" x14ac:dyDescent="0.3">
      <c r="CY14334" s="34" t="s">
        <v>15261</v>
      </c>
      <c r="CZ14334" s="35">
        <v>1.3297303599999999E-2</v>
      </c>
    </row>
    <row r="14335" spans="103:104" x14ac:dyDescent="0.3">
      <c r="CY14335" s="34" t="s">
        <v>15262</v>
      </c>
      <c r="CZ14335" s="35">
        <v>4.8870795789473682E-2</v>
      </c>
    </row>
    <row r="14336" spans="103:104" x14ac:dyDescent="0.3">
      <c r="CY14336" s="34" t="s">
        <v>15263</v>
      </c>
      <c r="CZ14336" s="35">
        <v>4.3847986666666665E-2</v>
      </c>
    </row>
    <row r="14337" spans="103:104" x14ac:dyDescent="0.3">
      <c r="CY14337" s="34" t="s">
        <v>15264</v>
      </c>
      <c r="CZ14337" s="35">
        <v>0.22470833333999998</v>
      </c>
    </row>
    <row r="14338" spans="103:104" x14ac:dyDescent="0.3">
      <c r="CY14338" s="34" t="s">
        <v>15265</v>
      </c>
      <c r="CZ14338" s="35">
        <v>0.32857780883333332</v>
      </c>
    </row>
    <row r="14339" spans="103:104" x14ac:dyDescent="0.3">
      <c r="CY14339" s="34" t="s">
        <v>15266</v>
      </c>
      <c r="CZ14339" s="35">
        <v>0.32857780883333332</v>
      </c>
    </row>
    <row r="14340" spans="103:104" x14ac:dyDescent="0.3">
      <c r="CY14340" s="34" t="s">
        <v>15267</v>
      </c>
      <c r="CZ14340" s="35">
        <v>3.1839490000000005E-2</v>
      </c>
    </row>
    <row r="14341" spans="103:104" x14ac:dyDescent="0.3">
      <c r="CY14341" s="34" t="s">
        <v>15268</v>
      </c>
      <c r="CZ14341" s="35">
        <v>3.0306322E-2</v>
      </c>
    </row>
    <row r="14342" spans="103:104" x14ac:dyDescent="0.3">
      <c r="CY14342" s="34" t="s">
        <v>15269</v>
      </c>
      <c r="CZ14342" s="35">
        <v>3.0306321999999997E-2</v>
      </c>
    </row>
    <row r="14343" spans="103:104" x14ac:dyDescent="0.3">
      <c r="CY14343" s="34" t="s">
        <v>15270</v>
      </c>
      <c r="CZ14343" s="35">
        <v>3.1182418000000003E-2</v>
      </c>
    </row>
    <row r="14344" spans="103:104" x14ac:dyDescent="0.3">
      <c r="CY14344" s="34" t="s">
        <v>15271</v>
      </c>
      <c r="CZ14344" s="35">
        <v>2.1615409999999998E-2</v>
      </c>
    </row>
    <row r="14345" spans="103:104" x14ac:dyDescent="0.3">
      <c r="CY14345" s="34" t="s">
        <v>15272</v>
      </c>
      <c r="CZ14345" s="35">
        <v>2.9211202000000006E-2</v>
      </c>
    </row>
    <row r="14346" spans="103:104" x14ac:dyDescent="0.3">
      <c r="CY14346" s="34" t="s">
        <v>15273</v>
      </c>
      <c r="CZ14346" s="35">
        <v>3.3591682000000005E-2</v>
      </c>
    </row>
    <row r="14347" spans="103:104" x14ac:dyDescent="0.3">
      <c r="CY14347" s="34" t="s">
        <v>15274</v>
      </c>
      <c r="CZ14347" s="35">
        <v>3.5282691999999997E-2</v>
      </c>
    </row>
    <row r="14348" spans="103:104" x14ac:dyDescent="0.3">
      <c r="CY14348" s="34" t="s">
        <v>15275</v>
      </c>
      <c r="CZ14348" s="35">
        <v>3.9357738181818192E-3</v>
      </c>
    </row>
    <row r="14349" spans="103:104" x14ac:dyDescent="0.3">
      <c r="CY14349" s="34" t="s">
        <v>15276</v>
      </c>
      <c r="CZ14349" s="35">
        <v>8.2240790000000005E-3</v>
      </c>
    </row>
    <row r="14350" spans="103:104" x14ac:dyDescent="0.3">
      <c r="CY14350" s="34" t="s">
        <v>15277</v>
      </c>
      <c r="CZ14350" s="35">
        <v>8.3978920000000006E-3</v>
      </c>
    </row>
    <row r="14351" spans="103:104" x14ac:dyDescent="0.3">
      <c r="CY14351" s="34" t="s">
        <v>15278</v>
      </c>
      <c r="CZ14351" s="35">
        <v>5.8568600000000002E-3</v>
      </c>
    </row>
    <row r="14352" spans="103:104" x14ac:dyDescent="0.3">
      <c r="CY14352" s="34" t="s">
        <v>15279</v>
      </c>
      <c r="CZ14352" s="35">
        <v>8.0002648000000003E-3</v>
      </c>
    </row>
    <row r="14353" spans="103:104" x14ac:dyDescent="0.3">
      <c r="CY14353" s="34" t="s">
        <v>15280</v>
      </c>
      <c r="CZ14353" s="35">
        <v>4.5196239999999995E-4</v>
      </c>
    </row>
    <row r="14354" spans="103:104" x14ac:dyDescent="0.3">
      <c r="CY14354" s="34" t="s">
        <v>15281</v>
      </c>
      <c r="CZ14354" s="35">
        <v>4.0769999999999994E-4</v>
      </c>
    </row>
    <row r="14355" spans="103:104" x14ac:dyDescent="0.3">
      <c r="CY14355" s="34" t="s">
        <v>15282</v>
      </c>
      <c r="CZ14355" s="35">
        <v>1.1300743999999999E-3</v>
      </c>
    </row>
    <row r="14356" spans="103:104" x14ac:dyDescent="0.3">
      <c r="CY14356" s="34" t="s">
        <v>15283</v>
      </c>
      <c r="CZ14356" s="35">
        <v>2.1116095466666668E-3</v>
      </c>
    </row>
    <row r="14357" spans="103:104" x14ac:dyDescent="0.3">
      <c r="CY14357" s="34" t="s">
        <v>15284</v>
      </c>
      <c r="CZ14357" s="35">
        <v>1.808954265E-3</v>
      </c>
    </row>
    <row r="14358" spans="103:104" x14ac:dyDescent="0.3">
      <c r="CY14358" s="34" t="s">
        <v>15285</v>
      </c>
      <c r="CZ14358" s="35">
        <v>3.0750020000000003E-3</v>
      </c>
    </row>
    <row r="14359" spans="103:104" x14ac:dyDescent="0.3">
      <c r="CY14359" s="34" t="s">
        <v>15286</v>
      </c>
      <c r="CZ14359" s="35">
        <v>0.23797346</v>
      </c>
    </row>
    <row r="14360" spans="103:104" x14ac:dyDescent="0.3">
      <c r="CY14360" s="34" t="s">
        <v>15287</v>
      </c>
      <c r="CZ14360" s="35">
        <v>2.5001000000000005E-4</v>
      </c>
    </row>
    <row r="14361" spans="103:104" x14ac:dyDescent="0.3">
      <c r="CY14361" s="34" t="s">
        <v>15288</v>
      </c>
      <c r="CZ14361" s="35">
        <v>3.4236757919999999E-2</v>
      </c>
    </row>
    <row r="14362" spans="103:104" x14ac:dyDescent="0.3">
      <c r="CY14362" s="34" t="s">
        <v>15289</v>
      </c>
      <c r="CZ14362" s="35">
        <v>3.4236757919999999E-2</v>
      </c>
    </row>
    <row r="14363" spans="103:104" x14ac:dyDescent="0.3">
      <c r="CY14363" s="34" t="s">
        <v>15290</v>
      </c>
      <c r="CZ14363" s="35">
        <v>1.287305E-4</v>
      </c>
    </row>
    <row r="14364" spans="103:104" x14ac:dyDescent="0.3">
      <c r="CY14364" s="34" t="s">
        <v>15291</v>
      </c>
      <c r="CZ14364" s="35">
        <v>3.9812049999999998E-3</v>
      </c>
    </row>
    <row r="14365" spans="103:104" x14ac:dyDescent="0.3">
      <c r="CY14365" s="34" t="s">
        <v>15292</v>
      </c>
      <c r="CZ14365" s="35">
        <v>1.9731120000000005E-2</v>
      </c>
    </row>
    <row r="14366" spans="103:104" x14ac:dyDescent="0.3">
      <c r="CY14366" s="34" t="s">
        <v>15293</v>
      </c>
      <c r="CZ14366" s="35">
        <v>1.0020610253333333E-2</v>
      </c>
    </row>
    <row r="14367" spans="103:104" x14ac:dyDescent="0.3">
      <c r="CY14367" s="34" t="s">
        <v>15294</v>
      </c>
      <c r="CZ14367" s="35">
        <v>1.0897865E-2</v>
      </c>
    </row>
    <row r="14368" spans="103:104" x14ac:dyDescent="0.3">
      <c r="CY14368" s="34" t="s">
        <v>15295</v>
      </c>
      <c r="CZ14368" s="35">
        <v>3.0385675000000004E-2</v>
      </c>
    </row>
    <row r="14369" spans="103:104" x14ac:dyDescent="0.3">
      <c r="CY14369" s="34" t="s">
        <v>15296</v>
      </c>
      <c r="CZ14369" s="35">
        <v>5.4857328000000004E-3</v>
      </c>
    </row>
    <row r="14370" spans="103:104" x14ac:dyDescent="0.3">
      <c r="CY14370" s="34" t="s">
        <v>15297</v>
      </c>
      <c r="CZ14370" s="35">
        <v>6.4022639999999995E-3</v>
      </c>
    </row>
    <row r="14371" spans="103:104" x14ac:dyDescent="0.3">
      <c r="CY14371" s="34" t="s">
        <v>15298</v>
      </c>
      <c r="CZ14371" s="35">
        <v>3.880089942666666E-2</v>
      </c>
    </row>
    <row r="14372" spans="103:104" x14ac:dyDescent="0.3">
      <c r="CY14372" s="34" t="s">
        <v>15299</v>
      </c>
      <c r="CZ14372" s="35">
        <v>1.2072778053333332E-2</v>
      </c>
    </row>
    <row r="14373" spans="103:104" x14ac:dyDescent="0.3">
      <c r="CY14373" s="34" t="s">
        <v>15300</v>
      </c>
      <c r="CZ14373" s="35">
        <v>4.1591665E-2</v>
      </c>
    </row>
    <row r="14374" spans="103:104" x14ac:dyDescent="0.3">
      <c r="CY14374" s="34" t="s">
        <v>15301</v>
      </c>
      <c r="CZ14374" s="35">
        <v>5.8027824999999998E-2</v>
      </c>
    </row>
    <row r="14375" spans="103:104" x14ac:dyDescent="0.3">
      <c r="CY14375" s="34" t="s">
        <v>15302</v>
      </c>
      <c r="CZ14375" s="35">
        <v>5.8027825000000005E-2</v>
      </c>
    </row>
    <row r="14376" spans="103:104" x14ac:dyDescent="0.3">
      <c r="CY14376" s="34" t="s">
        <v>15303</v>
      </c>
      <c r="CZ14376" s="35">
        <v>1.1137032000000002E-2</v>
      </c>
    </row>
    <row r="14377" spans="103:104" x14ac:dyDescent="0.3">
      <c r="CY14377" s="34" t="s">
        <v>15304</v>
      </c>
      <c r="CZ14377" s="35">
        <v>5.5719967999999995E-3</v>
      </c>
    </row>
    <row r="14378" spans="103:104" x14ac:dyDescent="0.3">
      <c r="CY14378" s="34" t="s">
        <v>15305</v>
      </c>
      <c r="CZ14378" s="35">
        <v>8.9433439999999989E-3</v>
      </c>
    </row>
    <row r="14379" spans="103:104" x14ac:dyDescent="0.3">
      <c r="CY14379" s="34" t="s">
        <v>15306</v>
      </c>
      <c r="CZ14379" s="35">
        <v>1.5502208000000002E-2</v>
      </c>
    </row>
    <row r="14380" spans="103:104" x14ac:dyDescent="0.3">
      <c r="CY14380" s="34" t="s">
        <v>15307</v>
      </c>
      <c r="CZ14380" s="35">
        <v>4.6303319999999992E-3</v>
      </c>
    </row>
    <row r="14381" spans="103:104" x14ac:dyDescent="0.3">
      <c r="CY14381" s="34" t="s">
        <v>15308</v>
      </c>
      <c r="CZ14381" s="35">
        <v>8.2662239999999991E-3</v>
      </c>
    </row>
    <row r="14382" spans="103:104" x14ac:dyDescent="0.3">
      <c r="CY14382" s="34" t="s">
        <v>15309</v>
      </c>
      <c r="CZ14382" s="35">
        <v>9.9554338666666652E-3</v>
      </c>
    </row>
    <row r="14383" spans="103:104" x14ac:dyDescent="0.3">
      <c r="CY14383" s="34" t="s">
        <v>15310</v>
      </c>
      <c r="CZ14383" s="35">
        <v>1.708398906666667E-2</v>
      </c>
    </row>
    <row r="14384" spans="103:104" x14ac:dyDescent="0.3">
      <c r="CY14384" s="34" t="s">
        <v>15311</v>
      </c>
      <c r="CZ14384" s="35">
        <v>1.5220991999999999E-2</v>
      </c>
    </row>
    <row r="14385" spans="103:104" x14ac:dyDescent="0.3">
      <c r="CY14385" s="34" t="s">
        <v>15312</v>
      </c>
      <c r="CZ14385" s="35">
        <v>2.5677984000000001E-2</v>
      </c>
    </row>
    <row r="14386" spans="103:104" x14ac:dyDescent="0.3">
      <c r="CY14386" s="34" t="s">
        <v>15313</v>
      </c>
      <c r="CZ14386" s="35">
        <v>3.2890817600000004E-2</v>
      </c>
    </row>
    <row r="14387" spans="103:104" x14ac:dyDescent="0.3">
      <c r="CY14387" s="34" t="s">
        <v>15314</v>
      </c>
      <c r="CZ14387" s="35">
        <v>2.2612152000000003E-2</v>
      </c>
    </row>
    <row r="14388" spans="103:104" x14ac:dyDescent="0.3">
      <c r="CY14388" s="34" t="s">
        <v>15315</v>
      </c>
      <c r="CZ14388" s="35">
        <v>1.24067E-2</v>
      </c>
    </row>
    <row r="14389" spans="103:104" x14ac:dyDescent="0.3">
      <c r="CY14389" s="34" t="s">
        <v>15316</v>
      </c>
      <c r="CZ14389" s="35">
        <v>1.132624E-2</v>
      </c>
    </row>
    <row r="14390" spans="103:104" x14ac:dyDescent="0.3">
      <c r="CY14390" s="34" t="s">
        <v>15317</v>
      </c>
      <c r="CZ14390" s="35">
        <v>1.2685059999999998E-3</v>
      </c>
    </row>
    <row r="14391" spans="103:104" x14ac:dyDescent="0.3">
      <c r="CY14391" s="34" t="s">
        <v>15318</v>
      </c>
      <c r="CZ14391" s="35">
        <v>3.0149626666666665E-2</v>
      </c>
    </row>
    <row r="14392" spans="103:104" x14ac:dyDescent="0.3">
      <c r="CY14392" s="34" t="s">
        <v>15319</v>
      </c>
      <c r="CZ14392" s="35">
        <v>2.7047237333333331E-2</v>
      </c>
    </row>
    <row r="14393" spans="103:104" x14ac:dyDescent="0.3">
      <c r="CY14393" s="34" t="s">
        <v>15320</v>
      </c>
      <c r="CZ14393" s="35">
        <v>0.12440544000000001</v>
      </c>
    </row>
    <row r="14394" spans="103:104" x14ac:dyDescent="0.3">
      <c r="CY14394" s="34" t="s">
        <v>15321</v>
      </c>
      <c r="CZ14394" s="35">
        <v>7.9554794999999998E-2</v>
      </c>
    </row>
    <row r="14395" spans="103:104" x14ac:dyDescent="0.3">
      <c r="CY14395" s="34" t="s">
        <v>15322</v>
      </c>
      <c r="CZ14395" s="35">
        <v>2.3702360000000002E-2</v>
      </c>
    </row>
    <row r="14396" spans="103:104" x14ac:dyDescent="0.3">
      <c r="CY14396" s="34" t="s">
        <v>15323</v>
      </c>
      <c r="CZ14396" s="35">
        <v>1.1191906649999998E-2</v>
      </c>
    </row>
    <row r="14397" spans="103:104" x14ac:dyDescent="0.3">
      <c r="CY14397" s="34" t="s">
        <v>15324</v>
      </c>
      <c r="CZ14397" s="35">
        <v>1.7055516000000002E-3</v>
      </c>
    </row>
    <row r="14398" spans="103:104" x14ac:dyDescent="0.3">
      <c r="CY14398" s="34" t="s">
        <v>15325</v>
      </c>
      <c r="CZ14398" s="35">
        <v>2.1932033299999999E-3</v>
      </c>
    </row>
    <row r="14399" spans="103:104" x14ac:dyDescent="0.3">
      <c r="CY14399" s="34" t="s">
        <v>15326</v>
      </c>
      <c r="CZ14399" s="35">
        <v>5.9497639999999997E-3</v>
      </c>
    </row>
    <row r="14400" spans="103:104" x14ac:dyDescent="0.3">
      <c r="CY14400" s="34" t="s">
        <v>15327</v>
      </c>
      <c r="CZ14400" s="35">
        <v>7.3574321052631581E-3</v>
      </c>
    </row>
    <row r="14401" spans="103:104" x14ac:dyDescent="0.3">
      <c r="CY14401" s="34" t="s">
        <v>15328</v>
      </c>
      <c r="CZ14401" s="35">
        <v>1.3287402631578947E-2</v>
      </c>
    </row>
    <row r="14402" spans="103:104" x14ac:dyDescent="0.3">
      <c r="CY14402" s="34" t="s">
        <v>15329</v>
      </c>
      <c r="CZ14402" s="35">
        <v>1.9415848947368419E-2</v>
      </c>
    </row>
    <row r="14403" spans="103:104" x14ac:dyDescent="0.3">
      <c r="CY14403" s="34" t="s">
        <v>15330</v>
      </c>
      <c r="CZ14403" s="35">
        <v>0.1949584</v>
      </c>
    </row>
    <row r="14404" spans="103:104" x14ac:dyDescent="0.3">
      <c r="CY14404" s="34" t="s">
        <v>15331</v>
      </c>
      <c r="CZ14404" s="35">
        <v>0.36748812499999994</v>
      </c>
    </row>
    <row r="14405" spans="103:104" x14ac:dyDescent="0.3">
      <c r="CY14405" s="34" t="s">
        <v>15332</v>
      </c>
      <c r="CZ14405" s="35">
        <v>0.31095999999999996</v>
      </c>
    </row>
    <row r="14406" spans="103:104" x14ac:dyDescent="0.3">
      <c r="CY14406" s="34" t="s">
        <v>15333</v>
      </c>
      <c r="CZ14406" s="35">
        <v>6.6713476499999994E-3</v>
      </c>
    </row>
    <row r="14407" spans="103:104" x14ac:dyDescent="0.3">
      <c r="CY14407" s="34" t="s">
        <v>15334</v>
      </c>
      <c r="CZ14407" s="35">
        <v>1.8628832000000001E-2</v>
      </c>
    </row>
    <row r="14408" spans="103:104" x14ac:dyDescent="0.3">
      <c r="CY14408" s="34" t="s">
        <v>15335</v>
      </c>
      <c r="CZ14408" s="35">
        <v>2.152128E-2</v>
      </c>
    </row>
    <row r="14409" spans="103:104" x14ac:dyDescent="0.3">
      <c r="CY14409" s="34" t="s">
        <v>15336</v>
      </c>
      <c r="CZ14409" s="35">
        <v>7.4212E-2</v>
      </c>
    </row>
    <row r="14410" spans="103:104" x14ac:dyDescent="0.3">
      <c r="CY14410" s="34" t="s">
        <v>15337</v>
      </c>
      <c r="CZ14410" s="35">
        <v>9.6964373499999992E-2</v>
      </c>
    </row>
    <row r="14411" spans="103:104" x14ac:dyDescent="0.3">
      <c r="CY14411" s="34" t="s">
        <v>15338</v>
      </c>
      <c r="CZ14411" s="35">
        <v>2.0063763999999998E-2</v>
      </c>
    </row>
    <row r="14412" spans="103:104" x14ac:dyDescent="0.3">
      <c r="CY14412" s="34" t="s">
        <v>15339</v>
      </c>
      <c r="CZ14412" s="35">
        <v>0.32901046744999995</v>
      </c>
    </row>
    <row r="14413" spans="103:104" x14ac:dyDescent="0.3">
      <c r="CY14413" s="34" t="s">
        <v>15340</v>
      </c>
      <c r="CZ14413" s="35">
        <v>8.6453338599999999E-2</v>
      </c>
    </row>
    <row r="14414" spans="103:104" x14ac:dyDescent="0.3">
      <c r="CY14414" s="34" t="s">
        <v>15341</v>
      </c>
      <c r="CZ14414" s="35">
        <v>5.0296448000000001E-2</v>
      </c>
    </row>
    <row r="14415" spans="103:104" x14ac:dyDescent="0.3">
      <c r="CY14415" s="34" t="s">
        <v>15342</v>
      </c>
      <c r="CZ14415" s="35">
        <v>3.8339897330000004E-2</v>
      </c>
    </row>
    <row r="14416" spans="103:104" x14ac:dyDescent="0.3">
      <c r="CY14416" s="34" t="s">
        <v>15343</v>
      </c>
      <c r="CZ14416" s="35">
        <v>8.4670200000000001E-2</v>
      </c>
    </row>
    <row r="14417" spans="103:104" x14ac:dyDescent="0.3">
      <c r="CY14417" s="34" t="s">
        <v>15344</v>
      </c>
      <c r="CZ14417" s="35">
        <v>5.6328384000000002E-2</v>
      </c>
    </row>
    <row r="14418" spans="103:104" x14ac:dyDescent="0.3">
      <c r="CY14418" s="34" t="s">
        <v>15345</v>
      </c>
      <c r="CZ14418" s="35">
        <v>2.8562076000000001E-3</v>
      </c>
    </row>
    <row r="14419" spans="103:104" x14ac:dyDescent="0.3">
      <c r="CY14419" s="34" t="s">
        <v>15346</v>
      </c>
      <c r="CZ14419" s="35">
        <v>1.8951558933333328E-2</v>
      </c>
    </row>
    <row r="14420" spans="103:104" x14ac:dyDescent="0.3">
      <c r="CY14420" s="34" t="s">
        <v>15347</v>
      </c>
      <c r="CZ14420" s="35">
        <v>1.6822275091290324E-2</v>
      </c>
    </row>
    <row r="14421" spans="103:104" x14ac:dyDescent="0.3">
      <c r="CY14421" s="34" t="s">
        <v>15348</v>
      </c>
      <c r="CZ14421" s="35">
        <v>8.3214800000000009E-3</v>
      </c>
    </row>
    <row r="14422" spans="103:104" x14ac:dyDescent="0.3">
      <c r="CY14422" s="34" t="s">
        <v>15349</v>
      </c>
      <c r="CZ14422" s="35">
        <v>1.3600995555555556E-2</v>
      </c>
    </row>
    <row r="14423" spans="103:104" x14ac:dyDescent="0.3">
      <c r="CY14423" s="34" t="s">
        <v>15350</v>
      </c>
      <c r="CZ14423" s="35">
        <v>1.1259370666666669E-2</v>
      </c>
    </row>
    <row r="14424" spans="103:104" x14ac:dyDescent="0.3">
      <c r="CY14424" s="34" t="s">
        <v>15351</v>
      </c>
      <c r="CZ14424" s="35">
        <v>1.3299119999999999E-2</v>
      </c>
    </row>
    <row r="14425" spans="103:104" x14ac:dyDescent="0.3">
      <c r="CY14425" s="34" t="s">
        <v>15352</v>
      </c>
      <c r="CZ14425" s="35">
        <v>2.2164102971428571E-2</v>
      </c>
    </row>
    <row r="14426" spans="103:104" x14ac:dyDescent="0.3">
      <c r="CY14426" s="34" t="s">
        <v>15353</v>
      </c>
      <c r="CZ14426" s="35">
        <v>2.3877616000000001E-2</v>
      </c>
    </row>
    <row r="14427" spans="103:104" x14ac:dyDescent="0.3">
      <c r="CY14427" s="34" t="s">
        <v>15354</v>
      </c>
      <c r="CZ14427" s="35">
        <v>6.8857392000000002E-3</v>
      </c>
    </row>
    <row r="14428" spans="103:104" x14ac:dyDescent="0.3">
      <c r="CY14428" s="34" t="s">
        <v>15355</v>
      </c>
      <c r="CZ14428" s="35">
        <v>9.3318490666666667E-3</v>
      </c>
    </row>
    <row r="14429" spans="103:104" x14ac:dyDescent="0.3">
      <c r="CY14429" s="34" t="s">
        <v>15356</v>
      </c>
      <c r="CZ14429" s="35">
        <v>3.6880599E-2</v>
      </c>
    </row>
    <row r="14430" spans="103:104" x14ac:dyDescent="0.3">
      <c r="CY14430" s="34" t="s">
        <v>15357</v>
      </c>
      <c r="CZ14430" s="35">
        <v>5.0142405000000001E-2</v>
      </c>
    </row>
    <row r="14431" spans="103:104" x14ac:dyDescent="0.3">
      <c r="CY14431" s="34" t="s">
        <v>15358</v>
      </c>
      <c r="CZ14431" s="35">
        <v>1.612616E-2</v>
      </c>
    </row>
    <row r="14432" spans="103:104" x14ac:dyDescent="0.3">
      <c r="CY14432" s="34" t="s">
        <v>15359</v>
      </c>
      <c r="CZ14432" s="35">
        <v>1.8341E-2</v>
      </c>
    </row>
    <row r="14433" spans="103:104" x14ac:dyDescent="0.3">
      <c r="CY14433" s="34" t="s">
        <v>15360</v>
      </c>
      <c r="CZ14433" s="35">
        <v>8.2126915599999989E-2</v>
      </c>
    </row>
    <row r="14434" spans="103:104" x14ac:dyDescent="0.3">
      <c r="CY14434" s="34" t="s">
        <v>15361</v>
      </c>
      <c r="CZ14434" s="35">
        <v>5.2064348235294121E-2</v>
      </c>
    </row>
    <row r="14435" spans="103:104" x14ac:dyDescent="0.3">
      <c r="CY14435" s="34" t="s">
        <v>15362</v>
      </c>
      <c r="CZ14435" s="35">
        <v>1.0003973333333332E-3</v>
      </c>
    </row>
    <row r="14436" spans="103:104" x14ac:dyDescent="0.3">
      <c r="CY14436" s="34" t="s">
        <v>15363</v>
      </c>
      <c r="CZ14436" s="35">
        <v>1.2465566171428572E-3</v>
      </c>
    </row>
    <row r="14437" spans="103:104" x14ac:dyDescent="0.3">
      <c r="CY14437" s="34" t="s">
        <v>15364</v>
      </c>
      <c r="CZ14437" s="35">
        <v>4.0219631999999998E-4</v>
      </c>
    </row>
    <row r="14438" spans="103:104" x14ac:dyDescent="0.3">
      <c r="CY14438" s="34" t="s">
        <v>15365</v>
      </c>
      <c r="CZ14438" s="35">
        <v>5.361933600000001E-4</v>
      </c>
    </row>
    <row r="14439" spans="103:104" x14ac:dyDescent="0.3">
      <c r="CY14439" s="34" t="s">
        <v>15366</v>
      </c>
      <c r="CZ14439" s="35">
        <v>3.0578491789473687E-3</v>
      </c>
    </row>
    <row r="14440" spans="103:104" x14ac:dyDescent="0.3">
      <c r="CY14440" s="34" t="s">
        <v>15367</v>
      </c>
      <c r="CZ14440" s="35">
        <v>1.6082618400000003E-3</v>
      </c>
    </row>
    <row r="14441" spans="103:104" x14ac:dyDescent="0.3">
      <c r="CY14441" s="34" t="s">
        <v>15368</v>
      </c>
      <c r="CZ14441" s="35">
        <v>1.2333793684210526E-2</v>
      </c>
    </row>
    <row r="14442" spans="103:104" x14ac:dyDescent="0.3">
      <c r="CY14442" s="34" t="s">
        <v>15369</v>
      </c>
      <c r="CZ14442" s="35">
        <v>2.66533504E-4</v>
      </c>
    </row>
    <row r="14443" spans="103:104" x14ac:dyDescent="0.3">
      <c r="CY14443" s="34" t="s">
        <v>15370</v>
      </c>
      <c r="CZ14443" s="35">
        <v>2.826162947368421E-2</v>
      </c>
    </row>
    <row r="14444" spans="103:104" x14ac:dyDescent="0.3">
      <c r="CY14444" s="34" t="s">
        <v>15371</v>
      </c>
      <c r="CZ14444" s="35">
        <v>2.2859095999999999E-2</v>
      </c>
    </row>
    <row r="14445" spans="103:104" x14ac:dyDescent="0.3">
      <c r="CY14445" s="34" t="s">
        <v>15372</v>
      </c>
      <c r="CZ14445" s="35">
        <v>2.0406289444444444E-2</v>
      </c>
    </row>
    <row r="14446" spans="103:104" x14ac:dyDescent="0.3">
      <c r="CY14446" s="34" t="s">
        <v>15373</v>
      </c>
      <c r="CZ14446" s="35">
        <v>1.7660918315789472E-2</v>
      </c>
    </row>
    <row r="14447" spans="103:104" x14ac:dyDescent="0.3">
      <c r="CY14447" s="34" t="s">
        <v>15374</v>
      </c>
      <c r="CZ14447" s="35">
        <v>2.0443347894736844E-2</v>
      </c>
    </row>
    <row r="14448" spans="103:104" x14ac:dyDescent="0.3">
      <c r="CY14448" s="34" t="s">
        <v>15375</v>
      </c>
      <c r="CZ14448" s="35">
        <v>3.9122299999999999E-2</v>
      </c>
    </row>
    <row r="14449" spans="103:104" x14ac:dyDescent="0.3">
      <c r="CY14449" s="34" t="s">
        <v>15376</v>
      </c>
      <c r="CZ14449" s="35">
        <v>0.16832840143369177</v>
      </c>
    </row>
    <row r="14450" spans="103:104" x14ac:dyDescent="0.3">
      <c r="CY14450" s="34" t="s">
        <v>15377</v>
      </c>
      <c r="CZ14450" s="35">
        <v>6.9127740000000009E-3</v>
      </c>
    </row>
    <row r="14451" spans="103:104" x14ac:dyDescent="0.3">
      <c r="CY14451" s="34" t="s">
        <v>15378</v>
      </c>
      <c r="CZ14451" s="35">
        <v>3.3494399999999994E-4</v>
      </c>
    </row>
    <row r="14452" spans="103:104" x14ac:dyDescent="0.3">
      <c r="CY14452" s="34" t="s">
        <v>15379</v>
      </c>
      <c r="CZ14452" s="35">
        <v>8.7160986666666666E-3</v>
      </c>
    </row>
    <row r="14453" spans="103:104" x14ac:dyDescent="0.3">
      <c r="CY14453" s="34" t="s">
        <v>15380</v>
      </c>
      <c r="CZ14453" s="35">
        <v>5.9599999999999999E-5</v>
      </c>
    </row>
    <row r="14454" spans="103:104" x14ac:dyDescent="0.3">
      <c r="CY14454" s="34" t="s">
        <v>15381</v>
      </c>
      <c r="CZ14454" s="35">
        <v>7.9645481199999996E-3</v>
      </c>
    </row>
    <row r="14455" spans="103:104" x14ac:dyDescent="0.3">
      <c r="CY14455" s="34" t="s">
        <v>15382</v>
      </c>
      <c r="CZ14455" s="35">
        <v>1.4178185179797978E-2</v>
      </c>
    </row>
    <row r="14456" spans="103:104" x14ac:dyDescent="0.3">
      <c r="CY14456" s="34" t="s">
        <v>15383</v>
      </c>
      <c r="CZ14456" s="35">
        <v>1.3875998476767678E-2</v>
      </c>
    </row>
    <row r="14457" spans="103:104" x14ac:dyDescent="0.3">
      <c r="CY14457" s="34" t="s">
        <v>15384</v>
      </c>
      <c r="CZ14457" s="35">
        <v>4.3404339513E-3</v>
      </c>
    </row>
    <row r="14458" spans="103:104" x14ac:dyDescent="0.3">
      <c r="CY14458" s="34" t="s">
        <v>15385</v>
      </c>
      <c r="CZ14458" s="35">
        <v>4.0644962620000006E-3</v>
      </c>
    </row>
    <row r="14459" spans="103:104" x14ac:dyDescent="0.3">
      <c r="CY14459" s="34" t="s">
        <v>15386</v>
      </c>
      <c r="CZ14459" s="35">
        <v>0.10701634693877551</v>
      </c>
    </row>
    <row r="14460" spans="103:104" x14ac:dyDescent="0.3">
      <c r="CY14460" s="34" t="s">
        <v>15387</v>
      </c>
      <c r="CZ14460" s="35">
        <v>8.9822666666666666E-4</v>
      </c>
    </row>
    <row r="14461" spans="103:104" x14ac:dyDescent="0.3">
      <c r="CY14461" s="34" t="s">
        <v>15388</v>
      </c>
      <c r="CZ14461" s="35">
        <v>1.5178785122807018E-2</v>
      </c>
    </row>
    <row r="14462" spans="103:104" x14ac:dyDescent="0.3">
      <c r="CY14462" s="34" t="s">
        <v>15389</v>
      </c>
      <c r="CZ14462" s="35">
        <v>1.9106331894736841E-2</v>
      </c>
    </row>
    <row r="14463" spans="103:104" x14ac:dyDescent="0.3">
      <c r="CY14463" s="34" t="s">
        <v>15390</v>
      </c>
      <c r="CZ14463" s="35">
        <v>5.6492825000000003E-2</v>
      </c>
    </row>
    <row r="14464" spans="103:104" x14ac:dyDescent="0.3">
      <c r="CY14464" s="34" t="s">
        <v>15391</v>
      </c>
      <c r="CZ14464" s="35">
        <v>0.124769728</v>
      </c>
    </row>
    <row r="14465" spans="103:104" x14ac:dyDescent="0.3">
      <c r="CY14465" s="34" t="s">
        <v>15392</v>
      </c>
      <c r="CZ14465" s="35">
        <v>3.6599242105263162E-3</v>
      </c>
    </row>
    <row r="14466" spans="103:104" x14ac:dyDescent="0.3">
      <c r="CY14466" s="34" t="s">
        <v>15393</v>
      </c>
      <c r="CZ14466" s="35">
        <v>3.9986628000000003E-3</v>
      </c>
    </row>
    <row r="14467" spans="103:104" x14ac:dyDescent="0.3">
      <c r="CY14467" s="34" t="s">
        <v>15394</v>
      </c>
      <c r="CZ14467" s="35">
        <v>1.2012004960000001E-2</v>
      </c>
    </row>
    <row r="14468" spans="103:104" x14ac:dyDescent="0.3">
      <c r="CY14468" s="34" t="s">
        <v>15395</v>
      </c>
      <c r="CZ14468" s="35">
        <v>0.89908674000000011</v>
      </c>
    </row>
    <row r="14469" spans="103:104" x14ac:dyDescent="0.3">
      <c r="CY14469" s="34" t="s">
        <v>15396</v>
      </c>
      <c r="CZ14469" s="35">
        <v>0.58000642000000013</v>
      </c>
    </row>
    <row r="14470" spans="103:104" x14ac:dyDescent="0.3">
      <c r="CY14470" s="34" t="s">
        <v>15397</v>
      </c>
      <c r="CZ14470" s="35">
        <v>7.7283166666666661E-4</v>
      </c>
    </row>
    <row r="14471" spans="103:104" x14ac:dyDescent="0.3">
      <c r="CY14471" s="34" t="s">
        <v>15398</v>
      </c>
      <c r="CZ14471" s="35">
        <v>5.1998275000000004E-4</v>
      </c>
    </row>
    <row r="14472" spans="103:104" x14ac:dyDescent="0.3">
      <c r="CY14472" s="34" t="s">
        <v>15399</v>
      </c>
      <c r="CZ14472" s="35">
        <v>1.6072750222222221E-3</v>
      </c>
    </row>
    <row r="14473" spans="103:104" x14ac:dyDescent="0.3">
      <c r="CY14473" s="34" t="s">
        <v>15400</v>
      </c>
      <c r="CZ14473" s="35">
        <v>3.5618205999999992E-3</v>
      </c>
    </row>
    <row r="14474" spans="103:104" x14ac:dyDescent="0.3">
      <c r="CY14474" s="34" t="s">
        <v>15401</v>
      </c>
      <c r="CZ14474" s="35">
        <v>1.1738811733333333E-2</v>
      </c>
    </row>
    <row r="14475" spans="103:104" x14ac:dyDescent="0.3">
      <c r="CY14475" s="34" t="s">
        <v>15402</v>
      </c>
      <c r="CZ14475" s="35">
        <v>3.000228E-4</v>
      </c>
    </row>
    <row r="14476" spans="103:104" x14ac:dyDescent="0.3">
      <c r="CY14476" s="34" t="s">
        <v>15403</v>
      </c>
      <c r="CZ14476" s="35">
        <v>0.72869183999999998</v>
      </c>
    </row>
    <row r="14477" spans="103:104" x14ac:dyDescent="0.3">
      <c r="CY14477" s="34" t="s">
        <v>15404</v>
      </c>
      <c r="CZ14477" s="35">
        <v>0.78093312000000004</v>
      </c>
    </row>
    <row r="14478" spans="103:104" x14ac:dyDescent="0.3">
      <c r="CY14478" s="34" t="s">
        <v>15405</v>
      </c>
      <c r="CZ14478" s="35">
        <v>0.77098239999999996</v>
      </c>
    </row>
    <row r="14479" spans="103:104" x14ac:dyDescent="0.3">
      <c r="CY14479" s="34" t="s">
        <v>15406</v>
      </c>
      <c r="CZ14479" s="35">
        <v>0.70630271999999994</v>
      </c>
    </row>
    <row r="14480" spans="103:104" x14ac:dyDescent="0.3">
      <c r="CY14480" s="34" t="s">
        <v>15407</v>
      </c>
      <c r="CZ14480" s="35">
        <v>0.73708775999999987</v>
      </c>
    </row>
    <row r="14481" spans="103:104" x14ac:dyDescent="0.3">
      <c r="CY14481" s="34" t="s">
        <v>15408</v>
      </c>
      <c r="CZ14481" s="35">
        <v>4.3443269999999992E-2</v>
      </c>
    </row>
    <row r="14482" spans="103:104" x14ac:dyDescent="0.3">
      <c r="CY14482" s="34" t="s">
        <v>15409</v>
      </c>
      <c r="CZ14482" s="35">
        <v>0.31431500000000001</v>
      </c>
    </row>
    <row r="14483" spans="103:104" x14ac:dyDescent="0.3">
      <c r="CY14483" s="34" t="s">
        <v>15410</v>
      </c>
      <c r="CZ14483" s="35">
        <v>0.53302099999999997</v>
      </c>
    </row>
    <row r="14484" spans="103:104" x14ac:dyDescent="0.3">
      <c r="CY14484" s="34" t="s">
        <v>15411</v>
      </c>
      <c r="CZ14484" s="35">
        <v>1.2239999999999999E-2</v>
      </c>
    </row>
    <row r="14485" spans="103:104" x14ac:dyDescent="0.3">
      <c r="CY14485" s="34" t="s">
        <v>15412</v>
      </c>
      <c r="CZ14485" s="35">
        <v>0.58301384000000001</v>
      </c>
    </row>
    <row r="14486" spans="103:104" x14ac:dyDescent="0.3">
      <c r="CY14486" s="34" t="s">
        <v>15413</v>
      </c>
      <c r="CZ14486" s="35">
        <v>1.0802524</v>
      </c>
    </row>
    <row r="14487" spans="103:104" x14ac:dyDescent="0.3">
      <c r="CY14487" s="34" t="s">
        <v>15414</v>
      </c>
      <c r="CZ14487" s="35">
        <v>1.2239999999999999E-2</v>
      </c>
    </row>
    <row r="14488" spans="103:104" x14ac:dyDescent="0.3">
      <c r="CY14488" s="34" t="s">
        <v>15415</v>
      </c>
      <c r="CZ14488" s="35">
        <v>4.5640377999999995E-2</v>
      </c>
    </row>
    <row r="14489" spans="103:104" x14ac:dyDescent="0.3">
      <c r="CY14489" s="34" t="s">
        <v>15416</v>
      </c>
      <c r="CZ14489" s="35">
        <v>0.84914151999999987</v>
      </c>
    </row>
    <row r="14490" spans="103:104" x14ac:dyDescent="0.3">
      <c r="CY14490" s="34" t="s">
        <v>15417</v>
      </c>
      <c r="CZ14490" s="35">
        <v>5.7487040000000003E-3</v>
      </c>
    </row>
    <row r="14491" spans="103:104" x14ac:dyDescent="0.3">
      <c r="CY14491" s="34" t="s">
        <v>15418</v>
      </c>
      <c r="CZ14491" s="35">
        <v>2.509552E-2</v>
      </c>
    </row>
    <row r="14492" spans="103:104" x14ac:dyDescent="0.3">
      <c r="CY14492" s="34" t="s">
        <v>15419</v>
      </c>
      <c r="CZ14492" s="35">
        <v>2.0412207999999998E-2</v>
      </c>
    </row>
    <row r="14493" spans="103:104" x14ac:dyDescent="0.3">
      <c r="CY14493" s="34" t="s">
        <v>15420</v>
      </c>
      <c r="CZ14493" s="35">
        <v>2.01344E-2</v>
      </c>
    </row>
    <row r="14494" spans="103:104" x14ac:dyDescent="0.3">
      <c r="CY14494" s="34" t="s">
        <v>15421</v>
      </c>
      <c r="CZ14494" s="35">
        <v>1.2223216800000001E-3</v>
      </c>
    </row>
    <row r="14495" spans="103:104" x14ac:dyDescent="0.3">
      <c r="CY14495" s="34" t="s">
        <v>15422</v>
      </c>
      <c r="CZ14495" s="35">
        <v>1.0344225919999999E-3</v>
      </c>
    </row>
    <row r="14496" spans="103:104" x14ac:dyDescent="0.3">
      <c r="CY14496" s="34" t="s">
        <v>15423</v>
      </c>
      <c r="CZ14496" s="35">
        <v>2.526188571428572E-3</v>
      </c>
    </row>
    <row r="14497" spans="103:104" x14ac:dyDescent="0.3">
      <c r="CY14497" s="34" t="s">
        <v>15424</v>
      </c>
      <c r="CZ14497" s="35">
        <v>2.197424032586558E-2</v>
      </c>
    </row>
    <row r="14498" spans="103:104" x14ac:dyDescent="0.3">
      <c r="CY14498" s="34" t="s">
        <v>15425</v>
      </c>
      <c r="CZ14498" s="35">
        <v>2.1951886063072228E-2</v>
      </c>
    </row>
    <row r="14499" spans="103:104" x14ac:dyDescent="0.3">
      <c r="CY14499" s="34" t="s">
        <v>15426</v>
      </c>
      <c r="CZ14499" s="35">
        <v>1.9709420718816067E-2</v>
      </c>
    </row>
    <row r="14500" spans="103:104" x14ac:dyDescent="0.3">
      <c r="CY14500" s="34" t="s">
        <v>15427</v>
      </c>
      <c r="CZ14500" s="35">
        <v>1.9370460887949258E-2</v>
      </c>
    </row>
    <row r="14501" spans="103:104" x14ac:dyDescent="0.3">
      <c r="CY14501" s="34" t="s">
        <v>15428</v>
      </c>
      <c r="CZ14501" s="35">
        <v>2.1500154158215014E-2</v>
      </c>
    </row>
    <row r="14502" spans="103:104" x14ac:dyDescent="0.3">
      <c r="CY14502" s="34" t="s">
        <v>15429</v>
      </c>
      <c r="CZ14502" s="35">
        <v>1.74403248E-2</v>
      </c>
    </row>
    <row r="14503" spans="103:104" x14ac:dyDescent="0.3">
      <c r="CY14503" s="34" t="s">
        <v>15430</v>
      </c>
      <c r="CZ14503" s="35">
        <v>3.3755009600000004E-2</v>
      </c>
    </row>
    <row r="14504" spans="103:104" x14ac:dyDescent="0.3">
      <c r="CY14504" s="34" t="s">
        <v>15431</v>
      </c>
      <c r="CZ14504" s="35">
        <v>2.9667922666666666E-2</v>
      </c>
    </row>
    <row r="14505" spans="103:104" x14ac:dyDescent="0.3">
      <c r="CY14505" s="34" t="s">
        <v>15432</v>
      </c>
      <c r="CZ14505" s="35">
        <v>2.9715533866666661E-2</v>
      </c>
    </row>
    <row r="14506" spans="103:104" x14ac:dyDescent="0.3">
      <c r="CY14506" s="34" t="s">
        <v>15433</v>
      </c>
      <c r="CZ14506" s="35">
        <v>1.3073578666666665E-2</v>
      </c>
    </row>
    <row r="14507" spans="103:104" x14ac:dyDescent="0.3">
      <c r="CY14507" s="34" t="s">
        <v>15434</v>
      </c>
      <c r="CZ14507" s="35">
        <v>2.9715533866666661E-2</v>
      </c>
    </row>
    <row r="14508" spans="103:104" x14ac:dyDescent="0.3">
      <c r="CY14508" s="34" t="s">
        <v>15435</v>
      </c>
      <c r="CZ14508" s="35">
        <v>2.9667922666666662E-2</v>
      </c>
    </row>
    <row r="14509" spans="103:104" x14ac:dyDescent="0.3">
      <c r="CY14509" s="34" t="s">
        <v>15436</v>
      </c>
      <c r="CZ14509" s="35">
        <v>2.4401956491228071E-2</v>
      </c>
    </row>
    <row r="14510" spans="103:104" x14ac:dyDescent="0.3">
      <c r="CY14510" s="34" t="s">
        <v>15437</v>
      </c>
      <c r="CZ14510" s="35">
        <v>2.3181858666666666E-2</v>
      </c>
    </row>
    <row r="14511" spans="103:104" x14ac:dyDescent="0.3">
      <c r="CY14511" s="34" t="s">
        <v>15438</v>
      </c>
      <c r="CZ14511" s="35">
        <v>2.9086125866666666E-2</v>
      </c>
    </row>
    <row r="14512" spans="103:104" x14ac:dyDescent="0.3">
      <c r="CY14512" s="34" t="s">
        <v>15439</v>
      </c>
      <c r="CZ14512" s="35">
        <v>2.8930541866666666E-2</v>
      </c>
    </row>
    <row r="14513" spans="103:104" x14ac:dyDescent="0.3">
      <c r="CY14513" s="34" t="s">
        <v>15440</v>
      </c>
      <c r="CZ14513" s="35">
        <v>2.9086125866666666E-2</v>
      </c>
    </row>
    <row r="14514" spans="103:104" x14ac:dyDescent="0.3">
      <c r="CY14514" s="34" t="s">
        <v>15441</v>
      </c>
      <c r="CZ14514" s="35">
        <v>2.9039450666666664E-2</v>
      </c>
    </row>
    <row r="14515" spans="103:104" x14ac:dyDescent="0.3">
      <c r="CY14515" s="34" t="s">
        <v>15442</v>
      </c>
      <c r="CZ14515" s="35">
        <v>2.8074829866666665E-2</v>
      </c>
    </row>
    <row r="14516" spans="103:104" x14ac:dyDescent="0.3">
      <c r="CY14516" s="34" t="s">
        <v>15443</v>
      </c>
      <c r="CZ14516" s="35">
        <v>3.379422666666667E-2</v>
      </c>
    </row>
    <row r="14517" spans="103:104" x14ac:dyDescent="0.3">
      <c r="CY14517" s="34" t="s">
        <v>15444</v>
      </c>
      <c r="CZ14517" s="35">
        <v>3.3857708266666668E-2</v>
      </c>
    </row>
    <row r="14518" spans="103:104" x14ac:dyDescent="0.3">
      <c r="CY14518" s="34" t="s">
        <v>15445</v>
      </c>
      <c r="CZ14518" s="35">
        <v>3.6127175466666668E-2</v>
      </c>
    </row>
    <row r="14519" spans="103:104" x14ac:dyDescent="0.3">
      <c r="CY14519" s="34" t="s">
        <v>15446</v>
      </c>
      <c r="CZ14519" s="35">
        <v>3.4159245866666667E-2</v>
      </c>
    </row>
    <row r="14520" spans="103:104" x14ac:dyDescent="0.3">
      <c r="CY14520" s="34" t="s">
        <v>15447</v>
      </c>
      <c r="CZ14520" s="35">
        <v>1.9551673333333335E-2</v>
      </c>
    </row>
    <row r="14521" spans="103:104" x14ac:dyDescent="0.3">
      <c r="CY14521" s="34" t="s">
        <v>15448</v>
      </c>
      <c r="CZ14521" s="35">
        <v>2.0356425333333334E-2</v>
      </c>
    </row>
    <row r="14522" spans="103:104" x14ac:dyDescent="0.3">
      <c r="CY14522" s="34" t="s">
        <v>15449</v>
      </c>
      <c r="CZ14522" s="35">
        <v>2.4999888000000005E-2</v>
      </c>
    </row>
    <row r="14523" spans="103:104" x14ac:dyDescent="0.3">
      <c r="CY14523" s="34" t="s">
        <v>15450</v>
      </c>
      <c r="CZ14523" s="35">
        <v>2.4999888000000001E-2</v>
      </c>
    </row>
    <row r="14524" spans="103:104" x14ac:dyDescent="0.3">
      <c r="CY14524" s="34" t="s">
        <v>15451</v>
      </c>
      <c r="CZ14524" s="35">
        <v>4.3293077766666669E-3</v>
      </c>
    </row>
    <row r="14525" spans="103:104" x14ac:dyDescent="0.3">
      <c r="CY14525" s="34" t="s">
        <v>15452</v>
      </c>
      <c r="CZ14525" s="35">
        <v>7.5512096000000008E-3</v>
      </c>
    </row>
    <row r="14526" spans="103:104" x14ac:dyDescent="0.3">
      <c r="CY14526" s="34" t="s">
        <v>15453</v>
      </c>
      <c r="CZ14526" s="35">
        <v>4.548352E-2</v>
      </c>
    </row>
    <row r="14527" spans="103:104" x14ac:dyDescent="0.3">
      <c r="CY14527" s="34" t="s">
        <v>15454</v>
      </c>
      <c r="CZ14527" s="35">
        <v>1.3653088000000001E-2</v>
      </c>
    </row>
    <row r="14528" spans="103:104" x14ac:dyDescent="0.3">
      <c r="CY14528" s="34" t="s">
        <v>15455</v>
      </c>
      <c r="CZ14528" s="35">
        <v>4.5263163199999998E-2</v>
      </c>
    </row>
    <row r="14529" spans="103:104" x14ac:dyDescent="0.3">
      <c r="CY14529" s="34" t="s">
        <v>15456</v>
      </c>
      <c r="CZ14529" s="35">
        <v>9.5830535999999987E-3</v>
      </c>
    </row>
    <row r="14530" spans="103:104" x14ac:dyDescent="0.3">
      <c r="CY14530" s="34" t="s">
        <v>15457</v>
      </c>
      <c r="CZ14530" s="35">
        <v>1.0917050000000001</v>
      </c>
    </row>
    <row r="14531" spans="103:104" x14ac:dyDescent="0.3">
      <c r="CY14531" s="34" t="s">
        <v>15458</v>
      </c>
      <c r="CZ14531" s="35">
        <v>4.7095986800000003E-2</v>
      </c>
    </row>
    <row r="14532" spans="103:104" x14ac:dyDescent="0.3">
      <c r="CY14532" s="34" t="s">
        <v>15459</v>
      </c>
      <c r="CZ14532" s="35">
        <v>5.7791242800000003E-2</v>
      </c>
    </row>
    <row r="14533" spans="103:104" x14ac:dyDescent="0.3">
      <c r="CY14533" s="34" t="s">
        <v>15460</v>
      </c>
      <c r="CZ14533" s="35">
        <v>4.5727339999999991E-2</v>
      </c>
    </row>
    <row r="14534" spans="103:104" x14ac:dyDescent="0.3">
      <c r="CY14534" s="34" t="s">
        <v>15461</v>
      </c>
      <c r="CZ14534" s="35">
        <v>5.1205123999999991E-2</v>
      </c>
    </row>
    <row r="14535" spans="103:104" x14ac:dyDescent="0.3">
      <c r="CY14535" s="34" t="s">
        <v>15462</v>
      </c>
      <c r="CZ14535" s="35">
        <v>5.1205123999999998E-2</v>
      </c>
    </row>
    <row r="14536" spans="103:104" x14ac:dyDescent="0.3">
      <c r="CY14536" s="34" t="s">
        <v>15463</v>
      </c>
      <c r="CZ14536" s="35">
        <v>9.7579660000000012E-2</v>
      </c>
    </row>
    <row r="14537" spans="103:104" x14ac:dyDescent="0.3">
      <c r="CY14537" s="34" t="s">
        <v>15464</v>
      </c>
      <c r="CZ14537" s="35">
        <v>9.7579660000000012E-2</v>
      </c>
    </row>
    <row r="14538" spans="103:104" x14ac:dyDescent="0.3">
      <c r="CY14538" s="34" t="s">
        <v>15465</v>
      </c>
      <c r="CZ14538" s="35">
        <v>5.1205123999999998E-2</v>
      </c>
    </row>
    <row r="14539" spans="103:104" x14ac:dyDescent="0.3">
      <c r="CY14539" s="34" t="s">
        <v>15466</v>
      </c>
      <c r="CZ14539" s="35">
        <v>7.9623019999999989E-2</v>
      </c>
    </row>
    <row r="14540" spans="103:104" x14ac:dyDescent="0.3">
      <c r="CY14540" s="34" t="s">
        <v>15467</v>
      </c>
      <c r="CZ14540" s="35">
        <v>7.9623020000000003E-2</v>
      </c>
    </row>
    <row r="14541" spans="103:104" x14ac:dyDescent="0.3">
      <c r="CY14541" s="34" t="s">
        <v>15468</v>
      </c>
      <c r="CZ14541" s="35">
        <v>0.70514927999999999</v>
      </c>
    </row>
    <row r="14542" spans="103:104" x14ac:dyDescent="0.3">
      <c r="CY14542" s="34" t="s">
        <v>15469</v>
      </c>
      <c r="CZ14542" s="35">
        <v>1.67395072E-2</v>
      </c>
    </row>
    <row r="14543" spans="103:104" x14ac:dyDescent="0.3">
      <c r="CY14543" s="34" t="s">
        <v>15470</v>
      </c>
      <c r="CZ14543" s="35">
        <v>2.0737891199999997E-2</v>
      </c>
    </row>
    <row r="14544" spans="103:104" x14ac:dyDescent="0.3">
      <c r="CY14544" s="34" t="s">
        <v>15471</v>
      </c>
      <c r="CZ14544" s="35">
        <v>2.16654464E-2</v>
      </c>
    </row>
    <row r="14545" spans="103:104" x14ac:dyDescent="0.3">
      <c r="CY14545" s="34" t="s">
        <v>15472</v>
      </c>
      <c r="CZ14545" s="35">
        <v>5.4560698400000003E-2</v>
      </c>
    </row>
    <row r="14546" spans="103:104" x14ac:dyDescent="0.3">
      <c r="CY14546" s="34" t="s">
        <v>15473</v>
      </c>
      <c r="CZ14546" s="35">
        <v>0.41773184000000008</v>
      </c>
    </row>
    <row r="14547" spans="103:104" x14ac:dyDescent="0.3">
      <c r="CY14547" s="34" t="s">
        <v>15474</v>
      </c>
      <c r="CZ14547" s="35">
        <v>4.0331616000000008E-2</v>
      </c>
    </row>
    <row r="14548" spans="103:104" x14ac:dyDescent="0.3">
      <c r="CY14548" s="34" t="s">
        <v>15475</v>
      </c>
      <c r="CZ14548" s="35">
        <v>0.45255935999999997</v>
      </c>
    </row>
    <row r="14549" spans="103:104" x14ac:dyDescent="0.3">
      <c r="CY14549" s="34" t="s">
        <v>15476</v>
      </c>
      <c r="CZ14549" s="35">
        <v>6.2409567999999999E-2</v>
      </c>
    </row>
    <row r="14550" spans="103:104" x14ac:dyDescent="0.3">
      <c r="CY14550" s="34" t="s">
        <v>15477</v>
      </c>
      <c r="CZ14550" s="35">
        <v>0.12849586285714287</v>
      </c>
    </row>
    <row r="14551" spans="103:104" x14ac:dyDescent="0.3">
      <c r="CY14551" s="34" t="s">
        <v>15478</v>
      </c>
      <c r="CZ14551" s="35">
        <v>6.2280848E-2</v>
      </c>
    </row>
    <row r="14552" spans="103:104" x14ac:dyDescent="0.3">
      <c r="CY14552" s="34" t="s">
        <v>15479</v>
      </c>
      <c r="CZ14552" s="35">
        <v>5.7202320000000001E-2</v>
      </c>
    </row>
    <row r="14553" spans="103:104" x14ac:dyDescent="0.3">
      <c r="CY14553" s="34" t="s">
        <v>15480</v>
      </c>
      <c r="CZ14553" s="35">
        <v>0.10243296</v>
      </c>
    </row>
    <row r="14554" spans="103:104" x14ac:dyDescent="0.3">
      <c r="CY14554" s="34" t="s">
        <v>15481</v>
      </c>
      <c r="CZ14554" s="35">
        <v>8.5769039999999991E-2</v>
      </c>
    </row>
    <row r="14555" spans="103:104" x14ac:dyDescent="0.3">
      <c r="CY14555" s="34" t="s">
        <v>15482</v>
      </c>
      <c r="CZ14555" s="35">
        <v>0.12802988000000001</v>
      </c>
    </row>
    <row r="14556" spans="103:104" x14ac:dyDescent="0.3">
      <c r="CY14556" s="34" t="s">
        <v>15483</v>
      </c>
      <c r="CZ14556" s="35">
        <v>1.0831744E-3</v>
      </c>
    </row>
    <row r="14557" spans="103:104" x14ac:dyDescent="0.3">
      <c r="CY14557" s="34" t="s">
        <v>15484</v>
      </c>
      <c r="CZ14557" s="35">
        <v>1.8284293299999999E-3</v>
      </c>
    </row>
    <row r="14558" spans="103:104" x14ac:dyDescent="0.3">
      <c r="CY14558" s="34" t="s">
        <v>15485</v>
      </c>
      <c r="CZ14558" s="35">
        <v>9.3538699999999998E-4</v>
      </c>
    </row>
    <row r="14559" spans="103:104" x14ac:dyDescent="0.3">
      <c r="CY14559" s="34" t="s">
        <v>15486</v>
      </c>
      <c r="CZ14559" s="35">
        <v>1.1421776000000001E-3</v>
      </c>
    </row>
    <row r="14560" spans="103:104" x14ac:dyDescent="0.3">
      <c r="CY14560" s="34" t="s">
        <v>15487</v>
      </c>
      <c r="CZ14560" s="35">
        <v>1.1064176000000002E-3</v>
      </c>
    </row>
    <row r="14561" spans="103:104" x14ac:dyDescent="0.3">
      <c r="CY14561" s="34" t="s">
        <v>15488</v>
      </c>
      <c r="CZ14561" s="35">
        <v>6.6763199999999993E-4</v>
      </c>
    </row>
    <row r="14562" spans="103:104" x14ac:dyDescent="0.3">
      <c r="CY14562" s="34" t="s">
        <v>15489</v>
      </c>
      <c r="CZ14562" s="35">
        <v>7.3395199999999996E-4</v>
      </c>
    </row>
    <row r="14563" spans="103:104" x14ac:dyDescent="0.3">
      <c r="CY14563" s="34" t="s">
        <v>15490</v>
      </c>
      <c r="CZ14563" s="35">
        <v>1.0151711999999999E-3</v>
      </c>
    </row>
    <row r="14564" spans="103:104" x14ac:dyDescent="0.3">
      <c r="CY14564" s="34" t="s">
        <v>15491</v>
      </c>
      <c r="CZ14564" s="35">
        <v>1.8125359999999998E-3</v>
      </c>
    </row>
    <row r="14565" spans="103:104" x14ac:dyDescent="0.3">
      <c r="CY14565" s="34" t="s">
        <v>15492</v>
      </c>
      <c r="CZ14565" s="35">
        <v>5.2400040000000004E-3</v>
      </c>
    </row>
    <row r="14566" spans="103:104" x14ac:dyDescent="0.3">
      <c r="CY14566" s="34" t="s">
        <v>15493</v>
      </c>
      <c r="CZ14566" s="35">
        <v>1.6932895999999999E-3</v>
      </c>
    </row>
    <row r="14567" spans="103:104" x14ac:dyDescent="0.3">
      <c r="CY14567" s="34" t="s">
        <v>15494</v>
      </c>
      <c r="CZ14567" s="35">
        <v>1.7813359999999999E-3</v>
      </c>
    </row>
    <row r="14568" spans="103:104" x14ac:dyDescent="0.3">
      <c r="CY14568" s="34" t="s">
        <v>15495</v>
      </c>
      <c r="CZ14568" s="35">
        <v>6.5749120000000013E-4</v>
      </c>
    </row>
    <row r="14569" spans="103:104" x14ac:dyDescent="0.3">
      <c r="CY14569" s="34" t="s">
        <v>15496</v>
      </c>
      <c r="CZ14569" s="35">
        <v>5.5095199999999995E-3</v>
      </c>
    </row>
    <row r="14570" spans="103:104" x14ac:dyDescent="0.3">
      <c r="CY14570" s="34" t="s">
        <v>15497</v>
      </c>
      <c r="CZ14570" s="35">
        <v>3.2081640000000003E-3</v>
      </c>
    </row>
    <row r="14571" spans="103:104" x14ac:dyDescent="0.3">
      <c r="CY14571" s="34" t="s">
        <v>15498</v>
      </c>
      <c r="CZ14571" s="35">
        <v>2.5142479999999997E-3</v>
      </c>
    </row>
    <row r="14572" spans="103:104" x14ac:dyDescent="0.3">
      <c r="CY14572" s="34" t="s">
        <v>15499</v>
      </c>
      <c r="CZ14572" s="35">
        <v>2.1100119999999997E-3</v>
      </c>
    </row>
    <row r="14573" spans="103:104" x14ac:dyDescent="0.3">
      <c r="CY14573" s="34" t="s">
        <v>15500</v>
      </c>
      <c r="CZ14573" s="35">
        <v>2.0042305882352944E-2</v>
      </c>
    </row>
    <row r="14574" spans="103:104" x14ac:dyDescent="0.3">
      <c r="CY14574" s="34" t="s">
        <v>15501</v>
      </c>
      <c r="CZ14574" s="35">
        <v>6.3306500000000002E-2</v>
      </c>
    </row>
    <row r="14575" spans="103:104" x14ac:dyDescent="0.3">
      <c r="CY14575" s="34" t="s">
        <v>15502</v>
      </c>
      <c r="CZ14575" s="35">
        <v>1.6255143999999999E-2</v>
      </c>
    </row>
    <row r="14576" spans="103:104" x14ac:dyDescent="0.3">
      <c r="CY14576" s="34" t="s">
        <v>15503</v>
      </c>
      <c r="CZ14576" s="35">
        <v>0.49571023999999997</v>
      </c>
    </row>
    <row r="14577" spans="103:104" x14ac:dyDescent="0.3">
      <c r="CY14577" s="34" t="s">
        <v>15504</v>
      </c>
      <c r="CZ14577" s="35">
        <v>2.8512333399999999E-2</v>
      </c>
    </row>
    <row r="14578" spans="103:104" x14ac:dyDescent="0.3">
      <c r="CY14578" s="34" t="s">
        <v>15505</v>
      </c>
      <c r="CZ14578" s="35">
        <v>2.8421346666666666E-2</v>
      </c>
    </row>
    <row r="14579" spans="103:104" x14ac:dyDescent="0.3">
      <c r="CY14579" s="34" t="s">
        <v>15506</v>
      </c>
      <c r="CZ14579" s="35">
        <v>2.8421346666666666E-2</v>
      </c>
    </row>
    <row r="14580" spans="103:104" x14ac:dyDescent="0.3">
      <c r="CY14580" s="34" t="s">
        <v>15507</v>
      </c>
      <c r="CZ14580" s="35">
        <v>3.5371600000000003E-2</v>
      </c>
    </row>
    <row r="14581" spans="103:104" x14ac:dyDescent="0.3">
      <c r="CY14581" s="34" t="s">
        <v>15508</v>
      </c>
      <c r="CZ14581" s="35">
        <v>2.9156539999999998E-2</v>
      </c>
    </row>
    <row r="14582" spans="103:104" x14ac:dyDescent="0.3">
      <c r="CY14582" s="34" t="s">
        <v>15509</v>
      </c>
      <c r="CZ14582" s="35">
        <v>2.9156539999999995E-2</v>
      </c>
    </row>
    <row r="14583" spans="103:104" x14ac:dyDescent="0.3">
      <c r="CY14583" s="34" t="s">
        <v>15510</v>
      </c>
      <c r="CZ14583" s="35">
        <v>3.1287102500000004E-2</v>
      </c>
    </row>
    <row r="14584" spans="103:104" x14ac:dyDescent="0.3">
      <c r="CY14584" s="34" t="s">
        <v>15511</v>
      </c>
      <c r="CZ14584" s="35">
        <v>3.4711347999999996E-2</v>
      </c>
    </row>
    <row r="14585" spans="103:104" x14ac:dyDescent="0.3">
      <c r="CY14585" s="34" t="s">
        <v>15512</v>
      </c>
      <c r="CZ14585" s="35">
        <v>7.739124E-3</v>
      </c>
    </row>
    <row r="14586" spans="103:104" x14ac:dyDescent="0.3">
      <c r="CY14586" s="34" t="s">
        <v>15513</v>
      </c>
      <c r="CZ14586" s="35">
        <v>1.4994215999999999E-2</v>
      </c>
    </row>
    <row r="14587" spans="103:104" x14ac:dyDescent="0.3">
      <c r="CY14587" s="34" t="s">
        <v>15514</v>
      </c>
      <c r="CZ14587" s="35">
        <v>1.6580736000000002E-2</v>
      </c>
    </row>
    <row r="14588" spans="103:104" x14ac:dyDescent="0.3">
      <c r="CY14588" s="34" t="s">
        <v>15515</v>
      </c>
      <c r="CZ14588" s="35">
        <v>1.8167256000000003E-2</v>
      </c>
    </row>
    <row r="14589" spans="103:104" x14ac:dyDescent="0.3">
      <c r="CY14589" s="34" t="s">
        <v>15516</v>
      </c>
      <c r="CZ14589" s="35">
        <v>1.2645112266666668E-2</v>
      </c>
    </row>
    <row r="14590" spans="103:104" x14ac:dyDescent="0.3">
      <c r="CY14590" s="34" t="s">
        <v>15517</v>
      </c>
      <c r="CZ14590" s="35">
        <v>5.9532925032333331E-2</v>
      </c>
    </row>
    <row r="14591" spans="103:104" x14ac:dyDescent="0.3">
      <c r="CY14591" s="34" t="s">
        <v>15518</v>
      </c>
      <c r="CZ14591" s="35">
        <v>0.13948351999999997</v>
      </c>
    </row>
    <row r="14592" spans="103:104" x14ac:dyDescent="0.3">
      <c r="CY14592" s="34" t="s">
        <v>15519</v>
      </c>
      <c r="CZ14592" s="35">
        <v>9.698480000000001E-2</v>
      </c>
    </row>
    <row r="14593" spans="103:104" x14ac:dyDescent="0.3">
      <c r="CY14593" s="34" t="s">
        <v>15520</v>
      </c>
      <c r="CZ14593" s="35">
        <v>0.19073735999999999</v>
      </c>
    </row>
    <row r="14594" spans="103:104" x14ac:dyDescent="0.3">
      <c r="CY14594" s="34" t="s">
        <v>15521</v>
      </c>
      <c r="CZ14594" s="35">
        <v>0.23625919999999997</v>
      </c>
    </row>
    <row r="14595" spans="103:104" x14ac:dyDescent="0.3">
      <c r="CY14595" s="34" t="s">
        <v>15522</v>
      </c>
      <c r="CZ14595" s="35">
        <v>7.1105418666666674E-4</v>
      </c>
    </row>
    <row r="14596" spans="103:104" x14ac:dyDescent="0.3">
      <c r="CY14596" s="34" t="s">
        <v>15523</v>
      </c>
      <c r="CZ14596" s="35">
        <v>7.6038346999999997E-4</v>
      </c>
    </row>
    <row r="14597" spans="103:104" x14ac:dyDescent="0.3">
      <c r="CY14597" s="34" t="s">
        <v>15524</v>
      </c>
      <c r="CZ14597" s="35">
        <v>7.1805963000000014E-4</v>
      </c>
    </row>
    <row r="14598" spans="103:104" x14ac:dyDescent="0.3">
      <c r="CY14598" s="34" t="s">
        <v>15525</v>
      </c>
      <c r="CZ14598" s="35">
        <v>1.2790587000000001E-4</v>
      </c>
    </row>
    <row r="14599" spans="103:104" x14ac:dyDescent="0.3">
      <c r="CY14599" s="34" t="s">
        <v>15526</v>
      </c>
      <c r="CZ14599" s="35">
        <v>3.3966672000000002E-4</v>
      </c>
    </row>
    <row r="14600" spans="103:104" x14ac:dyDescent="0.3">
      <c r="CY14600" s="34" t="s">
        <v>15527</v>
      </c>
      <c r="CZ14600" s="35">
        <v>2.0082550976138827E-2</v>
      </c>
    </row>
    <row r="14601" spans="103:104" x14ac:dyDescent="0.3">
      <c r="CY14601" s="34" t="s">
        <v>15528</v>
      </c>
      <c r="CZ14601" s="35">
        <v>2.3417156418554477E-2</v>
      </c>
    </row>
    <row r="14602" spans="103:104" x14ac:dyDescent="0.3">
      <c r="CY14602" s="34" t="s">
        <v>15529</v>
      </c>
      <c r="CZ14602" s="35">
        <v>6.8958399999999994E-3</v>
      </c>
    </row>
    <row r="14603" spans="103:104" x14ac:dyDescent="0.3">
      <c r="CY14603" s="34" t="s">
        <v>15530</v>
      </c>
      <c r="CZ14603" s="35">
        <v>2.1391515200000003E-3</v>
      </c>
    </row>
    <row r="14604" spans="103:104" x14ac:dyDescent="0.3">
      <c r="CY14604" s="34" t="s">
        <v>15531</v>
      </c>
      <c r="CZ14604" s="35">
        <v>6.4149099999999994E-3</v>
      </c>
    </row>
    <row r="14605" spans="103:104" x14ac:dyDescent="0.3">
      <c r="CY14605" s="34" t="s">
        <v>15532</v>
      </c>
      <c r="CZ14605" s="35">
        <v>1.109803E-2</v>
      </c>
    </row>
    <row r="14606" spans="103:104" x14ac:dyDescent="0.3">
      <c r="CY14606" s="34" t="s">
        <v>15533</v>
      </c>
      <c r="CZ14606" s="35">
        <v>6.0410960000000001E-3</v>
      </c>
    </row>
    <row r="14607" spans="103:104" x14ac:dyDescent="0.3">
      <c r="CY14607" s="34" t="s">
        <v>15534</v>
      </c>
      <c r="CZ14607" s="35">
        <v>2.6314757800000005E-2</v>
      </c>
    </row>
    <row r="14608" spans="103:104" x14ac:dyDescent="0.3">
      <c r="CY14608" s="34" t="s">
        <v>15535</v>
      </c>
      <c r="CZ14608" s="35">
        <v>2.6314757800000005E-2</v>
      </c>
    </row>
    <row r="14609" spans="103:104" x14ac:dyDescent="0.3">
      <c r="CY14609" s="34" t="s">
        <v>15536</v>
      </c>
      <c r="CZ14609" s="35">
        <v>0.56759703559999997</v>
      </c>
    </row>
    <row r="14610" spans="103:104" x14ac:dyDescent="0.3">
      <c r="CY14610" s="34" t="s">
        <v>15537</v>
      </c>
      <c r="CZ14610" s="35">
        <v>0.56759703560000008</v>
      </c>
    </row>
    <row r="14611" spans="103:104" x14ac:dyDescent="0.3">
      <c r="CY14611" s="34" t="s">
        <v>15538</v>
      </c>
      <c r="CZ14611" s="35">
        <v>5.7804311600000005E-2</v>
      </c>
    </row>
    <row r="14612" spans="103:104" x14ac:dyDescent="0.3">
      <c r="CY14612" s="34" t="s">
        <v>15539</v>
      </c>
      <c r="CZ14612" s="35">
        <v>5.7804311600000005E-2</v>
      </c>
    </row>
    <row r="14613" spans="103:104" x14ac:dyDescent="0.3">
      <c r="CY14613" s="34" t="s">
        <v>15540</v>
      </c>
      <c r="CZ14613" s="35">
        <v>0.33454990400000001</v>
      </c>
    </row>
    <row r="14614" spans="103:104" x14ac:dyDescent="0.3">
      <c r="CY14614" s="34" t="s">
        <v>15541</v>
      </c>
      <c r="CZ14614" s="35">
        <v>0.33454990400000001</v>
      </c>
    </row>
    <row r="14615" spans="103:104" x14ac:dyDescent="0.3">
      <c r="CY14615" s="34" t="s">
        <v>15542</v>
      </c>
      <c r="CZ14615" s="35">
        <v>3.2591610100000001E-2</v>
      </c>
    </row>
    <row r="14616" spans="103:104" x14ac:dyDescent="0.3">
      <c r="CY14616" s="34" t="s">
        <v>15543</v>
      </c>
      <c r="CZ14616" s="35">
        <v>3.2591610133333337E-2</v>
      </c>
    </row>
    <row r="14617" spans="103:104" x14ac:dyDescent="0.3">
      <c r="CY14617" s="34" t="s">
        <v>15544</v>
      </c>
      <c r="CZ14617" s="35">
        <v>2.5854843700000001E-2</v>
      </c>
    </row>
    <row r="14618" spans="103:104" x14ac:dyDescent="0.3">
      <c r="CY14618" s="34" t="s">
        <v>15545</v>
      </c>
      <c r="CZ14618" s="35">
        <v>4.0452977100000002E-2</v>
      </c>
    </row>
    <row r="14619" spans="103:104" x14ac:dyDescent="0.3">
      <c r="CY14619" s="34" t="s">
        <v>15546</v>
      </c>
      <c r="CZ14619" s="35">
        <v>4.0452977066666666E-2</v>
      </c>
    </row>
    <row r="14620" spans="103:104" x14ac:dyDescent="0.3">
      <c r="CY14620" s="34" t="s">
        <v>15547</v>
      </c>
      <c r="CZ14620" s="35">
        <v>3.2396637899999997E-2</v>
      </c>
    </row>
    <row r="14621" spans="103:104" x14ac:dyDescent="0.3">
      <c r="CY14621" s="34" t="s">
        <v>15548</v>
      </c>
      <c r="CZ14621" s="35">
        <v>0.169917072</v>
      </c>
    </row>
    <row r="14622" spans="103:104" x14ac:dyDescent="0.3">
      <c r="CY14622" s="34" t="s">
        <v>15549</v>
      </c>
      <c r="CZ14622" s="35">
        <v>4.6733919999999998E-2</v>
      </c>
    </row>
    <row r="14623" spans="103:104" x14ac:dyDescent="0.3">
      <c r="CY14623" s="34" t="s">
        <v>15550</v>
      </c>
      <c r="CZ14623" s="35">
        <v>3.7473759999999995E-2</v>
      </c>
    </row>
    <row r="14624" spans="103:104" x14ac:dyDescent="0.3">
      <c r="CY14624" s="34" t="s">
        <v>15551</v>
      </c>
      <c r="CZ14624" s="35">
        <v>0.33719596219999998</v>
      </c>
    </row>
    <row r="14625" spans="103:104" x14ac:dyDescent="0.3">
      <c r="CY14625" s="34" t="s">
        <v>15552</v>
      </c>
      <c r="CZ14625" s="35">
        <v>9.7688991999999988E-2</v>
      </c>
    </row>
    <row r="14626" spans="103:104" x14ac:dyDescent="0.3">
      <c r="CY14626" s="34" t="s">
        <v>15553</v>
      </c>
      <c r="CZ14626" s="35">
        <v>0.32354017600000001</v>
      </c>
    </row>
    <row r="14627" spans="103:104" x14ac:dyDescent="0.3">
      <c r="CY14627" s="34" t="s">
        <v>15554</v>
      </c>
      <c r="CZ14627" s="35">
        <v>0.18894033600000001</v>
      </c>
    </row>
    <row r="14628" spans="103:104" x14ac:dyDescent="0.3">
      <c r="CY14628" s="34" t="s">
        <v>15555</v>
      </c>
      <c r="CZ14628" s="35">
        <v>6.7570032000000002E-2</v>
      </c>
    </row>
    <row r="14629" spans="103:104" x14ac:dyDescent="0.3">
      <c r="CY14629" s="34" t="s">
        <v>15556</v>
      </c>
      <c r="CZ14629" s="35">
        <v>5.3911295999999997E-2</v>
      </c>
    </row>
    <row r="14630" spans="103:104" x14ac:dyDescent="0.3">
      <c r="CY14630" s="34" t="s">
        <v>15557</v>
      </c>
      <c r="CZ14630" s="35">
        <v>9.950495999999999E-2</v>
      </c>
    </row>
    <row r="14631" spans="103:104" x14ac:dyDescent="0.3">
      <c r="CY14631" s="34" t="s">
        <v>15558</v>
      </c>
      <c r="CZ14631" s="35">
        <v>8.6120159999999987E-2</v>
      </c>
    </row>
    <row r="14632" spans="103:104" x14ac:dyDescent="0.3">
      <c r="CY14632" s="34" t="s">
        <v>15559</v>
      </c>
      <c r="CZ14632" s="35">
        <v>9.7467326399999998E-2</v>
      </c>
    </row>
    <row r="14633" spans="103:104" x14ac:dyDescent="0.3">
      <c r="CY14633" s="34" t="s">
        <v>15560</v>
      </c>
      <c r="CZ14633" s="35">
        <v>4.4481627999999995E-2</v>
      </c>
    </row>
    <row r="14634" spans="103:104" x14ac:dyDescent="0.3">
      <c r="CY14634" s="34" t="s">
        <v>15561</v>
      </c>
      <c r="CZ14634" s="35">
        <v>2.6695604800000002E-2</v>
      </c>
    </row>
    <row r="14635" spans="103:104" x14ac:dyDescent="0.3">
      <c r="CY14635" s="34" t="s">
        <v>15562</v>
      </c>
      <c r="CZ14635" s="35">
        <v>1.6571626666666669E-2</v>
      </c>
    </row>
    <row r="14636" spans="103:104" x14ac:dyDescent="0.3">
      <c r="CY14636" s="34" t="s">
        <v>15563</v>
      </c>
      <c r="CZ14636" s="35">
        <v>0.142128</v>
      </c>
    </row>
    <row r="14637" spans="103:104" x14ac:dyDescent="0.3">
      <c r="CY14637" s="34" t="s">
        <v>15564</v>
      </c>
      <c r="CZ14637" s="35">
        <v>4.5444758400000002E-3</v>
      </c>
    </row>
    <row r="14638" spans="103:104" x14ac:dyDescent="0.3">
      <c r="CY14638" s="34" t="s">
        <v>15565</v>
      </c>
      <c r="CZ14638" s="35">
        <v>3.1438856800000005E-2</v>
      </c>
    </row>
    <row r="14639" spans="103:104" x14ac:dyDescent="0.3">
      <c r="CY14639" s="34" t="s">
        <v>15566</v>
      </c>
      <c r="CZ14639" s="35">
        <v>0.78921954285714302</v>
      </c>
    </row>
    <row r="14640" spans="103:104" x14ac:dyDescent="0.3">
      <c r="CY14640" s="34" t="s">
        <v>15567</v>
      </c>
      <c r="CZ14640" s="35">
        <v>1.63878272E-3</v>
      </c>
    </row>
    <row r="14641" spans="103:104" x14ac:dyDescent="0.3">
      <c r="CY14641" s="34" t="s">
        <v>15568</v>
      </c>
      <c r="CZ14641" s="35">
        <v>1.7845449600000002E-3</v>
      </c>
    </row>
    <row r="14642" spans="103:104" x14ac:dyDescent="0.3">
      <c r="CY14642" s="34" t="s">
        <v>15569</v>
      </c>
      <c r="CZ14642" s="35">
        <v>1.8341904E-3</v>
      </c>
    </row>
    <row r="14643" spans="103:104" x14ac:dyDescent="0.3">
      <c r="CY14643" s="34" t="s">
        <v>15570</v>
      </c>
      <c r="CZ14643" s="35">
        <v>2.1237264000000004E-3</v>
      </c>
    </row>
    <row r="14644" spans="103:104" x14ac:dyDescent="0.3">
      <c r="CY14644" s="34" t="s">
        <v>15571</v>
      </c>
      <c r="CZ14644" s="35">
        <v>1.9400832000000001E-3</v>
      </c>
    </row>
    <row r="14645" spans="103:104" x14ac:dyDescent="0.3">
      <c r="CY14645" s="34" t="s">
        <v>15572</v>
      </c>
      <c r="CZ14645" s="35">
        <v>3.0180432000000003E-3</v>
      </c>
    </row>
    <row r="14646" spans="103:104" x14ac:dyDescent="0.3">
      <c r="CY14646" s="34" t="s">
        <v>15573</v>
      </c>
      <c r="CZ14646" s="35">
        <v>3.5481936000000005E-3</v>
      </c>
    </row>
    <row r="14647" spans="103:104" x14ac:dyDescent="0.3">
      <c r="CY14647" s="34" t="s">
        <v>15574</v>
      </c>
      <c r="CZ14647" s="35">
        <v>1.1041104000000001E-3</v>
      </c>
    </row>
    <row r="14648" spans="103:104" x14ac:dyDescent="0.3">
      <c r="CY14648" s="34" t="s">
        <v>15575</v>
      </c>
      <c r="CZ14648" s="35">
        <v>1.1950896000000001E-3</v>
      </c>
    </row>
    <row r="14649" spans="103:104" x14ac:dyDescent="0.3">
      <c r="CY14649" s="34" t="s">
        <v>15576</v>
      </c>
      <c r="CZ14649" s="35">
        <v>1.2039920000000001E-3</v>
      </c>
    </row>
    <row r="14650" spans="103:104" x14ac:dyDescent="0.3">
      <c r="CY14650" s="34" t="s">
        <v>15577</v>
      </c>
      <c r="CZ14650" s="35">
        <v>1.4048784000000002E-3</v>
      </c>
    </row>
    <row r="14651" spans="103:104" x14ac:dyDescent="0.3">
      <c r="CY14651" s="34" t="s">
        <v>15578</v>
      </c>
      <c r="CZ14651" s="35">
        <v>1.7354736000000002E-3</v>
      </c>
    </row>
    <row r="14652" spans="103:104" x14ac:dyDescent="0.3">
      <c r="CY14652" s="34" t="s">
        <v>15579</v>
      </c>
      <c r="CZ14652" s="35">
        <v>2.1397008000000003E-3</v>
      </c>
    </row>
    <row r="14653" spans="103:104" x14ac:dyDescent="0.3">
      <c r="CY14653" s="34" t="s">
        <v>15580</v>
      </c>
      <c r="CZ14653" s="35">
        <v>2.1026351999999999E-3</v>
      </c>
    </row>
    <row r="14654" spans="103:104" x14ac:dyDescent="0.3">
      <c r="CY14654" s="34" t="s">
        <v>15581</v>
      </c>
      <c r="CZ14654" s="35">
        <v>2.4707119999999995E-3</v>
      </c>
    </row>
    <row r="14655" spans="103:104" x14ac:dyDescent="0.3">
      <c r="CY14655" s="34" t="s">
        <v>15582</v>
      </c>
      <c r="CZ14655" s="35">
        <v>2.3246128E-3</v>
      </c>
    </row>
    <row r="14656" spans="103:104" x14ac:dyDescent="0.3">
      <c r="CY14656" s="34" t="s">
        <v>15583</v>
      </c>
      <c r="CZ14656" s="35">
        <v>1.6427472E-3</v>
      </c>
    </row>
    <row r="14657" spans="103:104" x14ac:dyDescent="0.3">
      <c r="CY14657" s="34" t="s">
        <v>15584</v>
      </c>
      <c r="CZ14657" s="35">
        <v>2.1778895999999999E-3</v>
      </c>
    </row>
    <row r="14658" spans="103:104" x14ac:dyDescent="0.3">
      <c r="CY14658" s="34" t="s">
        <v>15585</v>
      </c>
      <c r="CZ14658" s="35">
        <v>2.7446479999999997E-3</v>
      </c>
    </row>
    <row r="14659" spans="103:104" x14ac:dyDescent="0.3">
      <c r="CY14659" s="34" t="s">
        <v>15586</v>
      </c>
      <c r="CZ14659" s="35">
        <v>3.6172079999999998E-3</v>
      </c>
    </row>
    <row r="14660" spans="103:104" x14ac:dyDescent="0.3">
      <c r="CY14660" s="34" t="s">
        <v>15587</v>
      </c>
      <c r="CZ14660" s="35">
        <v>4.1815537999999996E-3</v>
      </c>
    </row>
    <row r="14661" spans="103:104" x14ac:dyDescent="0.3">
      <c r="CY14661" s="34" t="s">
        <v>15588</v>
      </c>
      <c r="CZ14661" s="35">
        <v>4.7390154666666663E-3</v>
      </c>
    </row>
    <row r="14662" spans="103:104" x14ac:dyDescent="0.3">
      <c r="CY14662" s="34" t="s">
        <v>15589</v>
      </c>
      <c r="CZ14662" s="35">
        <v>4.7178344000000007E-3</v>
      </c>
    </row>
    <row r="14663" spans="103:104" x14ac:dyDescent="0.3">
      <c r="CY14663" s="34" t="s">
        <v>15590</v>
      </c>
      <c r="CZ14663" s="35">
        <v>5.1096069333333325E-3</v>
      </c>
    </row>
    <row r="14664" spans="103:104" x14ac:dyDescent="0.3">
      <c r="CY14664" s="34" t="s">
        <v>15591</v>
      </c>
      <c r="CZ14664" s="35">
        <v>1.0158357333333333E-2</v>
      </c>
    </row>
    <row r="14665" spans="103:104" x14ac:dyDescent="0.3">
      <c r="CY14665" s="34" t="s">
        <v>15592</v>
      </c>
      <c r="CZ14665" s="35">
        <v>1.1890899200000001E-2</v>
      </c>
    </row>
    <row r="14666" spans="103:104" x14ac:dyDescent="0.3">
      <c r="CY14666" s="34" t="s">
        <v>15593</v>
      </c>
      <c r="CZ14666" s="35">
        <v>1.1838608E-2</v>
      </c>
    </row>
    <row r="14667" spans="103:104" x14ac:dyDescent="0.3">
      <c r="CY14667" s="34" t="s">
        <v>15594</v>
      </c>
      <c r="CZ14667" s="35">
        <v>1.4888096E-2</v>
      </c>
    </row>
    <row r="14668" spans="103:104" x14ac:dyDescent="0.3">
      <c r="CY14668" s="34" t="s">
        <v>15595</v>
      </c>
      <c r="CZ14668" s="35">
        <v>1.5804554666666665E-2</v>
      </c>
    </row>
    <row r="14669" spans="103:104" x14ac:dyDescent="0.3">
      <c r="CY14669" s="34" t="s">
        <v>15596</v>
      </c>
      <c r="CZ14669" s="35">
        <v>8.071958399999999E-3</v>
      </c>
    </row>
    <row r="14670" spans="103:104" x14ac:dyDescent="0.3">
      <c r="CY14670" s="34" t="s">
        <v>15597</v>
      </c>
      <c r="CZ14670" s="35">
        <v>2.974565333333333E-2</v>
      </c>
    </row>
    <row r="14671" spans="103:104" x14ac:dyDescent="0.3">
      <c r="CY14671" s="34" t="s">
        <v>15598</v>
      </c>
      <c r="CZ14671" s="35">
        <v>2.8244680000000001E-2</v>
      </c>
    </row>
    <row r="14672" spans="103:104" x14ac:dyDescent="0.3">
      <c r="CY14672" s="34" t="s">
        <v>15599</v>
      </c>
      <c r="CZ14672" s="35">
        <v>3.4220986666666668E-2</v>
      </c>
    </row>
    <row r="14673" spans="103:104" x14ac:dyDescent="0.3">
      <c r="CY14673" s="34" t="s">
        <v>15600</v>
      </c>
      <c r="CZ14673" s="35">
        <v>4.1740871999999998E-2</v>
      </c>
    </row>
    <row r="14674" spans="103:104" x14ac:dyDescent="0.3">
      <c r="CY14674" s="34" t="s">
        <v>15601</v>
      </c>
      <c r="CZ14674" s="35">
        <v>4.2444400000000004E-3</v>
      </c>
    </row>
    <row r="14675" spans="103:104" x14ac:dyDescent="0.3">
      <c r="CY14675" s="34" t="s">
        <v>15602</v>
      </c>
      <c r="CZ14675" s="35">
        <v>1.5492768000000001E-2</v>
      </c>
    </row>
    <row r="14676" spans="103:104" x14ac:dyDescent="0.3">
      <c r="CY14676" s="34" t="s">
        <v>15603</v>
      </c>
      <c r="CZ14676" s="35">
        <v>2.2955226666666665E-2</v>
      </c>
    </row>
    <row r="14677" spans="103:104" x14ac:dyDescent="0.3">
      <c r="CY14677" s="34" t="s">
        <v>15604</v>
      </c>
      <c r="CZ14677" s="35">
        <v>1.10862528E-2</v>
      </c>
    </row>
    <row r="14678" spans="103:104" x14ac:dyDescent="0.3">
      <c r="CY14678" s="34" t="s">
        <v>15605</v>
      </c>
      <c r="CZ14678" s="35">
        <v>5.7448826666666669E-3</v>
      </c>
    </row>
    <row r="14679" spans="103:104" x14ac:dyDescent="0.3">
      <c r="CY14679" s="34" t="s">
        <v>15606</v>
      </c>
      <c r="CZ14679" s="35">
        <v>5.7448826666666669E-3</v>
      </c>
    </row>
    <row r="14680" spans="103:104" x14ac:dyDescent="0.3">
      <c r="CY14680" s="34" t="s">
        <v>15607</v>
      </c>
      <c r="CZ14680" s="35">
        <v>3.4318743999999998E-2</v>
      </c>
    </row>
    <row r="14681" spans="103:104" x14ac:dyDescent="0.3">
      <c r="CY14681" s="34" t="s">
        <v>15608</v>
      </c>
      <c r="CZ14681" s="35">
        <v>2.355753711790393E-2</v>
      </c>
    </row>
    <row r="14682" spans="103:104" x14ac:dyDescent="0.3">
      <c r="CY14682" s="34" t="s">
        <v>15609</v>
      </c>
      <c r="CZ14682" s="35">
        <v>3.8507461999999996E-3</v>
      </c>
    </row>
    <row r="14683" spans="103:104" x14ac:dyDescent="0.3">
      <c r="CY14683" s="34" t="s">
        <v>15610</v>
      </c>
      <c r="CZ14683" s="35">
        <v>1.5095833342857142E-3</v>
      </c>
    </row>
    <row r="14684" spans="103:104" x14ac:dyDescent="0.3">
      <c r="CY14684" s="34" t="s">
        <v>15611</v>
      </c>
      <c r="CZ14684" s="35">
        <v>5.2571300000000005E-3</v>
      </c>
    </row>
    <row r="14685" spans="103:104" x14ac:dyDescent="0.3">
      <c r="CY14685" s="34" t="s">
        <v>15612</v>
      </c>
      <c r="CZ14685" s="35">
        <v>5.59312E-3</v>
      </c>
    </row>
    <row r="14686" spans="103:104" x14ac:dyDescent="0.3">
      <c r="CY14686" s="34" t="s">
        <v>15613</v>
      </c>
      <c r="CZ14686" s="35">
        <v>3.2426666749999999E-3</v>
      </c>
    </row>
    <row r="14687" spans="103:104" x14ac:dyDescent="0.3">
      <c r="CY14687" s="34" t="s">
        <v>15614</v>
      </c>
      <c r="CZ14687" s="35">
        <v>1.3120800000000002E-3</v>
      </c>
    </row>
    <row r="14688" spans="103:104" x14ac:dyDescent="0.3">
      <c r="CY14688" s="34" t="s">
        <v>15615</v>
      </c>
      <c r="CZ14688" s="35">
        <v>0.18489445600000004</v>
      </c>
    </row>
    <row r="14689" spans="103:104" x14ac:dyDescent="0.3">
      <c r="CY14689" s="34" t="s">
        <v>15616</v>
      </c>
      <c r="CZ14689" s="35">
        <v>6.518736E-2</v>
      </c>
    </row>
    <row r="14690" spans="103:104" x14ac:dyDescent="0.3">
      <c r="CY14690" s="34" t="s">
        <v>15617</v>
      </c>
      <c r="CZ14690" s="35">
        <v>2.2992752351097177E-2</v>
      </c>
    </row>
    <row r="14691" spans="103:104" x14ac:dyDescent="0.3">
      <c r="CY14691" s="34" t="s">
        <v>15618</v>
      </c>
      <c r="CZ14691" s="35">
        <v>3.7591159999999998E-3</v>
      </c>
    </row>
    <row r="14692" spans="103:104" x14ac:dyDescent="0.3">
      <c r="CY14692" s="34" t="s">
        <v>15619</v>
      </c>
      <c r="CZ14692" s="35">
        <v>2.6973379999999995E-2</v>
      </c>
    </row>
    <row r="14693" spans="103:104" x14ac:dyDescent="0.3">
      <c r="CY14693" s="34" t="s">
        <v>15620</v>
      </c>
      <c r="CZ14693" s="35">
        <v>1.3450672000000002E-3</v>
      </c>
    </row>
    <row r="14694" spans="103:104" x14ac:dyDescent="0.3">
      <c r="CY14694" s="34" t="s">
        <v>15621</v>
      </c>
      <c r="CZ14694" s="35">
        <v>1.6713567999999998E-3</v>
      </c>
    </row>
    <row r="14695" spans="103:104" x14ac:dyDescent="0.3">
      <c r="CY14695" s="34" t="s">
        <v>15622</v>
      </c>
      <c r="CZ14695" s="35">
        <v>6.2479840000000002E-2</v>
      </c>
    </row>
    <row r="14696" spans="103:104" x14ac:dyDescent="0.3">
      <c r="CY14696" s="34" t="s">
        <v>15623</v>
      </c>
      <c r="CZ14696" s="35">
        <v>6.6198800000000007E-4</v>
      </c>
    </row>
    <row r="14697" spans="103:104" x14ac:dyDescent="0.3">
      <c r="CY14697" s="34" t="s">
        <v>15624</v>
      </c>
      <c r="CZ14697" s="35">
        <v>3.9650980000000002E-2</v>
      </c>
    </row>
    <row r="14698" spans="103:104" x14ac:dyDescent="0.3">
      <c r="CY14698" s="34" t="s">
        <v>15625</v>
      </c>
      <c r="CZ14698" s="35">
        <v>6.746658E-3</v>
      </c>
    </row>
    <row r="14699" spans="103:104" x14ac:dyDescent="0.3">
      <c r="CY14699" s="34" t="s">
        <v>15626</v>
      </c>
      <c r="CZ14699" s="35">
        <v>4.3294335999999996E-2</v>
      </c>
    </row>
    <row r="14700" spans="103:104" x14ac:dyDescent="0.3">
      <c r="CY14700" s="34" t="s">
        <v>15627</v>
      </c>
      <c r="CZ14700" s="35">
        <v>9.4314159999999998E-3</v>
      </c>
    </row>
    <row r="14701" spans="103:104" x14ac:dyDescent="0.3">
      <c r="CY14701" s="34" t="s">
        <v>15628</v>
      </c>
      <c r="CZ14701" s="35">
        <v>2.0306592000000002E-2</v>
      </c>
    </row>
    <row r="14702" spans="103:104" x14ac:dyDescent="0.3">
      <c r="CY14702" s="34" t="s">
        <v>15629</v>
      </c>
      <c r="CZ14702" s="35">
        <v>2.0598400000000003E-2</v>
      </c>
    </row>
    <row r="14703" spans="103:104" x14ac:dyDescent="0.3">
      <c r="CY14703" s="34" t="s">
        <v>15630</v>
      </c>
      <c r="CZ14703" s="35">
        <v>2.2272499999999997E-2</v>
      </c>
    </row>
    <row r="14704" spans="103:104" x14ac:dyDescent="0.3">
      <c r="CY14704" s="34" t="s">
        <v>15631</v>
      </c>
      <c r="CZ14704" s="35">
        <v>2.0452499999999998E-2</v>
      </c>
    </row>
    <row r="14705" spans="103:104" x14ac:dyDescent="0.3">
      <c r="CY14705" s="34" t="s">
        <v>15632</v>
      </c>
      <c r="CZ14705" s="35">
        <v>2.1689092511111108E-3</v>
      </c>
    </row>
    <row r="14706" spans="103:104" x14ac:dyDescent="0.3">
      <c r="CY14706" s="34" t="s">
        <v>15633</v>
      </c>
      <c r="CZ14706" s="35">
        <v>3.6718483333333333E-3</v>
      </c>
    </row>
    <row r="14707" spans="103:104" x14ac:dyDescent="0.3">
      <c r="CY14707" s="34" t="s">
        <v>15634</v>
      </c>
      <c r="CZ14707" s="35">
        <v>1.8087420000000001E-3</v>
      </c>
    </row>
    <row r="14708" spans="103:104" x14ac:dyDescent="0.3">
      <c r="CY14708" s="34" t="s">
        <v>15635</v>
      </c>
      <c r="CZ14708" s="35">
        <v>3.811324E-3</v>
      </c>
    </row>
    <row r="14709" spans="103:104" x14ac:dyDescent="0.3">
      <c r="CY14709" s="34" t="s">
        <v>15636</v>
      </c>
      <c r="CZ14709" s="35">
        <v>4.8306514285714275E-4</v>
      </c>
    </row>
    <row r="14710" spans="103:104" x14ac:dyDescent="0.3">
      <c r="CY14710" s="34" t="s">
        <v>15637</v>
      </c>
      <c r="CZ14710" s="35">
        <v>2.738969E-3</v>
      </c>
    </row>
    <row r="14711" spans="103:104" x14ac:dyDescent="0.3">
      <c r="CY14711" s="34" t="s">
        <v>15638</v>
      </c>
      <c r="CZ14711" s="35">
        <v>6.5189200000000005E-4</v>
      </c>
    </row>
    <row r="14712" spans="103:104" x14ac:dyDescent="0.3">
      <c r="CY14712" s="34" t="s">
        <v>15639</v>
      </c>
      <c r="CZ14712" s="35">
        <v>2.4823314285714283E-4</v>
      </c>
    </row>
    <row r="14713" spans="103:104" x14ac:dyDescent="0.3">
      <c r="CY14713" s="34" t="s">
        <v>15640</v>
      </c>
      <c r="CZ14713" s="35">
        <v>1.7143295999999999E-3</v>
      </c>
    </row>
    <row r="14714" spans="103:104" x14ac:dyDescent="0.3">
      <c r="CY14714" s="34" t="s">
        <v>15641</v>
      </c>
      <c r="CZ14714" s="35">
        <v>3.2576433333333338E-3</v>
      </c>
    </row>
    <row r="14715" spans="103:104" x14ac:dyDescent="0.3">
      <c r="CY14715" s="34" t="s">
        <v>15642</v>
      </c>
      <c r="CZ14715" s="35">
        <v>1.6722920000000001E-3</v>
      </c>
    </row>
    <row r="14716" spans="103:104" x14ac:dyDescent="0.3">
      <c r="CY14716" s="34" t="s">
        <v>15643</v>
      </c>
      <c r="CZ14716" s="35">
        <v>1.3809478E-3</v>
      </c>
    </row>
    <row r="14717" spans="103:104" x14ac:dyDescent="0.3">
      <c r="CY14717" s="34" t="s">
        <v>15644</v>
      </c>
      <c r="CZ14717" s="35">
        <v>9.6329099999999991E-4</v>
      </c>
    </row>
    <row r="14718" spans="103:104" x14ac:dyDescent="0.3">
      <c r="CY14718" s="34" t="s">
        <v>15645</v>
      </c>
      <c r="CZ14718" s="35">
        <v>3.7611064999999999E-2</v>
      </c>
    </row>
    <row r="14719" spans="103:104" x14ac:dyDescent="0.3">
      <c r="CY14719" s="34" t="s">
        <v>15646</v>
      </c>
      <c r="CZ14719" s="35">
        <v>4.7218834000000001E-2</v>
      </c>
    </row>
    <row r="14720" spans="103:104" x14ac:dyDescent="0.3">
      <c r="CY14720" s="34" t="s">
        <v>15647</v>
      </c>
      <c r="CZ14720" s="35">
        <v>1.0773639999999999E-2</v>
      </c>
    </row>
    <row r="14721" spans="103:104" x14ac:dyDescent="0.3">
      <c r="CY14721" s="34" t="s">
        <v>15648</v>
      </c>
      <c r="CZ14721" s="35">
        <v>0.1730689708125</v>
      </c>
    </row>
    <row r="14722" spans="103:104" x14ac:dyDescent="0.3">
      <c r="CY14722" s="34" t="s">
        <v>15649</v>
      </c>
      <c r="CZ14722" s="35">
        <v>1.3184311999999998E-2</v>
      </c>
    </row>
    <row r="14723" spans="103:104" x14ac:dyDescent="0.3">
      <c r="CY14723" s="34" t="s">
        <v>15650</v>
      </c>
      <c r="CZ14723" s="35">
        <v>4.4012752000000002E-2</v>
      </c>
    </row>
    <row r="14724" spans="103:104" x14ac:dyDescent="0.3">
      <c r="CY14724" s="34" t="s">
        <v>15651</v>
      </c>
      <c r="CZ14724" s="35">
        <v>6.1447279999999995E-3</v>
      </c>
    </row>
    <row r="14725" spans="103:104" x14ac:dyDescent="0.3">
      <c r="CY14725" s="34" t="s">
        <v>15652</v>
      </c>
      <c r="CZ14725" s="35">
        <v>6.3967191999999996E-3</v>
      </c>
    </row>
    <row r="14726" spans="103:104" x14ac:dyDescent="0.3">
      <c r="CY14726" s="34" t="s">
        <v>15653</v>
      </c>
      <c r="CZ14726" s="35">
        <v>0.13672340000000002</v>
      </c>
    </row>
    <row r="14727" spans="103:104" x14ac:dyDescent="0.3">
      <c r="CY14727" s="34" t="s">
        <v>15654</v>
      </c>
      <c r="CZ14727" s="35">
        <v>2.5391471999999999E-3</v>
      </c>
    </row>
    <row r="14728" spans="103:104" x14ac:dyDescent="0.3">
      <c r="CY14728" s="34" t="s">
        <v>15655</v>
      </c>
      <c r="CZ14728" s="35">
        <v>5.8610700000000003E-3</v>
      </c>
    </row>
    <row r="14729" spans="103:104" x14ac:dyDescent="0.3">
      <c r="CY14729" s="34" t="s">
        <v>15656</v>
      </c>
      <c r="CZ14729" s="35">
        <v>1.377885E-2</v>
      </c>
    </row>
    <row r="14730" spans="103:104" x14ac:dyDescent="0.3">
      <c r="CY14730" s="34" t="s">
        <v>15657</v>
      </c>
      <c r="CZ14730" s="35">
        <v>1.3693759999999999E-4</v>
      </c>
    </row>
    <row r="14731" spans="103:104" x14ac:dyDescent="0.3">
      <c r="CY14731" s="34" t="s">
        <v>15658</v>
      </c>
      <c r="CZ14731" s="35">
        <v>2.0514373000000001E-4</v>
      </c>
    </row>
    <row r="14732" spans="103:104" x14ac:dyDescent="0.3">
      <c r="CY14732" s="34" t="s">
        <v>15659</v>
      </c>
      <c r="CZ14732" s="35">
        <v>2.7675224000000005E-2</v>
      </c>
    </row>
    <row r="14733" spans="103:104" x14ac:dyDescent="0.3">
      <c r="CY14733" s="34" t="s">
        <v>15660</v>
      </c>
      <c r="CZ14733" s="35">
        <v>0.10145480160000002</v>
      </c>
    </row>
    <row r="14734" spans="103:104" x14ac:dyDescent="0.3">
      <c r="CY14734" s="34" t="s">
        <v>15661</v>
      </c>
      <c r="CZ14734" s="35">
        <v>0.10533014000000002</v>
      </c>
    </row>
    <row r="14735" spans="103:104" x14ac:dyDescent="0.3">
      <c r="CY14735" s="34" t="s">
        <v>15662</v>
      </c>
      <c r="CZ14735" s="35">
        <v>0.13629497373999999</v>
      </c>
    </row>
    <row r="14736" spans="103:104" x14ac:dyDescent="0.3">
      <c r="CY14736" s="34" t="s">
        <v>15663</v>
      </c>
      <c r="CZ14736" s="35">
        <v>4.1049456000000005E-2</v>
      </c>
    </row>
    <row r="14737" spans="103:104" x14ac:dyDescent="0.3">
      <c r="CY14737" s="34" t="s">
        <v>15664</v>
      </c>
      <c r="CZ14737" s="35">
        <v>5.9326213333333336E-2</v>
      </c>
    </row>
    <row r="14738" spans="103:104" x14ac:dyDescent="0.3">
      <c r="CY14738" s="34" t="s">
        <v>15665</v>
      </c>
      <c r="CZ14738" s="35">
        <v>0.19916</v>
      </c>
    </row>
    <row r="14739" spans="103:104" x14ac:dyDescent="0.3">
      <c r="CY14739" s="34" t="s">
        <v>15666</v>
      </c>
      <c r="CZ14739" s="35">
        <v>3.5402840000000005E-2</v>
      </c>
    </row>
    <row r="14740" spans="103:104" x14ac:dyDescent="0.3">
      <c r="CY14740" s="34" t="s">
        <v>15667</v>
      </c>
      <c r="CZ14740" s="35">
        <v>3.5402840000000005E-2</v>
      </c>
    </row>
    <row r="14741" spans="103:104" x14ac:dyDescent="0.3">
      <c r="CY14741" s="34" t="s">
        <v>15668</v>
      </c>
      <c r="CZ14741" s="35">
        <v>2.8016436000000002E-2</v>
      </c>
    </row>
    <row r="14742" spans="103:104" x14ac:dyDescent="0.3">
      <c r="CY14742" s="34" t="s">
        <v>15669</v>
      </c>
      <c r="CZ14742" s="35">
        <v>6.4829423999999997E-2</v>
      </c>
    </row>
    <row r="14743" spans="103:104" x14ac:dyDescent="0.3">
      <c r="CY14743" s="34" t="s">
        <v>15670</v>
      </c>
      <c r="CZ14743" s="35">
        <v>2.9805581333333327E-2</v>
      </c>
    </row>
    <row r="14744" spans="103:104" x14ac:dyDescent="0.3">
      <c r="CY14744" s="34" t="s">
        <v>15671</v>
      </c>
      <c r="CZ14744" s="35">
        <v>3.6889399999999996E-2</v>
      </c>
    </row>
    <row r="14745" spans="103:104" x14ac:dyDescent="0.3">
      <c r="CY14745" s="34" t="s">
        <v>15672</v>
      </c>
      <c r="CZ14745" s="35">
        <v>2.2979202000000002E-3</v>
      </c>
    </row>
    <row r="14746" spans="103:104" x14ac:dyDescent="0.3">
      <c r="CY14746" s="34" t="s">
        <v>15673</v>
      </c>
      <c r="CZ14746" s="35">
        <v>1.520897E-2</v>
      </c>
    </row>
    <row r="14747" spans="103:104" x14ac:dyDescent="0.3">
      <c r="CY14747" s="34" t="s">
        <v>15674</v>
      </c>
      <c r="CZ14747" s="35">
        <v>2.7477803999999999E-4</v>
      </c>
    </row>
    <row r="14748" spans="103:104" x14ac:dyDescent="0.3">
      <c r="CY14748" s="34" t="s">
        <v>15675</v>
      </c>
      <c r="CZ14748" s="35">
        <v>8.0502331999999996E-2</v>
      </c>
    </row>
    <row r="14749" spans="103:104" x14ac:dyDescent="0.3">
      <c r="CY14749" s="34" t="s">
        <v>15676</v>
      </c>
      <c r="CZ14749" s="35">
        <v>3.5727480000000006E-2</v>
      </c>
    </row>
    <row r="14750" spans="103:104" x14ac:dyDescent="0.3">
      <c r="CY14750" s="34" t="s">
        <v>15677</v>
      </c>
      <c r="CZ14750" s="35">
        <v>9.9562225000000004E-3</v>
      </c>
    </row>
    <row r="14751" spans="103:104" x14ac:dyDescent="0.3">
      <c r="CY14751" s="34" t="s">
        <v>15678</v>
      </c>
      <c r="CZ14751" s="35">
        <v>9.4592074999999998E-2</v>
      </c>
    </row>
    <row r="14752" spans="103:104" x14ac:dyDescent="0.3">
      <c r="CY14752" s="34" t="s">
        <v>15679</v>
      </c>
      <c r="CZ14752" s="35">
        <v>9.4592074999999998E-2</v>
      </c>
    </row>
    <row r="14753" spans="103:104" x14ac:dyDescent="0.3">
      <c r="CY14753" s="34" t="s">
        <v>15680</v>
      </c>
      <c r="CZ14753" s="35">
        <v>6.9317089999999998E-2</v>
      </c>
    </row>
    <row r="14754" spans="103:104" x14ac:dyDescent="0.3">
      <c r="CY14754" s="34" t="s">
        <v>15681</v>
      </c>
      <c r="CZ14754" s="35">
        <v>7.8346849999999992E-3</v>
      </c>
    </row>
    <row r="14755" spans="103:104" x14ac:dyDescent="0.3">
      <c r="CY14755" s="34" t="s">
        <v>15682</v>
      </c>
      <c r="CZ14755" s="35">
        <v>1.8900705E-2</v>
      </c>
    </row>
    <row r="14756" spans="103:104" x14ac:dyDescent="0.3">
      <c r="CY14756" s="34" t="s">
        <v>15683</v>
      </c>
      <c r="CZ14756" s="35">
        <v>3.8513000000000002E-3</v>
      </c>
    </row>
    <row r="14757" spans="103:104" x14ac:dyDescent="0.3">
      <c r="CY14757" s="34" t="s">
        <v>15684</v>
      </c>
      <c r="CZ14757" s="35">
        <v>3.4224379999999999E-2</v>
      </c>
    </row>
    <row r="14758" spans="103:104" x14ac:dyDescent="0.3">
      <c r="CY14758" s="34" t="s">
        <v>15685</v>
      </c>
      <c r="CZ14758" s="35">
        <v>5.7099999999999999E-5</v>
      </c>
    </row>
    <row r="14759" spans="103:104" x14ac:dyDescent="0.3">
      <c r="CY14759" s="34" t="s">
        <v>15686</v>
      </c>
      <c r="CZ14759" s="35">
        <v>1.142E-4</v>
      </c>
    </row>
    <row r="14760" spans="103:104" x14ac:dyDescent="0.3">
      <c r="CY14760" s="34" t="s">
        <v>15687</v>
      </c>
      <c r="CZ14760" s="35">
        <v>1.142E-4</v>
      </c>
    </row>
    <row r="14761" spans="103:104" x14ac:dyDescent="0.3">
      <c r="CY14761" s="34" t="s">
        <v>15688</v>
      </c>
      <c r="CZ14761" s="35">
        <v>8.0049000000000006E-3</v>
      </c>
    </row>
    <row r="14762" spans="103:104" x14ac:dyDescent="0.3">
      <c r="CY14762" s="34" t="s">
        <v>15689</v>
      </c>
      <c r="CZ14762" s="35">
        <v>0.17110328</v>
      </c>
    </row>
    <row r="14763" spans="103:104" x14ac:dyDescent="0.3">
      <c r="CY14763" s="34" t="s">
        <v>15690</v>
      </c>
      <c r="CZ14763" s="35">
        <v>0.18061952999999997</v>
      </c>
    </row>
    <row r="14764" spans="103:104" x14ac:dyDescent="0.3">
      <c r="CY14764" s="34" t="s">
        <v>15691</v>
      </c>
      <c r="CZ14764" s="35">
        <v>5.6012210666666666E-2</v>
      </c>
    </row>
    <row r="14765" spans="103:104" x14ac:dyDescent="0.3">
      <c r="CY14765" s="34" t="s">
        <v>15692</v>
      </c>
      <c r="CZ14765" s="35">
        <v>3.0999932000000002E-3</v>
      </c>
    </row>
    <row r="14766" spans="103:104" x14ac:dyDescent="0.3">
      <c r="CY14766" s="34" t="s">
        <v>15693</v>
      </c>
      <c r="CZ14766" s="35">
        <v>1.656152E-2</v>
      </c>
    </row>
    <row r="14767" spans="103:104" x14ac:dyDescent="0.3">
      <c r="CY14767" s="34" t="s">
        <v>15694</v>
      </c>
      <c r="CZ14767" s="35">
        <v>2.0589712000000002E-3</v>
      </c>
    </row>
    <row r="14768" spans="103:104" x14ac:dyDescent="0.3">
      <c r="CY14768" s="34" t="s">
        <v>15695</v>
      </c>
      <c r="CZ14768" s="35">
        <v>2.0997317999999997E-2</v>
      </c>
    </row>
    <row r="14769" spans="103:104" x14ac:dyDescent="0.3">
      <c r="CY14769" s="34" t="s">
        <v>15696</v>
      </c>
      <c r="CZ14769" s="35">
        <v>2.8248891999999998E-3</v>
      </c>
    </row>
    <row r="14770" spans="103:104" x14ac:dyDescent="0.3">
      <c r="CY14770" s="34" t="s">
        <v>15697</v>
      </c>
      <c r="CZ14770" s="35">
        <v>1.144548690909091E-3</v>
      </c>
    </row>
    <row r="14771" spans="103:104" x14ac:dyDescent="0.3">
      <c r="CY14771" s="34" t="s">
        <v>15698</v>
      </c>
      <c r="CZ14771" s="35">
        <v>1.0793299555555554E-2</v>
      </c>
    </row>
    <row r="14772" spans="103:104" x14ac:dyDescent="0.3">
      <c r="CY14772" s="34" t="s">
        <v>15699</v>
      </c>
      <c r="CZ14772" s="35">
        <v>2.4588288E-3</v>
      </c>
    </row>
    <row r="14773" spans="103:104" x14ac:dyDescent="0.3">
      <c r="CY14773" s="34" t="s">
        <v>15700</v>
      </c>
      <c r="CZ14773" s="35">
        <v>1.0902319999999998E-3</v>
      </c>
    </row>
    <row r="14774" spans="103:104" x14ac:dyDescent="0.3">
      <c r="CY14774" s="34" t="s">
        <v>15701</v>
      </c>
      <c r="CZ14774" s="35">
        <v>2.2166028600000002E-2</v>
      </c>
    </row>
    <row r="14775" spans="103:104" x14ac:dyDescent="0.3">
      <c r="CY14775" s="34" t="s">
        <v>15702</v>
      </c>
      <c r="CZ14775" s="35">
        <v>1.7876432000000001E-2</v>
      </c>
    </row>
    <row r="14776" spans="103:104" x14ac:dyDescent="0.3">
      <c r="CY14776" s="34" t="s">
        <v>15703</v>
      </c>
      <c r="CZ14776" s="35">
        <v>2.2979872387238726E-2</v>
      </c>
    </row>
    <row r="14777" spans="103:104" x14ac:dyDescent="0.3">
      <c r="CY14777" s="34" t="s">
        <v>15704</v>
      </c>
      <c r="CZ14777" s="35">
        <v>2.0709471741637831E-2</v>
      </c>
    </row>
    <row r="14778" spans="103:104" x14ac:dyDescent="0.3">
      <c r="CY14778" s="34" t="s">
        <v>15705</v>
      </c>
      <c r="CZ14778" s="35">
        <v>6.9105893333333335E-2</v>
      </c>
    </row>
    <row r="14779" spans="103:104" x14ac:dyDescent="0.3">
      <c r="CY14779" s="34" t="s">
        <v>15706</v>
      </c>
      <c r="CZ14779" s="35">
        <v>2.0872080000000001E-3</v>
      </c>
    </row>
    <row r="14780" spans="103:104" x14ac:dyDescent="0.3">
      <c r="CY14780" s="34" t="s">
        <v>15707</v>
      </c>
      <c r="CZ14780" s="35">
        <v>4.5693199999999991E-3</v>
      </c>
    </row>
    <row r="14781" spans="103:104" x14ac:dyDescent="0.3">
      <c r="CY14781" s="34" t="s">
        <v>15708</v>
      </c>
      <c r="CZ14781" s="35">
        <v>1.445780773386454E-2</v>
      </c>
    </row>
    <row r="14782" spans="103:104" x14ac:dyDescent="0.3">
      <c r="CY14782" s="34" t="s">
        <v>15709</v>
      </c>
      <c r="CZ14782" s="35">
        <v>0.25201225333000005</v>
      </c>
    </row>
    <row r="14783" spans="103:104" x14ac:dyDescent="0.3">
      <c r="CY14783" s="34" t="s">
        <v>15710</v>
      </c>
      <c r="CZ14783" s="35">
        <v>5.6493999999999997E-3</v>
      </c>
    </row>
    <row r="14784" spans="103:104" x14ac:dyDescent="0.3">
      <c r="CY14784" s="34" t="s">
        <v>15711</v>
      </c>
      <c r="CZ14784" s="35">
        <v>1.5196474666666666E-2</v>
      </c>
    </row>
    <row r="14785" spans="103:104" x14ac:dyDescent="0.3">
      <c r="CY14785" s="34" t="s">
        <v>15712</v>
      </c>
      <c r="CZ14785" s="35">
        <v>9.8472799999999999E-3</v>
      </c>
    </row>
    <row r="14786" spans="103:104" x14ac:dyDescent="0.3">
      <c r="CY14786" s="34" t="s">
        <v>15713</v>
      </c>
      <c r="CZ14786" s="35">
        <v>0.21538044354999997</v>
      </c>
    </row>
    <row r="14787" spans="103:104" x14ac:dyDescent="0.3">
      <c r="CY14787" s="34" t="s">
        <v>15714</v>
      </c>
      <c r="CZ14787" s="35">
        <v>2.0770868E-3</v>
      </c>
    </row>
    <row r="14788" spans="103:104" x14ac:dyDescent="0.3">
      <c r="CY14788" s="34" t="s">
        <v>15715</v>
      </c>
      <c r="CZ14788" s="35">
        <v>2.0770868E-3</v>
      </c>
    </row>
    <row r="14789" spans="103:104" x14ac:dyDescent="0.3">
      <c r="CY14789" s="34" t="s">
        <v>15716</v>
      </c>
      <c r="CZ14789" s="35">
        <v>1.632548E-2</v>
      </c>
    </row>
    <row r="14790" spans="103:104" x14ac:dyDescent="0.3">
      <c r="CY14790" s="34" t="s">
        <v>15717</v>
      </c>
      <c r="CZ14790" s="35">
        <v>2.0024840000000001E-3</v>
      </c>
    </row>
    <row r="14791" spans="103:104" x14ac:dyDescent="0.3">
      <c r="CY14791" s="34" t="s">
        <v>15718</v>
      </c>
      <c r="CZ14791" s="35">
        <v>2.2638063995999998E-2</v>
      </c>
    </row>
    <row r="14792" spans="103:104" x14ac:dyDescent="0.3">
      <c r="CY14792" s="34" t="s">
        <v>15719</v>
      </c>
      <c r="CZ14792" s="35">
        <v>8.5327286666666669E-2</v>
      </c>
    </row>
    <row r="14793" spans="103:104" x14ac:dyDescent="0.3">
      <c r="CY14793" s="34" t="s">
        <v>15720</v>
      </c>
      <c r="CZ14793" s="35">
        <v>1.0330728000000001E-2</v>
      </c>
    </row>
    <row r="14794" spans="103:104" x14ac:dyDescent="0.3">
      <c r="CY14794" s="34" t="s">
        <v>15721</v>
      </c>
      <c r="CZ14794" s="35">
        <v>3.7201919999999998E-3</v>
      </c>
    </row>
    <row r="14795" spans="103:104" x14ac:dyDescent="0.3">
      <c r="CY14795" s="34" t="s">
        <v>15722</v>
      </c>
      <c r="CZ14795" s="35">
        <v>4.5604656000000007E-3</v>
      </c>
    </row>
    <row r="14796" spans="103:104" x14ac:dyDescent="0.3">
      <c r="CY14796" s="34" t="s">
        <v>15723</v>
      </c>
      <c r="CZ14796" s="35">
        <v>1.0145092E-2</v>
      </c>
    </row>
    <row r="14797" spans="103:104" x14ac:dyDescent="0.3">
      <c r="CY14797" s="34" t="s">
        <v>15724</v>
      </c>
      <c r="CZ14797" s="35">
        <v>3.5301984000000002E-3</v>
      </c>
    </row>
    <row r="14798" spans="103:104" x14ac:dyDescent="0.3">
      <c r="CY14798" s="34" t="s">
        <v>15725</v>
      </c>
      <c r="CZ14798" s="35">
        <v>0.57082001466666665</v>
      </c>
    </row>
    <row r="14799" spans="103:104" x14ac:dyDescent="0.3">
      <c r="CY14799" s="34" t="s">
        <v>15726</v>
      </c>
      <c r="CZ14799" s="35">
        <v>7.2691013300000013E-3</v>
      </c>
    </row>
    <row r="14800" spans="103:104" x14ac:dyDescent="0.3">
      <c r="CY14800" s="34" t="s">
        <v>15727</v>
      </c>
      <c r="CZ14800" s="35">
        <v>6.5602157333333327E-3</v>
      </c>
    </row>
    <row r="14801" spans="103:104" x14ac:dyDescent="0.3">
      <c r="CY14801" s="34" t="s">
        <v>15728</v>
      </c>
      <c r="CZ14801" s="35">
        <v>6.7591893333333328E-3</v>
      </c>
    </row>
    <row r="14802" spans="103:104" x14ac:dyDescent="0.3">
      <c r="CY14802" s="34" t="s">
        <v>15729</v>
      </c>
      <c r="CZ14802" s="35">
        <v>1.3171060500000002E-2</v>
      </c>
    </row>
    <row r="14803" spans="103:104" x14ac:dyDescent="0.3">
      <c r="CY14803" s="34" t="s">
        <v>15730</v>
      </c>
      <c r="CZ14803" s="35">
        <v>1.8366611999999999E-3</v>
      </c>
    </row>
    <row r="14804" spans="103:104" x14ac:dyDescent="0.3">
      <c r="CY14804" s="34" t="s">
        <v>15731</v>
      </c>
      <c r="CZ14804" s="35">
        <v>3.0126327999999997E-2</v>
      </c>
    </row>
    <row r="14805" spans="103:104" x14ac:dyDescent="0.3">
      <c r="CY14805" s="34" t="s">
        <v>15732</v>
      </c>
      <c r="CZ14805" s="35">
        <v>7.2062467999999991E-2</v>
      </c>
    </row>
    <row r="14806" spans="103:104" x14ac:dyDescent="0.3">
      <c r="CY14806" s="34" t="s">
        <v>15733</v>
      </c>
      <c r="CZ14806" s="35">
        <v>1.5244463999999998E-3</v>
      </c>
    </row>
    <row r="14807" spans="103:104" x14ac:dyDescent="0.3">
      <c r="CY14807" s="34" t="s">
        <v>15734</v>
      </c>
      <c r="CZ14807" s="35">
        <v>0.1183266</v>
      </c>
    </row>
    <row r="14808" spans="103:104" x14ac:dyDescent="0.3">
      <c r="CY14808" s="34" t="s">
        <v>15735</v>
      </c>
      <c r="CZ14808" s="35">
        <v>1.3241999999999999E-2</v>
      </c>
    </row>
    <row r="14809" spans="103:104" x14ac:dyDescent="0.3">
      <c r="CY14809" s="34" t="s">
        <v>15736</v>
      </c>
      <c r="CZ14809" s="35">
        <v>3.5306479999999999E-3</v>
      </c>
    </row>
    <row r="14810" spans="103:104" x14ac:dyDescent="0.3">
      <c r="CY14810" s="34" t="s">
        <v>15737</v>
      </c>
      <c r="CZ14810" s="35">
        <v>1.1310143999999999E-2</v>
      </c>
    </row>
    <row r="14811" spans="103:104" x14ac:dyDescent="0.3">
      <c r="CY14811" s="34" t="s">
        <v>15738</v>
      </c>
      <c r="CZ14811" s="35">
        <v>0.12556758667999998</v>
      </c>
    </row>
    <row r="14812" spans="103:104" x14ac:dyDescent="0.3">
      <c r="CY14812" s="34" t="s">
        <v>15739</v>
      </c>
      <c r="CZ14812" s="35">
        <v>9.9776626680000008E-2</v>
      </c>
    </row>
    <row r="14813" spans="103:104" x14ac:dyDescent="0.3">
      <c r="CY14813" s="34" t="s">
        <v>15740</v>
      </c>
      <c r="CZ14813" s="35">
        <v>0.10190646</v>
      </c>
    </row>
    <row r="14814" spans="103:104" x14ac:dyDescent="0.3">
      <c r="CY14814" s="34" t="s">
        <v>15741</v>
      </c>
      <c r="CZ14814" s="35">
        <v>3.265956E-3</v>
      </c>
    </row>
    <row r="14815" spans="103:104" x14ac:dyDescent="0.3">
      <c r="CY14815" s="34" t="s">
        <v>15742</v>
      </c>
      <c r="CZ14815" s="35">
        <v>9.6963946000000001E-4</v>
      </c>
    </row>
    <row r="14816" spans="103:104" x14ac:dyDescent="0.3">
      <c r="CY14816" s="34" t="s">
        <v>15743</v>
      </c>
      <c r="CZ14816" s="35">
        <v>2.7564562285714283E-3</v>
      </c>
    </row>
    <row r="14817" spans="103:104" x14ac:dyDescent="0.3">
      <c r="CY14817" s="34" t="s">
        <v>15744</v>
      </c>
      <c r="CZ14817" s="35">
        <v>4.2630320000000001E-4</v>
      </c>
    </row>
    <row r="14818" spans="103:104" x14ac:dyDescent="0.3">
      <c r="CY14818" s="34" t="s">
        <v>15745</v>
      </c>
      <c r="CZ14818" s="35">
        <v>2.141128E-3</v>
      </c>
    </row>
    <row r="14819" spans="103:104" x14ac:dyDescent="0.3">
      <c r="CY14819" s="34" t="s">
        <v>15746</v>
      </c>
      <c r="CZ14819" s="35">
        <v>1.126064E-4</v>
      </c>
    </row>
    <row r="14820" spans="103:104" x14ac:dyDescent="0.3">
      <c r="CY14820" s="34" t="s">
        <v>15747</v>
      </c>
      <c r="CZ14820" s="35">
        <v>4.7738800000000003E-4</v>
      </c>
    </row>
    <row r="14821" spans="103:104" x14ac:dyDescent="0.3">
      <c r="CY14821" s="34" t="s">
        <v>15748</v>
      </c>
      <c r="CZ14821" s="35">
        <v>9.8901279999999989E-4</v>
      </c>
    </row>
    <row r="14822" spans="103:104" x14ac:dyDescent="0.3">
      <c r="CY14822" s="34" t="s">
        <v>15749</v>
      </c>
      <c r="CZ14822" s="35">
        <v>2.5489575999999999E-4</v>
      </c>
    </row>
    <row r="14823" spans="103:104" x14ac:dyDescent="0.3">
      <c r="CY14823" s="34" t="s">
        <v>15750</v>
      </c>
      <c r="CZ14823" s="35">
        <v>3.9986624000000004E-4</v>
      </c>
    </row>
    <row r="14824" spans="103:104" x14ac:dyDescent="0.3">
      <c r="CY14824" s="34" t="s">
        <v>15751</v>
      </c>
      <c r="CZ14824" s="35">
        <v>3.64489184E-3</v>
      </c>
    </row>
    <row r="14825" spans="103:104" x14ac:dyDescent="0.3">
      <c r="CY14825" s="34" t="s">
        <v>15752</v>
      </c>
      <c r="CZ14825" s="35">
        <v>1.5515286499999998E-2</v>
      </c>
    </row>
    <row r="14826" spans="103:104" x14ac:dyDescent="0.3">
      <c r="CY14826" s="34" t="s">
        <v>15753</v>
      </c>
      <c r="CZ14826" s="35">
        <v>2.6034660000000005E-3</v>
      </c>
    </row>
    <row r="14827" spans="103:104" x14ac:dyDescent="0.3">
      <c r="CY14827" s="34" t="s">
        <v>15754</v>
      </c>
      <c r="CZ14827" s="35">
        <v>4.4090840000000003E-4</v>
      </c>
    </row>
    <row r="14828" spans="103:104" x14ac:dyDescent="0.3">
      <c r="CY14828" s="34" t="s">
        <v>15755</v>
      </c>
      <c r="CZ14828" s="35">
        <v>6.6672678400000003E-3</v>
      </c>
    </row>
    <row r="14829" spans="103:104" x14ac:dyDescent="0.3">
      <c r="CY14829" s="34" t="s">
        <v>15756</v>
      </c>
      <c r="CZ14829" s="35">
        <v>8.1037520000000007E-4</v>
      </c>
    </row>
    <row r="14830" spans="103:104" x14ac:dyDescent="0.3">
      <c r="CY14830" s="34" t="s">
        <v>15757</v>
      </c>
      <c r="CZ14830" s="35">
        <v>4.798728E-2</v>
      </c>
    </row>
    <row r="14831" spans="103:104" x14ac:dyDescent="0.3">
      <c r="CY14831" s="34" t="s">
        <v>15758</v>
      </c>
      <c r="CZ14831" s="35">
        <v>1.5582020000000001E-3</v>
      </c>
    </row>
    <row r="14832" spans="103:104" x14ac:dyDescent="0.3">
      <c r="CY14832" s="34" t="s">
        <v>15759</v>
      </c>
      <c r="CZ14832" s="35">
        <v>1.5582019999999999E-3</v>
      </c>
    </row>
    <row r="14833" spans="103:104" x14ac:dyDescent="0.3">
      <c r="CY14833" s="34" t="s">
        <v>15760</v>
      </c>
      <c r="CZ14833" s="35">
        <v>2.7519579999999998E-2</v>
      </c>
    </row>
    <row r="14834" spans="103:104" x14ac:dyDescent="0.3">
      <c r="CY14834" s="34" t="s">
        <v>15761</v>
      </c>
      <c r="CZ14834" s="35">
        <v>9.1918334059999982E-2</v>
      </c>
    </row>
    <row r="14835" spans="103:104" x14ac:dyDescent="0.3">
      <c r="CY14835" s="34" t="s">
        <v>15762</v>
      </c>
      <c r="CZ14835" s="35">
        <v>9.1918334059999982E-2</v>
      </c>
    </row>
    <row r="14836" spans="103:104" x14ac:dyDescent="0.3">
      <c r="CY14836" s="34" t="s">
        <v>15763</v>
      </c>
      <c r="CZ14836" s="35">
        <v>0.25251039999999997</v>
      </c>
    </row>
    <row r="14837" spans="103:104" x14ac:dyDescent="0.3">
      <c r="CY14837" s="34" t="s">
        <v>15764</v>
      </c>
      <c r="CZ14837" s="35">
        <v>7.9750933333333322E-3</v>
      </c>
    </row>
    <row r="14838" spans="103:104" x14ac:dyDescent="0.3">
      <c r="CY14838" s="34" t="s">
        <v>15765</v>
      </c>
      <c r="CZ14838" s="35">
        <v>2.5126533320000002E-2</v>
      </c>
    </row>
    <row r="14839" spans="103:104" x14ac:dyDescent="0.3">
      <c r="CY14839" s="34" t="s">
        <v>15766</v>
      </c>
      <c r="CZ14839" s="35">
        <v>2.7542842105263161E-2</v>
      </c>
    </row>
    <row r="14840" spans="103:104" x14ac:dyDescent="0.3">
      <c r="CY14840" s="34" t="s">
        <v>15767</v>
      </c>
      <c r="CZ14840" s="35">
        <v>2.8613599999999996E-2</v>
      </c>
    </row>
    <row r="14841" spans="103:104" x14ac:dyDescent="0.3">
      <c r="CY14841" s="34" t="s">
        <v>15768</v>
      </c>
      <c r="CZ14841" s="35">
        <v>3.6570002599999998E-2</v>
      </c>
    </row>
    <row r="14842" spans="103:104" x14ac:dyDescent="0.3">
      <c r="CY14842" s="34" t="s">
        <v>15769</v>
      </c>
      <c r="CZ14842" s="35">
        <v>0.13981449411764704</v>
      </c>
    </row>
    <row r="14843" spans="103:104" x14ac:dyDescent="0.3">
      <c r="CY14843" s="34" t="s">
        <v>15770</v>
      </c>
      <c r="CZ14843" s="35">
        <v>0.10714373333333334</v>
      </c>
    </row>
    <row r="14844" spans="103:104" x14ac:dyDescent="0.3">
      <c r="CY14844" s="34" t="s">
        <v>15771</v>
      </c>
      <c r="CZ14844" s="35">
        <v>0.10099866673339999</v>
      </c>
    </row>
    <row r="14845" spans="103:104" x14ac:dyDescent="0.3">
      <c r="CY14845" s="34" t="s">
        <v>15772</v>
      </c>
      <c r="CZ14845" s="35">
        <v>1.9544142557651988E-2</v>
      </c>
    </row>
    <row r="14846" spans="103:104" x14ac:dyDescent="0.3">
      <c r="CY14846" s="34" t="s">
        <v>15773</v>
      </c>
      <c r="CZ14846" s="35">
        <v>0.12384244300000001</v>
      </c>
    </row>
    <row r="14847" spans="103:104" x14ac:dyDescent="0.3">
      <c r="CY14847" s="34" t="s">
        <v>15774</v>
      </c>
      <c r="CZ14847" s="35">
        <v>4.0050799999999994E-3</v>
      </c>
    </row>
    <row r="14848" spans="103:104" x14ac:dyDescent="0.3">
      <c r="CY14848" s="34" t="s">
        <v>15775</v>
      </c>
      <c r="CZ14848" s="35">
        <v>3.33154E-3</v>
      </c>
    </row>
    <row r="14849" spans="103:104" x14ac:dyDescent="0.3">
      <c r="CY14849" s="34" t="s">
        <v>15776</v>
      </c>
      <c r="CZ14849" s="35">
        <v>1.3383215809523809E-2</v>
      </c>
    </row>
    <row r="14850" spans="103:104" x14ac:dyDescent="0.3">
      <c r="CY14850" s="34" t="s">
        <v>15777</v>
      </c>
      <c r="CZ14850" s="35">
        <v>7.8694219999999992E-3</v>
      </c>
    </row>
    <row r="14851" spans="103:104" x14ac:dyDescent="0.3">
      <c r="CY14851" s="34" t="s">
        <v>15778</v>
      </c>
      <c r="CZ14851" s="35">
        <v>0.17001916000000003</v>
      </c>
    </row>
    <row r="14852" spans="103:104" x14ac:dyDescent="0.3">
      <c r="CY14852" s="34" t="s">
        <v>15779</v>
      </c>
      <c r="CZ14852" s="35">
        <v>0.14852860000000004</v>
      </c>
    </row>
    <row r="14853" spans="103:104" x14ac:dyDescent="0.3">
      <c r="CY14853" s="34" t="s">
        <v>15780</v>
      </c>
      <c r="CZ14853" s="35">
        <v>5.2055919999999999E-2</v>
      </c>
    </row>
    <row r="14854" spans="103:104" x14ac:dyDescent="0.3">
      <c r="CY14854" s="34" t="s">
        <v>15781</v>
      </c>
      <c r="CZ14854" s="35">
        <v>5.2055919999999999E-2</v>
      </c>
    </row>
    <row r="14855" spans="103:104" x14ac:dyDescent="0.3">
      <c r="CY14855" s="34" t="s">
        <v>15782</v>
      </c>
      <c r="CZ14855" s="35">
        <v>1.3348610399999999E-2</v>
      </c>
    </row>
    <row r="14856" spans="103:104" x14ac:dyDescent="0.3">
      <c r="CY14856" s="34" t="s">
        <v>15783</v>
      </c>
      <c r="CZ14856" s="35">
        <v>3.9748373333333337E-2</v>
      </c>
    </row>
    <row r="14857" spans="103:104" x14ac:dyDescent="0.3">
      <c r="CY14857" s="34" t="s">
        <v>15784</v>
      </c>
      <c r="CZ14857" s="35">
        <v>3.0700994666666665E-2</v>
      </c>
    </row>
    <row r="14858" spans="103:104" x14ac:dyDescent="0.3">
      <c r="CY14858" s="34" t="s">
        <v>15785</v>
      </c>
      <c r="CZ14858" s="35">
        <v>3.9005272000000001E-3</v>
      </c>
    </row>
    <row r="14859" spans="103:104" x14ac:dyDescent="0.3">
      <c r="CY14859" s="34" t="s">
        <v>15786</v>
      </c>
      <c r="CZ14859" s="35">
        <v>3.3467359999999995E-2</v>
      </c>
    </row>
    <row r="14860" spans="103:104" x14ac:dyDescent="0.3">
      <c r="CY14860" s="34" t="s">
        <v>15787</v>
      </c>
      <c r="CZ14860" s="35">
        <v>1.8495000000000001E-2</v>
      </c>
    </row>
    <row r="14861" spans="103:104" x14ac:dyDescent="0.3">
      <c r="CY14861" s="34" t="s">
        <v>15788</v>
      </c>
      <c r="CZ14861" s="35">
        <v>3.8134776000000002E-2</v>
      </c>
    </row>
    <row r="14862" spans="103:104" x14ac:dyDescent="0.3">
      <c r="CY14862" s="34" t="s">
        <v>15789</v>
      </c>
      <c r="CZ14862" s="35">
        <v>8.2204799999999995E-2</v>
      </c>
    </row>
    <row r="14863" spans="103:104" x14ac:dyDescent="0.3">
      <c r="CY14863" s="34" t="s">
        <v>15790</v>
      </c>
      <c r="CZ14863" s="35">
        <v>2.6973379999999998E-2</v>
      </c>
    </row>
    <row r="14864" spans="103:104" x14ac:dyDescent="0.3">
      <c r="CY14864" s="34" t="s">
        <v>15791</v>
      </c>
      <c r="CZ14864" s="35">
        <v>2.3976337777777777E-2</v>
      </c>
    </row>
    <row r="14865" spans="103:104" x14ac:dyDescent="0.3">
      <c r="CY14865" s="34" t="s">
        <v>15792</v>
      </c>
      <c r="CZ14865" s="35">
        <v>2.6973379999999998E-2</v>
      </c>
    </row>
    <row r="14866" spans="103:104" x14ac:dyDescent="0.3">
      <c r="CY14866" s="34" t="s">
        <v>15793</v>
      </c>
      <c r="CZ14866" s="35">
        <v>2.6973379999999998E-2</v>
      </c>
    </row>
    <row r="14867" spans="103:104" x14ac:dyDescent="0.3">
      <c r="CY14867" s="34" t="s">
        <v>15794</v>
      </c>
      <c r="CZ14867" s="35">
        <v>9.312543999999999E-3</v>
      </c>
    </row>
    <row r="14868" spans="103:104" x14ac:dyDescent="0.3">
      <c r="CY14868" s="34" t="s">
        <v>15795</v>
      </c>
      <c r="CZ14868" s="35">
        <v>1.3770072000000003E-3</v>
      </c>
    </row>
    <row r="14869" spans="103:104" x14ac:dyDescent="0.3">
      <c r="CY14869" s="34" t="s">
        <v>15796</v>
      </c>
      <c r="CZ14869" s="35">
        <v>2.1397792000000001E-3</v>
      </c>
    </row>
    <row r="14870" spans="103:104" x14ac:dyDescent="0.3">
      <c r="CY14870" s="34" t="s">
        <v>15797</v>
      </c>
      <c r="CZ14870" s="35">
        <v>1.192E-4</v>
      </c>
    </row>
    <row r="14871" spans="103:104" x14ac:dyDescent="0.3">
      <c r="CY14871" s="34" t="s">
        <v>15798</v>
      </c>
      <c r="CZ14871" s="35">
        <v>1.192E-4</v>
      </c>
    </row>
    <row r="14872" spans="103:104" x14ac:dyDescent="0.3">
      <c r="CY14872" s="34" t="s">
        <v>15799</v>
      </c>
      <c r="CZ14872" s="35">
        <v>4.0280270173684206E-2</v>
      </c>
    </row>
    <row r="14873" spans="103:104" x14ac:dyDescent="0.3">
      <c r="CY14873" s="34" t="s">
        <v>15800</v>
      </c>
      <c r="CZ14873" s="35">
        <v>7.2220000000000006E-2</v>
      </c>
    </row>
    <row r="14874" spans="103:104" x14ac:dyDescent="0.3">
      <c r="CY14874" s="34" t="s">
        <v>15801</v>
      </c>
      <c r="CZ14874" s="35">
        <v>6.0383800000000008E-2</v>
      </c>
    </row>
    <row r="14875" spans="103:104" x14ac:dyDescent="0.3">
      <c r="CY14875" s="34" t="s">
        <v>15802</v>
      </c>
      <c r="CZ14875" s="35">
        <v>3.7078891999999999E-3</v>
      </c>
    </row>
    <row r="14876" spans="103:104" x14ac:dyDescent="0.3">
      <c r="CY14876" s="34" t="s">
        <v>15803</v>
      </c>
      <c r="CZ14876" s="35">
        <v>3.1060944E-2</v>
      </c>
    </row>
    <row r="14877" spans="103:104" x14ac:dyDescent="0.3">
      <c r="CY14877" s="34" t="s">
        <v>15804</v>
      </c>
      <c r="CZ14877" s="35">
        <v>1.5194560000000001E-2</v>
      </c>
    </row>
    <row r="14878" spans="103:104" x14ac:dyDescent="0.3">
      <c r="CY14878" s="34" t="s">
        <v>15805</v>
      </c>
      <c r="CZ14878" s="35">
        <v>2.7281696000000001E-2</v>
      </c>
    </row>
    <row r="14879" spans="103:104" x14ac:dyDescent="0.3">
      <c r="CY14879" s="34" t="s">
        <v>15806</v>
      </c>
      <c r="CZ14879" s="35">
        <v>3.0943496000000001E-2</v>
      </c>
    </row>
    <row r="14880" spans="103:104" x14ac:dyDescent="0.3">
      <c r="CY14880" s="34" t="s">
        <v>15807</v>
      </c>
      <c r="CZ14880" s="35">
        <v>0.42860520000000008</v>
      </c>
    </row>
    <row r="14881" spans="103:104" x14ac:dyDescent="0.3">
      <c r="CY14881" s="34" t="s">
        <v>15808</v>
      </c>
      <c r="CZ14881" s="35">
        <v>9.3678719999999993E-2</v>
      </c>
    </row>
    <row r="14882" spans="103:104" x14ac:dyDescent="0.3">
      <c r="CY14882" s="34" t="s">
        <v>15809</v>
      </c>
      <c r="CZ14882" s="35">
        <v>1.5976584499999998E-2</v>
      </c>
    </row>
    <row r="14883" spans="103:104" x14ac:dyDescent="0.3">
      <c r="CY14883" s="34" t="s">
        <v>15810</v>
      </c>
      <c r="CZ14883" s="35">
        <v>8.0018799999999994E-3</v>
      </c>
    </row>
    <row r="14884" spans="103:104" x14ac:dyDescent="0.3">
      <c r="CY14884" s="34" t="s">
        <v>15811</v>
      </c>
      <c r="CZ14884" s="35">
        <v>2.3637025999999998E-3</v>
      </c>
    </row>
    <row r="14885" spans="103:104" x14ac:dyDescent="0.3">
      <c r="CY14885" s="34" t="s">
        <v>15812</v>
      </c>
      <c r="CZ14885" s="35">
        <v>2.4704689999999999E-3</v>
      </c>
    </row>
    <row r="14886" spans="103:104" x14ac:dyDescent="0.3">
      <c r="CY14886" s="34" t="s">
        <v>15813</v>
      </c>
      <c r="CZ14886" s="35">
        <v>1.9967040000000002E-3</v>
      </c>
    </row>
    <row r="14887" spans="103:104" x14ac:dyDescent="0.3">
      <c r="CY14887" s="34" t="s">
        <v>15814</v>
      </c>
      <c r="CZ14887" s="35">
        <v>2.5654425E-3</v>
      </c>
    </row>
    <row r="14888" spans="103:104" x14ac:dyDescent="0.3">
      <c r="CY14888" s="34" t="s">
        <v>15815</v>
      </c>
      <c r="CZ14888" s="35">
        <v>1.463047333333333E-3</v>
      </c>
    </row>
    <row r="14889" spans="103:104" x14ac:dyDescent="0.3">
      <c r="CY14889" s="34" t="s">
        <v>15816</v>
      </c>
      <c r="CZ14889" s="35">
        <v>1.0645242222222222E-3</v>
      </c>
    </row>
    <row r="14890" spans="103:104" x14ac:dyDescent="0.3">
      <c r="CY14890" s="34" t="s">
        <v>15817</v>
      </c>
      <c r="CZ14890" s="35">
        <v>1.7600917647058827E-3</v>
      </c>
    </row>
    <row r="14891" spans="103:104" x14ac:dyDescent="0.3">
      <c r="CY14891" s="34" t="s">
        <v>15818</v>
      </c>
      <c r="CZ14891" s="35">
        <v>7.8227764705882346E-4</v>
      </c>
    </row>
    <row r="14892" spans="103:104" x14ac:dyDescent="0.3">
      <c r="CY14892" s="34" t="s">
        <v>15819</v>
      </c>
      <c r="CZ14892" s="35">
        <v>6.935366657894736E-4</v>
      </c>
    </row>
    <row r="14893" spans="103:104" x14ac:dyDescent="0.3">
      <c r="CY14893" s="34" t="s">
        <v>15820</v>
      </c>
      <c r="CZ14893" s="35">
        <v>3.4120800000000007E-4</v>
      </c>
    </row>
    <row r="14894" spans="103:104" x14ac:dyDescent="0.3">
      <c r="CY14894" s="34" t="s">
        <v>15821</v>
      </c>
      <c r="CZ14894" s="35">
        <v>4.8324000000000007E-4</v>
      </c>
    </row>
    <row r="14895" spans="103:104" x14ac:dyDescent="0.3">
      <c r="CY14895" s="34" t="s">
        <v>15822</v>
      </c>
      <c r="CZ14895" s="35">
        <v>2.3581239999999996E-3</v>
      </c>
    </row>
    <row r="14896" spans="103:104" x14ac:dyDescent="0.3">
      <c r="CY14896" s="34" t="s">
        <v>15823</v>
      </c>
      <c r="CZ14896" s="35">
        <v>8.8632533333333336E-4</v>
      </c>
    </row>
    <row r="14897" spans="103:104" x14ac:dyDescent="0.3">
      <c r="CY14897" s="34" t="s">
        <v>15824</v>
      </c>
      <c r="CZ14897" s="35">
        <v>1.229494E-3</v>
      </c>
    </row>
    <row r="14898" spans="103:104" x14ac:dyDescent="0.3">
      <c r="CY14898" s="34" t="s">
        <v>15825</v>
      </c>
      <c r="CZ14898" s="35">
        <v>1.50227878E-2</v>
      </c>
    </row>
    <row r="14899" spans="103:104" x14ac:dyDescent="0.3">
      <c r="CY14899" s="34" t="s">
        <v>15826</v>
      </c>
      <c r="CZ14899" s="35">
        <v>1.5024910999999999E-3</v>
      </c>
    </row>
    <row r="14900" spans="103:104" x14ac:dyDescent="0.3">
      <c r="CY14900" s="34" t="s">
        <v>15827</v>
      </c>
      <c r="CZ14900" s="35">
        <v>2.2312320000000001E-3</v>
      </c>
    </row>
    <row r="14901" spans="103:104" x14ac:dyDescent="0.3">
      <c r="CY14901" s="34" t="s">
        <v>15828</v>
      </c>
      <c r="CZ14901" s="35">
        <v>3.0958600000000002E-3</v>
      </c>
    </row>
    <row r="14902" spans="103:104" x14ac:dyDescent="0.3">
      <c r="CY14902" s="34" t="s">
        <v>15829</v>
      </c>
      <c r="CZ14902" s="35">
        <v>3.2028057340000001E-3</v>
      </c>
    </row>
    <row r="14903" spans="103:104" x14ac:dyDescent="0.3">
      <c r="CY14903" s="34" t="s">
        <v>15830</v>
      </c>
      <c r="CZ14903" s="35">
        <v>1.67556624E-3</v>
      </c>
    </row>
    <row r="14904" spans="103:104" x14ac:dyDescent="0.3">
      <c r="CY14904" s="34" t="s">
        <v>15831</v>
      </c>
      <c r="CZ14904" s="35">
        <v>5.0926895999999996E-4</v>
      </c>
    </row>
    <row r="14905" spans="103:104" x14ac:dyDescent="0.3">
      <c r="CY14905" s="34" t="s">
        <v>15832</v>
      </c>
      <c r="CZ14905" s="35">
        <v>3.9680539999999995E-3</v>
      </c>
    </row>
    <row r="14906" spans="103:104" x14ac:dyDescent="0.3">
      <c r="CY14906" s="34" t="s">
        <v>15833</v>
      </c>
      <c r="CZ14906" s="35">
        <v>3.8319212000000004E-3</v>
      </c>
    </row>
    <row r="14907" spans="103:104" x14ac:dyDescent="0.3">
      <c r="CY14907" s="34" t="s">
        <v>15834</v>
      </c>
      <c r="CZ14907" s="35">
        <v>2.1952925333333334E-3</v>
      </c>
    </row>
    <row r="14908" spans="103:104" x14ac:dyDescent="0.3">
      <c r="CY14908" s="34" t="s">
        <v>15835</v>
      </c>
      <c r="CZ14908" s="35">
        <v>2.180044914666667E-3</v>
      </c>
    </row>
    <row r="14909" spans="103:104" x14ac:dyDescent="0.3">
      <c r="CY14909" s="34" t="s">
        <v>15836</v>
      </c>
      <c r="CZ14909" s="35">
        <v>1.53491611375E-3</v>
      </c>
    </row>
    <row r="14910" spans="103:104" x14ac:dyDescent="0.3">
      <c r="CY14910" s="34" t="s">
        <v>15837</v>
      </c>
      <c r="CZ14910" s="35">
        <v>1.6624825137499999E-3</v>
      </c>
    </row>
    <row r="14911" spans="103:104" x14ac:dyDescent="0.3">
      <c r="CY14911" s="34" t="s">
        <v>15838</v>
      </c>
      <c r="CZ14911" s="35">
        <v>2.0984373333333339E-3</v>
      </c>
    </row>
    <row r="14912" spans="103:104" x14ac:dyDescent="0.3">
      <c r="CY14912" s="34" t="s">
        <v>15839</v>
      </c>
      <c r="CZ14912" s="35">
        <v>2.1111039570757876E-3</v>
      </c>
    </row>
    <row r="14913" spans="103:104" x14ac:dyDescent="0.3">
      <c r="CY14913" s="34" t="s">
        <v>15840</v>
      </c>
      <c r="CZ14913" s="35">
        <v>8.0116160000000009E-4</v>
      </c>
    </row>
    <row r="14914" spans="103:104" x14ac:dyDescent="0.3">
      <c r="CY14914" s="34" t="s">
        <v>15841</v>
      </c>
      <c r="CZ14914" s="35">
        <v>1.1069144E-2</v>
      </c>
    </row>
    <row r="14915" spans="103:104" x14ac:dyDescent="0.3">
      <c r="CY14915" s="34" t="s">
        <v>15842</v>
      </c>
      <c r="CZ14915" s="35">
        <v>0.16113979999999997</v>
      </c>
    </row>
    <row r="14916" spans="103:104" x14ac:dyDescent="0.3">
      <c r="CY14916" s="34" t="s">
        <v>15843</v>
      </c>
      <c r="CZ14916" s="35">
        <v>1.2628490500000001E-2</v>
      </c>
    </row>
    <row r="14917" spans="103:104" x14ac:dyDescent="0.3">
      <c r="CY14917" s="34" t="s">
        <v>15844</v>
      </c>
      <c r="CZ14917" s="35">
        <v>1.2547490500000001E-2</v>
      </c>
    </row>
    <row r="14918" spans="103:104" x14ac:dyDescent="0.3">
      <c r="CY14918" s="34" t="s">
        <v>15845</v>
      </c>
      <c r="CZ14918" s="35">
        <v>0.30523</v>
      </c>
    </row>
    <row r="14919" spans="103:104" x14ac:dyDescent="0.3">
      <c r="CY14919" s="34" t="s">
        <v>15846</v>
      </c>
      <c r="CZ14919" s="35">
        <v>1.0405600000000001E-3</v>
      </c>
    </row>
    <row r="14920" spans="103:104" x14ac:dyDescent="0.3">
      <c r="CY14920" s="34" t="s">
        <v>15847</v>
      </c>
      <c r="CZ14920" s="35">
        <v>9.3162000000000008E-4</v>
      </c>
    </row>
    <row r="14921" spans="103:104" x14ac:dyDescent="0.3">
      <c r="CY14921" s="34" t="s">
        <v>15848</v>
      </c>
      <c r="CZ14921" s="35">
        <v>7.6111671666666658E-2</v>
      </c>
    </row>
    <row r="14922" spans="103:104" x14ac:dyDescent="0.3">
      <c r="CY14922" s="34" t="s">
        <v>15849</v>
      </c>
      <c r="CZ14922" s="35">
        <v>2.3751376E-3</v>
      </c>
    </row>
    <row r="14923" spans="103:104" x14ac:dyDescent="0.3">
      <c r="CY14923" s="34" t="s">
        <v>15850</v>
      </c>
      <c r="CZ14923" s="35">
        <v>2.5838504000000001E-3</v>
      </c>
    </row>
    <row r="14924" spans="103:104" x14ac:dyDescent="0.3">
      <c r="CY14924" s="34" t="s">
        <v>15851</v>
      </c>
      <c r="CZ14924" s="35">
        <v>2.5838504000000001E-3</v>
      </c>
    </row>
    <row r="14925" spans="103:104" x14ac:dyDescent="0.3">
      <c r="CY14925" s="34" t="s">
        <v>15852</v>
      </c>
      <c r="CZ14925" s="35">
        <v>2.3544240000000004E-3</v>
      </c>
    </row>
    <row r="14926" spans="103:104" x14ac:dyDescent="0.3">
      <c r="CY14926" s="34" t="s">
        <v>15853</v>
      </c>
      <c r="CZ14926" s="35">
        <v>1.537413422857143E-2</v>
      </c>
    </row>
    <row r="14927" spans="103:104" x14ac:dyDescent="0.3">
      <c r="CY14927" s="34" t="s">
        <v>15854</v>
      </c>
      <c r="CZ14927" s="35">
        <v>5.6214094285714283E-3</v>
      </c>
    </row>
    <row r="14928" spans="103:104" x14ac:dyDescent="0.3">
      <c r="CY14928" s="34" t="s">
        <v>15855</v>
      </c>
      <c r="CZ14928" s="35">
        <v>1.537413422857143E-2</v>
      </c>
    </row>
    <row r="14929" spans="103:104" x14ac:dyDescent="0.3">
      <c r="CY14929" s="34" t="s">
        <v>15856</v>
      </c>
      <c r="CZ14929" s="35">
        <v>1.537413422857143E-2</v>
      </c>
    </row>
    <row r="14930" spans="103:104" x14ac:dyDescent="0.3">
      <c r="CY14930" s="34" t="s">
        <v>15857</v>
      </c>
      <c r="CZ14930" s="35">
        <v>1.537413422857143E-2</v>
      </c>
    </row>
    <row r="14931" spans="103:104" x14ac:dyDescent="0.3">
      <c r="CY14931" s="34" t="s">
        <v>15858</v>
      </c>
      <c r="CZ14931" s="35">
        <v>1.0071479999999998E-3</v>
      </c>
    </row>
    <row r="14932" spans="103:104" x14ac:dyDescent="0.3">
      <c r="CY14932" s="34" t="s">
        <v>15859</v>
      </c>
      <c r="CZ14932" s="35">
        <v>2.6359040000000004E-2</v>
      </c>
    </row>
    <row r="14933" spans="103:104" x14ac:dyDescent="0.3">
      <c r="CY14933" s="34" t="s">
        <v>15860</v>
      </c>
      <c r="CZ14933" s="35">
        <v>1.7571840000000002E-2</v>
      </c>
    </row>
    <row r="14934" spans="103:104" x14ac:dyDescent="0.3">
      <c r="CY14934" s="34" t="s">
        <v>15861</v>
      </c>
      <c r="CZ14934" s="35">
        <v>8.1952000000000014E-3</v>
      </c>
    </row>
    <row r="14935" spans="103:104" x14ac:dyDescent="0.3">
      <c r="CY14935" s="34" t="s">
        <v>15862</v>
      </c>
      <c r="CZ14935" s="35">
        <v>2.7239040000000006E-2</v>
      </c>
    </row>
    <row r="14936" spans="103:104" x14ac:dyDescent="0.3">
      <c r="CY14936" s="34" t="s">
        <v>15863</v>
      </c>
      <c r="CZ14936" s="35">
        <v>1.7571840000000002E-2</v>
      </c>
    </row>
    <row r="14937" spans="103:104" x14ac:dyDescent="0.3">
      <c r="CY14937" s="34" t="s">
        <v>15864</v>
      </c>
      <c r="CZ14937" s="35">
        <v>4.5568359999999995E-2</v>
      </c>
    </row>
    <row r="14938" spans="103:104" x14ac:dyDescent="0.3">
      <c r="CY14938" s="34" t="s">
        <v>15865</v>
      </c>
      <c r="CZ14938" s="35">
        <v>7.4810869299999987E-4</v>
      </c>
    </row>
    <row r="14939" spans="103:104" x14ac:dyDescent="0.3">
      <c r="CY14939" s="34" t="s">
        <v>15866</v>
      </c>
      <c r="CZ14939" s="35">
        <v>4.4112682666666667E-2</v>
      </c>
    </row>
    <row r="14940" spans="103:104" x14ac:dyDescent="0.3">
      <c r="CY14940" s="34" t="s">
        <v>15867</v>
      </c>
      <c r="CZ14940" s="35">
        <v>5.8187994999999999E-2</v>
      </c>
    </row>
    <row r="14941" spans="103:104" x14ac:dyDescent="0.3">
      <c r="CY14941" s="34" t="s">
        <v>15868</v>
      </c>
      <c r="CZ14941" s="35">
        <v>4.9453392000000006E-2</v>
      </c>
    </row>
    <row r="14942" spans="103:104" x14ac:dyDescent="0.3">
      <c r="CY14942" s="34" t="s">
        <v>15869</v>
      </c>
      <c r="CZ14942" s="35">
        <v>8.1788719999999996E-4</v>
      </c>
    </row>
    <row r="14943" spans="103:104" x14ac:dyDescent="0.3">
      <c r="CY14943" s="34" t="s">
        <v>15870</v>
      </c>
      <c r="CZ14943" s="35">
        <v>5.4369700000000007E-2</v>
      </c>
    </row>
    <row r="14944" spans="103:104" x14ac:dyDescent="0.3">
      <c r="CY14944" s="34" t="s">
        <v>15871</v>
      </c>
      <c r="CZ14944" s="35">
        <v>4.1842384000000002E-4</v>
      </c>
    </row>
    <row r="14945" spans="103:104" x14ac:dyDescent="0.3">
      <c r="CY14945" s="34" t="s">
        <v>15872</v>
      </c>
      <c r="CZ14945" s="35">
        <v>2.6863359999999999E-4</v>
      </c>
    </row>
    <row r="14946" spans="103:104" x14ac:dyDescent="0.3">
      <c r="CY14946" s="34" t="s">
        <v>15873</v>
      </c>
      <c r="CZ14946" s="35">
        <v>5.5714679999999996E-4</v>
      </c>
    </row>
    <row r="14947" spans="103:104" x14ac:dyDescent="0.3">
      <c r="CY14947" s="34" t="s">
        <v>15874</v>
      </c>
      <c r="CZ14947" s="35">
        <v>1.4948271999999999E-3</v>
      </c>
    </row>
    <row r="14948" spans="103:104" x14ac:dyDescent="0.3">
      <c r="CY14948" s="34" t="s">
        <v>15875</v>
      </c>
      <c r="CZ14948" s="35">
        <v>1.2136928000000002E-3</v>
      </c>
    </row>
    <row r="14949" spans="103:104" x14ac:dyDescent="0.3">
      <c r="CY14949" s="34" t="s">
        <v>15876</v>
      </c>
      <c r="CZ14949" s="35">
        <v>4.820472666666667E-2</v>
      </c>
    </row>
    <row r="14950" spans="103:104" x14ac:dyDescent="0.3">
      <c r="CY14950" s="34" t="s">
        <v>15877</v>
      </c>
      <c r="CZ14950" s="35">
        <v>1.0691310000000001E-2</v>
      </c>
    </row>
    <row r="14951" spans="103:104" x14ac:dyDescent="0.3">
      <c r="CY14951" s="34" t="s">
        <v>15878</v>
      </c>
      <c r="CZ14951" s="35">
        <v>3.6721600000000002E-4</v>
      </c>
    </row>
    <row r="14952" spans="103:104" x14ac:dyDescent="0.3">
      <c r="CY14952" s="34" t="s">
        <v>15879</v>
      </c>
      <c r="CZ14952" s="35">
        <v>1.0266396000000002E-3</v>
      </c>
    </row>
    <row r="14953" spans="103:104" x14ac:dyDescent="0.3">
      <c r="CY14953" s="34" t="s">
        <v>15880</v>
      </c>
      <c r="CZ14953" s="35">
        <v>0.14209119999999997</v>
      </c>
    </row>
    <row r="14954" spans="103:104" x14ac:dyDescent="0.3">
      <c r="CY14954" s="34" t="s">
        <v>15881</v>
      </c>
      <c r="CZ14954" s="35">
        <v>9.8119088000000001E-4</v>
      </c>
    </row>
    <row r="14955" spans="103:104" x14ac:dyDescent="0.3">
      <c r="CY14955" s="34" t="s">
        <v>15882</v>
      </c>
      <c r="CZ14955" s="35">
        <v>3.0623999999999998E-3</v>
      </c>
    </row>
    <row r="14956" spans="103:104" x14ac:dyDescent="0.3">
      <c r="CY14956" s="34" t="s">
        <v>15883</v>
      </c>
      <c r="CZ14956" s="35">
        <v>6.0380796000000011E-3</v>
      </c>
    </row>
    <row r="14957" spans="103:104" x14ac:dyDescent="0.3">
      <c r="CY14957" s="34" t="s">
        <v>15884</v>
      </c>
      <c r="CZ14957" s="35">
        <v>4.4383600000000002E-4</v>
      </c>
    </row>
    <row r="14958" spans="103:104" x14ac:dyDescent="0.3">
      <c r="CY14958" s="34" t="s">
        <v>15885</v>
      </c>
      <c r="CZ14958" s="35">
        <v>3.8668605333333334E-3</v>
      </c>
    </row>
    <row r="14959" spans="103:104" x14ac:dyDescent="0.3">
      <c r="CY14959" s="34" t="s">
        <v>15886</v>
      </c>
      <c r="CZ14959" s="35">
        <v>2.4473412E-2</v>
      </c>
    </row>
    <row r="14960" spans="103:104" x14ac:dyDescent="0.3">
      <c r="CY14960" s="34" t="s">
        <v>15887</v>
      </c>
      <c r="CZ14960" s="35">
        <v>3.0661203999999997E-2</v>
      </c>
    </row>
    <row r="14961" spans="103:104" x14ac:dyDescent="0.3">
      <c r="CY14961" s="34" t="s">
        <v>15888</v>
      </c>
      <c r="CZ14961" s="35">
        <v>3.8940643999999996E-2</v>
      </c>
    </row>
    <row r="14962" spans="103:104" x14ac:dyDescent="0.3">
      <c r="CY14962" s="34" t="s">
        <v>15889</v>
      </c>
      <c r="CZ14962" s="35">
        <v>4.0274755999999995E-2</v>
      </c>
    </row>
    <row r="14963" spans="103:104" x14ac:dyDescent="0.3">
      <c r="CY14963" s="34" t="s">
        <v>15890</v>
      </c>
      <c r="CZ14963" s="35">
        <v>4.3252276000000006E-2</v>
      </c>
    </row>
    <row r="14964" spans="103:104" x14ac:dyDescent="0.3">
      <c r="CY14964" s="34" t="s">
        <v>15891</v>
      </c>
      <c r="CZ14964" s="35">
        <v>4.68253E-2</v>
      </c>
    </row>
    <row r="14965" spans="103:104" x14ac:dyDescent="0.3">
      <c r="CY14965" s="34" t="s">
        <v>15892</v>
      </c>
      <c r="CZ14965" s="35">
        <v>5.0908756000000006E-2</v>
      </c>
    </row>
    <row r="14966" spans="103:104" x14ac:dyDescent="0.3">
      <c r="CY14966" s="34" t="s">
        <v>15893</v>
      </c>
      <c r="CZ14966" s="35">
        <v>5.6405215999999994E-2</v>
      </c>
    </row>
    <row r="14967" spans="103:104" x14ac:dyDescent="0.3">
      <c r="CY14967" s="34" t="s">
        <v>15894</v>
      </c>
      <c r="CZ14967" s="35">
        <v>6.2970111999999995E-2</v>
      </c>
    </row>
    <row r="14968" spans="103:104" x14ac:dyDescent="0.3">
      <c r="CY14968" s="34" t="s">
        <v>15895</v>
      </c>
      <c r="CZ14968" s="35">
        <v>6.8842159999999999E-2</v>
      </c>
    </row>
    <row r="14969" spans="103:104" x14ac:dyDescent="0.3">
      <c r="CY14969" s="34" t="s">
        <v>15896</v>
      </c>
      <c r="CZ14969" s="35">
        <v>6.5191968000000003E-2</v>
      </c>
    </row>
    <row r="14970" spans="103:104" x14ac:dyDescent="0.3">
      <c r="CY14970" s="34" t="s">
        <v>15897</v>
      </c>
      <c r="CZ14970" s="35">
        <v>7.1540128000000008E-2</v>
      </c>
    </row>
    <row r="14971" spans="103:104" x14ac:dyDescent="0.3">
      <c r="CY14971" s="34" t="s">
        <v>15898</v>
      </c>
      <c r="CZ14971" s="35">
        <v>5.7574175999999998E-2</v>
      </c>
    </row>
    <row r="14972" spans="103:104" x14ac:dyDescent="0.3">
      <c r="CY14972" s="34" t="s">
        <v>15899</v>
      </c>
      <c r="CZ14972" s="35">
        <v>9.4267649407599984E-3</v>
      </c>
    </row>
    <row r="14973" spans="103:104" x14ac:dyDescent="0.3">
      <c r="CY14973" s="34" t="s">
        <v>15900</v>
      </c>
      <c r="CZ14973" s="35">
        <v>6.2659885714285704E-4</v>
      </c>
    </row>
    <row r="14974" spans="103:104" x14ac:dyDescent="0.3">
      <c r="CY14974" s="34" t="s">
        <v>15901</v>
      </c>
      <c r="CZ14974" s="35">
        <v>0.1849598925</v>
      </c>
    </row>
    <row r="14975" spans="103:104" x14ac:dyDescent="0.3">
      <c r="CY14975" s="34" t="s">
        <v>15902</v>
      </c>
      <c r="CZ14975" s="35">
        <v>0.11916629260000002</v>
      </c>
    </row>
    <row r="14976" spans="103:104" x14ac:dyDescent="0.3">
      <c r="CY14976" s="34" t="s">
        <v>15903</v>
      </c>
      <c r="CZ14976" s="35">
        <v>6.4999999999999997E-3</v>
      </c>
    </row>
    <row r="14977" spans="103:104" x14ac:dyDescent="0.3">
      <c r="CY14977" s="34" t="s">
        <v>15904</v>
      </c>
      <c r="CZ14977" s="35">
        <v>7.0191120000000001E-3</v>
      </c>
    </row>
    <row r="14978" spans="103:104" x14ac:dyDescent="0.3">
      <c r="CY14978" s="34" t="s">
        <v>15905</v>
      </c>
      <c r="CZ14978" s="35">
        <v>9.1909039999999997E-3</v>
      </c>
    </row>
    <row r="14979" spans="103:104" x14ac:dyDescent="0.3">
      <c r="CY14979" s="34" t="s">
        <v>15906</v>
      </c>
      <c r="CZ14979" s="35">
        <v>9.5179999999999987E-3</v>
      </c>
    </row>
    <row r="14980" spans="103:104" x14ac:dyDescent="0.3">
      <c r="CY14980" s="34" t="s">
        <v>15907</v>
      </c>
      <c r="CZ14980" s="35">
        <v>4.5954999999999996E-2</v>
      </c>
    </row>
    <row r="14981" spans="103:104" x14ac:dyDescent="0.3">
      <c r="CY14981" s="34" t="s">
        <v>15908</v>
      </c>
      <c r="CZ14981" s="35">
        <v>0</v>
      </c>
    </row>
    <row r="14982" spans="103:104" x14ac:dyDescent="0.3">
      <c r="CY14982" s="34" t="s">
        <v>15909</v>
      </c>
      <c r="CZ14982" s="35">
        <v>0</v>
      </c>
    </row>
    <row r="14983" spans="103:104" x14ac:dyDescent="0.3">
      <c r="CY14983" s="34" t="s">
        <v>15910</v>
      </c>
      <c r="CZ14983" s="35">
        <v>0</v>
      </c>
    </row>
    <row r="14984" spans="103:104" x14ac:dyDescent="0.3">
      <c r="CY14984" s="34" t="s">
        <v>15911</v>
      </c>
      <c r="CZ14984" s="35">
        <v>0.24913181500000003</v>
      </c>
    </row>
    <row r="14985" spans="103:104" x14ac:dyDescent="0.3">
      <c r="CY14985" s="34" t="s">
        <v>15912</v>
      </c>
      <c r="CZ14985" s="35">
        <v>0.37554575999999995</v>
      </c>
    </row>
    <row r="14986" spans="103:104" x14ac:dyDescent="0.3">
      <c r="CY14986" s="34" t="s">
        <v>15913</v>
      </c>
      <c r="CZ14986" s="35">
        <v>0</v>
      </c>
    </row>
    <row r="14987" spans="103:104" x14ac:dyDescent="0.3">
      <c r="CY14987" s="34" t="s">
        <v>15914</v>
      </c>
      <c r="CZ14987" s="35">
        <v>0</v>
      </c>
    </row>
    <row r="14988" spans="103:104" x14ac:dyDescent="0.3">
      <c r="CY14988" s="34" t="s">
        <v>15915</v>
      </c>
      <c r="CZ14988" s="35">
        <v>0</v>
      </c>
    </row>
    <row r="14989" spans="103:104" x14ac:dyDescent="0.3">
      <c r="CY14989" s="34" t="s">
        <v>15916</v>
      </c>
      <c r="CZ14989" s="35">
        <v>6.6049999999999998E-2</v>
      </c>
    </row>
    <row r="14990" spans="103:104" x14ac:dyDescent="0.3">
      <c r="CY14990" s="34" t="s">
        <v>15917</v>
      </c>
      <c r="CZ14990" s="35">
        <v>0</v>
      </c>
    </row>
    <row r="14991" spans="103:104" x14ac:dyDescent="0.3">
      <c r="CY14991" s="34" t="s">
        <v>15918</v>
      </c>
      <c r="CZ14991" s="35">
        <v>0</v>
      </c>
    </row>
    <row r="14992" spans="103:104" x14ac:dyDescent="0.3">
      <c r="CY14992" s="34" t="s">
        <v>15919</v>
      </c>
      <c r="CZ14992" s="35">
        <v>2.4324639999999998E-2</v>
      </c>
    </row>
    <row r="14993" spans="103:104" x14ac:dyDescent="0.3">
      <c r="CY14993" s="34" t="s">
        <v>15920</v>
      </c>
      <c r="CZ14993" s="35">
        <v>2.4324639999999998E-2</v>
      </c>
    </row>
    <row r="14994" spans="103:104" x14ac:dyDescent="0.3">
      <c r="CY14994" s="34" t="s">
        <v>15921</v>
      </c>
      <c r="CZ14994" s="35">
        <v>3.7554000000000004E-2</v>
      </c>
    </row>
    <row r="14995" spans="103:104" x14ac:dyDescent="0.3">
      <c r="CY14995" s="34" t="s">
        <v>15922</v>
      </c>
      <c r="CZ14995" s="35">
        <v>4.1864999999999999E-2</v>
      </c>
    </row>
    <row r="14996" spans="103:104" x14ac:dyDescent="0.3">
      <c r="CY14996" s="34" t="s">
        <v>15923</v>
      </c>
      <c r="CZ14996" s="35">
        <v>0</v>
      </c>
    </row>
    <row r="14997" spans="103:104" x14ac:dyDescent="0.3">
      <c r="CY14997" s="34" t="s">
        <v>15924</v>
      </c>
      <c r="CZ14997" s="35">
        <v>0</v>
      </c>
    </row>
    <row r="14998" spans="103:104" x14ac:dyDescent="0.3">
      <c r="CY14998" s="34" t="s">
        <v>15925</v>
      </c>
      <c r="CZ14998" s="35">
        <v>0</v>
      </c>
    </row>
    <row r="14999" spans="103:104" x14ac:dyDescent="0.3">
      <c r="CY14999" s="34" t="s">
        <v>15926</v>
      </c>
      <c r="CZ14999" s="35">
        <v>8.4376E-3</v>
      </c>
    </row>
    <row r="15000" spans="103:104" x14ac:dyDescent="0.3">
      <c r="CY15000" s="34" t="s">
        <v>15927</v>
      </c>
      <c r="CZ15000" s="35">
        <v>2.7453999999999998E-3</v>
      </c>
    </row>
    <row r="15001" spans="103:104" x14ac:dyDescent="0.3">
      <c r="CY15001" s="34" t="s">
        <v>15928</v>
      </c>
      <c r="CZ15001" s="35">
        <v>2.002933325E-2</v>
      </c>
    </row>
    <row r="15002" spans="103:104" x14ac:dyDescent="0.3">
      <c r="CY15002" s="34" t="s">
        <v>15929</v>
      </c>
      <c r="CZ15002" s="35">
        <v>0</v>
      </c>
    </row>
    <row r="15003" spans="103:104" x14ac:dyDescent="0.3">
      <c r="CY15003" s="34" t="s">
        <v>15930</v>
      </c>
      <c r="CZ15003" s="35">
        <v>0</v>
      </c>
    </row>
    <row r="15004" spans="103:104" x14ac:dyDescent="0.3">
      <c r="CY15004" s="34" t="s">
        <v>15931</v>
      </c>
      <c r="CZ15004" s="35">
        <v>0</v>
      </c>
    </row>
    <row r="15005" spans="103:104" x14ac:dyDescent="0.3">
      <c r="CY15005" s="34" t="s">
        <v>15932</v>
      </c>
      <c r="CZ15005" s="35">
        <v>0</v>
      </c>
    </row>
    <row r="15006" spans="103:104" x14ac:dyDescent="0.3">
      <c r="CY15006" s="34" t="s">
        <v>15933</v>
      </c>
      <c r="CZ15006" s="35">
        <v>0</v>
      </c>
    </row>
    <row r="15007" spans="103:104" x14ac:dyDescent="0.3">
      <c r="CY15007" s="34" t="s">
        <v>15934</v>
      </c>
      <c r="CZ15007" s="35">
        <v>0.27085432000000004</v>
      </c>
    </row>
    <row r="15008" spans="103:104" x14ac:dyDescent="0.3">
      <c r="CY15008" s="34" t="s">
        <v>15935</v>
      </c>
      <c r="CZ15008" s="35">
        <v>0.49340919999999999</v>
      </c>
    </row>
    <row r="15009" spans="103:104" x14ac:dyDescent="0.3">
      <c r="CY15009" s="34" t="s">
        <v>15936</v>
      </c>
      <c r="CZ15009" s="35">
        <v>0.66385304999999994</v>
      </c>
    </row>
    <row r="15010" spans="103:104" x14ac:dyDescent="0.3">
      <c r="CY15010" s="34" t="s">
        <v>15937</v>
      </c>
      <c r="CZ15010" s="35">
        <v>2.7724682680000001E-2</v>
      </c>
    </row>
    <row r="15011" spans="103:104" x14ac:dyDescent="0.3">
      <c r="CY15011" s="34" t="s">
        <v>15938</v>
      </c>
      <c r="CZ15011" s="35">
        <v>3.5824792000000001E-2</v>
      </c>
    </row>
    <row r="15012" spans="103:104" x14ac:dyDescent="0.3">
      <c r="CY15012" s="34" t="s">
        <v>15939</v>
      </c>
      <c r="CZ15012" s="35">
        <v>6.1663200000000003E-3</v>
      </c>
    </row>
    <row r="15013" spans="103:104" x14ac:dyDescent="0.3">
      <c r="CY15013" s="34" t="s">
        <v>15940</v>
      </c>
      <c r="CZ15013" s="35">
        <v>1.5047233600000003E-2</v>
      </c>
    </row>
    <row r="15014" spans="103:104" x14ac:dyDescent="0.3">
      <c r="CY15014" s="34" t="s">
        <v>15941</v>
      </c>
      <c r="CZ15014" s="35">
        <v>1.6432261818181818E-3</v>
      </c>
    </row>
    <row r="15015" spans="103:104" x14ac:dyDescent="0.3">
      <c r="CY15015" s="34" t="s">
        <v>15942</v>
      </c>
      <c r="CZ15015" s="35">
        <v>0.27127599999999996</v>
      </c>
    </row>
    <row r="15016" spans="103:104" x14ac:dyDescent="0.3">
      <c r="CY15016" s="34" t="s">
        <v>15943</v>
      </c>
      <c r="CZ15016" s="35">
        <v>3.3107253333333336E-2</v>
      </c>
    </row>
    <row r="15017" spans="103:104" x14ac:dyDescent="0.3">
      <c r="CY15017" s="34" t="s">
        <v>15944</v>
      </c>
      <c r="CZ15017" s="35">
        <v>7.2663093333333317E-2</v>
      </c>
    </row>
    <row r="15018" spans="103:104" x14ac:dyDescent="0.3">
      <c r="CY15018" s="34" t="s">
        <v>15945</v>
      </c>
      <c r="CZ15018" s="35">
        <v>7.2663093333333331E-2</v>
      </c>
    </row>
    <row r="15019" spans="103:104" x14ac:dyDescent="0.3">
      <c r="CY15019" s="34" t="s">
        <v>15946</v>
      </c>
      <c r="CZ15019" s="35">
        <v>2.2100079999999998E-2</v>
      </c>
    </row>
    <row r="15020" spans="103:104" x14ac:dyDescent="0.3">
      <c r="CY15020" s="34" t="s">
        <v>15947</v>
      </c>
      <c r="CZ15020" s="35">
        <v>3.442931789473685E-3</v>
      </c>
    </row>
    <row r="15021" spans="103:104" x14ac:dyDescent="0.3">
      <c r="CY15021" s="34" t="s">
        <v>15948</v>
      </c>
      <c r="CZ15021" s="35">
        <v>6.5095839999999988E-2</v>
      </c>
    </row>
    <row r="15022" spans="103:104" x14ac:dyDescent="0.3">
      <c r="CY15022" s="34" t="s">
        <v>15949</v>
      </c>
      <c r="CZ15022" s="35">
        <v>5.7261228571428568E-2</v>
      </c>
    </row>
    <row r="15023" spans="103:104" x14ac:dyDescent="0.3">
      <c r="CY15023" s="34" t="s">
        <v>15950</v>
      </c>
      <c r="CZ15023" s="35">
        <v>3.5059585142857147E-2</v>
      </c>
    </row>
    <row r="15024" spans="103:104" x14ac:dyDescent="0.3">
      <c r="CY15024" s="34" t="s">
        <v>15951</v>
      </c>
      <c r="CZ15024" s="35">
        <v>6.4227240000000003E-3</v>
      </c>
    </row>
    <row r="15025" spans="103:104" x14ac:dyDescent="0.3">
      <c r="CY15025" s="34" t="s">
        <v>15952</v>
      </c>
      <c r="CZ15025" s="35">
        <v>1.7792998399999999E-2</v>
      </c>
    </row>
    <row r="15026" spans="103:104" x14ac:dyDescent="0.3">
      <c r="CY15026" s="34" t="s">
        <v>15953</v>
      </c>
      <c r="CZ15026" s="35">
        <v>6.6933999999999995E-3</v>
      </c>
    </row>
    <row r="15027" spans="103:104" x14ac:dyDescent="0.3">
      <c r="CY15027" s="34" t="s">
        <v>15954</v>
      </c>
      <c r="CZ15027" s="35">
        <v>1.8789331999999999E-2</v>
      </c>
    </row>
    <row r="15028" spans="103:104" x14ac:dyDescent="0.3">
      <c r="CY15028" s="34" t="s">
        <v>15955</v>
      </c>
      <c r="CZ15028" s="35">
        <v>1.943042E-2</v>
      </c>
    </row>
    <row r="15029" spans="103:104" x14ac:dyDescent="0.3">
      <c r="CY15029" s="34" t="s">
        <v>15956</v>
      </c>
      <c r="CZ15029" s="35">
        <v>5.526992666153846E-2</v>
      </c>
    </row>
    <row r="15030" spans="103:104" x14ac:dyDescent="0.3">
      <c r="CY15030" s="34" t="s">
        <v>15957</v>
      </c>
      <c r="CZ15030" s="35">
        <v>6.0648266666666669E-3</v>
      </c>
    </row>
    <row r="15031" spans="103:104" x14ac:dyDescent="0.3">
      <c r="CY15031" s="34" t="s">
        <v>15958</v>
      </c>
      <c r="CZ15031" s="35">
        <v>3.8884799999999997E-3</v>
      </c>
    </row>
    <row r="15032" spans="103:104" x14ac:dyDescent="0.3">
      <c r="CY15032" s="34" t="s">
        <v>15959</v>
      </c>
      <c r="CZ15032" s="35">
        <v>3.3612668000000002E-3</v>
      </c>
    </row>
    <row r="15033" spans="103:104" x14ac:dyDescent="0.3">
      <c r="CY15033" s="34" t="s">
        <v>15960</v>
      </c>
      <c r="CZ15033" s="35">
        <v>1.7335552E-3</v>
      </c>
    </row>
    <row r="15034" spans="103:104" x14ac:dyDescent="0.3">
      <c r="CY15034" s="34" t="s">
        <v>15961</v>
      </c>
      <c r="CZ15034" s="35">
        <v>4.2126939999999995E-3</v>
      </c>
    </row>
    <row r="15035" spans="103:104" x14ac:dyDescent="0.3">
      <c r="CY15035" s="34" t="s">
        <v>15962</v>
      </c>
      <c r="CZ15035" s="35">
        <v>2.2569664000000001E-3</v>
      </c>
    </row>
    <row r="15036" spans="103:104" x14ac:dyDescent="0.3">
      <c r="CY15036" s="34" t="s">
        <v>15963</v>
      </c>
      <c r="CZ15036" s="35">
        <v>4.1322500000000005E-3</v>
      </c>
    </row>
    <row r="15037" spans="103:104" x14ac:dyDescent="0.3">
      <c r="CY15037" s="34" t="s">
        <v>15964</v>
      </c>
      <c r="CZ15037" s="35">
        <v>5.4436152000000002E-4</v>
      </c>
    </row>
    <row r="15038" spans="103:104" x14ac:dyDescent="0.3">
      <c r="CY15038" s="34" t="s">
        <v>15965</v>
      </c>
      <c r="CZ15038" s="35">
        <v>4.010726E-3</v>
      </c>
    </row>
    <row r="15039" spans="103:104" x14ac:dyDescent="0.3">
      <c r="CY15039" s="34" t="s">
        <v>15966</v>
      </c>
      <c r="CZ15039" s="35">
        <v>6.5029360000000002E-4</v>
      </c>
    </row>
    <row r="15040" spans="103:104" x14ac:dyDescent="0.3">
      <c r="CY15040" s="34" t="s">
        <v>15967</v>
      </c>
      <c r="CZ15040" s="35">
        <v>5.6247088000000002E-3</v>
      </c>
    </row>
    <row r="15041" spans="103:104" x14ac:dyDescent="0.3">
      <c r="CY15041" s="34" t="s">
        <v>15968</v>
      </c>
      <c r="CZ15041" s="35">
        <v>5.9111247999999996E-3</v>
      </c>
    </row>
    <row r="15042" spans="103:104" x14ac:dyDescent="0.3">
      <c r="CY15042" s="34" t="s">
        <v>15969</v>
      </c>
      <c r="CZ15042" s="35">
        <v>5.6247088000000002E-3</v>
      </c>
    </row>
    <row r="15043" spans="103:104" x14ac:dyDescent="0.3">
      <c r="CY15043" s="34" t="s">
        <v>15970</v>
      </c>
      <c r="CZ15043" s="35">
        <v>5.9111247999999996E-3</v>
      </c>
    </row>
    <row r="15044" spans="103:104" x14ac:dyDescent="0.3">
      <c r="CY15044" s="34" t="s">
        <v>15971</v>
      </c>
      <c r="CZ15044" s="35">
        <v>1.7502136E-4</v>
      </c>
    </row>
    <row r="15045" spans="103:104" x14ac:dyDescent="0.3">
      <c r="CY15045" s="34" t="s">
        <v>15972</v>
      </c>
      <c r="CZ15045" s="35">
        <v>2.7284099999999997E-3</v>
      </c>
    </row>
    <row r="15046" spans="103:104" x14ac:dyDescent="0.3">
      <c r="CY15046" s="34" t="s">
        <v>15973</v>
      </c>
      <c r="CZ15046" s="35">
        <v>1.3531356803699999E-2</v>
      </c>
    </row>
    <row r="15047" spans="103:104" x14ac:dyDescent="0.3">
      <c r="CY15047" s="34" t="s">
        <v>15974</v>
      </c>
      <c r="CZ15047" s="35">
        <v>1.9316723555555556E-3</v>
      </c>
    </row>
    <row r="15048" spans="103:104" x14ac:dyDescent="0.3">
      <c r="CY15048" s="34" t="s">
        <v>15975</v>
      </c>
      <c r="CZ15048" s="35">
        <v>3.1336208000000003E-4</v>
      </c>
    </row>
    <row r="15049" spans="103:104" x14ac:dyDescent="0.3">
      <c r="CY15049" s="34" t="s">
        <v>15976</v>
      </c>
      <c r="CZ15049" s="35">
        <v>3.1813083199999999E-3</v>
      </c>
    </row>
    <row r="15050" spans="103:104" x14ac:dyDescent="0.3">
      <c r="CY15050" s="34" t="s">
        <v>15977</v>
      </c>
      <c r="CZ15050" s="35">
        <v>1.8543232219999997E-2</v>
      </c>
    </row>
    <row r="15051" spans="103:104" x14ac:dyDescent="0.3">
      <c r="CY15051" s="34" t="s">
        <v>15978</v>
      </c>
      <c r="CZ15051" s="35">
        <v>1.3484303999999998E-3</v>
      </c>
    </row>
    <row r="15052" spans="103:104" x14ac:dyDescent="0.3">
      <c r="CY15052" s="34" t="s">
        <v>15979</v>
      </c>
      <c r="CZ15052" s="35">
        <v>5.6359999999999995E-3</v>
      </c>
    </row>
    <row r="15053" spans="103:104" x14ac:dyDescent="0.3">
      <c r="CY15053" s="34" t="s">
        <v>15980</v>
      </c>
      <c r="CZ15053" s="35">
        <v>7.5197600000000003E-2</v>
      </c>
    </row>
    <row r="15054" spans="103:104" x14ac:dyDescent="0.3">
      <c r="CY15054" s="34" t="s">
        <v>15981</v>
      </c>
      <c r="CZ15054" s="35">
        <v>1.7507384000000001E-2</v>
      </c>
    </row>
    <row r="15055" spans="103:104" x14ac:dyDescent="0.3">
      <c r="CY15055" s="34" t="s">
        <v>15982</v>
      </c>
      <c r="CZ15055" s="35">
        <v>9.090666679999998E-3</v>
      </c>
    </row>
    <row r="15056" spans="103:104" x14ac:dyDescent="0.3">
      <c r="CY15056" s="34" t="s">
        <v>15983</v>
      </c>
      <c r="CZ15056" s="35">
        <v>9.0906666666666653E-3</v>
      </c>
    </row>
    <row r="15057" spans="103:104" x14ac:dyDescent="0.3">
      <c r="CY15057" s="34" t="s">
        <v>15984</v>
      </c>
      <c r="CZ15057" s="35">
        <v>1.0936927999999999E-2</v>
      </c>
    </row>
    <row r="15058" spans="103:104" x14ac:dyDescent="0.3">
      <c r="CY15058" s="34" t="s">
        <v>15985</v>
      </c>
      <c r="CZ15058" s="35">
        <v>5.0489368E-2</v>
      </c>
    </row>
    <row r="15059" spans="103:104" x14ac:dyDescent="0.3">
      <c r="CY15059" s="34" t="s">
        <v>15986</v>
      </c>
      <c r="CZ15059" s="35">
        <v>5.7557892499999992E-2</v>
      </c>
    </row>
    <row r="15060" spans="103:104" x14ac:dyDescent="0.3">
      <c r="CY15060" s="34" t="s">
        <v>15987</v>
      </c>
      <c r="CZ15060" s="35">
        <v>3.2910200000000008E-2</v>
      </c>
    </row>
    <row r="15061" spans="103:104" x14ac:dyDescent="0.3">
      <c r="CY15061" s="34" t="s">
        <v>15988</v>
      </c>
      <c r="CZ15061" s="35">
        <v>2.1092496250000002E-2</v>
      </c>
    </row>
    <row r="15062" spans="103:104" x14ac:dyDescent="0.3">
      <c r="CY15062" s="34" t="s">
        <v>15989</v>
      </c>
      <c r="CZ15062" s="35">
        <v>3.0194400003330003E-2</v>
      </c>
    </row>
    <row r="15063" spans="103:104" x14ac:dyDescent="0.3">
      <c r="CY15063" s="34" t="s">
        <v>15990</v>
      </c>
      <c r="CZ15063" s="35">
        <v>1.7558919999999999E-2</v>
      </c>
    </row>
    <row r="15064" spans="103:104" x14ac:dyDescent="0.3">
      <c r="CY15064" s="34" t="s">
        <v>15991</v>
      </c>
      <c r="CZ15064" s="35">
        <v>2.9917219999999998E-2</v>
      </c>
    </row>
    <row r="15065" spans="103:104" x14ac:dyDescent="0.3">
      <c r="CY15065" s="34" t="s">
        <v>15992</v>
      </c>
      <c r="CZ15065" s="35">
        <v>7.4102799999999991E-4</v>
      </c>
    </row>
    <row r="15066" spans="103:104" x14ac:dyDescent="0.3">
      <c r="CY15066" s="34" t="s">
        <v>15993</v>
      </c>
      <c r="CZ15066" s="35">
        <v>9.8204799999999991E-4</v>
      </c>
    </row>
    <row r="15067" spans="103:104" x14ac:dyDescent="0.3">
      <c r="CY15067" s="34" t="s">
        <v>15994</v>
      </c>
      <c r="CZ15067" s="35">
        <v>7.0328639999999993E-4</v>
      </c>
    </row>
    <row r="15068" spans="103:104" x14ac:dyDescent="0.3">
      <c r="CY15068" s="34" t="s">
        <v>15995</v>
      </c>
      <c r="CZ15068" s="35">
        <v>8.0014159999999997E-4</v>
      </c>
    </row>
    <row r="15069" spans="103:104" x14ac:dyDescent="0.3">
      <c r="CY15069" s="34" t="s">
        <v>15996</v>
      </c>
      <c r="CZ15069" s="35">
        <v>3.8014800000000001E-2</v>
      </c>
    </row>
    <row r="15070" spans="103:104" x14ac:dyDescent="0.3">
      <c r="CY15070" s="34" t="s">
        <v>15997</v>
      </c>
      <c r="CZ15070" s="35">
        <v>3.9841039999999994E-2</v>
      </c>
    </row>
    <row r="15071" spans="103:104" x14ac:dyDescent="0.3">
      <c r="CY15071" s="34" t="s">
        <v>15998</v>
      </c>
      <c r="CZ15071" s="35">
        <v>3.795304E-2</v>
      </c>
    </row>
    <row r="15072" spans="103:104" x14ac:dyDescent="0.3">
      <c r="CY15072" s="34" t="s">
        <v>15999</v>
      </c>
      <c r="CZ15072" s="35">
        <v>5.4468198400000006E-4</v>
      </c>
    </row>
    <row r="15073" spans="103:104" x14ac:dyDescent="0.3">
      <c r="CY15073" s="34" t="s">
        <v>16000</v>
      </c>
      <c r="CZ15073" s="35">
        <v>2.837844E-3</v>
      </c>
    </row>
    <row r="15074" spans="103:104" x14ac:dyDescent="0.3">
      <c r="CY15074" s="34" t="s">
        <v>16001</v>
      </c>
      <c r="CZ15074" s="35">
        <v>4.7594840000000005E-4</v>
      </c>
    </row>
    <row r="15075" spans="103:104" x14ac:dyDescent="0.3">
      <c r="CY15075" s="34" t="s">
        <v>16002</v>
      </c>
      <c r="CZ15075" s="35">
        <v>1.9428283328000002E-3</v>
      </c>
    </row>
    <row r="15076" spans="103:104" x14ac:dyDescent="0.3">
      <c r="CY15076" s="34" t="s">
        <v>16003</v>
      </c>
      <c r="CZ15076" s="35">
        <v>2.6907684000000002E-3</v>
      </c>
    </row>
    <row r="15077" spans="103:104" x14ac:dyDescent="0.3">
      <c r="CY15077" s="34" t="s">
        <v>16004</v>
      </c>
      <c r="CZ15077" s="35">
        <v>1.1935124E-3</v>
      </c>
    </row>
    <row r="15078" spans="103:104" x14ac:dyDescent="0.3">
      <c r="CY15078" s="34" t="s">
        <v>16005</v>
      </c>
      <c r="CZ15078" s="35">
        <v>6.8749528000000006E-4</v>
      </c>
    </row>
    <row r="15079" spans="103:104" x14ac:dyDescent="0.3">
      <c r="CY15079" s="34" t="s">
        <v>16006</v>
      </c>
      <c r="CZ15079" s="35">
        <v>6.0528120000000001E-4</v>
      </c>
    </row>
    <row r="15080" spans="103:104" x14ac:dyDescent="0.3">
      <c r="CY15080" s="34" t="s">
        <v>16007</v>
      </c>
      <c r="CZ15080" s="35">
        <v>1.1303099200000001E-3</v>
      </c>
    </row>
    <row r="15081" spans="103:104" x14ac:dyDescent="0.3">
      <c r="CY15081" s="34" t="s">
        <v>16008</v>
      </c>
      <c r="CZ15081" s="35">
        <v>4.2934012000000006E-3</v>
      </c>
    </row>
    <row r="15082" spans="103:104" x14ac:dyDescent="0.3">
      <c r="CY15082" s="34" t="s">
        <v>16009</v>
      </c>
      <c r="CZ15082" s="35">
        <v>7.2239590399999999E-4</v>
      </c>
    </row>
    <row r="15083" spans="103:104" x14ac:dyDescent="0.3">
      <c r="CY15083" s="34" t="s">
        <v>16010</v>
      </c>
      <c r="CZ15083" s="35">
        <v>2.8165573333333336E-4</v>
      </c>
    </row>
    <row r="15084" spans="103:104" x14ac:dyDescent="0.3">
      <c r="CY15084" s="34" t="s">
        <v>16011</v>
      </c>
      <c r="CZ15084" s="35">
        <v>4.0349439999999998E-4</v>
      </c>
    </row>
    <row r="15085" spans="103:104" x14ac:dyDescent="0.3">
      <c r="CY15085" s="34" t="s">
        <v>16012</v>
      </c>
      <c r="CZ15085" s="35">
        <v>4.8610799999999996E-4</v>
      </c>
    </row>
    <row r="15086" spans="103:104" x14ac:dyDescent="0.3">
      <c r="CY15086" s="34" t="s">
        <v>16013</v>
      </c>
      <c r="CZ15086" s="35">
        <v>6.1428000000000003E-4</v>
      </c>
    </row>
    <row r="15087" spans="103:104" x14ac:dyDescent="0.3">
      <c r="CY15087" s="34" t="s">
        <v>16014</v>
      </c>
      <c r="CZ15087" s="35">
        <v>8.380544E-4</v>
      </c>
    </row>
    <row r="15088" spans="103:104" x14ac:dyDescent="0.3">
      <c r="CY15088" s="34" t="s">
        <v>16015</v>
      </c>
      <c r="CZ15088" s="35">
        <v>3.7043366666666671E-3</v>
      </c>
    </row>
    <row r="15089" spans="103:104" x14ac:dyDescent="0.3">
      <c r="CY15089" s="34" t="s">
        <v>16016</v>
      </c>
      <c r="CZ15089" s="35">
        <v>1.1996309333333333E-3</v>
      </c>
    </row>
    <row r="15090" spans="103:104" x14ac:dyDescent="0.3">
      <c r="CY15090" s="34" t="s">
        <v>16017</v>
      </c>
      <c r="CZ15090" s="35">
        <v>2.1785447999999995E-3</v>
      </c>
    </row>
    <row r="15091" spans="103:104" x14ac:dyDescent="0.3">
      <c r="CY15091" s="34" t="s">
        <v>16018</v>
      </c>
      <c r="CZ15091" s="35">
        <v>3.3468735999999999E-4</v>
      </c>
    </row>
    <row r="15092" spans="103:104" x14ac:dyDescent="0.3">
      <c r="CY15092" s="34" t="s">
        <v>16019</v>
      </c>
      <c r="CZ15092" s="35">
        <v>3.3468735999999999E-4</v>
      </c>
    </row>
    <row r="15093" spans="103:104" x14ac:dyDescent="0.3">
      <c r="CY15093" s="34" t="s">
        <v>16020</v>
      </c>
      <c r="CZ15093" s="35">
        <v>6.1333120000000012E-4</v>
      </c>
    </row>
    <row r="15094" spans="103:104" x14ac:dyDescent="0.3">
      <c r="CY15094" s="34" t="s">
        <v>16021</v>
      </c>
      <c r="CZ15094" s="35">
        <v>2.4119908E-3</v>
      </c>
    </row>
    <row r="15095" spans="103:104" x14ac:dyDescent="0.3">
      <c r="CY15095" s="34" t="s">
        <v>16022</v>
      </c>
      <c r="CZ15095" s="35">
        <v>7.0604399999999996E-4</v>
      </c>
    </row>
    <row r="15096" spans="103:104" x14ac:dyDescent="0.3">
      <c r="CY15096" s="34" t="s">
        <v>16023</v>
      </c>
      <c r="CZ15096" s="35">
        <v>8.5101394266666659E-4</v>
      </c>
    </row>
    <row r="15097" spans="103:104" x14ac:dyDescent="0.3">
      <c r="CY15097" s="34" t="s">
        <v>16024</v>
      </c>
      <c r="CZ15097" s="35">
        <v>2.2404167999999999E-4</v>
      </c>
    </row>
    <row r="15098" spans="103:104" x14ac:dyDescent="0.3">
      <c r="CY15098" s="34" t="s">
        <v>16025</v>
      </c>
      <c r="CZ15098" s="35">
        <v>8.1694560000000001E-4</v>
      </c>
    </row>
    <row r="15099" spans="103:104" x14ac:dyDescent="0.3">
      <c r="CY15099" s="34" t="s">
        <v>16026</v>
      </c>
      <c r="CZ15099" s="35">
        <v>3.1668384000000001E-4</v>
      </c>
    </row>
    <row r="15100" spans="103:104" x14ac:dyDescent="0.3">
      <c r="CY15100" s="34" t="s">
        <v>16027</v>
      </c>
      <c r="CZ15100" s="35">
        <v>5.1411666666666654E-4</v>
      </c>
    </row>
    <row r="15101" spans="103:104" x14ac:dyDescent="0.3">
      <c r="CY15101" s="34" t="s">
        <v>16028</v>
      </c>
      <c r="CZ15101" s="35">
        <v>8.0990947692307692E-4</v>
      </c>
    </row>
    <row r="15102" spans="103:104" x14ac:dyDescent="0.3">
      <c r="CY15102" s="34" t="s">
        <v>16029</v>
      </c>
      <c r="CZ15102" s="35">
        <v>1.3915305333333336E-3</v>
      </c>
    </row>
    <row r="15103" spans="103:104" x14ac:dyDescent="0.3">
      <c r="CY15103" s="34" t="s">
        <v>16030</v>
      </c>
      <c r="CZ15103" s="35">
        <v>7.8063999999999998E-4</v>
      </c>
    </row>
    <row r="15104" spans="103:104" x14ac:dyDescent="0.3">
      <c r="CY15104" s="34" t="s">
        <v>16031</v>
      </c>
      <c r="CZ15104" s="35">
        <v>7.8723600000000008E-4</v>
      </c>
    </row>
    <row r="15105" spans="103:104" x14ac:dyDescent="0.3">
      <c r="CY15105" s="34" t="s">
        <v>16032</v>
      </c>
      <c r="CZ15105" s="35">
        <v>1.3836000000000002E-3</v>
      </c>
    </row>
    <row r="15106" spans="103:104" x14ac:dyDescent="0.3">
      <c r="CY15106" s="34" t="s">
        <v>16033</v>
      </c>
      <c r="CZ15106" s="35">
        <v>7.8583950769230777E-4</v>
      </c>
    </row>
    <row r="15107" spans="103:104" x14ac:dyDescent="0.3">
      <c r="CY15107" s="34" t="s">
        <v>16034</v>
      </c>
      <c r="CZ15107" s="35">
        <v>0.60767674300000007</v>
      </c>
    </row>
    <row r="15108" spans="103:104" x14ac:dyDescent="0.3">
      <c r="CY15108" s="34" t="s">
        <v>16035</v>
      </c>
      <c r="CZ15108" s="35">
        <v>2.5196019999999997E-3</v>
      </c>
    </row>
    <row r="15109" spans="103:104" x14ac:dyDescent="0.3">
      <c r="CY15109" s="34" t="s">
        <v>16036</v>
      </c>
      <c r="CZ15109" s="35">
        <v>2.1382783333333336E-2</v>
      </c>
    </row>
    <row r="15110" spans="103:104" x14ac:dyDescent="0.3">
      <c r="CY15110" s="34" t="s">
        <v>16037</v>
      </c>
      <c r="CZ15110" s="35">
        <v>3.0107199995242858E-2</v>
      </c>
    </row>
    <row r="15111" spans="103:104" x14ac:dyDescent="0.3">
      <c r="CY15111" s="34" t="s">
        <v>16038</v>
      </c>
      <c r="CZ15111" s="35">
        <v>3.4816319999999998E-2</v>
      </c>
    </row>
    <row r="15112" spans="103:104" x14ac:dyDescent="0.3">
      <c r="CY15112" s="34" t="s">
        <v>16039</v>
      </c>
      <c r="CZ15112" s="35">
        <v>4.5696400000000005E-2</v>
      </c>
    </row>
    <row r="15113" spans="103:104" x14ac:dyDescent="0.3">
      <c r="CY15113" s="34" t="s">
        <v>16040</v>
      </c>
      <c r="CZ15113" s="35">
        <v>8.7870400000000001E-2</v>
      </c>
    </row>
    <row r="15114" spans="103:104" x14ac:dyDescent="0.3">
      <c r="CY15114" s="34" t="s">
        <v>16041</v>
      </c>
      <c r="CZ15114" s="35">
        <v>5.1755959999999997E-2</v>
      </c>
    </row>
    <row r="15115" spans="103:104" x14ac:dyDescent="0.3">
      <c r="CY15115" s="34" t="s">
        <v>16042</v>
      </c>
      <c r="CZ15115" s="35">
        <v>0.30148240000000004</v>
      </c>
    </row>
    <row r="15116" spans="103:104" x14ac:dyDescent="0.3">
      <c r="CY15116" s="34" t="s">
        <v>16043</v>
      </c>
      <c r="CZ15116" s="35">
        <v>0.42727852999999999</v>
      </c>
    </row>
    <row r="15117" spans="103:104" x14ac:dyDescent="0.3">
      <c r="CY15117" s="34" t="s">
        <v>16044</v>
      </c>
      <c r="CZ15117" s="35">
        <v>0.16271560000000002</v>
      </c>
    </row>
    <row r="15118" spans="103:104" x14ac:dyDescent="0.3">
      <c r="CY15118" s="34" t="s">
        <v>16045</v>
      </c>
      <c r="CZ15118" s="35">
        <v>3.7272206670000002E-2</v>
      </c>
    </row>
    <row r="15119" spans="103:104" x14ac:dyDescent="0.3">
      <c r="CY15119" s="34" t="s">
        <v>16046</v>
      </c>
      <c r="CZ15119" s="35">
        <v>1.6222340500000001E-2</v>
      </c>
    </row>
    <row r="15120" spans="103:104" x14ac:dyDescent="0.3">
      <c r="CY15120" s="34" t="s">
        <v>16047</v>
      </c>
      <c r="CZ15120" s="35">
        <v>1.6222340499999998E-2</v>
      </c>
    </row>
    <row r="15121" spans="103:104" x14ac:dyDescent="0.3">
      <c r="CY15121" s="34" t="s">
        <v>16048</v>
      </c>
      <c r="CZ15121" s="35">
        <v>8.383126900000001E-3</v>
      </c>
    </row>
    <row r="15122" spans="103:104" x14ac:dyDescent="0.3">
      <c r="CY15122" s="34" t="s">
        <v>16049</v>
      </c>
      <c r="CZ15122" s="35">
        <v>1.9800500000000002E-2</v>
      </c>
    </row>
    <row r="15123" spans="103:104" x14ac:dyDescent="0.3">
      <c r="CY15123" s="34" t="s">
        <v>16050</v>
      </c>
      <c r="CZ15123" s="35">
        <v>1.0459876E-2</v>
      </c>
    </row>
    <row r="15124" spans="103:104" x14ac:dyDescent="0.3">
      <c r="CY15124" s="34" t="s">
        <v>16051</v>
      </c>
      <c r="CZ15124" s="35">
        <v>2.5948768000000001E-2</v>
      </c>
    </row>
    <row r="15125" spans="103:104" x14ac:dyDescent="0.3">
      <c r="CY15125" s="34" t="s">
        <v>16052</v>
      </c>
      <c r="CZ15125" s="35">
        <v>1.2718602666666665E-2</v>
      </c>
    </row>
    <row r="15126" spans="103:104" x14ac:dyDescent="0.3">
      <c r="CY15126" s="34" t="s">
        <v>16053</v>
      </c>
      <c r="CZ15126" s="35">
        <v>2.2847904000000002E-4</v>
      </c>
    </row>
    <row r="15127" spans="103:104" x14ac:dyDescent="0.3">
      <c r="CY15127" s="34" t="s">
        <v>16054</v>
      </c>
      <c r="CZ15127" s="35">
        <v>6.4128420740740735E-3</v>
      </c>
    </row>
    <row r="15128" spans="103:104" x14ac:dyDescent="0.3">
      <c r="CY15128" s="34" t="s">
        <v>16055</v>
      </c>
      <c r="CZ15128" s="35">
        <v>7.2638160000000002E-3</v>
      </c>
    </row>
    <row r="15129" spans="103:104" x14ac:dyDescent="0.3">
      <c r="CY15129" s="34" t="s">
        <v>16056</v>
      </c>
      <c r="CZ15129" s="35">
        <v>1.5361800000000001E-3</v>
      </c>
    </row>
    <row r="15130" spans="103:104" x14ac:dyDescent="0.3">
      <c r="CY15130" s="34" t="s">
        <v>16057</v>
      </c>
      <c r="CZ15130" s="35">
        <v>3.0267599999999999E-3</v>
      </c>
    </row>
    <row r="15131" spans="103:104" x14ac:dyDescent="0.3">
      <c r="CY15131" s="34" t="s">
        <v>16058</v>
      </c>
      <c r="CZ15131" s="35">
        <v>6.2293519999999998E-2</v>
      </c>
    </row>
    <row r="15132" spans="103:104" x14ac:dyDescent="0.3">
      <c r="CY15132" s="34" t="s">
        <v>16059</v>
      </c>
      <c r="CZ15132" s="35">
        <v>0.11505987199999999</v>
      </c>
    </row>
    <row r="15133" spans="103:104" x14ac:dyDescent="0.3">
      <c r="CY15133" s="34" t="s">
        <v>16060</v>
      </c>
      <c r="CZ15133" s="35">
        <v>5.3273891999999996E-2</v>
      </c>
    </row>
    <row r="15134" spans="103:104" x14ac:dyDescent="0.3">
      <c r="CY15134" s="34" t="s">
        <v>16061</v>
      </c>
      <c r="CZ15134" s="35">
        <v>0.126650079</v>
      </c>
    </row>
    <row r="15135" spans="103:104" x14ac:dyDescent="0.3">
      <c r="CY15135" s="34" t="s">
        <v>16062</v>
      </c>
      <c r="CZ15135" s="35">
        <v>1.2665600000000003E-2</v>
      </c>
    </row>
    <row r="15136" spans="103:104" x14ac:dyDescent="0.3">
      <c r="CY15136" s="34" t="s">
        <v>16063</v>
      </c>
      <c r="CZ15136" s="35">
        <v>0.21649200000000002</v>
      </c>
    </row>
    <row r="15137" spans="103:104" x14ac:dyDescent="0.3">
      <c r="CY15137" s="34" t="s">
        <v>16064</v>
      </c>
      <c r="CZ15137" s="35">
        <v>0.1066405</v>
      </c>
    </row>
    <row r="15138" spans="103:104" x14ac:dyDescent="0.3">
      <c r="CY15138" s="34" t="s">
        <v>16065</v>
      </c>
      <c r="CZ15138" s="35">
        <v>0.28359840000000003</v>
      </c>
    </row>
    <row r="15139" spans="103:104" x14ac:dyDescent="0.3">
      <c r="CY15139" s="34" t="s">
        <v>16066</v>
      </c>
      <c r="CZ15139" s="35">
        <v>1.491486E-2</v>
      </c>
    </row>
    <row r="15140" spans="103:104" x14ac:dyDescent="0.3">
      <c r="CY15140" s="34" t="s">
        <v>16067</v>
      </c>
      <c r="CZ15140" s="35">
        <v>5.5088723999999999E-2</v>
      </c>
    </row>
    <row r="15141" spans="103:104" x14ac:dyDescent="0.3">
      <c r="CY15141" s="34" t="s">
        <v>16068</v>
      </c>
      <c r="CZ15141" s="35">
        <v>6.1093542000000008E-2</v>
      </c>
    </row>
    <row r="15142" spans="103:104" x14ac:dyDescent="0.3">
      <c r="CY15142" s="34" t="s">
        <v>16069</v>
      </c>
      <c r="CZ15142" s="35">
        <v>1.2155724000000001E-2</v>
      </c>
    </row>
    <row r="15143" spans="103:104" x14ac:dyDescent="0.3">
      <c r="CY15143" s="34" t="s">
        <v>16070</v>
      </c>
      <c r="CZ15143" s="35">
        <v>1.3168888000000002E-2</v>
      </c>
    </row>
    <row r="15144" spans="103:104" x14ac:dyDescent="0.3">
      <c r="CY15144" s="34" t="s">
        <v>16071</v>
      </c>
      <c r="CZ15144" s="35">
        <v>0.31152079999999999</v>
      </c>
    </row>
    <row r="15145" spans="103:104" x14ac:dyDescent="0.3">
      <c r="CY15145" s="34" t="s">
        <v>16072</v>
      </c>
      <c r="CZ15145" s="35">
        <v>1.2320167200000001</v>
      </c>
    </row>
    <row r="15146" spans="103:104" x14ac:dyDescent="0.3">
      <c r="CY15146" s="34" t="s">
        <v>16073</v>
      </c>
      <c r="CZ15146" s="35">
        <v>1.5491948000000002E-2</v>
      </c>
    </row>
    <row r="15147" spans="103:104" x14ac:dyDescent="0.3">
      <c r="CY15147" s="34" t="s">
        <v>16074</v>
      </c>
      <c r="CZ15147" s="35">
        <v>8.1417500000000014E-3</v>
      </c>
    </row>
    <row r="15148" spans="103:104" x14ac:dyDescent="0.3">
      <c r="CY15148" s="34" t="s">
        <v>16075</v>
      </c>
      <c r="CZ15148" s="35">
        <v>1.5457080000000003E-2</v>
      </c>
    </row>
    <row r="15149" spans="103:104" x14ac:dyDescent="0.3">
      <c r="CY15149" s="34" t="s">
        <v>16076</v>
      </c>
      <c r="CZ15149" s="35">
        <v>2.5560099999999999E-2</v>
      </c>
    </row>
    <row r="15150" spans="103:104" x14ac:dyDescent="0.3">
      <c r="CY15150" s="34" t="s">
        <v>16077</v>
      </c>
      <c r="CZ15150" s="35">
        <v>1.1374657000000002E-2</v>
      </c>
    </row>
    <row r="15151" spans="103:104" x14ac:dyDescent="0.3">
      <c r="CY15151" s="34" t="s">
        <v>16078</v>
      </c>
      <c r="CZ15151" s="35">
        <v>1.8644494000000001E-2</v>
      </c>
    </row>
    <row r="15152" spans="103:104" x14ac:dyDescent="0.3">
      <c r="CY15152" s="34" t="s">
        <v>16079</v>
      </c>
      <c r="CZ15152" s="35">
        <v>1.4664212499999999E-2</v>
      </c>
    </row>
    <row r="15153" spans="103:104" x14ac:dyDescent="0.3">
      <c r="CY15153" s="34" t="s">
        <v>16080</v>
      </c>
      <c r="CZ15153" s="35">
        <v>0.23539635</v>
      </c>
    </row>
    <row r="15154" spans="103:104" x14ac:dyDescent="0.3">
      <c r="CY15154" s="34" t="s">
        <v>16081</v>
      </c>
      <c r="CZ15154" s="35">
        <v>0.25543399999999999</v>
      </c>
    </row>
    <row r="15155" spans="103:104" x14ac:dyDescent="0.3">
      <c r="CY15155" s="34" t="s">
        <v>16082</v>
      </c>
      <c r="CZ15155" s="35">
        <v>0.28675099999999998</v>
      </c>
    </row>
    <row r="15156" spans="103:104" x14ac:dyDescent="0.3">
      <c r="CY15156" s="34" t="s">
        <v>16083</v>
      </c>
      <c r="CZ15156" s="35">
        <v>3.1775430000000007E-2</v>
      </c>
    </row>
    <row r="15157" spans="103:104" x14ac:dyDescent="0.3">
      <c r="CY15157" s="34" t="s">
        <v>16084</v>
      </c>
      <c r="CZ15157" s="35">
        <v>0.18085825000000003</v>
      </c>
    </row>
    <row r="15158" spans="103:104" x14ac:dyDescent="0.3">
      <c r="CY15158" s="34" t="s">
        <v>16085</v>
      </c>
      <c r="CZ15158" s="35">
        <v>1.3178913587049998E-2</v>
      </c>
    </row>
    <row r="15159" spans="103:104" x14ac:dyDescent="0.3">
      <c r="CY15159" s="34" t="s">
        <v>16086</v>
      </c>
      <c r="CZ15159" s="35">
        <v>8.2666199999999995E-2</v>
      </c>
    </row>
    <row r="15160" spans="103:104" x14ac:dyDescent="0.3">
      <c r="CY15160" s="34" t="s">
        <v>16087</v>
      </c>
      <c r="CZ15160" s="35">
        <v>6.1079439999999999E-2</v>
      </c>
    </row>
    <row r="15161" spans="103:104" x14ac:dyDescent="0.3">
      <c r="CY15161" s="34" t="s">
        <v>16088</v>
      </c>
      <c r="CZ15161" s="35">
        <v>2.181561665714286E-2</v>
      </c>
    </row>
    <row r="15162" spans="103:104" x14ac:dyDescent="0.3">
      <c r="CY15162" s="34" t="s">
        <v>16089</v>
      </c>
      <c r="CZ15162" s="35">
        <v>2.9850410000000003E-3</v>
      </c>
    </row>
    <row r="15163" spans="103:104" x14ac:dyDescent="0.3">
      <c r="CY15163" s="34" t="s">
        <v>16090</v>
      </c>
      <c r="CZ15163" s="35">
        <v>2.3918309999999996E-3</v>
      </c>
    </row>
    <row r="15164" spans="103:104" x14ac:dyDescent="0.3">
      <c r="CY15164" s="34" t="s">
        <v>16091</v>
      </c>
      <c r="CZ15164" s="35">
        <v>3.9905189999999997E-3</v>
      </c>
    </row>
    <row r="15165" spans="103:104" x14ac:dyDescent="0.3">
      <c r="CY15165" s="34" t="s">
        <v>16092</v>
      </c>
      <c r="CZ15165" s="35">
        <v>7.8025300000000006E-2</v>
      </c>
    </row>
    <row r="15166" spans="103:104" x14ac:dyDescent="0.3">
      <c r="CY15166" s="34" t="s">
        <v>16093</v>
      </c>
      <c r="CZ15166" s="35">
        <v>0.19454757</v>
      </c>
    </row>
    <row r="15167" spans="103:104" x14ac:dyDescent="0.3">
      <c r="CY15167" s="34" t="s">
        <v>16094</v>
      </c>
      <c r="CZ15167" s="35">
        <v>0.61219460000000003</v>
      </c>
    </row>
    <row r="15168" spans="103:104" x14ac:dyDescent="0.3">
      <c r="CY15168" s="34" t="s">
        <v>16095</v>
      </c>
      <c r="CZ15168" s="35">
        <v>9.6834444999999991E-3</v>
      </c>
    </row>
    <row r="15169" spans="103:104" x14ac:dyDescent="0.3">
      <c r="CY15169" s="34" t="s">
        <v>16096</v>
      </c>
      <c r="CZ15169" s="35">
        <v>2.4307687999999997E-2</v>
      </c>
    </row>
    <row r="15170" spans="103:104" x14ac:dyDescent="0.3">
      <c r="CY15170" s="34" t="s">
        <v>16097</v>
      </c>
      <c r="CZ15170" s="35">
        <v>5.4352199999999996E-2</v>
      </c>
    </row>
    <row r="15171" spans="103:104" x14ac:dyDescent="0.3">
      <c r="CY15171" s="34" t="s">
        <v>16098</v>
      </c>
      <c r="CZ15171" s="35">
        <v>9.2234304000000003E-2</v>
      </c>
    </row>
    <row r="15172" spans="103:104" x14ac:dyDescent="0.3">
      <c r="CY15172" s="34" t="s">
        <v>16099</v>
      </c>
      <c r="CZ15172" s="35">
        <v>1.7646942657142856E-2</v>
      </c>
    </row>
    <row r="15173" spans="103:104" x14ac:dyDescent="0.3">
      <c r="CY15173" s="34" t="s">
        <v>16100</v>
      </c>
      <c r="CZ15173" s="35">
        <v>1.2741668000000001E-2</v>
      </c>
    </row>
    <row r="15174" spans="103:104" x14ac:dyDescent="0.3">
      <c r="CY15174" s="34" t="s">
        <v>16101</v>
      </c>
      <c r="CZ15174" s="35">
        <v>1.8292345999999998E-2</v>
      </c>
    </row>
    <row r="15175" spans="103:104" x14ac:dyDescent="0.3">
      <c r="CY15175" s="34" t="s">
        <v>16102</v>
      </c>
      <c r="CZ15175" s="35">
        <v>1.8292345999999998E-2</v>
      </c>
    </row>
    <row r="15176" spans="103:104" x14ac:dyDescent="0.3">
      <c r="CY15176" s="34" t="s">
        <v>16103</v>
      </c>
      <c r="CZ15176" s="35">
        <v>1.8292345999999998E-2</v>
      </c>
    </row>
    <row r="15177" spans="103:104" x14ac:dyDescent="0.3">
      <c r="CY15177" s="34" t="s">
        <v>16104</v>
      </c>
      <c r="CZ15177" s="35">
        <v>1.975209E-2</v>
      </c>
    </row>
    <row r="15178" spans="103:104" x14ac:dyDescent="0.3">
      <c r="CY15178" s="34" t="s">
        <v>16105</v>
      </c>
      <c r="CZ15178" s="35">
        <v>1.975209E-2</v>
      </c>
    </row>
    <row r="15179" spans="103:104" x14ac:dyDescent="0.3">
      <c r="CY15179" s="34" t="s">
        <v>16106</v>
      </c>
      <c r="CZ15179" s="35">
        <v>1.975209E-2</v>
      </c>
    </row>
    <row r="15180" spans="103:104" x14ac:dyDescent="0.3">
      <c r="CY15180" s="34" t="s">
        <v>16107</v>
      </c>
      <c r="CZ15180" s="35">
        <v>2.1708745999999998E-2</v>
      </c>
    </row>
    <row r="15181" spans="103:104" x14ac:dyDescent="0.3">
      <c r="CY15181" s="34" t="s">
        <v>16108</v>
      </c>
      <c r="CZ15181" s="35">
        <v>2.1708745999999998E-2</v>
      </c>
    </row>
    <row r="15182" spans="103:104" x14ac:dyDescent="0.3">
      <c r="CY15182" s="34" t="s">
        <v>16109</v>
      </c>
      <c r="CZ15182" s="35">
        <v>2.1708745999999998E-2</v>
      </c>
    </row>
    <row r="15183" spans="103:104" x14ac:dyDescent="0.3">
      <c r="CY15183" s="34" t="s">
        <v>16110</v>
      </c>
      <c r="CZ15183" s="35">
        <v>2.1509066E-2</v>
      </c>
    </row>
    <row r="15184" spans="103:104" x14ac:dyDescent="0.3">
      <c r="CY15184" s="34" t="s">
        <v>16111</v>
      </c>
      <c r="CZ15184" s="35">
        <v>1.8292345999999998E-2</v>
      </c>
    </row>
    <row r="15185" spans="103:104" x14ac:dyDescent="0.3">
      <c r="CY15185" s="34" t="s">
        <v>16112</v>
      </c>
      <c r="CZ15185" s="35">
        <v>1.7829025999999998E-2</v>
      </c>
    </row>
    <row r="15186" spans="103:104" x14ac:dyDescent="0.3">
      <c r="CY15186" s="34" t="s">
        <v>16113</v>
      </c>
      <c r="CZ15186" s="35">
        <v>1.8292345999999998E-2</v>
      </c>
    </row>
    <row r="15187" spans="103:104" x14ac:dyDescent="0.3">
      <c r="CY15187" s="34" t="s">
        <v>16114</v>
      </c>
      <c r="CZ15187" s="35">
        <v>1.46652E-3</v>
      </c>
    </row>
    <row r="15188" spans="103:104" x14ac:dyDescent="0.3">
      <c r="CY15188" s="34" t="s">
        <v>16115</v>
      </c>
      <c r="CZ15188" s="35">
        <v>1.9337968000000003E-3</v>
      </c>
    </row>
    <row r="15189" spans="103:104" x14ac:dyDescent="0.3">
      <c r="CY15189" s="34" t="s">
        <v>16116</v>
      </c>
      <c r="CZ15189" s="35">
        <v>7.5383504000000007E-4</v>
      </c>
    </row>
    <row r="15190" spans="103:104" x14ac:dyDescent="0.3">
      <c r="CY15190" s="34" t="s">
        <v>16117</v>
      </c>
      <c r="CZ15190" s="35">
        <v>1.1833077333333333E-3</v>
      </c>
    </row>
    <row r="15191" spans="103:104" x14ac:dyDescent="0.3">
      <c r="CY15191" s="34" t="s">
        <v>16118</v>
      </c>
      <c r="CZ15191" s="35">
        <v>6.6655760000000001E-4</v>
      </c>
    </row>
    <row r="15192" spans="103:104" x14ac:dyDescent="0.3">
      <c r="CY15192" s="34" t="s">
        <v>16119</v>
      </c>
      <c r="CZ15192" s="35">
        <v>3.8400861333333335E-3</v>
      </c>
    </row>
    <row r="15193" spans="103:104" x14ac:dyDescent="0.3">
      <c r="CY15193" s="34" t="s">
        <v>16120</v>
      </c>
      <c r="CZ15193" s="35">
        <v>2.602107555555556E-4</v>
      </c>
    </row>
    <row r="15194" spans="103:104" x14ac:dyDescent="0.3">
      <c r="CY15194" s="34" t="s">
        <v>16121</v>
      </c>
      <c r="CZ15194" s="35">
        <v>4.4387559999999994E-3</v>
      </c>
    </row>
    <row r="15195" spans="103:104" x14ac:dyDescent="0.3">
      <c r="CY15195" s="34" t="s">
        <v>16122</v>
      </c>
      <c r="CZ15195" s="35">
        <v>7.740027777777778E-3</v>
      </c>
    </row>
    <row r="15196" spans="103:104" x14ac:dyDescent="0.3">
      <c r="CY15196" s="34" t="s">
        <v>16123</v>
      </c>
      <c r="CZ15196" s="35">
        <v>7.473255999999999E-2</v>
      </c>
    </row>
    <row r="15197" spans="103:104" x14ac:dyDescent="0.3">
      <c r="CY15197" s="34" t="s">
        <v>16124</v>
      </c>
      <c r="CZ15197" s="35">
        <v>7.0139400000000005E-2</v>
      </c>
    </row>
    <row r="15198" spans="103:104" x14ac:dyDescent="0.3">
      <c r="CY15198" s="34" t="s">
        <v>16125</v>
      </c>
      <c r="CZ15198" s="35">
        <v>6.0307344000000006E-2</v>
      </c>
    </row>
    <row r="15199" spans="103:104" x14ac:dyDescent="0.3">
      <c r="CY15199" s="34" t="s">
        <v>16126</v>
      </c>
      <c r="CZ15199" s="35">
        <v>7.0139400000000005E-2</v>
      </c>
    </row>
    <row r="15200" spans="103:104" x14ac:dyDescent="0.3">
      <c r="CY15200" s="34" t="s">
        <v>16127</v>
      </c>
      <c r="CZ15200" s="35">
        <v>7.0139400000000005E-2</v>
      </c>
    </row>
    <row r="15201" spans="103:104" x14ac:dyDescent="0.3">
      <c r="CY15201" s="34" t="s">
        <v>16128</v>
      </c>
      <c r="CZ15201" s="35">
        <v>0.72414249999999991</v>
      </c>
    </row>
    <row r="15202" spans="103:104" x14ac:dyDescent="0.3">
      <c r="CY15202" s="34" t="s">
        <v>16129</v>
      </c>
      <c r="CZ15202" s="35">
        <v>0.58211999999999997</v>
      </c>
    </row>
    <row r="15203" spans="103:104" x14ac:dyDescent="0.3">
      <c r="CY15203" s="34" t="s">
        <v>16130</v>
      </c>
      <c r="CZ15203" s="35">
        <v>8.0719600000000013E-3</v>
      </c>
    </row>
    <row r="15204" spans="103:104" x14ac:dyDescent="0.3">
      <c r="CY15204" s="34" t="s">
        <v>16131</v>
      </c>
      <c r="CZ15204" s="35">
        <v>6.844963266666667E-3</v>
      </c>
    </row>
    <row r="15205" spans="103:104" x14ac:dyDescent="0.3">
      <c r="CY15205" s="34" t="s">
        <v>16132</v>
      </c>
      <c r="CZ15205" s="35">
        <v>9.0322816E-2</v>
      </c>
    </row>
    <row r="15206" spans="103:104" x14ac:dyDescent="0.3">
      <c r="CY15206" s="34" t="s">
        <v>16133</v>
      </c>
      <c r="CZ15206" s="35">
        <v>1.889946E-3</v>
      </c>
    </row>
    <row r="15207" spans="103:104" x14ac:dyDescent="0.3">
      <c r="CY15207" s="34" t="s">
        <v>16134</v>
      </c>
      <c r="CZ15207" s="35">
        <v>1.7495460000000003E-3</v>
      </c>
    </row>
    <row r="15208" spans="103:104" x14ac:dyDescent="0.3">
      <c r="CY15208" s="34" t="s">
        <v>16135</v>
      </c>
      <c r="CZ15208" s="35">
        <v>2.4476905E-2</v>
      </c>
    </row>
    <row r="15209" spans="103:104" x14ac:dyDescent="0.3">
      <c r="CY15209" s="34" t="s">
        <v>16136</v>
      </c>
      <c r="CZ15209" s="35">
        <v>0.13045505600000001</v>
      </c>
    </row>
    <row r="15210" spans="103:104" x14ac:dyDescent="0.3">
      <c r="CY15210" s="34" t="s">
        <v>16137</v>
      </c>
      <c r="CZ15210" s="35">
        <v>3.1895634285714286E-3</v>
      </c>
    </row>
    <row r="15211" spans="103:104" x14ac:dyDescent="0.3">
      <c r="CY15211" s="34" t="s">
        <v>16138</v>
      </c>
      <c r="CZ15211" s="35">
        <v>3.165263428571429E-3</v>
      </c>
    </row>
    <row r="15212" spans="103:104" x14ac:dyDescent="0.3">
      <c r="CY15212" s="34" t="s">
        <v>16139</v>
      </c>
      <c r="CZ15212" s="35">
        <v>9.090666679999998E-3</v>
      </c>
    </row>
    <row r="15213" spans="103:104" x14ac:dyDescent="0.3">
      <c r="CY15213" s="34" t="s">
        <v>16140</v>
      </c>
      <c r="CZ15213" s="35">
        <v>9.0906666666666653E-3</v>
      </c>
    </row>
    <row r="15214" spans="103:104" x14ac:dyDescent="0.3">
      <c r="CY15214" s="34" t="s">
        <v>16141</v>
      </c>
      <c r="CZ15214" s="35">
        <v>1.0390666666666666E-2</v>
      </c>
    </row>
    <row r="15215" spans="103:104" x14ac:dyDescent="0.3">
      <c r="CY15215" s="34" t="s">
        <v>16142</v>
      </c>
      <c r="CZ15215" s="35">
        <v>1.0026666666666666E-2</v>
      </c>
    </row>
    <row r="15216" spans="103:104" x14ac:dyDescent="0.3">
      <c r="CY15216" s="34" t="s">
        <v>16143</v>
      </c>
      <c r="CZ15216" s="35">
        <v>9.0906666666666653E-3</v>
      </c>
    </row>
    <row r="15217" spans="103:104" x14ac:dyDescent="0.3">
      <c r="CY15217" s="34" t="s">
        <v>16144</v>
      </c>
      <c r="CZ15217" s="35">
        <v>2.274176E-2</v>
      </c>
    </row>
    <row r="15218" spans="103:104" x14ac:dyDescent="0.3">
      <c r="CY15218" s="34" t="s">
        <v>16145</v>
      </c>
      <c r="CZ15218" s="35">
        <v>7.0832919999999997E-3</v>
      </c>
    </row>
    <row r="15219" spans="103:104" x14ac:dyDescent="0.3">
      <c r="CY15219" s="34" t="s">
        <v>16146</v>
      </c>
      <c r="CZ15219" s="35">
        <v>0.22572711540000001</v>
      </c>
    </row>
    <row r="15220" spans="103:104" x14ac:dyDescent="0.3">
      <c r="CY15220" s="34" t="s">
        <v>16147</v>
      </c>
      <c r="CZ15220" s="35">
        <v>0.240846421</v>
      </c>
    </row>
    <row r="15221" spans="103:104" x14ac:dyDescent="0.3">
      <c r="CY15221" s="34" t="s">
        <v>16148</v>
      </c>
      <c r="CZ15221" s="35">
        <v>4.5707655999999994E-3</v>
      </c>
    </row>
    <row r="15222" spans="103:104" x14ac:dyDescent="0.3">
      <c r="CY15222" s="34" t="s">
        <v>16149</v>
      </c>
      <c r="CZ15222" s="35">
        <v>1.78608E-3</v>
      </c>
    </row>
    <row r="15223" spans="103:104" x14ac:dyDescent="0.3">
      <c r="CY15223" s="34" t="s">
        <v>16150</v>
      </c>
      <c r="CZ15223" s="35">
        <v>7.563218E-3</v>
      </c>
    </row>
    <row r="15224" spans="103:104" x14ac:dyDescent="0.3">
      <c r="CY15224" s="34" t="s">
        <v>16151</v>
      </c>
      <c r="CZ15224" s="35">
        <v>6.8792839999999994E-3</v>
      </c>
    </row>
    <row r="15225" spans="103:104" x14ac:dyDescent="0.3">
      <c r="CY15225" s="34" t="s">
        <v>16152</v>
      </c>
      <c r="CZ15225" s="35">
        <v>2.7605552000000001E-3</v>
      </c>
    </row>
    <row r="15226" spans="103:104" x14ac:dyDescent="0.3">
      <c r="CY15226" s="34" t="s">
        <v>16153</v>
      </c>
      <c r="CZ15226" s="35">
        <v>3.4811919999999997E-3</v>
      </c>
    </row>
    <row r="15227" spans="103:104" x14ac:dyDescent="0.3">
      <c r="CY15227" s="34" t="s">
        <v>16154</v>
      </c>
      <c r="CZ15227" s="35">
        <v>2.9382433249999997E-3</v>
      </c>
    </row>
    <row r="15228" spans="103:104" x14ac:dyDescent="0.3">
      <c r="CY15228" s="34" t="s">
        <v>16155</v>
      </c>
      <c r="CZ15228" s="35">
        <v>6.1897519999999998E-3</v>
      </c>
    </row>
    <row r="15229" spans="103:104" x14ac:dyDescent="0.3">
      <c r="CY15229" s="34" t="s">
        <v>16156</v>
      </c>
      <c r="CZ15229" s="35">
        <v>8.7506086750000003E-3</v>
      </c>
    </row>
    <row r="15230" spans="103:104" x14ac:dyDescent="0.3">
      <c r="CY15230" s="34" t="s">
        <v>16157</v>
      </c>
      <c r="CZ15230" s="35">
        <v>2.2461814E-2</v>
      </c>
    </row>
    <row r="15231" spans="103:104" x14ac:dyDescent="0.3">
      <c r="CY15231" s="34" t="s">
        <v>16158</v>
      </c>
      <c r="CZ15231" s="35">
        <v>2.1621666666666668E-2</v>
      </c>
    </row>
    <row r="15232" spans="103:104" x14ac:dyDescent="0.3">
      <c r="CY15232" s="34" t="s">
        <v>16159</v>
      </c>
      <c r="CZ15232" s="35">
        <v>2.1670459999999999E-2</v>
      </c>
    </row>
    <row r="15233" spans="103:104" x14ac:dyDescent="0.3">
      <c r="CY15233" s="34" t="s">
        <v>16160</v>
      </c>
      <c r="CZ15233" s="35">
        <v>1.8246676000000003E-2</v>
      </c>
    </row>
    <row r="15234" spans="103:104" x14ac:dyDescent="0.3">
      <c r="CY15234" s="34" t="s">
        <v>16161</v>
      </c>
      <c r="CZ15234" s="35">
        <v>5.7335625200000004E-2</v>
      </c>
    </row>
    <row r="15235" spans="103:104" x14ac:dyDescent="0.3">
      <c r="CY15235" s="34" t="s">
        <v>16162</v>
      </c>
      <c r="CZ15235" s="35">
        <v>4.2816999999999994E-3</v>
      </c>
    </row>
    <row r="15236" spans="103:104" x14ac:dyDescent="0.3">
      <c r="CY15236" s="34" t="s">
        <v>16163</v>
      </c>
      <c r="CZ15236" s="35">
        <v>2.6818119999999997E-2</v>
      </c>
    </row>
    <row r="15237" spans="103:104" x14ac:dyDescent="0.3">
      <c r="CY15237" s="34" t="s">
        <v>16164</v>
      </c>
      <c r="CZ15237" s="35">
        <v>2.0548879999999999E-2</v>
      </c>
    </row>
    <row r="15238" spans="103:104" x14ac:dyDescent="0.3">
      <c r="CY15238" s="34" t="s">
        <v>16165</v>
      </c>
      <c r="CZ15238" s="35">
        <v>3.9429806500000004E-2</v>
      </c>
    </row>
    <row r="15239" spans="103:104" x14ac:dyDescent="0.3">
      <c r="CY15239" s="34" t="s">
        <v>16166</v>
      </c>
      <c r="CZ15239" s="35">
        <v>3.9429806500000004E-2</v>
      </c>
    </row>
    <row r="15240" spans="103:104" x14ac:dyDescent="0.3">
      <c r="CY15240" s="34" t="s">
        <v>16167</v>
      </c>
      <c r="CZ15240" s="35">
        <v>1.3595467999999999E-2</v>
      </c>
    </row>
    <row r="15241" spans="103:104" x14ac:dyDescent="0.3">
      <c r="CY15241" s="34" t="s">
        <v>16168</v>
      </c>
      <c r="CZ15241" s="35">
        <v>1.928272E-2</v>
      </c>
    </row>
    <row r="15242" spans="103:104" x14ac:dyDescent="0.3">
      <c r="CY15242" s="34" t="s">
        <v>16169</v>
      </c>
      <c r="CZ15242" s="35">
        <v>1.7688477333333331E-2</v>
      </c>
    </row>
    <row r="15243" spans="103:104" x14ac:dyDescent="0.3">
      <c r="CY15243" s="34" t="s">
        <v>16170</v>
      </c>
      <c r="CZ15243" s="35">
        <v>1.24169E-2</v>
      </c>
    </row>
    <row r="15244" spans="103:104" x14ac:dyDescent="0.3">
      <c r="CY15244" s="34" t="s">
        <v>16171</v>
      </c>
      <c r="CZ15244" s="35">
        <v>1.5987100000000001E-2</v>
      </c>
    </row>
    <row r="15245" spans="103:104" x14ac:dyDescent="0.3">
      <c r="CY15245" s="34" t="s">
        <v>16172</v>
      </c>
      <c r="CZ15245" s="35">
        <v>1.4612130666666666E-2</v>
      </c>
    </row>
    <row r="15246" spans="103:104" x14ac:dyDescent="0.3">
      <c r="CY15246" s="34" t="s">
        <v>16173</v>
      </c>
      <c r="CZ15246" s="35">
        <v>1.2312639999999999E-3</v>
      </c>
    </row>
    <row r="15247" spans="103:104" x14ac:dyDescent="0.3">
      <c r="CY15247" s="34" t="s">
        <v>16174</v>
      </c>
      <c r="CZ15247" s="35">
        <v>2.7547599999999998E-3</v>
      </c>
    </row>
    <row r="15248" spans="103:104" x14ac:dyDescent="0.3">
      <c r="CY15248" s="34" t="s">
        <v>16175</v>
      </c>
      <c r="CZ15248" s="35">
        <v>3.5841579999999998E-2</v>
      </c>
    </row>
    <row r="15249" spans="103:104" x14ac:dyDescent="0.3">
      <c r="CY15249" s="34" t="s">
        <v>16176</v>
      </c>
      <c r="CZ15249" s="35">
        <v>2.941085E-3</v>
      </c>
    </row>
    <row r="15250" spans="103:104" x14ac:dyDescent="0.3">
      <c r="CY15250" s="34" t="s">
        <v>16177</v>
      </c>
      <c r="CZ15250" s="35">
        <v>5.6762499999999999E-3</v>
      </c>
    </row>
    <row r="15251" spans="103:104" x14ac:dyDescent="0.3">
      <c r="CY15251" s="34" t="s">
        <v>16178</v>
      </c>
      <c r="CZ15251" s="35">
        <v>4.8909879999999998E-3</v>
      </c>
    </row>
    <row r="15252" spans="103:104" x14ac:dyDescent="0.3">
      <c r="CY15252" s="34" t="s">
        <v>16179</v>
      </c>
      <c r="CZ15252" s="35">
        <v>1.3523373300000001E-2</v>
      </c>
    </row>
    <row r="15253" spans="103:104" x14ac:dyDescent="0.3">
      <c r="CY15253" s="34" t="s">
        <v>16180</v>
      </c>
      <c r="CZ15253" s="35">
        <v>1.7538520000000005E-2</v>
      </c>
    </row>
    <row r="15254" spans="103:104" x14ac:dyDescent="0.3">
      <c r="CY15254" s="34" t="s">
        <v>16181</v>
      </c>
      <c r="CZ15254" s="35">
        <v>8.4569600000000012E-3</v>
      </c>
    </row>
    <row r="15255" spans="103:104" x14ac:dyDescent="0.3">
      <c r="CY15255" s="34" t="s">
        <v>16182</v>
      </c>
      <c r="CZ15255" s="35">
        <v>3.6636559999999999E-2</v>
      </c>
    </row>
    <row r="15256" spans="103:104" x14ac:dyDescent="0.3">
      <c r="CY15256" s="34" t="s">
        <v>16183</v>
      </c>
      <c r="CZ15256" s="35">
        <v>2.6330799999999994E-2</v>
      </c>
    </row>
    <row r="15257" spans="103:104" x14ac:dyDescent="0.3">
      <c r="CY15257" s="34" t="s">
        <v>16184</v>
      </c>
      <c r="CZ15257" s="35">
        <v>1.4484000000000001E-3</v>
      </c>
    </row>
    <row r="15258" spans="103:104" x14ac:dyDescent="0.3">
      <c r="CY15258" s="34" t="s">
        <v>16185</v>
      </c>
      <c r="CZ15258" s="35">
        <v>5.1767392000000006E-3</v>
      </c>
    </row>
    <row r="15259" spans="103:104" x14ac:dyDescent="0.3">
      <c r="CY15259" s="34" t="s">
        <v>16186</v>
      </c>
      <c r="CZ15259" s="35">
        <v>4.4420400000000004E-3</v>
      </c>
    </row>
    <row r="15260" spans="103:104" x14ac:dyDescent="0.3">
      <c r="CY15260" s="34" t="s">
        <v>16187</v>
      </c>
      <c r="CZ15260" s="35">
        <v>2.4106776E-2</v>
      </c>
    </row>
    <row r="15261" spans="103:104" x14ac:dyDescent="0.3">
      <c r="CY15261" s="34" t="s">
        <v>16188</v>
      </c>
      <c r="CZ15261" s="35">
        <v>2.8635111999999997E-2</v>
      </c>
    </row>
    <row r="15262" spans="103:104" x14ac:dyDescent="0.3">
      <c r="CY15262" s="34" t="s">
        <v>16189</v>
      </c>
      <c r="CZ15262" s="35">
        <v>2.0089925E-3</v>
      </c>
    </row>
    <row r="15263" spans="103:104" x14ac:dyDescent="0.3">
      <c r="CY15263" s="34" t="s">
        <v>16190</v>
      </c>
      <c r="CZ15263" s="35">
        <v>1.6650828571428571E-3</v>
      </c>
    </row>
    <row r="15264" spans="103:104" x14ac:dyDescent="0.3">
      <c r="CY15264" s="34" t="s">
        <v>16191</v>
      </c>
      <c r="CZ15264" s="35">
        <v>2.5269703750000001E-3</v>
      </c>
    </row>
    <row r="15265" spans="103:104" x14ac:dyDescent="0.3">
      <c r="CY15265" s="34" t="s">
        <v>16192</v>
      </c>
      <c r="CZ15265" s="35">
        <v>2.5097281250000001E-3</v>
      </c>
    </row>
    <row r="15266" spans="103:104" x14ac:dyDescent="0.3">
      <c r="CY15266" s="34" t="s">
        <v>16193</v>
      </c>
      <c r="CZ15266" s="35">
        <v>5.890170666666666E-4</v>
      </c>
    </row>
    <row r="15267" spans="103:104" x14ac:dyDescent="0.3">
      <c r="CY15267" s="34" t="s">
        <v>16194</v>
      </c>
      <c r="CZ15267" s="35">
        <v>2.2781720000000002E-3</v>
      </c>
    </row>
    <row r="15268" spans="103:104" x14ac:dyDescent="0.3">
      <c r="CY15268" s="34" t="s">
        <v>16195</v>
      </c>
      <c r="CZ15268" s="35">
        <v>5.6493999999999997E-3</v>
      </c>
    </row>
    <row r="15269" spans="103:104" x14ac:dyDescent="0.3">
      <c r="CY15269" s="34" t="s">
        <v>16196</v>
      </c>
      <c r="CZ15269" s="35">
        <v>1.9913911999999999E-2</v>
      </c>
    </row>
    <row r="15270" spans="103:104" x14ac:dyDescent="0.3">
      <c r="CY15270" s="34" t="s">
        <v>16197</v>
      </c>
      <c r="CZ15270" s="35">
        <v>3.2000116000000002E-2</v>
      </c>
    </row>
    <row r="15271" spans="103:104" x14ac:dyDescent="0.3">
      <c r="CY15271" s="34" t="s">
        <v>16198</v>
      </c>
      <c r="CZ15271" s="35">
        <v>2.2344064E-2</v>
      </c>
    </row>
    <row r="15272" spans="103:104" x14ac:dyDescent="0.3">
      <c r="CY15272" s="34" t="s">
        <v>16199</v>
      </c>
      <c r="CZ15272" s="35">
        <v>2.5344120000000001E-2</v>
      </c>
    </row>
    <row r="15273" spans="103:104" x14ac:dyDescent="0.3">
      <c r="CY15273" s="34" t="s">
        <v>16200</v>
      </c>
      <c r="CZ15273" s="35">
        <v>4.6218370666666668E-2</v>
      </c>
    </row>
    <row r="15274" spans="103:104" x14ac:dyDescent="0.3">
      <c r="CY15274" s="34" t="s">
        <v>16201</v>
      </c>
      <c r="CZ15274" s="35">
        <v>1.3768799999999999E-2</v>
      </c>
    </row>
    <row r="15275" spans="103:104" x14ac:dyDescent="0.3">
      <c r="CY15275" s="34" t="s">
        <v>16202</v>
      </c>
      <c r="CZ15275" s="35">
        <v>1.5924336000000001E-2</v>
      </c>
    </row>
    <row r="15276" spans="103:104" x14ac:dyDescent="0.3">
      <c r="CY15276" s="34" t="s">
        <v>16203</v>
      </c>
      <c r="CZ15276" s="35">
        <v>2.6660799999999999E-3</v>
      </c>
    </row>
    <row r="15277" spans="103:104" x14ac:dyDescent="0.3">
      <c r="CY15277" s="34" t="s">
        <v>16204</v>
      </c>
      <c r="CZ15277" s="35">
        <v>1.115296E-2</v>
      </c>
    </row>
    <row r="15278" spans="103:104" x14ac:dyDescent="0.3">
      <c r="CY15278" s="34" t="s">
        <v>16205</v>
      </c>
      <c r="CZ15278" s="35">
        <v>1.2658812E-2</v>
      </c>
    </row>
    <row r="15279" spans="103:104" x14ac:dyDescent="0.3">
      <c r="CY15279" s="34" t="s">
        <v>16206</v>
      </c>
      <c r="CZ15279" s="35">
        <v>3.9766900000000001E-2</v>
      </c>
    </row>
    <row r="15280" spans="103:104" x14ac:dyDescent="0.3">
      <c r="CY15280" s="34" t="s">
        <v>16207</v>
      </c>
      <c r="CZ15280" s="35">
        <v>5.3272032999999996E-3</v>
      </c>
    </row>
    <row r="15281" spans="103:104" x14ac:dyDescent="0.3">
      <c r="CY15281" s="34" t="s">
        <v>16208</v>
      </c>
      <c r="CZ15281" s="35">
        <v>5.3272032999999996E-3</v>
      </c>
    </row>
    <row r="15282" spans="103:104" x14ac:dyDescent="0.3">
      <c r="CY15282" s="34" t="s">
        <v>16209</v>
      </c>
      <c r="CZ15282" s="35">
        <v>5.245176E-2</v>
      </c>
    </row>
    <row r="15283" spans="103:104" x14ac:dyDescent="0.3">
      <c r="CY15283" s="34" t="s">
        <v>16210</v>
      </c>
      <c r="CZ15283" s="35">
        <v>5.245176E-2</v>
      </c>
    </row>
    <row r="15284" spans="103:104" x14ac:dyDescent="0.3">
      <c r="CY15284" s="34" t="s">
        <v>16211</v>
      </c>
      <c r="CZ15284" s="35">
        <v>2.433228E-3</v>
      </c>
    </row>
    <row r="15285" spans="103:104" x14ac:dyDescent="0.3">
      <c r="CY15285" s="34" t="s">
        <v>16212</v>
      </c>
      <c r="CZ15285" s="35">
        <v>3.4611910899999994E-2</v>
      </c>
    </row>
    <row r="15286" spans="103:104" x14ac:dyDescent="0.3">
      <c r="CY15286" s="34" t="s">
        <v>16213</v>
      </c>
      <c r="CZ15286" s="35">
        <v>2.2518184000000002E-3</v>
      </c>
    </row>
    <row r="15287" spans="103:104" x14ac:dyDescent="0.3">
      <c r="CY15287" s="34" t="s">
        <v>16214</v>
      </c>
      <c r="CZ15287" s="35">
        <v>2.9741963999999999E-2</v>
      </c>
    </row>
    <row r="15288" spans="103:104" x14ac:dyDescent="0.3">
      <c r="CY15288" s="34" t="s">
        <v>16215</v>
      </c>
      <c r="CZ15288" s="35">
        <v>2.1033394319999999E-2</v>
      </c>
    </row>
    <row r="15289" spans="103:104" x14ac:dyDescent="0.3">
      <c r="CY15289" s="34" t="s">
        <v>16216</v>
      </c>
      <c r="CZ15289" s="35">
        <v>1.7915778E-2</v>
      </c>
    </row>
    <row r="15290" spans="103:104" x14ac:dyDescent="0.3">
      <c r="CY15290" s="34" t="s">
        <v>16217</v>
      </c>
      <c r="CZ15290" s="35">
        <v>1.3878588000000001E-2</v>
      </c>
    </row>
    <row r="15291" spans="103:104" x14ac:dyDescent="0.3">
      <c r="CY15291" s="34" t="s">
        <v>16218</v>
      </c>
      <c r="CZ15291" s="35">
        <v>1.3878588000000001E-2</v>
      </c>
    </row>
    <row r="15292" spans="103:104" x14ac:dyDescent="0.3">
      <c r="CY15292" s="34" t="s">
        <v>16219</v>
      </c>
      <c r="CZ15292" s="35">
        <v>3.2440000000000004E-2</v>
      </c>
    </row>
    <row r="15293" spans="103:104" x14ac:dyDescent="0.3">
      <c r="CY15293" s="34" t="s">
        <v>16220</v>
      </c>
      <c r="CZ15293" s="35">
        <v>2.3728247999999999E-4</v>
      </c>
    </row>
    <row r="15294" spans="103:104" x14ac:dyDescent="0.3">
      <c r="CY15294" s="34" t="s">
        <v>16221</v>
      </c>
      <c r="CZ15294" s="35">
        <v>7.6499480000000002E-3</v>
      </c>
    </row>
    <row r="15295" spans="103:104" x14ac:dyDescent="0.3">
      <c r="CY15295" s="34" t="s">
        <v>16222</v>
      </c>
      <c r="CZ15295" s="35">
        <v>9.7330800000000009E-4</v>
      </c>
    </row>
    <row r="15296" spans="103:104" x14ac:dyDescent="0.3">
      <c r="CY15296" s="34" t="s">
        <v>16223</v>
      </c>
      <c r="CZ15296" s="35">
        <v>8.256124799999999E-2</v>
      </c>
    </row>
    <row r="15297" spans="103:104" x14ac:dyDescent="0.3">
      <c r="CY15297" s="34" t="s">
        <v>16224</v>
      </c>
      <c r="CZ15297" s="35">
        <v>6.0273180000000003E-2</v>
      </c>
    </row>
    <row r="15298" spans="103:104" x14ac:dyDescent="0.3">
      <c r="CY15298" s="34" t="s">
        <v>16225</v>
      </c>
      <c r="CZ15298" s="35">
        <v>5.1536628000000001E-2</v>
      </c>
    </row>
    <row r="15299" spans="103:104" x14ac:dyDescent="0.3">
      <c r="CY15299" s="34" t="s">
        <v>16226</v>
      </c>
      <c r="CZ15299" s="35">
        <v>6.8044752E-2</v>
      </c>
    </row>
    <row r="15300" spans="103:104" x14ac:dyDescent="0.3">
      <c r="CY15300" s="34" t="s">
        <v>16227</v>
      </c>
      <c r="CZ15300" s="35">
        <v>0.100789056</v>
      </c>
    </row>
    <row r="15301" spans="103:104" x14ac:dyDescent="0.3">
      <c r="CY15301" s="34" t="s">
        <v>16228</v>
      </c>
      <c r="CZ15301" s="35">
        <v>3.3762780000000006E-2</v>
      </c>
    </row>
    <row r="15302" spans="103:104" x14ac:dyDescent="0.3">
      <c r="CY15302" s="34" t="s">
        <v>16229</v>
      </c>
      <c r="CZ15302" s="35">
        <v>3.2137433999999999E-2</v>
      </c>
    </row>
    <row r="15303" spans="103:104" x14ac:dyDescent="0.3">
      <c r="CY15303" s="34" t="s">
        <v>16230</v>
      </c>
      <c r="CZ15303" s="35">
        <v>8.6493160000000009E-4</v>
      </c>
    </row>
    <row r="15304" spans="103:104" x14ac:dyDescent="0.3">
      <c r="CY15304" s="34" t="s">
        <v>16231</v>
      </c>
      <c r="CZ15304" s="35">
        <v>3.4708997058823535E-2</v>
      </c>
    </row>
    <row r="15305" spans="103:104" x14ac:dyDescent="0.3">
      <c r="CY15305" s="34" t="s">
        <v>16232</v>
      </c>
      <c r="CZ15305" s="35">
        <v>2.6796664E-3</v>
      </c>
    </row>
    <row r="15306" spans="103:104" x14ac:dyDescent="0.3">
      <c r="CY15306" s="34" t="s">
        <v>16233</v>
      </c>
      <c r="CZ15306" s="35">
        <v>7.3604583999999995E-3</v>
      </c>
    </row>
    <row r="15307" spans="103:104" x14ac:dyDescent="0.3">
      <c r="CY15307" s="34" t="s">
        <v>16234</v>
      </c>
      <c r="CZ15307" s="35">
        <v>6.9575066666666672E-4</v>
      </c>
    </row>
    <row r="15308" spans="103:104" x14ac:dyDescent="0.3">
      <c r="CY15308" s="34" t="s">
        <v>16235</v>
      </c>
      <c r="CZ15308" s="35">
        <v>1.8059133333333333E-3</v>
      </c>
    </row>
    <row r="15309" spans="103:104" x14ac:dyDescent="0.3">
      <c r="CY15309" s="34" t="s">
        <v>16236</v>
      </c>
      <c r="CZ15309" s="35">
        <v>3.839449E-3</v>
      </c>
    </row>
    <row r="15310" spans="103:104" x14ac:dyDescent="0.3">
      <c r="CY15310" s="34" t="s">
        <v>16237</v>
      </c>
      <c r="CZ15310" s="35">
        <v>1.7418294657142856E-3</v>
      </c>
    </row>
    <row r="15311" spans="103:104" x14ac:dyDescent="0.3">
      <c r="CY15311" s="34" t="s">
        <v>16238</v>
      </c>
      <c r="CZ15311" s="35">
        <v>5.7543814000000006E-2</v>
      </c>
    </row>
    <row r="15312" spans="103:104" x14ac:dyDescent="0.3">
      <c r="CY15312" s="34" t="s">
        <v>16239</v>
      </c>
      <c r="CZ15312" s="35">
        <v>4.9003199999999988E-3</v>
      </c>
    </row>
    <row r="15313" spans="103:104" x14ac:dyDescent="0.3">
      <c r="CY15313" s="34" t="s">
        <v>16240</v>
      </c>
      <c r="CZ15313" s="35">
        <v>5.1335199999999991E-3</v>
      </c>
    </row>
    <row r="15314" spans="103:104" x14ac:dyDescent="0.3">
      <c r="CY15314" s="34" t="s">
        <v>16241</v>
      </c>
      <c r="CZ15314" s="35">
        <v>2.7778120000000002E-3</v>
      </c>
    </row>
    <row r="15315" spans="103:104" x14ac:dyDescent="0.3">
      <c r="CY15315" s="34" t="s">
        <v>16242</v>
      </c>
      <c r="CZ15315" s="35">
        <v>0.13500445333333336</v>
      </c>
    </row>
    <row r="15316" spans="103:104" x14ac:dyDescent="0.3">
      <c r="CY15316" s="34" t="s">
        <v>16243</v>
      </c>
      <c r="CZ15316" s="35">
        <v>0.13500445333333336</v>
      </c>
    </row>
    <row r="15317" spans="103:104" x14ac:dyDescent="0.3">
      <c r="CY15317" s="34" t="s">
        <v>16244</v>
      </c>
      <c r="CZ15317" s="35">
        <v>5.4989719999999995E-3</v>
      </c>
    </row>
    <row r="15318" spans="103:104" x14ac:dyDescent="0.3">
      <c r="CY15318" s="34" t="s">
        <v>16245</v>
      </c>
      <c r="CZ15318" s="35">
        <v>1.1219199999999998E-3</v>
      </c>
    </row>
    <row r="15319" spans="103:104" x14ac:dyDescent="0.3">
      <c r="CY15319" s="34" t="s">
        <v>16246</v>
      </c>
      <c r="CZ15319" s="35">
        <v>0.84777842859999997</v>
      </c>
    </row>
    <row r="15320" spans="103:104" x14ac:dyDescent="0.3">
      <c r="CY15320" s="34" t="s">
        <v>16247</v>
      </c>
      <c r="CZ15320" s="35">
        <v>0.80534642856666661</v>
      </c>
    </row>
    <row r="15321" spans="103:104" x14ac:dyDescent="0.3">
      <c r="CY15321" s="34" t="s">
        <v>16248</v>
      </c>
      <c r="CZ15321" s="35">
        <v>0.81671214288570004</v>
      </c>
    </row>
    <row r="15322" spans="103:104" x14ac:dyDescent="0.3">
      <c r="CY15322" s="34" t="s">
        <v>16249</v>
      </c>
      <c r="CZ15322" s="35">
        <v>0.1591466466666667</v>
      </c>
    </row>
    <row r="15323" spans="103:104" x14ac:dyDescent="0.3">
      <c r="CY15323" s="34" t="s">
        <v>16250</v>
      </c>
      <c r="CZ15323" s="35">
        <v>1.3035826000000002E-3</v>
      </c>
    </row>
    <row r="15324" spans="103:104" x14ac:dyDescent="0.3">
      <c r="CY15324" s="34" t="s">
        <v>16251</v>
      </c>
      <c r="CZ15324" s="35">
        <v>1.3049826000000001E-3</v>
      </c>
    </row>
    <row r="15325" spans="103:104" x14ac:dyDescent="0.3">
      <c r="CY15325" s="34" t="s">
        <v>16252</v>
      </c>
      <c r="CZ15325" s="35">
        <v>0.717710764</v>
      </c>
    </row>
    <row r="15326" spans="103:104" x14ac:dyDescent="0.3">
      <c r="CY15326" s="34" t="s">
        <v>16253</v>
      </c>
      <c r="CZ15326" s="35">
        <v>0.66386339999999999</v>
      </c>
    </row>
    <row r="15327" spans="103:104" x14ac:dyDescent="0.3">
      <c r="CY15327" s="34" t="s">
        <v>16254</v>
      </c>
      <c r="CZ15327" s="35">
        <v>0.76028346650000012</v>
      </c>
    </row>
    <row r="15328" spans="103:104" x14ac:dyDescent="0.3">
      <c r="CY15328" s="34" t="s">
        <v>16255</v>
      </c>
      <c r="CZ15328" s="35">
        <v>0.73630379999999995</v>
      </c>
    </row>
    <row r="15329" spans="103:104" x14ac:dyDescent="0.3">
      <c r="CY15329" s="34" t="s">
        <v>16256</v>
      </c>
      <c r="CZ15329" s="35">
        <v>0.44102512000000005</v>
      </c>
    </row>
    <row r="15330" spans="103:104" x14ac:dyDescent="0.3">
      <c r="CY15330" s="34" t="s">
        <v>16257</v>
      </c>
      <c r="CZ15330" s="35">
        <v>3.5168452000000003E-2</v>
      </c>
    </row>
    <row r="15331" spans="103:104" x14ac:dyDescent="0.3">
      <c r="CY15331" s="34" t="s">
        <v>16258</v>
      </c>
      <c r="CZ15331" s="35">
        <v>6.3364880000000006E-4</v>
      </c>
    </row>
    <row r="15332" spans="103:104" x14ac:dyDescent="0.3">
      <c r="CY15332" s="34" t="s">
        <v>16259</v>
      </c>
      <c r="CZ15332" s="35">
        <v>1.265544E-3</v>
      </c>
    </row>
    <row r="15333" spans="103:104" x14ac:dyDescent="0.3">
      <c r="CY15333" s="34" t="s">
        <v>16260</v>
      </c>
      <c r="CZ15333" s="35">
        <v>4.4511503333333327E-2</v>
      </c>
    </row>
    <row r="15334" spans="103:104" x14ac:dyDescent="0.3">
      <c r="CY15334" s="34" t="s">
        <v>16261</v>
      </c>
      <c r="CZ15334" s="35">
        <v>1.795836E-2</v>
      </c>
    </row>
    <row r="15335" spans="103:104" x14ac:dyDescent="0.3">
      <c r="CY15335" s="34" t="s">
        <v>16262</v>
      </c>
      <c r="CZ15335" s="35">
        <v>3.0827544999999998E-3</v>
      </c>
    </row>
    <row r="15336" spans="103:104" x14ac:dyDescent="0.3">
      <c r="CY15336" s="34" t="s">
        <v>16263</v>
      </c>
      <c r="CZ15336" s="35">
        <v>3.2181200000000001E-3</v>
      </c>
    </row>
    <row r="15337" spans="103:104" x14ac:dyDescent="0.3">
      <c r="CY15337" s="34" t="s">
        <v>16264</v>
      </c>
      <c r="CZ15337" s="35">
        <v>5.3556559999999988E-4</v>
      </c>
    </row>
    <row r="15338" spans="103:104" x14ac:dyDescent="0.3">
      <c r="CY15338" s="34" t="s">
        <v>16265</v>
      </c>
      <c r="CZ15338" s="35">
        <v>8.2898200000000003E-4</v>
      </c>
    </row>
    <row r="15339" spans="103:104" x14ac:dyDescent="0.3">
      <c r="CY15339" s="34" t="s">
        <v>16266</v>
      </c>
      <c r="CZ15339" s="35">
        <v>2.2736840000000004E-4</v>
      </c>
    </row>
    <row r="15340" spans="103:104" x14ac:dyDescent="0.3">
      <c r="CY15340" s="34" t="s">
        <v>16267</v>
      </c>
      <c r="CZ15340" s="35">
        <v>4.4387920000000006E-4</v>
      </c>
    </row>
    <row r="15341" spans="103:104" x14ac:dyDescent="0.3">
      <c r="CY15341" s="34" t="s">
        <v>16268</v>
      </c>
      <c r="CZ15341" s="35">
        <v>2.3261104714666666E-3</v>
      </c>
    </row>
    <row r="15342" spans="103:104" x14ac:dyDescent="0.3">
      <c r="CY15342" s="34" t="s">
        <v>16269</v>
      </c>
      <c r="CZ15342" s="35">
        <v>4.3360599999999999E-2</v>
      </c>
    </row>
    <row r="15343" spans="103:104" x14ac:dyDescent="0.3">
      <c r="CY15343" s="34" t="s">
        <v>16270</v>
      </c>
      <c r="CZ15343" s="35">
        <v>4.1735000000000001E-2</v>
      </c>
    </row>
    <row r="15344" spans="103:104" x14ac:dyDescent="0.3">
      <c r="CY15344" s="34" t="s">
        <v>16271</v>
      </c>
      <c r="CZ15344" s="35">
        <v>2.35520834E-2</v>
      </c>
    </row>
    <row r="15345" spans="103:104" x14ac:dyDescent="0.3">
      <c r="CY15345" s="34" t="s">
        <v>16272</v>
      </c>
      <c r="CZ15345" s="35">
        <v>6.6652500000000003E-2</v>
      </c>
    </row>
    <row r="15346" spans="103:104" x14ac:dyDescent="0.3">
      <c r="CY15346" s="34" t="s">
        <v>16273</v>
      </c>
      <c r="CZ15346" s="35">
        <v>1.6792623999999999E-3</v>
      </c>
    </row>
    <row r="15347" spans="103:104" x14ac:dyDescent="0.3">
      <c r="CY15347" s="34" t="s">
        <v>16274</v>
      </c>
      <c r="CZ15347" s="35">
        <v>3.9947080000000002E-4</v>
      </c>
    </row>
    <row r="15348" spans="103:104" x14ac:dyDescent="0.3">
      <c r="CY15348" s="34" t="s">
        <v>16275</v>
      </c>
      <c r="CZ15348" s="35">
        <v>1.2595175999999999E-3</v>
      </c>
    </row>
    <row r="15349" spans="103:104" x14ac:dyDescent="0.3">
      <c r="CY15349" s="34" t="s">
        <v>16276</v>
      </c>
      <c r="CZ15349" s="35">
        <v>8.2180080000000008E-4</v>
      </c>
    </row>
    <row r="15350" spans="103:104" x14ac:dyDescent="0.3">
      <c r="CY15350" s="34" t="s">
        <v>16277</v>
      </c>
      <c r="CZ15350" s="35">
        <v>2.0717784E-3</v>
      </c>
    </row>
    <row r="15351" spans="103:104" x14ac:dyDescent="0.3">
      <c r="CY15351" s="34" t="s">
        <v>16278</v>
      </c>
      <c r="CZ15351" s="35">
        <v>9.6483880000000008E-3</v>
      </c>
    </row>
    <row r="15352" spans="103:104" x14ac:dyDescent="0.3">
      <c r="CY15352" s="34" t="s">
        <v>16279</v>
      </c>
      <c r="CZ15352" s="35">
        <v>5.7975066666666663E-3</v>
      </c>
    </row>
    <row r="15353" spans="103:104" x14ac:dyDescent="0.3">
      <c r="CY15353" s="34" t="s">
        <v>16280</v>
      </c>
      <c r="CZ15353" s="35">
        <v>4.3731019999999994E-3</v>
      </c>
    </row>
    <row r="15354" spans="103:104" x14ac:dyDescent="0.3">
      <c r="CY15354" s="34" t="s">
        <v>16281</v>
      </c>
      <c r="CZ15354" s="35">
        <v>1.1831786666666667E-2</v>
      </c>
    </row>
    <row r="15355" spans="103:104" x14ac:dyDescent="0.3">
      <c r="CY15355" s="34" t="s">
        <v>16282</v>
      </c>
      <c r="CZ15355" s="35">
        <v>4.0297600000000003E-3</v>
      </c>
    </row>
    <row r="15356" spans="103:104" x14ac:dyDescent="0.3">
      <c r="CY15356" s="34" t="s">
        <v>16283</v>
      </c>
      <c r="CZ15356" s="35">
        <v>6.8873476000000017E-2</v>
      </c>
    </row>
    <row r="15357" spans="103:104" x14ac:dyDescent="0.3">
      <c r="CY15357" s="34" t="s">
        <v>16284</v>
      </c>
      <c r="CZ15357" s="35">
        <v>2.4018531999999999E-2</v>
      </c>
    </row>
    <row r="15358" spans="103:104" x14ac:dyDescent="0.3">
      <c r="CY15358" s="34" t="s">
        <v>16285</v>
      </c>
      <c r="CZ15358" s="35">
        <v>1.0271031999999998E-2</v>
      </c>
    </row>
    <row r="15359" spans="103:104" x14ac:dyDescent="0.3">
      <c r="CY15359" s="34" t="s">
        <v>16286</v>
      </c>
      <c r="CZ15359" s="35">
        <v>3.7878654434250765E-2</v>
      </c>
    </row>
    <row r="15360" spans="103:104" x14ac:dyDescent="0.3">
      <c r="CY15360" s="34" t="s">
        <v>16287</v>
      </c>
      <c r="CZ15360" s="35">
        <v>8.0932709712499995E-2</v>
      </c>
    </row>
    <row r="15361" spans="103:104" x14ac:dyDescent="0.3">
      <c r="CY15361" s="34" t="s">
        <v>16288</v>
      </c>
      <c r="CZ15361" s="35">
        <v>4.4985857149999996E-2</v>
      </c>
    </row>
    <row r="15362" spans="103:104" x14ac:dyDescent="0.3">
      <c r="CY15362" s="34" t="s">
        <v>16289</v>
      </c>
      <c r="CZ15362" s="35">
        <v>0.13228434999999999</v>
      </c>
    </row>
    <row r="15363" spans="103:104" x14ac:dyDescent="0.3">
      <c r="CY15363" s="34" t="s">
        <v>16290</v>
      </c>
      <c r="CZ15363" s="35">
        <v>0.16103675833333334</v>
      </c>
    </row>
    <row r="15364" spans="103:104" x14ac:dyDescent="0.3">
      <c r="CY15364" s="34" t="s">
        <v>16291</v>
      </c>
      <c r="CZ15364" s="35">
        <v>1.6864272E-2</v>
      </c>
    </row>
    <row r="15365" spans="103:104" x14ac:dyDescent="0.3">
      <c r="CY15365" s="34" t="s">
        <v>16292</v>
      </c>
      <c r="CZ15365" s="35">
        <v>9.9947199999999995E-4</v>
      </c>
    </row>
    <row r="15366" spans="103:104" x14ac:dyDescent="0.3">
      <c r="CY15366" s="34" t="s">
        <v>16293</v>
      </c>
      <c r="CZ15366" s="35">
        <v>1.1189143999999999E-3</v>
      </c>
    </row>
    <row r="15367" spans="103:104" x14ac:dyDescent="0.3">
      <c r="CY15367" s="34" t="s">
        <v>16294</v>
      </c>
      <c r="CZ15367" s="35">
        <v>1.1189143999999999E-3</v>
      </c>
    </row>
    <row r="15368" spans="103:104" x14ac:dyDescent="0.3">
      <c r="CY15368" s="34" t="s">
        <v>16295</v>
      </c>
      <c r="CZ15368" s="35">
        <v>5.1682895999999995E-4</v>
      </c>
    </row>
    <row r="15369" spans="103:104" x14ac:dyDescent="0.3">
      <c r="CY15369" s="34" t="s">
        <v>16296</v>
      </c>
      <c r="CZ15369" s="35">
        <v>4.3239999999999999E-4</v>
      </c>
    </row>
    <row r="15370" spans="103:104" x14ac:dyDescent="0.3">
      <c r="CY15370" s="34" t="s">
        <v>16297</v>
      </c>
      <c r="CZ15370" s="35">
        <v>5.7364000000000004E-4</v>
      </c>
    </row>
    <row r="15371" spans="103:104" x14ac:dyDescent="0.3">
      <c r="CY15371" s="34" t="s">
        <v>16298</v>
      </c>
      <c r="CZ15371" s="35">
        <v>4.4958800000000001E-4</v>
      </c>
    </row>
    <row r="15372" spans="103:104" x14ac:dyDescent="0.3">
      <c r="CY15372" s="34" t="s">
        <v>16299</v>
      </c>
      <c r="CZ15372" s="35">
        <v>7.9588486235294114E-3</v>
      </c>
    </row>
    <row r="15373" spans="103:104" x14ac:dyDescent="0.3">
      <c r="CY15373" s="34" t="s">
        <v>16300</v>
      </c>
      <c r="CZ15373" s="35">
        <v>0.55441666499999998</v>
      </c>
    </row>
    <row r="15374" spans="103:104" x14ac:dyDescent="0.3">
      <c r="CY15374" s="34" t="s">
        <v>16301</v>
      </c>
      <c r="CZ15374" s="35">
        <v>0.16363473335000001</v>
      </c>
    </row>
    <row r="15375" spans="103:104" x14ac:dyDescent="0.3">
      <c r="CY15375" s="34" t="s">
        <v>16302</v>
      </c>
      <c r="CZ15375" s="35">
        <v>2.8479069999999999E-2</v>
      </c>
    </row>
    <row r="15376" spans="103:104" x14ac:dyDescent="0.3">
      <c r="CY15376" s="34" t="s">
        <v>16303</v>
      </c>
      <c r="CZ15376" s="35">
        <v>1.4220064000000001E-2</v>
      </c>
    </row>
    <row r="15377" spans="103:104" x14ac:dyDescent="0.3">
      <c r="CY15377" s="34" t="s">
        <v>16304</v>
      </c>
      <c r="CZ15377" s="35">
        <v>1.2075285333333333E-2</v>
      </c>
    </row>
    <row r="15378" spans="103:104" x14ac:dyDescent="0.3">
      <c r="CY15378" s="34" t="s">
        <v>16305</v>
      </c>
      <c r="CZ15378" s="35">
        <v>0.13061742100000004</v>
      </c>
    </row>
    <row r="15379" spans="103:104" x14ac:dyDescent="0.3">
      <c r="CY15379" s="34" t="s">
        <v>16306</v>
      </c>
      <c r="CZ15379" s="35">
        <v>0.16254267332857145</v>
      </c>
    </row>
    <row r="15380" spans="103:104" x14ac:dyDescent="0.3">
      <c r="CY15380" s="34" t="s">
        <v>16307</v>
      </c>
      <c r="CZ15380" s="35">
        <v>0.12317294000000001</v>
      </c>
    </row>
    <row r="15381" spans="103:104" x14ac:dyDescent="0.3">
      <c r="CY15381" s="34" t="s">
        <v>16308</v>
      </c>
      <c r="CZ15381" s="35">
        <v>0.126560324</v>
      </c>
    </row>
    <row r="15382" spans="103:104" x14ac:dyDescent="0.3">
      <c r="CY15382" s="34" t="s">
        <v>16309</v>
      </c>
      <c r="CZ15382" s="35">
        <v>5.1934124999999998E-2</v>
      </c>
    </row>
    <row r="15383" spans="103:104" x14ac:dyDescent="0.3">
      <c r="CY15383" s="34" t="s">
        <v>16310</v>
      </c>
      <c r="CZ15383" s="35">
        <v>0.17865067999999998</v>
      </c>
    </row>
    <row r="15384" spans="103:104" x14ac:dyDescent="0.3">
      <c r="CY15384" s="34" t="s">
        <v>16311</v>
      </c>
      <c r="CZ15384" s="35">
        <v>9.682461332307693E-2</v>
      </c>
    </row>
    <row r="15385" spans="103:104" x14ac:dyDescent="0.3">
      <c r="CY15385" s="34" t="s">
        <v>16312</v>
      </c>
      <c r="CZ15385" s="35">
        <v>0.118263885</v>
      </c>
    </row>
    <row r="15386" spans="103:104" x14ac:dyDescent="0.3">
      <c r="CY15386" s="34" t="s">
        <v>16313</v>
      </c>
      <c r="CZ15386" s="35">
        <v>5.7895494666666665E-2</v>
      </c>
    </row>
    <row r="15387" spans="103:104" x14ac:dyDescent="0.3">
      <c r="CY15387" s="34" t="s">
        <v>16314</v>
      </c>
      <c r="CZ15387" s="35">
        <v>6.8585079999999993E-2</v>
      </c>
    </row>
    <row r="15388" spans="103:104" x14ac:dyDescent="0.3">
      <c r="CY15388" s="34" t="s">
        <v>16315</v>
      </c>
      <c r="CZ15388" s="35">
        <v>4.2817799973684213E-2</v>
      </c>
    </row>
    <row r="15389" spans="103:104" x14ac:dyDescent="0.3">
      <c r="CY15389" s="34" t="s">
        <v>16316</v>
      </c>
      <c r="CZ15389" s="35">
        <v>9.1914252400000007E-2</v>
      </c>
    </row>
    <row r="15390" spans="103:104" x14ac:dyDescent="0.3">
      <c r="CY15390" s="34" t="s">
        <v>16317</v>
      </c>
      <c r="CZ15390" s="35">
        <v>7.816938679999999E-2</v>
      </c>
    </row>
    <row r="15391" spans="103:104" x14ac:dyDescent="0.3">
      <c r="CY15391" s="34" t="s">
        <v>16318</v>
      </c>
      <c r="CZ15391" s="35">
        <v>3.3173222846153844E-2</v>
      </c>
    </row>
    <row r="15392" spans="103:104" x14ac:dyDescent="0.3">
      <c r="CY15392" s="34" t="s">
        <v>16319</v>
      </c>
      <c r="CZ15392" s="35">
        <v>1.3228960000000001E-3</v>
      </c>
    </row>
    <row r="15393" spans="103:104" x14ac:dyDescent="0.3">
      <c r="CY15393" s="34" t="s">
        <v>16320</v>
      </c>
      <c r="CZ15393" s="35">
        <v>7.4376679999999997E-3</v>
      </c>
    </row>
    <row r="15394" spans="103:104" x14ac:dyDescent="0.3">
      <c r="CY15394" s="34" t="s">
        <v>16321</v>
      </c>
      <c r="CZ15394" s="35">
        <v>2.8849547999999996E-2</v>
      </c>
    </row>
    <row r="15395" spans="103:104" x14ac:dyDescent="0.3">
      <c r="CY15395" s="34" t="s">
        <v>16322</v>
      </c>
      <c r="CZ15395" s="35">
        <v>2.8661599999999999E-2</v>
      </c>
    </row>
    <row r="15396" spans="103:104" x14ac:dyDescent="0.3">
      <c r="CY15396" s="34" t="s">
        <v>16323</v>
      </c>
      <c r="CZ15396" s="35">
        <v>9.3391279999999993E-2</v>
      </c>
    </row>
    <row r="15397" spans="103:104" x14ac:dyDescent="0.3">
      <c r="CY15397" s="34" t="s">
        <v>16324</v>
      </c>
      <c r="CZ15397" s="35">
        <v>3.2378544000000002E-2</v>
      </c>
    </row>
    <row r="15398" spans="103:104" x14ac:dyDescent="0.3">
      <c r="CY15398" s="34" t="s">
        <v>16325</v>
      </c>
      <c r="CZ15398" s="35">
        <v>4.1370411999999995E-2</v>
      </c>
    </row>
    <row r="15399" spans="103:104" x14ac:dyDescent="0.3">
      <c r="CY15399" s="34" t="s">
        <v>16326</v>
      </c>
      <c r="CZ15399" s="35">
        <v>1.5822968000000003E-2</v>
      </c>
    </row>
    <row r="15400" spans="103:104" x14ac:dyDescent="0.3">
      <c r="CY15400" s="34" t="s">
        <v>16327</v>
      </c>
      <c r="CZ15400" s="35">
        <v>2.386684E-2</v>
      </c>
    </row>
    <row r="15401" spans="103:104" x14ac:dyDescent="0.3">
      <c r="CY15401" s="34" t="s">
        <v>16328</v>
      </c>
      <c r="CZ15401" s="35">
        <v>1.4059117581818183E-2</v>
      </c>
    </row>
    <row r="15402" spans="103:104" x14ac:dyDescent="0.3">
      <c r="CY15402" s="34" t="s">
        <v>16329</v>
      </c>
      <c r="CZ15402" s="35">
        <v>8.3459559999999999E-3</v>
      </c>
    </row>
    <row r="15403" spans="103:104" x14ac:dyDescent="0.3">
      <c r="CY15403" s="34" t="s">
        <v>16330</v>
      </c>
      <c r="CZ15403" s="35">
        <v>1.4573147999999998E-2</v>
      </c>
    </row>
    <row r="15404" spans="103:104" x14ac:dyDescent="0.3">
      <c r="CY15404" s="34" t="s">
        <v>16331</v>
      </c>
      <c r="CZ15404" s="35">
        <v>1.127808134883721E-2</v>
      </c>
    </row>
    <row r="15405" spans="103:104" x14ac:dyDescent="0.3">
      <c r="CY15405" s="34" t="s">
        <v>16332</v>
      </c>
      <c r="CZ15405" s="35">
        <v>6.999194666666667E-4</v>
      </c>
    </row>
    <row r="15406" spans="103:104" x14ac:dyDescent="0.3">
      <c r="CY15406" s="34" t="s">
        <v>16333</v>
      </c>
      <c r="CZ15406" s="35">
        <v>2.0033166875000001E-2</v>
      </c>
    </row>
    <row r="15407" spans="103:104" x14ac:dyDescent="0.3">
      <c r="CY15407" s="34" t="s">
        <v>16334</v>
      </c>
      <c r="CZ15407" s="35">
        <v>2.679861866666667E-2</v>
      </c>
    </row>
    <row r="15408" spans="103:104" x14ac:dyDescent="0.3">
      <c r="CY15408" s="34" t="s">
        <v>16335</v>
      </c>
      <c r="CZ15408" s="35">
        <v>2.5938144000000003E-2</v>
      </c>
    </row>
    <row r="15409" spans="103:104" x14ac:dyDescent="0.3">
      <c r="CY15409" s="34" t="s">
        <v>16336</v>
      </c>
      <c r="CZ15409" s="35">
        <v>1.6998800000000001E-2</v>
      </c>
    </row>
    <row r="15410" spans="103:104" x14ac:dyDescent="0.3">
      <c r="CY15410" s="34" t="s">
        <v>16337</v>
      </c>
      <c r="CZ15410" s="35">
        <v>1.6467943200000001E-2</v>
      </c>
    </row>
    <row r="15411" spans="103:104" x14ac:dyDescent="0.3">
      <c r="CY15411" s="34" t="s">
        <v>16338</v>
      </c>
      <c r="CZ15411" s="35">
        <v>4.0145479999999997E-2</v>
      </c>
    </row>
    <row r="15412" spans="103:104" x14ac:dyDescent="0.3">
      <c r="CY15412" s="34" t="s">
        <v>16339</v>
      </c>
      <c r="CZ15412" s="35">
        <v>6.4245395999999996E-2</v>
      </c>
    </row>
    <row r="15413" spans="103:104" x14ac:dyDescent="0.3">
      <c r="CY15413" s="34" t="s">
        <v>16340</v>
      </c>
      <c r="CZ15413" s="35">
        <v>8.8426439999999995E-2</v>
      </c>
    </row>
    <row r="15414" spans="103:104" x14ac:dyDescent="0.3">
      <c r="CY15414" s="34" t="s">
        <v>16341</v>
      </c>
      <c r="CZ15414" s="35">
        <v>4.9492260000000003E-2</v>
      </c>
    </row>
    <row r="15415" spans="103:104" x14ac:dyDescent="0.3">
      <c r="CY15415" s="34" t="s">
        <v>16342</v>
      </c>
      <c r="CZ15415" s="35">
        <v>1.3436728E-2</v>
      </c>
    </row>
    <row r="15416" spans="103:104" x14ac:dyDescent="0.3">
      <c r="CY15416" s="34" t="s">
        <v>16343</v>
      </c>
      <c r="CZ15416" s="35">
        <v>1.19452753E-3</v>
      </c>
    </row>
    <row r="15417" spans="103:104" x14ac:dyDescent="0.3">
      <c r="CY15417" s="34" t="s">
        <v>16344</v>
      </c>
      <c r="CZ15417" s="35">
        <v>9.3014566000000003E-4</v>
      </c>
    </row>
    <row r="15418" spans="103:104" x14ac:dyDescent="0.3">
      <c r="CY15418" s="34" t="s">
        <v>16345</v>
      </c>
      <c r="CZ15418" s="35">
        <v>1.1024640799999999E-3</v>
      </c>
    </row>
    <row r="15419" spans="103:104" x14ac:dyDescent="0.3">
      <c r="CY15419" s="34" t="s">
        <v>16346</v>
      </c>
      <c r="CZ15419" s="35">
        <v>3.5137627999999995E-3</v>
      </c>
    </row>
    <row r="15420" spans="103:104" x14ac:dyDescent="0.3">
      <c r="CY15420" s="34" t="s">
        <v>16347</v>
      </c>
      <c r="CZ15420" s="35">
        <v>3.6204600000000003E-3</v>
      </c>
    </row>
    <row r="15421" spans="103:104" x14ac:dyDescent="0.3">
      <c r="CY15421" s="34" t="s">
        <v>16348</v>
      </c>
      <c r="CZ15421" s="35">
        <v>3.5850501333333333E-3</v>
      </c>
    </row>
    <row r="15422" spans="103:104" x14ac:dyDescent="0.3">
      <c r="CY15422" s="34" t="s">
        <v>16349</v>
      </c>
      <c r="CZ15422" s="35">
        <v>2.952261333333333E-3</v>
      </c>
    </row>
    <row r="15423" spans="103:104" x14ac:dyDescent="0.3">
      <c r="CY15423" s="34" t="s">
        <v>16350</v>
      </c>
      <c r="CZ15423" s="35">
        <v>1.3812070666666666E-2</v>
      </c>
    </row>
    <row r="15424" spans="103:104" x14ac:dyDescent="0.3">
      <c r="CY15424" s="34" t="s">
        <v>16351</v>
      </c>
      <c r="CZ15424" s="35">
        <v>8.1055084999999989E-3</v>
      </c>
    </row>
    <row r="15425" spans="103:104" x14ac:dyDescent="0.3">
      <c r="CY15425" s="34" t="s">
        <v>16352</v>
      </c>
      <c r="CZ15425" s="35">
        <v>1.4605551999999999E-2</v>
      </c>
    </row>
    <row r="15426" spans="103:104" x14ac:dyDescent="0.3">
      <c r="CY15426" s="34" t="s">
        <v>16353</v>
      </c>
      <c r="CZ15426" s="35">
        <v>1.5607200000000002E-4</v>
      </c>
    </row>
    <row r="15427" spans="103:104" x14ac:dyDescent="0.3">
      <c r="CY15427" s="34" t="s">
        <v>16354</v>
      </c>
      <c r="CZ15427" s="35">
        <v>6.3770488890000001E-3</v>
      </c>
    </row>
    <row r="15428" spans="103:104" x14ac:dyDescent="0.3">
      <c r="CY15428" s="34" t="s">
        <v>16355</v>
      </c>
      <c r="CZ15428" s="35">
        <v>1.4691349999999999E-2</v>
      </c>
    </row>
    <row r="15429" spans="103:104" x14ac:dyDescent="0.3">
      <c r="CY15429" s="34" t="s">
        <v>16356</v>
      </c>
      <c r="CZ15429" s="35">
        <v>4.1473763333333335E-3</v>
      </c>
    </row>
    <row r="15430" spans="103:104" x14ac:dyDescent="0.3">
      <c r="CY15430" s="34" t="s">
        <v>16357</v>
      </c>
      <c r="CZ15430" s="35">
        <v>5.2213889999999999E-2</v>
      </c>
    </row>
    <row r="15431" spans="103:104" x14ac:dyDescent="0.3">
      <c r="CY15431" s="34" t="s">
        <v>16358</v>
      </c>
      <c r="CZ15431" s="35">
        <v>0.72922224999999996</v>
      </c>
    </row>
    <row r="15432" spans="103:104" x14ac:dyDescent="0.3">
      <c r="CY15432" s="34" t="s">
        <v>16359</v>
      </c>
      <c r="CZ15432" s="35">
        <v>0.34940661000000006</v>
      </c>
    </row>
    <row r="15433" spans="103:104" x14ac:dyDescent="0.3">
      <c r="CY15433" s="34" t="s">
        <v>16360</v>
      </c>
      <c r="CZ15433" s="35">
        <v>0.68020148999999985</v>
      </c>
    </row>
    <row r="15434" spans="103:104" x14ac:dyDescent="0.3">
      <c r="CY15434" s="34" t="s">
        <v>16361</v>
      </c>
      <c r="CZ15434" s="35">
        <v>0.41017625000000008</v>
      </c>
    </row>
    <row r="15435" spans="103:104" x14ac:dyDescent="0.3">
      <c r="CY15435" s="34" t="s">
        <v>16362</v>
      </c>
      <c r="CZ15435" s="35">
        <v>2.6743670375939848E-3</v>
      </c>
    </row>
    <row r="15436" spans="103:104" x14ac:dyDescent="0.3">
      <c r="CY15436" s="34" t="s">
        <v>16363</v>
      </c>
      <c r="CZ15436" s="35">
        <v>5.4656486000000004E-2</v>
      </c>
    </row>
    <row r="15437" spans="103:104" x14ac:dyDescent="0.3">
      <c r="CY15437" s="34" t="s">
        <v>16364</v>
      </c>
      <c r="CZ15437" s="35">
        <v>2.306392E-4</v>
      </c>
    </row>
    <row r="15438" spans="103:104" x14ac:dyDescent="0.3">
      <c r="CY15438" s="34" t="s">
        <v>16365</v>
      </c>
      <c r="CZ15438" s="35">
        <v>8.1044680000000008E-2</v>
      </c>
    </row>
    <row r="15439" spans="103:104" x14ac:dyDescent="0.3">
      <c r="CY15439" s="34" t="s">
        <v>16366</v>
      </c>
      <c r="CZ15439" s="35">
        <v>1.6045628235294117E-2</v>
      </c>
    </row>
    <row r="15440" spans="103:104" x14ac:dyDescent="0.3">
      <c r="CY15440" s="34" t="s">
        <v>16367</v>
      </c>
      <c r="CZ15440" s="35">
        <v>8.1044680000000008E-2</v>
      </c>
    </row>
    <row r="15441" spans="103:104" x14ac:dyDescent="0.3">
      <c r="CY15441" s="34" t="s">
        <v>16368</v>
      </c>
      <c r="CZ15441" s="35">
        <v>1.0374726666666667E-2</v>
      </c>
    </row>
    <row r="15442" spans="103:104" x14ac:dyDescent="0.3">
      <c r="CY15442" s="34" t="s">
        <v>16369</v>
      </c>
      <c r="CZ15442" s="35">
        <v>1.53543E-3</v>
      </c>
    </row>
    <row r="15443" spans="103:104" x14ac:dyDescent="0.3">
      <c r="CY15443" s="34" t="s">
        <v>16370</v>
      </c>
      <c r="CZ15443" s="35">
        <v>3.2330690909090909E-4</v>
      </c>
    </row>
    <row r="15444" spans="103:104" x14ac:dyDescent="0.3">
      <c r="CY15444" s="34" t="s">
        <v>16371</v>
      </c>
      <c r="CZ15444" s="35">
        <v>3.9248646153846152E-4</v>
      </c>
    </row>
    <row r="15445" spans="103:104" x14ac:dyDescent="0.3">
      <c r="CY15445" s="34" t="s">
        <v>16372</v>
      </c>
      <c r="CZ15445" s="35">
        <v>1.1385544000000001E-3</v>
      </c>
    </row>
    <row r="15446" spans="103:104" x14ac:dyDescent="0.3">
      <c r="CY15446" s="34" t="s">
        <v>16373</v>
      </c>
      <c r="CZ15446" s="35">
        <v>1.362832E-3</v>
      </c>
    </row>
    <row r="15447" spans="103:104" x14ac:dyDescent="0.3">
      <c r="CY15447" s="34" t="s">
        <v>16374</v>
      </c>
      <c r="CZ15447" s="35">
        <v>7.6825519999999998E-4</v>
      </c>
    </row>
    <row r="15448" spans="103:104" x14ac:dyDescent="0.3">
      <c r="CY15448" s="34" t="s">
        <v>16375</v>
      </c>
      <c r="CZ15448" s="35">
        <v>8.9558799999999994E-2</v>
      </c>
    </row>
    <row r="15449" spans="103:104" x14ac:dyDescent="0.3">
      <c r="CY15449" s="34" t="s">
        <v>16376</v>
      </c>
      <c r="CZ15449" s="35">
        <v>8.9558799999999994E-2</v>
      </c>
    </row>
    <row r="15450" spans="103:104" x14ac:dyDescent="0.3">
      <c r="CY15450" s="34" t="s">
        <v>16377</v>
      </c>
      <c r="CZ15450" s="35">
        <v>8.2654960000000009E-4</v>
      </c>
    </row>
    <row r="15451" spans="103:104" x14ac:dyDescent="0.3">
      <c r="CY15451" s="34" t="s">
        <v>16378</v>
      </c>
      <c r="CZ15451" s="35">
        <v>1.8322998500000002E-3</v>
      </c>
    </row>
    <row r="15452" spans="103:104" x14ac:dyDescent="0.3">
      <c r="CY15452" s="34" t="s">
        <v>16379</v>
      </c>
      <c r="CZ15452" s="35">
        <v>1.3924684460000001E-2</v>
      </c>
    </row>
    <row r="15453" spans="103:104" x14ac:dyDescent="0.3">
      <c r="CY15453" s="34" t="s">
        <v>16380</v>
      </c>
      <c r="CZ15453" s="35">
        <v>6.001020000000001E-3</v>
      </c>
    </row>
    <row r="15454" spans="103:104" x14ac:dyDescent="0.3">
      <c r="CY15454" s="34" t="s">
        <v>16381</v>
      </c>
      <c r="CZ15454" s="35">
        <v>7.1586089999999998E-3</v>
      </c>
    </row>
    <row r="15455" spans="103:104" x14ac:dyDescent="0.3">
      <c r="CY15455" s="34" t="s">
        <v>16382</v>
      </c>
      <c r="CZ15455" s="35">
        <v>2.1961060000000004E-2</v>
      </c>
    </row>
    <row r="15456" spans="103:104" x14ac:dyDescent="0.3">
      <c r="CY15456" s="34" t="s">
        <v>16383</v>
      </c>
      <c r="CZ15456" s="35">
        <v>1.8691399999999997E-2</v>
      </c>
    </row>
    <row r="15457" spans="103:104" x14ac:dyDescent="0.3">
      <c r="CY15457" s="34" t="s">
        <v>16384</v>
      </c>
      <c r="CZ15457" s="35">
        <v>7.3083739999999994E-2</v>
      </c>
    </row>
    <row r="15458" spans="103:104" x14ac:dyDescent="0.3">
      <c r="CY15458" s="34" t="s">
        <v>16385</v>
      </c>
      <c r="CZ15458" s="35">
        <v>9.4138780000000005E-2</v>
      </c>
    </row>
    <row r="15459" spans="103:104" x14ac:dyDescent="0.3">
      <c r="CY15459" s="34" t="s">
        <v>16386</v>
      </c>
      <c r="CZ15459" s="35">
        <v>1.4739760000000001E-3</v>
      </c>
    </row>
    <row r="15460" spans="103:104" x14ac:dyDescent="0.3">
      <c r="CY15460" s="34" t="s">
        <v>16387</v>
      </c>
      <c r="CZ15460" s="35">
        <v>1.7514874000000001E-3</v>
      </c>
    </row>
    <row r="15461" spans="103:104" x14ac:dyDescent="0.3">
      <c r="CY15461" s="34" t="s">
        <v>16388</v>
      </c>
      <c r="CZ15461" s="35">
        <v>3.4771184999999997E-3</v>
      </c>
    </row>
    <row r="15462" spans="103:104" x14ac:dyDescent="0.3">
      <c r="CY15462" s="34" t="s">
        <v>16389</v>
      </c>
      <c r="CZ15462" s="35">
        <v>4.1536559999999995E-3</v>
      </c>
    </row>
    <row r="15463" spans="103:104" x14ac:dyDescent="0.3">
      <c r="CY15463" s="34" t="s">
        <v>16390</v>
      </c>
      <c r="CZ15463" s="35">
        <v>2.6659399999999999E-3</v>
      </c>
    </row>
    <row r="15464" spans="103:104" x14ac:dyDescent="0.3">
      <c r="CY15464" s="34" t="s">
        <v>16391</v>
      </c>
      <c r="CZ15464" s="35">
        <v>1.4794623999999999E-2</v>
      </c>
    </row>
    <row r="15465" spans="103:104" x14ac:dyDescent="0.3">
      <c r="CY15465" s="34" t="s">
        <v>16392</v>
      </c>
      <c r="CZ15465" s="35">
        <v>2.848327333333333E-3</v>
      </c>
    </row>
    <row r="15466" spans="103:104" x14ac:dyDescent="0.3">
      <c r="CY15466" s="34" t="s">
        <v>16393</v>
      </c>
      <c r="CZ15466" s="35">
        <v>5.4891063076923079E-3</v>
      </c>
    </row>
    <row r="15467" spans="103:104" x14ac:dyDescent="0.3">
      <c r="CY15467" s="34" t="s">
        <v>16394</v>
      </c>
      <c r="CZ15467" s="35">
        <v>1.3752928000000002E-3</v>
      </c>
    </row>
    <row r="15468" spans="103:104" x14ac:dyDescent="0.3">
      <c r="CY15468" s="34" t="s">
        <v>16395</v>
      </c>
      <c r="CZ15468" s="35">
        <v>5.2346540000000009E-3</v>
      </c>
    </row>
    <row r="15469" spans="103:104" x14ac:dyDescent="0.3">
      <c r="CY15469" s="34" t="s">
        <v>16396</v>
      </c>
      <c r="CZ15469" s="35">
        <v>3.5800800000000005E-4</v>
      </c>
    </row>
    <row r="15470" spans="103:104" x14ac:dyDescent="0.3">
      <c r="CY15470" s="34" t="s">
        <v>16397</v>
      </c>
      <c r="CZ15470" s="35">
        <v>4.720096E-4</v>
      </c>
    </row>
    <row r="15471" spans="103:104" x14ac:dyDescent="0.3">
      <c r="CY15471" s="34" t="s">
        <v>16398</v>
      </c>
      <c r="CZ15471" s="35">
        <v>5.3639216000000013E-4</v>
      </c>
    </row>
    <row r="15472" spans="103:104" x14ac:dyDescent="0.3">
      <c r="CY15472" s="34" t="s">
        <v>16399</v>
      </c>
      <c r="CZ15472" s="35">
        <v>7.5245565217391304E-4</v>
      </c>
    </row>
    <row r="15473" spans="103:104" x14ac:dyDescent="0.3">
      <c r="CY15473" s="34" t="s">
        <v>16400</v>
      </c>
      <c r="CZ15473" s="35">
        <v>2.3196736000000002E-3</v>
      </c>
    </row>
    <row r="15474" spans="103:104" x14ac:dyDescent="0.3">
      <c r="CY15474" s="34" t="s">
        <v>16401</v>
      </c>
      <c r="CZ15474" s="35">
        <v>6.7663999999999995E-4</v>
      </c>
    </row>
    <row r="15475" spans="103:104" x14ac:dyDescent="0.3">
      <c r="CY15475" s="34" t="s">
        <v>16402</v>
      </c>
      <c r="CZ15475" s="35">
        <v>2.2244491104477612E-2</v>
      </c>
    </row>
    <row r="15476" spans="103:104" x14ac:dyDescent="0.3">
      <c r="CY15476" s="34" t="s">
        <v>16403</v>
      </c>
      <c r="CZ15476" s="35">
        <v>3.3573647999999997E-3</v>
      </c>
    </row>
    <row r="15477" spans="103:104" x14ac:dyDescent="0.3">
      <c r="CY15477" s="34" t="s">
        <v>16404</v>
      </c>
      <c r="CZ15477" s="35">
        <v>8.4817085799999987E-3</v>
      </c>
    </row>
    <row r="15478" spans="103:104" x14ac:dyDescent="0.3">
      <c r="CY15478" s="34" t="s">
        <v>16405</v>
      </c>
      <c r="CZ15478" s="35">
        <v>7.4320746666666653E-4</v>
      </c>
    </row>
    <row r="15479" spans="103:104" x14ac:dyDescent="0.3">
      <c r="CY15479" s="34" t="s">
        <v>16406</v>
      </c>
      <c r="CZ15479" s="35">
        <v>6.4893548405797101E-4</v>
      </c>
    </row>
    <row r="15480" spans="103:104" x14ac:dyDescent="0.3">
      <c r="CY15480" s="34" t="s">
        <v>16407</v>
      </c>
      <c r="CZ15480" s="35">
        <v>1.0612064E-3</v>
      </c>
    </row>
    <row r="15481" spans="103:104" x14ac:dyDescent="0.3">
      <c r="CY15481" s="34" t="s">
        <v>16408</v>
      </c>
      <c r="CZ15481" s="35">
        <v>2.4867280000000001E-3</v>
      </c>
    </row>
    <row r="15482" spans="103:104" x14ac:dyDescent="0.3">
      <c r="CY15482" s="34" t="s">
        <v>16409</v>
      </c>
      <c r="CZ15482" s="35">
        <v>8.9800350684931499E-4</v>
      </c>
    </row>
    <row r="15483" spans="103:104" x14ac:dyDescent="0.3">
      <c r="CY15483" s="34" t="s">
        <v>16410</v>
      </c>
      <c r="CZ15483" s="35">
        <v>5.514281142857143E-3</v>
      </c>
    </row>
    <row r="15484" spans="103:104" x14ac:dyDescent="0.3">
      <c r="CY15484" s="34" t="s">
        <v>16411</v>
      </c>
      <c r="CZ15484" s="35">
        <v>8.9584541935483865E-4</v>
      </c>
    </row>
    <row r="15485" spans="103:104" x14ac:dyDescent="0.3">
      <c r="CY15485" s="34" t="s">
        <v>16412</v>
      </c>
      <c r="CZ15485" s="35">
        <v>1.1664734139534884E-3</v>
      </c>
    </row>
    <row r="15486" spans="103:104" x14ac:dyDescent="0.3">
      <c r="CY15486" s="34" t="s">
        <v>16413</v>
      </c>
      <c r="CZ15486" s="35">
        <v>9.2187584578313254E-3</v>
      </c>
    </row>
    <row r="15487" spans="103:104" x14ac:dyDescent="0.3">
      <c r="CY15487" s="34" t="s">
        <v>16414</v>
      </c>
      <c r="CZ15487" s="35">
        <v>2.2704352E-3</v>
      </c>
    </row>
    <row r="15488" spans="103:104" x14ac:dyDescent="0.3">
      <c r="CY15488" s="34" t="s">
        <v>16415</v>
      </c>
      <c r="CZ15488" s="35">
        <v>4.0276990684931507E-4</v>
      </c>
    </row>
    <row r="15489" spans="103:104" x14ac:dyDescent="0.3">
      <c r="CY15489" s="34" t="s">
        <v>16416</v>
      </c>
      <c r="CZ15489" s="35">
        <v>3.3694660000000002E-3</v>
      </c>
    </row>
    <row r="15490" spans="103:104" x14ac:dyDescent="0.3">
      <c r="CY15490" s="34" t="s">
        <v>16417</v>
      </c>
      <c r="CZ15490" s="35">
        <v>2.1877223529411763E-3</v>
      </c>
    </row>
    <row r="15491" spans="103:104" x14ac:dyDescent="0.3">
      <c r="CY15491" s="34" t="s">
        <v>16418</v>
      </c>
      <c r="CZ15491" s="35">
        <v>8.0747200000000005E-4</v>
      </c>
    </row>
    <row r="15492" spans="103:104" x14ac:dyDescent="0.3">
      <c r="CY15492" s="34" t="s">
        <v>16419</v>
      </c>
      <c r="CZ15492" s="35">
        <v>1.6994598E-2</v>
      </c>
    </row>
    <row r="15493" spans="103:104" x14ac:dyDescent="0.3">
      <c r="CY15493" s="34" t="s">
        <v>16420</v>
      </c>
      <c r="CZ15493" s="35">
        <v>1.6994598E-2</v>
      </c>
    </row>
    <row r="15494" spans="103:104" x14ac:dyDescent="0.3">
      <c r="CY15494" s="34" t="s">
        <v>16421</v>
      </c>
      <c r="CZ15494" s="35">
        <v>1.0545528780487804E-3</v>
      </c>
    </row>
    <row r="15495" spans="103:104" x14ac:dyDescent="0.3">
      <c r="CY15495" s="34" t="s">
        <v>16422</v>
      </c>
      <c r="CZ15495" s="35">
        <v>9.5189680000000009E-4</v>
      </c>
    </row>
    <row r="15496" spans="103:104" x14ac:dyDescent="0.3">
      <c r="CY15496" s="34" t="s">
        <v>16423</v>
      </c>
      <c r="CZ15496" s="35">
        <v>3.1757392000000002E-2</v>
      </c>
    </row>
    <row r="15497" spans="103:104" x14ac:dyDescent="0.3">
      <c r="CY15497" s="34" t="s">
        <v>16424</v>
      </c>
      <c r="CZ15497" s="35">
        <v>1.3200222933333334E-2</v>
      </c>
    </row>
    <row r="15498" spans="103:104" x14ac:dyDescent="0.3">
      <c r="CY15498" s="34" t="s">
        <v>16425</v>
      </c>
      <c r="CZ15498" s="35">
        <v>0.10990493599999999</v>
      </c>
    </row>
    <row r="15499" spans="103:104" x14ac:dyDescent="0.3">
      <c r="CY15499" s="34" t="s">
        <v>16426</v>
      </c>
      <c r="CZ15499" s="35">
        <v>9.8117384000000002E-2</v>
      </c>
    </row>
    <row r="15500" spans="103:104" x14ac:dyDescent="0.3">
      <c r="CY15500" s="34" t="s">
        <v>16427</v>
      </c>
      <c r="CZ15500" s="35">
        <v>8.3648007999999989E-3</v>
      </c>
    </row>
    <row r="15501" spans="103:104" x14ac:dyDescent="0.3">
      <c r="CY15501" s="34" t="s">
        <v>16428</v>
      </c>
      <c r="CZ15501" s="35">
        <v>2.4516899999999999E-3</v>
      </c>
    </row>
    <row r="15502" spans="103:104" x14ac:dyDescent="0.3">
      <c r="CY15502" s="34" t="s">
        <v>16429</v>
      </c>
      <c r="CZ15502" s="35">
        <v>2.4412899999999996E-3</v>
      </c>
    </row>
    <row r="15503" spans="103:104" x14ac:dyDescent="0.3">
      <c r="CY15503" s="34" t="s">
        <v>16430</v>
      </c>
      <c r="CZ15503" s="35">
        <v>1.4238580000000001E-3</v>
      </c>
    </row>
    <row r="15504" spans="103:104" x14ac:dyDescent="0.3">
      <c r="CY15504" s="34" t="s">
        <v>16431</v>
      </c>
      <c r="CZ15504" s="35">
        <v>1.5176868000000001E-3</v>
      </c>
    </row>
    <row r="15505" spans="103:104" x14ac:dyDescent="0.3">
      <c r="CY15505" s="34" t="s">
        <v>16432</v>
      </c>
      <c r="CZ15505" s="35">
        <v>2.5191152000000002E-3</v>
      </c>
    </row>
    <row r="15506" spans="103:104" x14ac:dyDescent="0.3">
      <c r="CY15506" s="34" t="s">
        <v>16433</v>
      </c>
      <c r="CZ15506" s="35">
        <v>7.2663093299999995E-2</v>
      </c>
    </row>
    <row r="15507" spans="103:104" x14ac:dyDescent="0.3">
      <c r="CY15507" s="34" t="s">
        <v>16434</v>
      </c>
      <c r="CZ15507" s="35">
        <v>0.82968975999999994</v>
      </c>
    </row>
    <row r="15508" spans="103:104" x14ac:dyDescent="0.3">
      <c r="CY15508" s="34" t="s">
        <v>16435</v>
      </c>
      <c r="CZ15508" s="35">
        <v>1.1769216000000002E-2</v>
      </c>
    </row>
    <row r="15509" spans="103:104" x14ac:dyDescent="0.3">
      <c r="CY15509" s="34" t="s">
        <v>16436</v>
      </c>
      <c r="CZ15509" s="35">
        <v>2.3989880000000002E-2</v>
      </c>
    </row>
    <row r="15510" spans="103:104" x14ac:dyDescent="0.3">
      <c r="CY15510" s="34" t="s">
        <v>16437</v>
      </c>
      <c r="CZ15510" s="35">
        <v>3.0456160000000003E-2</v>
      </c>
    </row>
    <row r="15511" spans="103:104" x14ac:dyDescent="0.3">
      <c r="CY15511" s="34" t="s">
        <v>16438</v>
      </c>
      <c r="CZ15511" s="35">
        <v>2.9156600000000001E-2</v>
      </c>
    </row>
    <row r="15512" spans="103:104" x14ac:dyDescent="0.3">
      <c r="CY15512" s="34" t="s">
        <v>16439</v>
      </c>
      <c r="CZ15512" s="35">
        <v>1.0222313350000001E-2</v>
      </c>
    </row>
    <row r="15513" spans="103:104" x14ac:dyDescent="0.3">
      <c r="CY15513" s="34" t="s">
        <v>16440</v>
      </c>
      <c r="CZ15513" s="35">
        <v>7.2204755000000002E-3</v>
      </c>
    </row>
    <row r="15514" spans="103:104" x14ac:dyDescent="0.3">
      <c r="CY15514" s="34" t="s">
        <v>16441</v>
      </c>
      <c r="CZ15514" s="35">
        <v>5.4111066111000002E-3</v>
      </c>
    </row>
    <row r="15515" spans="103:104" x14ac:dyDescent="0.3">
      <c r="CY15515" s="34" t="s">
        <v>16442</v>
      </c>
      <c r="CZ15515" s="35">
        <v>8.4773706500000014E-3</v>
      </c>
    </row>
    <row r="15516" spans="103:104" x14ac:dyDescent="0.3">
      <c r="CY15516" s="34" t="s">
        <v>16443</v>
      </c>
      <c r="CZ15516" s="35">
        <v>0.13462958908045977</v>
      </c>
    </row>
    <row r="15517" spans="103:104" x14ac:dyDescent="0.3">
      <c r="CY15517" s="34" t="s">
        <v>16444</v>
      </c>
      <c r="CZ15517" s="35">
        <v>0.51759467999999997</v>
      </c>
    </row>
    <row r="15518" spans="103:104" x14ac:dyDescent="0.3">
      <c r="CY15518" s="34" t="s">
        <v>16445</v>
      </c>
      <c r="CZ15518" s="35">
        <v>6.5383564444444452E-3</v>
      </c>
    </row>
    <row r="15519" spans="103:104" x14ac:dyDescent="0.3">
      <c r="CY15519" s="34" t="s">
        <v>16446</v>
      </c>
      <c r="CZ15519" s="35">
        <v>4.5310200000000002E-3</v>
      </c>
    </row>
    <row r="15520" spans="103:104" x14ac:dyDescent="0.3">
      <c r="CY15520" s="34" t="s">
        <v>16447</v>
      </c>
      <c r="CZ15520" s="35">
        <v>1.2237232323232325E-2</v>
      </c>
    </row>
    <row r="15521" spans="103:104" x14ac:dyDescent="0.3">
      <c r="CY15521" s="34" t="s">
        <v>16448</v>
      </c>
      <c r="CZ15521" s="35">
        <v>1.4633600000000002E-2</v>
      </c>
    </row>
    <row r="15522" spans="103:104" x14ac:dyDescent="0.3">
      <c r="CY15522" s="34" t="s">
        <v>16449</v>
      </c>
      <c r="CZ15522" s="35">
        <v>1.6860202020202018E-2</v>
      </c>
    </row>
    <row r="15523" spans="103:104" x14ac:dyDescent="0.3">
      <c r="CY15523" s="34" t="s">
        <v>16450</v>
      </c>
      <c r="CZ15523" s="35">
        <v>0.10334539366999999</v>
      </c>
    </row>
    <row r="15524" spans="103:104" x14ac:dyDescent="0.3">
      <c r="CY15524" s="34" t="s">
        <v>16451</v>
      </c>
      <c r="CZ15524" s="35">
        <v>0.10334539366000001</v>
      </c>
    </row>
    <row r="15525" spans="103:104" x14ac:dyDescent="0.3">
      <c r="CY15525" s="34" t="s">
        <v>16452</v>
      </c>
      <c r="CZ15525" s="35">
        <v>0.30849347108843544</v>
      </c>
    </row>
    <row r="15526" spans="103:104" x14ac:dyDescent="0.3">
      <c r="CY15526" s="34" t="s">
        <v>16453</v>
      </c>
      <c r="CZ15526" s="35">
        <v>0.3357430555555555</v>
      </c>
    </row>
    <row r="15527" spans="103:104" x14ac:dyDescent="0.3">
      <c r="CY15527" s="34" t="s">
        <v>16454</v>
      </c>
      <c r="CZ15527" s="35">
        <v>8.1957062908163278E-2</v>
      </c>
    </row>
    <row r="15528" spans="103:104" x14ac:dyDescent="0.3">
      <c r="CY15528" s="34" t="s">
        <v>16455</v>
      </c>
      <c r="CZ15528" s="35">
        <v>0.47311273639455781</v>
      </c>
    </row>
    <row r="15529" spans="103:104" x14ac:dyDescent="0.3">
      <c r="CY15529" s="34" t="s">
        <v>16456</v>
      </c>
      <c r="CZ15529" s="35">
        <v>2.1041120000000003E-2</v>
      </c>
    </row>
    <row r="15530" spans="103:104" x14ac:dyDescent="0.3">
      <c r="CY15530" s="34" t="s">
        <v>16457</v>
      </c>
      <c r="CZ15530" s="35">
        <v>2.3454800000000001E-2</v>
      </c>
    </row>
    <row r="15531" spans="103:104" x14ac:dyDescent="0.3">
      <c r="CY15531" s="34" t="s">
        <v>16458</v>
      </c>
      <c r="CZ15531" s="35">
        <v>9.2508983999999989E-2</v>
      </c>
    </row>
    <row r="15532" spans="103:104" x14ac:dyDescent="0.3">
      <c r="CY15532" s="34" t="s">
        <v>16459</v>
      </c>
      <c r="CZ15532" s="35">
        <v>6.6952333333333332E-3</v>
      </c>
    </row>
    <row r="15533" spans="103:104" x14ac:dyDescent="0.3">
      <c r="CY15533" s="34" t="s">
        <v>16460</v>
      </c>
      <c r="CZ15533" s="35">
        <v>1.05955513375E-2</v>
      </c>
    </row>
    <row r="15534" spans="103:104" x14ac:dyDescent="0.3">
      <c r="CY15534" s="34" t="s">
        <v>16461</v>
      </c>
      <c r="CZ15534" s="35">
        <v>3.131934188235294E-3</v>
      </c>
    </row>
    <row r="15535" spans="103:104" x14ac:dyDescent="0.3">
      <c r="CY15535" s="34" t="s">
        <v>16462</v>
      </c>
      <c r="CZ15535" s="35">
        <v>1.0595548E-2</v>
      </c>
    </row>
    <row r="15536" spans="103:104" x14ac:dyDescent="0.3">
      <c r="CY15536" s="34" t="s">
        <v>16463</v>
      </c>
      <c r="CZ15536" s="35">
        <v>1.4190104E-2</v>
      </c>
    </row>
    <row r="15537" spans="103:104" x14ac:dyDescent="0.3">
      <c r="CY15537" s="34" t="s">
        <v>16464</v>
      </c>
      <c r="CZ15537" s="35">
        <v>2.8291232000000003E-3</v>
      </c>
    </row>
    <row r="15538" spans="103:104" x14ac:dyDescent="0.3">
      <c r="CY15538" s="34" t="s">
        <v>16465</v>
      </c>
      <c r="CZ15538" s="35">
        <v>1.4190104E-2</v>
      </c>
    </row>
    <row r="15539" spans="103:104" x14ac:dyDescent="0.3">
      <c r="CY15539" s="34" t="s">
        <v>16466</v>
      </c>
      <c r="CZ15539" s="35">
        <v>2.7144133374999999E-3</v>
      </c>
    </row>
    <row r="15540" spans="103:104" x14ac:dyDescent="0.3">
      <c r="CY15540" s="34" t="s">
        <v>16467</v>
      </c>
      <c r="CZ15540" s="35">
        <v>1.631556188235294E-3</v>
      </c>
    </row>
    <row r="15541" spans="103:104" x14ac:dyDescent="0.3">
      <c r="CY15541" s="34" t="s">
        <v>16468</v>
      </c>
      <c r="CZ15541" s="35">
        <v>6.7316904000000012E-3</v>
      </c>
    </row>
    <row r="15542" spans="103:104" x14ac:dyDescent="0.3">
      <c r="CY15542" s="34" t="s">
        <v>16469</v>
      </c>
      <c r="CZ15542" s="35">
        <v>8.5705759999999982E-3</v>
      </c>
    </row>
    <row r="15543" spans="103:104" x14ac:dyDescent="0.3">
      <c r="CY15543" s="34" t="s">
        <v>16470</v>
      </c>
      <c r="CZ15543" s="35">
        <v>3.7068440000000001E-2</v>
      </c>
    </row>
    <row r="15544" spans="103:104" x14ac:dyDescent="0.3">
      <c r="CY15544" s="34" t="s">
        <v>16471</v>
      </c>
      <c r="CZ15544" s="35">
        <v>0.11905817600000003</v>
      </c>
    </row>
    <row r="15545" spans="103:104" x14ac:dyDescent="0.3">
      <c r="CY15545" s="34" t="s">
        <v>16472</v>
      </c>
      <c r="CZ15545" s="35">
        <v>0.10015473600000001</v>
      </c>
    </row>
    <row r="15546" spans="103:104" x14ac:dyDescent="0.3">
      <c r="CY15546" s="34" t="s">
        <v>16473</v>
      </c>
      <c r="CZ15546" s="35">
        <v>0.10015473600000001</v>
      </c>
    </row>
    <row r="15547" spans="103:104" x14ac:dyDescent="0.3">
      <c r="CY15547" s="34" t="s">
        <v>16474</v>
      </c>
      <c r="CZ15547" s="35">
        <v>5.3850667299999995E-2</v>
      </c>
    </row>
    <row r="15548" spans="103:104" x14ac:dyDescent="0.3">
      <c r="CY15548" s="34" t="s">
        <v>16475</v>
      </c>
      <c r="CZ15548" s="35">
        <v>1.4633600000000002E-2</v>
      </c>
    </row>
    <row r="15549" spans="103:104" x14ac:dyDescent="0.3">
      <c r="CY15549" s="34" t="s">
        <v>16476</v>
      </c>
      <c r="CZ15549" s="35">
        <v>1.387568E-3</v>
      </c>
    </row>
    <row r="15550" spans="103:104" x14ac:dyDescent="0.3">
      <c r="CY15550" s="34" t="s">
        <v>16477</v>
      </c>
      <c r="CZ15550" s="35">
        <v>0.111113</v>
      </c>
    </row>
    <row r="15551" spans="103:104" x14ac:dyDescent="0.3">
      <c r="CY15551" s="34" t="s">
        <v>16478</v>
      </c>
      <c r="CZ15551" s="35">
        <v>5.4906159999999994E-3</v>
      </c>
    </row>
    <row r="15552" spans="103:104" x14ac:dyDescent="0.3">
      <c r="CY15552" s="34" t="s">
        <v>16479</v>
      </c>
      <c r="CZ15552" s="35">
        <v>2.3076760000000005E-2</v>
      </c>
    </row>
    <row r="15553" spans="103:104" x14ac:dyDescent="0.3">
      <c r="CY15553" s="34" t="s">
        <v>16480</v>
      </c>
      <c r="CZ15553" s="35">
        <v>4.667711999999999E-4</v>
      </c>
    </row>
    <row r="15554" spans="103:104" x14ac:dyDescent="0.3">
      <c r="CY15554" s="34" t="s">
        <v>16481</v>
      </c>
      <c r="CZ15554" s="35">
        <v>1.8207379999999999E-2</v>
      </c>
    </row>
    <row r="15555" spans="103:104" x14ac:dyDescent="0.3">
      <c r="CY15555" s="34" t="s">
        <v>16482</v>
      </c>
      <c r="CZ15555" s="35">
        <v>8.4143664000000007E-2</v>
      </c>
    </row>
    <row r="15556" spans="103:104" x14ac:dyDescent="0.3">
      <c r="CY15556" s="34" t="s">
        <v>16483</v>
      </c>
      <c r="CZ15556" s="35">
        <v>1.9691584000000001E-3</v>
      </c>
    </row>
    <row r="15557" spans="103:104" x14ac:dyDescent="0.3">
      <c r="CY15557" s="34" t="s">
        <v>16484</v>
      </c>
      <c r="CZ15557" s="35">
        <v>2.1421311999999999E-3</v>
      </c>
    </row>
    <row r="15558" spans="103:104" x14ac:dyDescent="0.3">
      <c r="CY15558" s="34" t="s">
        <v>16485</v>
      </c>
      <c r="CZ15558" s="35">
        <v>1.3024768E-3</v>
      </c>
    </row>
    <row r="15559" spans="103:104" x14ac:dyDescent="0.3">
      <c r="CY15559" s="34" t="s">
        <v>16486</v>
      </c>
      <c r="CZ15559" s="35">
        <v>1.2514751999999998E-3</v>
      </c>
    </row>
    <row r="15560" spans="103:104" x14ac:dyDescent="0.3">
      <c r="CY15560" s="34" t="s">
        <v>16487</v>
      </c>
      <c r="CZ15560" s="35">
        <v>0.16883774999999998</v>
      </c>
    </row>
    <row r="15561" spans="103:104" x14ac:dyDescent="0.3">
      <c r="CY15561" s="34" t="s">
        <v>16488</v>
      </c>
      <c r="CZ15561" s="35">
        <v>0.14315695000000001</v>
      </c>
    </row>
    <row r="15562" spans="103:104" x14ac:dyDescent="0.3">
      <c r="CY15562" s="34" t="s">
        <v>16489</v>
      </c>
      <c r="CZ15562" s="35">
        <v>3.0566035999999998E-2</v>
      </c>
    </row>
    <row r="15563" spans="103:104" x14ac:dyDescent="0.3">
      <c r="CY15563" s="34" t="s">
        <v>16490</v>
      </c>
      <c r="CZ15563" s="35">
        <v>3.9255440000000003E-2</v>
      </c>
    </row>
    <row r="15564" spans="103:104" x14ac:dyDescent="0.3">
      <c r="CY15564" s="34" t="s">
        <v>16491</v>
      </c>
      <c r="CZ15564" s="35">
        <v>2.6708999999999999E-3</v>
      </c>
    </row>
    <row r="15565" spans="103:104" x14ac:dyDescent="0.3">
      <c r="CY15565" s="34" t="s">
        <v>16492</v>
      </c>
      <c r="CZ15565" s="35">
        <v>6.751660000000001E-2</v>
      </c>
    </row>
    <row r="15566" spans="103:104" x14ac:dyDescent="0.3">
      <c r="CY15566" s="34" t="s">
        <v>16493</v>
      </c>
      <c r="CZ15566" s="35">
        <v>2.4694968000000001E-3</v>
      </c>
    </row>
    <row r="15567" spans="103:104" x14ac:dyDescent="0.3">
      <c r="CY15567" s="34" t="s">
        <v>16494</v>
      </c>
      <c r="CZ15567" s="35">
        <v>8.8181880000000004E-2</v>
      </c>
    </row>
    <row r="15568" spans="103:104" x14ac:dyDescent="0.3">
      <c r="CY15568" s="34" t="s">
        <v>16495</v>
      </c>
      <c r="CZ15568" s="35">
        <v>1.6203888E-3</v>
      </c>
    </row>
    <row r="15569" spans="103:104" x14ac:dyDescent="0.3">
      <c r="CY15569" s="34" t="s">
        <v>16496</v>
      </c>
      <c r="CZ15569" s="35">
        <v>9.2115969999999987E-4</v>
      </c>
    </row>
    <row r="15570" spans="103:104" x14ac:dyDescent="0.3">
      <c r="CY15570" s="34" t="s">
        <v>16497</v>
      </c>
      <c r="CZ15570" s="35">
        <v>4.4137828E-3</v>
      </c>
    </row>
    <row r="15571" spans="103:104" x14ac:dyDescent="0.3">
      <c r="CY15571" s="34" t="s">
        <v>16498</v>
      </c>
      <c r="CZ15571" s="35">
        <v>0.5307244000000001</v>
      </c>
    </row>
    <row r="15572" spans="103:104" x14ac:dyDescent="0.3">
      <c r="CY15572" s="34" t="s">
        <v>16499</v>
      </c>
      <c r="CZ15572" s="35">
        <v>0.49340920000000005</v>
      </c>
    </row>
    <row r="15573" spans="103:104" x14ac:dyDescent="0.3">
      <c r="CY15573" s="34" t="s">
        <v>16500</v>
      </c>
      <c r="CZ15573" s="35">
        <v>3.7861541333333333E-4</v>
      </c>
    </row>
    <row r="15574" spans="103:104" x14ac:dyDescent="0.3">
      <c r="CY15574" s="34" t="s">
        <v>16501</v>
      </c>
      <c r="CZ15574" s="35">
        <v>3.3727479822222226E-3</v>
      </c>
    </row>
    <row r="15575" spans="103:104" x14ac:dyDescent="0.3">
      <c r="CY15575" s="34" t="s">
        <v>16502</v>
      </c>
      <c r="CZ15575" s="35">
        <v>3.6329200000000003E-4</v>
      </c>
    </row>
    <row r="15576" spans="103:104" x14ac:dyDescent="0.3">
      <c r="CY15576" s="34" t="s">
        <v>16503</v>
      </c>
      <c r="CZ15576" s="35">
        <v>4.9045720000000003E-3</v>
      </c>
    </row>
    <row r="15577" spans="103:104" x14ac:dyDescent="0.3">
      <c r="CY15577" s="34" t="s">
        <v>16504</v>
      </c>
      <c r="CZ15577" s="35">
        <v>3.132627733333334E-2</v>
      </c>
    </row>
    <row r="15578" spans="103:104" x14ac:dyDescent="0.3">
      <c r="CY15578" s="34" t="s">
        <v>16505</v>
      </c>
      <c r="CZ15578" s="35">
        <v>3.1326277333333333E-2</v>
      </c>
    </row>
    <row r="15579" spans="103:104" x14ac:dyDescent="0.3">
      <c r="CY15579" s="34" t="s">
        <v>16506</v>
      </c>
      <c r="CZ15579" s="35">
        <v>0.204508</v>
      </c>
    </row>
    <row r="15580" spans="103:104" x14ac:dyDescent="0.3">
      <c r="CY15580" s="34" t="s">
        <v>16507</v>
      </c>
      <c r="CZ15580" s="35">
        <v>0.20450799999999997</v>
      </c>
    </row>
    <row r="15581" spans="103:104" x14ac:dyDescent="0.3">
      <c r="CY15581" s="34" t="s">
        <v>16508</v>
      </c>
      <c r="CZ15581" s="35">
        <v>3.2890345000000008E-2</v>
      </c>
    </row>
    <row r="15582" spans="103:104" x14ac:dyDescent="0.3">
      <c r="CY15582" s="34" t="s">
        <v>16509</v>
      </c>
      <c r="CZ15582" s="35">
        <v>5.3545301818181817E-3</v>
      </c>
    </row>
    <row r="15583" spans="103:104" x14ac:dyDescent="0.3">
      <c r="CY15583" s="34" t="s">
        <v>16510</v>
      </c>
      <c r="CZ15583" s="35">
        <v>5.3545301818181817E-3</v>
      </c>
    </row>
    <row r="15584" spans="103:104" x14ac:dyDescent="0.3">
      <c r="CY15584" s="34" t="s">
        <v>16511</v>
      </c>
      <c r="CZ15584" s="35">
        <v>1.0845568E-2</v>
      </c>
    </row>
    <row r="15585" spans="103:104" x14ac:dyDescent="0.3">
      <c r="CY15585" s="34" t="s">
        <v>16512</v>
      </c>
      <c r="CZ15585" s="35">
        <v>2.6734775999999998E-3</v>
      </c>
    </row>
    <row r="15586" spans="103:104" x14ac:dyDescent="0.3">
      <c r="CY15586" s="34" t="s">
        <v>16513</v>
      </c>
      <c r="CZ15586" s="35">
        <v>3.2148831999999995E-2</v>
      </c>
    </row>
    <row r="15587" spans="103:104" x14ac:dyDescent="0.3">
      <c r="CY15587" s="34" t="s">
        <v>16514</v>
      </c>
      <c r="CZ15587" s="35">
        <v>3.2148832000000002E-2</v>
      </c>
    </row>
    <row r="15588" spans="103:104" x14ac:dyDescent="0.3">
      <c r="CY15588" s="34" t="s">
        <v>16515</v>
      </c>
      <c r="CZ15588" s="35">
        <v>3.6546582044444442E-2</v>
      </c>
    </row>
    <row r="15589" spans="103:104" x14ac:dyDescent="0.3">
      <c r="CY15589" s="34" t="s">
        <v>16516</v>
      </c>
      <c r="CZ15589" s="35">
        <v>0.14426909333333335</v>
      </c>
    </row>
    <row r="15590" spans="103:104" x14ac:dyDescent="0.3">
      <c r="CY15590" s="34" t="s">
        <v>16517</v>
      </c>
      <c r="CZ15590" s="35">
        <v>1.1597430588235294E-3</v>
      </c>
    </row>
    <row r="15591" spans="103:104" x14ac:dyDescent="0.3">
      <c r="CY15591" s="34" t="s">
        <v>16518</v>
      </c>
      <c r="CZ15591" s="35">
        <v>3.643298286486487E-3</v>
      </c>
    </row>
    <row r="15592" spans="103:104" x14ac:dyDescent="0.3">
      <c r="CY15592" s="34" t="s">
        <v>16519</v>
      </c>
      <c r="CZ15592" s="35">
        <v>7.6578924446666667E-3</v>
      </c>
    </row>
    <row r="15593" spans="103:104" x14ac:dyDescent="0.3">
      <c r="CY15593" s="34" t="s">
        <v>16520</v>
      </c>
      <c r="CZ15593" s="35">
        <v>5.2756699999999997E-2</v>
      </c>
    </row>
    <row r="15594" spans="103:104" x14ac:dyDescent="0.3">
      <c r="CY15594" s="34" t="s">
        <v>16521</v>
      </c>
      <c r="CZ15594" s="35">
        <v>4.6000199999999998E-3</v>
      </c>
    </row>
    <row r="15595" spans="103:104" x14ac:dyDescent="0.3">
      <c r="CY15595" s="34" t="s">
        <v>16522</v>
      </c>
      <c r="CZ15595" s="35">
        <v>7.0303399999999995E-3</v>
      </c>
    </row>
    <row r="15596" spans="103:104" x14ac:dyDescent="0.3">
      <c r="CY15596" s="34" t="s">
        <v>16523</v>
      </c>
      <c r="CZ15596" s="35">
        <v>1.299170532E-2</v>
      </c>
    </row>
    <row r="15597" spans="103:104" x14ac:dyDescent="0.3">
      <c r="CY15597" s="34" t="s">
        <v>16524</v>
      </c>
      <c r="CZ15597" s="35">
        <v>9.1520504000000003E-3</v>
      </c>
    </row>
    <row r="15598" spans="103:104" x14ac:dyDescent="0.3">
      <c r="CY15598" s="34" t="s">
        <v>16525</v>
      </c>
      <c r="CZ15598" s="35">
        <v>1.6486160333333333E-2</v>
      </c>
    </row>
    <row r="15599" spans="103:104" x14ac:dyDescent="0.3">
      <c r="CY15599" s="34" t="s">
        <v>16526</v>
      </c>
      <c r="CZ15599" s="35">
        <v>1.7998432000000002E-2</v>
      </c>
    </row>
    <row r="15600" spans="103:104" x14ac:dyDescent="0.3">
      <c r="CY15600" s="34" t="s">
        <v>16527</v>
      </c>
      <c r="CZ15600" s="35">
        <v>2.9118060000000001E-2</v>
      </c>
    </row>
    <row r="15601" spans="103:104" x14ac:dyDescent="0.3">
      <c r="CY15601" s="34" t="s">
        <v>16528</v>
      </c>
      <c r="CZ15601" s="35">
        <v>4.2891398787878787E-2</v>
      </c>
    </row>
    <row r="15602" spans="103:104" x14ac:dyDescent="0.3">
      <c r="CY15602" s="34" t="s">
        <v>16529</v>
      </c>
      <c r="CZ15602" s="35">
        <v>0.23965394285714289</v>
      </c>
    </row>
    <row r="15603" spans="103:104" x14ac:dyDescent="0.3">
      <c r="CY15603" s="34" t="s">
        <v>16530</v>
      </c>
      <c r="CZ15603" s="35">
        <v>0.17359872000000001</v>
      </c>
    </row>
    <row r="15604" spans="103:104" x14ac:dyDescent="0.3">
      <c r="CY15604" s="34" t="s">
        <v>16531</v>
      </c>
      <c r="CZ15604" s="35">
        <v>7.0966919999999982E-3</v>
      </c>
    </row>
    <row r="15605" spans="103:104" x14ac:dyDescent="0.3">
      <c r="CY15605" s="34" t="s">
        <v>16532</v>
      </c>
      <c r="CZ15605" s="35">
        <v>2.8790088E-3</v>
      </c>
    </row>
    <row r="15606" spans="103:104" x14ac:dyDescent="0.3">
      <c r="CY15606" s="34" t="s">
        <v>16533</v>
      </c>
      <c r="CZ15606" s="35">
        <v>7.5766657777777782E-4</v>
      </c>
    </row>
    <row r="15607" spans="103:104" x14ac:dyDescent="0.3">
      <c r="CY15607" s="34" t="s">
        <v>16534</v>
      </c>
      <c r="CZ15607" s="35">
        <v>1.3450001999999996E-4</v>
      </c>
    </row>
    <row r="15608" spans="103:104" x14ac:dyDescent="0.3">
      <c r="CY15608" s="34" t="s">
        <v>16535</v>
      </c>
      <c r="CZ15608" s="35">
        <v>4.5759999999999996E-5</v>
      </c>
    </row>
    <row r="15609" spans="103:104" x14ac:dyDescent="0.3">
      <c r="CY15609" s="34" t="s">
        <v>16536</v>
      </c>
      <c r="CZ15609" s="35">
        <v>8.4670143999999992E-4</v>
      </c>
    </row>
    <row r="15610" spans="103:104" x14ac:dyDescent="0.3">
      <c r="CY15610" s="34" t="s">
        <v>16537</v>
      </c>
      <c r="CZ15610" s="35">
        <v>1.0370000000000001E-2</v>
      </c>
    </row>
    <row r="15611" spans="103:104" x14ac:dyDescent="0.3">
      <c r="CY15611" s="34" t="s">
        <v>16538</v>
      </c>
      <c r="CZ15611" s="35">
        <v>6.2705456000000008E-3</v>
      </c>
    </row>
    <row r="15612" spans="103:104" x14ac:dyDescent="0.3">
      <c r="CY15612" s="34" t="s">
        <v>16539</v>
      </c>
      <c r="CZ15612" s="35">
        <v>1.4750073999999998E-2</v>
      </c>
    </row>
    <row r="15613" spans="103:104" x14ac:dyDescent="0.3">
      <c r="CY15613" s="34" t="s">
        <v>16540</v>
      </c>
      <c r="CZ15613" s="35">
        <v>2.4713240000000001E-2</v>
      </c>
    </row>
    <row r="15614" spans="103:104" x14ac:dyDescent="0.3">
      <c r="CY15614" s="34" t="s">
        <v>16541</v>
      </c>
      <c r="CZ15614" s="35">
        <v>8.6862799999999993E-3</v>
      </c>
    </row>
    <row r="15615" spans="103:104" x14ac:dyDescent="0.3">
      <c r="CY15615" s="34" t="s">
        <v>16542</v>
      </c>
      <c r="CZ15615" s="35">
        <v>1.3600288E-2</v>
      </c>
    </row>
    <row r="15616" spans="103:104" x14ac:dyDescent="0.3">
      <c r="CY15616" s="34" t="s">
        <v>16543</v>
      </c>
      <c r="CZ15616" s="35">
        <v>1.1461543999999998E-3</v>
      </c>
    </row>
    <row r="15617" spans="103:104" x14ac:dyDescent="0.3">
      <c r="CY15617" s="34" t="s">
        <v>16544</v>
      </c>
      <c r="CZ15617" s="35">
        <v>2.0447620000000003E-3</v>
      </c>
    </row>
    <row r="15618" spans="103:104" x14ac:dyDescent="0.3">
      <c r="CY15618" s="34" t="s">
        <v>16545</v>
      </c>
      <c r="CZ15618" s="35">
        <v>5.6406980180180176E-4</v>
      </c>
    </row>
    <row r="15619" spans="103:104" x14ac:dyDescent="0.3">
      <c r="CY15619" s="34" t="s">
        <v>16546</v>
      </c>
      <c r="CZ15619" s="35">
        <v>1.3858095999999998E-3</v>
      </c>
    </row>
    <row r="15620" spans="103:104" x14ac:dyDescent="0.3">
      <c r="CY15620" s="34" t="s">
        <v>16547</v>
      </c>
      <c r="CZ15620" s="35">
        <v>2.6291248E-4</v>
      </c>
    </row>
    <row r="15621" spans="103:104" x14ac:dyDescent="0.3">
      <c r="CY15621" s="34" t="s">
        <v>16548</v>
      </c>
      <c r="CZ15621" s="35">
        <v>8.1032700000000001E-4</v>
      </c>
    </row>
    <row r="15622" spans="103:104" x14ac:dyDescent="0.3">
      <c r="CY15622" s="34" t="s">
        <v>16549</v>
      </c>
      <c r="CZ15622" s="35">
        <v>6.8602079999999992E-4</v>
      </c>
    </row>
    <row r="15623" spans="103:104" x14ac:dyDescent="0.3">
      <c r="CY15623" s="34" t="s">
        <v>16550</v>
      </c>
      <c r="CZ15623" s="35">
        <v>4.196740333333334E-3</v>
      </c>
    </row>
    <row r="15624" spans="103:104" x14ac:dyDescent="0.3">
      <c r="CY15624" s="34" t="s">
        <v>16551</v>
      </c>
      <c r="CZ15624" s="35">
        <v>4.9526123333333335E-3</v>
      </c>
    </row>
    <row r="15625" spans="103:104" x14ac:dyDescent="0.3">
      <c r="CY15625" s="34" t="s">
        <v>16552</v>
      </c>
      <c r="CZ15625" s="35">
        <v>6.5006024444444433E-3</v>
      </c>
    </row>
    <row r="15626" spans="103:104" x14ac:dyDescent="0.3">
      <c r="CY15626" s="34" t="s">
        <v>16553</v>
      </c>
      <c r="CZ15626" s="35">
        <v>3.6552847999999994E-3</v>
      </c>
    </row>
    <row r="15627" spans="103:104" x14ac:dyDescent="0.3">
      <c r="CY15627" s="34" t="s">
        <v>16554</v>
      </c>
      <c r="CZ15627" s="35">
        <v>2.9076920000000003E-3</v>
      </c>
    </row>
    <row r="15628" spans="103:104" x14ac:dyDescent="0.3">
      <c r="CY15628" s="34" t="s">
        <v>16555</v>
      </c>
      <c r="CZ15628" s="35">
        <v>3.27086E-3</v>
      </c>
    </row>
    <row r="15629" spans="103:104" x14ac:dyDescent="0.3">
      <c r="CY15629" s="34" t="s">
        <v>16556</v>
      </c>
      <c r="CZ15629" s="35">
        <v>2.9393288E-3</v>
      </c>
    </row>
    <row r="15630" spans="103:104" x14ac:dyDescent="0.3">
      <c r="CY15630" s="34" t="s">
        <v>16557</v>
      </c>
      <c r="CZ15630" s="35">
        <v>3.3350695999999997E-3</v>
      </c>
    </row>
    <row r="15631" spans="103:104" x14ac:dyDescent="0.3">
      <c r="CY15631" s="34" t="s">
        <v>16558</v>
      </c>
      <c r="CZ15631" s="35">
        <v>0.18576979200000002</v>
      </c>
    </row>
    <row r="15632" spans="103:104" x14ac:dyDescent="0.3">
      <c r="CY15632" s="34" t="s">
        <v>16559</v>
      </c>
      <c r="CZ15632" s="35">
        <v>0.18576979200000002</v>
      </c>
    </row>
    <row r="15633" spans="103:104" x14ac:dyDescent="0.3">
      <c r="CY15633" s="34" t="s">
        <v>16560</v>
      </c>
      <c r="CZ15633" s="35">
        <v>2.3294800000000001E-2</v>
      </c>
    </row>
    <row r="15634" spans="103:104" x14ac:dyDescent="0.3">
      <c r="CY15634" s="34" t="s">
        <v>16561</v>
      </c>
      <c r="CZ15634" s="35">
        <v>8.6531969999999996E-3</v>
      </c>
    </row>
    <row r="15635" spans="103:104" x14ac:dyDescent="0.3">
      <c r="CY15635" s="34" t="s">
        <v>16562</v>
      </c>
      <c r="CZ15635" s="35">
        <v>8.6452368000000009E-3</v>
      </c>
    </row>
    <row r="15636" spans="103:104" x14ac:dyDescent="0.3">
      <c r="CY15636" s="34" t="s">
        <v>16563</v>
      </c>
      <c r="CZ15636" s="35">
        <v>8.6452368000000009E-3</v>
      </c>
    </row>
    <row r="15637" spans="103:104" x14ac:dyDescent="0.3">
      <c r="CY15637" s="34" t="s">
        <v>16564</v>
      </c>
      <c r="CZ15637" s="35">
        <v>1.70434E-2</v>
      </c>
    </row>
    <row r="15638" spans="103:104" x14ac:dyDescent="0.3">
      <c r="CY15638" s="34" t="s">
        <v>16565</v>
      </c>
      <c r="CZ15638" s="35">
        <v>2.798516E-4</v>
      </c>
    </row>
    <row r="15639" spans="103:104" x14ac:dyDescent="0.3">
      <c r="CY15639" s="34" t="s">
        <v>16566</v>
      </c>
      <c r="CZ15639" s="35">
        <v>2.9918728000000004E-4</v>
      </c>
    </row>
    <row r="15640" spans="103:104" x14ac:dyDescent="0.3">
      <c r="CY15640" s="34" t="s">
        <v>16567</v>
      </c>
      <c r="CZ15640" s="35">
        <v>2.9918727999999999E-4</v>
      </c>
    </row>
    <row r="15641" spans="103:104" x14ac:dyDescent="0.3">
      <c r="CY15641" s="34" t="s">
        <v>16568</v>
      </c>
      <c r="CZ15641" s="35">
        <v>2.9918728000000004E-4</v>
      </c>
    </row>
    <row r="15642" spans="103:104" x14ac:dyDescent="0.3">
      <c r="CY15642" s="34" t="s">
        <v>16569</v>
      </c>
      <c r="CZ15642" s="35">
        <v>5.2201880000000002E-4</v>
      </c>
    </row>
    <row r="15643" spans="103:104" x14ac:dyDescent="0.3">
      <c r="CY15643" s="34" t="s">
        <v>16570</v>
      </c>
      <c r="CZ15643" s="35">
        <v>1.3475500000000001E-3</v>
      </c>
    </row>
    <row r="15644" spans="103:104" x14ac:dyDescent="0.3">
      <c r="CY15644" s="34" t="s">
        <v>16571</v>
      </c>
      <c r="CZ15644" s="35">
        <v>7.8732696000000004E-4</v>
      </c>
    </row>
    <row r="15645" spans="103:104" x14ac:dyDescent="0.3">
      <c r="CY15645" s="34" t="s">
        <v>16572</v>
      </c>
      <c r="CZ15645" s="35">
        <v>1.3984023999999999E-3</v>
      </c>
    </row>
    <row r="15646" spans="103:104" x14ac:dyDescent="0.3">
      <c r="CY15646" s="34" t="s">
        <v>16573</v>
      </c>
      <c r="CZ15646" s="35">
        <v>9.1530159999999997E-4</v>
      </c>
    </row>
    <row r="15647" spans="103:104" x14ac:dyDescent="0.3">
      <c r="CY15647" s="34" t="s">
        <v>16574</v>
      </c>
      <c r="CZ15647" s="35">
        <v>5.5736640000000004E-2</v>
      </c>
    </row>
    <row r="15648" spans="103:104" x14ac:dyDescent="0.3">
      <c r="CY15648" s="34" t="s">
        <v>16575</v>
      </c>
      <c r="CZ15648" s="35">
        <v>5.4607200000000002E-2</v>
      </c>
    </row>
    <row r="15649" spans="103:104" x14ac:dyDescent="0.3">
      <c r="CY15649" s="34" t="s">
        <v>16576</v>
      </c>
      <c r="CZ15649" s="35">
        <v>2.5715079999999999E-4</v>
      </c>
    </row>
    <row r="15650" spans="103:104" x14ac:dyDescent="0.3">
      <c r="CY15650" s="34" t="s">
        <v>16577</v>
      </c>
      <c r="CZ15650" s="35">
        <v>3.4600000000000001E-4</v>
      </c>
    </row>
    <row r="15651" spans="103:104" x14ac:dyDescent="0.3">
      <c r="CY15651" s="34" t="s">
        <v>16578</v>
      </c>
      <c r="CZ15651" s="35">
        <v>3.5945759999999997E-4</v>
      </c>
    </row>
    <row r="15652" spans="103:104" x14ac:dyDescent="0.3">
      <c r="CY15652" s="34" t="s">
        <v>16579</v>
      </c>
      <c r="CZ15652" s="35">
        <v>1.554612E-2</v>
      </c>
    </row>
    <row r="15653" spans="103:104" x14ac:dyDescent="0.3">
      <c r="CY15653" s="34" t="s">
        <v>16580</v>
      </c>
      <c r="CZ15653" s="35">
        <v>3.5435899999999997E-3</v>
      </c>
    </row>
    <row r="15654" spans="103:104" x14ac:dyDescent="0.3">
      <c r="CY15654" s="34" t="s">
        <v>16581</v>
      </c>
      <c r="CZ15654" s="35">
        <v>3.4122919999999998E-4</v>
      </c>
    </row>
    <row r="15655" spans="103:104" x14ac:dyDescent="0.3">
      <c r="CY15655" s="34" t="s">
        <v>16582</v>
      </c>
      <c r="CZ15655" s="35">
        <v>1.3825639999999999E-4</v>
      </c>
    </row>
    <row r="15656" spans="103:104" x14ac:dyDescent="0.3">
      <c r="CY15656" s="34" t="s">
        <v>16583</v>
      </c>
      <c r="CZ15656" s="35">
        <v>1.5607199999999999E-4</v>
      </c>
    </row>
    <row r="15657" spans="103:104" x14ac:dyDescent="0.3">
      <c r="CY15657" s="34" t="s">
        <v>16584</v>
      </c>
      <c r="CZ15657" s="35">
        <v>3.8111816000000001E-3</v>
      </c>
    </row>
    <row r="15658" spans="103:104" x14ac:dyDescent="0.3">
      <c r="CY15658" s="34" t="s">
        <v>16585</v>
      </c>
      <c r="CZ15658" s="35">
        <v>2.1915328888888887E-4</v>
      </c>
    </row>
    <row r="15659" spans="103:104" x14ac:dyDescent="0.3">
      <c r="CY15659" s="34" t="s">
        <v>16586</v>
      </c>
      <c r="CZ15659" s="35">
        <v>2.2531934399999998E-4</v>
      </c>
    </row>
    <row r="15660" spans="103:104" x14ac:dyDescent="0.3">
      <c r="CY15660" s="34" t="s">
        <v>16587</v>
      </c>
      <c r="CZ15660" s="35">
        <v>9.0924039999999998E-2</v>
      </c>
    </row>
    <row r="15661" spans="103:104" x14ac:dyDescent="0.3">
      <c r="CY15661" s="34" t="s">
        <v>16588</v>
      </c>
      <c r="CZ15661" s="35">
        <v>7.8823399999999985E-4</v>
      </c>
    </row>
    <row r="15662" spans="103:104" x14ac:dyDescent="0.3">
      <c r="CY15662" s="34" t="s">
        <v>16589</v>
      </c>
      <c r="CZ15662" s="35">
        <v>6.0532160000000002E-3</v>
      </c>
    </row>
    <row r="15663" spans="103:104" x14ac:dyDescent="0.3">
      <c r="CY15663" s="34" t="s">
        <v>16590</v>
      </c>
      <c r="CZ15663" s="35">
        <v>0.22010679999999999</v>
      </c>
    </row>
    <row r="15664" spans="103:104" x14ac:dyDescent="0.3">
      <c r="CY15664" s="34" t="s">
        <v>16591</v>
      </c>
      <c r="CZ15664" s="35">
        <v>0.47907104</v>
      </c>
    </row>
    <row r="15665" spans="103:104" x14ac:dyDescent="0.3">
      <c r="CY15665" s="34" t="s">
        <v>16592</v>
      </c>
      <c r="CZ15665" s="35">
        <v>0.55014464000000007</v>
      </c>
    </row>
    <row r="15666" spans="103:104" x14ac:dyDescent="0.3">
      <c r="CY15666" s="34" t="s">
        <v>16593</v>
      </c>
      <c r="CZ15666" s="35">
        <v>0.45903720000000003</v>
      </c>
    </row>
    <row r="15667" spans="103:104" x14ac:dyDescent="0.3">
      <c r="CY15667" s="34" t="s">
        <v>16594</v>
      </c>
      <c r="CZ15667" s="35">
        <v>0.62461999999999984</v>
      </c>
    </row>
    <row r="15668" spans="103:104" x14ac:dyDescent="0.3">
      <c r="CY15668" s="34" t="s">
        <v>16595</v>
      </c>
      <c r="CZ15668" s="35">
        <v>0.69939919999999989</v>
      </c>
    </row>
    <row r="15669" spans="103:104" x14ac:dyDescent="0.3">
      <c r="CY15669" s="34" t="s">
        <v>16596</v>
      </c>
      <c r="CZ15669" s="35">
        <v>6.9188399999999983E-2</v>
      </c>
    </row>
    <row r="15670" spans="103:104" x14ac:dyDescent="0.3">
      <c r="CY15670" s="34" t="s">
        <v>16597</v>
      </c>
      <c r="CZ15670" s="35">
        <v>8.7019199999999991E-2</v>
      </c>
    </row>
    <row r="15671" spans="103:104" x14ac:dyDescent="0.3">
      <c r="CY15671" s="34" t="s">
        <v>16598</v>
      </c>
      <c r="CZ15671" s="35">
        <v>7.7983899999999995E-2</v>
      </c>
    </row>
    <row r="15672" spans="103:104" x14ac:dyDescent="0.3">
      <c r="CY15672" s="34" t="s">
        <v>16599</v>
      </c>
      <c r="CZ15672" s="35">
        <v>1.7689700000000003E-2</v>
      </c>
    </row>
    <row r="15673" spans="103:104" x14ac:dyDescent="0.3">
      <c r="CY15673" s="34" t="s">
        <v>16600</v>
      </c>
      <c r="CZ15673" s="35">
        <v>1.6370412399999999E-2</v>
      </c>
    </row>
    <row r="15674" spans="103:104" x14ac:dyDescent="0.3">
      <c r="CY15674" s="34" t="s">
        <v>16601</v>
      </c>
      <c r="CZ15674" s="35">
        <v>1.1626524E-3</v>
      </c>
    </row>
    <row r="15675" spans="103:104" x14ac:dyDescent="0.3">
      <c r="CY15675" s="34" t="s">
        <v>16602</v>
      </c>
      <c r="CZ15675" s="35">
        <v>1.27318525E-2</v>
      </c>
    </row>
    <row r="15676" spans="103:104" x14ac:dyDescent="0.3">
      <c r="CY15676" s="34" t="s">
        <v>16603</v>
      </c>
      <c r="CZ15676" s="35">
        <v>2.4868599999999998E-2</v>
      </c>
    </row>
    <row r="15677" spans="103:104" x14ac:dyDescent="0.3">
      <c r="CY15677" s="34" t="s">
        <v>16604</v>
      </c>
      <c r="CZ15677" s="35">
        <v>3.516403E-3</v>
      </c>
    </row>
    <row r="15678" spans="103:104" x14ac:dyDescent="0.3">
      <c r="CY15678" s="34" t="s">
        <v>16605</v>
      </c>
      <c r="CZ15678" s="35">
        <v>8.9636531300000002E-2</v>
      </c>
    </row>
    <row r="15679" spans="103:104" x14ac:dyDescent="0.3">
      <c r="CY15679" s="34" t="s">
        <v>16606</v>
      </c>
      <c r="CZ15679" s="35">
        <v>0.14035683555555559</v>
      </c>
    </row>
    <row r="15680" spans="103:104" x14ac:dyDescent="0.3">
      <c r="CY15680" s="34" t="s">
        <v>16607</v>
      </c>
      <c r="CZ15680" s="35">
        <v>0.43283593333333331</v>
      </c>
    </row>
    <row r="15681" spans="103:104" x14ac:dyDescent="0.3">
      <c r="CY15681" s="34" t="s">
        <v>16608</v>
      </c>
      <c r="CZ15681" s="35">
        <v>3.4622960000000001E-2</v>
      </c>
    </row>
    <row r="15682" spans="103:104" x14ac:dyDescent="0.3">
      <c r="CY15682" s="34" t="s">
        <v>16609</v>
      </c>
      <c r="CZ15682" s="35">
        <v>3.4622960000000001E-2</v>
      </c>
    </row>
    <row r="15683" spans="103:104" x14ac:dyDescent="0.3">
      <c r="CY15683" s="34" t="s">
        <v>16610</v>
      </c>
      <c r="CZ15683" s="35">
        <v>2.9838000000000003E-2</v>
      </c>
    </row>
    <row r="15684" spans="103:104" x14ac:dyDescent="0.3">
      <c r="CY15684" s="34" t="s">
        <v>16611</v>
      </c>
      <c r="CZ15684" s="35">
        <v>5.4344903999999999E-2</v>
      </c>
    </row>
    <row r="15685" spans="103:104" x14ac:dyDescent="0.3">
      <c r="CY15685" s="34" t="s">
        <v>16612</v>
      </c>
      <c r="CZ15685" s="35">
        <v>5.3221079999999997E-2</v>
      </c>
    </row>
    <row r="15686" spans="103:104" x14ac:dyDescent="0.3">
      <c r="CY15686" s="34" t="s">
        <v>16613</v>
      </c>
      <c r="CZ15686" s="35">
        <v>5.3221079999999997E-2</v>
      </c>
    </row>
    <row r="15687" spans="103:104" x14ac:dyDescent="0.3">
      <c r="CY15687" s="34" t="s">
        <v>16614</v>
      </c>
      <c r="CZ15687" s="35">
        <v>5.0973431999999992E-2</v>
      </c>
    </row>
    <row r="15688" spans="103:104" x14ac:dyDescent="0.3">
      <c r="CY15688" s="34" t="s">
        <v>16615</v>
      </c>
      <c r="CZ15688" s="35">
        <v>5.0973431999999992E-2</v>
      </c>
    </row>
    <row r="15689" spans="103:104" x14ac:dyDescent="0.3">
      <c r="CY15689" s="34" t="s">
        <v>16616</v>
      </c>
      <c r="CZ15689" s="35">
        <v>5.1535343999999997E-2</v>
      </c>
    </row>
    <row r="15690" spans="103:104" x14ac:dyDescent="0.3">
      <c r="CY15690" s="34" t="s">
        <v>16617</v>
      </c>
      <c r="CZ15690" s="35">
        <v>1.1427120000000001E-2</v>
      </c>
    </row>
    <row r="15691" spans="103:104" x14ac:dyDescent="0.3">
      <c r="CY15691" s="34" t="s">
        <v>16618</v>
      </c>
      <c r="CZ15691" s="35">
        <v>1.6060896000000002E-2</v>
      </c>
    </row>
    <row r="15692" spans="103:104" x14ac:dyDescent="0.3">
      <c r="CY15692" s="34" t="s">
        <v>16619</v>
      </c>
      <c r="CZ15692" s="35">
        <v>3.0293576800000002E-3</v>
      </c>
    </row>
    <row r="15693" spans="103:104" x14ac:dyDescent="0.3">
      <c r="CY15693" s="34" t="s">
        <v>16620</v>
      </c>
      <c r="CZ15693" s="35">
        <v>2.900906E-3</v>
      </c>
    </row>
    <row r="15694" spans="103:104" x14ac:dyDescent="0.3">
      <c r="CY15694" s="34" t="s">
        <v>16621</v>
      </c>
      <c r="CZ15694" s="35">
        <v>3.5412456800000005E-3</v>
      </c>
    </row>
    <row r="15695" spans="103:104" x14ac:dyDescent="0.3">
      <c r="CY15695" s="34" t="s">
        <v>16622</v>
      </c>
      <c r="CZ15695" s="35">
        <v>2.643762E-3</v>
      </c>
    </row>
    <row r="15696" spans="103:104" x14ac:dyDescent="0.3">
      <c r="CY15696" s="34" t="s">
        <v>16623</v>
      </c>
      <c r="CZ15696" s="35">
        <v>2.9391779999999998E-3</v>
      </c>
    </row>
    <row r="15697" spans="103:104" x14ac:dyDescent="0.3">
      <c r="CY15697" s="34" t="s">
        <v>16624</v>
      </c>
      <c r="CZ15697" s="35">
        <v>2.2293643999999998E-2</v>
      </c>
    </row>
    <row r="15698" spans="103:104" x14ac:dyDescent="0.3">
      <c r="CY15698" s="34" t="s">
        <v>16625</v>
      </c>
      <c r="CZ15698" s="35">
        <v>1.0432441713</v>
      </c>
    </row>
    <row r="15699" spans="103:104" x14ac:dyDescent="0.3">
      <c r="CY15699" s="34" t="s">
        <v>16626</v>
      </c>
      <c r="CZ15699" s="35">
        <v>0.24481401999999999</v>
      </c>
    </row>
    <row r="15700" spans="103:104" x14ac:dyDescent="0.3">
      <c r="CY15700" s="34" t="s">
        <v>16627</v>
      </c>
      <c r="CZ15700" s="35">
        <v>0.26476530000000004</v>
      </c>
    </row>
    <row r="15701" spans="103:104" x14ac:dyDescent="0.3">
      <c r="CY15701" s="34" t="s">
        <v>16628</v>
      </c>
      <c r="CZ15701" s="35">
        <v>0.256553629625</v>
      </c>
    </row>
    <row r="15702" spans="103:104" x14ac:dyDescent="0.3">
      <c r="CY15702" s="34" t="s">
        <v>16629</v>
      </c>
      <c r="CZ15702" s="35">
        <v>1.3822288000000002E-2</v>
      </c>
    </row>
    <row r="15703" spans="103:104" x14ac:dyDescent="0.3">
      <c r="CY15703" s="34" t="s">
        <v>16630</v>
      </c>
      <c r="CZ15703" s="35">
        <v>1.8077803999999999E-3</v>
      </c>
    </row>
    <row r="15704" spans="103:104" x14ac:dyDescent="0.3">
      <c r="CY15704" s="34" t="s">
        <v>16631</v>
      </c>
      <c r="CZ15704" s="35">
        <v>1.0145959999999999E-2</v>
      </c>
    </row>
    <row r="15705" spans="103:104" x14ac:dyDescent="0.3">
      <c r="CY15705" s="34" t="s">
        <v>16632</v>
      </c>
      <c r="CZ15705" s="35">
        <v>1.10192E-2</v>
      </c>
    </row>
    <row r="15706" spans="103:104" x14ac:dyDescent="0.3">
      <c r="CY15706" s="34" t="s">
        <v>16633</v>
      </c>
      <c r="CZ15706" s="35">
        <v>2.7546600000000001E-2</v>
      </c>
    </row>
    <row r="15707" spans="103:104" x14ac:dyDescent="0.3">
      <c r="CY15707" s="34" t="s">
        <v>16634</v>
      </c>
      <c r="CZ15707" s="35">
        <v>2.6336599999999998E-2</v>
      </c>
    </row>
    <row r="15708" spans="103:104" x14ac:dyDescent="0.3">
      <c r="CY15708" s="34" t="s">
        <v>16635</v>
      </c>
      <c r="CZ15708" s="35">
        <v>5.0683399444500007E-3</v>
      </c>
    </row>
    <row r="15709" spans="103:104" x14ac:dyDescent="0.3">
      <c r="CY15709" s="34" t="s">
        <v>16636</v>
      </c>
      <c r="CZ15709" s="35">
        <v>5.1098704000000002E-2</v>
      </c>
    </row>
    <row r="15710" spans="103:104" x14ac:dyDescent="0.3">
      <c r="CY15710" s="34" t="s">
        <v>16637</v>
      </c>
      <c r="CZ15710" s="35">
        <v>6.8604208E-2</v>
      </c>
    </row>
    <row r="15711" spans="103:104" x14ac:dyDescent="0.3">
      <c r="CY15711" s="34" t="s">
        <v>16638</v>
      </c>
      <c r="CZ15711" s="35">
        <v>6.2031684000000004E-2</v>
      </c>
    </row>
    <row r="15712" spans="103:104" x14ac:dyDescent="0.3">
      <c r="CY15712" s="34" t="s">
        <v>16639</v>
      </c>
      <c r="CZ15712" s="35">
        <v>0.11739668</v>
      </c>
    </row>
    <row r="15713" spans="103:104" x14ac:dyDescent="0.3">
      <c r="CY15713" s="34" t="s">
        <v>16640</v>
      </c>
      <c r="CZ15713" s="35">
        <v>8.3792911142857134E-3</v>
      </c>
    </row>
    <row r="15714" spans="103:104" x14ac:dyDescent="0.3">
      <c r="CY15714" s="34" t="s">
        <v>16641</v>
      </c>
      <c r="CZ15714" s="35">
        <v>3.2862722223333335E-2</v>
      </c>
    </row>
    <row r="15715" spans="103:104" x14ac:dyDescent="0.3">
      <c r="CY15715" s="34" t="s">
        <v>16642</v>
      </c>
      <c r="CZ15715" s="35">
        <v>6.6063680000000005E-3</v>
      </c>
    </row>
    <row r="15716" spans="103:104" x14ac:dyDescent="0.3">
      <c r="CY15716" s="34" t="s">
        <v>16643</v>
      </c>
      <c r="CZ15716" s="35">
        <v>1.4086929000000002E-2</v>
      </c>
    </row>
    <row r="15717" spans="103:104" x14ac:dyDescent="0.3">
      <c r="CY15717" s="34" t="s">
        <v>16644</v>
      </c>
      <c r="CZ15717" s="35">
        <v>1.4646464000000003E-2</v>
      </c>
    </row>
    <row r="15718" spans="103:104" x14ac:dyDescent="0.3">
      <c r="CY15718" s="34" t="s">
        <v>16645</v>
      </c>
      <c r="CZ15718" s="35">
        <v>1.4646464000000001E-2</v>
      </c>
    </row>
    <row r="15719" spans="103:104" x14ac:dyDescent="0.3">
      <c r="CY15719" s="34" t="s">
        <v>16646</v>
      </c>
      <c r="CZ15719" s="35">
        <v>4.4965999999999999E-3</v>
      </c>
    </row>
    <row r="15720" spans="103:104" x14ac:dyDescent="0.3">
      <c r="CY15720" s="34" t="s">
        <v>16647</v>
      </c>
      <c r="CZ15720" s="35">
        <v>1.4212916669999999E-2</v>
      </c>
    </row>
    <row r="15721" spans="103:104" x14ac:dyDescent="0.3">
      <c r="CY15721" s="34" t="s">
        <v>16648</v>
      </c>
      <c r="CZ15721" s="35">
        <v>9.0233511111111097E-4</v>
      </c>
    </row>
    <row r="15722" spans="103:104" x14ac:dyDescent="0.3">
      <c r="CY15722" s="34" t="s">
        <v>16649</v>
      </c>
      <c r="CZ15722" s="35">
        <v>6.8642585000000004E-3</v>
      </c>
    </row>
    <row r="15723" spans="103:104" x14ac:dyDescent="0.3">
      <c r="CY15723" s="34" t="s">
        <v>16650</v>
      </c>
      <c r="CZ15723" s="35">
        <v>2.5066712499999997E-3</v>
      </c>
    </row>
    <row r="15724" spans="103:104" x14ac:dyDescent="0.3">
      <c r="CY15724" s="34" t="s">
        <v>16651</v>
      </c>
      <c r="CZ15724" s="35">
        <v>0.13379442666666666</v>
      </c>
    </row>
    <row r="15725" spans="103:104" x14ac:dyDescent="0.3">
      <c r="CY15725" s="34" t="s">
        <v>16652</v>
      </c>
      <c r="CZ15725" s="35">
        <v>4.5888159999999999E-3</v>
      </c>
    </row>
    <row r="15726" spans="103:104" x14ac:dyDescent="0.3">
      <c r="CY15726" s="34" t="s">
        <v>16653</v>
      </c>
      <c r="CZ15726" s="35">
        <v>6.9712871999999997E-3</v>
      </c>
    </row>
    <row r="15727" spans="103:104" x14ac:dyDescent="0.3">
      <c r="CY15727" s="34" t="s">
        <v>16654</v>
      </c>
      <c r="CZ15727" s="35">
        <v>8.0495899999999988E-3</v>
      </c>
    </row>
    <row r="15728" spans="103:104" x14ac:dyDescent="0.3">
      <c r="CY15728" s="34" t="s">
        <v>16655</v>
      </c>
      <c r="CZ15728" s="35">
        <v>4.7869008000000005E-3</v>
      </c>
    </row>
    <row r="15729" spans="103:104" x14ac:dyDescent="0.3">
      <c r="CY15729" s="34" t="s">
        <v>16656</v>
      </c>
      <c r="CZ15729" s="35">
        <v>2.2905311999999998E-3</v>
      </c>
    </row>
    <row r="15730" spans="103:104" x14ac:dyDescent="0.3">
      <c r="CY15730" s="34" t="s">
        <v>16657</v>
      </c>
      <c r="CZ15730" s="35">
        <v>1.2704971999999998E-3</v>
      </c>
    </row>
    <row r="15731" spans="103:104" x14ac:dyDescent="0.3">
      <c r="CY15731" s="34" t="s">
        <v>16658</v>
      </c>
      <c r="CZ15731" s="35">
        <v>7.5572840000000003E-4</v>
      </c>
    </row>
    <row r="15732" spans="103:104" x14ac:dyDescent="0.3">
      <c r="CY15732" s="34" t="s">
        <v>16659</v>
      </c>
      <c r="CZ15732" s="35">
        <v>1.46336E-2</v>
      </c>
    </row>
    <row r="15733" spans="103:104" x14ac:dyDescent="0.3">
      <c r="CY15733" s="34" t="s">
        <v>16660</v>
      </c>
      <c r="CZ15733" s="35">
        <v>0.13163442915999998</v>
      </c>
    </row>
    <row r="15734" spans="103:104" x14ac:dyDescent="0.3">
      <c r="CY15734" s="34" t="s">
        <v>16661</v>
      </c>
      <c r="CZ15734" s="35">
        <v>9.5706579159999985E-2</v>
      </c>
    </row>
    <row r="15735" spans="103:104" x14ac:dyDescent="0.3">
      <c r="CY15735" s="34" t="s">
        <v>16662</v>
      </c>
      <c r="CZ15735" s="35">
        <v>8.4904783339999998E-2</v>
      </c>
    </row>
    <row r="15736" spans="103:104" x14ac:dyDescent="0.3">
      <c r="CY15736" s="34" t="s">
        <v>16663</v>
      </c>
      <c r="CZ15736" s="35">
        <v>7.6200283340000008E-2</v>
      </c>
    </row>
    <row r="15737" spans="103:104" x14ac:dyDescent="0.3">
      <c r="CY15737" s="34" t="s">
        <v>16664</v>
      </c>
      <c r="CZ15737" s="35">
        <v>7.1609158340000006E-2</v>
      </c>
    </row>
    <row r="15738" spans="103:104" x14ac:dyDescent="0.3">
      <c r="CY15738" s="34" t="s">
        <v>16665</v>
      </c>
      <c r="CZ15738" s="35">
        <v>6.0483883339999996E-2</v>
      </c>
    </row>
    <row r="15739" spans="103:104" x14ac:dyDescent="0.3">
      <c r="CY15739" s="34" t="s">
        <v>16666</v>
      </c>
      <c r="CZ15739" s="35">
        <v>5.4812833339999992E-2</v>
      </c>
    </row>
    <row r="15740" spans="103:104" x14ac:dyDescent="0.3">
      <c r="CY15740" s="34" t="s">
        <v>16667</v>
      </c>
      <c r="CZ15740" s="35">
        <v>5.0534083340000001E-2</v>
      </c>
    </row>
    <row r="15741" spans="103:104" x14ac:dyDescent="0.3">
      <c r="CY15741" s="34" t="s">
        <v>16668</v>
      </c>
      <c r="CZ15741" s="35">
        <v>3.8780383339999995E-2</v>
      </c>
    </row>
    <row r="15742" spans="103:104" x14ac:dyDescent="0.3">
      <c r="CY15742" s="34" t="s">
        <v>16669</v>
      </c>
      <c r="CZ15742" s="35">
        <v>8.6870383339999996E-2</v>
      </c>
    </row>
    <row r="15743" spans="103:104" x14ac:dyDescent="0.3">
      <c r="CY15743" s="34" t="s">
        <v>16670</v>
      </c>
      <c r="CZ15743" s="35">
        <v>0.11985858334000002</v>
      </c>
    </row>
    <row r="15744" spans="103:104" x14ac:dyDescent="0.3">
      <c r="CY15744" s="34" t="s">
        <v>16671</v>
      </c>
      <c r="CZ15744" s="35">
        <v>0.14895662762</v>
      </c>
    </row>
    <row r="15745" spans="103:104" x14ac:dyDescent="0.3">
      <c r="CY15745" s="34" t="s">
        <v>16672</v>
      </c>
      <c r="CZ15745" s="35">
        <v>5.4111066111000002E-3</v>
      </c>
    </row>
    <row r="15746" spans="103:104" x14ac:dyDescent="0.3">
      <c r="CY15746" s="34" t="s">
        <v>16673</v>
      </c>
      <c r="CZ15746" s="35">
        <v>2.3557864E-3</v>
      </c>
    </row>
    <row r="15747" spans="103:104" x14ac:dyDescent="0.3">
      <c r="CY15747" s="34" t="s">
        <v>16674</v>
      </c>
      <c r="CZ15747" s="35">
        <v>9.1207359999999999E-4</v>
      </c>
    </row>
    <row r="15748" spans="103:104" x14ac:dyDescent="0.3">
      <c r="CY15748" s="34" t="s">
        <v>16675</v>
      </c>
      <c r="CZ15748" s="35">
        <v>9.410000000000001E-5</v>
      </c>
    </row>
    <row r="15749" spans="103:104" x14ac:dyDescent="0.3">
      <c r="CY15749" s="34" t="s">
        <v>16676</v>
      </c>
      <c r="CZ15749" s="35">
        <v>1.8946728000000001E-3</v>
      </c>
    </row>
    <row r="15750" spans="103:104" x14ac:dyDescent="0.3">
      <c r="CY15750" s="34" t="s">
        <v>16677</v>
      </c>
      <c r="CZ15750" s="35">
        <v>6.7680479999999996E-3</v>
      </c>
    </row>
    <row r="15751" spans="103:104" x14ac:dyDescent="0.3">
      <c r="CY15751" s="34" t="s">
        <v>16678</v>
      </c>
      <c r="CZ15751" s="35">
        <v>8.4023520000000001E-4</v>
      </c>
    </row>
    <row r="15752" spans="103:104" x14ac:dyDescent="0.3">
      <c r="CY15752" s="34" t="s">
        <v>16679</v>
      </c>
      <c r="CZ15752" s="35">
        <v>2.4446088000000007E-3</v>
      </c>
    </row>
    <row r="15753" spans="103:104" x14ac:dyDescent="0.3">
      <c r="CY15753" s="34" t="s">
        <v>16680</v>
      </c>
      <c r="CZ15753" s="35">
        <v>8.261840000000001E-4</v>
      </c>
    </row>
    <row r="15754" spans="103:104" x14ac:dyDescent="0.3">
      <c r="CY15754" s="34" t="s">
        <v>16681</v>
      </c>
      <c r="CZ15754" s="35">
        <v>8.261840000000001E-4</v>
      </c>
    </row>
    <row r="15755" spans="103:104" x14ac:dyDescent="0.3">
      <c r="CY15755" s="34" t="s">
        <v>16682</v>
      </c>
      <c r="CZ15755" s="35">
        <v>5.180072E-3</v>
      </c>
    </row>
    <row r="15756" spans="103:104" x14ac:dyDescent="0.3">
      <c r="CY15756" s="34" t="s">
        <v>16683</v>
      </c>
      <c r="CZ15756" s="35">
        <v>5.4209799999999986E-4</v>
      </c>
    </row>
    <row r="15757" spans="103:104" x14ac:dyDescent="0.3">
      <c r="CY15757" s="34" t="s">
        <v>16684</v>
      </c>
      <c r="CZ15757" s="35">
        <v>4.8740368000000007E-4</v>
      </c>
    </row>
    <row r="15758" spans="103:104" x14ac:dyDescent="0.3">
      <c r="CY15758" s="34" t="s">
        <v>16685</v>
      </c>
      <c r="CZ15758" s="35">
        <v>2.2090856000000001E-4</v>
      </c>
    </row>
    <row r="15759" spans="103:104" x14ac:dyDescent="0.3">
      <c r="CY15759" s="34" t="s">
        <v>16686</v>
      </c>
      <c r="CZ15759" s="35">
        <v>3.2645199999999997E-4</v>
      </c>
    </row>
    <row r="15760" spans="103:104" x14ac:dyDescent="0.3">
      <c r="CY15760" s="34" t="s">
        <v>16687</v>
      </c>
      <c r="CZ15760" s="35">
        <v>1.5535999999999998E-4</v>
      </c>
    </row>
    <row r="15761" spans="103:104" x14ac:dyDescent="0.3">
      <c r="CY15761" s="34" t="s">
        <v>16688</v>
      </c>
      <c r="CZ15761" s="35">
        <v>0.1124936</v>
      </c>
    </row>
    <row r="15762" spans="103:104" x14ac:dyDescent="0.3">
      <c r="CY15762" s="34" t="s">
        <v>16689</v>
      </c>
      <c r="CZ15762" s="35">
        <v>1.6862047999999998E-2</v>
      </c>
    </row>
    <row r="15763" spans="103:104" x14ac:dyDescent="0.3">
      <c r="CY15763" s="34" t="s">
        <v>16690</v>
      </c>
      <c r="CZ15763" s="35">
        <v>1.1281792360000001E-2</v>
      </c>
    </row>
    <row r="15764" spans="103:104" x14ac:dyDescent="0.3">
      <c r="CY15764" s="34" t="s">
        <v>16691</v>
      </c>
      <c r="CZ15764" s="35">
        <v>1.1281792360000001E-2</v>
      </c>
    </row>
    <row r="15765" spans="103:104" x14ac:dyDescent="0.3">
      <c r="CY15765" s="34" t="s">
        <v>16692</v>
      </c>
      <c r="CZ15765" s="35">
        <v>5.0383680000000005E-3</v>
      </c>
    </row>
    <row r="15766" spans="103:104" x14ac:dyDescent="0.3">
      <c r="CY15766" s="34" t="s">
        <v>16693</v>
      </c>
      <c r="CZ15766" s="35">
        <v>1.5372087272727273E-3</v>
      </c>
    </row>
    <row r="15767" spans="103:104" x14ac:dyDescent="0.3">
      <c r="CY15767" s="34" t="s">
        <v>16694</v>
      </c>
      <c r="CZ15767" s="35">
        <v>2.5386906600000002E-2</v>
      </c>
    </row>
    <row r="15768" spans="103:104" x14ac:dyDescent="0.3">
      <c r="CY15768" s="34" t="s">
        <v>16695</v>
      </c>
      <c r="CZ15768" s="35">
        <v>0.17579855222222221</v>
      </c>
    </row>
    <row r="15769" spans="103:104" x14ac:dyDescent="0.3">
      <c r="CY15769" s="34" t="s">
        <v>16696</v>
      </c>
      <c r="CZ15769" s="35">
        <v>1.3578704E-2</v>
      </c>
    </row>
    <row r="15770" spans="103:104" x14ac:dyDescent="0.3">
      <c r="CY15770" s="34" t="s">
        <v>16697</v>
      </c>
      <c r="CZ15770" s="35">
        <v>3.4537199999999997E-2</v>
      </c>
    </row>
    <row r="15771" spans="103:104" x14ac:dyDescent="0.3">
      <c r="CY15771" s="34" t="s">
        <v>16698</v>
      </c>
      <c r="CZ15771" s="35">
        <v>1.7723229320000002E-2</v>
      </c>
    </row>
    <row r="15772" spans="103:104" x14ac:dyDescent="0.3">
      <c r="CY15772" s="34" t="s">
        <v>16699</v>
      </c>
      <c r="CZ15772" s="35">
        <v>0.53756348000000009</v>
      </c>
    </row>
    <row r="15773" spans="103:104" x14ac:dyDescent="0.3">
      <c r="CY15773" s="34" t="s">
        <v>16700</v>
      </c>
      <c r="CZ15773" s="35">
        <v>2.4748287999999999E-3</v>
      </c>
    </row>
    <row r="15774" spans="103:104" x14ac:dyDescent="0.3">
      <c r="CY15774" s="34" t="s">
        <v>16701</v>
      </c>
      <c r="CZ15774" s="35">
        <v>1.890666680412371E-3</v>
      </c>
    </row>
    <row r="15775" spans="103:104" x14ac:dyDescent="0.3">
      <c r="CY15775" s="34" t="s">
        <v>16702</v>
      </c>
      <c r="CZ15775" s="35">
        <v>4.8896308666666662E-3</v>
      </c>
    </row>
    <row r="15776" spans="103:104" x14ac:dyDescent="0.3">
      <c r="CY15776" s="34" t="s">
        <v>16703</v>
      </c>
      <c r="CZ15776" s="35">
        <v>7.9232044444444445E-3</v>
      </c>
    </row>
    <row r="15777" spans="103:104" x14ac:dyDescent="0.3">
      <c r="CY15777" s="34" t="s">
        <v>16704</v>
      </c>
      <c r="CZ15777" s="35">
        <v>4.6782986666666672E-2</v>
      </c>
    </row>
    <row r="15778" spans="103:104" x14ac:dyDescent="0.3">
      <c r="CY15778" s="34" t="s">
        <v>16705</v>
      </c>
      <c r="CZ15778" s="35">
        <v>8.9425344000000004E-2</v>
      </c>
    </row>
    <row r="15779" spans="103:104" x14ac:dyDescent="0.3">
      <c r="CY15779" s="34" t="s">
        <v>16706</v>
      </c>
      <c r="CZ15779" s="35">
        <v>6.9916672000000001E-3</v>
      </c>
    </row>
    <row r="15780" spans="103:104" x14ac:dyDescent="0.3">
      <c r="CY15780" s="34" t="s">
        <v>16707</v>
      </c>
      <c r="CZ15780" s="35">
        <v>0.41615963333333333</v>
      </c>
    </row>
    <row r="15781" spans="103:104" x14ac:dyDescent="0.3">
      <c r="CY15781" s="34" t="s">
        <v>16708</v>
      </c>
      <c r="CZ15781" s="35">
        <v>0.13595086067415729</v>
      </c>
    </row>
    <row r="15782" spans="103:104" x14ac:dyDescent="0.3">
      <c r="CY15782" s="34" t="s">
        <v>16709</v>
      </c>
      <c r="CZ15782" s="35">
        <v>0.58246752000000002</v>
      </c>
    </row>
    <row r="15783" spans="103:104" x14ac:dyDescent="0.3">
      <c r="CY15783" s="34" t="s">
        <v>16710</v>
      </c>
      <c r="CZ15783" s="35">
        <v>0.23006428799999998</v>
      </c>
    </row>
    <row r="15784" spans="103:104" x14ac:dyDescent="0.3">
      <c r="CY15784" s="34" t="s">
        <v>16711</v>
      </c>
      <c r="CZ15784" s="35">
        <v>0.86497656000000001</v>
      </c>
    </row>
    <row r="15785" spans="103:104" x14ac:dyDescent="0.3">
      <c r="CY15785" s="34" t="s">
        <v>16712</v>
      </c>
      <c r="CZ15785" s="35">
        <v>1.0846871999999999E-2</v>
      </c>
    </row>
    <row r="15786" spans="103:104" x14ac:dyDescent="0.3">
      <c r="CY15786" s="34" t="s">
        <v>16713</v>
      </c>
      <c r="CZ15786" s="35">
        <v>1.7326619999999997E-2</v>
      </c>
    </row>
    <row r="15787" spans="103:104" x14ac:dyDescent="0.3">
      <c r="CY15787" s="34" t="s">
        <v>16714</v>
      </c>
      <c r="CZ15787" s="35">
        <v>0.25161509999999998</v>
      </c>
    </row>
    <row r="15788" spans="103:104" x14ac:dyDescent="0.3">
      <c r="CY15788" s="34" t="s">
        <v>16715</v>
      </c>
      <c r="CZ15788" s="35">
        <v>0.25233385000000003</v>
      </c>
    </row>
    <row r="15789" spans="103:104" x14ac:dyDescent="0.3">
      <c r="CY15789" s="34" t="s">
        <v>16716</v>
      </c>
      <c r="CZ15789" s="35">
        <v>3.8665040000000002E-4</v>
      </c>
    </row>
    <row r="15790" spans="103:104" x14ac:dyDescent="0.3">
      <c r="CY15790" s="34" t="s">
        <v>16717</v>
      </c>
      <c r="CZ15790" s="35">
        <v>1.0239408E-2</v>
      </c>
    </row>
    <row r="15791" spans="103:104" x14ac:dyDescent="0.3">
      <c r="CY15791" s="34" t="s">
        <v>16718</v>
      </c>
      <c r="CZ15791" s="35">
        <v>4.1939562399999998E-2</v>
      </c>
    </row>
    <row r="15792" spans="103:104" x14ac:dyDescent="0.3">
      <c r="CY15792" s="34" t="s">
        <v>16719</v>
      </c>
      <c r="CZ15792" s="35">
        <v>5.7719979999999995E-3</v>
      </c>
    </row>
    <row r="15793" spans="103:104" x14ac:dyDescent="0.3">
      <c r="CY15793" s="34" t="s">
        <v>16720</v>
      </c>
      <c r="CZ15793" s="35">
        <v>5.2418224999999999E-2</v>
      </c>
    </row>
    <row r="15794" spans="103:104" x14ac:dyDescent="0.3">
      <c r="CY15794" s="34" t="s">
        <v>16721</v>
      </c>
      <c r="CZ15794" s="35">
        <v>5.4406024999999997E-2</v>
      </c>
    </row>
    <row r="15795" spans="103:104" x14ac:dyDescent="0.3">
      <c r="CY15795" s="34" t="s">
        <v>16722</v>
      </c>
      <c r="CZ15795" s="35">
        <v>5.2418224999999999E-2</v>
      </c>
    </row>
    <row r="15796" spans="103:104" x14ac:dyDescent="0.3">
      <c r="CY15796" s="34" t="s">
        <v>16723</v>
      </c>
      <c r="CZ15796" s="35">
        <v>5.4406024999999997E-2</v>
      </c>
    </row>
    <row r="15797" spans="103:104" x14ac:dyDescent="0.3">
      <c r="CY15797" s="34" t="s">
        <v>16724</v>
      </c>
      <c r="CZ15797" s="35">
        <v>0.22744968999999998</v>
      </c>
    </row>
    <row r="15798" spans="103:104" x14ac:dyDescent="0.3">
      <c r="CY15798" s="34" t="s">
        <v>16725</v>
      </c>
      <c r="CZ15798" s="35">
        <v>0.28221360000000006</v>
      </c>
    </row>
    <row r="15799" spans="103:104" x14ac:dyDescent="0.3">
      <c r="CY15799" s="34" t="s">
        <v>16726</v>
      </c>
      <c r="CZ15799" s="35">
        <v>0.52645210000000009</v>
      </c>
    </row>
    <row r="15800" spans="103:104" x14ac:dyDescent="0.3">
      <c r="CY15800" s="34" t="s">
        <v>16727</v>
      </c>
      <c r="CZ15800" s="35">
        <v>0.22737385000000002</v>
      </c>
    </row>
    <row r="15801" spans="103:104" x14ac:dyDescent="0.3">
      <c r="CY15801" s="34" t="s">
        <v>16728</v>
      </c>
      <c r="CZ15801" s="35">
        <v>0.42650590000000005</v>
      </c>
    </row>
    <row r="15802" spans="103:104" x14ac:dyDescent="0.3">
      <c r="CY15802" s="34" t="s">
        <v>16729</v>
      </c>
      <c r="CZ15802" s="35">
        <v>0.28873446599999997</v>
      </c>
    </row>
    <row r="15803" spans="103:104" x14ac:dyDescent="0.3">
      <c r="CY15803" s="34" t="s">
        <v>16730</v>
      </c>
      <c r="CZ15803" s="35">
        <v>0.33540966600000005</v>
      </c>
    </row>
    <row r="15804" spans="103:104" x14ac:dyDescent="0.3">
      <c r="CY15804" s="34" t="s">
        <v>16731</v>
      </c>
      <c r="CZ15804" s="35">
        <v>0.39386660000000001</v>
      </c>
    </row>
    <row r="15805" spans="103:104" x14ac:dyDescent="0.3">
      <c r="CY15805" s="34" t="s">
        <v>16732</v>
      </c>
      <c r="CZ15805" s="35">
        <v>0.44565804999999997</v>
      </c>
    </row>
    <row r="15806" spans="103:104" x14ac:dyDescent="0.3">
      <c r="CY15806" s="34" t="s">
        <v>16733</v>
      </c>
      <c r="CZ15806" s="35">
        <v>0.2467801</v>
      </c>
    </row>
    <row r="15807" spans="103:104" x14ac:dyDescent="0.3">
      <c r="CY15807" s="34" t="s">
        <v>16734</v>
      </c>
      <c r="CZ15807" s="35">
        <v>2.5341566315789477E-2</v>
      </c>
    </row>
    <row r="15808" spans="103:104" x14ac:dyDescent="0.3">
      <c r="CY15808" s="34" t="s">
        <v>16735</v>
      </c>
      <c r="CZ15808" s="35">
        <v>4.0107227777777768E-2</v>
      </c>
    </row>
    <row r="15809" spans="103:104" x14ac:dyDescent="0.3">
      <c r="CY15809" s="34" t="s">
        <v>16736</v>
      </c>
      <c r="CZ15809" s="35">
        <v>3.5248800000000004E-2</v>
      </c>
    </row>
    <row r="15810" spans="103:104" x14ac:dyDescent="0.3">
      <c r="CY15810" s="34" t="s">
        <v>16737</v>
      </c>
      <c r="CZ15810" s="35">
        <v>1.6631647999999999E-4</v>
      </c>
    </row>
    <row r="15811" spans="103:104" x14ac:dyDescent="0.3">
      <c r="CY15811" s="34" t="s">
        <v>16738</v>
      </c>
      <c r="CZ15811" s="35">
        <v>1.5549923999999999E-4</v>
      </c>
    </row>
    <row r="15812" spans="103:104" x14ac:dyDescent="0.3">
      <c r="CY15812" s="34" t="s">
        <v>16739</v>
      </c>
      <c r="CZ15812" s="35">
        <v>1.1533556600000001E-2</v>
      </c>
    </row>
    <row r="15813" spans="103:104" x14ac:dyDescent="0.3">
      <c r="CY15813" s="34" t="s">
        <v>16740</v>
      </c>
      <c r="CZ15813" s="35">
        <v>2.0097790000000002E-3</v>
      </c>
    </row>
    <row r="15814" spans="103:104" x14ac:dyDescent="0.3">
      <c r="CY15814" s="34" t="s">
        <v>16741</v>
      </c>
      <c r="CZ15814" s="35">
        <v>7.6941162666666674E-2</v>
      </c>
    </row>
    <row r="15815" spans="103:104" x14ac:dyDescent="0.3">
      <c r="CY15815" s="34" t="s">
        <v>16742</v>
      </c>
      <c r="CZ15815" s="35">
        <v>7.7280079333333349E-2</v>
      </c>
    </row>
    <row r="15816" spans="103:104" x14ac:dyDescent="0.3">
      <c r="CY15816" s="34" t="s">
        <v>16743</v>
      </c>
      <c r="CZ15816" s="35">
        <v>2.6433070400000001E-2</v>
      </c>
    </row>
    <row r="15817" spans="103:104" x14ac:dyDescent="0.3">
      <c r="CY15817" s="34" t="s">
        <v>16744</v>
      </c>
      <c r="CZ15817" s="35">
        <v>8.3677000000000015E-2</v>
      </c>
    </row>
    <row r="15818" spans="103:104" x14ac:dyDescent="0.3">
      <c r="CY15818" s="34" t="s">
        <v>16745</v>
      </c>
      <c r="CZ15818" s="35">
        <v>3.9149226666666667E-3</v>
      </c>
    </row>
    <row r="15819" spans="103:104" x14ac:dyDescent="0.3">
      <c r="CY15819" s="34" t="s">
        <v>16746</v>
      </c>
      <c r="CZ15819" s="35">
        <v>3.3296106666666665E-3</v>
      </c>
    </row>
    <row r="15820" spans="103:104" x14ac:dyDescent="0.3">
      <c r="CY15820" s="34" t="s">
        <v>16747</v>
      </c>
      <c r="CZ15820" s="35">
        <v>2.66423924E-3</v>
      </c>
    </row>
    <row r="15821" spans="103:104" x14ac:dyDescent="0.3">
      <c r="CY15821" s="34" t="s">
        <v>16748</v>
      </c>
      <c r="CZ15821" s="35">
        <v>3.4924678091428573E-3</v>
      </c>
    </row>
    <row r="15822" spans="103:104" x14ac:dyDescent="0.3">
      <c r="CY15822" s="34" t="s">
        <v>16749</v>
      </c>
      <c r="CZ15822" s="35">
        <v>1.9514968479999999E-2</v>
      </c>
    </row>
    <row r="15823" spans="103:104" x14ac:dyDescent="0.3">
      <c r="CY15823" s="34" t="s">
        <v>16750</v>
      </c>
      <c r="CZ15823" s="35">
        <v>1.3026899200000001E-2</v>
      </c>
    </row>
    <row r="15824" spans="103:104" x14ac:dyDescent="0.3">
      <c r="CY15824" s="34" t="s">
        <v>16751</v>
      </c>
      <c r="CZ15824" s="35">
        <v>5.7110700000000004E-3</v>
      </c>
    </row>
    <row r="15825" spans="103:104" x14ac:dyDescent="0.3">
      <c r="CY15825" s="34" t="s">
        <v>16752</v>
      </c>
      <c r="CZ15825" s="35">
        <v>1.1944176000000001E-3</v>
      </c>
    </row>
    <row r="15826" spans="103:104" x14ac:dyDescent="0.3">
      <c r="CY15826" s="34" t="s">
        <v>16753</v>
      </c>
      <c r="CZ15826" s="35">
        <v>6.6720884000000008E-2</v>
      </c>
    </row>
    <row r="15827" spans="103:104" x14ac:dyDescent="0.3">
      <c r="CY15827" s="34" t="s">
        <v>16754</v>
      </c>
      <c r="CZ15827" s="35">
        <v>1.3335569999999998E-2</v>
      </c>
    </row>
    <row r="15828" spans="103:104" x14ac:dyDescent="0.3">
      <c r="CY15828" s="34" t="s">
        <v>16755</v>
      </c>
      <c r="CZ15828" s="35">
        <v>9.1349440000000007E-4</v>
      </c>
    </row>
    <row r="15829" spans="103:104" x14ac:dyDescent="0.3">
      <c r="CY15829" s="34" t="s">
        <v>16756</v>
      </c>
      <c r="CZ15829" s="35">
        <v>5.1397840000000003E-4</v>
      </c>
    </row>
    <row r="15830" spans="103:104" x14ac:dyDescent="0.3">
      <c r="CY15830" s="34" t="s">
        <v>16757</v>
      </c>
      <c r="CZ15830" s="35">
        <v>8.4366600000000008E-4</v>
      </c>
    </row>
    <row r="15831" spans="103:104" x14ac:dyDescent="0.3">
      <c r="CY15831" s="34" t="s">
        <v>16758</v>
      </c>
      <c r="CZ15831" s="35">
        <v>1.95948E-3</v>
      </c>
    </row>
    <row r="15832" spans="103:104" x14ac:dyDescent="0.3">
      <c r="CY15832" s="34" t="s">
        <v>16759</v>
      </c>
      <c r="CZ15832" s="35">
        <v>5.5824794363636371E-4</v>
      </c>
    </row>
    <row r="15833" spans="103:104" x14ac:dyDescent="0.3">
      <c r="CY15833" s="34" t="s">
        <v>16760</v>
      </c>
      <c r="CZ15833" s="35">
        <v>1.9257416E-4</v>
      </c>
    </row>
    <row r="15834" spans="103:104" x14ac:dyDescent="0.3">
      <c r="CY15834" s="34" t="s">
        <v>16761</v>
      </c>
      <c r="CZ15834" s="35">
        <v>1.43031653E-2</v>
      </c>
    </row>
    <row r="15835" spans="103:104" x14ac:dyDescent="0.3">
      <c r="CY15835" s="34" t="s">
        <v>16762</v>
      </c>
      <c r="CZ15835" s="35">
        <v>1.4303171999999998E-2</v>
      </c>
    </row>
    <row r="15836" spans="103:104" x14ac:dyDescent="0.3">
      <c r="CY15836" s="34" t="s">
        <v>16763</v>
      </c>
      <c r="CZ15836" s="35">
        <v>1.4303171999999998E-2</v>
      </c>
    </row>
    <row r="15837" spans="103:104" x14ac:dyDescent="0.3">
      <c r="CY15837" s="34" t="s">
        <v>16764</v>
      </c>
      <c r="CZ15837" s="35">
        <v>4.9295546666666672E-3</v>
      </c>
    </row>
    <row r="15838" spans="103:104" x14ac:dyDescent="0.3">
      <c r="CY15838" s="34" t="s">
        <v>16765</v>
      </c>
      <c r="CZ15838" s="35">
        <v>2.1487111999999999E-2</v>
      </c>
    </row>
    <row r="15839" spans="103:104" x14ac:dyDescent="0.3">
      <c r="CY15839" s="34" t="s">
        <v>16766</v>
      </c>
      <c r="CZ15839" s="35">
        <v>8.1801599999999997E-4</v>
      </c>
    </row>
    <row r="15840" spans="103:104" x14ac:dyDescent="0.3">
      <c r="CY15840" s="34" t="s">
        <v>16767</v>
      </c>
      <c r="CZ15840" s="35">
        <v>8.1801599999999986E-4</v>
      </c>
    </row>
    <row r="15841" spans="103:104" x14ac:dyDescent="0.3">
      <c r="CY15841" s="34" t="s">
        <v>16768</v>
      </c>
      <c r="CZ15841" s="35">
        <v>3.4558229999999995E-2</v>
      </c>
    </row>
    <row r="15842" spans="103:104" x14ac:dyDescent="0.3">
      <c r="CY15842" s="34" t="s">
        <v>16769</v>
      </c>
      <c r="CZ15842" s="35">
        <v>1.8529373000000002E-2</v>
      </c>
    </row>
    <row r="15843" spans="103:104" x14ac:dyDescent="0.3">
      <c r="CY15843" s="34" t="s">
        <v>16770</v>
      </c>
      <c r="CZ15843" s="35">
        <v>3.2430939999999998E-2</v>
      </c>
    </row>
    <row r="15844" spans="103:104" x14ac:dyDescent="0.3">
      <c r="CY15844" s="34" t="s">
        <v>16771</v>
      </c>
      <c r="CZ15844" s="35">
        <v>2.3821283999999998E-2</v>
      </c>
    </row>
    <row r="15845" spans="103:104" x14ac:dyDescent="0.3">
      <c r="CY15845" s="34" t="s">
        <v>16772</v>
      </c>
      <c r="CZ15845" s="35">
        <v>4.0904200000000009E-3</v>
      </c>
    </row>
    <row r="15846" spans="103:104" x14ac:dyDescent="0.3">
      <c r="CY15846" s="34" t="s">
        <v>16773</v>
      </c>
      <c r="CZ15846" s="35">
        <v>2.4685540000000002E-2</v>
      </c>
    </row>
    <row r="15847" spans="103:104" x14ac:dyDescent="0.3">
      <c r="CY15847" s="34" t="s">
        <v>16774</v>
      </c>
      <c r="CZ15847" s="35">
        <v>0.15677583</v>
      </c>
    </row>
    <row r="15848" spans="103:104" x14ac:dyDescent="0.3">
      <c r="CY15848" s="34" t="s">
        <v>16775</v>
      </c>
      <c r="CZ15848" s="35">
        <v>9.6719144077199986E-3</v>
      </c>
    </row>
    <row r="15849" spans="103:104" x14ac:dyDescent="0.3">
      <c r="CY15849" s="34" t="s">
        <v>16776</v>
      </c>
      <c r="CZ15849" s="35">
        <v>2.3917985000000003E-2</v>
      </c>
    </row>
    <row r="15850" spans="103:104" x14ac:dyDescent="0.3">
      <c r="CY15850" s="34" t="s">
        <v>16777</v>
      </c>
      <c r="CZ15850" s="35">
        <v>1.5912212499999998E-2</v>
      </c>
    </row>
    <row r="15851" spans="103:104" x14ac:dyDescent="0.3">
      <c r="CY15851" s="34" t="s">
        <v>16778</v>
      </c>
      <c r="CZ15851" s="35">
        <v>1.5912212500000002E-2</v>
      </c>
    </row>
    <row r="15852" spans="103:104" x14ac:dyDescent="0.3">
      <c r="CY15852" s="34" t="s">
        <v>16779</v>
      </c>
      <c r="CZ15852" s="35">
        <v>5.3724339999999995E-2</v>
      </c>
    </row>
    <row r="15853" spans="103:104" x14ac:dyDescent="0.3">
      <c r="CY15853" s="34" t="s">
        <v>16780</v>
      </c>
      <c r="CZ15853" s="35">
        <v>5.3724339999999995E-2</v>
      </c>
    </row>
    <row r="15854" spans="103:104" x14ac:dyDescent="0.3">
      <c r="CY15854" s="34" t="s">
        <v>16781</v>
      </c>
      <c r="CZ15854" s="35">
        <v>8.3508499999999982E-3</v>
      </c>
    </row>
    <row r="15855" spans="103:104" x14ac:dyDescent="0.3">
      <c r="CY15855" s="34" t="s">
        <v>16782</v>
      </c>
      <c r="CZ15855" s="35">
        <v>8.3508499999999982E-3</v>
      </c>
    </row>
    <row r="15856" spans="103:104" x14ac:dyDescent="0.3">
      <c r="CY15856" s="34" t="s">
        <v>16783</v>
      </c>
      <c r="CZ15856" s="35">
        <v>8.8217279999999992E-3</v>
      </c>
    </row>
    <row r="15857" spans="103:104" x14ac:dyDescent="0.3">
      <c r="CY15857" s="34" t="s">
        <v>16784</v>
      </c>
      <c r="CZ15857" s="35">
        <v>8.6324959999999999E-3</v>
      </c>
    </row>
    <row r="15858" spans="103:104" x14ac:dyDescent="0.3">
      <c r="CY15858" s="34" t="s">
        <v>16785</v>
      </c>
      <c r="CZ15858" s="35">
        <v>7.4474186666666671E-3</v>
      </c>
    </row>
    <row r="15859" spans="103:104" x14ac:dyDescent="0.3">
      <c r="CY15859" s="34" t="s">
        <v>16786</v>
      </c>
      <c r="CZ15859" s="35">
        <v>1.2425256000000001E-2</v>
      </c>
    </row>
    <row r="15860" spans="103:104" x14ac:dyDescent="0.3">
      <c r="CY15860" s="34" t="s">
        <v>16787</v>
      </c>
      <c r="CZ15860" s="35">
        <v>1.7655323333333334E-3</v>
      </c>
    </row>
    <row r="15861" spans="103:104" x14ac:dyDescent="0.3">
      <c r="CY15861" s="34" t="s">
        <v>16788</v>
      </c>
      <c r="CZ15861" s="35">
        <v>5.0115593469387758E-2</v>
      </c>
    </row>
    <row r="15862" spans="103:104" x14ac:dyDescent="0.3">
      <c r="CY15862" s="34" t="s">
        <v>16789</v>
      </c>
      <c r="CZ15862" s="35">
        <v>5.1698191157894743E-2</v>
      </c>
    </row>
    <row r="15863" spans="103:104" x14ac:dyDescent="0.3">
      <c r="CY15863" s="34" t="s">
        <v>16790</v>
      </c>
      <c r="CZ15863" s="35">
        <v>5.3294301052631589E-2</v>
      </c>
    </row>
    <row r="15864" spans="103:104" x14ac:dyDescent="0.3">
      <c r="CY15864" s="34" t="s">
        <v>16791</v>
      </c>
      <c r="CZ15864" s="35">
        <v>5.1605944000000003E-3</v>
      </c>
    </row>
    <row r="15865" spans="103:104" x14ac:dyDescent="0.3">
      <c r="CY15865" s="34" t="s">
        <v>16792</v>
      </c>
      <c r="CZ15865" s="35">
        <v>6.9291100000000005E-4</v>
      </c>
    </row>
    <row r="15866" spans="103:104" x14ac:dyDescent="0.3">
      <c r="CY15866" s="34" t="s">
        <v>16793</v>
      </c>
      <c r="CZ15866" s="35">
        <v>1.8922168E-2</v>
      </c>
    </row>
    <row r="15867" spans="103:104" x14ac:dyDescent="0.3">
      <c r="CY15867" s="34" t="s">
        <v>16794</v>
      </c>
      <c r="CZ15867" s="35">
        <v>0.31962499933300004</v>
      </c>
    </row>
    <row r="15868" spans="103:104" x14ac:dyDescent="0.3">
      <c r="CY15868" s="34" t="s">
        <v>16795</v>
      </c>
      <c r="CZ15868" s="35">
        <v>1.5278216296296296E-3</v>
      </c>
    </row>
    <row r="15869" spans="103:104" x14ac:dyDescent="0.3">
      <c r="CY15869" s="34" t="s">
        <v>16796</v>
      </c>
      <c r="CZ15869" s="35">
        <v>1.0222186666666668E-3</v>
      </c>
    </row>
    <row r="15870" spans="103:104" x14ac:dyDescent="0.3">
      <c r="CY15870" s="34" t="s">
        <v>16797</v>
      </c>
      <c r="CZ15870" s="35">
        <v>1.2105624E-3</v>
      </c>
    </row>
    <row r="15871" spans="103:104" x14ac:dyDescent="0.3">
      <c r="CY15871" s="34" t="s">
        <v>16798</v>
      </c>
      <c r="CZ15871" s="35">
        <v>4.5941919999999995E-3</v>
      </c>
    </row>
    <row r="15872" spans="103:104" x14ac:dyDescent="0.3">
      <c r="CY15872" s="34" t="s">
        <v>16799</v>
      </c>
      <c r="CZ15872" s="35">
        <v>4.5941919999999995E-3</v>
      </c>
    </row>
    <row r="15873" spans="103:104" x14ac:dyDescent="0.3">
      <c r="CY15873" s="34" t="s">
        <v>16800</v>
      </c>
      <c r="CZ15873" s="35">
        <v>6.0638800000000007E-3</v>
      </c>
    </row>
    <row r="15874" spans="103:104" x14ac:dyDescent="0.3">
      <c r="CY15874" s="34" t="s">
        <v>16801</v>
      </c>
      <c r="CZ15874" s="35">
        <v>6.0638800000000007E-3</v>
      </c>
    </row>
    <row r="15875" spans="103:104" x14ac:dyDescent="0.3">
      <c r="CY15875" s="34" t="s">
        <v>16802</v>
      </c>
      <c r="CZ15875" s="35">
        <v>5.5865199999999993E-3</v>
      </c>
    </row>
    <row r="15876" spans="103:104" x14ac:dyDescent="0.3">
      <c r="CY15876" s="34" t="s">
        <v>16803</v>
      </c>
      <c r="CZ15876" s="35">
        <v>5.5865199999999993E-3</v>
      </c>
    </row>
    <row r="15877" spans="103:104" x14ac:dyDescent="0.3">
      <c r="CY15877" s="34" t="s">
        <v>16804</v>
      </c>
      <c r="CZ15877" s="35">
        <v>1.4662621666666667E-3</v>
      </c>
    </row>
    <row r="15878" spans="103:104" x14ac:dyDescent="0.3">
      <c r="CY15878" s="34" t="s">
        <v>16805</v>
      </c>
      <c r="CZ15878" s="35">
        <v>7.8245554285714287E-3</v>
      </c>
    </row>
    <row r="15879" spans="103:104" x14ac:dyDescent="0.3">
      <c r="CY15879" s="34" t="s">
        <v>16806</v>
      </c>
      <c r="CZ15879" s="35">
        <v>2.1867786666666666E-3</v>
      </c>
    </row>
    <row r="15880" spans="103:104" x14ac:dyDescent="0.3">
      <c r="CY15880" s="34" t="s">
        <v>16807</v>
      </c>
      <c r="CZ15880" s="35">
        <v>1.6331648000000002E-3</v>
      </c>
    </row>
    <row r="15881" spans="103:104" x14ac:dyDescent="0.3">
      <c r="CY15881" s="34" t="s">
        <v>16808</v>
      </c>
      <c r="CZ15881" s="35">
        <v>7.7308480000000011E-3</v>
      </c>
    </row>
    <row r="15882" spans="103:104" x14ac:dyDescent="0.3">
      <c r="CY15882" s="34" t="s">
        <v>16809</v>
      </c>
      <c r="CZ15882" s="35">
        <v>5.4665192000000005E-3</v>
      </c>
    </row>
    <row r="15883" spans="103:104" x14ac:dyDescent="0.3">
      <c r="CY15883" s="34" t="s">
        <v>16810</v>
      </c>
      <c r="CZ15883" s="35">
        <v>1.0205275000000001E-2</v>
      </c>
    </row>
    <row r="15884" spans="103:104" x14ac:dyDescent="0.3">
      <c r="CY15884" s="34" t="s">
        <v>16811</v>
      </c>
      <c r="CZ15884" s="35">
        <v>2.4363111111111112E-3</v>
      </c>
    </row>
    <row r="15885" spans="103:104" x14ac:dyDescent="0.3">
      <c r="CY15885" s="34" t="s">
        <v>16812</v>
      </c>
      <c r="CZ15885" s="35">
        <v>4.0522899999999994E-2</v>
      </c>
    </row>
    <row r="15886" spans="103:104" x14ac:dyDescent="0.3">
      <c r="CY15886" s="34" t="s">
        <v>16813</v>
      </c>
      <c r="CZ15886" s="35">
        <v>5.584651999999999E-3</v>
      </c>
    </row>
    <row r="15887" spans="103:104" x14ac:dyDescent="0.3">
      <c r="CY15887" s="34" t="s">
        <v>16814</v>
      </c>
      <c r="CZ15887" s="35">
        <v>8.6896000000000004E-3</v>
      </c>
    </row>
    <row r="15888" spans="103:104" x14ac:dyDescent="0.3">
      <c r="CY15888" s="34" t="s">
        <v>16815</v>
      </c>
      <c r="CZ15888" s="35">
        <v>3.1142232000000002E-4</v>
      </c>
    </row>
    <row r="15889" spans="103:104" x14ac:dyDescent="0.3">
      <c r="CY15889" s="34" t="s">
        <v>16816</v>
      </c>
      <c r="CZ15889" s="35">
        <v>0.10200821328571429</v>
      </c>
    </row>
    <row r="15890" spans="103:104" x14ac:dyDescent="0.3">
      <c r="CY15890" s="34" t="s">
        <v>16817</v>
      </c>
      <c r="CZ15890" s="35">
        <v>0.10714373333333334</v>
      </c>
    </row>
    <row r="15891" spans="103:104" x14ac:dyDescent="0.3">
      <c r="CY15891" s="34" t="s">
        <v>16818</v>
      </c>
      <c r="CZ15891" s="35">
        <v>0.18412512540000001</v>
      </c>
    </row>
    <row r="15892" spans="103:104" x14ac:dyDescent="0.3">
      <c r="CY15892" s="34" t="s">
        <v>16819</v>
      </c>
      <c r="CZ15892" s="35">
        <v>0.1638303468</v>
      </c>
    </row>
    <row r="15893" spans="103:104" x14ac:dyDescent="0.3">
      <c r="CY15893" s="34" t="s">
        <v>16820</v>
      </c>
      <c r="CZ15893" s="35">
        <v>0.10476421340000001</v>
      </c>
    </row>
    <row r="15894" spans="103:104" x14ac:dyDescent="0.3">
      <c r="CY15894" s="34" t="s">
        <v>16821</v>
      </c>
      <c r="CZ15894" s="35">
        <v>2.6861740000000002E-2</v>
      </c>
    </row>
    <row r="15895" spans="103:104" x14ac:dyDescent="0.3">
      <c r="CY15895" s="34" t="s">
        <v>16822</v>
      </c>
      <c r="CZ15895" s="35">
        <v>2.6219020000000003E-2</v>
      </c>
    </row>
    <row r="15896" spans="103:104" x14ac:dyDescent="0.3">
      <c r="CY15896" s="34" t="s">
        <v>16823</v>
      </c>
      <c r="CZ15896" s="35">
        <v>4.1242184999999994E-2</v>
      </c>
    </row>
    <row r="15897" spans="103:104" x14ac:dyDescent="0.3">
      <c r="CY15897" s="34" t="s">
        <v>16824</v>
      </c>
      <c r="CZ15897" s="35">
        <v>3.8840525252525249E-3</v>
      </c>
    </row>
    <row r="15898" spans="103:104" x14ac:dyDescent="0.3">
      <c r="CY15898" s="34" t="s">
        <v>16825</v>
      </c>
      <c r="CZ15898" s="35">
        <v>1.1940104E-2</v>
      </c>
    </row>
    <row r="15899" spans="103:104" x14ac:dyDescent="0.3">
      <c r="CY15899" s="34" t="s">
        <v>16826</v>
      </c>
      <c r="CZ15899" s="35">
        <v>1.7317799999999999E-4</v>
      </c>
    </row>
    <row r="15900" spans="103:104" x14ac:dyDescent="0.3">
      <c r="CY15900" s="34" t="s">
        <v>16827</v>
      </c>
      <c r="CZ15900" s="35">
        <v>2.9368574000000003E-3</v>
      </c>
    </row>
    <row r="15901" spans="103:104" x14ac:dyDescent="0.3">
      <c r="CY15901" s="34" t="s">
        <v>16828</v>
      </c>
      <c r="CZ15901" s="35">
        <v>2.0936090400000003E-2</v>
      </c>
    </row>
    <row r="15902" spans="103:104" x14ac:dyDescent="0.3">
      <c r="CY15902" s="34" t="s">
        <v>16829</v>
      </c>
      <c r="CZ15902" s="35">
        <v>4.0293879999999997E-2</v>
      </c>
    </row>
    <row r="15903" spans="103:104" x14ac:dyDescent="0.3">
      <c r="CY15903" s="34" t="s">
        <v>16830</v>
      </c>
      <c r="CZ15903" s="35">
        <v>1.5322055999999999E-2</v>
      </c>
    </row>
    <row r="15904" spans="103:104" x14ac:dyDescent="0.3">
      <c r="CY15904" s="34" t="s">
        <v>16831</v>
      </c>
      <c r="CZ15904" s="35">
        <v>9.928807999999999E-3</v>
      </c>
    </row>
    <row r="15905" spans="103:104" x14ac:dyDescent="0.3">
      <c r="CY15905" s="34" t="s">
        <v>16832</v>
      </c>
      <c r="CZ15905" s="35">
        <v>9.9288080000000008E-3</v>
      </c>
    </row>
    <row r="15906" spans="103:104" x14ac:dyDescent="0.3">
      <c r="CY15906" s="34" t="s">
        <v>16833</v>
      </c>
      <c r="CZ15906" s="35">
        <v>9.0031399999999998E-3</v>
      </c>
    </row>
    <row r="15907" spans="103:104" x14ac:dyDescent="0.3">
      <c r="CY15907" s="34" t="s">
        <v>16834</v>
      </c>
      <c r="CZ15907" s="35">
        <v>4.4958739540740734E-2</v>
      </c>
    </row>
    <row r="15908" spans="103:104" x14ac:dyDescent="0.3">
      <c r="CY15908" s="34" t="s">
        <v>16835</v>
      </c>
      <c r="CZ15908" s="35">
        <v>2.0883263999999999E-4</v>
      </c>
    </row>
    <row r="15909" spans="103:104" x14ac:dyDescent="0.3">
      <c r="CY15909" s="34" t="s">
        <v>16836</v>
      </c>
      <c r="CZ15909" s="35">
        <v>2.0883263999999999E-4</v>
      </c>
    </row>
    <row r="15910" spans="103:104" x14ac:dyDescent="0.3">
      <c r="CY15910" s="34" t="s">
        <v>16837</v>
      </c>
      <c r="CZ15910" s="35">
        <v>5.9570000000000001E-5</v>
      </c>
    </row>
    <row r="15911" spans="103:104" x14ac:dyDescent="0.3">
      <c r="CY15911" s="34" t="s">
        <v>16838</v>
      </c>
      <c r="CZ15911" s="35">
        <v>1.9420747391304344E-4</v>
      </c>
    </row>
    <row r="15912" spans="103:104" x14ac:dyDescent="0.3">
      <c r="CY15912" s="34" t="s">
        <v>16839</v>
      </c>
      <c r="CZ15912" s="35">
        <v>3.5994464E-4</v>
      </c>
    </row>
    <row r="15913" spans="103:104" x14ac:dyDescent="0.3">
      <c r="CY15913" s="34" t="s">
        <v>16840</v>
      </c>
      <c r="CZ15913" s="35">
        <v>1.6482293333333333E-3</v>
      </c>
    </row>
    <row r="15914" spans="103:104" x14ac:dyDescent="0.3">
      <c r="CY15914" s="34" t="s">
        <v>16841</v>
      </c>
      <c r="CZ15914" s="35">
        <v>1.0602645333333332E-3</v>
      </c>
    </row>
    <row r="15915" spans="103:104" x14ac:dyDescent="0.3">
      <c r="CY15915" s="34" t="s">
        <v>16842</v>
      </c>
      <c r="CZ15915" s="35">
        <v>1.8142080000000001E-4</v>
      </c>
    </row>
    <row r="15916" spans="103:104" x14ac:dyDescent="0.3">
      <c r="CY15916" s="34" t="s">
        <v>16843</v>
      </c>
      <c r="CZ15916" s="35">
        <v>3.6127872000000003E-4</v>
      </c>
    </row>
    <row r="15917" spans="103:104" x14ac:dyDescent="0.3">
      <c r="CY15917" s="34" t="s">
        <v>16844</v>
      </c>
      <c r="CZ15917" s="35">
        <v>1.4603872000000001E-3</v>
      </c>
    </row>
    <row r="15918" spans="103:104" x14ac:dyDescent="0.3">
      <c r="CY15918" s="34" t="s">
        <v>16845</v>
      </c>
      <c r="CZ15918" s="35">
        <v>1.6415460999999999E-4</v>
      </c>
    </row>
    <row r="15919" spans="103:104" x14ac:dyDescent="0.3">
      <c r="CY15919" s="34" t="s">
        <v>16846</v>
      </c>
      <c r="CZ15919" s="35">
        <v>1.0004520000000002E-3</v>
      </c>
    </row>
    <row r="15920" spans="103:104" x14ac:dyDescent="0.3">
      <c r="CY15920" s="34" t="s">
        <v>16847</v>
      </c>
      <c r="CZ15920" s="35">
        <v>1.000452E-3</v>
      </c>
    </row>
    <row r="15921" spans="103:104" x14ac:dyDescent="0.3">
      <c r="CY15921" s="34" t="s">
        <v>16848</v>
      </c>
      <c r="CZ15921" s="35">
        <v>4.0353423999999999E-2</v>
      </c>
    </row>
    <row r="15922" spans="103:104" x14ac:dyDescent="0.3">
      <c r="CY15922" s="34" t="s">
        <v>16849</v>
      </c>
      <c r="CZ15922" s="35">
        <v>5.3551840000000003E-2</v>
      </c>
    </row>
    <row r="15923" spans="103:104" x14ac:dyDescent="0.3">
      <c r="CY15923" s="34" t="s">
        <v>16850</v>
      </c>
      <c r="CZ15923" s="35">
        <v>7.1838640000000003E-4</v>
      </c>
    </row>
    <row r="15924" spans="103:104" x14ac:dyDescent="0.3">
      <c r="CY15924" s="34" t="s">
        <v>16851</v>
      </c>
      <c r="CZ15924" s="35">
        <v>3.5296559999999999E-4</v>
      </c>
    </row>
    <row r="15925" spans="103:104" x14ac:dyDescent="0.3">
      <c r="CY15925" s="34" t="s">
        <v>16852</v>
      </c>
      <c r="CZ15925" s="35">
        <v>7.1171999999999989E-4</v>
      </c>
    </row>
    <row r="15926" spans="103:104" x14ac:dyDescent="0.3">
      <c r="CY15926" s="34" t="s">
        <v>16853</v>
      </c>
      <c r="CZ15926" s="35">
        <v>1.33968E-3</v>
      </c>
    </row>
    <row r="15927" spans="103:104" x14ac:dyDescent="0.3">
      <c r="CY15927" s="34" t="s">
        <v>16854</v>
      </c>
      <c r="CZ15927" s="35">
        <v>1.33968E-3</v>
      </c>
    </row>
    <row r="15928" spans="103:104" x14ac:dyDescent="0.3">
      <c r="CY15928" s="34" t="s">
        <v>16855</v>
      </c>
      <c r="CZ15928" s="35">
        <v>1.0788480000000001E-3</v>
      </c>
    </row>
    <row r="15929" spans="103:104" x14ac:dyDescent="0.3">
      <c r="CY15929" s="34" t="s">
        <v>16856</v>
      </c>
      <c r="CZ15929" s="35">
        <v>1.0788480000000001E-3</v>
      </c>
    </row>
    <row r="15930" spans="103:104" x14ac:dyDescent="0.3">
      <c r="CY15930" s="34" t="s">
        <v>16857</v>
      </c>
      <c r="CZ15930" s="35">
        <v>9.4554840000000008E-4</v>
      </c>
    </row>
    <row r="15931" spans="103:104" x14ac:dyDescent="0.3">
      <c r="CY15931" s="34" t="s">
        <v>16858</v>
      </c>
      <c r="CZ15931" s="35">
        <v>8.2513199999999991E-4</v>
      </c>
    </row>
    <row r="15932" spans="103:104" x14ac:dyDescent="0.3">
      <c r="CY15932" s="34" t="s">
        <v>16859</v>
      </c>
      <c r="CZ15932" s="35">
        <v>4.2306560000000002E-3</v>
      </c>
    </row>
    <row r="15933" spans="103:104" x14ac:dyDescent="0.3">
      <c r="CY15933" s="34" t="s">
        <v>16860</v>
      </c>
      <c r="CZ15933" s="35">
        <v>1.6321463999999998E-3</v>
      </c>
    </row>
    <row r="15934" spans="103:104" x14ac:dyDescent="0.3">
      <c r="CY15934" s="34" t="s">
        <v>16861</v>
      </c>
      <c r="CZ15934" s="35">
        <v>1.6969383999999998E-3</v>
      </c>
    </row>
    <row r="15935" spans="103:104" x14ac:dyDescent="0.3">
      <c r="CY15935" s="34" t="s">
        <v>16862</v>
      </c>
      <c r="CZ15935" s="35">
        <v>1.179443557142857E-2</v>
      </c>
    </row>
    <row r="15936" spans="103:104" x14ac:dyDescent="0.3">
      <c r="CY15936" s="34" t="s">
        <v>16863</v>
      </c>
      <c r="CZ15936" s="35">
        <v>2.1984287999999999E-3</v>
      </c>
    </row>
    <row r="15937" spans="103:104" x14ac:dyDescent="0.3">
      <c r="CY15937" s="34" t="s">
        <v>16864</v>
      </c>
      <c r="CZ15937" s="35">
        <v>0.41880812499999998</v>
      </c>
    </row>
    <row r="15938" spans="103:104" x14ac:dyDescent="0.3">
      <c r="CY15938" s="34" t="s">
        <v>16865</v>
      </c>
      <c r="CZ15938" s="35">
        <v>0.13368149000000001</v>
      </c>
    </row>
    <row r="15939" spans="103:104" x14ac:dyDescent="0.3">
      <c r="CY15939" s="34" t="s">
        <v>16866</v>
      </c>
      <c r="CZ15939" s="35">
        <v>5.1294223999999999E-3</v>
      </c>
    </row>
    <row r="15940" spans="103:104" x14ac:dyDescent="0.3">
      <c r="CY15940" s="34" t="s">
        <v>16867</v>
      </c>
      <c r="CZ15940" s="35">
        <v>1.8176110545454548E-2</v>
      </c>
    </row>
    <row r="15941" spans="103:104" x14ac:dyDescent="0.3">
      <c r="CY15941" s="34" t="s">
        <v>16868</v>
      </c>
      <c r="CZ15941" s="35">
        <v>6.1504228571428567E-3</v>
      </c>
    </row>
    <row r="15942" spans="103:104" x14ac:dyDescent="0.3">
      <c r="CY15942" s="34" t="s">
        <v>16869</v>
      </c>
      <c r="CZ15942" s="35">
        <v>9.0032022857142839E-3</v>
      </c>
    </row>
    <row r="15943" spans="103:104" x14ac:dyDescent="0.3">
      <c r="CY15943" s="34" t="s">
        <v>16870</v>
      </c>
      <c r="CZ15943" s="35">
        <v>6.6417519999999999E-3</v>
      </c>
    </row>
    <row r="15944" spans="103:104" x14ac:dyDescent="0.3">
      <c r="CY15944" s="34" t="s">
        <v>16871</v>
      </c>
      <c r="CZ15944" s="35">
        <v>5.6337999999999996E-3</v>
      </c>
    </row>
    <row r="15945" spans="103:104" x14ac:dyDescent="0.3">
      <c r="CY15945" s="34" t="s">
        <v>16872</v>
      </c>
      <c r="CZ15945" s="35">
        <v>5.6337999999999996E-3</v>
      </c>
    </row>
    <row r="15946" spans="103:104" x14ac:dyDescent="0.3">
      <c r="CY15946" s="34" t="s">
        <v>16873</v>
      </c>
      <c r="CZ15946" s="35">
        <v>5.6744040000000001E-3</v>
      </c>
    </row>
    <row r="15947" spans="103:104" x14ac:dyDescent="0.3">
      <c r="CY15947" s="34" t="s">
        <v>16874</v>
      </c>
      <c r="CZ15947" s="35">
        <v>5.6744040000000001E-3</v>
      </c>
    </row>
    <row r="15948" spans="103:104" x14ac:dyDescent="0.3">
      <c r="CY15948" s="34" t="s">
        <v>16875</v>
      </c>
      <c r="CZ15948" s="35">
        <v>5.6744073333333334E-3</v>
      </c>
    </row>
    <row r="15949" spans="103:104" x14ac:dyDescent="0.3">
      <c r="CY15949" s="34" t="s">
        <v>16876</v>
      </c>
      <c r="CZ15949" s="35">
        <v>8.1934849333333334E-3</v>
      </c>
    </row>
    <row r="15950" spans="103:104" x14ac:dyDescent="0.3">
      <c r="CY15950" s="34" t="s">
        <v>16877</v>
      </c>
      <c r="CZ15950" s="35">
        <v>5.6744040000000001E-3</v>
      </c>
    </row>
    <row r="15951" spans="103:104" x14ac:dyDescent="0.3">
      <c r="CY15951" s="34" t="s">
        <v>16878</v>
      </c>
      <c r="CZ15951" s="35">
        <v>5.3229147999999992E-3</v>
      </c>
    </row>
    <row r="15952" spans="103:104" x14ac:dyDescent="0.3">
      <c r="CY15952" s="34" t="s">
        <v>16879</v>
      </c>
      <c r="CZ15952" s="35">
        <v>4.8542491999999989E-3</v>
      </c>
    </row>
    <row r="15953" spans="103:104" x14ac:dyDescent="0.3">
      <c r="CY15953" s="34" t="s">
        <v>16880</v>
      </c>
      <c r="CZ15953" s="35">
        <v>4.3855836000000004E-3</v>
      </c>
    </row>
    <row r="15954" spans="103:104" x14ac:dyDescent="0.3">
      <c r="CY15954" s="34" t="s">
        <v>16881</v>
      </c>
      <c r="CZ15954" s="35">
        <v>2.6904723999999999E-3</v>
      </c>
    </row>
    <row r="15955" spans="103:104" x14ac:dyDescent="0.3">
      <c r="CY15955" s="34" t="s">
        <v>16882</v>
      </c>
      <c r="CZ15955" s="35">
        <v>7.0444039999999989E-3</v>
      </c>
    </row>
    <row r="15956" spans="103:104" x14ac:dyDescent="0.3">
      <c r="CY15956" s="34" t="s">
        <v>16883</v>
      </c>
      <c r="CZ15956" s="35">
        <v>7.044403999999998E-3</v>
      </c>
    </row>
    <row r="15957" spans="103:104" x14ac:dyDescent="0.3">
      <c r="CY15957" s="34" t="s">
        <v>16884</v>
      </c>
      <c r="CZ15957" s="35">
        <v>6.6945559999999999E-3</v>
      </c>
    </row>
    <row r="15958" spans="103:104" x14ac:dyDescent="0.3">
      <c r="CY15958" s="34" t="s">
        <v>16885</v>
      </c>
      <c r="CZ15958" s="35">
        <v>1.2418192000000002E-2</v>
      </c>
    </row>
    <row r="15959" spans="103:104" x14ac:dyDescent="0.3">
      <c r="CY15959" s="34" t="s">
        <v>16886</v>
      </c>
      <c r="CZ15959" s="35">
        <v>1.4967226666666663E-3</v>
      </c>
    </row>
    <row r="15960" spans="103:104" x14ac:dyDescent="0.3">
      <c r="CY15960" s="34" t="s">
        <v>16887</v>
      </c>
      <c r="CZ15960" s="35">
        <v>1.6124517460606058E-2</v>
      </c>
    </row>
    <row r="15961" spans="103:104" x14ac:dyDescent="0.3">
      <c r="CY15961" s="34" t="s">
        <v>16888</v>
      </c>
      <c r="CZ15961" s="35">
        <v>1.7463349633333333E-2</v>
      </c>
    </row>
    <row r="15962" spans="103:104" x14ac:dyDescent="0.3">
      <c r="CY15962" s="34" t="s">
        <v>16889</v>
      </c>
      <c r="CZ15962" s="35">
        <v>5.1753500740740754E-3</v>
      </c>
    </row>
    <row r="15963" spans="103:104" x14ac:dyDescent="0.3">
      <c r="CY15963" s="34" t="s">
        <v>16890</v>
      </c>
      <c r="CZ15963" s="35">
        <v>9.5181437027777767E-3</v>
      </c>
    </row>
    <row r="15964" spans="103:104" x14ac:dyDescent="0.3">
      <c r="CY15964" s="34" t="s">
        <v>16891</v>
      </c>
      <c r="CZ15964" s="35">
        <v>5.6730215999999997E-3</v>
      </c>
    </row>
    <row r="15965" spans="103:104" x14ac:dyDescent="0.3">
      <c r="CY15965" s="34" t="s">
        <v>16892</v>
      </c>
      <c r="CZ15965" s="35">
        <v>6.9949839999999985E-2</v>
      </c>
    </row>
    <row r="15966" spans="103:104" x14ac:dyDescent="0.3">
      <c r="CY15966" s="34" t="s">
        <v>16893</v>
      </c>
      <c r="CZ15966" s="35">
        <v>1.0968786666666666</v>
      </c>
    </row>
    <row r="15967" spans="103:104" x14ac:dyDescent="0.3">
      <c r="CY15967" s="34" t="s">
        <v>16894</v>
      </c>
      <c r="CZ15967" s="35">
        <v>2.58976E-2</v>
      </c>
    </row>
    <row r="15968" spans="103:104" x14ac:dyDescent="0.3">
      <c r="CY15968" s="34" t="s">
        <v>16895</v>
      </c>
      <c r="CZ15968" s="35">
        <v>2.848384E-2</v>
      </c>
    </row>
    <row r="15969" spans="103:104" x14ac:dyDescent="0.3">
      <c r="CY15969" s="34" t="s">
        <v>16896</v>
      </c>
      <c r="CZ15969" s="35">
        <v>1.0814161000000001E-2</v>
      </c>
    </row>
    <row r="15970" spans="103:104" x14ac:dyDescent="0.3">
      <c r="CY15970" s="34" t="s">
        <v>16897</v>
      </c>
      <c r="CZ15970" s="35">
        <v>2.5104644999999997E-3</v>
      </c>
    </row>
    <row r="15971" spans="103:104" x14ac:dyDescent="0.3">
      <c r="CY15971" s="34" t="s">
        <v>16898</v>
      </c>
      <c r="CZ15971" s="35">
        <v>2.5651904999999995E-3</v>
      </c>
    </row>
    <row r="15972" spans="103:104" x14ac:dyDescent="0.3">
      <c r="CY15972" s="34" t="s">
        <v>16899</v>
      </c>
      <c r="CZ15972" s="35">
        <v>2.5657116999999998E-3</v>
      </c>
    </row>
    <row r="15973" spans="103:104" x14ac:dyDescent="0.3">
      <c r="CY15973" s="34" t="s">
        <v>16900</v>
      </c>
      <c r="CZ15973" s="35">
        <v>1.0013427599999999E-2</v>
      </c>
    </row>
    <row r="15974" spans="103:104" x14ac:dyDescent="0.3">
      <c r="CY15974" s="34" t="s">
        <v>16901</v>
      </c>
      <c r="CZ15974" s="35">
        <v>7.6259759999999982E-2</v>
      </c>
    </row>
    <row r="15975" spans="103:104" x14ac:dyDescent="0.3">
      <c r="CY15975" s="34" t="s">
        <v>16902</v>
      </c>
      <c r="CZ15975" s="35">
        <v>6.8987200000000001E-4</v>
      </c>
    </row>
    <row r="15976" spans="103:104" x14ac:dyDescent="0.3">
      <c r="CY15976" s="34" t="s">
        <v>16903</v>
      </c>
      <c r="CZ15976" s="35">
        <v>7.7117920000000005E-4</v>
      </c>
    </row>
    <row r="15977" spans="103:104" x14ac:dyDescent="0.3">
      <c r="CY15977" s="34" t="s">
        <v>16904</v>
      </c>
      <c r="CZ15977" s="35">
        <v>5.7474533333333336E-3</v>
      </c>
    </row>
    <row r="15978" spans="103:104" x14ac:dyDescent="0.3">
      <c r="CY15978" s="34" t="s">
        <v>16905</v>
      </c>
      <c r="CZ15978" s="35">
        <v>2.3752960000000003E-3</v>
      </c>
    </row>
    <row r="15979" spans="103:104" x14ac:dyDescent="0.3">
      <c r="CY15979" s="34" t="s">
        <v>16906</v>
      </c>
      <c r="CZ15979" s="35">
        <v>1.1838163199999998E-2</v>
      </c>
    </row>
    <row r="15980" spans="103:104" x14ac:dyDescent="0.3">
      <c r="CY15980" s="34" t="s">
        <v>16907</v>
      </c>
      <c r="CZ15980" s="35">
        <v>1.1998804000000001E-3</v>
      </c>
    </row>
    <row r="15981" spans="103:104" x14ac:dyDescent="0.3">
      <c r="CY15981" s="34" t="s">
        <v>16908</v>
      </c>
      <c r="CZ15981" s="35">
        <v>2.2012920000000001E-3</v>
      </c>
    </row>
    <row r="15982" spans="103:104" x14ac:dyDescent="0.3">
      <c r="CY15982" s="34" t="s">
        <v>16909</v>
      </c>
      <c r="CZ15982" s="35">
        <v>2.0503178000000006E-3</v>
      </c>
    </row>
    <row r="15983" spans="103:104" x14ac:dyDescent="0.3">
      <c r="CY15983" s="34" t="s">
        <v>16910</v>
      </c>
      <c r="CZ15983" s="35">
        <v>2.3693858000000002E-2</v>
      </c>
    </row>
    <row r="15984" spans="103:104" x14ac:dyDescent="0.3">
      <c r="CY15984" s="34" t="s">
        <v>16911</v>
      </c>
      <c r="CZ15984" s="35">
        <v>4.6134488000000001E-2</v>
      </c>
    </row>
    <row r="15985" spans="103:104" x14ac:dyDescent="0.3">
      <c r="CY15985" s="34" t="s">
        <v>16912</v>
      </c>
      <c r="CZ15985" s="35">
        <v>0.1029685348</v>
      </c>
    </row>
    <row r="15986" spans="103:104" x14ac:dyDescent="0.3">
      <c r="CY15986" s="34" t="s">
        <v>16913</v>
      </c>
      <c r="CZ15986" s="35">
        <v>2.4846607999999999E-2</v>
      </c>
    </row>
    <row r="15987" spans="103:104" x14ac:dyDescent="0.3">
      <c r="CY15987" s="34" t="s">
        <v>16914</v>
      </c>
      <c r="CZ15987" s="35">
        <v>3.5578800000000008E-2</v>
      </c>
    </row>
    <row r="15988" spans="103:104" x14ac:dyDescent="0.3">
      <c r="CY15988" s="34" t="s">
        <v>16915</v>
      </c>
      <c r="CZ15988" s="35">
        <v>1.1481408E-3</v>
      </c>
    </row>
    <row r="15989" spans="103:104" x14ac:dyDescent="0.3">
      <c r="CY15989" s="34" t="s">
        <v>16916</v>
      </c>
      <c r="CZ15989" s="35">
        <v>1.7844543999999999E-3</v>
      </c>
    </row>
    <row r="15990" spans="103:104" x14ac:dyDescent="0.3">
      <c r="CY15990" s="34" t="s">
        <v>16917</v>
      </c>
      <c r="CZ15990" s="35">
        <v>2.2299072000000002E-3</v>
      </c>
    </row>
    <row r="15991" spans="103:104" x14ac:dyDescent="0.3">
      <c r="CY15991" s="34" t="s">
        <v>16918</v>
      </c>
      <c r="CZ15991" s="35">
        <v>5.4451760000000009E-2</v>
      </c>
    </row>
    <row r="15992" spans="103:104" x14ac:dyDescent="0.3">
      <c r="CY15992" s="34" t="s">
        <v>16919</v>
      </c>
      <c r="CZ15992" s="35">
        <v>5.9907599999999998E-2</v>
      </c>
    </row>
    <row r="15993" spans="103:104" x14ac:dyDescent="0.3">
      <c r="CY15993" s="34" t="s">
        <v>16920</v>
      </c>
      <c r="CZ15993" s="35">
        <v>0.10710368000000001</v>
      </c>
    </row>
    <row r="15994" spans="103:104" x14ac:dyDescent="0.3">
      <c r="CY15994" s="34" t="s">
        <v>16921</v>
      </c>
      <c r="CZ15994" s="35">
        <v>9.0726399999999999E-2</v>
      </c>
    </row>
    <row r="15995" spans="103:104" x14ac:dyDescent="0.3">
      <c r="CY15995" s="34" t="s">
        <v>16922</v>
      </c>
      <c r="CZ15995" s="35">
        <v>3.183308E-2</v>
      </c>
    </row>
    <row r="15996" spans="103:104" x14ac:dyDescent="0.3">
      <c r="CY15996" s="34" t="s">
        <v>16923</v>
      </c>
      <c r="CZ15996" s="35">
        <v>8.641844000000001E-3</v>
      </c>
    </row>
    <row r="15997" spans="103:104" x14ac:dyDescent="0.3">
      <c r="CY15997" s="34" t="s">
        <v>16924</v>
      </c>
      <c r="CZ15997" s="35">
        <v>1.8029946666666664E-2</v>
      </c>
    </row>
    <row r="15998" spans="103:104" x14ac:dyDescent="0.3">
      <c r="CY15998" s="34" t="s">
        <v>16925</v>
      </c>
      <c r="CZ15998" s="35">
        <v>1.7885779999999997E-2</v>
      </c>
    </row>
    <row r="15999" spans="103:104" x14ac:dyDescent="0.3">
      <c r="CY15999" s="34" t="s">
        <v>16926</v>
      </c>
      <c r="CZ15999" s="35">
        <v>2.0111588E-2</v>
      </c>
    </row>
    <row r="16000" spans="103:104" x14ac:dyDescent="0.3">
      <c r="CY16000" s="34" t="s">
        <v>16927</v>
      </c>
      <c r="CZ16000" s="35">
        <v>1.0305480000000001E-2</v>
      </c>
    </row>
    <row r="16001" spans="103:104" x14ac:dyDescent="0.3">
      <c r="CY16001" s="34" t="s">
        <v>16928</v>
      </c>
      <c r="CZ16001" s="35">
        <v>5.0807600000000001E-3</v>
      </c>
    </row>
    <row r="16002" spans="103:104" x14ac:dyDescent="0.3">
      <c r="CY16002" s="34" t="s">
        <v>16929</v>
      </c>
      <c r="CZ16002" s="35">
        <v>1.3906495999999997E-2</v>
      </c>
    </row>
    <row r="16003" spans="103:104" x14ac:dyDescent="0.3">
      <c r="CY16003" s="34" t="s">
        <v>16930</v>
      </c>
      <c r="CZ16003" s="35">
        <v>6.8388719999999986E-2</v>
      </c>
    </row>
    <row r="16004" spans="103:104" x14ac:dyDescent="0.3">
      <c r="CY16004" s="34" t="s">
        <v>16931</v>
      </c>
      <c r="CZ16004" s="35">
        <v>6.838872E-2</v>
      </c>
    </row>
    <row r="16005" spans="103:104" x14ac:dyDescent="0.3">
      <c r="CY16005" s="34" t="s">
        <v>16932</v>
      </c>
      <c r="CZ16005" s="35">
        <v>3.9390760000000004E-2</v>
      </c>
    </row>
    <row r="16006" spans="103:104" x14ac:dyDescent="0.3">
      <c r="CY16006" s="34" t="s">
        <v>16933</v>
      </c>
      <c r="CZ16006" s="35">
        <v>2.3911400000000003E-2</v>
      </c>
    </row>
    <row r="16007" spans="103:104" x14ac:dyDescent="0.3">
      <c r="CY16007" s="34" t="s">
        <v>16934</v>
      </c>
      <c r="CZ16007" s="35">
        <v>1.7525800000000001E-2</v>
      </c>
    </row>
    <row r="16008" spans="103:104" x14ac:dyDescent="0.3">
      <c r="CY16008" s="34" t="s">
        <v>16935</v>
      </c>
      <c r="CZ16008" s="35">
        <v>1.131314284E-2</v>
      </c>
    </row>
    <row r="16009" spans="103:104" x14ac:dyDescent="0.3">
      <c r="CY16009" s="34" t="s">
        <v>16936</v>
      </c>
      <c r="CZ16009" s="35">
        <v>1.131314284E-2</v>
      </c>
    </row>
    <row r="16010" spans="103:104" x14ac:dyDescent="0.3">
      <c r="CY16010" s="34" t="s">
        <v>16937</v>
      </c>
      <c r="CZ16010" s="35">
        <v>3.5771559999999994E-2</v>
      </c>
    </row>
    <row r="16011" spans="103:104" x14ac:dyDescent="0.3">
      <c r="CY16011" s="34" t="s">
        <v>16938</v>
      </c>
      <c r="CZ16011" s="35">
        <v>2.5261479933499999E-2</v>
      </c>
    </row>
    <row r="16012" spans="103:104" x14ac:dyDescent="0.3">
      <c r="CY16012" s="34" t="s">
        <v>16939</v>
      </c>
      <c r="CZ16012" s="35">
        <v>3.882112888E-2</v>
      </c>
    </row>
    <row r="16013" spans="103:104" x14ac:dyDescent="0.3">
      <c r="CY16013" s="34" t="s">
        <v>16940</v>
      </c>
      <c r="CZ16013" s="35">
        <v>3.882112888E-2</v>
      </c>
    </row>
    <row r="16014" spans="103:104" x14ac:dyDescent="0.3">
      <c r="CY16014" s="34" t="s">
        <v>16941</v>
      </c>
      <c r="CZ16014" s="35">
        <v>2.6789882623999998E-2</v>
      </c>
    </row>
    <row r="16015" spans="103:104" x14ac:dyDescent="0.3">
      <c r="CY16015" s="34" t="s">
        <v>16942</v>
      </c>
      <c r="CZ16015" s="35">
        <v>2.6789882623999998E-2</v>
      </c>
    </row>
    <row r="16016" spans="103:104" x14ac:dyDescent="0.3">
      <c r="CY16016" s="34" t="s">
        <v>16943</v>
      </c>
      <c r="CZ16016" s="35">
        <v>2.2248383999999996E-2</v>
      </c>
    </row>
    <row r="16017" spans="103:104" x14ac:dyDescent="0.3">
      <c r="CY16017" s="34" t="s">
        <v>16944</v>
      </c>
      <c r="CZ16017" s="35">
        <v>2.2248383999999996E-2</v>
      </c>
    </row>
    <row r="16018" spans="103:104" x14ac:dyDescent="0.3">
      <c r="CY16018" s="34" t="s">
        <v>16945</v>
      </c>
      <c r="CZ16018" s="35">
        <v>2.3781464999999998E-2</v>
      </c>
    </row>
    <row r="16019" spans="103:104" x14ac:dyDescent="0.3">
      <c r="CY16019" s="34" t="s">
        <v>16946</v>
      </c>
      <c r="CZ16019" s="35">
        <v>2.3781464999999998E-2</v>
      </c>
    </row>
    <row r="16020" spans="103:104" x14ac:dyDescent="0.3">
      <c r="CY16020" s="34" t="s">
        <v>16947</v>
      </c>
      <c r="CZ16020" s="35">
        <v>1.3972168E-2</v>
      </c>
    </row>
    <row r="16021" spans="103:104" x14ac:dyDescent="0.3">
      <c r="CY16021" s="34" t="s">
        <v>16948</v>
      </c>
      <c r="CZ16021" s="35">
        <v>4.191632E-2</v>
      </c>
    </row>
    <row r="16022" spans="103:104" x14ac:dyDescent="0.3">
      <c r="CY16022" s="34" t="s">
        <v>16949</v>
      </c>
      <c r="CZ16022" s="35">
        <v>2.7511984000000003E-2</v>
      </c>
    </row>
    <row r="16023" spans="103:104" x14ac:dyDescent="0.3">
      <c r="CY16023" s="34" t="s">
        <v>16950</v>
      </c>
      <c r="CZ16023" s="35">
        <v>5.7700039999999996E-3</v>
      </c>
    </row>
    <row r="16024" spans="103:104" x14ac:dyDescent="0.3">
      <c r="CY16024" s="34" t="s">
        <v>16951</v>
      </c>
      <c r="CZ16024" s="35">
        <v>1.1609039999999999E-2</v>
      </c>
    </row>
    <row r="16025" spans="103:104" x14ac:dyDescent="0.3">
      <c r="CY16025" s="34" t="s">
        <v>16952</v>
      </c>
      <c r="CZ16025" s="35">
        <v>2.8177279999999996E-2</v>
      </c>
    </row>
    <row r="16026" spans="103:104" x14ac:dyDescent="0.3">
      <c r="CY16026" s="34" t="s">
        <v>16953</v>
      </c>
      <c r="CZ16026" s="35">
        <v>1.3719176E-3</v>
      </c>
    </row>
    <row r="16027" spans="103:104" x14ac:dyDescent="0.3">
      <c r="CY16027" s="34" t="s">
        <v>16954</v>
      </c>
      <c r="CZ16027" s="35">
        <v>0.14419413334285716</v>
      </c>
    </row>
    <row r="16028" spans="103:104" x14ac:dyDescent="0.3">
      <c r="CY16028" s="34" t="s">
        <v>16955</v>
      </c>
      <c r="CZ16028" s="35">
        <v>3.8605999999999997E-4</v>
      </c>
    </row>
    <row r="16029" spans="103:104" x14ac:dyDescent="0.3">
      <c r="CY16029" s="34" t="s">
        <v>16956</v>
      </c>
      <c r="CZ16029" s="35">
        <v>4.8231120000000004E-4</v>
      </c>
    </row>
    <row r="16030" spans="103:104" x14ac:dyDescent="0.3">
      <c r="CY16030" s="34" t="s">
        <v>16957</v>
      </c>
      <c r="CZ16030" s="35">
        <v>4.1047944000000003E-4</v>
      </c>
    </row>
    <row r="16031" spans="103:104" x14ac:dyDescent="0.3">
      <c r="CY16031" s="34" t="s">
        <v>16958</v>
      </c>
      <c r="CZ16031" s="35">
        <v>5.330984E-4</v>
      </c>
    </row>
    <row r="16032" spans="103:104" x14ac:dyDescent="0.3">
      <c r="CY16032" s="34" t="s">
        <v>16959</v>
      </c>
      <c r="CZ16032" s="35">
        <v>4.3766800000000005E-4</v>
      </c>
    </row>
    <row r="16033" spans="103:104" x14ac:dyDescent="0.3">
      <c r="CY16033" s="34" t="s">
        <v>16960</v>
      </c>
      <c r="CZ16033" s="35">
        <v>6.4121999999999985E-4</v>
      </c>
    </row>
    <row r="16034" spans="103:104" x14ac:dyDescent="0.3">
      <c r="CY16034" s="34" t="s">
        <v>16961</v>
      </c>
      <c r="CZ16034" s="35">
        <v>5.475399999999999E-4</v>
      </c>
    </row>
    <row r="16035" spans="103:104" x14ac:dyDescent="0.3">
      <c r="CY16035" s="34" t="s">
        <v>16962</v>
      </c>
      <c r="CZ16035" s="35">
        <v>7.1533440000000011E-4</v>
      </c>
    </row>
    <row r="16036" spans="103:104" x14ac:dyDescent="0.3">
      <c r="CY16036" s="34" t="s">
        <v>16963</v>
      </c>
      <c r="CZ16036" s="35">
        <v>7.6001399999999983E-4</v>
      </c>
    </row>
    <row r="16037" spans="103:104" x14ac:dyDescent="0.3">
      <c r="CY16037" s="34" t="s">
        <v>16964</v>
      </c>
      <c r="CZ16037" s="35">
        <v>6.7412983999999999E-4</v>
      </c>
    </row>
    <row r="16038" spans="103:104" x14ac:dyDescent="0.3">
      <c r="CY16038" s="34" t="s">
        <v>16965</v>
      </c>
      <c r="CZ16038" s="35">
        <v>7.9618504000000009E-4</v>
      </c>
    </row>
    <row r="16039" spans="103:104" x14ac:dyDescent="0.3">
      <c r="CY16039" s="34" t="s">
        <v>16966</v>
      </c>
      <c r="CZ16039" s="35">
        <v>8.5429816000000009E-4</v>
      </c>
    </row>
    <row r="16040" spans="103:104" x14ac:dyDescent="0.3">
      <c r="CY16040" s="34" t="s">
        <v>16967</v>
      </c>
      <c r="CZ16040" s="35">
        <v>6.6909704000000006E-4</v>
      </c>
    </row>
    <row r="16041" spans="103:104" x14ac:dyDescent="0.3">
      <c r="CY16041" s="34" t="s">
        <v>16968</v>
      </c>
      <c r="CZ16041" s="35">
        <v>8.1579840000000009E-4</v>
      </c>
    </row>
    <row r="16042" spans="103:104" x14ac:dyDescent="0.3">
      <c r="CY16042" s="34" t="s">
        <v>16969</v>
      </c>
      <c r="CZ16042" s="35">
        <v>7.8390680000000007E-4</v>
      </c>
    </row>
    <row r="16043" spans="103:104" x14ac:dyDescent="0.3">
      <c r="CY16043" s="34" t="s">
        <v>16970</v>
      </c>
      <c r="CZ16043" s="35">
        <v>8.1579840000000009E-4</v>
      </c>
    </row>
    <row r="16044" spans="103:104" x14ac:dyDescent="0.3">
      <c r="CY16044" s="34" t="s">
        <v>16971</v>
      </c>
      <c r="CZ16044" s="35">
        <v>8.1579840000000009E-4</v>
      </c>
    </row>
    <row r="16045" spans="103:104" x14ac:dyDescent="0.3">
      <c r="CY16045" s="34" t="s">
        <v>16972</v>
      </c>
      <c r="CZ16045" s="35">
        <v>0.22084895999999998</v>
      </c>
    </row>
    <row r="16046" spans="103:104" x14ac:dyDescent="0.3">
      <c r="CY16046" s="34" t="s">
        <v>16973</v>
      </c>
      <c r="CZ16046" s="35">
        <v>2.1757823999999995E-3</v>
      </c>
    </row>
    <row r="16047" spans="103:104" x14ac:dyDescent="0.3">
      <c r="CY16047" s="34" t="s">
        <v>16974</v>
      </c>
      <c r="CZ16047" s="35">
        <v>4.3076240000000003E-3</v>
      </c>
    </row>
    <row r="16048" spans="103:104" x14ac:dyDescent="0.3">
      <c r="CY16048" s="34" t="s">
        <v>16975</v>
      </c>
      <c r="CZ16048" s="35">
        <v>3.8646026666666667E-3</v>
      </c>
    </row>
    <row r="16049" spans="103:104" x14ac:dyDescent="0.3">
      <c r="CY16049" s="34" t="s">
        <v>16976</v>
      </c>
      <c r="CZ16049" s="35">
        <v>2.3083607999999996E-3</v>
      </c>
    </row>
    <row r="16050" spans="103:104" x14ac:dyDescent="0.3">
      <c r="CY16050" s="34" t="s">
        <v>16977</v>
      </c>
      <c r="CZ16050" s="35">
        <v>0.14243305600000003</v>
      </c>
    </row>
    <row r="16051" spans="103:104" x14ac:dyDescent="0.3">
      <c r="CY16051" s="34" t="s">
        <v>16978</v>
      </c>
      <c r="CZ16051" s="35">
        <v>2.6485824000000002E-2</v>
      </c>
    </row>
    <row r="16052" spans="103:104" x14ac:dyDescent="0.3">
      <c r="CY16052" s="34" t="s">
        <v>16979</v>
      </c>
      <c r="CZ16052" s="35">
        <v>1.3061283428571428E-2</v>
      </c>
    </row>
    <row r="16053" spans="103:104" x14ac:dyDescent="0.3">
      <c r="CY16053" s="34" t="s">
        <v>16980</v>
      </c>
      <c r="CZ16053" s="35">
        <v>1.0468054857142858E-2</v>
      </c>
    </row>
    <row r="16054" spans="103:104" x14ac:dyDescent="0.3">
      <c r="CY16054" s="34" t="s">
        <v>16981</v>
      </c>
      <c r="CZ16054" s="35">
        <v>1.5346070857142858E-2</v>
      </c>
    </row>
    <row r="16055" spans="103:104" x14ac:dyDescent="0.3">
      <c r="CY16055" s="34" t="s">
        <v>16982</v>
      </c>
      <c r="CZ16055" s="35">
        <v>1.0588277714285712E-2</v>
      </c>
    </row>
    <row r="16056" spans="103:104" x14ac:dyDescent="0.3">
      <c r="CY16056" s="34" t="s">
        <v>16983</v>
      </c>
      <c r="CZ16056" s="35">
        <v>1.2405573714285715E-2</v>
      </c>
    </row>
    <row r="16057" spans="103:104" x14ac:dyDescent="0.3">
      <c r="CY16057" s="34" t="s">
        <v>16984</v>
      </c>
      <c r="CZ16057" s="35">
        <v>2.3907335999999998E-2</v>
      </c>
    </row>
    <row r="16058" spans="103:104" x14ac:dyDescent="0.3">
      <c r="CY16058" s="34" t="s">
        <v>16985</v>
      </c>
      <c r="CZ16058" s="35">
        <v>2.2852048000000003E-2</v>
      </c>
    </row>
    <row r="16059" spans="103:104" x14ac:dyDescent="0.3">
      <c r="CY16059" s="34" t="s">
        <v>16986</v>
      </c>
      <c r="CZ16059" s="35">
        <v>2.6400027428571428E-2</v>
      </c>
    </row>
    <row r="16060" spans="103:104" x14ac:dyDescent="0.3">
      <c r="CY16060" s="34" t="s">
        <v>16987</v>
      </c>
      <c r="CZ16060" s="35">
        <v>2.6123803428571429E-2</v>
      </c>
    </row>
    <row r="16061" spans="103:104" x14ac:dyDescent="0.3">
      <c r="CY16061" s="34" t="s">
        <v>16988</v>
      </c>
      <c r="CZ16061" s="35">
        <v>2.7146789333333334E-2</v>
      </c>
    </row>
    <row r="16062" spans="103:104" x14ac:dyDescent="0.3">
      <c r="CY16062" s="34" t="s">
        <v>16989</v>
      </c>
      <c r="CZ16062" s="35">
        <v>3.6609205716666662E-2</v>
      </c>
    </row>
    <row r="16063" spans="103:104" x14ac:dyDescent="0.3">
      <c r="CY16063" s="34" t="s">
        <v>16990</v>
      </c>
      <c r="CZ16063" s="35">
        <v>1.9975490000000002E-2</v>
      </c>
    </row>
    <row r="16064" spans="103:104" x14ac:dyDescent="0.3">
      <c r="CY16064" s="34" t="s">
        <v>16991</v>
      </c>
      <c r="CZ16064" s="35">
        <v>1.4270444857142859E-2</v>
      </c>
    </row>
    <row r="16065" spans="103:104" x14ac:dyDescent="0.3">
      <c r="CY16065" s="34" t="s">
        <v>16992</v>
      </c>
      <c r="CZ16065" s="35">
        <v>8.7978504000000013E-2</v>
      </c>
    </row>
    <row r="16066" spans="103:104" x14ac:dyDescent="0.3">
      <c r="CY16066" s="34" t="s">
        <v>16993</v>
      </c>
      <c r="CZ16066" s="35">
        <v>1.051684E-2</v>
      </c>
    </row>
    <row r="16067" spans="103:104" x14ac:dyDescent="0.3">
      <c r="CY16067" s="34" t="s">
        <v>16994</v>
      </c>
      <c r="CZ16067" s="35">
        <v>7.061516800000002E-2</v>
      </c>
    </row>
    <row r="16068" spans="103:104" x14ac:dyDescent="0.3">
      <c r="CY16068" s="34" t="s">
        <v>16995</v>
      </c>
      <c r="CZ16068" s="35">
        <v>6.6975608000000006E-2</v>
      </c>
    </row>
    <row r="16069" spans="103:104" x14ac:dyDescent="0.3">
      <c r="CY16069" s="34" t="s">
        <v>16996</v>
      </c>
      <c r="CZ16069" s="35">
        <v>7.3942233600000004E-2</v>
      </c>
    </row>
    <row r="16070" spans="103:104" x14ac:dyDescent="0.3">
      <c r="CY16070" s="34" t="s">
        <v>16997</v>
      </c>
      <c r="CZ16070" s="35">
        <v>5.4815620949999998E-2</v>
      </c>
    </row>
    <row r="16071" spans="103:104" x14ac:dyDescent="0.3">
      <c r="CY16071" s="34" t="s">
        <v>16998</v>
      </c>
      <c r="CZ16071" s="35">
        <v>5.1649796849999999E-2</v>
      </c>
    </row>
    <row r="16072" spans="103:104" x14ac:dyDescent="0.3">
      <c r="CY16072" s="34" t="s">
        <v>16999</v>
      </c>
      <c r="CZ16072" s="35">
        <v>8.3280063999999987E-2</v>
      </c>
    </row>
    <row r="16073" spans="103:104" x14ac:dyDescent="0.3">
      <c r="CY16073" s="34" t="s">
        <v>17000</v>
      </c>
      <c r="CZ16073" s="35">
        <v>6.6692937000000008E-2</v>
      </c>
    </row>
    <row r="16074" spans="103:104" x14ac:dyDescent="0.3">
      <c r="CY16074" s="34" t="s">
        <v>17001</v>
      </c>
      <c r="CZ16074" s="35">
        <v>9.143401800000002E-2</v>
      </c>
    </row>
    <row r="16075" spans="103:104" x14ac:dyDescent="0.3">
      <c r="CY16075" s="34" t="s">
        <v>17002</v>
      </c>
      <c r="CZ16075" s="35">
        <v>1.6486594666666663E-2</v>
      </c>
    </row>
    <row r="16076" spans="103:104" x14ac:dyDescent="0.3">
      <c r="CY16076" s="34" t="s">
        <v>17003</v>
      </c>
      <c r="CZ16076" s="35">
        <v>1.9379652000000001E-2</v>
      </c>
    </row>
    <row r="16077" spans="103:104" x14ac:dyDescent="0.3">
      <c r="CY16077" s="34" t="s">
        <v>17004</v>
      </c>
      <c r="CZ16077" s="35">
        <v>7.5666548717948706E-3</v>
      </c>
    </row>
    <row r="16078" spans="103:104" x14ac:dyDescent="0.3">
      <c r="CY16078" s="34" t="s">
        <v>17005</v>
      </c>
      <c r="CZ16078" s="35">
        <v>2.3948407999999995E-3</v>
      </c>
    </row>
    <row r="16079" spans="103:104" x14ac:dyDescent="0.3">
      <c r="CY16079" s="34" t="s">
        <v>17006</v>
      </c>
      <c r="CZ16079" s="35">
        <v>5.7578762499999991E-4</v>
      </c>
    </row>
    <row r="16080" spans="103:104" x14ac:dyDescent="0.3">
      <c r="CY16080" s="34" t="s">
        <v>17007</v>
      </c>
      <c r="CZ16080" s="35">
        <v>2.5433395999999997E-3</v>
      </c>
    </row>
    <row r="16081" spans="103:104" x14ac:dyDescent="0.3">
      <c r="CY16081" s="34" t="s">
        <v>17008</v>
      </c>
      <c r="CZ16081" s="35">
        <v>5.5545864000000004E-3</v>
      </c>
    </row>
    <row r="16082" spans="103:104" x14ac:dyDescent="0.3">
      <c r="CY16082" s="34" t="s">
        <v>17009</v>
      </c>
      <c r="CZ16082" s="35">
        <v>1.7853780800000001E-3</v>
      </c>
    </row>
    <row r="16083" spans="103:104" x14ac:dyDescent="0.3">
      <c r="CY16083" s="34" t="s">
        <v>17010</v>
      </c>
      <c r="CZ16083" s="35">
        <v>1.21499E-3</v>
      </c>
    </row>
    <row r="16084" spans="103:104" x14ac:dyDescent="0.3">
      <c r="CY16084" s="34" t="s">
        <v>17011</v>
      </c>
      <c r="CZ16084" s="35">
        <v>8.7814079999999997E-4</v>
      </c>
    </row>
    <row r="16085" spans="103:104" x14ac:dyDescent="0.3">
      <c r="CY16085" s="34" t="s">
        <v>17012</v>
      </c>
      <c r="CZ16085" s="35">
        <v>6.1803599999999998E-4</v>
      </c>
    </row>
    <row r="16086" spans="103:104" x14ac:dyDescent="0.3">
      <c r="CY16086" s="34" t="s">
        <v>17013</v>
      </c>
      <c r="CZ16086" s="35">
        <v>2.0275759466666667E-3</v>
      </c>
    </row>
    <row r="16087" spans="103:104" x14ac:dyDescent="0.3">
      <c r="CY16087" s="34" t="s">
        <v>17014</v>
      </c>
      <c r="CZ16087" s="35">
        <v>3.3278285333333333E-3</v>
      </c>
    </row>
    <row r="16088" spans="103:104" x14ac:dyDescent="0.3">
      <c r="CY16088" s="34" t="s">
        <v>17015</v>
      </c>
      <c r="CZ16088" s="35">
        <v>3.3278285333333333E-3</v>
      </c>
    </row>
    <row r="16089" spans="103:104" x14ac:dyDescent="0.3">
      <c r="CY16089" s="34" t="s">
        <v>17016</v>
      </c>
      <c r="CZ16089" s="35">
        <v>0.27646496000000004</v>
      </c>
    </row>
    <row r="16090" spans="103:104" x14ac:dyDescent="0.3">
      <c r="CY16090" s="34" t="s">
        <v>17017</v>
      </c>
      <c r="CZ16090" s="35">
        <v>1.0865848000000001E-3</v>
      </c>
    </row>
    <row r="16091" spans="103:104" x14ac:dyDescent="0.3">
      <c r="CY16091" s="34" t="s">
        <v>17018</v>
      </c>
      <c r="CZ16091" s="35">
        <v>7.6617069999999995E-2</v>
      </c>
    </row>
    <row r="16092" spans="103:104" x14ac:dyDescent="0.3">
      <c r="CY16092" s="34" t="s">
        <v>17019</v>
      </c>
      <c r="CZ16092" s="35">
        <v>0.67279999999999995</v>
      </c>
    </row>
    <row r="16093" spans="103:104" x14ac:dyDescent="0.3">
      <c r="CY16093" s="34" t="s">
        <v>17020</v>
      </c>
      <c r="CZ16093" s="35">
        <v>2.0531999999999998E-2</v>
      </c>
    </row>
    <row r="16094" spans="103:104" x14ac:dyDescent="0.3">
      <c r="CY16094" s="34" t="s">
        <v>17021</v>
      </c>
      <c r="CZ16094" s="35">
        <v>0.36971880000000001</v>
      </c>
    </row>
    <row r="16095" spans="103:104" x14ac:dyDescent="0.3">
      <c r="CY16095" s="34" t="s">
        <v>17022</v>
      </c>
      <c r="CZ16095" s="35">
        <v>0.11952269</v>
      </c>
    </row>
    <row r="16096" spans="103:104" x14ac:dyDescent="0.3">
      <c r="CY16096" s="34" t="s">
        <v>17023</v>
      </c>
      <c r="CZ16096" s="35">
        <v>3.2483936000000002E-3</v>
      </c>
    </row>
    <row r="16097" spans="103:104" x14ac:dyDescent="0.3">
      <c r="CY16097" s="34" t="s">
        <v>17024</v>
      </c>
      <c r="CZ16097" s="35">
        <v>4.4553188000000001E-2</v>
      </c>
    </row>
    <row r="16098" spans="103:104" x14ac:dyDescent="0.3">
      <c r="CY16098" s="34" t="s">
        <v>17025</v>
      </c>
      <c r="CZ16098" s="35">
        <v>7.2092013333333324E-3</v>
      </c>
    </row>
    <row r="16099" spans="103:104" x14ac:dyDescent="0.3">
      <c r="CY16099" s="34" t="s">
        <v>17026</v>
      </c>
      <c r="CZ16099" s="35">
        <v>2.7442991999999996E-3</v>
      </c>
    </row>
    <row r="16100" spans="103:104" x14ac:dyDescent="0.3">
      <c r="CY16100" s="34" t="s">
        <v>17027</v>
      </c>
      <c r="CZ16100" s="35">
        <v>7.5813572740740737E-4</v>
      </c>
    </row>
    <row r="16101" spans="103:104" x14ac:dyDescent="0.3">
      <c r="CY16101" s="34" t="s">
        <v>17028</v>
      </c>
      <c r="CZ16101" s="35">
        <v>3.5976559999999998E-2</v>
      </c>
    </row>
    <row r="16102" spans="103:104" x14ac:dyDescent="0.3">
      <c r="CY16102" s="34" t="s">
        <v>17029</v>
      </c>
      <c r="CZ16102" s="35">
        <v>5.1344368000000003E-3</v>
      </c>
    </row>
    <row r="16103" spans="103:104" x14ac:dyDescent="0.3">
      <c r="CY16103" s="34" t="s">
        <v>17030</v>
      </c>
      <c r="CZ16103" s="35">
        <v>4.6646570666666664E-4</v>
      </c>
    </row>
    <row r="16104" spans="103:104" x14ac:dyDescent="0.3">
      <c r="CY16104" s="34" t="s">
        <v>17031</v>
      </c>
      <c r="CZ16104" s="35">
        <v>0.27317372880000002</v>
      </c>
    </row>
    <row r="16105" spans="103:104" x14ac:dyDescent="0.3">
      <c r="CY16105" s="34" t="s">
        <v>17032</v>
      </c>
      <c r="CZ16105" s="35">
        <v>0.27965792080000001</v>
      </c>
    </row>
    <row r="16106" spans="103:104" x14ac:dyDescent="0.3">
      <c r="CY16106" s="34" t="s">
        <v>17033</v>
      </c>
      <c r="CZ16106" s="35">
        <v>2.0377930400000001E-2</v>
      </c>
    </row>
    <row r="16107" spans="103:104" x14ac:dyDescent="0.3">
      <c r="CY16107" s="34" t="s">
        <v>17034</v>
      </c>
      <c r="CZ16107" s="35">
        <v>5.7077199999999999E-4</v>
      </c>
    </row>
    <row r="16108" spans="103:104" x14ac:dyDescent="0.3">
      <c r="CY16108" s="34" t="s">
        <v>17035</v>
      </c>
      <c r="CZ16108" s="35">
        <v>1.0210508969400001</v>
      </c>
    </row>
    <row r="16109" spans="103:104" x14ac:dyDescent="0.3">
      <c r="CY16109" s="34" t="s">
        <v>17036</v>
      </c>
      <c r="CZ16109" s="35">
        <v>0.21988035294</v>
      </c>
    </row>
    <row r="16110" spans="103:104" x14ac:dyDescent="0.3">
      <c r="CY16110" s="34" t="s">
        <v>17037</v>
      </c>
      <c r="CZ16110" s="35">
        <v>0.22015654399999998</v>
      </c>
    </row>
    <row r="16111" spans="103:104" x14ac:dyDescent="0.3">
      <c r="CY16111" s="34" t="s">
        <v>17038</v>
      </c>
      <c r="CZ16111" s="35">
        <v>3.8951085500000004E-3</v>
      </c>
    </row>
    <row r="16112" spans="103:104" x14ac:dyDescent="0.3">
      <c r="CY16112" s="34" t="s">
        <v>17039</v>
      </c>
      <c r="CZ16112" s="35">
        <v>1.5838768E-3</v>
      </c>
    </row>
    <row r="16113" spans="103:104" x14ac:dyDescent="0.3">
      <c r="CY16113" s="34" t="s">
        <v>17040</v>
      </c>
      <c r="CZ16113" s="35">
        <v>0.24586105824999999</v>
      </c>
    </row>
    <row r="16114" spans="103:104" x14ac:dyDescent="0.3">
      <c r="CY16114" s="34" t="s">
        <v>17041</v>
      </c>
      <c r="CZ16114" s="35">
        <v>0.245233544</v>
      </c>
    </row>
    <row r="16115" spans="103:104" x14ac:dyDescent="0.3">
      <c r="CY16115" s="34" t="s">
        <v>17042</v>
      </c>
      <c r="CZ16115" s="35">
        <v>1.1394778400000001E-2</v>
      </c>
    </row>
    <row r="16116" spans="103:104" x14ac:dyDescent="0.3">
      <c r="CY16116" s="34" t="s">
        <v>17043</v>
      </c>
      <c r="CZ16116" s="35">
        <v>1.1452785410999999</v>
      </c>
    </row>
    <row r="16117" spans="103:104" x14ac:dyDescent="0.3">
      <c r="CY16117" s="34" t="s">
        <v>17044</v>
      </c>
      <c r="CZ16117" s="35">
        <v>0.22028447370000001</v>
      </c>
    </row>
    <row r="16118" spans="103:104" x14ac:dyDescent="0.3">
      <c r="CY16118" s="34" t="s">
        <v>17045</v>
      </c>
      <c r="CZ16118" s="35">
        <v>0.25653461999999999</v>
      </c>
    </row>
    <row r="16119" spans="103:104" x14ac:dyDescent="0.3">
      <c r="CY16119" s="34" t="s">
        <v>17046</v>
      </c>
      <c r="CZ16119" s="35">
        <v>0.22393830579999999</v>
      </c>
    </row>
    <row r="16120" spans="103:104" x14ac:dyDescent="0.3">
      <c r="CY16120" s="34" t="s">
        <v>17047</v>
      </c>
      <c r="CZ16120" s="35">
        <v>0.22895893339999998</v>
      </c>
    </row>
    <row r="16121" spans="103:104" x14ac:dyDescent="0.3">
      <c r="CY16121" s="34" t="s">
        <v>17048</v>
      </c>
      <c r="CZ16121" s="35">
        <v>4.0791652000000001E-3</v>
      </c>
    </row>
    <row r="16122" spans="103:104" x14ac:dyDescent="0.3">
      <c r="CY16122" s="34" t="s">
        <v>17049</v>
      </c>
      <c r="CZ16122" s="35">
        <v>1.1865315999999999</v>
      </c>
    </row>
    <row r="16123" spans="103:104" x14ac:dyDescent="0.3">
      <c r="CY16123" s="34" t="s">
        <v>17050</v>
      </c>
      <c r="CZ16123" s="35">
        <v>0.80125243340000007</v>
      </c>
    </row>
    <row r="16124" spans="103:104" x14ac:dyDescent="0.3">
      <c r="CY16124" s="34" t="s">
        <v>17051</v>
      </c>
      <c r="CZ16124" s="35">
        <v>2.574912E-2</v>
      </c>
    </row>
    <row r="16125" spans="103:104" x14ac:dyDescent="0.3">
      <c r="CY16125" s="34" t="s">
        <v>17052</v>
      </c>
      <c r="CZ16125" s="35">
        <v>3.4919860000000004E-2</v>
      </c>
    </row>
    <row r="16126" spans="103:104" x14ac:dyDescent="0.3">
      <c r="CY16126" s="34" t="s">
        <v>17053</v>
      </c>
      <c r="CZ16126" s="35">
        <v>7.4929124999999999E-2</v>
      </c>
    </row>
    <row r="16127" spans="103:104" x14ac:dyDescent="0.3">
      <c r="CY16127" s="34" t="s">
        <v>17054</v>
      </c>
      <c r="CZ16127" s="35">
        <v>1.9402791205000002E-2</v>
      </c>
    </row>
    <row r="16128" spans="103:104" x14ac:dyDescent="0.3">
      <c r="CY16128" s="34" t="s">
        <v>17055</v>
      </c>
      <c r="CZ16128" s="35">
        <v>1.7346046899999999E-2</v>
      </c>
    </row>
    <row r="16129" spans="103:104" x14ac:dyDescent="0.3">
      <c r="CY16129" s="34" t="s">
        <v>17056</v>
      </c>
      <c r="CZ16129" s="35">
        <v>5.3205700000000002E-2</v>
      </c>
    </row>
    <row r="16130" spans="103:104" x14ac:dyDescent="0.3">
      <c r="CY16130" s="34" t="s">
        <v>17057</v>
      </c>
      <c r="CZ16130" s="35">
        <v>5.7069639999999998E-2</v>
      </c>
    </row>
    <row r="16131" spans="103:104" x14ac:dyDescent="0.3">
      <c r="CY16131" s="34" t="s">
        <v>17058</v>
      </c>
      <c r="CZ16131" s="35">
        <v>4.3339464000000001E-3</v>
      </c>
    </row>
    <row r="16132" spans="103:104" x14ac:dyDescent="0.3">
      <c r="CY16132" s="34" t="s">
        <v>17059</v>
      </c>
      <c r="CZ16132" s="35">
        <v>7.7292979999999999E-3</v>
      </c>
    </row>
    <row r="16133" spans="103:104" x14ac:dyDescent="0.3">
      <c r="CY16133" s="34" t="s">
        <v>17060</v>
      </c>
      <c r="CZ16133" s="35">
        <v>1.2132566112159999E-3</v>
      </c>
    </row>
    <row r="16134" spans="103:104" x14ac:dyDescent="0.3">
      <c r="CY16134" s="34" t="s">
        <v>17061</v>
      </c>
      <c r="CZ16134" s="35">
        <v>6.9514360000000016E-4</v>
      </c>
    </row>
    <row r="16135" spans="103:104" x14ac:dyDescent="0.3">
      <c r="CY16135" s="34" t="s">
        <v>17062</v>
      </c>
      <c r="CZ16135" s="35">
        <v>8.0142160000000007E-4</v>
      </c>
    </row>
    <row r="16136" spans="103:104" x14ac:dyDescent="0.3">
      <c r="CY16136" s="34" t="s">
        <v>17063</v>
      </c>
      <c r="CZ16136" s="35">
        <v>2.0545792000000002E-4</v>
      </c>
    </row>
    <row r="16137" spans="103:104" x14ac:dyDescent="0.3">
      <c r="CY16137" s="34" t="s">
        <v>17064</v>
      </c>
      <c r="CZ16137" s="35">
        <v>6.3650775999999991E-4</v>
      </c>
    </row>
    <row r="16138" spans="103:104" x14ac:dyDescent="0.3">
      <c r="CY16138" s="34" t="s">
        <v>17065</v>
      </c>
      <c r="CZ16138" s="35">
        <v>1.40579632E-3</v>
      </c>
    </row>
    <row r="16139" spans="103:104" x14ac:dyDescent="0.3">
      <c r="CY16139" s="34" t="s">
        <v>17066</v>
      </c>
      <c r="CZ16139" s="35">
        <v>1.2661999964300001E-3</v>
      </c>
    </row>
    <row r="16140" spans="103:104" x14ac:dyDescent="0.3">
      <c r="CY16140" s="34" t="s">
        <v>17067</v>
      </c>
      <c r="CZ16140" s="35">
        <v>1.0518324400000001E-3</v>
      </c>
    </row>
    <row r="16141" spans="103:104" x14ac:dyDescent="0.3">
      <c r="CY16141" s="34" t="s">
        <v>17068</v>
      </c>
      <c r="CZ16141" s="35">
        <v>0.37805139999999998</v>
      </c>
    </row>
    <row r="16142" spans="103:104" x14ac:dyDescent="0.3">
      <c r="CY16142" s="34" t="s">
        <v>17069</v>
      </c>
      <c r="CZ16142" s="35">
        <v>9.5996812499999987E-3</v>
      </c>
    </row>
    <row r="16143" spans="103:104" x14ac:dyDescent="0.3">
      <c r="CY16143" s="34" t="s">
        <v>17070</v>
      </c>
      <c r="CZ16143" s="35">
        <v>6.0958369402219999E-2</v>
      </c>
    </row>
    <row r="16144" spans="103:104" x14ac:dyDescent="0.3">
      <c r="CY16144" s="34" t="s">
        <v>17071</v>
      </c>
      <c r="CZ16144" s="35">
        <v>5.6012879999999996E-4</v>
      </c>
    </row>
    <row r="16145" spans="103:104" x14ac:dyDescent="0.3">
      <c r="CY16145" s="34" t="s">
        <v>17072</v>
      </c>
      <c r="CZ16145" s="35">
        <v>8.4678919999999999E-4</v>
      </c>
    </row>
    <row r="16146" spans="103:104" x14ac:dyDescent="0.3">
      <c r="CY16146" s="34" t="s">
        <v>17073</v>
      </c>
      <c r="CZ16146" s="35">
        <v>5.7871383999999998E-2</v>
      </c>
    </row>
    <row r="16147" spans="103:104" x14ac:dyDescent="0.3">
      <c r="CY16147" s="34" t="s">
        <v>17074</v>
      </c>
      <c r="CZ16147" s="35">
        <v>5.7871383999999998E-2</v>
      </c>
    </row>
    <row r="16148" spans="103:104" x14ac:dyDescent="0.3">
      <c r="CY16148" s="34" t="s">
        <v>17075</v>
      </c>
      <c r="CZ16148" s="35">
        <v>6.3967639999999997E-4</v>
      </c>
    </row>
    <row r="16149" spans="103:104" x14ac:dyDescent="0.3">
      <c r="CY16149" s="34" t="s">
        <v>17076</v>
      </c>
      <c r="CZ16149" s="35">
        <v>1.0694039999999999E-3</v>
      </c>
    </row>
    <row r="16150" spans="103:104" x14ac:dyDescent="0.3">
      <c r="CY16150" s="34" t="s">
        <v>17077</v>
      </c>
      <c r="CZ16150" s="35">
        <v>8.8091128000000003E-4</v>
      </c>
    </row>
    <row r="16151" spans="103:104" x14ac:dyDescent="0.3">
      <c r="CY16151" s="34" t="s">
        <v>17078</v>
      </c>
      <c r="CZ16151" s="35">
        <v>1.0635800000000002E-3</v>
      </c>
    </row>
    <row r="16152" spans="103:104" x14ac:dyDescent="0.3">
      <c r="CY16152" s="34" t="s">
        <v>17079</v>
      </c>
      <c r="CZ16152" s="35">
        <v>1.1694520000000001E-3</v>
      </c>
    </row>
    <row r="16153" spans="103:104" x14ac:dyDescent="0.3">
      <c r="CY16153" s="34" t="s">
        <v>17080</v>
      </c>
      <c r="CZ16153" s="35">
        <v>1.0746216800000001E-3</v>
      </c>
    </row>
    <row r="16154" spans="103:104" x14ac:dyDescent="0.3">
      <c r="CY16154" s="34" t="s">
        <v>17081</v>
      </c>
      <c r="CZ16154" s="35">
        <v>1.5969149986659999E-2</v>
      </c>
    </row>
    <row r="16155" spans="103:104" x14ac:dyDescent="0.3">
      <c r="CY16155" s="34" t="s">
        <v>17082</v>
      </c>
      <c r="CZ16155" s="35">
        <v>1.6292886800000003E-2</v>
      </c>
    </row>
    <row r="16156" spans="103:104" x14ac:dyDescent="0.3">
      <c r="CY16156" s="34" t="s">
        <v>17083</v>
      </c>
      <c r="CZ16156" s="35">
        <v>1.9103646670000002E-2</v>
      </c>
    </row>
    <row r="16157" spans="103:104" x14ac:dyDescent="0.3">
      <c r="CY16157" s="34" t="s">
        <v>17084</v>
      </c>
      <c r="CZ16157" s="35">
        <v>4.8929567999999994E-4</v>
      </c>
    </row>
    <row r="16158" spans="103:104" x14ac:dyDescent="0.3">
      <c r="CY16158" s="34" t="s">
        <v>17085</v>
      </c>
      <c r="CZ16158" s="35">
        <v>6.8562880000000003E-3</v>
      </c>
    </row>
    <row r="16159" spans="103:104" x14ac:dyDescent="0.3">
      <c r="CY16159" s="34" t="s">
        <v>17086</v>
      </c>
      <c r="CZ16159" s="35">
        <v>2.2241848E-3</v>
      </c>
    </row>
    <row r="16160" spans="103:104" x14ac:dyDescent="0.3">
      <c r="CY16160" s="34" t="s">
        <v>17087</v>
      </c>
      <c r="CZ16160" s="35">
        <v>1.2902471999999998E-2</v>
      </c>
    </row>
    <row r="16161" spans="103:104" x14ac:dyDescent="0.3">
      <c r="CY16161" s="34" t="s">
        <v>17088</v>
      </c>
      <c r="CZ16161" s="35">
        <v>4.1260215999999995E-2</v>
      </c>
    </row>
    <row r="16162" spans="103:104" x14ac:dyDescent="0.3">
      <c r="CY16162" s="34" t="s">
        <v>17089</v>
      </c>
      <c r="CZ16162" s="35">
        <v>1.2495248E-2</v>
      </c>
    </row>
    <row r="16163" spans="103:104" x14ac:dyDescent="0.3">
      <c r="CY16163" s="34" t="s">
        <v>17090</v>
      </c>
      <c r="CZ16163" s="35">
        <v>9.5571016000000012E-3</v>
      </c>
    </row>
    <row r="16164" spans="103:104" x14ac:dyDescent="0.3">
      <c r="CY16164" s="34" t="s">
        <v>17091</v>
      </c>
      <c r="CZ16164" s="35">
        <v>1.0800228E-2</v>
      </c>
    </row>
    <row r="16165" spans="103:104" x14ac:dyDescent="0.3">
      <c r="CY16165" s="34" t="s">
        <v>17092</v>
      </c>
      <c r="CZ16165" s="35">
        <v>3.0340895999999999E-2</v>
      </c>
    </row>
    <row r="16166" spans="103:104" x14ac:dyDescent="0.3">
      <c r="CY16166" s="34" t="s">
        <v>17093</v>
      </c>
      <c r="CZ16166" s="35">
        <v>3.6157822600000007E-2</v>
      </c>
    </row>
    <row r="16167" spans="103:104" x14ac:dyDescent="0.3">
      <c r="CY16167" s="34" t="s">
        <v>17094</v>
      </c>
      <c r="CZ16167" s="35">
        <v>1.1283693999999999E-2</v>
      </c>
    </row>
    <row r="16168" spans="103:104" x14ac:dyDescent="0.3">
      <c r="CY16168" s="34" t="s">
        <v>17095</v>
      </c>
      <c r="CZ16168" s="35">
        <v>1.1450693999999999E-2</v>
      </c>
    </row>
    <row r="16169" spans="103:104" x14ac:dyDescent="0.3">
      <c r="CY16169" s="34" t="s">
        <v>17096</v>
      </c>
      <c r="CZ16169" s="35">
        <v>1.1485149448345035E-2</v>
      </c>
    </row>
    <row r="16170" spans="103:104" x14ac:dyDescent="0.3">
      <c r="CY16170" s="34" t="s">
        <v>17097</v>
      </c>
      <c r="CZ16170" s="35">
        <v>9.4877979999999987E-3</v>
      </c>
    </row>
    <row r="16171" spans="103:104" x14ac:dyDescent="0.3">
      <c r="CY16171" s="34" t="s">
        <v>17098</v>
      </c>
      <c r="CZ16171" s="35">
        <v>2.3055763999999999E-3</v>
      </c>
    </row>
    <row r="16172" spans="103:104" x14ac:dyDescent="0.3">
      <c r="CY16172" s="34" t="s">
        <v>17099</v>
      </c>
      <c r="CZ16172" s="35">
        <v>2.0097460000000002E-3</v>
      </c>
    </row>
    <row r="16173" spans="103:104" x14ac:dyDescent="0.3">
      <c r="CY16173" s="34" t="s">
        <v>17100</v>
      </c>
      <c r="CZ16173" s="35">
        <v>4.0237403999999997E-3</v>
      </c>
    </row>
    <row r="16174" spans="103:104" x14ac:dyDescent="0.3">
      <c r="CY16174" s="34" t="s">
        <v>17101</v>
      </c>
      <c r="CZ16174" s="35">
        <v>4.5627723999999989E-3</v>
      </c>
    </row>
    <row r="16175" spans="103:104" x14ac:dyDescent="0.3">
      <c r="CY16175" s="34" t="s">
        <v>17102</v>
      </c>
      <c r="CZ16175" s="35">
        <v>1.132674E-2</v>
      </c>
    </row>
    <row r="16176" spans="103:104" x14ac:dyDescent="0.3">
      <c r="CY16176" s="34" t="s">
        <v>17103</v>
      </c>
      <c r="CZ16176" s="35">
        <v>1.2226418999999999E-2</v>
      </c>
    </row>
    <row r="16177" spans="103:104" x14ac:dyDescent="0.3">
      <c r="CY16177" s="34" t="s">
        <v>17104</v>
      </c>
      <c r="CZ16177" s="35">
        <v>1.615158E-3</v>
      </c>
    </row>
    <row r="16178" spans="103:104" x14ac:dyDescent="0.3">
      <c r="CY16178" s="34" t="s">
        <v>17105</v>
      </c>
      <c r="CZ16178" s="35">
        <v>3.02141E-3</v>
      </c>
    </row>
    <row r="16179" spans="103:104" x14ac:dyDescent="0.3">
      <c r="CY16179" s="34" t="s">
        <v>17106</v>
      </c>
      <c r="CZ16179" s="35">
        <v>3.4193991999999997E-3</v>
      </c>
    </row>
    <row r="16180" spans="103:104" x14ac:dyDescent="0.3">
      <c r="CY16180" s="34" t="s">
        <v>17107</v>
      </c>
      <c r="CZ16180" s="35">
        <v>5.1484720000000003E-3</v>
      </c>
    </row>
    <row r="16181" spans="103:104" x14ac:dyDescent="0.3">
      <c r="CY16181" s="34" t="s">
        <v>17108</v>
      </c>
      <c r="CZ16181" s="35">
        <v>4.0244078999999997E-3</v>
      </c>
    </row>
    <row r="16182" spans="103:104" x14ac:dyDescent="0.3">
      <c r="CY16182" s="34" t="s">
        <v>17109</v>
      </c>
      <c r="CZ16182" s="35">
        <v>3.6917584E-3</v>
      </c>
    </row>
    <row r="16183" spans="103:104" x14ac:dyDescent="0.3">
      <c r="CY16183" s="34" t="s">
        <v>17110</v>
      </c>
      <c r="CZ16183" s="35">
        <v>2.9788269999999999E-3</v>
      </c>
    </row>
    <row r="16184" spans="103:104" x14ac:dyDescent="0.3">
      <c r="CY16184" s="34" t="s">
        <v>17111</v>
      </c>
      <c r="CZ16184" s="35">
        <v>1.0529940999999999E-2</v>
      </c>
    </row>
    <row r="16185" spans="103:104" x14ac:dyDescent="0.3">
      <c r="CY16185" s="34" t="s">
        <v>17112</v>
      </c>
      <c r="CZ16185" s="35">
        <v>1.2183160899999998E-2</v>
      </c>
    </row>
    <row r="16186" spans="103:104" x14ac:dyDescent="0.3">
      <c r="CY16186" s="34" t="s">
        <v>17113</v>
      </c>
      <c r="CZ16186" s="35">
        <v>1.2019703999999999E-2</v>
      </c>
    </row>
    <row r="16187" spans="103:104" x14ac:dyDescent="0.3">
      <c r="CY16187" s="34" t="s">
        <v>17114</v>
      </c>
      <c r="CZ16187" s="35">
        <v>7.1684159999999995E-3</v>
      </c>
    </row>
    <row r="16188" spans="103:104" x14ac:dyDescent="0.3">
      <c r="CY16188" s="34" t="s">
        <v>17115</v>
      </c>
      <c r="CZ16188" s="35">
        <v>1.5751864000000003E-3</v>
      </c>
    </row>
    <row r="16189" spans="103:104" x14ac:dyDescent="0.3">
      <c r="CY16189" s="34" t="s">
        <v>17116</v>
      </c>
      <c r="CZ16189" s="35">
        <v>6.2088240000000004E-4</v>
      </c>
    </row>
    <row r="16190" spans="103:104" x14ac:dyDescent="0.3">
      <c r="CY16190" s="34" t="s">
        <v>17117</v>
      </c>
      <c r="CZ16190" s="35">
        <v>7.6597840000000009E-4</v>
      </c>
    </row>
    <row r="16191" spans="103:104" x14ac:dyDescent="0.3">
      <c r="CY16191" s="34" t="s">
        <v>17118</v>
      </c>
      <c r="CZ16191" s="35">
        <v>2.6317118E-3</v>
      </c>
    </row>
    <row r="16192" spans="103:104" x14ac:dyDescent="0.3">
      <c r="CY16192" s="34" t="s">
        <v>17119</v>
      </c>
      <c r="CZ16192" s="35">
        <v>1.4628304E-3</v>
      </c>
    </row>
    <row r="16193" spans="103:104" x14ac:dyDescent="0.3">
      <c r="CY16193" s="34" t="s">
        <v>17120</v>
      </c>
      <c r="CZ16193" s="35">
        <v>5.5719720000000001E-4</v>
      </c>
    </row>
    <row r="16194" spans="103:104" x14ac:dyDescent="0.3">
      <c r="CY16194" s="34" t="s">
        <v>17121</v>
      </c>
      <c r="CZ16194" s="35">
        <v>2.6632442666666666E-3</v>
      </c>
    </row>
    <row r="16195" spans="103:104" x14ac:dyDescent="0.3">
      <c r="CY16195" s="34" t="s">
        <v>17122</v>
      </c>
      <c r="CZ16195" s="35">
        <v>1.2421551999999998E-3</v>
      </c>
    </row>
    <row r="16196" spans="103:104" x14ac:dyDescent="0.3">
      <c r="CY16196" s="34" t="s">
        <v>17123</v>
      </c>
      <c r="CZ16196" s="35">
        <v>9.1117994274999992E-3</v>
      </c>
    </row>
    <row r="16197" spans="103:104" x14ac:dyDescent="0.3">
      <c r="CY16197" s="34" t="s">
        <v>17124</v>
      </c>
      <c r="CZ16197" s="35">
        <v>3.5633079999999998E-3</v>
      </c>
    </row>
    <row r="16198" spans="103:104" x14ac:dyDescent="0.3">
      <c r="CY16198" s="34" t="s">
        <v>17125</v>
      </c>
      <c r="CZ16198" s="35">
        <v>1.9617752000000003E-3</v>
      </c>
    </row>
    <row r="16199" spans="103:104" x14ac:dyDescent="0.3">
      <c r="CY16199" s="34" t="s">
        <v>17126</v>
      </c>
      <c r="CZ16199" s="35">
        <v>3.4766239999999997E-2</v>
      </c>
    </row>
    <row r="16200" spans="103:104" x14ac:dyDescent="0.3">
      <c r="CY16200" s="34" t="s">
        <v>17127</v>
      </c>
      <c r="CZ16200" s="35">
        <v>1.6036112000000002E-2</v>
      </c>
    </row>
    <row r="16201" spans="103:104" x14ac:dyDescent="0.3">
      <c r="CY16201" s="34" t="s">
        <v>17128</v>
      </c>
      <c r="CZ16201" s="35">
        <v>6.1574617499999991E-3</v>
      </c>
    </row>
    <row r="16202" spans="103:104" x14ac:dyDescent="0.3">
      <c r="CY16202" s="34" t="s">
        <v>17129</v>
      </c>
      <c r="CZ16202" s="35">
        <v>3.1395093749999999E-2</v>
      </c>
    </row>
    <row r="16203" spans="103:104" x14ac:dyDescent="0.3">
      <c r="CY16203" s="34" t="s">
        <v>17130</v>
      </c>
      <c r="CZ16203" s="35">
        <v>0</v>
      </c>
    </row>
    <row r="16204" spans="103:104" x14ac:dyDescent="0.3">
      <c r="CY16204" s="34" t="s">
        <v>17131</v>
      </c>
      <c r="CZ16204" s="35">
        <v>8.8512479999999999E-4</v>
      </c>
    </row>
    <row r="16205" spans="103:104" x14ac:dyDescent="0.3">
      <c r="CY16205" s="34" t="s">
        <v>17132</v>
      </c>
      <c r="CZ16205" s="35">
        <v>4.3522542857142861E-2</v>
      </c>
    </row>
    <row r="16206" spans="103:104" x14ac:dyDescent="0.3">
      <c r="CY16206" s="34" t="s">
        <v>17133</v>
      </c>
      <c r="CZ16206" s="35">
        <v>7.0160266666666679E-2</v>
      </c>
    </row>
    <row r="16207" spans="103:104" x14ac:dyDescent="0.3">
      <c r="CY16207" s="34" t="s">
        <v>17134</v>
      </c>
      <c r="CZ16207" s="35">
        <v>7.4002133333333331E-2</v>
      </c>
    </row>
    <row r="16208" spans="103:104" x14ac:dyDescent="0.3">
      <c r="CY16208" s="34" t="s">
        <v>17135</v>
      </c>
      <c r="CZ16208" s="35">
        <v>2.9027496000000002E-3</v>
      </c>
    </row>
    <row r="16209" spans="103:104" x14ac:dyDescent="0.3">
      <c r="CY16209" s="34" t="s">
        <v>17136</v>
      </c>
      <c r="CZ16209" s="35">
        <v>0.54426450000000004</v>
      </c>
    </row>
    <row r="16210" spans="103:104" x14ac:dyDescent="0.3">
      <c r="CY16210" s="34" t="s">
        <v>17137</v>
      </c>
      <c r="CZ16210" s="35">
        <v>1.0641533352941176E-2</v>
      </c>
    </row>
    <row r="16211" spans="103:104" x14ac:dyDescent="0.3">
      <c r="CY16211" s="34" t="s">
        <v>17138</v>
      </c>
      <c r="CZ16211" s="35">
        <v>1.1501353333333332E-2</v>
      </c>
    </row>
    <row r="16212" spans="103:104" x14ac:dyDescent="0.3">
      <c r="CY16212" s="34" t="s">
        <v>17139</v>
      </c>
      <c r="CZ16212" s="35">
        <v>1.2268100000000001E-2</v>
      </c>
    </row>
    <row r="16213" spans="103:104" x14ac:dyDescent="0.3">
      <c r="CY16213" s="34" t="s">
        <v>17140</v>
      </c>
      <c r="CZ16213" s="35">
        <v>5.9799381333333332E-2</v>
      </c>
    </row>
    <row r="16214" spans="103:104" x14ac:dyDescent="0.3">
      <c r="CY16214" s="34" t="s">
        <v>17141</v>
      </c>
      <c r="CZ16214" s="35">
        <v>5.6833301333333336E-2</v>
      </c>
    </row>
    <row r="16215" spans="103:104" x14ac:dyDescent="0.3">
      <c r="CY16215" s="34" t="s">
        <v>17142</v>
      </c>
      <c r="CZ16215" s="35">
        <v>1.8881426666666666E-2</v>
      </c>
    </row>
    <row r="16216" spans="103:104" x14ac:dyDescent="0.3">
      <c r="CY16216" s="34" t="s">
        <v>17143</v>
      </c>
      <c r="CZ16216" s="35">
        <v>1.0713467555555557E-2</v>
      </c>
    </row>
    <row r="16217" spans="103:104" x14ac:dyDescent="0.3">
      <c r="CY16217" s="34" t="s">
        <v>17144</v>
      </c>
      <c r="CZ16217" s="35">
        <v>2.5587343999999998E-2</v>
      </c>
    </row>
    <row r="16218" spans="103:104" x14ac:dyDescent="0.3">
      <c r="CY16218" s="34" t="s">
        <v>17145</v>
      </c>
      <c r="CZ16218" s="35">
        <v>2.9949008000000003E-2</v>
      </c>
    </row>
    <row r="16219" spans="103:104" x14ac:dyDescent="0.3">
      <c r="CY16219" s="34" t="s">
        <v>17146</v>
      </c>
      <c r="CZ16219" s="35">
        <v>2.2267994333333332E-2</v>
      </c>
    </row>
    <row r="16220" spans="103:104" x14ac:dyDescent="0.3">
      <c r="CY16220" s="34" t="s">
        <v>17147</v>
      </c>
      <c r="CZ16220" s="35">
        <v>3.3958200000000001E-2</v>
      </c>
    </row>
    <row r="16221" spans="103:104" x14ac:dyDescent="0.3">
      <c r="CY16221" s="34" t="s">
        <v>17148</v>
      </c>
      <c r="CZ16221" s="35">
        <v>7.4966911999999983E-2</v>
      </c>
    </row>
    <row r="16222" spans="103:104" x14ac:dyDescent="0.3">
      <c r="CY16222" s="34" t="s">
        <v>17149</v>
      </c>
      <c r="CZ16222" s="35">
        <v>9.3876932307692326E-3</v>
      </c>
    </row>
    <row r="16223" spans="103:104" x14ac:dyDescent="0.3">
      <c r="CY16223" s="34" t="s">
        <v>17150</v>
      </c>
      <c r="CZ16223" s="35">
        <v>9.4456559999999995E-2</v>
      </c>
    </row>
    <row r="16224" spans="103:104" x14ac:dyDescent="0.3">
      <c r="CY16224" s="34" t="s">
        <v>17151</v>
      </c>
      <c r="CZ16224" s="35">
        <v>0.14674961215789473</v>
      </c>
    </row>
    <row r="16225" spans="103:104" x14ac:dyDescent="0.3">
      <c r="CY16225" s="34" t="s">
        <v>17152</v>
      </c>
      <c r="CZ16225" s="35">
        <v>6.0355220000000001E-2</v>
      </c>
    </row>
    <row r="16226" spans="103:104" x14ac:dyDescent="0.3">
      <c r="CY16226" s="34" t="s">
        <v>17153</v>
      </c>
      <c r="CZ16226" s="35">
        <v>5.3697140000000004E-2</v>
      </c>
    </row>
    <row r="16227" spans="103:104" x14ac:dyDescent="0.3">
      <c r="CY16227" s="34" t="s">
        <v>17154</v>
      </c>
      <c r="CZ16227" s="35">
        <v>2.9337740000000001E-2</v>
      </c>
    </row>
    <row r="16228" spans="103:104" x14ac:dyDescent="0.3">
      <c r="CY16228" s="34" t="s">
        <v>17155</v>
      </c>
      <c r="CZ16228" s="35">
        <v>5.43697E-2</v>
      </c>
    </row>
    <row r="16229" spans="103:104" x14ac:dyDescent="0.3">
      <c r="CY16229" s="34" t="s">
        <v>17156</v>
      </c>
      <c r="CZ16229" s="35">
        <v>5.43697E-2</v>
      </c>
    </row>
    <row r="16230" spans="103:104" x14ac:dyDescent="0.3">
      <c r="CY16230" s="34" t="s">
        <v>17157</v>
      </c>
      <c r="CZ16230" s="35">
        <v>0.13395335999999999</v>
      </c>
    </row>
    <row r="16231" spans="103:104" x14ac:dyDescent="0.3">
      <c r="CY16231" s="34" t="s">
        <v>17158</v>
      </c>
      <c r="CZ16231" s="35">
        <v>3.4584423999999996E-3</v>
      </c>
    </row>
    <row r="16232" spans="103:104" x14ac:dyDescent="0.3">
      <c r="CY16232" s="34" t="s">
        <v>17159</v>
      </c>
      <c r="CZ16232" s="35">
        <v>2.0216858499999997E-2</v>
      </c>
    </row>
    <row r="16233" spans="103:104" x14ac:dyDescent="0.3">
      <c r="CY16233" s="34" t="s">
        <v>17160</v>
      </c>
      <c r="CZ16233" s="35">
        <v>1.530464E-2</v>
      </c>
    </row>
    <row r="16234" spans="103:104" x14ac:dyDescent="0.3">
      <c r="CY16234" s="34" t="s">
        <v>17161</v>
      </c>
      <c r="CZ16234" s="35">
        <v>7.3913999999999994E-2</v>
      </c>
    </row>
    <row r="16235" spans="103:104" x14ac:dyDescent="0.3">
      <c r="CY16235" s="34" t="s">
        <v>17162</v>
      </c>
      <c r="CZ16235" s="35">
        <v>1.2213293333333333E-2</v>
      </c>
    </row>
    <row r="16236" spans="103:104" x14ac:dyDescent="0.3">
      <c r="CY16236" s="34" t="s">
        <v>17163</v>
      </c>
      <c r="CZ16236" s="35">
        <v>2.3221E-4</v>
      </c>
    </row>
    <row r="16237" spans="103:104" x14ac:dyDescent="0.3">
      <c r="CY16237" s="34" t="s">
        <v>17164</v>
      </c>
      <c r="CZ16237" s="35">
        <v>3.8705744E-2</v>
      </c>
    </row>
    <row r="16238" spans="103:104" x14ac:dyDescent="0.3">
      <c r="CY16238" s="34" t="s">
        <v>17165</v>
      </c>
      <c r="CZ16238" s="35">
        <v>3.9390480000000005E-2</v>
      </c>
    </row>
    <row r="16239" spans="103:104" x14ac:dyDescent="0.3">
      <c r="CY16239" s="34" t="s">
        <v>17166</v>
      </c>
      <c r="CZ16239" s="35">
        <v>1.9190119999999999E-3</v>
      </c>
    </row>
    <row r="16240" spans="103:104" x14ac:dyDescent="0.3">
      <c r="CY16240" s="34" t="s">
        <v>17167</v>
      </c>
      <c r="CZ16240" s="35">
        <v>5.2268063999999998E-3</v>
      </c>
    </row>
    <row r="16241" spans="103:104" x14ac:dyDescent="0.3">
      <c r="CY16241" s="34" t="s">
        <v>17168</v>
      </c>
      <c r="CZ16241" s="35">
        <v>1.3644892000000002E-4</v>
      </c>
    </row>
    <row r="16242" spans="103:104" x14ac:dyDescent="0.3">
      <c r="CY16242" s="34" t="s">
        <v>17169</v>
      </c>
      <c r="CZ16242" s="35">
        <v>5.9487400000000001E-4</v>
      </c>
    </row>
    <row r="16243" spans="103:104" x14ac:dyDescent="0.3">
      <c r="CY16243" s="34" t="s">
        <v>17170</v>
      </c>
      <c r="CZ16243" s="35">
        <v>2.7135536000000003E-3</v>
      </c>
    </row>
    <row r="16244" spans="103:104" x14ac:dyDescent="0.3">
      <c r="CY16244" s="34" t="s">
        <v>17171</v>
      </c>
      <c r="CZ16244" s="35">
        <v>3.5615479999999998E-2</v>
      </c>
    </row>
    <row r="16245" spans="103:104" x14ac:dyDescent="0.3">
      <c r="CY16245" s="34" t="s">
        <v>17172</v>
      </c>
      <c r="CZ16245" s="35">
        <v>1.24166152E-2</v>
      </c>
    </row>
    <row r="16246" spans="103:104" x14ac:dyDescent="0.3">
      <c r="CY16246" s="34" t="s">
        <v>17173</v>
      </c>
      <c r="CZ16246" s="35">
        <v>1.1307255466666666E-2</v>
      </c>
    </row>
    <row r="16247" spans="103:104" x14ac:dyDescent="0.3">
      <c r="CY16247" s="34" t="s">
        <v>17174</v>
      </c>
      <c r="CZ16247" s="35">
        <v>3.0267600000000003E-3</v>
      </c>
    </row>
    <row r="16248" spans="103:104" x14ac:dyDescent="0.3">
      <c r="CY16248" s="34" t="s">
        <v>17175</v>
      </c>
      <c r="CZ16248" s="35">
        <v>3.3689919999999998E-2</v>
      </c>
    </row>
    <row r="16249" spans="103:104" x14ac:dyDescent="0.3">
      <c r="CY16249" s="34" t="s">
        <v>17176</v>
      </c>
      <c r="CZ16249" s="35">
        <v>1.52651456E-2</v>
      </c>
    </row>
    <row r="16250" spans="103:104" x14ac:dyDescent="0.3">
      <c r="CY16250" s="34" t="s">
        <v>17177</v>
      </c>
      <c r="CZ16250" s="35">
        <v>2.3110368000000001E-3</v>
      </c>
    </row>
    <row r="16251" spans="103:104" x14ac:dyDescent="0.3">
      <c r="CY16251" s="34" t="s">
        <v>17178</v>
      </c>
      <c r="CZ16251" s="35">
        <v>2.0700151999999998E-3</v>
      </c>
    </row>
    <row r="16252" spans="103:104" x14ac:dyDescent="0.3">
      <c r="CY16252" s="34" t="s">
        <v>17179</v>
      </c>
      <c r="CZ16252" s="35">
        <v>1.7509149760000002E-2</v>
      </c>
    </row>
    <row r="16253" spans="103:104" x14ac:dyDescent="0.3">
      <c r="CY16253" s="34" t="s">
        <v>17180</v>
      </c>
      <c r="CZ16253" s="35">
        <v>0.18605068</v>
      </c>
    </row>
    <row r="16254" spans="103:104" x14ac:dyDescent="0.3">
      <c r="CY16254" s="34" t="s">
        <v>17181</v>
      </c>
      <c r="CZ16254" s="35">
        <v>0.18658868000000003</v>
      </c>
    </row>
    <row r="16255" spans="103:104" x14ac:dyDescent="0.3">
      <c r="CY16255" s="34" t="s">
        <v>17182</v>
      </c>
      <c r="CZ16255" s="35">
        <v>0.18605068</v>
      </c>
    </row>
    <row r="16256" spans="103:104" x14ac:dyDescent="0.3">
      <c r="CY16256" s="34" t="s">
        <v>17183</v>
      </c>
      <c r="CZ16256" s="35">
        <v>0.18605068</v>
      </c>
    </row>
    <row r="16257" spans="103:104" x14ac:dyDescent="0.3">
      <c r="CY16257" s="34" t="s">
        <v>17184</v>
      </c>
      <c r="CZ16257" s="35">
        <v>0.13036804000000005</v>
      </c>
    </row>
    <row r="16258" spans="103:104" x14ac:dyDescent="0.3">
      <c r="CY16258" s="34" t="s">
        <v>17185</v>
      </c>
      <c r="CZ16258" s="35">
        <v>0.18605068</v>
      </c>
    </row>
    <row r="16259" spans="103:104" x14ac:dyDescent="0.3">
      <c r="CY16259" s="34" t="s">
        <v>17186</v>
      </c>
      <c r="CZ16259" s="35">
        <v>7.9970720000000005E-4</v>
      </c>
    </row>
    <row r="16260" spans="103:104" x14ac:dyDescent="0.3">
      <c r="CY16260" s="34" t="s">
        <v>17187</v>
      </c>
      <c r="CZ16260" s="35">
        <v>8.8904799999999992E-3</v>
      </c>
    </row>
    <row r="16261" spans="103:104" x14ac:dyDescent="0.3">
      <c r="CY16261" s="34" t="s">
        <v>17188</v>
      </c>
      <c r="CZ16261" s="35">
        <v>6.2834650340136064E-3</v>
      </c>
    </row>
    <row r="16262" spans="103:104" x14ac:dyDescent="0.3">
      <c r="CY16262" s="34" t="s">
        <v>17189</v>
      </c>
      <c r="CZ16262" s="35">
        <v>7.1148415368421048E-3</v>
      </c>
    </row>
    <row r="16263" spans="103:104" x14ac:dyDescent="0.3">
      <c r="CY16263" s="34" t="s">
        <v>17190</v>
      </c>
      <c r="CZ16263" s="35">
        <v>6.9774904000000004E-3</v>
      </c>
    </row>
    <row r="16264" spans="103:104" x14ac:dyDescent="0.3">
      <c r="CY16264" s="34" t="s">
        <v>17191</v>
      </c>
      <c r="CZ16264" s="35">
        <v>5.8387459733333334E-3</v>
      </c>
    </row>
    <row r="16265" spans="103:104" x14ac:dyDescent="0.3">
      <c r="CY16265" s="34" t="s">
        <v>17192</v>
      </c>
      <c r="CZ16265" s="35">
        <v>1.6736648605158732E-2</v>
      </c>
    </row>
    <row r="16266" spans="103:104" x14ac:dyDescent="0.3">
      <c r="CY16266" s="34" t="s">
        <v>17193</v>
      </c>
      <c r="CZ16266" s="35">
        <v>0.13385819880000002</v>
      </c>
    </row>
    <row r="16267" spans="103:104" x14ac:dyDescent="0.3">
      <c r="CY16267" s="34" t="s">
        <v>17194</v>
      </c>
      <c r="CZ16267" s="35">
        <v>6.8895992199999997E-3</v>
      </c>
    </row>
    <row r="16268" spans="103:104" x14ac:dyDescent="0.3">
      <c r="CY16268" s="34" t="s">
        <v>17195</v>
      </c>
      <c r="CZ16268" s="35">
        <v>7.0118217684866663E-3</v>
      </c>
    </row>
    <row r="16269" spans="103:104" x14ac:dyDescent="0.3">
      <c r="CY16269" s="34" t="s">
        <v>17196</v>
      </c>
      <c r="CZ16269" s="35">
        <v>7.0118217643998018E-3</v>
      </c>
    </row>
    <row r="16270" spans="103:104" x14ac:dyDescent="0.3">
      <c r="CY16270" s="34" t="s">
        <v>17197</v>
      </c>
      <c r="CZ16270" s="35">
        <v>7.0794768866666666E-3</v>
      </c>
    </row>
    <row r="16271" spans="103:104" x14ac:dyDescent="0.3">
      <c r="CY16271" s="34" t="s">
        <v>17198</v>
      </c>
      <c r="CZ16271" s="35">
        <v>0.134000017</v>
      </c>
    </row>
    <row r="16272" spans="103:104" x14ac:dyDescent="0.3">
      <c r="CY16272" s="34" t="s">
        <v>17199</v>
      </c>
      <c r="CZ16272" s="35">
        <v>0.13400001697333336</v>
      </c>
    </row>
    <row r="16273" spans="103:104" x14ac:dyDescent="0.3">
      <c r="CY16273" s="34" t="s">
        <v>17200</v>
      </c>
      <c r="CZ16273" s="35">
        <v>0.13400001697333336</v>
      </c>
    </row>
    <row r="16274" spans="103:104" x14ac:dyDescent="0.3">
      <c r="CY16274" s="34" t="s">
        <v>17201</v>
      </c>
      <c r="CZ16274" s="35">
        <v>8.1852434000000002E-2</v>
      </c>
    </row>
    <row r="16275" spans="103:104" x14ac:dyDescent="0.3">
      <c r="CY16275" s="34" t="s">
        <v>17202</v>
      </c>
      <c r="CZ16275" s="35">
        <v>6.592234399999999E-3</v>
      </c>
    </row>
    <row r="16276" spans="103:104" x14ac:dyDescent="0.3">
      <c r="CY16276" s="34" t="s">
        <v>17203</v>
      </c>
      <c r="CZ16276" s="35">
        <v>8.9850959999999997E-3</v>
      </c>
    </row>
    <row r="16277" spans="103:104" x14ac:dyDescent="0.3">
      <c r="CY16277" s="34" t="s">
        <v>17204</v>
      </c>
      <c r="CZ16277" s="35">
        <v>3.2674311999999995E-3</v>
      </c>
    </row>
    <row r="16278" spans="103:104" x14ac:dyDescent="0.3">
      <c r="CY16278" s="34" t="s">
        <v>17205</v>
      </c>
      <c r="CZ16278" s="35">
        <v>2.2896644800000001E-2</v>
      </c>
    </row>
    <row r="16279" spans="103:104" x14ac:dyDescent="0.3">
      <c r="CY16279" s="34" t="s">
        <v>17206</v>
      </c>
      <c r="CZ16279" s="35">
        <v>1.5426493866666667E-3</v>
      </c>
    </row>
    <row r="16280" spans="103:104" x14ac:dyDescent="0.3">
      <c r="CY16280" s="34" t="s">
        <v>17207</v>
      </c>
      <c r="CZ16280" s="35">
        <v>3.9502304E-3</v>
      </c>
    </row>
    <row r="16281" spans="103:104" x14ac:dyDescent="0.3">
      <c r="CY16281" s="34" t="s">
        <v>17208</v>
      </c>
      <c r="CZ16281" s="35">
        <v>3.2530615999999998E-2</v>
      </c>
    </row>
    <row r="16282" spans="103:104" x14ac:dyDescent="0.3">
      <c r="CY16282" s="34" t="s">
        <v>17209</v>
      </c>
      <c r="CZ16282" s="35">
        <v>3.6796288000000003E-2</v>
      </c>
    </row>
    <row r="16283" spans="103:104" x14ac:dyDescent="0.3">
      <c r="CY16283" s="34" t="s">
        <v>17210</v>
      </c>
      <c r="CZ16283" s="35">
        <v>6.1330719999999998E-2</v>
      </c>
    </row>
    <row r="16284" spans="103:104" x14ac:dyDescent="0.3">
      <c r="CY16284" s="34" t="s">
        <v>17211</v>
      </c>
      <c r="CZ16284" s="35">
        <v>2.3170047199999998E-3</v>
      </c>
    </row>
    <row r="16285" spans="103:104" x14ac:dyDescent="0.3">
      <c r="CY16285" s="34" t="s">
        <v>17212</v>
      </c>
      <c r="CZ16285" s="35">
        <v>0.100113378</v>
      </c>
    </row>
    <row r="16286" spans="103:104" x14ac:dyDescent="0.3">
      <c r="CY16286" s="34" t="s">
        <v>17213</v>
      </c>
      <c r="CZ16286" s="35">
        <v>3.0291300000000003E-4</v>
      </c>
    </row>
    <row r="16287" spans="103:104" x14ac:dyDescent="0.3">
      <c r="CY16287" s="34" t="s">
        <v>17214</v>
      </c>
      <c r="CZ16287" s="35">
        <v>5.9623200000000003E-4</v>
      </c>
    </row>
    <row r="16288" spans="103:104" x14ac:dyDescent="0.3">
      <c r="CY16288" s="34" t="s">
        <v>17215</v>
      </c>
      <c r="CZ16288" s="35">
        <v>6.3897599999999995E-3</v>
      </c>
    </row>
    <row r="16289" spans="103:104" x14ac:dyDescent="0.3">
      <c r="CY16289" s="34" t="s">
        <v>17216</v>
      </c>
      <c r="CZ16289" s="35">
        <v>5.5596275000000005E-4</v>
      </c>
    </row>
    <row r="16290" spans="103:104" x14ac:dyDescent="0.3">
      <c r="CY16290" s="34" t="s">
        <v>17217</v>
      </c>
      <c r="CZ16290" s="35">
        <v>3.6246803999999994E-2</v>
      </c>
    </row>
    <row r="16291" spans="103:104" x14ac:dyDescent="0.3">
      <c r="CY16291" s="34" t="s">
        <v>17218</v>
      </c>
      <c r="CZ16291" s="35">
        <v>1.7340604799999996E-2</v>
      </c>
    </row>
    <row r="16292" spans="103:104" x14ac:dyDescent="0.3">
      <c r="CY16292" s="34" t="s">
        <v>17219</v>
      </c>
      <c r="CZ16292" s="35">
        <v>5.9931503999999997E-2</v>
      </c>
    </row>
    <row r="16293" spans="103:104" x14ac:dyDescent="0.3">
      <c r="CY16293" s="34" t="s">
        <v>17220</v>
      </c>
      <c r="CZ16293" s="35">
        <v>2.5463712999999999E-2</v>
      </c>
    </row>
    <row r="16294" spans="103:104" x14ac:dyDescent="0.3">
      <c r="CY16294" s="34" t="s">
        <v>17221</v>
      </c>
      <c r="CZ16294" s="35">
        <v>2.9268266333333334E-2</v>
      </c>
    </row>
    <row r="16295" spans="103:104" x14ac:dyDescent="0.3">
      <c r="CY16295" s="34" t="s">
        <v>17222</v>
      </c>
      <c r="CZ16295" s="35">
        <v>0.17518326219999997</v>
      </c>
    </row>
    <row r="16296" spans="103:104" x14ac:dyDescent="0.3">
      <c r="CY16296" s="34" t="s">
        <v>17223</v>
      </c>
      <c r="CZ16296" s="35">
        <v>0.23051113266666665</v>
      </c>
    </row>
    <row r="16297" spans="103:104" x14ac:dyDescent="0.3">
      <c r="CY16297" s="34" t="s">
        <v>17224</v>
      </c>
      <c r="CZ16297" s="35">
        <v>0.208949466</v>
      </c>
    </row>
    <row r="16298" spans="103:104" x14ac:dyDescent="0.3">
      <c r="CY16298" s="34" t="s">
        <v>17225</v>
      </c>
      <c r="CZ16298" s="35">
        <v>7.3961679999999998E-3</v>
      </c>
    </row>
    <row r="16299" spans="103:104" x14ac:dyDescent="0.3">
      <c r="CY16299" s="34" t="s">
        <v>17226</v>
      </c>
      <c r="CZ16299" s="35">
        <v>3.9971887999999999E-3</v>
      </c>
    </row>
    <row r="16300" spans="103:104" x14ac:dyDescent="0.3">
      <c r="CY16300" s="34" t="s">
        <v>17227</v>
      </c>
      <c r="CZ16300" s="35">
        <v>1.0887568000000002E-2</v>
      </c>
    </row>
    <row r="16301" spans="103:104" x14ac:dyDescent="0.3">
      <c r="CY16301" s="34" t="s">
        <v>17228</v>
      </c>
      <c r="CZ16301" s="35">
        <v>1.4391952E-2</v>
      </c>
    </row>
    <row r="16302" spans="103:104" x14ac:dyDescent="0.3">
      <c r="CY16302" s="34" t="s">
        <v>17229</v>
      </c>
      <c r="CZ16302" s="35">
        <v>1.9224016000000003E-2</v>
      </c>
    </row>
    <row r="16303" spans="103:104" x14ac:dyDescent="0.3">
      <c r="CY16303" s="34" t="s">
        <v>17230</v>
      </c>
      <c r="CZ16303" s="35">
        <v>6.177600000000001E-3</v>
      </c>
    </row>
    <row r="16304" spans="103:104" x14ac:dyDescent="0.3">
      <c r="CY16304" s="34" t="s">
        <v>17231</v>
      </c>
      <c r="CZ16304" s="35">
        <v>1.5670712E-2</v>
      </c>
    </row>
    <row r="16305" spans="103:104" x14ac:dyDescent="0.3">
      <c r="CY16305" s="34" t="s">
        <v>17232</v>
      </c>
      <c r="CZ16305" s="35">
        <v>9.2465920000000014E-3</v>
      </c>
    </row>
    <row r="16306" spans="103:104" x14ac:dyDescent="0.3">
      <c r="CY16306" s="34" t="s">
        <v>17233</v>
      </c>
      <c r="CZ16306" s="35">
        <v>2.9875008000000002E-2</v>
      </c>
    </row>
    <row r="16307" spans="103:104" x14ac:dyDescent="0.3">
      <c r="CY16307" s="34" t="s">
        <v>17234</v>
      </c>
      <c r="CZ16307" s="35">
        <v>3.1375000000000005E-3</v>
      </c>
    </row>
    <row r="16308" spans="103:104" x14ac:dyDescent="0.3">
      <c r="CY16308" s="34" t="s">
        <v>17235</v>
      </c>
      <c r="CZ16308" s="35">
        <v>3.7557860000000005E-3</v>
      </c>
    </row>
    <row r="16309" spans="103:104" x14ac:dyDescent="0.3">
      <c r="CY16309" s="34" t="s">
        <v>17236</v>
      </c>
      <c r="CZ16309" s="35">
        <v>2.4502439999999997E-2</v>
      </c>
    </row>
    <row r="16310" spans="103:104" x14ac:dyDescent="0.3">
      <c r="CY16310" s="34" t="s">
        <v>17237</v>
      </c>
      <c r="CZ16310" s="35">
        <v>7.9616490294117642E-3</v>
      </c>
    </row>
    <row r="16311" spans="103:104" x14ac:dyDescent="0.3">
      <c r="CY16311" s="34" t="s">
        <v>17238</v>
      </c>
      <c r="CZ16311" s="35">
        <v>7.9616490294117642E-3</v>
      </c>
    </row>
    <row r="16312" spans="103:104" x14ac:dyDescent="0.3">
      <c r="CY16312" s="34" t="s">
        <v>17239</v>
      </c>
      <c r="CZ16312" s="35">
        <v>9.0613004000000014E-3</v>
      </c>
    </row>
    <row r="16313" spans="103:104" x14ac:dyDescent="0.3">
      <c r="CY16313" s="34" t="s">
        <v>17240</v>
      </c>
      <c r="CZ16313" s="35">
        <v>9.0613003999999997E-3</v>
      </c>
    </row>
    <row r="16314" spans="103:104" x14ac:dyDescent="0.3">
      <c r="CY16314" s="34" t="s">
        <v>17241</v>
      </c>
      <c r="CZ16314" s="35">
        <v>7.1228400000000001E-3</v>
      </c>
    </row>
    <row r="16315" spans="103:104" x14ac:dyDescent="0.3">
      <c r="CY16315" s="34" t="s">
        <v>17242</v>
      </c>
      <c r="CZ16315" s="35">
        <v>7.1228400000000001E-3</v>
      </c>
    </row>
    <row r="16316" spans="103:104" x14ac:dyDescent="0.3">
      <c r="CY16316" s="34" t="s">
        <v>17243</v>
      </c>
      <c r="CZ16316" s="35">
        <v>1.7766104E-3</v>
      </c>
    </row>
    <row r="16317" spans="103:104" x14ac:dyDescent="0.3">
      <c r="CY16317" s="34" t="s">
        <v>17244</v>
      </c>
      <c r="CZ16317" s="35">
        <v>1.7766104E-3</v>
      </c>
    </row>
    <row r="16318" spans="103:104" x14ac:dyDescent="0.3">
      <c r="CY16318" s="34" t="s">
        <v>17245</v>
      </c>
      <c r="CZ16318" s="35">
        <v>4.5080799999999994E-3</v>
      </c>
    </row>
    <row r="16319" spans="103:104" x14ac:dyDescent="0.3">
      <c r="CY16319" s="34" t="s">
        <v>17246</v>
      </c>
      <c r="CZ16319" s="35">
        <v>4.5080799999999994E-3</v>
      </c>
    </row>
    <row r="16320" spans="103:104" x14ac:dyDescent="0.3">
      <c r="CY16320" s="34" t="s">
        <v>17247</v>
      </c>
      <c r="CZ16320" s="35">
        <v>7.709304000000001E-4</v>
      </c>
    </row>
    <row r="16321" spans="103:104" x14ac:dyDescent="0.3">
      <c r="CY16321" s="34" t="s">
        <v>17248</v>
      </c>
      <c r="CZ16321" s="35">
        <v>7.7093040000000021E-4</v>
      </c>
    </row>
    <row r="16322" spans="103:104" x14ac:dyDescent="0.3">
      <c r="CY16322" s="34" t="s">
        <v>17249</v>
      </c>
      <c r="CZ16322" s="35">
        <v>3.8043842666666667E-3</v>
      </c>
    </row>
    <row r="16323" spans="103:104" x14ac:dyDescent="0.3">
      <c r="CY16323" s="34" t="s">
        <v>17250</v>
      </c>
      <c r="CZ16323" s="35">
        <v>4.4734240000000002E-4</v>
      </c>
    </row>
    <row r="16324" spans="103:104" x14ac:dyDescent="0.3">
      <c r="CY16324" s="34" t="s">
        <v>17251</v>
      </c>
      <c r="CZ16324" s="35">
        <v>2.7547600000000002E-2</v>
      </c>
    </row>
    <row r="16325" spans="103:104" x14ac:dyDescent="0.3">
      <c r="CY16325" s="34" t="s">
        <v>17252</v>
      </c>
      <c r="CZ16325" s="35">
        <v>2.4916864E-3</v>
      </c>
    </row>
    <row r="16326" spans="103:104" x14ac:dyDescent="0.3">
      <c r="CY16326" s="34" t="s">
        <v>17253</v>
      </c>
      <c r="CZ16326" s="35">
        <v>3.2175167999999997E-2</v>
      </c>
    </row>
    <row r="16327" spans="103:104" x14ac:dyDescent="0.3">
      <c r="CY16327" s="34" t="s">
        <v>17254</v>
      </c>
      <c r="CZ16327" s="35">
        <v>8.8162000000000015E-3</v>
      </c>
    </row>
    <row r="16328" spans="103:104" x14ac:dyDescent="0.3">
      <c r="CY16328" s="34" t="s">
        <v>17255</v>
      </c>
      <c r="CZ16328" s="35">
        <v>5.9984507999999992E-3</v>
      </c>
    </row>
    <row r="16329" spans="103:104" x14ac:dyDescent="0.3">
      <c r="CY16329" s="34" t="s">
        <v>17256</v>
      </c>
      <c r="CZ16329" s="35">
        <v>5.1205063999999996E-3</v>
      </c>
    </row>
    <row r="16330" spans="103:104" x14ac:dyDescent="0.3">
      <c r="CY16330" s="34" t="s">
        <v>17257</v>
      </c>
      <c r="CZ16330" s="35">
        <v>0.10084043428571429</v>
      </c>
    </row>
    <row r="16331" spans="103:104" x14ac:dyDescent="0.3">
      <c r="CY16331" s="34" t="s">
        <v>17258</v>
      </c>
      <c r="CZ16331" s="35">
        <v>6.6588728000000014E-2</v>
      </c>
    </row>
    <row r="16332" spans="103:104" x14ac:dyDescent="0.3">
      <c r="CY16332" s="34" t="s">
        <v>17259</v>
      </c>
      <c r="CZ16332" s="35">
        <v>3.6514143999999991E-2</v>
      </c>
    </row>
    <row r="16333" spans="103:104" x14ac:dyDescent="0.3">
      <c r="CY16333" s="34" t="s">
        <v>17260</v>
      </c>
      <c r="CZ16333" s="35">
        <v>9.5996812499999969E-3</v>
      </c>
    </row>
    <row r="16334" spans="103:104" x14ac:dyDescent="0.3">
      <c r="CY16334" s="34" t="s">
        <v>17261</v>
      </c>
      <c r="CZ16334" s="35">
        <v>7.6535583333333327E-3</v>
      </c>
    </row>
    <row r="16335" spans="103:104" x14ac:dyDescent="0.3">
      <c r="CY16335" s="34" t="s">
        <v>17262</v>
      </c>
      <c r="CZ16335" s="35">
        <v>1.2841641713750001</v>
      </c>
    </row>
    <row r="16336" spans="103:104" x14ac:dyDescent="0.3">
      <c r="CY16336" s="34" t="s">
        <v>17263</v>
      </c>
      <c r="CZ16336" s="35">
        <v>6.1943816000000006E-2</v>
      </c>
    </row>
    <row r="16337" spans="103:104" x14ac:dyDescent="0.3">
      <c r="CY16337" s="34" t="s">
        <v>17264</v>
      </c>
      <c r="CZ16337" s="35">
        <v>6.7358519999999996E-3</v>
      </c>
    </row>
    <row r="16338" spans="103:104" x14ac:dyDescent="0.3">
      <c r="CY16338" s="34" t="s">
        <v>17265</v>
      </c>
      <c r="CZ16338" s="35">
        <v>6.7358519999999996E-3</v>
      </c>
    </row>
    <row r="16339" spans="103:104" x14ac:dyDescent="0.3">
      <c r="CY16339" s="34" t="s">
        <v>17266</v>
      </c>
      <c r="CZ16339" s="35">
        <v>8.700599199999999E-3</v>
      </c>
    </row>
    <row r="16340" spans="103:104" x14ac:dyDescent="0.3">
      <c r="CY16340" s="34" t="s">
        <v>17267</v>
      </c>
      <c r="CZ16340" s="35">
        <v>0.23754037599999997</v>
      </c>
    </row>
    <row r="16341" spans="103:104" x14ac:dyDescent="0.3">
      <c r="CY16341" s="34" t="s">
        <v>17268</v>
      </c>
      <c r="CZ16341" s="35">
        <v>4.1686879999999996E-2</v>
      </c>
    </row>
    <row r="16342" spans="103:104" x14ac:dyDescent="0.3">
      <c r="CY16342" s="34" t="s">
        <v>17269</v>
      </c>
      <c r="CZ16342" s="35">
        <v>4.0518915999999995E-2</v>
      </c>
    </row>
    <row r="16343" spans="103:104" x14ac:dyDescent="0.3">
      <c r="CY16343" s="34" t="s">
        <v>17270</v>
      </c>
      <c r="CZ16343" s="35">
        <v>2.2813472000000005E-2</v>
      </c>
    </row>
    <row r="16344" spans="103:104" x14ac:dyDescent="0.3">
      <c r="CY16344" s="34" t="s">
        <v>17271</v>
      </c>
      <c r="CZ16344" s="35">
        <v>3.8452264E-2</v>
      </c>
    </row>
    <row r="16345" spans="103:104" x14ac:dyDescent="0.3">
      <c r="CY16345" s="34" t="s">
        <v>17272</v>
      </c>
      <c r="CZ16345" s="35">
        <v>2.1388563999999999E-2</v>
      </c>
    </row>
    <row r="16346" spans="103:104" x14ac:dyDescent="0.3">
      <c r="CY16346" s="34" t="s">
        <v>17273</v>
      </c>
      <c r="CZ16346" s="35">
        <v>1.4406966000000001</v>
      </c>
    </row>
    <row r="16347" spans="103:104" x14ac:dyDescent="0.3">
      <c r="CY16347" s="34" t="s">
        <v>17274</v>
      </c>
      <c r="CZ16347" s="35">
        <v>1.3098666799999998</v>
      </c>
    </row>
    <row r="16348" spans="103:104" x14ac:dyDescent="0.3">
      <c r="CY16348" s="34" t="s">
        <v>17275</v>
      </c>
      <c r="CZ16348" s="35">
        <v>1.6523744E-3</v>
      </c>
    </row>
    <row r="16349" spans="103:104" x14ac:dyDescent="0.3">
      <c r="CY16349" s="34" t="s">
        <v>17276</v>
      </c>
      <c r="CZ16349" s="35">
        <v>1.6523744000000002E-3</v>
      </c>
    </row>
    <row r="16350" spans="103:104" x14ac:dyDescent="0.3">
      <c r="CY16350" s="34" t="s">
        <v>17277</v>
      </c>
      <c r="CZ16350" s="35">
        <v>1.6523744E-3</v>
      </c>
    </row>
    <row r="16351" spans="103:104" x14ac:dyDescent="0.3">
      <c r="CY16351" s="34" t="s">
        <v>17278</v>
      </c>
      <c r="CZ16351" s="35">
        <v>1.7342544000000003E-3</v>
      </c>
    </row>
    <row r="16352" spans="103:104" x14ac:dyDescent="0.3">
      <c r="CY16352" s="34" t="s">
        <v>17279</v>
      </c>
      <c r="CZ16352" s="35">
        <v>3.0879816000000001E-2</v>
      </c>
    </row>
    <row r="16353" spans="103:104" x14ac:dyDescent="0.3">
      <c r="CY16353" s="34" t="s">
        <v>17280</v>
      </c>
      <c r="CZ16353" s="35">
        <v>5.2293859999999998E-2</v>
      </c>
    </row>
    <row r="16354" spans="103:104" x14ac:dyDescent="0.3">
      <c r="CY16354" s="34" t="s">
        <v>17281</v>
      </c>
      <c r="CZ16354" s="35">
        <v>5.4940660000000002E-2</v>
      </c>
    </row>
    <row r="16355" spans="103:104" x14ac:dyDescent="0.3">
      <c r="CY16355" s="34" t="s">
        <v>17282</v>
      </c>
      <c r="CZ16355" s="35">
        <v>2.541172E-3</v>
      </c>
    </row>
    <row r="16356" spans="103:104" x14ac:dyDescent="0.3">
      <c r="CY16356" s="34" t="s">
        <v>17283</v>
      </c>
      <c r="CZ16356" s="35">
        <v>1.3380943999999999E-2</v>
      </c>
    </row>
    <row r="16357" spans="103:104" x14ac:dyDescent="0.3">
      <c r="CY16357" s="34" t="s">
        <v>17284</v>
      </c>
      <c r="CZ16357" s="35">
        <v>4.2740531999999991E-2</v>
      </c>
    </row>
    <row r="16358" spans="103:104" x14ac:dyDescent="0.3">
      <c r="CY16358" s="34" t="s">
        <v>17285</v>
      </c>
      <c r="CZ16358" s="35">
        <v>4.3190061599999996E-2</v>
      </c>
    </row>
    <row r="16359" spans="103:104" x14ac:dyDescent="0.3">
      <c r="CY16359" s="34" t="s">
        <v>17286</v>
      </c>
      <c r="CZ16359" s="35">
        <v>0.32363209000000004</v>
      </c>
    </row>
    <row r="16360" spans="103:104" x14ac:dyDescent="0.3">
      <c r="CY16360" s="34" t="s">
        <v>17287</v>
      </c>
      <c r="CZ16360" s="35">
        <v>4.1549837999999999E-2</v>
      </c>
    </row>
    <row r="16361" spans="103:104" x14ac:dyDescent="0.3">
      <c r="CY16361" s="34" t="s">
        <v>17288</v>
      </c>
      <c r="CZ16361" s="35">
        <v>4.98589667E-2</v>
      </c>
    </row>
    <row r="16362" spans="103:104" x14ac:dyDescent="0.3">
      <c r="CY16362" s="34" t="s">
        <v>17289</v>
      </c>
      <c r="CZ16362" s="35">
        <v>8.6265240000000007E-2</v>
      </c>
    </row>
    <row r="16363" spans="103:104" x14ac:dyDescent="0.3">
      <c r="CY16363" s="34" t="s">
        <v>17290</v>
      </c>
      <c r="CZ16363" s="35">
        <v>9.4914559999999995E-2</v>
      </c>
    </row>
    <row r="16364" spans="103:104" x14ac:dyDescent="0.3">
      <c r="CY16364" s="34" t="s">
        <v>17291</v>
      </c>
      <c r="CZ16364" s="35">
        <v>8.0026382222222222E-4</v>
      </c>
    </row>
    <row r="16365" spans="103:104" x14ac:dyDescent="0.3">
      <c r="CY16365" s="34" t="s">
        <v>17292</v>
      </c>
      <c r="CZ16365" s="35">
        <v>9.4869200000000001E-2</v>
      </c>
    </row>
    <row r="16366" spans="103:104" x14ac:dyDescent="0.3">
      <c r="CY16366" s="34" t="s">
        <v>17293</v>
      </c>
      <c r="CZ16366" s="35">
        <v>9.3844933333333325E-2</v>
      </c>
    </row>
    <row r="16367" spans="103:104" x14ac:dyDescent="0.3">
      <c r="CY16367" s="34" t="s">
        <v>17294</v>
      </c>
      <c r="CZ16367" s="35">
        <v>0.98315827777777776</v>
      </c>
    </row>
    <row r="16368" spans="103:104" x14ac:dyDescent="0.3">
      <c r="CY16368" s="34" t="s">
        <v>17295</v>
      </c>
      <c r="CZ16368" s="35">
        <v>5.0645391414141415E-3</v>
      </c>
    </row>
    <row r="16369" spans="103:104" x14ac:dyDescent="0.3">
      <c r="CY16369" s="34" t="s">
        <v>17296</v>
      </c>
      <c r="CZ16369" s="35">
        <v>5.3119939132525258E-3</v>
      </c>
    </row>
    <row r="16370" spans="103:104" x14ac:dyDescent="0.3">
      <c r="CY16370" s="34" t="s">
        <v>17297</v>
      </c>
      <c r="CZ16370" s="35">
        <v>7.3538724747474757E-3</v>
      </c>
    </row>
    <row r="16371" spans="103:104" x14ac:dyDescent="0.3">
      <c r="CY16371" s="34" t="s">
        <v>17298</v>
      </c>
      <c r="CZ16371" s="35">
        <v>1.6522248749999996E-2</v>
      </c>
    </row>
    <row r="16372" spans="103:104" x14ac:dyDescent="0.3">
      <c r="CY16372" s="34" t="s">
        <v>17299</v>
      </c>
      <c r="CZ16372" s="35">
        <v>6.7261500000000002E-3</v>
      </c>
    </row>
    <row r="16373" spans="103:104" x14ac:dyDescent="0.3">
      <c r="CY16373" s="34" t="s">
        <v>17300</v>
      </c>
      <c r="CZ16373" s="35">
        <v>0.98315827777777776</v>
      </c>
    </row>
    <row r="16374" spans="103:104" x14ac:dyDescent="0.3">
      <c r="CY16374" s="34" t="s">
        <v>17301</v>
      </c>
      <c r="CZ16374" s="35">
        <v>1.0404455999999999E-2</v>
      </c>
    </row>
    <row r="16375" spans="103:104" x14ac:dyDescent="0.3">
      <c r="CY16375" s="34" t="s">
        <v>17302</v>
      </c>
      <c r="CZ16375" s="35">
        <v>1.0392728E-2</v>
      </c>
    </row>
    <row r="16376" spans="103:104" x14ac:dyDescent="0.3">
      <c r="CY16376" s="34" t="s">
        <v>17303</v>
      </c>
      <c r="CZ16376" s="35">
        <v>3.9588133333333332E-4</v>
      </c>
    </row>
    <row r="16377" spans="103:104" x14ac:dyDescent="0.3">
      <c r="CY16377" s="34" t="s">
        <v>17304</v>
      </c>
      <c r="CZ16377" s="35">
        <v>7.5764030000000007E-3</v>
      </c>
    </row>
    <row r="16378" spans="103:104" x14ac:dyDescent="0.3">
      <c r="CY16378" s="34" t="s">
        <v>17305</v>
      </c>
      <c r="CZ16378" s="35">
        <v>7.2596992000000006E-3</v>
      </c>
    </row>
    <row r="16379" spans="103:104" x14ac:dyDescent="0.3">
      <c r="CY16379" s="34" t="s">
        <v>17306</v>
      </c>
      <c r="CZ16379" s="35">
        <v>6.5695839999999998E-3</v>
      </c>
    </row>
    <row r="16380" spans="103:104" x14ac:dyDescent="0.3">
      <c r="CY16380" s="34" t="s">
        <v>17307</v>
      </c>
      <c r="CZ16380" s="35">
        <v>0.12450392</v>
      </c>
    </row>
    <row r="16381" spans="103:104" x14ac:dyDescent="0.3">
      <c r="CY16381" s="34" t="s">
        <v>17308</v>
      </c>
      <c r="CZ16381" s="35">
        <v>0.27208768</v>
      </c>
    </row>
    <row r="16382" spans="103:104" x14ac:dyDescent="0.3">
      <c r="CY16382" s="34" t="s">
        <v>17309</v>
      </c>
      <c r="CZ16382" s="35">
        <v>0.46719640000000007</v>
      </c>
    </row>
    <row r="16383" spans="103:104" x14ac:dyDescent="0.3">
      <c r="CY16383" s="34" t="s">
        <v>17310</v>
      </c>
      <c r="CZ16383" s="35">
        <v>0.32949751999999999</v>
      </c>
    </row>
    <row r="16384" spans="103:104" x14ac:dyDescent="0.3">
      <c r="CY16384" s="34" t="s">
        <v>17311</v>
      </c>
      <c r="CZ16384" s="35">
        <v>4.5193503999999999E-4</v>
      </c>
    </row>
    <row r="16385" spans="103:104" x14ac:dyDescent="0.3">
      <c r="CY16385" s="34" t="s">
        <v>17312</v>
      </c>
      <c r="CZ16385" s="35">
        <v>8.7111488000000001E-2</v>
      </c>
    </row>
    <row r="16386" spans="103:104" x14ac:dyDescent="0.3">
      <c r="CY16386" s="34" t="s">
        <v>17313</v>
      </c>
      <c r="CZ16386" s="35">
        <v>8.7356043999999994E-2</v>
      </c>
    </row>
    <row r="16387" spans="103:104" x14ac:dyDescent="0.3">
      <c r="CY16387" s="34" t="s">
        <v>17314</v>
      </c>
      <c r="CZ16387" s="35">
        <v>6.5514075999999991E-2</v>
      </c>
    </row>
    <row r="16388" spans="103:104" x14ac:dyDescent="0.3">
      <c r="CY16388" s="34" t="s">
        <v>17315</v>
      </c>
      <c r="CZ16388" s="35">
        <v>9.0826040000000011E-3</v>
      </c>
    </row>
    <row r="16389" spans="103:104" x14ac:dyDescent="0.3">
      <c r="CY16389" s="34" t="s">
        <v>17316</v>
      </c>
      <c r="CZ16389" s="35">
        <v>9.3617983999999994E-3</v>
      </c>
    </row>
    <row r="16390" spans="103:104" x14ac:dyDescent="0.3">
      <c r="CY16390" s="34" t="s">
        <v>17317</v>
      </c>
      <c r="CZ16390" s="35">
        <v>9.9755480000000007E-3</v>
      </c>
    </row>
    <row r="16391" spans="103:104" x14ac:dyDescent="0.3">
      <c r="CY16391" s="34" t="s">
        <v>17318</v>
      </c>
      <c r="CZ16391" s="35">
        <v>8.1016799999999983E-3</v>
      </c>
    </row>
    <row r="16392" spans="103:104" x14ac:dyDescent="0.3">
      <c r="CY16392" s="34" t="s">
        <v>17319</v>
      </c>
      <c r="CZ16392" s="35">
        <v>9.4250176000000001E-3</v>
      </c>
    </row>
    <row r="16393" spans="103:104" x14ac:dyDescent="0.3">
      <c r="CY16393" s="34" t="s">
        <v>17320</v>
      </c>
      <c r="CZ16393" s="35">
        <v>9.4250175999999984E-3</v>
      </c>
    </row>
    <row r="16394" spans="103:104" x14ac:dyDescent="0.3">
      <c r="CY16394" s="34" t="s">
        <v>17321</v>
      </c>
      <c r="CZ16394" s="35">
        <v>4.4595351999999998E-3</v>
      </c>
    </row>
    <row r="16395" spans="103:104" x14ac:dyDescent="0.3">
      <c r="CY16395" s="34" t="s">
        <v>17322</v>
      </c>
      <c r="CZ16395" s="35">
        <v>9.476736799999998E-3</v>
      </c>
    </row>
    <row r="16396" spans="103:104" x14ac:dyDescent="0.3">
      <c r="CY16396" s="34" t="s">
        <v>17323</v>
      </c>
      <c r="CZ16396" s="35">
        <v>2.1900000000000001E-4</v>
      </c>
    </row>
    <row r="16397" spans="103:104" x14ac:dyDescent="0.3">
      <c r="CY16397" s="34" t="s">
        <v>17324</v>
      </c>
      <c r="CZ16397" s="35">
        <v>1.8009258285714286E-3</v>
      </c>
    </row>
    <row r="16398" spans="103:104" x14ac:dyDescent="0.3">
      <c r="CY16398" s="34" t="s">
        <v>17325</v>
      </c>
      <c r="CZ16398" s="35">
        <v>4.3747000000000001E-2</v>
      </c>
    </row>
    <row r="16399" spans="103:104" x14ac:dyDescent="0.3">
      <c r="CY16399" s="34" t="s">
        <v>17326</v>
      </c>
      <c r="CZ16399" s="35">
        <v>3.3689919999999998E-2</v>
      </c>
    </row>
    <row r="16400" spans="103:104" x14ac:dyDescent="0.3">
      <c r="CY16400" s="34" t="s">
        <v>17327</v>
      </c>
      <c r="CZ16400" s="35">
        <v>2.3402572E-2</v>
      </c>
    </row>
    <row r="16401" spans="103:104" x14ac:dyDescent="0.3">
      <c r="CY16401" s="34" t="s">
        <v>17328</v>
      </c>
      <c r="CZ16401" s="35">
        <v>1.8746288E-3</v>
      </c>
    </row>
    <row r="16402" spans="103:104" x14ac:dyDescent="0.3">
      <c r="CY16402" s="34" t="s">
        <v>17329</v>
      </c>
      <c r="CZ16402" s="35">
        <v>2.9637559999999997E-2</v>
      </c>
    </row>
    <row r="16403" spans="103:104" x14ac:dyDescent="0.3">
      <c r="CY16403" s="34" t="s">
        <v>17330</v>
      </c>
      <c r="CZ16403" s="35">
        <v>0.31093500000000002</v>
      </c>
    </row>
    <row r="16404" spans="103:104" x14ac:dyDescent="0.3">
      <c r="CY16404" s="34" t="s">
        <v>17331</v>
      </c>
      <c r="CZ16404" s="35">
        <v>0.22764962</v>
      </c>
    </row>
    <row r="16405" spans="103:104" x14ac:dyDescent="0.3">
      <c r="CY16405" s="34" t="s">
        <v>17332</v>
      </c>
      <c r="CZ16405" s="35">
        <v>6.8049999999999999E-2</v>
      </c>
    </row>
    <row r="16406" spans="103:104" x14ac:dyDescent="0.3">
      <c r="CY16406" s="34" t="s">
        <v>17333</v>
      </c>
      <c r="CZ16406" s="35">
        <v>3.8041852000000001E-2</v>
      </c>
    </row>
    <row r="16407" spans="103:104" x14ac:dyDescent="0.3">
      <c r="CY16407" s="34" t="s">
        <v>17334</v>
      </c>
      <c r="CZ16407" s="35">
        <v>0.25915978000000001</v>
      </c>
    </row>
    <row r="16408" spans="103:104" x14ac:dyDescent="0.3">
      <c r="CY16408" s="34" t="s">
        <v>17335</v>
      </c>
      <c r="CZ16408" s="35">
        <v>0.16783425000000002</v>
      </c>
    </row>
    <row r="16409" spans="103:104" x14ac:dyDescent="0.3">
      <c r="CY16409" s="34" t="s">
        <v>17336</v>
      </c>
      <c r="CZ16409" s="35">
        <v>0.11902800000000001</v>
      </c>
    </row>
    <row r="16410" spans="103:104" x14ac:dyDescent="0.3">
      <c r="CY16410" s="34" t="s">
        <v>17337</v>
      </c>
      <c r="CZ16410" s="35">
        <v>0.16957956000000002</v>
      </c>
    </row>
    <row r="16411" spans="103:104" x14ac:dyDescent="0.3">
      <c r="CY16411" s="34" t="s">
        <v>17338</v>
      </c>
      <c r="CZ16411" s="35">
        <v>0.12293456</v>
      </c>
    </row>
    <row r="16412" spans="103:104" x14ac:dyDescent="0.3">
      <c r="CY16412" s="34" t="s">
        <v>17339</v>
      </c>
      <c r="CZ16412" s="35">
        <v>0.22565609999999997</v>
      </c>
    </row>
    <row r="16413" spans="103:104" x14ac:dyDescent="0.3">
      <c r="CY16413" s="34" t="s">
        <v>17340</v>
      </c>
      <c r="CZ16413" s="35">
        <v>0.14283359999999998</v>
      </c>
    </row>
    <row r="16414" spans="103:104" x14ac:dyDescent="0.3">
      <c r="CY16414" s="34" t="s">
        <v>17341</v>
      </c>
      <c r="CZ16414" s="35">
        <v>0.22565609999999997</v>
      </c>
    </row>
    <row r="16415" spans="103:104" x14ac:dyDescent="0.3">
      <c r="CY16415" s="34" t="s">
        <v>17342</v>
      </c>
      <c r="CZ16415" s="35">
        <v>0.14283360000000001</v>
      </c>
    </row>
    <row r="16416" spans="103:104" x14ac:dyDescent="0.3">
      <c r="CY16416" s="34" t="s">
        <v>17343</v>
      </c>
      <c r="CZ16416" s="35">
        <v>1.5253333333333332E-4</v>
      </c>
    </row>
    <row r="16417" spans="103:104" x14ac:dyDescent="0.3">
      <c r="CY16417" s="34" t="s">
        <v>17344</v>
      </c>
      <c r="CZ16417" s="35">
        <v>2.5422226666666669E-4</v>
      </c>
    </row>
    <row r="16418" spans="103:104" x14ac:dyDescent="0.3">
      <c r="CY16418" s="34" t="s">
        <v>17345</v>
      </c>
      <c r="CZ16418" s="35">
        <v>1.6342859999999998E-4</v>
      </c>
    </row>
    <row r="16419" spans="103:104" x14ac:dyDescent="0.3">
      <c r="CY16419" s="34" t="s">
        <v>17346</v>
      </c>
      <c r="CZ16419" s="35">
        <v>1.2191624999999999E-2</v>
      </c>
    </row>
    <row r="16420" spans="103:104" x14ac:dyDescent="0.3">
      <c r="CY16420" s="34" t="s">
        <v>17347</v>
      </c>
      <c r="CZ16420" s="35">
        <v>1.2357146666666665E-4</v>
      </c>
    </row>
    <row r="16421" spans="103:104" x14ac:dyDescent="0.3">
      <c r="CY16421" s="34" t="s">
        <v>17348</v>
      </c>
      <c r="CZ16421" s="35">
        <v>1.6515499999999999E-2</v>
      </c>
    </row>
    <row r="16422" spans="103:104" x14ac:dyDescent="0.3">
      <c r="CY16422" s="34" t="s">
        <v>17349</v>
      </c>
      <c r="CZ16422" s="35">
        <v>4.0065426000000003E-3</v>
      </c>
    </row>
    <row r="16423" spans="103:104" x14ac:dyDescent="0.3">
      <c r="CY16423" s="34" t="s">
        <v>17350</v>
      </c>
      <c r="CZ16423" s="35">
        <v>4.0065426000000003E-3</v>
      </c>
    </row>
    <row r="16424" spans="103:104" x14ac:dyDescent="0.3">
      <c r="CY16424" s="34" t="s">
        <v>17351</v>
      </c>
      <c r="CZ16424" s="35">
        <v>2.9779219999999999E-2</v>
      </c>
    </row>
    <row r="16425" spans="103:104" x14ac:dyDescent="0.3">
      <c r="CY16425" s="34" t="s">
        <v>17352</v>
      </c>
      <c r="CZ16425" s="35">
        <v>6.2204840000000001E-3</v>
      </c>
    </row>
    <row r="16426" spans="103:104" x14ac:dyDescent="0.3">
      <c r="CY16426" s="34" t="s">
        <v>17353</v>
      </c>
      <c r="CZ16426" s="35">
        <v>3.4690199999999997E-3</v>
      </c>
    </row>
    <row r="16427" spans="103:104" x14ac:dyDescent="0.3">
      <c r="CY16427" s="34" t="s">
        <v>17354</v>
      </c>
      <c r="CZ16427" s="35">
        <v>6.14856E-3</v>
      </c>
    </row>
    <row r="16428" spans="103:104" x14ac:dyDescent="0.3">
      <c r="CY16428" s="34" t="s">
        <v>17355</v>
      </c>
      <c r="CZ16428" s="35">
        <v>3.7658190000000008E-2</v>
      </c>
    </row>
    <row r="16429" spans="103:104" x14ac:dyDescent="0.3">
      <c r="CY16429" s="34" t="s">
        <v>17356</v>
      </c>
      <c r="CZ16429" s="35">
        <v>7.1088239999999997E-3</v>
      </c>
    </row>
    <row r="16430" spans="103:104" x14ac:dyDescent="0.3">
      <c r="CY16430" s="34" t="s">
        <v>17357</v>
      </c>
      <c r="CZ16430" s="35">
        <v>6.1127839999999996E-3</v>
      </c>
    </row>
    <row r="16431" spans="103:104" x14ac:dyDescent="0.3">
      <c r="CY16431" s="34" t="s">
        <v>17358</v>
      </c>
      <c r="CZ16431" s="35">
        <v>4.6470640000000002E-3</v>
      </c>
    </row>
    <row r="16432" spans="103:104" x14ac:dyDescent="0.3">
      <c r="CY16432" s="34" t="s">
        <v>17359</v>
      </c>
      <c r="CZ16432" s="35">
        <v>3.7211704999999998E-2</v>
      </c>
    </row>
    <row r="16433" spans="103:104" x14ac:dyDescent="0.3">
      <c r="CY16433" s="34" t="s">
        <v>17360</v>
      </c>
      <c r="CZ16433" s="35">
        <v>3.3365611999999996E-2</v>
      </c>
    </row>
    <row r="16434" spans="103:104" x14ac:dyDescent="0.3">
      <c r="CY16434" s="34" t="s">
        <v>17361</v>
      </c>
      <c r="CZ16434" s="35">
        <v>0.10484040800000001</v>
      </c>
    </row>
    <row r="16435" spans="103:104" x14ac:dyDescent="0.3">
      <c r="CY16435" s="34" t="s">
        <v>17362</v>
      </c>
      <c r="CZ16435" s="35">
        <v>6.9936039999999991E-2</v>
      </c>
    </row>
    <row r="16436" spans="103:104" x14ac:dyDescent="0.3">
      <c r="CY16436" s="34" t="s">
        <v>17363</v>
      </c>
      <c r="CZ16436" s="35">
        <v>6.5544260000000007E-2</v>
      </c>
    </row>
    <row r="16437" spans="103:104" x14ac:dyDescent="0.3">
      <c r="CY16437" s="34" t="s">
        <v>17364</v>
      </c>
      <c r="CZ16437" s="35">
        <v>9.369290000000001E-2</v>
      </c>
    </row>
    <row r="16438" spans="103:104" x14ac:dyDescent="0.3">
      <c r="CY16438" s="34" t="s">
        <v>17365</v>
      </c>
      <c r="CZ16438" s="35">
        <v>109.74649700000002</v>
      </c>
    </row>
    <row r="16439" spans="103:104" x14ac:dyDescent="0.3">
      <c r="CY16439" s="34" t="s">
        <v>17366</v>
      </c>
      <c r="CZ16439" s="35">
        <v>110.22364900000001</v>
      </c>
    </row>
    <row r="16440" spans="103:104" x14ac:dyDescent="0.3">
      <c r="CY16440" s="34" t="s">
        <v>17367</v>
      </c>
      <c r="CZ16440" s="35">
        <v>109.03076900000001</v>
      </c>
    </row>
    <row r="16441" spans="103:104" x14ac:dyDescent="0.3">
      <c r="CY16441" s="34" t="s">
        <v>17368</v>
      </c>
      <c r="CZ16441" s="35">
        <v>1.9443504E-2</v>
      </c>
    </row>
    <row r="16442" spans="103:104" x14ac:dyDescent="0.3">
      <c r="CY16442" s="34" t="s">
        <v>17369</v>
      </c>
      <c r="CZ16442" s="35">
        <v>3.0740000000000005E-4</v>
      </c>
    </row>
    <row r="16443" spans="103:104" x14ac:dyDescent="0.3">
      <c r="CY16443" s="34" t="s">
        <v>17370</v>
      </c>
      <c r="CZ16443" s="35">
        <v>9.1193200000000002E-3</v>
      </c>
    </row>
    <row r="16444" spans="103:104" x14ac:dyDescent="0.3">
      <c r="CY16444" s="34" t="s">
        <v>17371</v>
      </c>
      <c r="CZ16444" s="35">
        <v>2.4205832E-2</v>
      </c>
    </row>
    <row r="16445" spans="103:104" x14ac:dyDescent="0.3">
      <c r="CY16445" s="34" t="s">
        <v>17372</v>
      </c>
      <c r="CZ16445" s="35">
        <v>1.1370360000000001E-2</v>
      </c>
    </row>
    <row r="16446" spans="103:104" x14ac:dyDescent="0.3">
      <c r="CY16446" s="34" t="s">
        <v>17373</v>
      </c>
      <c r="CZ16446" s="35">
        <v>2.5365528500000002E-2</v>
      </c>
    </row>
    <row r="16447" spans="103:104" x14ac:dyDescent="0.3">
      <c r="CY16447" s="34" t="s">
        <v>17374</v>
      </c>
      <c r="CZ16447" s="35">
        <v>5.187499999999999E-4</v>
      </c>
    </row>
    <row r="16448" spans="103:104" x14ac:dyDescent="0.3">
      <c r="CY16448" s="34" t="s">
        <v>17375</v>
      </c>
      <c r="CZ16448" s="35">
        <v>2.5240215999999999E-2</v>
      </c>
    </row>
    <row r="16449" spans="103:104" x14ac:dyDescent="0.3">
      <c r="CY16449" s="34" t="s">
        <v>17376</v>
      </c>
      <c r="CZ16449" s="35">
        <v>2.6558607999999997E-3</v>
      </c>
    </row>
    <row r="16450" spans="103:104" x14ac:dyDescent="0.3">
      <c r="CY16450" s="34" t="s">
        <v>17377</v>
      </c>
      <c r="CZ16450" s="35">
        <v>6.0859280000000002E-2</v>
      </c>
    </row>
    <row r="16451" spans="103:104" x14ac:dyDescent="0.3">
      <c r="CY16451" s="34" t="s">
        <v>17378</v>
      </c>
      <c r="CZ16451" s="35">
        <v>8.2344800000000006E-3</v>
      </c>
    </row>
    <row r="16452" spans="103:104" x14ac:dyDescent="0.3">
      <c r="CY16452" s="34" t="s">
        <v>17379</v>
      </c>
      <c r="CZ16452" s="35">
        <v>3.7467920000000005E-3</v>
      </c>
    </row>
    <row r="16453" spans="103:104" x14ac:dyDescent="0.3">
      <c r="CY16453" s="34" t="s">
        <v>17380</v>
      </c>
      <c r="CZ16453" s="35">
        <v>1.2620552675E-2</v>
      </c>
    </row>
    <row r="16454" spans="103:104" x14ac:dyDescent="0.3">
      <c r="CY16454" s="34" t="s">
        <v>17381</v>
      </c>
      <c r="CZ16454" s="35">
        <v>3.353271428571429E-4</v>
      </c>
    </row>
    <row r="16455" spans="103:104" x14ac:dyDescent="0.3">
      <c r="CY16455" s="34" t="s">
        <v>17382</v>
      </c>
      <c r="CZ16455" s="35">
        <v>5.0760379999999997E-3</v>
      </c>
    </row>
    <row r="16456" spans="103:104" x14ac:dyDescent="0.3">
      <c r="CY16456" s="34" t="s">
        <v>17383</v>
      </c>
      <c r="CZ16456" s="35">
        <v>8.5418476000000007E-2</v>
      </c>
    </row>
    <row r="16457" spans="103:104" x14ac:dyDescent="0.3">
      <c r="CY16457" s="34" t="s">
        <v>17384</v>
      </c>
      <c r="CZ16457" s="35">
        <v>8.8110340000000009E-2</v>
      </c>
    </row>
    <row r="16458" spans="103:104" x14ac:dyDescent="0.3">
      <c r="CY16458" s="34" t="s">
        <v>17385</v>
      </c>
      <c r="CZ16458" s="35">
        <v>1.5094221999999999E-2</v>
      </c>
    </row>
    <row r="16459" spans="103:104" x14ac:dyDescent="0.3">
      <c r="CY16459" s="34" t="s">
        <v>17386</v>
      </c>
      <c r="CZ16459" s="35">
        <v>5.8843359999999996E-3</v>
      </c>
    </row>
    <row r="16460" spans="103:104" x14ac:dyDescent="0.3">
      <c r="CY16460" s="34" t="s">
        <v>17387</v>
      </c>
      <c r="CZ16460" s="35">
        <v>6.9310451199999998E-2</v>
      </c>
    </row>
    <row r="16461" spans="103:104" x14ac:dyDescent="0.3">
      <c r="CY16461" s="34" t="s">
        <v>17388</v>
      </c>
      <c r="CZ16461" s="35">
        <v>4.0992175999999998E-3</v>
      </c>
    </row>
    <row r="16462" spans="103:104" x14ac:dyDescent="0.3">
      <c r="CY16462" s="34" t="s">
        <v>17389</v>
      </c>
      <c r="CZ16462" s="35">
        <v>4.7548751999999996E-3</v>
      </c>
    </row>
    <row r="16463" spans="103:104" x14ac:dyDescent="0.3">
      <c r="CY16463" s="34" t="s">
        <v>17390</v>
      </c>
      <c r="CZ16463" s="35">
        <v>4.6318157533333335E-2</v>
      </c>
    </row>
    <row r="16464" spans="103:104" x14ac:dyDescent="0.3">
      <c r="CY16464" s="34" t="s">
        <v>17391</v>
      </c>
      <c r="CZ16464" s="35">
        <v>4.6358236933333331E-2</v>
      </c>
    </row>
    <row r="16465" spans="103:104" x14ac:dyDescent="0.3">
      <c r="CY16465" s="34" t="s">
        <v>17392</v>
      </c>
      <c r="CZ16465" s="35">
        <v>4.6318157999999998E-2</v>
      </c>
    </row>
    <row r="16466" spans="103:104" x14ac:dyDescent="0.3">
      <c r="CY16466" s="34" t="s">
        <v>17393</v>
      </c>
      <c r="CZ16466" s="35">
        <v>4.6358236933333331E-2</v>
      </c>
    </row>
    <row r="16467" spans="103:104" x14ac:dyDescent="0.3">
      <c r="CY16467" s="34" t="s">
        <v>17394</v>
      </c>
      <c r="CZ16467" s="35">
        <v>6.3463799999999996E-3</v>
      </c>
    </row>
    <row r="16468" spans="103:104" x14ac:dyDescent="0.3">
      <c r="CY16468" s="34" t="s">
        <v>17395</v>
      </c>
      <c r="CZ16468" s="35">
        <v>7.6089599999999997E-3</v>
      </c>
    </row>
    <row r="16469" spans="103:104" x14ac:dyDescent="0.3">
      <c r="CY16469" s="34" t="s">
        <v>17396</v>
      </c>
      <c r="CZ16469" s="35">
        <v>8.3547093333333333E-3</v>
      </c>
    </row>
    <row r="16470" spans="103:104" x14ac:dyDescent="0.3">
      <c r="CY16470" s="34" t="s">
        <v>17397</v>
      </c>
      <c r="CZ16470" s="35">
        <v>3.1250000000000001E-5</v>
      </c>
    </row>
    <row r="16471" spans="103:104" x14ac:dyDescent="0.3">
      <c r="CY16471" s="34" t="s">
        <v>17398</v>
      </c>
      <c r="CZ16471" s="35">
        <v>2.1112745999999998E-2</v>
      </c>
    </row>
    <row r="16472" spans="103:104" x14ac:dyDescent="0.3">
      <c r="CY16472" s="34" t="s">
        <v>17399</v>
      </c>
      <c r="CZ16472" s="35">
        <v>7.9602479999999989E-2</v>
      </c>
    </row>
    <row r="16473" spans="103:104" x14ac:dyDescent="0.3">
      <c r="CY16473" s="34" t="s">
        <v>17400</v>
      </c>
      <c r="CZ16473" s="35">
        <v>3.8389499999999998E-4</v>
      </c>
    </row>
    <row r="16474" spans="103:104" x14ac:dyDescent="0.3">
      <c r="CY16474" s="34" t="s">
        <v>17401</v>
      </c>
      <c r="CZ16474" s="35">
        <v>2.0503866666666667E-4</v>
      </c>
    </row>
    <row r="16475" spans="103:104" x14ac:dyDescent="0.3">
      <c r="CY16475" s="34" t="s">
        <v>17402</v>
      </c>
      <c r="CZ16475" s="35">
        <v>4.1953578666666665E-2</v>
      </c>
    </row>
    <row r="16476" spans="103:104" x14ac:dyDescent="0.3">
      <c r="CY16476" s="34" t="s">
        <v>17403</v>
      </c>
      <c r="CZ16476" s="35">
        <v>0.11412949999999999</v>
      </c>
    </row>
    <row r="16477" spans="103:104" x14ac:dyDescent="0.3">
      <c r="CY16477" s="34" t="s">
        <v>17404</v>
      </c>
      <c r="CZ16477" s="35">
        <v>2.4129499999999998E-2</v>
      </c>
    </row>
    <row r="16478" spans="103:104" x14ac:dyDescent="0.3">
      <c r="CY16478" s="34" t="s">
        <v>17405</v>
      </c>
      <c r="CZ16478" s="35">
        <v>5.7134800000000008E-3</v>
      </c>
    </row>
    <row r="16479" spans="103:104" x14ac:dyDescent="0.3">
      <c r="CY16479" s="34" t="s">
        <v>17406</v>
      </c>
      <c r="CZ16479" s="35">
        <v>5.7134799999999999E-3</v>
      </c>
    </row>
    <row r="16480" spans="103:104" x14ac:dyDescent="0.3">
      <c r="CY16480" s="34" t="s">
        <v>17407</v>
      </c>
      <c r="CZ16480" s="35">
        <v>5.3684800000000001E-3</v>
      </c>
    </row>
    <row r="16481" spans="103:104" x14ac:dyDescent="0.3">
      <c r="CY16481" s="34" t="s">
        <v>17408</v>
      </c>
      <c r="CZ16481" s="35">
        <v>5.2314800000000002E-3</v>
      </c>
    </row>
    <row r="16482" spans="103:104" x14ac:dyDescent="0.3">
      <c r="CY16482" s="34" t="s">
        <v>17409</v>
      </c>
      <c r="CZ16482" s="35">
        <v>3.3075199999999999E-2</v>
      </c>
    </row>
    <row r="16483" spans="103:104" x14ac:dyDescent="0.3">
      <c r="CY16483" s="34" t="s">
        <v>17410</v>
      </c>
      <c r="CZ16483" s="35">
        <v>3.1849260000000004E-2</v>
      </c>
    </row>
    <row r="16484" spans="103:104" x14ac:dyDescent="0.3">
      <c r="CY16484" s="34" t="s">
        <v>17411</v>
      </c>
      <c r="CZ16484" s="35">
        <v>0.1292938166</v>
      </c>
    </row>
    <row r="16485" spans="103:104" x14ac:dyDescent="0.3">
      <c r="CY16485" s="34" t="s">
        <v>17412</v>
      </c>
      <c r="CZ16485" s="35">
        <v>1.4080110000000002E-2</v>
      </c>
    </row>
    <row r="16486" spans="103:104" x14ac:dyDescent="0.3">
      <c r="CY16486" s="34" t="s">
        <v>17413</v>
      </c>
      <c r="CZ16486" s="35">
        <v>2.1163027999999999E-3</v>
      </c>
    </row>
    <row r="16487" spans="103:104" x14ac:dyDescent="0.3">
      <c r="CY16487" s="34" t="s">
        <v>17414</v>
      </c>
      <c r="CZ16487" s="35">
        <v>5.0504719999999996E-4</v>
      </c>
    </row>
    <row r="16488" spans="103:104" x14ac:dyDescent="0.3">
      <c r="CY16488" s="34" t="s">
        <v>17415</v>
      </c>
      <c r="CZ16488" s="35">
        <v>4.9969399999999997E-2</v>
      </c>
    </row>
    <row r="16489" spans="103:104" x14ac:dyDescent="0.3">
      <c r="CY16489" s="34" t="s">
        <v>17416</v>
      </c>
      <c r="CZ16489" s="35">
        <v>3.0129040000000003E-2</v>
      </c>
    </row>
    <row r="16490" spans="103:104" x14ac:dyDescent="0.3">
      <c r="CY16490" s="34" t="s">
        <v>17417</v>
      </c>
      <c r="CZ16490" s="35">
        <v>4.6274466640624998E-2</v>
      </c>
    </row>
    <row r="16491" spans="103:104" x14ac:dyDescent="0.3">
      <c r="CY16491" s="34" t="s">
        <v>17418</v>
      </c>
      <c r="CZ16491" s="35">
        <v>4.9286306640624999E-2</v>
      </c>
    </row>
    <row r="16492" spans="103:104" x14ac:dyDescent="0.3">
      <c r="CY16492" s="34" t="s">
        <v>17419</v>
      </c>
      <c r="CZ16492" s="35">
        <v>1.559272E-3</v>
      </c>
    </row>
    <row r="16493" spans="103:104" x14ac:dyDescent="0.3">
      <c r="CY16493" s="34" t="s">
        <v>17420</v>
      </c>
      <c r="CZ16493" s="35">
        <v>3.1466552E-3</v>
      </c>
    </row>
    <row r="16494" spans="103:104" x14ac:dyDescent="0.3">
      <c r="CY16494" s="34" t="s">
        <v>17421</v>
      </c>
      <c r="CZ16494" s="35">
        <v>5.4621119999999999E-3</v>
      </c>
    </row>
    <row r="16495" spans="103:104" x14ac:dyDescent="0.3">
      <c r="CY16495" s="34" t="s">
        <v>17422</v>
      </c>
      <c r="CZ16495" s="35">
        <v>8.3563960000000003E-3</v>
      </c>
    </row>
    <row r="16496" spans="103:104" x14ac:dyDescent="0.3">
      <c r="CY16496" s="34" t="s">
        <v>17423</v>
      </c>
      <c r="CZ16496" s="35">
        <v>9.9325786666666672E-3</v>
      </c>
    </row>
    <row r="16497" spans="103:104" x14ac:dyDescent="0.3">
      <c r="CY16497" s="34" t="s">
        <v>17424</v>
      </c>
      <c r="CZ16497" s="35">
        <v>5.6039360000000012E-3</v>
      </c>
    </row>
    <row r="16498" spans="103:104" x14ac:dyDescent="0.3">
      <c r="CY16498" s="34" t="s">
        <v>17425</v>
      </c>
      <c r="CZ16498" s="35">
        <v>2.5828691111111114E-2</v>
      </c>
    </row>
    <row r="16499" spans="103:104" x14ac:dyDescent="0.3">
      <c r="CY16499" s="34" t="s">
        <v>17426</v>
      </c>
      <c r="CZ16499" s="35">
        <v>1.5206800000000001E-2</v>
      </c>
    </row>
    <row r="16500" spans="103:104" x14ac:dyDescent="0.3">
      <c r="CY16500" s="34" t="s">
        <v>17427</v>
      </c>
      <c r="CZ16500" s="35">
        <v>1.5610805E-2</v>
      </c>
    </row>
    <row r="16501" spans="103:104" x14ac:dyDescent="0.3">
      <c r="CY16501" s="34" t="s">
        <v>17428</v>
      </c>
      <c r="CZ16501" s="35">
        <v>3.9121287999999997E-2</v>
      </c>
    </row>
    <row r="16502" spans="103:104" x14ac:dyDescent="0.3">
      <c r="CY16502" s="34" t="s">
        <v>17429</v>
      </c>
      <c r="CZ16502" s="35">
        <v>2.5613504444444445E-2</v>
      </c>
    </row>
    <row r="16503" spans="103:104" x14ac:dyDescent="0.3">
      <c r="CY16503" s="34" t="s">
        <v>17430</v>
      </c>
      <c r="CZ16503" s="35">
        <v>1.280184E-2</v>
      </c>
    </row>
    <row r="16504" spans="103:104" x14ac:dyDescent="0.3">
      <c r="CY16504" s="34" t="s">
        <v>17431</v>
      </c>
      <c r="CZ16504" s="35">
        <v>1.534676E-3</v>
      </c>
    </row>
    <row r="16505" spans="103:104" x14ac:dyDescent="0.3">
      <c r="CY16505" s="34" t="s">
        <v>17432</v>
      </c>
      <c r="CZ16505" s="35">
        <v>1.0115176E-2</v>
      </c>
    </row>
    <row r="16506" spans="103:104" x14ac:dyDescent="0.3">
      <c r="CY16506" s="34" t="s">
        <v>17433</v>
      </c>
      <c r="CZ16506" s="35">
        <v>7.8376472000000003E-2</v>
      </c>
    </row>
    <row r="16507" spans="103:104" x14ac:dyDescent="0.3">
      <c r="CY16507" s="34" t="s">
        <v>17434</v>
      </c>
      <c r="CZ16507" s="35">
        <v>1.3082892000000001E-3</v>
      </c>
    </row>
    <row r="16508" spans="103:104" x14ac:dyDescent="0.3">
      <c r="CY16508" s="34" t="s">
        <v>17435</v>
      </c>
      <c r="CZ16508" s="35">
        <v>1.4169640000000002E-3</v>
      </c>
    </row>
    <row r="16509" spans="103:104" x14ac:dyDescent="0.3">
      <c r="CY16509" s="34" t="s">
        <v>17436</v>
      </c>
      <c r="CZ16509" s="35">
        <v>3.2450016666666666E-4</v>
      </c>
    </row>
    <row r="16510" spans="103:104" x14ac:dyDescent="0.3">
      <c r="CY16510" s="34" t="s">
        <v>17437</v>
      </c>
      <c r="CZ16510" s="35">
        <v>5.3028983999999996E-3</v>
      </c>
    </row>
    <row r="16511" spans="103:104" x14ac:dyDescent="0.3">
      <c r="CY16511" s="34" t="s">
        <v>17438</v>
      </c>
      <c r="CZ16511" s="35">
        <v>6.2334248799999995E-3</v>
      </c>
    </row>
    <row r="16512" spans="103:104" x14ac:dyDescent="0.3">
      <c r="CY16512" s="34" t="s">
        <v>17439</v>
      </c>
      <c r="CZ16512" s="35">
        <v>1.8103263999999998E-3</v>
      </c>
    </row>
    <row r="16513" spans="103:104" x14ac:dyDescent="0.3">
      <c r="CY16513" s="34" t="s">
        <v>17440</v>
      </c>
      <c r="CZ16513" s="35">
        <v>9.2084479999999993E-4</v>
      </c>
    </row>
    <row r="16514" spans="103:104" x14ac:dyDescent="0.3">
      <c r="CY16514" s="34" t="s">
        <v>17441</v>
      </c>
      <c r="CZ16514" s="35">
        <v>9.2084479999999993E-4</v>
      </c>
    </row>
    <row r="16515" spans="103:104" x14ac:dyDescent="0.3">
      <c r="CY16515" s="34" t="s">
        <v>17442</v>
      </c>
      <c r="CZ16515" s="35">
        <v>3.7091967999999995E-3</v>
      </c>
    </row>
    <row r="16516" spans="103:104" x14ac:dyDescent="0.3">
      <c r="CY16516" s="34" t="s">
        <v>17443</v>
      </c>
      <c r="CZ16516" s="35">
        <v>2.5131300000000002E-4</v>
      </c>
    </row>
    <row r="16517" spans="103:104" x14ac:dyDescent="0.3">
      <c r="CY16517" s="34" t="s">
        <v>17444</v>
      </c>
      <c r="CZ16517" s="35">
        <v>4.3399599999999997E-4</v>
      </c>
    </row>
    <row r="16518" spans="103:104" x14ac:dyDescent="0.3">
      <c r="CY16518" s="34" t="s">
        <v>17445</v>
      </c>
      <c r="CZ16518" s="35">
        <v>3.2888699999999998E-4</v>
      </c>
    </row>
    <row r="16519" spans="103:104" x14ac:dyDescent="0.3">
      <c r="CY16519" s="34" t="s">
        <v>17446</v>
      </c>
      <c r="CZ16519" s="35">
        <v>6.1791999999999999E-4</v>
      </c>
    </row>
    <row r="16520" spans="103:104" x14ac:dyDescent="0.3">
      <c r="CY16520" s="34" t="s">
        <v>17447</v>
      </c>
      <c r="CZ16520" s="35">
        <v>2.3846312E-3</v>
      </c>
    </row>
    <row r="16521" spans="103:104" x14ac:dyDescent="0.3">
      <c r="CY16521" s="34" t="s">
        <v>17448</v>
      </c>
      <c r="CZ16521" s="35">
        <v>2.0891360000000001E-3</v>
      </c>
    </row>
    <row r="16522" spans="103:104" x14ac:dyDescent="0.3">
      <c r="CY16522" s="34" t="s">
        <v>17449</v>
      </c>
      <c r="CZ16522" s="35">
        <v>2.334315652E-3</v>
      </c>
    </row>
    <row r="16523" spans="103:104" x14ac:dyDescent="0.3">
      <c r="CY16523" s="34" t="s">
        <v>17450</v>
      </c>
      <c r="CZ16523" s="35">
        <v>2.4385344000000002E-3</v>
      </c>
    </row>
    <row r="16524" spans="103:104" x14ac:dyDescent="0.3">
      <c r="CY16524" s="34" t="s">
        <v>17451</v>
      </c>
      <c r="CZ16524" s="35">
        <v>2.4385344000000002E-3</v>
      </c>
    </row>
    <row r="16525" spans="103:104" x14ac:dyDescent="0.3">
      <c r="CY16525" s="34" t="s">
        <v>17452</v>
      </c>
      <c r="CZ16525" s="35">
        <v>2.3343164E-3</v>
      </c>
    </row>
    <row r="16526" spans="103:104" x14ac:dyDescent="0.3">
      <c r="CY16526" s="34" t="s">
        <v>17453</v>
      </c>
      <c r="CZ16526" s="35">
        <v>1.4051471999999999E-3</v>
      </c>
    </row>
    <row r="16527" spans="103:104" x14ac:dyDescent="0.3">
      <c r="CY16527" s="34" t="s">
        <v>17454</v>
      </c>
      <c r="CZ16527" s="35">
        <v>1.3383480000000003E-3</v>
      </c>
    </row>
    <row r="16528" spans="103:104" x14ac:dyDescent="0.3">
      <c r="CY16528" s="34" t="s">
        <v>17455</v>
      </c>
      <c r="CZ16528" s="35">
        <v>1.3784796559999997E-3</v>
      </c>
    </row>
    <row r="16529" spans="103:104" x14ac:dyDescent="0.3">
      <c r="CY16529" s="34" t="s">
        <v>17456</v>
      </c>
      <c r="CZ16529" s="35">
        <v>1.3767221600000004E-3</v>
      </c>
    </row>
    <row r="16530" spans="103:104" x14ac:dyDescent="0.3">
      <c r="CY16530" s="34" t="s">
        <v>17457</v>
      </c>
      <c r="CZ16530" s="35">
        <v>1.3842432E-2</v>
      </c>
    </row>
    <row r="16531" spans="103:104" x14ac:dyDescent="0.3">
      <c r="CY16531" s="34" t="s">
        <v>17458</v>
      </c>
      <c r="CZ16531" s="35">
        <v>4.4860247799999996E-2</v>
      </c>
    </row>
    <row r="16532" spans="103:104" x14ac:dyDescent="0.3">
      <c r="CY16532" s="34" t="s">
        <v>17459</v>
      </c>
      <c r="CZ16532" s="35">
        <v>2.3843839999999998E-2</v>
      </c>
    </row>
    <row r="16533" spans="103:104" x14ac:dyDescent="0.3">
      <c r="CY16533" s="34" t="s">
        <v>17460</v>
      </c>
      <c r="CZ16533" s="35">
        <v>2.0604472000000002E-2</v>
      </c>
    </row>
    <row r="16534" spans="103:104" x14ac:dyDescent="0.3">
      <c r="CY16534" s="34" t="s">
        <v>17461</v>
      </c>
      <c r="CZ16534" s="35">
        <v>2.1284239999999999E-2</v>
      </c>
    </row>
    <row r="16535" spans="103:104" x14ac:dyDescent="0.3">
      <c r="CY16535" s="34" t="s">
        <v>17462</v>
      </c>
      <c r="CZ16535" s="35">
        <v>1.5982296E-2</v>
      </c>
    </row>
    <row r="16536" spans="103:104" x14ac:dyDescent="0.3">
      <c r="CY16536" s="34" t="s">
        <v>17463</v>
      </c>
      <c r="CZ16536" s="35">
        <v>9.7702280000000006E-3</v>
      </c>
    </row>
    <row r="16537" spans="103:104" x14ac:dyDescent="0.3">
      <c r="CY16537" s="34" t="s">
        <v>17464</v>
      </c>
      <c r="CZ16537" s="35">
        <v>2.1753188E-2</v>
      </c>
    </row>
    <row r="16538" spans="103:104" x14ac:dyDescent="0.3">
      <c r="CY16538" s="34" t="s">
        <v>17465</v>
      </c>
      <c r="CZ16538" s="35">
        <v>0.33555439999999997</v>
      </c>
    </row>
    <row r="16539" spans="103:104" x14ac:dyDescent="0.3">
      <c r="CY16539" s="34" t="s">
        <v>17466</v>
      </c>
      <c r="CZ16539" s="35">
        <v>0.19239322934000003</v>
      </c>
    </row>
    <row r="16540" spans="103:104" x14ac:dyDescent="0.3">
      <c r="CY16540" s="34" t="s">
        <v>17467</v>
      </c>
      <c r="CZ16540" s="35">
        <v>0.11130318089999999</v>
      </c>
    </row>
    <row r="16541" spans="103:104" x14ac:dyDescent="0.3">
      <c r="CY16541" s="34" t="s">
        <v>17468</v>
      </c>
      <c r="CZ16541" s="35">
        <v>1.4984272E-2</v>
      </c>
    </row>
    <row r="16542" spans="103:104" x14ac:dyDescent="0.3">
      <c r="CY16542" s="34" t="s">
        <v>17469</v>
      </c>
      <c r="CZ16542" s="35">
        <v>1.2404882680000002E-2</v>
      </c>
    </row>
    <row r="16543" spans="103:104" x14ac:dyDescent="0.3">
      <c r="CY16543" s="34" t="s">
        <v>17470</v>
      </c>
      <c r="CZ16543" s="35">
        <v>8.3460999999999987E-3</v>
      </c>
    </row>
    <row r="16544" spans="103:104" x14ac:dyDescent="0.3">
      <c r="CY16544" s="34" t="s">
        <v>17471</v>
      </c>
      <c r="CZ16544" s="35">
        <v>8.6299840000000003E-3</v>
      </c>
    </row>
    <row r="16545" spans="103:104" x14ac:dyDescent="0.3">
      <c r="CY16545" s="34" t="s">
        <v>17472</v>
      </c>
      <c r="CZ16545" s="35">
        <v>1.8526415999999997E-2</v>
      </c>
    </row>
    <row r="16546" spans="103:104" x14ac:dyDescent="0.3">
      <c r="CY16546" s="34" t="s">
        <v>17473</v>
      </c>
      <c r="CZ16546" s="35">
        <v>2.11284206E-2</v>
      </c>
    </row>
    <row r="16547" spans="103:104" x14ac:dyDescent="0.3">
      <c r="CY16547" s="34" t="s">
        <v>17474</v>
      </c>
      <c r="CZ16547" s="35">
        <v>3.7104959999999998E-3</v>
      </c>
    </row>
    <row r="16548" spans="103:104" x14ac:dyDescent="0.3">
      <c r="CY16548" s="34" t="s">
        <v>17475</v>
      </c>
      <c r="CZ16548" s="35">
        <v>5.5658666666666672E-3</v>
      </c>
    </row>
    <row r="16549" spans="103:104" x14ac:dyDescent="0.3">
      <c r="CY16549" s="34" t="s">
        <v>17476</v>
      </c>
      <c r="CZ16549" s="35">
        <v>8.920835299999999E-2</v>
      </c>
    </row>
    <row r="16550" spans="103:104" x14ac:dyDescent="0.3">
      <c r="CY16550" s="34" t="s">
        <v>17477</v>
      </c>
      <c r="CZ16550" s="35">
        <v>1.7187920000000002E-2</v>
      </c>
    </row>
    <row r="16551" spans="103:104" x14ac:dyDescent="0.3">
      <c r="CY16551" s="34" t="s">
        <v>17478</v>
      </c>
      <c r="CZ16551" s="35">
        <v>7.9023678666666666E-2</v>
      </c>
    </row>
    <row r="16552" spans="103:104" x14ac:dyDescent="0.3">
      <c r="CY16552" s="34" t="s">
        <v>17479</v>
      </c>
      <c r="CZ16552" s="35">
        <v>0.23303413599999998</v>
      </c>
    </row>
    <row r="16553" spans="103:104" x14ac:dyDescent="0.3">
      <c r="CY16553" s="34" t="s">
        <v>17480</v>
      </c>
      <c r="CZ16553" s="35">
        <v>0.1835485677666667</v>
      </c>
    </row>
    <row r="16554" spans="103:104" x14ac:dyDescent="0.3">
      <c r="CY16554" s="34" t="s">
        <v>17481</v>
      </c>
      <c r="CZ16554" s="35">
        <v>0.29311975000000001</v>
      </c>
    </row>
    <row r="16555" spans="103:104" x14ac:dyDescent="0.3">
      <c r="CY16555" s="34" t="s">
        <v>17482</v>
      </c>
      <c r="CZ16555" s="35">
        <v>0.34582174999999998</v>
      </c>
    </row>
    <row r="16556" spans="103:104" x14ac:dyDescent="0.3">
      <c r="CY16556" s="34" t="s">
        <v>17483</v>
      </c>
      <c r="CZ16556" s="35">
        <v>0.24402175000000001</v>
      </c>
    </row>
    <row r="16557" spans="103:104" x14ac:dyDescent="0.3">
      <c r="CY16557" s="34" t="s">
        <v>17484</v>
      </c>
      <c r="CZ16557" s="35">
        <v>0.27605875000000002</v>
      </c>
    </row>
    <row r="16558" spans="103:104" x14ac:dyDescent="0.3">
      <c r="CY16558" s="34" t="s">
        <v>17485</v>
      </c>
      <c r="CZ16558" s="35">
        <v>4.6266789999999999E-3</v>
      </c>
    </row>
    <row r="16559" spans="103:104" x14ac:dyDescent="0.3">
      <c r="CY16559" s="34" t="s">
        <v>17486</v>
      </c>
      <c r="CZ16559" s="35">
        <v>7.9632187999999996E-3</v>
      </c>
    </row>
    <row r="16560" spans="103:104" x14ac:dyDescent="0.3">
      <c r="CY16560" s="34" t="s">
        <v>17487</v>
      </c>
      <c r="CZ16560" s="35">
        <v>7.9632187999999996E-3</v>
      </c>
    </row>
    <row r="16561" spans="103:104" x14ac:dyDescent="0.3">
      <c r="CY16561" s="34" t="s">
        <v>17488</v>
      </c>
      <c r="CZ16561" s="35">
        <v>0.34701011599999998</v>
      </c>
    </row>
    <row r="16562" spans="103:104" x14ac:dyDescent="0.3">
      <c r="CY16562" s="34" t="s">
        <v>17489</v>
      </c>
      <c r="CZ16562" s="35">
        <v>3.8375680000000002E-2</v>
      </c>
    </row>
    <row r="16563" spans="103:104" x14ac:dyDescent="0.3">
      <c r="CY16563" s="34" t="s">
        <v>17490</v>
      </c>
      <c r="CZ16563" s="35">
        <v>3.9562556701030933E-2</v>
      </c>
    </row>
    <row r="16564" spans="103:104" x14ac:dyDescent="0.3">
      <c r="CY16564" s="34" t="s">
        <v>17491</v>
      </c>
      <c r="CZ16564" s="35">
        <v>5.9995275796954316E-2</v>
      </c>
    </row>
    <row r="16565" spans="103:104" x14ac:dyDescent="0.3">
      <c r="CY16565" s="34" t="s">
        <v>17492</v>
      </c>
      <c r="CZ16565" s="35">
        <v>2.1601060000000002E-2</v>
      </c>
    </row>
    <row r="16566" spans="103:104" x14ac:dyDescent="0.3">
      <c r="CY16566" s="34" t="s">
        <v>17493</v>
      </c>
      <c r="CZ16566" s="35">
        <v>3.9184062499999998E-2</v>
      </c>
    </row>
    <row r="16567" spans="103:104" x14ac:dyDescent="0.3">
      <c r="CY16567" s="34" t="s">
        <v>17494</v>
      </c>
      <c r="CZ16567" s="35">
        <v>4.1187175000000006E-2</v>
      </c>
    </row>
    <row r="16568" spans="103:104" x14ac:dyDescent="0.3">
      <c r="CY16568" s="34" t="s">
        <v>17495</v>
      </c>
      <c r="CZ16568" s="35">
        <v>3.7249808842105261E-3</v>
      </c>
    </row>
    <row r="16569" spans="103:104" x14ac:dyDescent="0.3">
      <c r="CY16569" s="34" t="s">
        <v>17496</v>
      </c>
      <c r="CZ16569" s="35">
        <v>3.724977E-3</v>
      </c>
    </row>
    <row r="16570" spans="103:104" x14ac:dyDescent="0.3">
      <c r="CY16570" s="34" t="s">
        <v>17497</v>
      </c>
      <c r="CZ16570" s="35">
        <v>6.9461448842105264E-3</v>
      </c>
    </row>
    <row r="16571" spans="103:104" x14ac:dyDescent="0.3">
      <c r="CY16571" s="34" t="s">
        <v>17498</v>
      </c>
      <c r="CZ16571" s="35">
        <v>4.0621488846153851E-3</v>
      </c>
    </row>
    <row r="16572" spans="103:104" x14ac:dyDescent="0.3">
      <c r="CY16572" s="34" t="s">
        <v>17499</v>
      </c>
      <c r="CZ16572" s="35">
        <v>3.3089916E-3</v>
      </c>
    </row>
    <row r="16573" spans="103:104" x14ac:dyDescent="0.3">
      <c r="CY16573" s="34" t="s">
        <v>17500</v>
      </c>
      <c r="CZ16573" s="35">
        <v>8.1897008999999993E-2</v>
      </c>
    </row>
    <row r="16574" spans="103:104" x14ac:dyDescent="0.3">
      <c r="CY16574" s="34" t="s">
        <v>17501</v>
      </c>
      <c r="CZ16574" s="35">
        <v>1.6091980000000002E-2</v>
      </c>
    </row>
    <row r="16575" spans="103:104" x14ac:dyDescent="0.3">
      <c r="CY16575" s="34" t="s">
        <v>17502</v>
      </c>
      <c r="CZ16575" s="35">
        <v>7.6409119999999997E-3</v>
      </c>
    </row>
    <row r="16576" spans="103:104" x14ac:dyDescent="0.3">
      <c r="CY16576" s="34" t="s">
        <v>17503</v>
      </c>
      <c r="CZ16576" s="35">
        <v>8.7111487999999987E-2</v>
      </c>
    </row>
    <row r="16577" spans="103:104" x14ac:dyDescent="0.3">
      <c r="CY16577" s="34" t="s">
        <v>17504</v>
      </c>
      <c r="CZ16577" s="35">
        <v>8.7111487999999987E-2</v>
      </c>
    </row>
    <row r="16578" spans="103:104" x14ac:dyDescent="0.3">
      <c r="CY16578" s="34" t="s">
        <v>17505</v>
      </c>
      <c r="CZ16578" s="35">
        <v>8.7111487999999987E-2</v>
      </c>
    </row>
    <row r="16579" spans="103:104" x14ac:dyDescent="0.3">
      <c r="CY16579" s="34" t="s">
        <v>17506</v>
      </c>
      <c r="CZ16579" s="35">
        <v>8.4176816000000002E-2</v>
      </c>
    </row>
    <row r="16580" spans="103:104" x14ac:dyDescent="0.3">
      <c r="CY16580" s="34" t="s">
        <v>17507</v>
      </c>
      <c r="CZ16580" s="35">
        <v>8.6133263999999987E-2</v>
      </c>
    </row>
    <row r="16581" spans="103:104" x14ac:dyDescent="0.3">
      <c r="CY16581" s="34" t="s">
        <v>17508</v>
      </c>
      <c r="CZ16581" s="35">
        <v>0.29060272000000004</v>
      </c>
    </row>
    <row r="16582" spans="103:104" x14ac:dyDescent="0.3">
      <c r="CY16582" s="34" t="s">
        <v>17509</v>
      </c>
      <c r="CZ16582" s="35">
        <v>0.25641584000000001</v>
      </c>
    </row>
    <row r="16583" spans="103:104" x14ac:dyDescent="0.3">
      <c r="CY16583" s="34" t="s">
        <v>17510</v>
      </c>
      <c r="CZ16583" s="35">
        <v>2.6302943999999998E-2</v>
      </c>
    </row>
    <row r="16584" spans="103:104" x14ac:dyDescent="0.3">
      <c r="CY16584" s="34" t="s">
        <v>17511</v>
      </c>
      <c r="CZ16584" s="35">
        <v>1.34231248E-2</v>
      </c>
    </row>
    <row r="16585" spans="103:104" x14ac:dyDescent="0.3">
      <c r="CY16585" s="34" t="s">
        <v>17512</v>
      </c>
      <c r="CZ16585" s="35">
        <v>1.34231248E-2</v>
      </c>
    </row>
    <row r="16586" spans="103:104" x14ac:dyDescent="0.3">
      <c r="CY16586" s="34" t="s">
        <v>17513</v>
      </c>
      <c r="CZ16586" s="35">
        <v>1.4868762666666667E-2</v>
      </c>
    </row>
    <row r="16587" spans="103:104" x14ac:dyDescent="0.3">
      <c r="CY16587" s="34" t="s">
        <v>17514</v>
      </c>
      <c r="CZ16587" s="35">
        <v>5.1696476000000012E-2</v>
      </c>
    </row>
    <row r="16588" spans="103:104" x14ac:dyDescent="0.3">
      <c r="CY16588" s="34" t="s">
        <v>17515</v>
      </c>
      <c r="CZ16588" s="35">
        <v>3.4262010666666669E-2</v>
      </c>
    </row>
    <row r="16589" spans="103:104" x14ac:dyDescent="0.3">
      <c r="CY16589" s="34" t="s">
        <v>17516</v>
      </c>
      <c r="CZ16589" s="35">
        <v>2.8582088235294119E-3</v>
      </c>
    </row>
    <row r="16590" spans="103:104" x14ac:dyDescent="0.3">
      <c r="CY16590" s="34" t="s">
        <v>17517</v>
      </c>
      <c r="CZ16590" s="35">
        <v>0.27047660000000001</v>
      </c>
    </row>
    <row r="16591" spans="103:104" x14ac:dyDescent="0.3">
      <c r="CY16591" s="34" t="s">
        <v>17518</v>
      </c>
      <c r="CZ16591" s="35">
        <v>4.5028319999999997E-2</v>
      </c>
    </row>
    <row r="16592" spans="103:104" x14ac:dyDescent="0.3">
      <c r="CY16592" s="34" t="s">
        <v>17519</v>
      </c>
      <c r="CZ16592" s="35">
        <v>2.6708099999999999E-2</v>
      </c>
    </row>
    <row r="16593" spans="103:104" x14ac:dyDescent="0.3">
      <c r="CY16593" s="34" t="s">
        <v>17520</v>
      </c>
      <c r="CZ16593" s="35">
        <v>2.400676E-3</v>
      </c>
    </row>
    <row r="16594" spans="103:104" x14ac:dyDescent="0.3">
      <c r="CY16594" s="34" t="s">
        <v>17521</v>
      </c>
      <c r="CZ16594" s="35">
        <v>3.8110499999999999E-2</v>
      </c>
    </row>
    <row r="16595" spans="103:104" x14ac:dyDescent="0.3">
      <c r="CY16595" s="34" t="s">
        <v>17522</v>
      </c>
      <c r="CZ16595" s="35">
        <v>2.6033943999999996E-2</v>
      </c>
    </row>
    <row r="16596" spans="103:104" x14ac:dyDescent="0.3">
      <c r="CY16596" s="34" t="s">
        <v>17523</v>
      </c>
      <c r="CZ16596" s="35">
        <v>2.7833824E-2</v>
      </c>
    </row>
    <row r="16597" spans="103:104" x14ac:dyDescent="0.3">
      <c r="CY16597" s="34" t="s">
        <v>17524</v>
      </c>
      <c r="CZ16597" s="35">
        <v>3.0739204000000003E-2</v>
      </c>
    </row>
    <row r="16598" spans="103:104" x14ac:dyDescent="0.3">
      <c r="CY16598" s="34" t="s">
        <v>17525</v>
      </c>
      <c r="CZ16598" s="35">
        <v>1.9364101000000002E-2</v>
      </c>
    </row>
    <row r="16599" spans="103:104" x14ac:dyDescent="0.3">
      <c r="CY16599" s="34" t="s">
        <v>17526</v>
      </c>
      <c r="CZ16599" s="35">
        <v>3.3161539000000004E-2</v>
      </c>
    </row>
    <row r="16600" spans="103:104" x14ac:dyDescent="0.3">
      <c r="CY16600" s="34" t="s">
        <v>17527</v>
      </c>
      <c r="CZ16600" s="35">
        <v>2.3390614000000001E-2</v>
      </c>
    </row>
    <row r="16601" spans="103:104" x14ac:dyDescent="0.3">
      <c r="CY16601" s="34" t="s">
        <v>17528</v>
      </c>
      <c r="CZ16601" s="35">
        <v>1.6899067E-2</v>
      </c>
    </row>
    <row r="16602" spans="103:104" x14ac:dyDescent="0.3">
      <c r="CY16602" s="34" t="s">
        <v>17529</v>
      </c>
      <c r="CZ16602" s="35">
        <v>2.0980252000000001E-2</v>
      </c>
    </row>
    <row r="16603" spans="103:104" x14ac:dyDescent="0.3">
      <c r="CY16603" s="34" t="s">
        <v>17530</v>
      </c>
      <c r="CZ16603" s="35">
        <v>6.6830495000000004E-2</v>
      </c>
    </row>
    <row r="16604" spans="103:104" x14ac:dyDescent="0.3">
      <c r="CY16604" s="34" t="s">
        <v>17531</v>
      </c>
      <c r="CZ16604" s="35">
        <v>2.0663742933333333E-2</v>
      </c>
    </row>
    <row r="16605" spans="103:104" x14ac:dyDescent="0.3">
      <c r="CY16605" s="34" t="s">
        <v>17532</v>
      </c>
      <c r="CZ16605" s="35">
        <v>1.3444032000000002E-2</v>
      </c>
    </row>
    <row r="16606" spans="103:104" x14ac:dyDescent="0.3">
      <c r="CY16606" s="34" t="s">
        <v>17533</v>
      </c>
      <c r="CZ16606" s="35">
        <v>1.0121416E-3</v>
      </c>
    </row>
    <row r="16607" spans="103:104" x14ac:dyDescent="0.3">
      <c r="CY16607" s="34" t="s">
        <v>17534</v>
      </c>
      <c r="CZ16607" s="35">
        <v>4.7667423333333332E-3</v>
      </c>
    </row>
    <row r="16608" spans="103:104" x14ac:dyDescent="0.3">
      <c r="CY16608" s="34" t="s">
        <v>17535</v>
      </c>
      <c r="CZ16608" s="35">
        <v>2.6458131200000002E-2</v>
      </c>
    </row>
    <row r="16609" spans="103:104" x14ac:dyDescent="0.3">
      <c r="CY16609" s="34" t="s">
        <v>17536</v>
      </c>
      <c r="CZ16609" s="35">
        <v>1.9207983999999997E-3</v>
      </c>
    </row>
    <row r="16610" spans="103:104" x14ac:dyDescent="0.3">
      <c r="CY16610" s="34" t="s">
        <v>17537</v>
      </c>
      <c r="CZ16610" s="35">
        <v>0.12895707499999998</v>
      </c>
    </row>
    <row r="16611" spans="103:104" x14ac:dyDescent="0.3">
      <c r="CY16611" s="34" t="s">
        <v>17538</v>
      </c>
      <c r="CZ16611" s="35">
        <v>7.4994800000000002E-3</v>
      </c>
    </row>
    <row r="16612" spans="103:104" x14ac:dyDescent="0.3">
      <c r="CY16612" s="34" t="s">
        <v>17539</v>
      </c>
      <c r="CZ16612" s="35">
        <v>8.1384559999999988E-3</v>
      </c>
    </row>
    <row r="16613" spans="103:104" x14ac:dyDescent="0.3">
      <c r="CY16613" s="34" t="s">
        <v>17540</v>
      </c>
      <c r="CZ16613" s="35">
        <v>8.9847653333333319E-3</v>
      </c>
    </row>
    <row r="16614" spans="103:104" x14ac:dyDescent="0.3">
      <c r="CY16614" s="34" t="s">
        <v>17541</v>
      </c>
      <c r="CZ16614" s="35">
        <v>9.4639973333333315E-3</v>
      </c>
    </row>
    <row r="16615" spans="103:104" x14ac:dyDescent="0.3">
      <c r="CY16615" s="34" t="s">
        <v>17542</v>
      </c>
      <c r="CZ16615" s="35">
        <v>1.4403893333333334E-2</v>
      </c>
    </row>
    <row r="16616" spans="103:104" x14ac:dyDescent="0.3">
      <c r="CY16616" s="34" t="s">
        <v>17543</v>
      </c>
      <c r="CZ16616" s="35">
        <v>1.0262717333333332E-2</v>
      </c>
    </row>
    <row r="16617" spans="103:104" x14ac:dyDescent="0.3">
      <c r="CY16617" s="34" t="s">
        <v>17544</v>
      </c>
      <c r="CZ16617" s="35">
        <v>1.086736E-2</v>
      </c>
    </row>
    <row r="16618" spans="103:104" x14ac:dyDescent="0.3">
      <c r="CY16618" s="34" t="s">
        <v>17545</v>
      </c>
      <c r="CZ16618" s="35">
        <v>1.8868012E-2</v>
      </c>
    </row>
    <row r="16619" spans="103:104" x14ac:dyDescent="0.3">
      <c r="CY16619" s="34" t="s">
        <v>17546</v>
      </c>
      <c r="CZ16619" s="35">
        <v>2.1721959999999999E-3</v>
      </c>
    </row>
    <row r="16620" spans="103:104" x14ac:dyDescent="0.3">
      <c r="CY16620" s="34" t="s">
        <v>17547</v>
      </c>
      <c r="CZ16620" s="35">
        <v>2.3439000000000003E-3</v>
      </c>
    </row>
    <row r="16621" spans="103:104" x14ac:dyDescent="0.3">
      <c r="CY16621" s="34" t="s">
        <v>17548</v>
      </c>
      <c r="CZ16621" s="35">
        <v>1.8534879999999999E-3</v>
      </c>
    </row>
    <row r="16622" spans="103:104" x14ac:dyDescent="0.3">
      <c r="CY16622" s="34" t="s">
        <v>17549</v>
      </c>
      <c r="CZ16622" s="35">
        <v>2.638456E-3</v>
      </c>
    </row>
    <row r="16623" spans="103:104" x14ac:dyDescent="0.3">
      <c r="CY16623" s="34" t="s">
        <v>17550</v>
      </c>
      <c r="CZ16623" s="35">
        <v>2.8101599999999999E-3</v>
      </c>
    </row>
    <row r="16624" spans="103:104" x14ac:dyDescent="0.3">
      <c r="CY16624" s="34" t="s">
        <v>17551</v>
      </c>
      <c r="CZ16624" s="35">
        <v>2.8929157333333331E-3</v>
      </c>
    </row>
    <row r="16625" spans="103:104" x14ac:dyDescent="0.3">
      <c r="CY16625" s="34" t="s">
        <v>17552</v>
      </c>
      <c r="CZ16625" s="35">
        <v>2.9959381333333336E-3</v>
      </c>
    </row>
    <row r="16626" spans="103:104" x14ac:dyDescent="0.3">
      <c r="CY16626" s="34" t="s">
        <v>17553</v>
      </c>
      <c r="CZ16626" s="35">
        <v>3.26202E-3</v>
      </c>
    </row>
    <row r="16627" spans="103:104" x14ac:dyDescent="0.3">
      <c r="CY16627" s="34" t="s">
        <v>17554</v>
      </c>
      <c r="CZ16627" s="35">
        <v>3.5850314666666669E-3</v>
      </c>
    </row>
    <row r="16628" spans="103:104" x14ac:dyDescent="0.3">
      <c r="CY16628" s="34" t="s">
        <v>17555</v>
      </c>
      <c r="CZ16628" s="35">
        <v>3.7395650666666664E-3</v>
      </c>
    </row>
    <row r="16629" spans="103:104" x14ac:dyDescent="0.3">
      <c r="CY16629" s="34" t="s">
        <v>17556</v>
      </c>
      <c r="CZ16629" s="35">
        <v>4.1228288000000005E-3</v>
      </c>
    </row>
    <row r="16630" spans="103:104" x14ac:dyDescent="0.3">
      <c r="CY16630" s="34" t="s">
        <v>17557</v>
      </c>
      <c r="CZ16630" s="35">
        <v>2.7489863999999999E-2</v>
      </c>
    </row>
    <row r="16631" spans="103:104" x14ac:dyDescent="0.3">
      <c r="CY16631" s="34" t="s">
        <v>17558</v>
      </c>
      <c r="CZ16631" s="35">
        <v>2.7648568000000002E-2</v>
      </c>
    </row>
    <row r="16632" spans="103:104" x14ac:dyDescent="0.3">
      <c r="CY16632" s="34" t="s">
        <v>17559</v>
      </c>
      <c r="CZ16632" s="35">
        <v>2.7807271999999997E-2</v>
      </c>
    </row>
    <row r="16633" spans="103:104" x14ac:dyDescent="0.3">
      <c r="CY16633" s="34" t="s">
        <v>17560</v>
      </c>
      <c r="CZ16633" s="35">
        <v>2.7648568000000002E-2</v>
      </c>
    </row>
    <row r="16634" spans="103:104" x14ac:dyDescent="0.3">
      <c r="CY16634" s="34" t="s">
        <v>17561</v>
      </c>
      <c r="CZ16634" s="35">
        <v>1.9223626666666665E-3</v>
      </c>
    </row>
    <row r="16635" spans="103:104" x14ac:dyDescent="0.3">
      <c r="CY16635" s="34" t="s">
        <v>17562</v>
      </c>
      <c r="CZ16635" s="35">
        <v>4.7986603900000001E-2</v>
      </c>
    </row>
    <row r="16636" spans="103:104" x14ac:dyDescent="0.3">
      <c r="CY16636" s="34" t="s">
        <v>17563</v>
      </c>
      <c r="CZ16636" s="35">
        <v>4.85966039E-2</v>
      </c>
    </row>
    <row r="16637" spans="103:104" x14ac:dyDescent="0.3">
      <c r="CY16637" s="34" t="s">
        <v>17564</v>
      </c>
      <c r="CZ16637" s="35">
        <v>3.2168053333399998E-3</v>
      </c>
    </row>
    <row r="16638" spans="103:104" x14ac:dyDescent="0.3">
      <c r="CY16638" s="34" t="s">
        <v>17565</v>
      </c>
      <c r="CZ16638" s="35">
        <v>0.36032597599999999</v>
      </c>
    </row>
    <row r="16639" spans="103:104" x14ac:dyDescent="0.3">
      <c r="CY16639" s="34" t="s">
        <v>17566</v>
      </c>
      <c r="CZ16639" s="35">
        <v>0.23415166670000001</v>
      </c>
    </row>
    <row r="16640" spans="103:104" x14ac:dyDescent="0.3">
      <c r="CY16640" s="34" t="s">
        <v>17567</v>
      </c>
      <c r="CZ16640" s="35">
        <v>2.4006277777777779E-2</v>
      </c>
    </row>
    <row r="16641" spans="103:104" x14ac:dyDescent="0.3">
      <c r="CY16641" s="34" t="s">
        <v>17568</v>
      </c>
      <c r="CZ16641" s="35">
        <v>9.1179680000000015E-4</v>
      </c>
    </row>
    <row r="16642" spans="103:104" x14ac:dyDescent="0.3">
      <c r="CY16642" s="34" t="s">
        <v>17569</v>
      </c>
      <c r="CZ16642" s="35">
        <v>0.16833762933333335</v>
      </c>
    </row>
    <row r="16643" spans="103:104" x14ac:dyDescent="0.3">
      <c r="CY16643" s="34" t="s">
        <v>17570</v>
      </c>
      <c r="CZ16643" s="35">
        <v>5.6593553333333336E-3</v>
      </c>
    </row>
    <row r="16644" spans="103:104" x14ac:dyDescent="0.3">
      <c r="CY16644" s="34" t="s">
        <v>17571</v>
      </c>
      <c r="CZ16644" s="35">
        <v>2.3685943999999997E-2</v>
      </c>
    </row>
    <row r="16645" spans="103:104" x14ac:dyDescent="0.3">
      <c r="CY16645" s="34" t="s">
        <v>17572</v>
      </c>
      <c r="CZ16645" s="35">
        <v>3.3599474285714291E-3</v>
      </c>
    </row>
    <row r="16646" spans="103:104" x14ac:dyDescent="0.3">
      <c r="CY16646" s="34" t="s">
        <v>17573</v>
      </c>
      <c r="CZ16646" s="35">
        <v>4.9205771428571431E-2</v>
      </c>
    </row>
    <row r="16647" spans="103:104" x14ac:dyDescent="0.3">
      <c r="CY16647" s="34" t="s">
        <v>17574</v>
      </c>
      <c r="CZ16647" s="35">
        <v>2.8841494666666665E-2</v>
      </c>
    </row>
    <row r="16648" spans="103:104" x14ac:dyDescent="0.3">
      <c r="CY16648" s="34" t="s">
        <v>17575</v>
      </c>
      <c r="CZ16648" s="35">
        <v>9.6014983529411763E-3</v>
      </c>
    </row>
    <row r="16649" spans="103:104" x14ac:dyDescent="0.3">
      <c r="CY16649" s="34" t="s">
        <v>17576</v>
      </c>
      <c r="CZ16649" s="35">
        <v>4.2686074352941174E-2</v>
      </c>
    </row>
    <row r="16650" spans="103:104" x14ac:dyDescent="0.3">
      <c r="CY16650" s="34" t="s">
        <v>17577</v>
      </c>
      <c r="CZ16650" s="35">
        <v>2.3989860000000002E-2</v>
      </c>
    </row>
    <row r="16651" spans="103:104" x14ac:dyDescent="0.3">
      <c r="CY16651" s="34" t="s">
        <v>17578</v>
      </c>
      <c r="CZ16651" s="35">
        <v>1.7703853333333335E-2</v>
      </c>
    </row>
    <row r="16652" spans="103:104" x14ac:dyDescent="0.3">
      <c r="CY16652" s="34" t="s">
        <v>17579</v>
      </c>
      <c r="CZ16652" s="35">
        <v>8.178313999999999E-3</v>
      </c>
    </row>
    <row r="16653" spans="103:104" x14ac:dyDescent="0.3">
      <c r="CY16653" s="34" t="s">
        <v>17580</v>
      </c>
      <c r="CZ16653" s="35">
        <v>8.1783140000000008E-3</v>
      </c>
    </row>
    <row r="16654" spans="103:104" x14ac:dyDescent="0.3">
      <c r="CY16654" s="34" t="s">
        <v>17581</v>
      </c>
      <c r="CZ16654" s="35">
        <v>9.2612790000000007E-3</v>
      </c>
    </row>
    <row r="16655" spans="103:104" x14ac:dyDescent="0.3">
      <c r="CY16655" s="34" t="s">
        <v>17582</v>
      </c>
      <c r="CZ16655" s="35">
        <v>2.4542817999999997E-2</v>
      </c>
    </row>
    <row r="16656" spans="103:104" x14ac:dyDescent="0.3">
      <c r="CY16656" s="34" t="s">
        <v>17583</v>
      </c>
      <c r="CZ16656" s="35">
        <v>4.2237664000000001E-2</v>
      </c>
    </row>
    <row r="16657" spans="103:104" x14ac:dyDescent="0.3">
      <c r="CY16657" s="34" t="s">
        <v>17584</v>
      </c>
      <c r="CZ16657" s="35">
        <v>3.2265355428571429E-3</v>
      </c>
    </row>
    <row r="16658" spans="103:104" x14ac:dyDescent="0.3">
      <c r="CY16658" s="34" t="s">
        <v>17585</v>
      </c>
      <c r="CZ16658" s="35">
        <v>1.3753466666666667E-3</v>
      </c>
    </row>
    <row r="16659" spans="103:104" x14ac:dyDescent="0.3">
      <c r="CY16659" s="34" t="s">
        <v>17586</v>
      </c>
      <c r="CZ16659" s="35">
        <v>1.3753466666666667E-3</v>
      </c>
    </row>
    <row r="16660" spans="103:104" x14ac:dyDescent="0.3">
      <c r="CY16660" s="34" t="s">
        <v>17587</v>
      </c>
      <c r="CZ16660" s="35">
        <v>1.9576815999999999E-3</v>
      </c>
    </row>
    <row r="16661" spans="103:104" x14ac:dyDescent="0.3">
      <c r="CY16661" s="34" t="s">
        <v>17588</v>
      </c>
      <c r="CZ16661" s="35">
        <v>3.8097652000000002E-3</v>
      </c>
    </row>
    <row r="16662" spans="103:104" x14ac:dyDescent="0.3">
      <c r="CY16662" s="34" t="s">
        <v>17589</v>
      </c>
      <c r="CZ16662" s="35">
        <v>3.2103413333333334E-3</v>
      </c>
    </row>
    <row r="16663" spans="103:104" x14ac:dyDescent="0.3">
      <c r="CY16663" s="34" t="s">
        <v>17590</v>
      </c>
      <c r="CZ16663" s="35">
        <v>3.7956533333333331E-3</v>
      </c>
    </row>
    <row r="16664" spans="103:104" x14ac:dyDescent="0.3">
      <c r="CY16664" s="34" t="s">
        <v>17591</v>
      </c>
      <c r="CZ16664" s="35">
        <v>1.8083829714285716E-3</v>
      </c>
    </row>
    <row r="16665" spans="103:104" x14ac:dyDescent="0.3">
      <c r="CY16665" s="34" t="s">
        <v>17592</v>
      </c>
      <c r="CZ16665" s="35">
        <v>9.5374799999999992E-4</v>
      </c>
    </row>
    <row r="16666" spans="103:104" x14ac:dyDescent="0.3">
      <c r="CY16666" s="34" t="s">
        <v>17593</v>
      </c>
      <c r="CZ16666" s="35">
        <v>7.2295588571428572E-3</v>
      </c>
    </row>
    <row r="16667" spans="103:104" x14ac:dyDescent="0.3">
      <c r="CY16667" s="34" t="s">
        <v>17594</v>
      </c>
      <c r="CZ16667" s="35">
        <v>2.2998516363636362E-3</v>
      </c>
    </row>
    <row r="16668" spans="103:104" x14ac:dyDescent="0.3">
      <c r="CY16668" s="34" t="s">
        <v>17595</v>
      </c>
      <c r="CZ16668" s="35">
        <v>1.2427531636363636E-2</v>
      </c>
    </row>
    <row r="16669" spans="103:104" x14ac:dyDescent="0.3">
      <c r="CY16669" s="34" t="s">
        <v>17596</v>
      </c>
      <c r="CZ16669" s="35">
        <v>2.6351275999999999E-3</v>
      </c>
    </row>
    <row r="16670" spans="103:104" x14ac:dyDescent="0.3">
      <c r="CY16670" s="34" t="s">
        <v>17597</v>
      </c>
      <c r="CZ16670" s="35">
        <v>4.008658E-3</v>
      </c>
    </row>
    <row r="16671" spans="103:104" x14ac:dyDescent="0.3">
      <c r="CY16671" s="34" t="s">
        <v>17598</v>
      </c>
      <c r="CZ16671" s="35">
        <v>2.4186015999999998E-2</v>
      </c>
    </row>
    <row r="16672" spans="103:104" x14ac:dyDescent="0.3">
      <c r="CY16672" s="34" t="s">
        <v>17599</v>
      </c>
      <c r="CZ16672" s="35">
        <v>0.10669217999999998</v>
      </c>
    </row>
    <row r="16673" spans="103:104" x14ac:dyDescent="0.3">
      <c r="CY16673" s="34" t="s">
        <v>17600</v>
      </c>
      <c r="CZ16673" s="35">
        <v>2.0287191999999996E-3</v>
      </c>
    </row>
    <row r="16674" spans="103:104" x14ac:dyDescent="0.3">
      <c r="CY16674" s="34" t="s">
        <v>17601</v>
      </c>
      <c r="CZ16674" s="35">
        <v>3.0424271058823529E-2</v>
      </c>
    </row>
    <row r="16675" spans="103:104" x14ac:dyDescent="0.3">
      <c r="CY16675" s="34" t="s">
        <v>17602</v>
      </c>
      <c r="CZ16675" s="35">
        <v>6.5387637647058823E-3</v>
      </c>
    </row>
    <row r="16676" spans="103:104" x14ac:dyDescent="0.3">
      <c r="CY16676" s="34" t="s">
        <v>17603</v>
      </c>
      <c r="CZ16676" s="35">
        <v>1.3268931000000003E-2</v>
      </c>
    </row>
    <row r="16677" spans="103:104" x14ac:dyDescent="0.3">
      <c r="CY16677" s="34" t="s">
        <v>17604</v>
      </c>
      <c r="CZ16677" s="35">
        <v>4.4087752000000003E-3</v>
      </c>
    </row>
    <row r="16678" spans="103:104" x14ac:dyDescent="0.3">
      <c r="CY16678" s="34" t="s">
        <v>17605</v>
      </c>
      <c r="CZ16678" s="35">
        <v>2.8377773333333337E-3</v>
      </c>
    </row>
    <row r="16679" spans="103:104" x14ac:dyDescent="0.3">
      <c r="CY16679" s="34" t="s">
        <v>17606</v>
      </c>
      <c r="CZ16679" s="35">
        <v>3.6584103999999992E-2</v>
      </c>
    </row>
    <row r="16680" spans="103:104" x14ac:dyDescent="0.3">
      <c r="CY16680" s="34" t="s">
        <v>17607</v>
      </c>
      <c r="CZ16680" s="35">
        <v>3.6584103999999999E-2</v>
      </c>
    </row>
    <row r="16681" spans="103:104" x14ac:dyDescent="0.3">
      <c r="CY16681" s="34" t="s">
        <v>17608</v>
      </c>
      <c r="CZ16681" s="35">
        <v>2.4008607999999997E-3</v>
      </c>
    </row>
    <row r="16682" spans="103:104" x14ac:dyDescent="0.3">
      <c r="CY16682" s="34" t="s">
        <v>17609</v>
      </c>
      <c r="CZ16682" s="35">
        <v>0.15033124266666667</v>
      </c>
    </row>
    <row r="16683" spans="103:104" x14ac:dyDescent="0.3">
      <c r="CY16683" s="34" t="s">
        <v>17610</v>
      </c>
      <c r="CZ16683" s="35">
        <v>0.43461042000000005</v>
      </c>
    </row>
    <row r="16684" spans="103:104" x14ac:dyDescent="0.3">
      <c r="CY16684" s="34" t="s">
        <v>17611</v>
      </c>
      <c r="CZ16684" s="35">
        <v>3.1337643319999997E-2</v>
      </c>
    </row>
    <row r="16685" spans="103:104" x14ac:dyDescent="0.3">
      <c r="CY16685" s="34" t="s">
        <v>17612</v>
      </c>
      <c r="CZ16685" s="35">
        <v>1.7620254999999998E-2</v>
      </c>
    </row>
    <row r="16686" spans="103:104" x14ac:dyDescent="0.3">
      <c r="CY16686" s="34" t="s">
        <v>17613</v>
      </c>
      <c r="CZ16686" s="35">
        <v>0.11155505371428573</v>
      </c>
    </row>
    <row r="16687" spans="103:104" x14ac:dyDescent="0.3">
      <c r="CY16687" s="34" t="s">
        <v>17614</v>
      </c>
      <c r="CZ16687" s="35">
        <v>0.27321122399999997</v>
      </c>
    </row>
    <row r="16688" spans="103:104" x14ac:dyDescent="0.3">
      <c r="CY16688" s="34" t="s">
        <v>17615</v>
      </c>
      <c r="CZ16688" s="35">
        <v>0.61605273599999988</v>
      </c>
    </row>
    <row r="16689" spans="103:104" x14ac:dyDescent="0.3">
      <c r="CY16689" s="34" t="s">
        <v>17616</v>
      </c>
      <c r="CZ16689" s="35">
        <v>2.7904161943319842E-4</v>
      </c>
    </row>
    <row r="16690" spans="103:104" x14ac:dyDescent="0.3">
      <c r="CY16690" s="34" t="s">
        <v>17617</v>
      </c>
      <c r="CZ16690" s="35">
        <v>1.1083139999999998E-2</v>
      </c>
    </row>
    <row r="16691" spans="103:104" x14ac:dyDescent="0.3">
      <c r="CY16691" s="34" t="s">
        <v>17618</v>
      </c>
      <c r="CZ16691" s="35">
        <v>6.0741249999999997E-3</v>
      </c>
    </row>
    <row r="16692" spans="103:104" x14ac:dyDescent="0.3">
      <c r="CY16692" s="34" t="s">
        <v>17619</v>
      </c>
      <c r="CZ16692" s="35">
        <v>5.1165240000000008E-3</v>
      </c>
    </row>
    <row r="16693" spans="103:104" x14ac:dyDescent="0.3">
      <c r="CY16693" s="34" t="s">
        <v>17620</v>
      </c>
      <c r="CZ16693" s="35">
        <v>5.8177000000000003E-3</v>
      </c>
    </row>
    <row r="16694" spans="103:104" x14ac:dyDescent="0.3">
      <c r="CY16694" s="34" t="s">
        <v>17621</v>
      </c>
      <c r="CZ16694" s="35">
        <v>7.383092E-3</v>
      </c>
    </row>
    <row r="16695" spans="103:104" x14ac:dyDescent="0.3">
      <c r="CY16695" s="34" t="s">
        <v>17622</v>
      </c>
      <c r="CZ16695" s="35">
        <v>0.14393036924999997</v>
      </c>
    </row>
    <row r="16696" spans="103:104" x14ac:dyDescent="0.3">
      <c r="CY16696" s="34" t="s">
        <v>17623</v>
      </c>
      <c r="CZ16696" s="35">
        <v>1.7454162461538461E-3</v>
      </c>
    </row>
    <row r="16697" spans="103:104" x14ac:dyDescent="0.3">
      <c r="CY16697" s="34" t="s">
        <v>17624</v>
      </c>
      <c r="CZ16697" s="35">
        <v>2.0315796000000001E-2</v>
      </c>
    </row>
    <row r="16698" spans="103:104" x14ac:dyDescent="0.3">
      <c r="CY16698" s="34" t="s">
        <v>17625</v>
      </c>
      <c r="CZ16698" s="35">
        <v>1.1379365333333334E-2</v>
      </c>
    </row>
    <row r="16699" spans="103:104" x14ac:dyDescent="0.3">
      <c r="CY16699" s="34" t="s">
        <v>17626</v>
      </c>
      <c r="CZ16699" s="35">
        <v>1.758624E-2</v>
      </c>
    </row>
    <row r="16700" spans="103:104" x14ac:dyDescent="0.3">
      <c r="CY16700" s="34" t="s">
        <v>17627</v>
      </c>
      <c r="CZ16700" s="35">
        <v>1.0804012E-2</v>
      </c>
    </row>
    <row r="16701" spans="103:104" x14ac:dyDescent="0.3">
      <c r="CY16701" s="34" t="s">
        <v>17628</v>
      </c>
      <c r="CZ16701" s="35">
        <v>1.4975376000000002E-2</v>
      </c>
    </row>
    <row r="16702" spans="103:104" x14ac:dyDescent="0.3">
      <c r="CY16702" s="34" t="s">
        <v>17629</v>
      </c>
      <c r="CZ16702" s="35">
        <v>9.8043920000000003E-3</v>
      </c>
    </row>
    <row r="16703" spans="103:104" x14ac:dyDescent="0.3">
      <c r="CY16703" s="34" t="s">
        <v>17630</v>
      </c>
      <c r="CZ16703" s="35">
        <v>1.8326883999999995E-2</v>
      </c>
    </row>
    <row r="16704" spans="103:104" x14ac:dyDescent="0.3">
      <c r="CY16704" s="34" t="s">
        <v>17631</v>
      </c>
      <c r="CZ16704" s="35">
        <v>1.8091674399999997E-3</v>
      </c>
    </row>
    <row r="16705" spans="103:104" x14ac:dyDescent="0.3">
      <c r="CY16705" s="34" t="s">
        <v>17632</v>
      </c>
      <c r="CZ16705" s="35">
        <v>1.6001306269999998E-2</v>
      </c>
    </row>
    <row r="16706" spans="103:104" x14ac:dyDescent="0.3">
      <c r="CY16706" s="34" t="s">
        <v>17633</v>
      </c>
      <c r="CZ16706" s="35">
        <v>1.4847467E-2</v>
      </c>
    </row>
    <row r="16707" spans="103:104" x14ac:dyDescent="0.3">
      <c r="CY16707" s="34" t="s">
        <v>17634</v>
      </c>
      <c r="CZ16707" s="35">
        <v>8.8638731999999998E-2</v>
      </c>
    </row>
    <row r="16708" spans="103:104" x14ac:dyDescent="0.3">
      <c r="CY16708" s="34" t="s">
        <v>17635</v>
      </c>
      <c r="CZ16708" s="35">
        <v>8.8638731999999998E-2</v>
      </c>
    </row>
    <row r="16709" spans="103:104" x14ac:dyDescent="0.3">
      <c r="CY16709" s="34" t="s">
        <v>17636</v>
      </c>
      <c r="CZ16709" s="35">
        <v>0.50913624000000002</v>
      </c>
    </row>
    <row r="16710" spans="103:104" x14ac:dyDescent="0.3">
      <c r="CY16710" s="34" t="s">
        <v>17637</v>
      </c>
      <c r="CZ16710" s="35">
        <v>1.3835742000000002E-2</v>
      </c>
    </row>
    <row r="16711" spans="103:104" x14ac:dyDescent="0.3">
      <c r="CY16711" s="34" t="s">
        <v>17638</v>
      </c>
      <c r="CZ16711" s="35">
        <v>2.0852660000000002E-2</v>
      </c>
    </row>
    <row r="16712" spans="103:104" x14ac:dyDescent="0.3">
      <c r="CY16712" s="34" t="s">
        <v>17639</v>
      </c>
      <c r="CZ16712" s="35">
        <v>2.0852660000000002E-2</v>
      </c>
    </row>
    <row r="16713" spans="103:104" x14ac:dyDescent="0.3">
      <c r="CY16713" s="34" t="s">
        <v>17640</v>
      </c>
      <c r="CZ16713" s="35">
        <v>2.1053816E-2</v>
      </c>
    </row>
    <row r="16714" spans="103:104" x14ac:dyDescent="0.3">
      <c r="CY16714" s="34" t="s">
        <v>17641</v>
      </c>
      <c r="CZ16714" s="35">
        <v>4.1513040000000008E-2</v>
      </c>
    </row>
    <row r="16715" spans="103:104" x14ac:dyDescent="0.3">
      <c r="CY16715" s="34" t="s">
        <v>17642</v>
      </c>
      <c r="CZ16715" s="35">
        <v>4.1513040000000008E-2</v>
      </c>
    </row>
    <row r="16716" spans="103:104" x14ac:dyDescent="0.3">
      <c r="CY16716" s="34" t="s">
        <v>17643</v>
      </c>
      <c r="CZ16716" s="35">
        <v>0.35263626799999997</v>
      </c>
    </row>
    <row r="16717" spans="103:104" x14ac:dyDescent="0.3">
      <c r="CY16717" s="34" t="s">
        <v>17644</v>
      </c>
      <c r="CZ16717" s="35">
        <v>3.5759047999999998E-3</v>
      </c>
    </row>
    <row r="16718" spans="103:104" x14ac:dyDescent="0.3">
      <c r="CY16718" s="34" t="s">
        <v>17645</v>
      </c>
      <c r="CZ16718" s="35">
        <v>1.1983144000000001E-2</v>
      </c>
    </row>
    <row r="16719" spans="103:104" x14ac:dyDescent="0.3">
      <c r="CY16719" s="34" t="s">
        <v>17646</v>
      </c>
      <c r="CZ16719" s="35">
        <v>1.9759591999999999E-2</v>
      </c>
    </row>
    <row r="16720" spans="103:104" x14ac:dyDescent="0.3">
      <c r="CY16720" s="34" t="s">
        <v>17647</v>
      </c>
      <c r="CZ16720" s="35">
        <v>0.12573617777777776</v>
      </c>
    </row>
    <row r="16721" spans="103:104" x14ac:dyDescent="0.3">
      <c r="CY16721" s="34" t="s">
        <v>17648</v>
      </c>
      <c r="CZ16721" s="35">
        <v>6.4999031578947389E-2</v>
      </c>
    </row>
    <row r="16722" spans="103:104" x14ac:dyDescent="0.3">
      <c r="CY16722" s="34" t="s">
        <v>17649</v>
      </c>
      <c r="CZ16722" s="35">
        <v>9.7032000000000007E-2</v>
      </c>
    </row>
    <row r="16723" spans="103:104" x14ac:dyDescent="0.3">
      <c r="CY16723" s="34" t="s">
        <v>17650</v>
      </c>
      <c r="CZ16723" s="35">
        <v>9.8743840000000013E-2</v>
      </c>
    </row>
    <row r="16724" spans="103:104" x14ac:dyDescent="0.3">
      <c r="CY16724" s="34" t="s">
        <v>17651</v>
      </c>
      <c r="CZ16724" s="35">
        <v>1.3550400571249999</v>
      </c>
    </row>
    <row r="16725" spans="103:104" x14ac:dyDescent="0.3">
      <c r="CY16725" s="34" t="s">
        <v>17652</v>
      </c>
      <c r="CZ16725" s="35">
        <v>3.4319816E-3</v>
      </c>
    </row>
    <row r="16726" spans="103:104" x14ac:dyDescent="0.3">
      <c r="CY16726" s="34" t="s">
        <v>17653</v>
      </c>
      <c r="CZ16726" s="35">
        <v>3.1999951999999998E-2</v>
      </c>
    </row>
    <row r="16727" spans="103:104" x14ac:dyDescent="0.3">
      <c r="CY16727" s="34" t="s">
        <v>17654</v>
      </c>
      <c r="CZ16727" s="35">
        <v>0.30358920799999994</v>
      </c>
    </row>
    <row r="16728" spans="103:104" x14ac:dyDescent="0.3">
      <c r="CY16728" s="34" t="s">
        <v>17655</v>
      </c>
      <c r="CZ16728" s="35">
        <v>6.6827384000000004E-2</v>
      </c>
    </row>
    <row r="16729" spans="103:104" x14ac:dyDescent="0.3">
      <c r="CY16729" s="34" t="s">
        <v>17656</v>
      </c>
      <c r="CZ16729" s="35">
        <v>5.7259332000000003E-2</v>
      </c>
    </row>
    <row r="16730" spans="103:104" x14ac:dyDescent="0.3">
      <c r="CY16730" s="34" t="s">
        <v>17657</v>
      </c>
      <c r="CZ16730" s="35">
        <v>6.0789612E-2</v>
      </c>
    </row>
    <row r="16731" spans="103:104" x14ac:dyDescent="0.3">
      <c r="CY16731" s="34" t="s">
        <v>17658</v>
      </c>
      <c r="CZ16731" s="35">
        <v>2.5969216E-2</v>
      </c>
    </row>
    <row r="16732" spans="103:104" x14ac:dyDescent="0.3">
      <c r="CY16732" s="34" t="s">
        <v>17659</v>
      </c>
      <c r="CZ16732" s="35">
        <v>8.6369919999999996E-3</v>
      </c>
    </row>
    <row r="16733" spans="103:104" x14ac:dyDescent="0.3">
      <c r="CY16733" s="34" t="s">
        <v>17660</v>
      </c>
      <c r="CZ16733" s="35">
        <v>1.1617672000000001E-2</v>
      </c>
    </row>
    <row r="16734" spans="103:104" x14ac:dyDescent="0.3">
      <c r="CY16734" s="34" t="s">
        <v>17661</v>
      </c>
      <c r="CZ16734" s="35">
        <v>5.9400000000000002E-4</v>
      </c>
    </row>
    <row r="16735" spans="103:104" x14ac:dyDescent="0.3">
      <c r="CY16735" s="34" t="s">
        <v>17662</v>
      </c>
      <c r="CZ16735" s="35">
        <v>5.9400000000000002E-4</v>
      </c>
    </row>
    <row r="16736" spans="103:104" x14ac:dyDescent="0.3">
      <c r="CY16736" s="34" t="s">
        <v>17663</v>
      </c>
      <c r="CZ16736" s="35">
        <v>1.8552000000000002E-3</v>
      </c>
    </row>
    <row r="16737" spans="103:104" x14ac:dyDescent="0.3">
      <c r="CY16737" s="34" t="s">
        <v>17664</v>
      </c>
      <c r="CZ16737" s="35">
        <v>5.9400000000000002E-4</v>
      </c>
    </row>
    <row r="16738" spans="103:104" x14ac:dyDescent="0.3">
      <c r="CY16738" s="34" t="s">
        <v>17665</v>
      </c>
      <c r="CZ16738" s="35">
        <v>4.1089967999999998E-2</v>
      </c>
    </row>
    <row r="16739" spans="103:104" x14ac:dyDescent="0.3">
      <c r="CY16739" s="34" t="s">
        <v>17666</v>
      </c>
      <c r="CZ16739" s="35">
        <v>7.4771268235294106E-4</v>
      </c>
    </row>
    <row r="16740" spans="103:104" x14ac:dyDescent="0.3">
      <c r="CY16740" s="34" t="s">
        <v>17667</v>
      </c>
      <c r="CZ16740" s="35">
        <v>1.4829374635294118E-3</v>
      </c>
    </row>
    <row r="16741" spans="103:104" x14ac:dyDescent="0.3">
      <c r="CY16741" s="34" t="s">
        <v>17668</v>
      </c>
      <c r="CZ16741" s="35">
        <v>4.3254359999999999E-2</v>
      </c>
    </row>
    <row r="16742" spans="103:104" x14ac:dyDescent="0.3">
      <c r="CY16742" s="34" t="s">
        <v>17669</v>
      </c>
      <c r="CZ16742" s="35">
        <v>4.6449711999999997E-2</v>
      </c>
    </row>
    <row r="16743" spans="103:104" x14ac:dyDescent="0.3">
      <c r="CY16743" s="34" t="s">
        <v>17670</v>
      </c>
      <c r="CZ16743" s="35">
        <v>3.0301857142857144E-2</v>
      </c>
    </row>
    <row r="16744" spans="103:104" x14ac:dyDescent="0.3">
      <c r="CY16744" s="34" t="s">
        <v>17671</v>
      </c>
      <c r="CZ16744" s="35">
        <v>0.16788795199999998</v>
      </c>
    </row>
    <row r="16745" spans="103:104" x14ac:dyDescent="0.3">
      <c r="CY16745" s="34" t="s">
        <v>17672</v>
      </c>
      <c r="CZ16745" s="35">
        <v>0.14078698399999998</v>
      </c>
    </row>
    <row r="16746" spans="103:104" x14ac:dyDescent="0.3">
      <c r="CY16746" s="34" t="s">
        <v>17673</v>
      </c>
      <c r="CZ16746" s="35">
        <v>7.0428160000000004E-2</v>
      </c>
    </row>
    <row r="16747" spans="103:104" x14ac:dyDescent="0.3">
      <c r="CY16747" s="34" t="s">
        <v>17674</v>
      </c>
      <c r="CZ16747" s="35">
        <v>0.13065535999999997</v>
      </c>
    </row>
    <row r="16748" spans="103:104" x14ac:dyDescent="0.3">
      <c r="CY16748" s="34" t="s">
        <v>17675</v>
      </c>
      <c r="CZ16748" s="35">
        <v>0.10687904000000001</v>
      </c>
    </row>
    <row r="16749" spans="103:104" x14ac:dyDescent="0.3">
      <c r="CY16749" s="34" t="s">
        <v>17676</v>
      </c>
      <c r="CZ16749" s="35">
        <v>1.2034948533333333E-2</v>
      </c>
    </row>
    <row r="16750" spans="103:104" x14ac:dyDescent="0.3">
      <c r="CY16750" s="34" t="s">
        <v>17677</v>
      </c>
      <c r="CZ16750" s="35">
        <v>2.6337231999999999E-2</v>
      </c>
    </row>
    <row r="16751" spans="103:104" x14ac:dyDescent="0.3">
      <c r="CY16751" s="34" t="s">
        <v>17678</v>
      </c>
      <c r="CZ16751" s="35">
        <v>3.4201090000000002E-3</v>
      </c>
    </row>
    <row r="16752" spans="103:104" x14ac:dyDescent="0.3">
      <c r="CY16752" s="34" t="s">
        <v>17679</v>
      </c>
      <c r="CZ16752" s="35">
        <v>7.0985349999999996E-3</v>
      </c>
    </row>
    <row r="16753" spans="103:104" x14ac:dyDescent="0.3">
      <c r="CY16753" s="34" t="s">
        <v>17680</v>
      </c>
      <c r="CZ16753" s="35">
        <v>0.38069633333750003</v>
      </c>
    </row>
    <row r="16754" spans="103:104" x14ac:dyDescent="0.3">
      <c r="CY16754" s="34" t="s">
        <v>17681</v>
      </c>
      <c r="CZ16754" s="35">
        <v>0.39822625000000006</v>
      </c>
    </row>
    <row r="16755" spans="103:104" x14ac:dyDescent="0.3">
      <c r="CY16755" s="34" t="s">
        <v>17682</v>
      </c>
      <c r="CZ16755" s="35">
        <v>0.49508124999999997</v>
      </c>
    </row>
    <row r="16756" spans="103:104" x14ac:dyDescent="0.3">
      <c r="CY16756" s="34" t="s">
        <v>17683</v>
      </c>
      <c r="CZ16756" s="35">
        <v>3.45344E-2</v>
      </c>
    </row>
    <row r="16757" spans="103:104" x14ac:dyDescent="0.3">
      <c r="CY16757" s="34" t="s">
        <v>17684</v>
      </c>
      <c r="CZ16757" s="35">
        <v>6.6799352166700007E-2</v>
      </c>
    </row>
    <row r="16758" spans="103:104" x14ac:dyDescent="0.3">
      <c r="CY16758" s="34" t="s">
        <v>17685</v>
      </c>
      <c r="CZ16758" s="35">
        <v>3.6056666666666667E-3</v>
      </c>
    </row>
    <row r="16759" spans="103:104" x14ac:dyDescent="0.3">
      <c r="CY16759" s="34" t="s">
        <v>17686</v>
      </c>
      <c r="CZ16759" s="35">
        <v>5.4041733333333331E-3</v>
      </c>
    </row>
    <row r="16760" spans="103:104" x14ac:dyDescent="0.3">
      <c r="CY16760" s="34" t="s">
        <v>17687</v>
      </c>
      <c r="CZ16760" s="35">
        <v>4.1092000000000004E-3</v>
      </c>
    </row>
    <row r="16761" spans="103:104" x14ac:dyDescent="0.3">
      <c r="CY16761" s="34" t="s">
        <v>17688</v>
      </c>
      <c r="CZ16761" s="35">
        <v>3.0994776000000002E-2</v>
      </c>
    </row>
    <row r="16762" spans="103:104" x14ac:dyDescent="0.3">
      <c r="CY16762" s="34" t="s">
        <v>17689</v>
      </c>
      <c r="CZ16762" s="35">
        <v>4.5299290150000004E-2</v>
      </c>
    </row>
    <row r="16763" spans="103:104" x14ac:dyDescent="0.3">
      <c r="CY16763" s="34" t="s">
        <v>17690</v>
      </c>
      <c r="CZ16763" s="35">
        <v>2.1141519999999997E-2</v>
      </c>
    </row>
    <row r="16764" spans="103:104" x14ac:dyDescent="0.3">
      <c r="CY16764" s="34" t="s">
        <v>17691</v>
      </c>
      <c r="CZ16764" s="35">
        <v>2.4354946666666666E-3</v>
      </c>
    </row>
    <row r="16765" spans="103:104" x14ac:dyDescent="0.3">
      <c r="CY16765" s="34" t="s">
        <v>17692</v>
      </c>
      <c r="CZ16765" s="35">
        <v>4.5558450000000002E-3</v>
      </c>
    </row>
    <row r="16766" spans="103:104" x14ac:dyDescent="0.3">
      <c r="CY16766" s="34" t="s">
        <v>17693</v>
      </c>
      <c r="CZ16766" s="35">
        <v>3.1428546666666668E-3</v>
      </c>
    </row>
    <row r="16767" spans="103:104" x14ac:dyDescent="0.3">
      <c r="CY16767" s="34" t="s">
        <v>17694</v>
      </c>
      <c r="CZ16767" s="35">
        <v>3.3002880000000006E-4</v>
      </c>
    </row>
    <row r="16768" spans="103:104" x14ac:dyDescent="0.3">
      <c r="CY16768" s="34" t="s">
        <v>17695</v>
      </c>
      <c r="CZ16768" s="35">
        <v>1.1678752000000001E-2</v>
      </c>
    </row>
    <row r="16769" spans="103:104" x14ac:dyDescent="0.3">
      <c r="CY16769" s="34" t="s">
        <v>17696</v>
      </c>
      <c r="CZ16769" s="35">
        <v>1.0019560000000002E-2</v>
      </c>
    </row>
    <row r="16770" spans="103:104" x14ac:dyDescent="0.3">
      <c r="CY16770" s="34" t="s">
        <v>17697</v>
      </c>
      <c r="CZ16770" s="35">
        <v>1.0019560000000002E-2</v>
      </c>
    </row>
    <row r="16771" spans="103:104" x14ac:dyDescent="0.3">
      <c r="CY16771" s="34" t="s">
        <v>17698</v>
      </c>
      <c r="CZ16771" s="35">
        <v>1.8318127999999996E-2</v>
      </c>
    </row>
    <row r="16772" spans="103:104" x14ac:dyDescent="0.3">
      <c r="CY16772" s="34" t="s">
        <v>17699</v>
      </c>
      <c r="CZ16772" s="35">
        <v>2.55288195E-3</v>
      </c>
    </row>
    <row r="16773" spans="103:104" x14ac:dyDescent="0.3">
      <c r="CY16773" s="34" t="s">
        <v>17700</v>
      </c>
      <c r="CZ16773" s="35">
        <v>3.289658E-3</v>
      </c>
    </row>
    <row r="16774" spans="103:104" x14ac:dyDescent="0.3">
      <c r="CY16774" s="34" t="s">
        <v>17701</v>
      </c>
      <c r="CZ16774" s="35">
        <v>2.9892180000000001E-3</v>
      </c>
    </row>
    <row r="16775" spans="103:104" x14ac:dyDescent="0.3">
      <c r="CY16775" s="34" t="s">
        <v>17702</v>
      </c>
      <c r="CZ16775" s="35">
        <v>3.2196550000000001E-3</v>
      </c>
    </row>
    <row r="16776" spans="103:104" x14ac:dyDescent="0.3">
      <c r="CY16776" s="34" t="s">
        <v>17703</v>
      </c>
      <c r="CZ16776" s="35">
        <v>3.32235E-3</v>
      </c>
    </row>
    <row r="16777" spans="103:104" x14ac:dyDescent="0.3">
      <c r="CY16777" s="34" t="s">
        <v>17704</v>
      </c>
      <c r="CZ16777" s="35">
        <v>0.15493659999999998</v>
      </c>
    </row>
    <row r="16778" spans="103:104" x14ac:dyDescent="0.3">
      <c r="CY16778" s="34" t="s">
        <v>17705</v>
      </c>
      <c r="CZ16778" s="35">
        <v>6.4221422222222229E-4</v>
      </c>
    </row>
    <row r="16779" spans="103:104" x14ac:dyDescent="0.3">
      <c r="CY16779" s="34" t="s">
        <v>17706</v>
      </c>
      <c r="CZ16779" s="35">
        <v>0.10835979999999999</v>
      </c>
    </row>
    <row r="16780" spans="103:104" x14ac:dyDescent="0.3">
      <c r="CY16780" s="34" t="s">
        <v>17707</v>
      </c>
      <c r="CZ16780" s="35">
        <v>0.12650288000000001</v>
      </c>
    </row>
    <row r="16781" spans="103:104" x14ac:dyDescent="0.3">
      <c r="CY16781" s="34" t="s">
        <v>17708</v>
      </c>
      <c r="CZ16781" s="35">
        <v>0.11394428999999999</v>
      </c>
    </row>
    <row r="16782" spans="103:104" x14ac:dyDescent="0.3">
      <c r="CY16782" s="34" t="s">
        <v>17709</v>
      </c>
      <c r="CZ16782" s="35">
        <v>4.7218260000000005E-2</v>
      </c>
    </row>
    <row r="16783" spans="103:104" x14ac:dyDescent="0.3">
      <c r="CY16783" s="34" t="s">
        <v>17710</v>
      </c>
      <c r="CZ16783" s="35">
        <v>9.4362645399999993E-3</v>
      </c>
    </row>
    <row r="16784" spans="103:104" x14ac:dyDescent="0.3">
      <c r="CY16784" s="34" t="s">
        <v>17711</v>
      </c>
      <c r="CZ16784" s="35">
        <v>1.1985804E-3</v>
      </c>
    </row>
    <row r="16785" spans="103:104" x14ac:dyDescent="0.3">
      <c r="CY16785" s="34" t="s">
        <v>17712</v>
      </c>
      <c r="CZ16785" s="35">
        <v>2.06028875E-3</v>
      </c>
    </row>
    <row r="16786" spans="103:104" x14ac:dyDescent="0.3">
      <c r="CY16786" s="34" t="s">
        <v>17713</v>
      </c>
      <c r="CZ16786" s="35">
        <v>2.0602900000000002E-3</v>
      </c>
    </row>
    <row r="16787" spans="103:104" x14ac:dyDescent="0.3">
      <c r="CY16787" s="34" t="s">
        <v>17714</v>
      </c>
      <c r="CZ16787" s="35">
        <v>2.0602900000000002E-3</v>
      </c>
    </row>
    <row r="16788" spans="103:104" x14ac:dyDescent="0.3">
      <c r="CY16788" s="34" t="s">
        <v>17715</v>
      </c>
      <c r="CZ16788" s="35">
        <v>1.6209239999999999E-3</v>
      </c>
    </row>
    <row r="16789" spans="103:104" x14ac:dyDescent="0.3">
      <c r="CY16789" s="34" t="s">
        <v>17716</v>
      </c>
      <c r="CZ16789" s="35">
        <v>1.6209239999999999E-3</v>
      </c>
    </row>
    <row r="16790" spans="103:104" x14ac:dyDescent="0.3">
      <c r="CY16790" s="34" t="s">
        <v>17717</v>
      </c>
      <c r="CZ16790" s="35">
        <v>1.6209239999999999E-3</v>
      </c>
    </row>
    <row r="16791" spans="103:104" x14ac:dyDescent="0.3">
      <c r="CY16791" s="34" t="s">
        <v>17718</v>
      </c>
      <c r="CZ16791" s="35">
        <v>1.6209239999999999E-3</v>
      </c>
    </row>
    <row r="16792" spans="103:104" x14ac:dyDescent="0.3">
      <c r="CY16792" s="34" t="s">
        <v>17719</v>
      </c>
      <c r="CZ16792" s="35">
        <v>5.7291690000000001E-3</v>
      </c>
    </row>
    <row r="16793" spans="103:104" x14ac:dyDescent="0.3">
      <c r="CY16793" s="34" t="s">
        <v>17720</v>
      </c>
      <c r="CZ16793" s="35">
        <v>6.3829840000000004E-3</v>
      </c>
    </row>
    <row r="16794" spans="103:104" x14ac:dyDescent="0.3">
      <c r="CY16794" s="34" t="s">
        <v>17721</v>
      </c>
      <c r="CZ16794" s="35">
        <v>6.9454E-3</v>
      </c>
    </row>
    <row r="16795" spans="103:104" x14ac:dyDescent="0.3">
      <c r="CY16795" s="34" t="s">
        <v>17722</v>
      </c>
      <c r="CZ16795" s="35">
        <v>2.8261649999999998E-3</v>
      </c>
    </row>
    <row r="16796" spans="103:104" x14ac:dyDescent="0.3">
      <c r="CY16796" s="34" t="s">
        <v>17723</v>
      </c>
      <c r="CZ16796" s="35">
        <v>5.8149880000000001E-4</v>
      </c>
    </row>
    <row r="16797" spans="103:104" x14ac:dyDescent="0.3">
      <c r="CY16797" s="34" t="s">
        <v>17724</v>
      </c>
      <c r="CZ16797" s="35">
        <v>0.81202055554999997</v>
      </c>
    </row>
    <row r="16798" spans="103:104" x14ac:dyDescent="0.3">
      <c r="CY16798" s="34" t="s">
        <v>17725</v>
      </c>
      <c r="CZ16798" s="35">
        <v>2.1065888000000002E-3</v>
      </c>
    </row>
    <row r="16799" spans="103:104" x14ac:dyDescent="0.3">
      <c r="CY16799" s="34" t="s">
        <v>17726</v>
      </c>
      <c r="CZ16799" s="35">
        <v>3.5817318681318679E-3</v>
      </c>
    </row>
    <row r="16800" spans="103:104" x14ac:dyDescent="0.3">
      <c r="CY16800" s="34" t="s">
        <v>17727</v>
      </c>
      <c r="CZ16800" s="35">
        <v>3.7000240000000001E-3</v>
      </c>
    </row>
    <row r="16801" spans="103:104" x14ac:dyDescent="0.3">
      <c r="CY16801" s="34" t="s">
        <v>17728</v>
      </c>
      <c r="CZ16801" s="35">
        <v>3.6645157582417581E-3</v>
      </c>
    </row>
    <row r="16802" spans="103:104" x14ac:dyDescent="0.3">
      <c r="CY16802" s="34" t="s">
        <v>17729</v>
      </c>
      <c r="CZ16802" s="35">
        <v>3.3347092999999996E-3</v>
      </c>
    </row>
    <row r="16803" spans="103:104" x14ac:dyDescent="0.3">
      <c r="CY16803" s="34" t="s">
        <v>17730</v>
      </c>
      <c r="CZ16803" s="35">
        <v>3.3922093339999997E-3</v>
      </c>
    </row>
    <row r="16804" spans="103:104" x14ac:dyDescent="0.3">
      <c r="CY16804" s="34" t="s">
        <v>17731</v>
      </c>
      <c r="CZ16804" s="35">
        <v>3.4476853325000004E-3</v>
      </c>
    </row>
    <row r="16805" spans="103:104" x14ac:dyDescent="0.3">
      <c r="CY16805" s="34" t="s">
        <v>17732</v>
      </c>
      <c r="CZ16805" s="35">
        <v>3.5195603342857143E-3</v>
      </c>
    </row>
    <row r="16806" spans="103:104" x14ac:dyDescent="0.3">
      <c r="CY16806" s="34" t="s">
        <v>17733</v>
      </c>
      <c r="CZ16806" s="35">
        <v>3.3922093333333334E-3</v>
      </c>
    </row>
    <row r="16807" spans="103:104" x14ac:dyDescent="0.3">
      <c r="CY16807" s="34" t="s">
        <v>17734</v>
      </c>
      <c r="CZ16807" s="35">
        <v>3.0336333000000001E-3</v>
      </c>
    </row>
    <row r="16808" spans="103:104" x14ac:dyDescent="0.3">
      <c r="CY16808" s="34" t="s">
        <v>17735</v>
      </c>
      <c r="CZ16808" s="35">
        <v>3.3922093333333329E-3</v>
      </c>
    </row>
    <row r="16809" spans="103:104" x14ac:dyDescent="0.3">
      <c r="CY16809" s="34" t="s">
        <v>17736</v>
      </c>
      <c r="CZ16809" s="35">
        <v>0.25988122667999997</v>
      </c>
    </row>
    <row r="16810" spans="103:104" x14ac:dyDescent="0.3">
      <c r="CY16810" s="34" t="s">
        <v>17737</v>
      </c>
      <c r="CZ16810" s="35">
        <v>4.8300000000000001E-3</v>
      </c>
    </row>
    <row r="16811" spans="103:104" x14ac:dyDescent="0.3">
      <c r="CY16811" s="34" t="s">
        <v>17738</v>
      </c>
      <c r="CZ16811" s="35">
        <v>6.8050593333333334E-4</v>
      </c>
    </row>
    <row r="16812" spans="103:104" x14ac:dyDescent="0.3">
      <c r="CY16812" s="34" t="s">
        <v>17739</v>
      </c>
      <c r="CZ16812" s="35">
        <v>9.9188250000000006E-2</v>
      </c>
    </row>
    <row r="16813" spans="103:104" x14ac:dyDescent="0.3">
      <c r="CY16813" s="34" t="s">
        <v>17740</v>
      </c>
      <c r="CZ16813" s="35">
        <v>0.121991976</v>
      </c>
    </row>
    <row r="16814" spans="103:104" x14ac:dyDescent="0.3">
      <c r="CY16814" s="34" t="s">
        <v>17741</v>
      </c>
      <c r="CZ16814" s="35">
        <v>0.15434697600000002</v>
      </c>
    </row>
    <row r="16815" spans="103:104" x14ac:dyDescent="0.3">
      <c r="CY16815" s="34" t="s">
        <v>17742</v>
      </c>
      <c r="CZ16815" s="35">
        <v>0.53905000000000003</v>
      </c>
    </row>
    <row r="16816" spans="103:104" x14ac:dyDescent="0.3">
      <c r="CY16816" s="34" t="s">
        <v>17743</v>
      </c>
      <c r="CZ16816" s="35">
        <v>0.47311399999999998</v>
      </c>
    </row>
    <row r="16817" spans="103:104" x14ac:dyDescent="0.3">
      <c r="CY16817" s="34" t="s">
        <v>17744</v>
      </c>
      <c r="CZ16817" s="35">
        <v>7.1628559999999996E-3</v>
      </c>
    </row>
    <row r="16818" spans="103:104" x14ac:dyDescent="0.3">
      <c r="CY16818" s="34" t="s">
        <v>17745</v>
      </c>
      <c r="CZ16818" s="35">
        <v>1.882991367E-2</v>
      </c>
    </row>
    <row r="16819" spans="103:104" x14ac:dyDescent="0.3">
      <c r="CY16819" s="34" t="s">
        <v>17746</v>
      </c>
      <c r="CZ16819" s="35">
        <v>7.1274471428571448E-2</v>
      </c>
    </row>
    <row r="16820" spans="103:104" x14ac:dyDescent="0.3">
      <c r="CY16820" s="34" t="s">
        <v>17747</v>
      </c>
      <c r="CZ16820" s="35">
        <v>1.4821428333333334E-3</v>
      </c>
    </row>
    <row r="16821" spans="103:104" x14ac:dyDescent="0.3">
      <c r="CY16821" s="34" t="s">
        <v>17748</v>
      </c>
      <c r="CZ16821" s="35">
        <v>7.5635043999999985E-2</v>
      </c>
    </row>
    <row r="16822" spans="103:104" x14ac:dyDescent="0.3">
      <c r="CY16822" s="34" t="s">
        <v>17749</v>
      </c>
      <c r="CZ16822" s="35">
        <v>2.2317500000000004E-2</v>
      </c>
    </row>
    <row r="16823" spans="103:104" x14ac:dyDescent="0.3">
      <c r="CY16823" s="34" t="s">
        <v>17750</v>
      </c>
      <c r="CZ16823" s="35">
        <v>2.3562876E-2</v>
      </c>
    </row>
    <row r="16824" spans="103:104" x14ac:dyDescent="0.3">
      <c r="CY16824" s="34" t="s">
        <v>17751</v>
      </c>
      <c r="CZ16824" s="35">
        <v>2.3562876E-2</v>
      </c>
    </row>
    <row r="16825" spans="103:104" x14ac:dyDescent="0.3">
      <c r="CY16825" s="34" t="s">
        <v>17752</v>
      </c>
      <c r="CZ16825" s="35">
        <v>0.112761616</v>
      </c>
    </row>
    <row r="16826" spans="103:104" x14ac:dyDescent="0.3">
      <c r="CY16826" s="34" t="s">
        <v>17753</v>
      </c>
      <c r="CZ16826" s="35">
        <v>8.3739783999999998E-2</v>
      </c>
    </row>
    <row r="16827" spans="103:104" x14ac:dyDescent="0.3">
      <c r="CY16827" s="34" t="s">
        <v>17754</v>
      </c>
      <c r="CZ16827" s="35">
        <v>9.3827301333333321E-2</v>
      </c>
    </row>
    <row r="16828" spans="103:104" x14ac:dyDescent="0.3">
      <c r="CY16828" s="34" t="s">
        <v>17755</v>
      </c>
      <c r="CZ16828" s="35">
        <v>2.8232746666666669E-3</v>
      </c>
    </row>
    <row r="16829" spans="103:104" x14ac:dyDescent="0.3">
      <c r="CY16829" s="34" t="s">
        <v>17756</v>
      </c>
      <c r="CZ16829" s="35">
        <v>2.2644660000000001E-3</v>
      </c>
    </row>
    <row r="16830" spans="103:104" x14ac:dyDescent="0.3">
      <c r="CY16830" s="34" t="s">
        <v>17757</v>
      </c>
      <c r="CZ16830" s="35">
        <v>1.6257347440000001E-3</v>
      </c>
    </row>
    <row r="16831" spans="103:104" x14ac:dyDescent="0.3">
      <c r="CY16831" s="34" t="s">
        <v>17758</v>
      </c>
      <c r="CZ16831" s="35">
        <v>1.0037009600000001E-2</v>
      </c>
    </row>
    <row r="16832" spans="103:104" x14ac:dyDescent="0.3">
      <c r="CY16832" s="34" t="s">
        <v>17759</v>
      </c>
      <c r="CZ16832" s="35">
        <v>7.4620726666666665E-3</v>
      </c>
    </row>
    <row r="16833" spans="103:104" x14ac:dyDescent="0.3">
      <c r="CY16833" s="34" t="s">
        <v>17760</v>
      </c>
      <c r="CZ16833" s="35">
        <v>0.30751200000000001</v>
      </c>
    </row>
    <row r="16834" spans="103:104" x14ac:dyDescent="0.3">
      <c r="CY16834" s="34" t="s">
        <v>17761</v>
      </c>
      <c r="CZ16834" s="35">
        <v>7.411317332941178E-2</v>
      </c>
    </row>
    <row r="16835" spans="103:104" x14ac:dyDescent="0.3">
      <c r="CY16835" s="34" t="s">
        <v>17762</v>
      </c>
      <c r="CZ16835" s="35">
        <v>1.9154453333333334E-3</v>
      </c>
    </row>
    <row r="16836" spans="103:104" x14ac:dyDescent="0.3">
      <c r="CY16836" s="34" t="s">
        <v>17763</v>
      </c>
      <c r="CZ16836" s="35">
        <v>2.8833330000000003E-5</v>
      </c>
    </row>
    <row r="16837" spans="103:104" x14ac:dyDescent="0.3">
      <c r="CY16837" s="34" t="s">
        <v>17764</v>
      </c>
      <c r="CZ16837" s="35">
        <v>0.6515200000000001</v>
      </c>
    </row>
    <row r="16838" spans="103:104" x14ac:dyDescent="0.3">
      <c r="CY16838" s="34" t="s">
        <v>17765</v>
      </c>
      <c r="CZ16838" s="35">
        <v>5.6492143999999987E-2</v>
      </c>
    </row>
    <row r="16839" spans="103:104" x14ac:dyDescent="0.3">
      <c r="CY16839" s="34" t="s">
        <v>17766</v>
      </c>
      <c r="CZ16839" s="35">
        <v>0.80752000000000002</v>
      </c>
    </row>
    <row r="16840" spans="103:104" x14ac:dyDescent="0.3">
      <c r="CY16840" s="34" t="s">
        <v>17767</v>
      </c>
      <c r="CZ16840" s="35">
        <v>0.31329615999999999</v>
      </c>
    </row>
    <row r="16841" spans="103:104" x14ac:dyDescent="0.3">
      <c r="CY16841" s="34" t="s">
        <v>17768</v>
      </c>
      <c r="CZ16841" s="35">
        <v>0.51417900000000005</v>
      </c>
    </row>
    <row r="16842" spans="103:104" x14ac:dyDescent="0.3">
      <c r="CY16842" s="34" t="s">
        <v>17769</v>
      </c>
      <c r="CZ16842" s="35">
        <v>3.6618794285714286E-3</v>
      </c>
    </row>
    <row r="16843" spans="103:104" x14ac:dyDescent="0.3">
      <c r="CY16843" s="34" t="s">
        <v>17770</v>
      </c>
      <c r="CZ16843" s="35">
        <v>3.11567143E-3</v>
      </c>
    </row>
    <row r="16844" spans="103:104" x14ac:dyDescent="0.3">
      <c r="CY16844" s="34" t="s">
        <v>17771</v>
      </c>
      <c r="CZ16844" s="35">
        <v>3.5514532000000001E-3</v>
      </c>
    </row>
    <row r="16845" spans="103:104" x14ac:dyDescent="0.3">
      <c r="CY16845" s="34" t="s">
        <v>17772</v>
      </c>
      <c r="CZ16845" s="35">
        <v>6.4917458333333322E-3</v>
      </c>
    </row>
    <row r="16846" spans="103:104" x14ac:dyDescent="0.3">
      <c r="CY16846" s="34" t="s">
        <v>17773</v>
      </c>
      <c r="CZ16846" s="35">
        <v>1.8507143333333333E-4</v>
      </c>
    </row>
    <row r="16847" spans="103:104" x14ac:dyDescent="0.3">
      <c r="CY16847" s="34" t="s">
        <v>17774</v>
      </c>
      <c r="CZ16847" s="35">
        <v>4.58988743E-3</v>
      </c>
    </row>
    <row r="16848" spans="103:104" x14ac:dyDescent="0.3">
      <c r="CY16848" s="34" t="s">
        <v>17775</v>
      </c>
      <c r="CZ16848" s="35">
        <v>4.6079948666666671E-3</v>
      </c>
    </row>
    <row r="16849" spans="103:104" x14ac:dyDescent="0.3">
      <c r="CY16849" s="34" t="s">
        <v>17776</v>
      </c>
      <c r="CZ16849" s="35">
        <v>4.6079959999999996E-3</v>
      </c>
    </row>
    <row r="16850" spans="103:104" x14ac:dyDescent="0.3">
      <c r="CY16850" s="34" t="s">
        <v>17777</v>
      </c>
      <c r="CZ16850" s="35">
        <v>4.6315186666666666E-3</v>
      </c>
    </row>
    <row r="16851" spans="103:104" x14ac:dyDescent="0.3">
      <c r="CY16851" s="34" t="s">
        <v>17778</v>
      </c>
      <c r="CZ16851" s="35">
        <v>3.2660829000000003E-3</v>
      </c>
    </row>
    <row r="16852" spans="103:104" x14ac:dyDescent="0.3">
      <c r="CY16852" s="34" t="s">
        <v>17779</v>
      </c>
      <c r="CZ16852" s="35">
        <v>4.6315186666666657E-3</v>
      </c>
    </row>
    <row r="16853" spans="103:104" x14ac:dyDescent="0.3">
      <c r="CY16853" s="34" t="s">
        <v>17780</v>
      </c>
      <c r="CZ16853" s="35">
        <v>6.1234999999999996E-3</v>
      </c>
    </row>
    <row r="16854" spans="103:104" x14ac:dyDescent="0.3">
      <c r="CY16854" s="34" t="s">
        <v>17781</v>
      </c>
      <c r="CZ16854" s="35">
        <v>4.9576666666666658E-3</v>
      </c>
    </row>
    <row r="16855" spans="103:104" x14ac:dyDescent="0.3">
      <c r="CY16855" s="34" t="s">
        <v>17782</v>
      </c>
      <c r="CZ16855" s="35">
        <v>6.7280999999999999E-3</v>
      </c>
    </row>
    <row r="16856" spans="103:104" x14ac:dyDescent="0.3">
      <c r="CY16856" s="34" t="s">
        <v>17783</v>
      </c>
      <c r="CZ16856" s="35">
        <v>5.7941799999999995E-3</v>
      </c>
    </row>
    <row r="16857" spans="103:104" x14ac:dyDescent="0.3">
      <c r="CY16857" s="34" t="s">
        <v>17784</v>
      </c>
      <c r="CZ16857" s="35">
        <v>6.2611399999999992E-3</v>
      </c>
    </row>
    <row r="16858" spans="103:104" x14ac:dyDescent="0.3">
      <c r="CY16858" s="34" t="s">
        <v>17785</v>
      </c>
      <c r="CZ16858" s="35">
        <v>1.8870632000000002E-2</v>
      </c>
    </row>
    <row r="16859" spans="103:104" x14ac:dyDescent="0.3">
      <c r="CY16859" s="34" t="s">
        <v>17786</v>
      </c>
      <c r="CZ16859" s="35">
        <v>5.4947213473684212E-2</v>
      </c>
    </row>
    <row r="16860" spans="103:104" x14ac:dyDescent="0.3">
      <c r="CY16860" s="34" t="s">
        <v>17787</v>
      </c>
      <c r="CZ16860" s="35">
        <v>3.9652888888888887E-3</v>
      </c>
    </row>
    <row r="16861" spans="103:104" x14ac:dyDescent="0.3">
      <c r="CY16861" s="34" t="s">
        <v>17788</v>
      </c>
      <c r="CZ16861" s="35">
        <v>7.5121911111111092E-2</v>
      </c>
    </row>
    <row r="16862" spans="103:104" x14ac:dyDescent="0.3">
      <c r="CY16862" s="34" t="s">
        <v>17789</v>
      </c>
      <c r="CZ16862" s="35">
        <v>6.2892E-3</v>
      </c>
    </row>
    <row r="16863" spans="103:104" x14ac:dyDescent="0.3">
      <c r="CY16863" s="34" t="s">
        <v>17790</v>
      </c>
      <c r="CZ16863" s="35">
        <v>6.8437957894736848E-2</v>
      </c>
    </row>
    <row r="16864" spans="103:104" x14ac:dyDescent="0.3">
      <c r="CY16864" s="34" t="s">
        <v>17791</v>
      </c>
      <c r="CZ16864" s="35">
        <v>5.1585455999999995E-2</v>
      </c>
    </row>
    <row r="16865" spans="103:104" x14ac:dyDescent="0.3">
      <c r="CY16865" s="34" t="s">
        <v>17792</v>
      </c>
      <c r="CZ16865" s="35">
        <v>5.1585455999999988E-2</v>
      </c>
    </row>
    <row r="16866" spans="103:104" x14ac:dyDescent="0.3">
      <c r="CY16866" s="34" t="s">
        <v>17793</v>
      </c>
      <c r="CZ16866" s="35">
        <v>1.1376883999999999E-2</v>
      </c>
    </row>
    <row r="16867" spans="103:104" x14ac:dyDescent="0.3">
      <c r="CY16867" s="34" t="s">
        <v>17794</v>
      </c>
      <c r="CZ16867" s="35">
        <v>0.4777383</v>
      </c>
    </row>
    <row r="16868" spans="103:104" x14ac:dyDescent="0.3">
      <c r="CY16868" s="34" t="s">
        <v>17795</v>
      </c>
      <c r="CZ16868" s="35">
        <v>0.44287895599999993</v>
      </c>
    </row>
    <row r="16869" spans="103:104" x14ac:dyDescent="0.3">
      <c r="CY16869" s="34" t="s">
        <v>17796</v>
      </c>
      <c r="CZ16869" s="35">
        <v>4.4126103076923079E-2</v>
      </c>
    </row>
    <row r="16870" spans="103:104" x14ac:dyDescent="0.3">
      <c r="CY16870" s="34" t="s">
        <v>17797</v>
      </c>
      <c r="CZ16870" s="35">
        <v>2.7348933333333331E-3</v>
      </c>
    </row>
    <row r="16871" spans="103:104" x14ac:dyDescent="0.3">
      <c r="CY16871" s="34" t="s">
        <v>17798</v>
      </c>
      <c r="CZ16871" s="35">
        <v>4.2213653999999996E-3</v>
      </c>
    </row>
    <row r="16872" spans="103:104" x14ac:dyDescent="0.3">
      <c r="CY16872" s="34" t="s">
        <v>17799</v>
      </c>
      <c r="CZ16872" s="35">
        <v>2.8808225E-2</v>
      </c>
    </row>
    <row r="16873" spans="103:104" x14ac:dyDescent="0.3">
      <c r="CY16873" s="34" t="s">
        <v>17800</v>
      </c>
      <c r="CZ16873" s="35">
        <v>3.9718906250000002E-3</v>
      </c>
    </row>
    <row r="16874" spans="103:104" x14ac:dyDescent="0.3">
      <c r="CY16874" s="34" t="s">
        <v>17801</v>
      </c>
      <c r="CZ16874" s="35">
        <v>6.9176033125000003E-3</v>
      </c>
    </row>
    <row r="16875" spans="103:104" x14ac:dyDescent="0.3">
      <c r="CY16875" s="34" t="s">
        <v>17802</v>
      </c>
      <c r="CZ16875" s="35">
        <v>7.7176900000000001E-3</v>
      </c>
    </row>
    <row r="16876" spans="103:104" x14ac:dyDescent="0.3">
      <c r="CY16876" s="34" t="s">
        <v>17803</v>
      </c>
      <c r="CZ16876" s="35">
        <v>2.9396108375E-2</v>
      </c>
    </row>
    <row r="16877" spans="103:104" x14ac:dyDescent="0.3">
      <c r="CY16877" s="34" t="s">
        <v>17804</v>
      </c>
      <c r="CZ16877" s="35">
        <v>5.4453819999999993E-2</v>
      </c>
    </row>
    <row r="16878" spans="103:104" x14ac:dyDescent="0.3">
      <c r="CY16878" s="34" t="s">
        <v>17805</v>
      </c>
      <c r="CZ16878" s="35">
        <v>1.3654490533333334E-2</v>
      </c>
    </row>
    <row r="16879" spans="103:104" x14ac:dyDescent="0.3">
      <c r="CY16879" s="34" t="s">
        <v>17806</v>
      </c>
      <c r="CZ16879" s="35">
        <v>2.8190234000000002E-2</v>
      </c>
    </row>
    <row r="16880" spans="103:104" x14ac:dyDescent="0.3">
      <c r="CY16880" s="34" t="s">
        <v>17807</v>
      </c>
      <c r="CZ16880" s="35">
        <v>6.4543200000000004E-3</v>
      </c>
    </row>
    <row r="16881" spans="103:104" x14ac:dyDescent="0.3">
      <c r="CY16881" s="34" t="s">
        <v>17808</v>
      </c>
      <c r="CZ16881" s="35">
        <v>1.4565270666666668E-2</v>
      </c>
    </row>
    <row r="16882" spans="103:104" x14ac:dyDescent="0.3">
      <c r="CY16882" s="34" t="s">
        <v>17809</v>
      </c>
      <c r="CZ16882" s="35">
        <v>1.40766E-2</v>
      </c>
    </row>
    <row r="16883" spans="103:104" x14ac:dyDescent="0.3">
      <c r="CY16883" s="34" t="s">
        <v>17810</v>
      </c>
      <c r="CZ16883" s="35">
        <v>3.2997091249999999E-2</v>
      </c>
    </row>
    <row r="16884" spans="103:104" x14ac:dyDescent="0.3">
      <c r="CY16884" s="34" t="s">
        <v>17811</v>
      </c>
      <c r="CZ16884" s="35">
        <v>1.9257920000000001E-2</v>
      </c>
    </row>
    <row r="16885" spans="103:104" x14ac:dyDescent="0.3">
      <c r="CY16885" s="34" t="s">
        <v>17812</v>
      </c>
      <c r="CZ16885" s="35">
        <v>2.5196789999999997E-2</v>
      </c>
    </row>
    <row r="16886" spans="103:104" x14ac:dyDescent="0.3">
      <c r="CY16886" s="34" t="s">
        <v>17813</v>
      </c>
      <c r="CZ16886" s="35">
        <v>4.1157425346153846E-2</v>
      </c>
    </row>
    <row r="16887" spans="103:104" x14ac:dyDescent="0.3">
      <c r="CY16887" s="34" t="s">
        <v>17814</v>
      </c>
      <c r="CZ16887" s="35">
        <v>2.8700068374999999E-2</v>
      </c>
    </row>
    <row r="16888" spans="103:104" x14ac:dyDescent="0.3">
      <c r="CY16888" s="34" t="s">
        <v>17815</v>
      </c>
      <c r="CZ16888" s="35">
        <v>1.466724E-2</v>
      </c>
    </row>
    <row r="16889" spans="103:104" x14ac:dyDescent="0.3">
      <c r="CY16889" s="34" t="s">
        <v>17816</v>
      </c>
      <c r="CZ16889" s="35">
        <v>2.7072368250000003E-2</v>
      </c>
    </row>
    <row r="16890" spans="103:104" x14ac:dyDescent="0.3">
      <c r="CY16890" s="34" t="s">
        <v>17817</v>
      </c>
      <c r="CZ16890" s="35">
        <v>1.5235806687500001E-2</v>
      </c>
    </row>
    <row r="16891" spans="103:104" x14ac:dyDescent="0.3">
      <c r="CY16891" s="34" t="s">
        <v>17818</v>
      </c>
      <c r="CZ16891" s="35">
        <v>2.6452268399999999E-2</v>
      </c>
    </row>
    <row r="16892" spans="103:104" x14ac:dyDescent="0.3">
      <c r="CY16892" s="34" t="s">
        <v>17819</v>
      </c>
      <c r="CZ16892" s="35">
        <v>5.9934733359999992E-2</v>
      </c>
    </row>
    <row r="16893" spans="103:104" x14ac:dyDescent="0.3">
      <c r="CY16893" s="34" t="s">
        <v>17820</v>
      </c>
      <c r="CZ16893" s="35">
        <v>5.4090058625E-2</v>
      </c>
    </row>
    <row r="16894" spans="103:104" x14ac:dyDescent="0.3">
      <c r="CY16894" s="34" t="s">
        <v>17821</v>
      </c>
      <c r="CZ16894" s="35">
        <v>2.7637766680000002E-2</v>
      </c>
    </row>
    <row r="16895" spans="103:104" x14ac:dyDescent="0.3">
      <c r="CY16895" s="34" t="s">
        <v>17822</v>
      </c>
      <c r="CZ16895" s="35">
        <v>8.3834800000000004E-3</v>
      </c>
    </row>
    <row r="16896" spans="103:104" x14ac:dyDescent="0.3">
      <c r="CY16896" s="34" t="s">
        <v>17823</v>
      </c>
      <c r="CZ16896" s="35">
        <v>0.14307298000000002</v>
      </c>
    </row>
    <row r="16897" spans="103:104" x14ac:dyDescent="0.3">
      <c r="CY16897" s="34" t="s">
        <v>17824</v>
      </c>
      <c r="CZ16897" s="35">
        <v>1.8332210000000002E-2</v>
      </c>
    </row>
    <row r="16898" spans="103:104" x14ac:dyDescent="0.3">
      <c r="CY16898" s="34" t="s">
        <v>17825</v>
      </c>
      <c r="CZ16898" s="35">
        <v>4.8464893333333321E-3</v>
      </c>
    </row>
    <row r="16899" spans="103:104" x14ac:dyDescent="0.3">
      <c r="CY16899" s="34" t="s">
        <v>17826</v>
      </c>
      <c r="CZ16899" s="35">
        <v>5.8440495000000002E-2</v>
      </c>
    </row>
    <row r="16900" spans="103:104" x14ac:dyDescent="0.3">
      <c r="CY16900" s="34" t="s">
        <v>17827</v>
      </c>
      <c r="CZ16900" s="35">
        <v>6.8763199999999998E-4</v>
      </c>
    </row>
    <row r="16901" spans="103:104" x14ac:dyDescent="0.3">
      <c r="CY16901" s="34" t="s">
        <v>17828</v>
      </c>
      <c r="CZ16901" s="35">
        <v>2.4539840000000002E-3</v>
      </c>
    </row>
    <row r="16902" spans="103:104" x14ac:dyDescent="0.3">
      <c r="CY16902" s="34" t="s">
        <v>17829</v>
      </c>
      <c r="CZ16902" s="35">
        <v>8.5370039999999994E-2</v>
      </c>
    </row>
    <row r="16903" spans="103:104" x14ac:dyDescent="0.3">
      <c r="CY16903" s="34" t="s">
        <v>17830</v>
      </c>
      <c r="CZ16903" s="35">
        <v>6.7925863999999989E-2</v>
      </c>
    </row>
    <row r="16904" spans="103:104" x14ac:dyDescent="0.3">
      <c r="CY16904" s="34" t="s">
        <v>17831</v>
      </c>
      <c r="CZ16904" s="35">
        <v>0.12536633333333333</v>
      </c>
    </row>
    <row r="16905" spans="103:104" x14ac:dyDescent="0.3">
      <c r="CY16905" s="34" t="s">
        <v>17832</v>
      </c>
      <c r="CZ16905" s="35">
        <v>6.7169299999999994E-3</v>
      </c>
    </row>
    <row r="16906" spans="103:104" x14ac:dyDescent="0.3">
      <c r="CY16906" s="34" t="s">
        <v>17833</v>
      </c>
      <c r="CZ16906" s="35">
        <v>2.0731306666666666E-3</v>
      </c>
    </row>
    <row r="16907" spans="103:104" x14ac:dyDescent="0.3">
      <c r="CY16907" s="34" t="s">
        <v>17834</v>
      </c>
      <c r="CZ16907" s="35">
        <v>4.602734E-2</v>
      </c>
    </row>
    <row r="16908" spans="103:104" x14ac:dyDescent="0.3">
      <c r="CY16908" s="34" t="s">
        <v>17835</v>
      </c>
      <c r="CZ16908" s="35">
        <v>9.4154599999999988E-3</v>
      </c>
    </row>
    <row r="16909" spans="103:104" x14ac:dyDescent="0.3">
      <c r="CY16909" s="34" t="s">
        <v>17836</v>
      </c>
      <c r="CZ16909" s="35">
        <v>1.3312431999999999E-2</v>
      </c>
    </row>
    <row r="16910" spans="103:104" x14ac:dyDescent="0.3">
      <c r="CY16910" s="34" t="s">
        <v>17837</v>
      </c>
      <c r="CZ16910" s="35">
        <v>6.6551520000000001E-3</v>
      </c>
    </row>
    <row r="16911" spans="103:104" x14ac:dyDescent="0.3">
      <c r="CY16911" s="34" t="s">
        <v>17838</v>
      </c>
      <c r="CZ16911" s="35">
        <v>4.6135050000000004E-2</v>
      </c>
    </row>
    <row r="16912" spans="103:104" x14ac:dyDescent="0.3">
      <c r="CY16912" s="34" t="s">
        <v>17839</v>
      </c>
      <c r="CZ16912" s="35">
        <v>3.5894919999999997E-3</v>
      </c>
    </row>
    <row r="16913" spans="103:104" x14ac:dyDescent="0.3">
      <c r="CY16913" s="34" t="s">
        <v>17840</v>
      </c>
      <c r="CZ16913" s="35">
        <v>4.3985492000000008E-3</v>
      </c>
    </row>
    <row r="16914" spans="103:104" x14ac:dyDescent="0.3">
      <c r="CY16914" s="34" t="s">
        <v>17841</v>
      </c>
      <c r="CZ16914" s="35">
        <v>5.3281536000000006E-3</v>
      </c>
    </row>
    <row r="16915" spans="103:104" x14ac:dyDescent="0.3">
      <c r="CY16915" s="34" t="s">
        <v>17842</v>
      </c>
      <c r="CZ16915" s="35">
        <v>1.9196791999999999E-3</v>
      </c>
    </row>
    <row r="16916" spans="103:104" x14ac:dyDescent="0.3">
      <c r="CY16916" s="34" t="s">
        <v>17843</v>
      </c>
      <c r="CZ16916" s="35">
        <v>2.1214016000000004E-3</v>
      </c>
    </row>
    <row r="16917" spans="103:104" x14ac:dyDescent="0.3">
      <c r="CY16917" s="34" t="s">
        <v>17844</v>
      </c>
      <c r="CZ16917" s="35">
        <v>1.0807085329999999E-2</v>
      </c>
    </row>
    <row r="16918" spans="103:104" x14ac:dyDescent="0.3">
      <c r="CY16918" s="34" t="s">
        <v>17845</v>
      </c>
      <c r="CZ16918" s="35">
        <v>0.43750159999999999</v>
      </c>
    </row>
    <row r="16919" spans="103:104" x14ac:dyDescent="0.3">
      <c r="CY16919" s="34" t="s">
        <v>17846</v>
      </c>
      <c r="CZ16919" s="35">
        <v>0.65696240000000006</v>
      </c>
    </row>
    <row r="16920" spans="103:104" x14ac:dyDescent="0.3">
      <c r="CY16920" s="34" t="s">
        <v>17847</v>
      </c>
      <c r="CZ16920" s="35">
        <v>0.78766959999999997</v>
      </c>
    </row>
    <row r="16921" spans="103:104" x14ac:dyDescent="0.3">
      <c r="CY16921" s="34" t="s">
        <v>17848</v>
      </c>
      <c r="CZ16921" s="35">
        <v>0.59857887999999992</v>
      </c>
    </row>
    <row r="16922" spans="103:104" x14ac:dyDescent="0.3">
      <c r="CY16922" s="34" t="s">
        <v>17849</v>
      </c>
      <c r="CZ16922" s="35">
        <v>2.3808152000000002E-3</v>
      </c>
    </row>
    <row r="16923" spans="103:104" x14ac:dyDescent="0.3">
      <c r="CY16923" s="34" t="s">
        <v>17850</v>
      </c>
      <c r="CZ16923" s="35">
        <v>0.15404073999999998</v>
      </c>
    </row>
    <row r="16924" spans="103:104" x14ac:dyDescent="0.3">
      <c r="CY16924" s="34" t="s">
        <v>17851</v>
      </c>
      <c r="CZ16924" s="35">
        <v>0.25003259999999999</v>
      </c>
    </row>
    <row r="16925" spans="103:104" x14ac:dyDescent="0.3">
      <c r="CY16925" s="34" t="s">
        <v>17852</v>
      </c>
      <c r="CZ16925" s="35">
        <v>0.20277857999999999</v>
      </c>
    </row>
    <row r="16926" spans="103:104" x14ac:dyDescent="0.3">
      <c r="CY16926" s="34" t="s">
        <v>17853</v>
      </c>
      <c r="CZ16926" s="35">
        <v>0.42583719999999997</v>
      </c>
    </row>
    <row r="16927" spans="103:104" x14ac:dyDescent="0.3">
      <c r="CY16927" s="34" t="s">
        <v>17854</v>
      </c>
      <c r="CZ16927" s="35">
        <v>0.35991484000000007</v>
      </c>
    </row>
    <row r="16928" spans="103:104" x14ac:dyDescent="0.3">
      <c r="CY16928" s="34" t="s">
        <v>17855</v>
      </c>
      <c r="CZ16928" s="35">
        <v>0.55768424000000005</v>
      </c>
    </row>
    <row r="16929" spans="103:104" x14ac:dyDescent="0.3">
      <c r="CY16929" s="34" t="s">
        <v>17856</v>
      </c>
      <c r="CZ16929" s="35">
        <v>3.9817135999999996E-2</v>
      </c>
    </row>
    <row r="16930" spans="103:104" x14ac:dyDescent="0.3">
      <c r="CY16930" s="34" t="s">
        <v>17857</v>
      </c>
      <c r="CZ16930" s="35">
        <v>2.4752147000000002E-2</v>
      </c>
    </row>
    <row r="16931" spans="103:104" x14ac:dyDescent="0.3">
      <c r="CY16931" s="34" t="s">
        <v>17858</v>
      </c>
      <c r="CZ16931" s="35">
        <v>1.7015843555555556E-2</v>
      </c>
    </row>
    <row r="16932" spans="103:104" x14ac:dyDescent="0.3">
      <c r="CY16932" s="34" t="s">
        <v>17859</v>
      </c>
      <c r="CZ16932" s="35">
        <v>5.6430000000000004E-3</v>
      </c>
    </row>
    <row r="16933" spans="103:104" x14ac:dyDescent="0.3">
      <c r="CY16933" s="34" t="s">
        <v>17860</v>
      </c>
      <c r="CZ16933" s="35">
        <v>1.0062966E-3</v>
      </c>
    </row>
    <row r="16934" spans="103:104" x14ac:dyDescent="0.3">
      <c r="CY16934" s="34" t="s">
        <v>17861</v>
      </c>
      <c r="CZ16934" s="35">
        <v>6.9999384000000008E-3</v>
      </c>
    </row>
    <row r="16935" spans="103:104" x14ac:dyDescent="0.3">
      <c r="CY16935" s="34" t="s">
        <v>17862</v>
      </c>
      <c r="CZ16935" s="35">
        <v>6.9260097333333336E-3</v>
      </c>
    </row>
    <row r="16936" spans="103:104" x14ac:dyDescent="0.3">
      <c r="CY16936" s="34" t="s">
        <v>17863</v>
      </c>
      <c r="CZ16936" s="35">
        <v>1.2890640000000001E-3</v>
      </c>
    </row>
    <row r="16937" spans="103:104" x14ac:dyDescent="0.3">
      <c r="CY16937" s="34" t="s">
        <v>17864</v>
      </c>
      <c r="CZ16937" s="35">
        <v>1.6514468857142854E-2</v>
      </c>
    </row>
    <row r="16938" spans="103:104" x14ac:dyDescent="0.3">
      <c r="CY16938" s="34" t="s">
        <v>17865</v>
      </c>
      <c r="CZ16938" s="35">
        <v>1.7015843555555556E-2</v>
      </c>
    </row>
    <row r="16939" spans="103:104" x14ac:dyDescent="0.3">
      <c r="CY16939" s="34" t="s">
        <v>17866</v>
      </c>
      <c r="CZ16939" s="35">
        <v>7.957661999999999E-3</v>
      </c>
    </row>
    <row r="16940" spans="103:104" x14ac:dyDescent="0.3">
      <c r="CY16940" s="34" t="s">
        <v>17867</v>
      </c>
      <c r="CZ16940" s="35">
        <v>7.957661999999999E-3</v>
      </c>
    </row>
    <row r="16941" spans="103:104" x14ac:dyDescent="0.3">
      <c r="CY16941" s="34" t="s">
        <v>17868</v>
      </c>
      <c r="CZ16941" s="35">
        <v>1.8483515500000002E-2</v>
      </c>
    </row>
    <row r="16942" spans="103:104" x14ac:dyDescent="0.3">
      <c r="CY16942" s="34" t="s">
        <v>17869</v>
      </c>
      <c r="CZ16942" s="35">
        <v>1.8483515499999999E-2</v>
      </c>
    </row>
    <row r="16943" spans="103:104" x14ac:dyDescent="0.3">
      <c r="CY16943" s="34" t="s">
        <v>17870</v>
      </c>
      <c r="CZ16943" s="35">
        <v>1.5260223467857143E-2</v>
      </c>
    </row>
    <row r="16944" spans="103:104" x14ac:dyDescent="0.3">
      <c r="CY16944" s="34" t="s">
        <v>17871</v>
      </c>
      <c r="CZ16944" s="35">
        <v>1.5260223467857143E-2</v>
      </c>
    </row>
    <row r="16945" spans="103:104" x14ac:dyDescent="0.3">
      <c r="CY16945" s="34" t="s">
        <v>17872</v>
      </c>
      <c r="CZ16945" s="35">
        <v>7.2588208672727276E-3</v>
      </c>
    </row>
    <row r="16946" spans="103:104" x14ac:dyDescent="0.3">
      <c r="CY16946" s="34" t="s">
        <v>17873</v>
      </c>
      <c r="CZ16946" s="35">
        <v>5.012765000000001E-2</v>
      </c>
    </row>
    <row r="16947" spans="103:104" x14ac:dyDescent="0.3">
      <c r="CY16947" s="34" t="s">
        <v>17874</v>
      </c>
      <c r="CZ16947" s="35">
        <v>5.2914848E-2</v>
      </c>
    </row>
    <row r="16948" spans="103:104" x14ac:dyDescent="0.3">
      <c r="CY16948" s="34" t="s">
        <v>17875</v>
      </c>
      <c r="CZ16948" s="35">
        <v>5.2234690000000007E-2</v>
      </c>
    </row>
    <row r="16949" spans="103:104" x14ac:dyDescent="0.3">
      <c r="CY16949" s="34" t="s">
        <v>17876</v>
      </c>
      <c r="CZ16949" s="35">
        <v>1.6351668E-2</v>
      </c>
    </row>
    <row r="16950" spans="103:104" x14ac:dyDescent="0.3">
      <c r="CY16950" s="34" t="s">
        <v>17877</v>
      </c>
      <c r="CZ16950" s="35">
        <v>1.5084612000000001E-2</v>
      </c>
    </row>
    <row r="16951" spans="103:104" x14ac:dyDescent="0.3">
      <c r="CY16951" s="34" t="s">
        <v>17878</v>
      </c>
      <c r="CZ16951" s="35">
        <v>1.2540496E-2</v>
      </c>
    </row>
    <row r="16952" spans="103:104" x14ac:dyDescent="0.3">
      <c r="CY16952" s="34" t="s">
        <v>17879</v>
      </c>
      <c r="CZ16952" s="35">
        <v>1.3355031999999999E-2</v>
      </c>
    </row>
    <row r="16953" spans="103:104" x14ac:dyDescent="0.3">
      <c r="CY16953" s="34" t="s">
        <v>17880</v>
      </c>
      <c r="CZ16953" s="35">
        <v>1.0269515999999999E-2</v>
      </c>
    </row>
    <row r="16954" spans="103:104" x14ac:dyDescent="0.3">
      <c r="CY16954" s="34" t="s">
        <v>17881</v>
      </c>
      <c r="CZ16954" s="35">
        <v>1.4767630399999999E-2</v>
      </c>
    </row>
    <row r="16955" spans="103:104" x14ac:dyDescent="0.3">
      <c r="CY16955" s="34" t="s">
        <v>17882</v>
      </c>
      <c r="CZ16955" s="35">
        <v>1.4642954399999998E-2</v>
      </c>
    </row>
    <row r="16956" spans="103:104" x14ac:dyDescent="0.3">
      <c r="CY16956" s="34" t="s">
        <v>17883</v>
      </c>
      <c r="CZ16956" s="35">
        <v>1.28535904E-2</v>
      </c>
    </row>
    <row r="16957" spans="103:104" x14ac:dyDescent="0.3">
      <c r="CY16957" s="34" t="s">
        <v>17884</v>
      </c>
      <c r="CZ16957" s="35">
        <v>1.23671784E-2</v>
      </c>
    </row>
    <row r="16958" spans="103:104" x14ac:dyDescent="0.3">
      <c r="CY16958" s="34" t="s">
        <v>17885</v>
      </c>
      <c r="CZ16958" s="35">
        <v>1.0820866600000001E-2</v>
      </c>
    </row>
    <row r="16959" spans="103:104" x14ac:dyDescent="0.3">
      <c r="CY16959" s="34" t="s">
        <v>17886</v>
      </c>
      <c r="CZ16959" s="35">
        <v>1.9874333714285713E-3</v>
      </c>
    </row>
    <row r="16960" spans="103:104" x14ac:dyDescent="0.3">
      <c r="CY16960" s="34" t="s">
        <v>17887</v>
      </c>
      <c r="CZ16960" s="35">
        <v>2.1390029714285714E-3</v>
      </c>
    </row>
    <row r="16961" spans="103:104" x14ac:dyDescent="0.3">
      <c r="CY16961" s="34" t="s">
        <v>17888</v>
      </c>
      <c r="CZ16961" s="35">
        <v>4.5976879999999991E-3</v>
      </c>
    </row>
    <row r="16962" spans="103:104" x14ac:dyDescent="0.3">
      <c r="CY16962" s="34" t="s">
        <v>17889</v>
      </c>
      <c r="CZ16962" s="35">
        <v>1.5666899999999997E-2</v>
      </c>
    </row>
    <row r="16963" spans="103:104" x14ac:dyDescent="0.3">
      <c r="CY16963" s="34" t="s">
        <v>17890</v>
      </c>
      <c r="CZ16963" s="35">
        <v>1.5666900000000001E-2</v>
      </c>
    </row>
    <row r="16964" spans="103:104" x14ac:dyDescent="0.3">
      <c r="CY16964" s="34" t="s">
        <v>17891</v>
      </c>
      <c r="CZ16964" s="35">
        <v>4.939286666666666E-2</v>
      </c>
    </row>
    <row r="16965" spans="103:104" x14ac:dyDescent="0.3">
      <c r="CY16965" s="34" t="s">
        <v>17892</v>
      </c>
      <c r="CZ16965" s="35">
        <v>4.8447866666666665E-2</v>
      </c>
    </row>
    <row r="16966" spans="103:104" x14ac:dyDescent="0.3">
      <c r="CY16966" s="34" t="s">
        <v>17893</v>
      </c>
      <c r="CZ16966" s="35">
        <v>1.7387911999999998E-2</v>
      </c>
    </row>
    <row r="16967" spans="103:104" x14ac:dyDescent="0.3">
      <c r="CY16967" s="34" t="s">
        <v>17894</v>
      </c>
      <c r="CZ16967" s="35">
        <v>7.4558024999999981E-3</v>
      </c>
    </row>
    <row r="16968" spans="103:104" x14ac:dyDescent="0.3">
      <c r="CY16968" s="34" t="s">
        <v>17895</v>
      </c>
      <c r="CZ16968" s="35">
        <v>6.6597119999999999E-3</v>
      </c>
    </row>
    <row r="16969" spans="103:104" x14ac:dyDescent="0.3">
      <c r="CY16969" s="34" t="s">
        <v>17896</v>
      </c>
      <c r="CZ16969" s="35">
        <v>6.6597119999999999E-3</v>
      </c>
    </row>
    <row r="16970" spans="103:104" x14ac:dyDescent="0.3">
      <c r="CY16970" s="34" t="s">
        <v>17897</v>
      </c>
      <c r="CZ16970" s="35">
        <v>6.6597119999999999E-3</v>
      </c>
    </row>
    <row r="16971" spans="103:104" x14ac:dyDescent="0.3">
      <c r="CY16971" s="34" t="s">
        <v>17898</v>
      </c>
      <c r="CZ16971" s="35">
        <v>6.6597119999999999E-3</v>
      </c>
    </row>
    <row r="16972" spans="103:104" x14ac:dyDescent="0.3">
      <c r="CY16972" s="34" t="s">
        <v>17899</v>
      </c>
      <c r="CZ16972" s="35">
        <v>1.0097249999999999E-2</v>
      </c>
    </row>
    <row r="16973" spans="103:104" x14ac:dyDescent="0.3">
      <c r="CY16973" s="34" t="s">
        <v>17900</v>
      </c>
      <c r="CZ16973" s="35">
        <v>4.4148079999999999E-2</v>
      </c>
    </row>
    <row r="16974" spans="103:104" x14ac:dyDescent="0.3">
      <c r="CY16974" s="34" t="s">
        <v>17901</v>
      </c>
      <c r="CZ16974" s="35">
        <v>0.40505023999999995</v>
      </c>
    </row>
    <row r="16975" spans="103:104" x14ac:dyDescent="0.3">
      <c r="CY16975" s="34" t="s">
        <v>17902</v>
      </c>
      <c r="CZ16975" s="35">
        <v>8.0406960000000013E-4</v>
      </c>
    </row>
    <row r="16976" spans="103:104" x14ac:dyDescent="0.3">
      <c r="CY16976" s="34" t="s">
        <v>17903</v>
      </c>
      <c r="CZ16976" s="35">
        <v>9.9944300000000003E-3</v>
      </c>
    </row>
    <row r="16977" spans="103:104" x14ac:dyDescent="0.3">
      <c r="CY16977" s="34" t="s">
        <v>17904</v>
      </c>
      <c r="CZ16977" s="35">
        <v>0.20389156000000003</v>
      </c>
    </row>
    <row r="16978" spans="103:104" x14ac:dyDescent="0.3">
      <c r="CY16978" s="34" t="s">
        <v>17905</v>
      </c>
      <c r="CZ16978" s="35">
        <v>0.24723501000000001</v>
      </c>
    </row>
    <row r="16979" spans="103:104" x14ac:dyDescent="0.3">
      <c r="CY16979" s="34" t="s">
        <v>17906</v>
      </c>
      <c r="CZ16979" s="35">
        <v>2.6347571818000001E-2</v>
      </c>
    </row>
    <row r="16980" spans="103:104" x14ac:dyDescent="0.3">
      <c r="CY16980" s="34" t="s">
        <v>17907</v>
      </c>
      <c r="CZ16980" s="35">
        <v>3.7024778999999994E-2</v>
      </c>
    </row>
    <row r="16981" spans="103:104" x14ac:dyDescent="0.3">
      <c r="CY16981" s="34" t="s">
        <v>17908</v>
      </c>
      <c r="CZ16981" s="35">
        <v>4.6558020000000006E-3</v>
      </c>
    </row>
    <row r="16982" spans="103:104" x14ac:dyDescent="0.3">
      <c r="CY16982" s="34" t="s">
        <v>17909</v>
      </c>
      <c r="CZ16982" s="35">
        <v>2.5486297400000003E-2</v>
      </c>
    </row>
    <row r="16983" spans="103:104" x14ac:dyDescent="0.3">
      <c r="CY16983" s="34" t="s">
        <v>17910</v>
      </c>
      <c r="CZ16983" s="35">
        <v>1.5381228E-2</v>
      </c>
    </row>
    <row r="16984" spans="103:104" x14ac:dyDescent="0.3">
      <c r="CY16984" s="34" t="s">
        <v>17911</v>
      </c>
      <c r="CZ16984" s="35">
        <v>1.9342624000000001E-3</v>
      </c>
    </row>
    <row r="16985" spans="103:104" x14ac:dyDescent="0.3">
      <c r="CY16985" s="34" t="s">
        <v>17912</v>
      </c>
      <c r="CZ16985" s="35">
        <v>3.3870927999999995E-2</v>
      </c>
    </row>
    <row r="16986" spans="103:104" x14ac:dyDescent="0.3">
      <c r="CY16986" s="34" t="s">
        <v>17913</v>
      </c>
      <c r="CZ16986" s="35">
        <v>4.9580112000000003E-2</v>
      </c>
    </row>
    <row r="16987" spans="103:104" x14ac:dyDescent="0.3">
      <c r="CY16987" s="34" t="s">
        <v>17914</v>
      </c>
      <c r="CZ16987" s="35">
        <v>4.6191215999999993E-2</v>
      </c>
    </row>
    <row r="16988" spans="103:104" x14ac:dyDescent="0.3">
      <c r="CY16988" s="34" t="s">
        <v>17915</v>
      </c>
      <c r="CZ16988" s="35">
        <v>6.3459856000000009E-2</v>
      </c>
    </row>
    <row r="16989" spans="103:104" x14ac:dyDescent="0.3">
      <c r="CY16989" s="34" t="s">
        <v>17916</v>
      </c>
      <c r="CZ16989" s="35">
        <v>6.3237111999999998E-2</v>
      </c>
    </row>
    <row r="16990" spans="103:104" x14ac:dyDescent="0.3">
      <c r="CY16990" s="34" t="s">
        <v>17917</v>
      </c>
      <c r="CZ16990" s="35">
        <v>9.1988556000000013E-2</v>
      </c>
    </row>
    <row r="16991" spans="103:104" x14ac:dyDescent="0.3">
      <c r="CY16991" s="34" t="s">
        <v>17918</v>
      </c>
      <c r="CZ16991" s="35">
        <v>0.14690185999999997</v>
      </c>
    </row>
    <row r="16992" spans="103:104" x14ac:dyDescent="0.3">
      <c r="CY16992" s="34" t="s">
        <v>17919</v>
      </c>
      <c r="CZ16992" s="35">
        <v>0.129004544</v>
      </c>
    </row>
    <row r="16993" spans="103:104" x14ac:dyDescent="0.3">
      <c r="CY16993" s="34" t="s">
        <v>17920</v>
      </c>
      <c r="CZ16993" s="35">
        <v>9.4981371428571432E-4</v>
      </c>
    </row>
    <row r="16994" spans="103:104" x14ac:dyDescent="0.3">
      <c r="CY16994" s="34" t="s">
        <v>17921</v>
      </c>
      <c r="CZ16994" s="35">
        <v>1.9784529999999998E-3</v>
      </c>
    </row>
    <row r="16995" spans="103:104" x14ac:dyDescent="0.3">
      <c r="CY16995" s="34" t="s">
        <v>17922</v>
      </c>
      <c r="CZ16995" s="35">
        <v>2.3248825000000001E-3</v>
      </c>
    </row>
    <row r="16996" spans="103:104" x14ac:dyDescent="0.3">
      <c r="CY16996" s="34" t="s">
        <v>17923</v>
      </c>
      <c r="CZ16996" s="35">
        <v>7.18113E-3</v>
      </c>
    </row>
    <row r="16997" spans="103:104" x14ac:dyDescent="0.3">
      <c r="CY16997" s="34" t="s">
        <v>17924</v>
      </c>
      <c r="CZ16997" s="35">
        <v>7.2187780000000003E-3</v>
      </c>
    </row>
    <row r="16998" spans="103:104" x14ac:dyDescent="0.3">
      <c r="CY16998" s="34" t="s">
        <v>17925</v>
      </c>
      <c r="CZ16998" s="35">
        <v>1.0069002000000001E-2</v>
      </c>
    </row>
    <row r="16999" spans="103:104" x14ac:dyDescent="0.3">
      <c r="CY16999" s="34" t="s">
        <v>17926</v>
      </c>
      <c r="CZ16999" s="35">
        <v>4.7039160000000003E-2</v>
      </c>
    </row>
    <row r="17000" spans="103:104" x14ac:dyDescent="0.3">
      <c r="CY17000" s="34" t="s">
        <v>17927</v>
      </c>
      <c r="CZ17000" s="35">
        <v>9.2164040000000003E-2</v>
      </c>
    </row>
    <row r="17001" spans="103:104" x14ac:dyDescent="0.3">
      <c r="CY17001" s="34" t="s">
        <v>17928</v>
      </c>
      <c r="CZ17001" s="35">
        <v>1.7498170000000004E-2</v>
      </c>
    </row>
    <row r="17002" spans="103:104" x14ac:dyDescent="0.3">
      <c r="CY17002" s="34" t="s">
        <v>17929</v>
      </c>
      <c r="CZ17002" s="35">
        <v>6.3111249999999994E-2</v>
      </c>
    </row>
    <row r="17003" spans="103:104" x14ac:dyDescent="0.3">
      <c r="CY17003" s="34" t="s">
        <v>17930</v>
      </c>
      <c r="CZ17003" s="35">
        <v>2.2749279999999998E-3</v>
      </c>
    </row>
    <row r="17004" spans="103:104" x14ac:dyDescent="0.3">
      <c r="CY17004" s="34" t="s">
        <v>17931</v>
      </c>
      <c r="CZ17004" s="35">
        <v>2.6800000000000005E-3</v>
      </c>
    </row>
    <row r="17005" spans="103:104" x14ac:dyDescent="0.3">
      <c r="CY17005" s="34" t="s">
        <v>17932</v>
      </c>
      <c r="CZ17005" s="35">
        <v>2.2749279999999998E-3</v>
      </c>
    </row>
    <row r="17006" spans="103:104" x14ac:dyDescent="0.3">
      <c r="CY17006" s="34" t="s">
        <v>17933</v>
      </c>
      <c r="CZ17006" s="35">
        <v>1.0202080000000001E-3</v>
      </c>
    </row>
    <row r="17007" spans="103:104" x14ac:dyDescent="0.3">
      <c r="CY17007" s="34" t="s">
        <v>17934</v>
      </c>
      <c r="CZ17007" s="35">
        <v>5.3745000000000001E-2</v>
      </c>
    </row>
    <row r="17008" spans="103:104" x14ac:dyDescent="0.3">
      <c r="CY17008" s="34" t="s">
        <v>17935</v>
      </c>
      <c r="CZ17008" s="35">
        <v>2.90966E-2</v>
      </c>
    </row>
    <row r="17009" spans="103:104" x14ac:dyDescent="0.3">
      <c r="CY17009" s="34" t="s">
        <v>17936</v>
      </c>
      <c r="CZ17009" s="35">
        <v>3.9486399999999995E-5</v>
      </c>
    </row>
    <row r="17010" spans="103:104" x14ac:dyDescent="0.3">
      <c r="CY17010" s="34" t="s">
        <v>17937</v>
      </c>
      <c r="CZ17010" s="35">
        <v>5.761904E-3</v>
      </c>
    </row>
    <row r="17011" spans="103:104" x14ac:dyDescent="0.3">
      <c r="CY17011" s="34" t="s">
        <v>17938</v>
      </c>
      <c r="CZ17011" s="35">
        <v>4.7982895999999992E-3</v>
      </c>
    </row>
    <row r="17012" spans="103:104" x14ac:dyDescent="0.3">
      <c r="CY17012" s="34" t="s">
        <v>17939</v>
      </c>
      <c r="CZ17012" s="35">
        <v>3.7767259999999997E-2</v>
      </c>
    </row>
    <row r="17013" spans="103:104" x14ac:dyDescent="0.3">
      <c r="CY17013" s="34" t="s">
        <v>17940</v>
      </c>
      <c r="CZ17013" s="35">
        <v>2.9006275E-3</v>
      </c>
    </row>
    <row r="17014" spans="103:104" x14ac:dyDescent="0.3">
      <c r="CY17014" s="34" t="s">
        <v>17941</v>
      </c>
      <c r="CZ17014" s="35">
        <v>6.0072765698630133E-3</v>
      </c>
    </row>
    <row r="17015" spans="103:104" x14ac:dyDescent="0.3">
      <c r="CY17015" s="34" t="s">
        <v>17942</v>
      </c>
      <c r="CZ17015" s="35">
        <v>1.449345E-2</v>
      </c>
    </row>
    <row r="17016" spans="103:104" x14ac:dyDescent="0.3">
      <c r="CY17016" s="34" t="s">
        <v>17943</v>
      </c>
      <c r="CZ17016" s="35">
        <v>8.0904244219999991E-2</v>
      </c>
    </row>
    <row r="17017" spans="103:104" x14ac:dyDescent="0.3">
      <c r="CY17017" s="34" t="s">
        <v>17944</v>
      </c>
      <c r="CZ17017" s="35">
        <v>3.2283952220000002E-2</v>
      </c>
    </row>
    <row r="17018" spans="103:104" x14ac:dyDescent="0.3">
      <c r="CY17018" s="34" t="s">
        <v>17945</v>
      </c>
      <c r="CZ17018" s="35">
        <v>0.12954324</v>
      </c>
    </row>
    <row r="17019" spans="103:104" x14ac:dyDescent="0.3">
      <c r="CY17019" s="34" t="s">
        <v>17946</v>
      </c>
      <c r="CZ17019" s="35">
        <v>6.346425533333333E-2</v>
      </c>
    </row>
    <row r="17020" spans="103:104" x14ac:dyDescent="0.3">
      <c r="CY17020" s="34" t="s">
        <v>17947</v>
      </c>
      <c r="CZ17020" s="35">
        <v>9.7034040000000002E-2</v>
      </c>
    </row>
    <row r="17021" spans="103:104" x14ac:dyDescent="0.3">
      <c r="CY17021" s="34" t="s">
        <v>17948</v>
      </c>
      <c r="CZ17021" s="35">
        <v>4.6900383335000004E-2</v>
      </c>
    </row>
    <row r="17022" spans="103:104" x14ac:dyDescent="0.3">
      <c r="CY17022" s="34" t="s">
        <v>17949</v>
      </c>
      <c r="CZ17022" s="35">
        <v>5.9736887999999988E-2</v>
      </c>
    </row>
    <row r="17023" spans="103:104" x14ac:dyDescent="0.3">
      <c r="CY17023" s="34" t="s">
        <v>17950</v>
      </c>
      <c r="CZ17023" s="35">
        <v>9.0283944000000005E-2</v>
      </c>
    </row>
    <row r="17024" spans="103:104" x14ac:dyDescent="0.3">
      <c r="CY17024" s="34" t="s">
        <v>17951</v>
      </c>
      <c r="CZ17024" s="35">
        <v>9.8334581363636347E-2</v>
      </c>
    </row>
    <row r="17025" spans="103:104" x14ac:dyDescent="0.3">
      <c r="CY17025" s="34" t="s">
        <v>17952</v>
      </c>
      <c r="CZ17025" s="35">
        <v>0.13377059999999999</v>
      </c>
    </row>
    <row r="17026" spans="103:104" x14ac:dyDescent="0.3">
      <c r="CY17026" s="34" t="s">
        <v>17953</v>
      </c>
      <c r="CZ17026" s="35">
        <v>9.2376839999999988E-2</v>
      </c>
    </row>
    <row r="17027" spans="103:104" x14ac:dyDescent="0.3">
      <c r="CY17027" s="34" t="s">
        <v>17954</v>
      </c>
      <c r="CZ17027" s="35">
        <v>8.6690433333333344E-3</v>
      </c>
    </row>
    <row r="17028" spans="103:104" x14ac:dyDescent="0.3">
      <c r="CY17028" s="34" t="s">
        <v>17955</v>
      </c>
      <c r="CZ17028" s="35">
        <v>5.2397149473684202E-3</v>
      </c>
    </row>
    <row r="17029" spans="103:104" x14ac:dyDescent="0.3">
      <c r="CY17029" s="34" t="s">
        <v>17956</v>
      </c>
      <c r="CZ17029" s="35">
        <v>2.6335164444444442E-3</v>
      </c>
    </row>
    <row r="17030" spans="103:104" x14ac:dyDescent="0.3">
      <c r="CY17030" s="34" t="s">
        <v>17957</v>
      </c>
      <c r="CZ17030" s="35">
        <v>0.1607682</v>
      </c>
    </row>
    <row r="17031" spans="103:104" x14ac:dyDescent="0.3">
      <c r="CY17031" s="34" t="s">
        <v>17958</v>
      </c>
      <c r="CZ17031" s="35">
        <v>1.426E-4</v>
      </c>
    </row>
    <row r="17032" spans="103:104" x14ac:dyDescent="0.3">
      <c r="CY17032" s="34" t="s">
        <v>17959</v>
      </c>
      <c r="CZ17032" s="35">
        <v>5.106106E-3</v>
      </c>
    </row>
    <row r="17033" spans="103:104" x14ac:dyDescent="0.3">
      <c r="CY17033" s="34" t="s">
        <v>17960</v>
      </c>
      <c r="CZ17033" s="35">
        <v>7.0660000000000002E-3</v>
      </c>
    </row>
    <row r="17034" spans="103:104" x14ac:dyDescent="0.3">
      <c r="CY17034" s="34" t="s">
        <v>17961</v>
      </c>
      <c r="CZ17034" s="35">
        <v>9.0390249999999991E-3</v>
      </c>
    </row>
    <row r="17035" spans="103:104" x14ac:dyDescent="0.3">
      <c r="CY17035" s="34" t="s">
        <v>17962</v>
      </c>
      <c r="CZ17035" s="35">
        <v>8.0627499999999987E-3</v>
      </c>
    </row>
    <row r="17036" spans="103:104" x14ac:dyDescent="0.3">
      <c r="CY17036" s="34" t="s">
        <v>17963</v>
      </c>
      <c r="CZ17036" s="35">
        <v>9.9497180000000005E-2</v>
      </c>
    </row>
    <row r="17037" spans="103:104" x14ac:dyDescent="0.3">
      <c r="CY17037" s="34" t="s">
        <v>17964</v>
      </c>
      <c r="CZ17037" s="35">
        <v>5.0768384000000003E-3</v>
      </c>
    </row>
    <row r="17038" spans="103:104" x14ac:dyDescent="0.3">
      <c r="CY17038" s="34" t="s">
        <v>17965</v>
      </c>
      <c r="CZ17038" s="35">
        <v>0.10727108799999999</v>
      </c>
    </row>
    <row r="17039" spans="103:104" x14ac:dyDescent="0.3">
      <c r="CY17039" s="34" t="s">
        <v>17966</v>
      </c>
      <c r="CZ17039" s="35">
        <v>2.9984105846153845E-2</v>
      </c>
    </row>
    <row r="17040" spans="103:104" x14ac:dyDescent="0.3">
      <c r="CY17040" s="34" t="s">
        <v>17967</v>
      </c>
      <c r="CZ17040" s="35">
        <v>1.7181249999999999E-2</v>
      </c>
    </row>
    <row r="17041" spans="103:104" x14ac:dyDescent="0.3">
      <c r="CY17041" s="34" t="s">
        <v>17968</v>
      </c>
      <c r="CZ17041" s="35">
        <v>3.8360577600000004E-3</v>
      </c>
    </row>
    <row r="17042" spans="103:104" x14ac:dyDescent="0.3">
      <c r="CY17042" s="34" t="s">
        <v>17969</v>
      </c>
      <c r="CZ17042" s="35">
        <v>0.64437865000000005</v>
      </c>
    </row>
    <row r="17043" spans="103:104" x14ac:dyDescent="0.3">
      <c r="CY17043" s="34" t="s">
        <v>17970</v>
      </c>
      <c r="CZ17043" s="35">
        <v>0.64437865000000005</v>
      </c>
    </row>
    <row r="17044" spans="103:104" x14ac:dyDescent="0.3">
      <c r="CY17044" s="34" t="s">
        <v>17971</v>
      </c>
      <c r="CZ17044" s="35">
        <v>0.78754159999999995</v>
      </c>
    </row>
    <row r="17045" spans="103:104" x14ac:dyDescent="0.3">
      <c r="CY17045" s="34" t="s">
        <v>17972</v>
      </c>
      <c r="CZ17045" s="35">
        <v>0.30282299999999995</v>
      </c>
    </row>
    <row r="17046" spans="103:104" x14ac:dyDescent="0.3">
      <c r="CY17046" s="34" t="s">
        <v>17973</v>
      </c>
      <c r="CZ17046" s="35">
        <v>5.2313333333333326E-3</v>
      </c>
    </row>
    <row r="17047" spans="103:104" x14ac:dyDescent="0.3">
      <c r="CY17047" s="34" t="s">
        <v>17974</v>
      </c>
      <c r="CZ17047" s="35">
        <v>5.6874326680000004E-2</v>
      </c>
    </row>
    <row r="17048" spans="103:104" x14ac:dyDescent="0.3">
      <c r="CY17048" s="34" t="s">
        <v>17975</v>
      </c>
      <c r="CZ17048" s="35">
        <v>4.2217232000000007E-2</v>
      </c>
    </row>
    <row r="17049" spans="103:104" x14ac:dyDescent="0.3">
      <c r="CY17049" s="34" t="s">
        <v>17976</v>
      </c>
      <c r="CZ17049" s="35">
        <v>2.1278551111111109E-3</v>
      </c>
    </row>
    <row r="17050" spans="103:104" x14ac:dyDescent="0.3">
      <c r="CY17050" s="34" t="s">
        <v>17977</v>
      </c>
      <c r="CZ17050" s="35">
        <v>5.2266628571428564E-4</v>
      </c>
    </row>
    <row r="17051" spans="103:104" x14ac:dyDescent="0.3">
      <c r="CY17051" s="34" t="s">
        <v>17978</v>
      </c>
      <c r="CZ17051" s="35">
        <v>3.0444543999999995E-3</v>
      </c>
    </row>
    <row r="17052" spans="103:104" x14ac:dyDescent="0.3">
      <c r="CY17052" s="34" t="s">
        <v>17979</v>
      </c>
      <c r="CZ17052" s="35">
        <v>6.1536782857142862E-2</v>
      </c>
    </row>
    <row r="17053" spans="103:104" x14ac:dyDescent="0.3">
      <c r="CY17053" s="34" t="s">
        <v>17980</v>
      </c>
      <c r="CZ17053" s="35">
        <v>6.3410596E-2</v>
      </c>
    </row>
    <row r="17054" spans="103:104" x14ac:dyDescent="0.3">
      <c r="CY17054" s="34" t="s">
        <v>17981</v>
      </c>
      <c r="CZ17054" s="35">
        <v>3.0183506666666669E-2</v>
      </c>
    </row>
    <row r="17055" spans="103:104" x14ac:dyDescent="0.3">
      <c r="CY17055" s="34" t="s">
        <v>17982</v>
      </c>
      <c r="CZ17055" s="35">
        <v>7.0192952000000003E-2</v>
      </c>
    </row>
    <row r="17056" spans="103:104" x14ac:dyDescent="0.3">
      <c r="CY17056" s="34" t="s">
        <v>17983</v>
      </c>
      <c r="CZ17056" s="35">
        <v>0.12560659199999999</v>
      </c>
    </row>
    <row r="17057" spans="103:104" x14ac:dyDescent="0.3">
      <c r="CY17057" s="34" t="s">
        <v>17984</v>
      </c>
      <c r="CZ17057" s="35">
        <v>0.12642241600000001</v>
      </c>
    </row>
    <row r="17058" spans="103:104" x14ac:dyDescent="0.3">
      <c r="CY17058" s="34" t="s">
        <v>17985</v>
      </c>
      <c r="CZ17058" s="35">
        <v>0.12520228799999999</v>
      </c>
    </row>
    <row r="17059" spans="103:104" x14ac:dyDescent="0.3">
      <c r="CY17059" s="34" t="s">
        <v>17986</v>
      </c>
      <c r="CZ17059" s="35">
        <v>0.124735072</v>
      </c>
    </row>
    <row r="17060" spans="103:104" x14ac:dyDescent="0.3">
      <c r="CY17060" s="34" t="s">
        <v>17987</v>
      </c>
      <c r="CZ17060" s="35">
        <v>2.5260131800766282E-3</v>
      </c>
    </row>
    <row r="17061" spans="103:104" x14ac:dyDescent="0.3">
      <c r="CY17061" s="34" t="s">
        <v>17988</v>
      </c>
      <c r="CZ17061" s="35">
        <v>5.0062046857142856E-2</v>
      </c>
    </row>
    <row r="17062" spans="103:104" x14ac:dyDescent="0.3">
      <c r="CY17062" s="34" t="s">
        <v>17989</v>
      </c>
      <c r="CZ17062" s="35">
        <v>2.4470920000000004E-2</v>
      </c>
    </row>
    <row r="17063" spans="103:104" x14ac:dyDescent="0.3">
      <c r="CY17063" s="34" t="s">
        <v>17990</v>
      </c>
      <c r="CZ17063" s="35">
        <v>5.8386379999999993E-3</v>
      </c>
    </row>
    <row r="17064" spans="103:104" x14ac:dyDescent="0.3">
      <c r="CY17064" s="34" t="s">
        <v>17991</v>
      </c>
      <c r="CZ17064" s="35">
        <v>5.7314940000000002E-3</v>
      </c>
    </row>
    <row r="17065" spans="103:104" x14ac:dyDescent="0.3">
      <c r="CY17065" s="34" t="s">
        <v>17992</v>
      </c>
      <c r="CZ17065" s="35">
        <v>5.5714879999999994E-3</v>
      </c>
    </row>
    <row r="17066" spans="103:104" x14ac:dyDescent="0.3">
      <c r="CY17066" s="34" t="s">
        <v>17993</v>
      </c>
      <c r="CZ17066" s="35">
        <v>1.9184011599999998E-2</v>
      </c>
    </row>
    <row r="17067" spans="103:104" x14ac:dyDescent="0.3">
      <c r="CY17067" s="34" t="s">
        <v>17994</v>
      </c>
      <c r="CZ17067" s="35">
        <v>1.0833341999999998E-2</v>
      </c>
    </row>
    <row r="17068" spans="103:104" x14ac:dyDescent="0.3">
      <c r="CY17068" s="34" t="s">
        <v>17995</v>
      </c>
      <c r="CZ17068" s="35">
        <v>7.9895993333333332E-3</v>
      </c>
    </row>
    <row r="17069" spans="103:104" x14ac:dyDescent="0.3">
      <c r="CY17069" s="34" t="s">
        <v>17996</v>
      </c>
      <c r="CZ17069" s="35">
        <v>0.11691236000000002</v>
      </c>
    </row>
    <row r="17070" spans="103:104" x14ac:dyDescent="0.3">
      <c r="CY17070" s="34" t="s">
        <v>17997</v>
      </c>
      <c r="CZ17070" s="35">
        <v>1.4386720000000002E-3</v>
      </c>
    </row>
    <row r="17071" spans="103:104" x14ac:dyDescent="0.3">
      <c r="CY17071" s="34" t="s">
        <v>17998</v>
      </c>
      <c r="CZ17071" s="35">
        <v>1.3538652000000002E-3</v>
      </c>
    </row>
    <row r="17072" spans="103:104" x14ac:dyDescent="0.3">
      <c r="CY17072" s="34" t="s">
        <v>17999</v>
      </c>
      <c r="CZ17072" s="35">
        <v>9.1135359999999999E-2</v>
      </c>
    </row>
    <row r="17073" spans="103:104" x14ac:dyDescent="0.3">
      <c r="CY17073" s="34" t="s">
        <v>18000</v>
      </c>
      <c r="CZ17073" s="35">
        <v>1.9320000000000001E-4</v>
      </c>
    </row>
    <row r="17074" spans="103:104" x14ac:dyDescent="0.3">
      <c r="CY17074" s="34" t="s">
        <v>18001</v>
      </c>
      <c r="CZ17074" s="35">
        <v>0.27545899999999995</v>
      </c>
    </row>
    <row r="17075" spans="103:104" x14ac:dyDescent="0.3">
      <c r="CY17075" s="34" t="s">
        <v>18002</v>
      </c>
      <c r="CZ17075" s="35">
        <v>0.26767649999999998</v>
      </c>
    </row>
    <row r="17076" spans="103:104" x14ac:dyDescent="0.3">
      <c r="CY17076" s="34" t="s">
        <v>18003</v>
      </c>
      <c r="CZ17076" s="35">
        <v>1.9263109333333334E-2</v>
      </c>
    </row>
    <row r="17077" spans="103:104" x14ac:dyDescent="0.3">
      <c r="CY17077" s="34" t="s">
        <v>18004</v>
      </c>
      <c r="CZ17077" s="35">
        <v>1.8170111999999999E-2</v>
      </c>
    </row>
    <row r="17078" spans="103:104" x14ac:dyDescent="0.3">
      <c r="CY17078" s="34" t="s">
        <v>18005</v>
      </c>
      <c r="CZ17078" s="35">
        <v>5.2066000000000005E-4</v>
      </c>
    </row>
    <row r="17079" spans="103:104" x14ac:dyDescent="0.3">
      <c r="CY17079" s="34" t="s">
        <v>18006</v>
      </c>
      <c r="CZ17079" s="35">
        <v>8.8101211999999998E-2</v>
      </c>
    </row>
    <row r="17080" spans="103:104" x14ac:dyDescent="0.3">
      <c r="CY17080" s="34" t="s">
        <v>18007</v>
      </c>
      <c r="CZ17080" s="35">
        <v>0.12714439849999998</v>
      </c>
    </row>
    <row r="17081" spans="103:104" x14ac:dyDescent="0.3">
      <c r="CY17081" s="34" t="s">
        <v>18008</v>
      </c>
      <c r="CZ17081" s="35">
        <v>0.15455991600000002</v>
      </c>
    </row>
    <row r="17082" spans="103:104" x14ac:dyDescent="0.3">
      <c r="CY17082" s="34" t="s">
        <v>18009</v>
      </c>
      <c r="CZ17082" s="35">
        <v>8.7612099999999984E-2</v>
      </c>
    </row>
    <row r="17083" spans="103:104" x14ac:dyDescent="0.3">
      <c r="CY17083" s="34" t="s">
        <v>18010</v>
      </c>
      <c r="CZ17083" s="35">
        <v>8.7612099999999984E-2</v>
      </c>
    </row>
    <row r="17084" spans="103:104" x14ac:dyDescent="0.3">
      <c r="CY17084" s="34" t="s">
        <v>18011</v>
      </c>
      <c r="CZ17084" s="35">
        <v>5.2600279999999999E-2</v>
      </c>
    </row>
    <row r="17085" spans="103:104" x14ac:dyDescent="0.3">
      <c r="CY17085" s="34" t="s">
        <v>18012</v>
      </c>
      <c r="CZ17085" s="35">
        <v>6.9300494000000008E-3</v>
      </c>
    </row>
    <row r="17086" spans="103:104" x14ac:dyDescent="0.3">
      <c r="CY17086" s="34" t="s">
        <v>18013</v>
      </c>
      <c r="CZ17086" s="35">
        <v>0.10153485</v>
      </c>
    </row>
    <row r="17087" spans="103:104" x14ac:dyDescent="0.3">
      <c r="CY17087" s="34" t="s">
        <v>18014</v>
      </c>
      <c r="CZ17087" s="35">
        <v>9.2115170133333341E-2</v>
      </c>
    </row>
    <row r="17088" spans="103:104" x14ac:dyDescent="0.3">
      <c r="CY17088" s="34" t="s">
        <v>18015</v>
      </c>
      <c r="CZ17088" s="35">
        <v>1.886164494736842E-2</v>
      </c>
    </row>
    <row r="17089" spans="103:104" x14ac:dyDescent="0.3">
      <c r="CY17089" s="34" t="s">
        <v>18016</v>
      </c>
      <c r="CZ17089" s="35">
        <v>4.9256199999999993E-2</v>
      </c>
    </row>
    <row r="17090" spans="103:104" x14ac:dyDescent="0.3">
      <c r="CY17090" s="34" t="s">
        <v>18017</v>
      </c>
      <c r="CZ17090" s="35">
        <v>9.1134117333333334E-2</v>
      </c>
    </row>
    <row r="17091" spans="103:104" x14ac:dyDescent="0.3">
      <c r="CY17091" s="34" t="s">
        <v>18018</v>
      </c>
      <c r="CZ17091" s="35">
        <v>1.3384282352941177E-2</v>
      </c>
    </row>
    <row r="17092" spans="103:104" x14ac:dyDescent="0.3">
      <c r="CY17092" s="34" t="s">
        <v>18019</v>
      </c>
      <c r="CZ17092" s="35">
        <v>6.91213865E-3</v>
      </c>
    </row>
    <row r="17093" spans="103:104" x14ac:dyDescent="0.3">
      <c r="CY17093" s="34" t="s">
        <v>18020</v>
      </c>
      <c r="CZ17093" s="35">
        <v>2.6328439999999998E-2</v>
      </c>
    </row>
    <row r="17094" spans="103:104" x14ac:dyDescent="0.3">
      <c r="CY17094" s="34" t="s">
        <v>18021</v>
      </c>
      <c r="CZ17094" s="35">
        <v>3.7691329999999995E-2</v>
      </c>
    </row>
    <row r="17095" spans="103:104" x14ac:dyDescent="0.3">
      <c r="CY17095" s="34" t="s">
        <v>18022</v>
      </c>
      <c r="CZ17095" s="35">
        <v>5.9333056E-3</v>
      </c>
    </row>
    <row r="17096" spans="103:104" x14ac:dyDescent="0.3">
      <c r="CY17096" s="34" t="s">
        <v>18023</v>
      </c>
      <c r="CZ17096" s="35">
        <v>8.9701720000000013E-4</v>
      </c>
    </row>
    <row r="17097" spans="103:104" x14ac:dyDescent="0.3">
      <c r="CY17097" s="34" t="s">
        <v>18024</v>
      </c>
      <c r="CZ17097" s="35">
        <v>1.4917672000000002E-3</v>
      </c>
    </row>
    <row r="17098" spans="103:104" x14ac:dyDescent="0.3">
      <c r="CY17098" s="34" t="s">
        <v>18025</v>
      </c>
      <c r="CZ17098" s="35">
        <v>9.1736583999999996E-4</v>
      </c>
    </row>
    <row r="17099" spans="103:104" x14ac:dyDescent="0.3">
      <c r="CY17099" s="34" t="s">
        <v>18026</v>
      </c>
      <c r="CZ17099" s="35">
        <v>1.9567823999999999E-3</v>
      </c>
    </row>
    <row r="17100" spans="103:104" x14ac:dyDescent="0.3">
      <c r="CY17100" s="34" t="s">
        <v>18027</v>
      </c>
      <c r="CZ17100" s="35">
        <v>1.9313423999999996E-2</v>
      </c>
    </row>
    <row r="17101" spans="103:104" x14ac:dyDescent="0.3">
      <c r="CY17101" s="34" t="s">
        <v>18028</v>
      </c>
      <c r="CZ17101" s="35">
        <v>1.3031250000000001E-2</v>
      </c>
    </row>
    <row r="17102" spans="103:104" x14ac:dyDescent="0.3">
      <c r="CY17102" s="34" t="s">
        <v>18029</v>
      </c>
      <c r="CZ17102" s="35">
        <v>3.2220499999999999E-2</v>
      </c>
    </row>
    <row r="17103" spans="103:104" x14ac:dyDescent="0.3">
      <c r="CY17103" s="34" t="s">
        <v>18030</v>
      </c>
      <c r="CZ17103" s="35">
        <v>9.3724240000000007E-3</v>
      </c>
    </row>
    <row r="17104" spans="103:104" x14ac:dyDescent="0.3">
      <c r="CY17104" s="34" t="s">
        <v>18031</v>
      </c>
      <c r="CZ17104" s="35">
        <v>7.5815744000000008E-3</v>
      </c>
    </row>
    <row r="17105" spans="103:104" x14ac:dyDescent="0.3">
      <c r="CY17105" s="34" t="s">
        <v>18032</v>
      </c>
      <c r="CZ17105" s="35">
        <v>7.6506711111111103E-3</v>
      </c>
    </row>
    <row r="17106" spans="103:104" x14ac:dyDescent="0.3">
      <c r="CY17106" s="34" t="s">
        <v>18033</v>
      </c>
      <c r="CZ17106" s="35">
        <v>1.2744524444444445E-2</v>
      </c>
    </row>
    <row r="17107" spans="103:104" x14ac:dyDescent="0.3">
      <c r="CY17107" s="34" t="s">
        <v>18034</v>
      </c>
      <c r="CZ17107" s="35">
        <v>7.2091660000000004E-3</v>
      </c>
    </row>
    <row r="17108" spans="103:104" x14ac:dyDescent="0.3">
      <c r="CY17108" s="34" t="s">
        <v>18035</v>
      </c>
      <c r="CZ17108" s="35">
        <v>0.10811184</v>
      </c>
    </row>
    <row r="17109" spans="103:104" x14ac:dyDescent="0.3">
      <c r="CY17109" s="34" t="s">
        <v>18036</v>
      </c>
      <c r="CZ17109" s="35">
        <v>2.2988268000000002E-3</v>
      </c>
    </row>
    <row r="17110" spans="103:104" x14ac:dyDescent="0.3">
      <c r="CY17110" s="34" t="s">
        <v>18037</v>
      </c>
      <c r="CZ17110" s="35">
        <v>9.2740833333333338E-3</v>
      </c>
    </row>
    <row r="17111" spans="103:104" x14ac:dyDescent="0.3">
      <c r="CY17111" s="34" t="s">
        <v>18038</v>
      </c>
      <c r="CZ17111" s="35">
        <v>6.6352625000000012E-2</v>
      </c>
    </row>
    <row r="17112" spans="103:104" x14ac:dyDescent="0.3">
      <c r="CY17112" s="34" t="s">
        <v>18039</v>
      </c>
      <c r="CZ17112" s="35">
        <v>1.2340823325E-2</v>
      </c>
    </row>
    <row r="17113" spans="103:104" x14ac:dyDescent="0.3">
      <c r="CY17113" s="34" t="s">
        <v>18040</v>
      </c>
      <c r="CZ17113" s="35">
        <v>2.1439393617021272E-2</v>
      </c>
    </row>
    <row r="17114" spans="103:104" x14ac:dyDescent="0.3">
      <c r="CY17114" s="34" t="s">
        <v>18041</v>
      </c>
      <c r="CZ17114" s="35">
        <v>1.3080349473684213E-2</v>
      </c>
    </row>
    <row r="17115" spans="103:104" x14ac:dyDescent="0.3">
      <c r="CY17115" s="34" t="s">
        <v>18042</v>
      </c>
      <c r="CZ17115" s="35">
        <v>2.3122223999999998E-3</v>
      </c>
    </row>
    <row r="17116" spans="103:104" x14ac:dyDescent="0.3">
      <c r="CY17116" s="34" t="s">
        <v>18043</v>
      </c>
      <c r="CZ17116" s="35">
        <v>1.2211095999999999E-3</v>
      </c>
    </row>
    <row r="17117" spans="103:104" x14ac:dyDescent="0.3">
      <c r="CY17117" s="34" t="s">
        <v>18044</v>
      </c>
      <c r="CZ17117" s="35">
        <v>1.4275848E-3</v>
      </c>
    </row>
    <row r="17118" spans="103:104" x14ac:dyDescent="0.3">
      <c r="CY17118" s="34" t="s">
        <v>18045</v>
      </c>
      <c r="CZ17118" s="35">
        <v>3.6219368421052636E-3</v>
      </c>
    </row>
    <row r="17119" spans="103:104" x14ac:dyDescent="0.3">
      <c r="CY17119" s="34" t="s">
        <v>18046</v>
      </c>
      <c r="CZ17119" s="35">
        <v>0.13075711815384614</v>
      </c>
    </row>
    <row r="17120" spans="103:104" x14ac:dyDescent="0.3">
      <c r="CY17120" s="34" t="s">
        <v>18047</v>
      </c>
      <c r="CZ17120" s="35">
        <v>8.1111533374999996E-3</v>
      </c>
    </row>
    <row r="17121" spans="103:104" x14ac:dyDescent="0.3">
      <c r="CY17121" s="34" t="s">
        <v>18048</v>
      </c>
      <c r="CZ17121" s="35">
        <v>4.2090738666666671E-3</v>
      </c>
    </row>
    <row r="17122" spans="103:104" x14ac:dyDescent="0.3">
      <c r="CY17122" s="34" t="s">
        <v>18049</v>
      </c>
      <c r="CZ17122" s="35">
        <v>4.8285074999999998E-3</v>
      </c>
    </row>
    <row r="17123" spans="103:104" x14ac:dyDescent="0.3">
      <c r="CY17123" s="34" t="s">
        <v>18050</v>
      </c>
      <c r="CZ17123" s="35">
        <v>9.7846533400000012E-3</v>
      </c>
    </row>
    <row r="17124" spans="103:104" x14ac:dyDescent="0.3">
      <c r="CY17124" s="34" t="s">
        <v>18051</v>
      </c>
      <c r="CZ17124" s="35">
        <v>7.0264705846153847E-3</v>
      </c>
    </row>
    <row r="17125" spans="103:104" x14ac:dyDescent="0.3">
      <c r="CY17125" s="34" t="s">
        <v>18052</v>
      </c>
      <c r="CZ17125" s="35">
        <v>2.0514080000000003E-4</v>
      </c>
    </row>
    <row r="17126" spans="103:104" x14ac:dyDescent="0.3">
      <c r="CY17126" s="34" t="s">
        <v>18053</v>
      </c>
      <c r="CZ17126" s="35">
        <v>5.9916639999999998E-3</v>
      </c>
    </row>
    <row r="17127" spans="103:104" x14ac:dyDescent="0.3">
      <c r="CY17127" s="34" t="s">
        <v>18054</v>
      </c>
      <c r="CZ17127" s="35">
        <v>5.9916639999999998E-3</v>
      </c>
    </row>
    <row r="17128" spans="103:104" x14ac:dyDescent="0.3">
      <c r="CY17128" s="34" t="s">
        <v>18055</v>
      </c>
      <c r="CZ17128" s="35">
        <v>1.0132144E-3</v>
      </c>
    </row>
    <row r="17129" spans="103:104" x14ac:dyDescent="0.3">
      <c r="CY17129" s="34" t="s">
        <v>18056</v>
      </c>
      <c r="CZ17129" s="35">
        <v>4.8651039999999994E-3</v>
      </c>
    </row>
    <row r="17130" spans="103:104" x14ac:dyDescent="0.3">
      <c r="CY17130" s="34" t="s">
        <v>18057</v>
      </c>
      <c r="CZ17130" s="35">
        <v>0.22338047279999998</v>
      </c>
    </row>
    <row r="17131" spans="103:104" x14ac:dyDescent="0.3">
      <c r="CY17131" s="34" t="s">
        <v>18058</v>
      </c>
      <c r="CZ17131" s="35">
        <v>0.19054921280000001</v>
      </c>
    </row>
    <row r="17132" spans="103:104" x14ac:dyDescent="0.3">
      <c r="CY17132" s="34" t="s">
        <v>18059</v>
      </c>
      <c r="CZ17132" s="35">
        <v>5.5296319999999996E-3</v>
      </c>
    </row>
    <row r="17133" spans="103:104" x14ac:dyDescent="0.3">
      <c r="CY17133" s="34" t="s">
        <v>18060</v>
      </c>
      <c r="CZ17133" s="35">
        <v>3.7554378041237111E-3</v>
      </c>
    </row>
    <row r="17134" spans="103:104" x14ac:dyDescent="0.3">
      <c r="CY17134" s="34" t="s">
        <v>18061</v>
      </c>
      <c r="CZ17134" s="35">
        <v>3.2306666623711337E-3</v>
      </c>
    </row>
    <row r="17135" spans="103:104" x14ac:dyDescent="0.3">
      <c r="CY17135" s="34" t="s">
        <v>18062</v>
      </c>
      <c r="CZ17135" s="35">
        <v>3.1477466699999998E-3</v>
      </c>
    </row>
    <row r="17136" spans="103:104" x14ac:dyDescent="0.3">
      <c r="CY17136" s="34" t="s">
        <v>18063</v>
      </c>
      <c r="CZ17136" s="35">
        <v>2.3407066670000001E-2</v>
      </c>
    </row>
    <row r="17137" spans="103:104" x14ac:dyDescent="0.3">
      <c r="CY17137" s="34" t="s">
        <v>18064</v>
      </c>
      <c r="CZ17137" s="35">
        <v>3.1337466624999999E-3</v>
      </c>
    </row>
    <row r="17138" spans="103:104" x14ac:dyDescent="0.3">
      <c r="CY17138" s="34" t="s">
        <v>18065</v>
      </c>
      <c r="CZ17138" s="35">
        <v>3.3117742222222218E-2</v>
      </c>
    </row>
    <row r="17139" spans="103:104" x14ac:dyDescent="0.3">
      <c r="CY17139" s="34" t="s">
        <v>18066</v>
      </c>
      <c r="CZ17139" s="35">
        <v>1.0439245E-2</v>
      </c>
    </row>
    <row r="17140" spans="103:104" x14ac:dyDescent="0.3">
      <c r="CY17140" s="34" t="s">
        <v>18067</v>
      </c>
      <c r="CZ17140" s="35">
        <v>6.9601210666666666E-3</v>
      </c>
    </row>
    <row r="17141" spans="103:104" x14ac:dyDescent="0.3">
      <c r="CY17141" s="34" t="s">
        <v>18068</v>
      </c>
      <c r="CZ17141" s="35">
        <v>0.12939328666666669</v>
      </c>
    </row>
    <row r="17142" spans="103:104" x14ac:dyDescent="0.3">
      <c r="CY17142" s="34" t="s">
        <v>18069</v>
      </c>
      <c r="CZ17142" s="35">
        <v>3.7925999999999994E-2</v>
      </c>
    </row>
    <row r="17143" spans="103:104" x14ac:dyDescent="0.3">
      <c r="CY17143" s="34" t="s">
        <v>18070</v>
      </c>
      <c r="CZ17143" s="35">
        <v>2.8532711266666667E-2</v>
      </c>
    </row>
    <row r="17144" spans="103:104" x14ac:dyDescent="0.3">
      <c r="CY17144" s="34" t="s">
        <v>18071</v>
      </c>
      <c r="CZ17144" s="35">
        <v>3.6955800000000004E-2</v>
      </c>
    </row>
    <row r="17145" spans="103:104" x14ac:dyDescent="0.3">
      <c r="CY17145" s="34" t="s">
        <v>18072</v>
      </c>
      <c r="CZ17145" s="35">
        <v>0.48309345000000004</v>
      </c>
    </row>
    <row r="17146" spans="103:104" x14ac:dyDescent="0.3">
      <c r="CY17146" s="34" t="s">
        <v>18073</v>
      </c>
      <c r="CZ17146" s="35">
        <v>2.0065033999999999E-3</v>
      </c>
    </row>
    <row r="17147" spans="103:104" x14ac:dyDescent="0.3">
      <c r="CY17147" s="34" t="s">
        <v>18074</v>
      </c>
      <c r="CZ17147" s="35">
        <v>0.10795998400000001</v>
      </c>
    </row>
    <row r="17148" spans="103:104" x14ac:dyDescent="0.3">
      <c r="CY17148" s="34" t="s">
        <v>18075</v>
      </c>
      <c r="CZ17148" s="35">
        <v>3.7568535E-2</v>
      </c>
    </row>
    <row r="17149" spans="103:104" x14ac:dyDescent="0.3">
      <c r="CY17149" s="34" t="s">
        <v>18076</v>
      </c>
      <c r="CZ17149" s="35">
        <v>7.7835920000000013E-4</v>
      </c>
    </row>
    <row r="17150" spans="103:104" x14ac:dyDescent="0.3">
      <c r="CY17150" s="34" t="s">
        <v>18077</v>
      </c>
      <c r="CZ17150" s="35">
        <v>9.05976E-3</v>
      </c>
    </row>
    <row r="17151" spans="103:104" x14ac:dyDescent="0.3">
      <c r="CY17151" s="34" t="s">
        <v>18078</v>
      </c>
      <c r="CZ17151" s="35">
        <v>2.8124399999999998E-3</v>
      </c>
    </row>
    <row r="17152" spans="103:104" x14ac:dyDescent="0.3">
      <c r="CY17152" s="34" t="s">
        <v>18079</v>
      </c>
      <c r="CZ17152" s="35">
        <v>0.11458938233333334</v>
      </c>
    </row>
    <row r="17153" spans="103:104" x14ac:dyDescent="0.3">
      <c r="CY17153" s="34" t="s">
        <v>18080</v>
      </c>
      <c r="CZ17153" s="35">
        <v>5.5634020000000006E-2</v>
      </c>
    </row>
    <row r="17154" spans="103:104" x14ac:dyDescent="0.3">
      <c r="CY17154" s="34" t="s">
        <v>18081</v>
      </c>
      <c r="CZ17154" s="35">
        <v>4.7624499999999997E-3</v>
      </c>
    </row>
    <row r="17155" spans="103:104" x14ac:dyDescent="0.3">
      <c r="CY17155" s="34" t="s">
        <v>18082</v>
      </c>
      <c r="CZ17155" s="35">
        <v>1.1056232E-4</v>
      </c>
    </row>
    <row r="17156" spans="103:104" x14ac:dyDescent="0.3">
      <c r="CY17156" s="34" t="s">
        <v>18083</v>
      </c>
      <c r="CZ17156" s="35">
        <v>2.1902312499999998E-4</v>
      </c>
    </row>
    <row r="17157" spans="103:104" x14ac:dyDescent="0.3">
      <c r="CY17157" s="34" t="s">
        <v>18084</v>
      </c>
      <c r="CZ17157" s="35">
        <v>2.1638378666666665E-4</v>
      </c>
    </row>
    <row r="17158" spans="103:104" x14ac:dyDescent="0.3">
      <c r="CY17158" s="34" t="s">
        <v>18085</v>
      </c>
      <c r="CZ17158" s="35">
        <v>4.9439643636363633E-4</v>
      </c>
    </row>
    <row r="17159" spans="103:104" x14ac:dyDescent="0.3">
      <c r="CY17159" s="34" t="s">
        <v>18086</v>
      </c>
      <c r="CZ17159" s="35">
        <v>9.5863428571428566E-4</v>
      </c>
    </row>
    <row r="17160" spans="103:104" x14ac:dyDescent="0.3">
      <c r="CY17160" s="34" t="s">
        <v>18087</v>
      </c>
      <c r="CZ17160" s="35">
        <v>6.8421875000000007E-2</v>
      </c>
    </row>
    <row r="17161" spans="103:104" x14ac:dyDescent="0.3">
      <c r="CY17161" s="34" t="s">
        <v>18088</v>
      </c>
      <c r="CZ17161" s="35">
        <v>1.0590336E-3</v>
      </c>
    </row>
    <row r="17162" spans="103:104" x14ac:dyDescent="0.3">
      <c r="CY17162" s="34" t="s">
        <v>18089</v>
      </c>
      <c r="CZ17162" s="35">
        <v>7.0429200000000011E-2</v>
      </c>
    </row>
    <row r="17163" spans="103:104" x14ac:dyDescent="0.3">
      <c r="CY17163" s="34" t="s">
        <v>18090</v>
      </c>
      <c r="CZ17163" s="35">
        <v>1.0128159999999999E-3</v>
      </c>
    </row>
    <row r="17164" spans="103:104" x14ac:dyDescent="0.3">
      <c r="CY17164" s="34" t="s">
        <v>18091</v>
      </c>
      <c r="CZ17164" s="35">
        <v>6.6369112499999994E-2</v>
      </c>
    </row>
    <row r="17165" spans="103:104" x14ac:dyDescent="0.3">
      <c r="CY17165" s="34" t="s">
        <v>18092</v>
      </c>
      <c r="CZ17165" s="35">
        <v>8.2436778947368436E-2</v>
      </c>
    </row>
    <row r="17166" spans="103:104" x14ac:dyDescent="0.3">
      <c r="CY17166" s="34" t="s">
        <v>18093</v>
      </c>
      <c r="CZ17166" s="35">
        <v>2.6742214736842101E-2</v>
      </c>
    </row>
    <row r="17167" spans="103:104" x14ac:dyDescent="0.3">
      <c r="CY17167" s="34" t="s">
        <v>18094</v>
      </c>
      <c r="CZ17167" s="35">
        <v>8.508742105263159E-2</v>
      </c>
    </row>
    <row r="17168" spans="103:104" x14ac:dyDescent="0.3">
      <c r="CY17168" s="34" t="s">
        <v>18095</v>
      </c>
      <c r="CZ17168" s="35">
        <v>8.3194105263157903E-2</v>
      </c>
    </row>
    <row r="17169" spans="103:104" x14ac:dyDescent="0.3">
      <c r="CY17169" s="34" t="s">
        <v>18096</v>
      </c>
      <c r="CZ17169" s="35">
        <v>8.3194105263157916E-2</v>
      </c>
    </row>
    <row r="17170" spans="103:104" x14ac:dyDescent="0.3">
      <c r="CY17170" s="34" t="s">
        <v>18097</v>
      </c>
      <c r="CZ17170" s="35">
        <v>0.24577103496242106</v>
      </c>
    </row>
    <row r="17171" spans="103:104" x14ac:dyDescent="0.3">
      <c r="CY17171" s="34" t="s">
        <v>18098</v>
      </c>
      <c r="CZ17171" s="35">
        <v>0.222240032</v>
      </c>
    </row>
    <row r="17172" spans="103:104" x14ac:dyDescent="0.3">
      <c r="CY17172" s="34" t="s">
        <v>18099</v>
      </c>
      <c r="CZ17172" s="35">
        <v>9.041192E-3</v>
      </c>
    </row>
    <row r="17173" spans="103:104" x14ac:dyDescent="0.3">
      <c r="CY17173" s="34" t="s">
        <v>18100</v>
      </c>
      <c r="CZ17173" s="35">
        <v>7.9259820000000016E-3</v>
      </c>
    </row>
    <row r="17174" spans="103:104" x14ac:dyDescent="0.3">
      <c r="CY17174" s="34" t="s">
        <v>18101</v>
      </c>
      <c r="CZ17174" s="35">
        <v>6.2514159333333322E-3</v>
      </c>
    </row>
    <row r="17175" spans="103:104" x14ac:dyDescent="0.3">
      <c r="CY17175" s="34" t="s">
        <v>18102</v>
      </c>
      <c r="CZ17175" s="35">
        <v>5.5811413333333336E-3</v>
      </c>
    </row>
    <row r="17176" spans="103:104" x14ac:dyDescent="0.3">
      <c r="CY17176" s="34" t="s">
        <v>18103</v>
      </c>
      <c r="CZ17176" s="35">
        <v>9.5558666680000001E-2</v>
      </c>
    </row>
    <row r="17177" spans="103:104" x14ac:dyDescent="0.3">
      <c r="CY17177" s="34" t="s">
        <v>18104</v>
      </c>
      <c r="CZ17177" s="35">
        <v>8.6339133333333332E-2</v>
      </c>
    </row>
    <row r="17178" spans="103:104" x14ac:dyDescent="0.3">
      <c r="CY17178" s="34" t="s">
        <v>18105</v>
      </c>
      <c r="CZ17178" s="35">
        <v>9.4948666000000001E-2</v>
      </c>
    </row>
    <row r="17179" spans="103:104" x14ac:dyDescent="0.3">
      <c r="CY17179" s="34" t="s">
        <v>18106</v>
      </c>
      <c r="CZ17179" s="35">
        <v>9.593237037037039E-2</v>
      </c>
    </row>
    <row r="17180" spans="103:104" x14ac:dyDescent="0.3">
      <c r="CY17180" s="34" t="s">
        <v>18107</v>
      </c>
      <c r="CZ17180" s="35">
        <v>9.5932370000000003E-2</v>
      </c>
    </row>
    <row r="17181" spans="103:104" x14ac:dyDescent="0.3">
      <c r="CY17181" s="34" t="s">
        <v>18108</v>
      </c>
      <c r="CZ17181" s="35">
        <v>8.6036426649999997E-2</v>
      </c>
    </row>
    <row r="17182" spans="103:104" x14ac:dyDescent="0.3">
      <c r="CY17182" s="34" t="s">
        <v>18109</v>
      </c>
      <c r="CZ17182" s="35">
        <v>8.8696746650000019E-2</v>
      </c>
    </row>
    <row r="17183" spans="103:104" x14ac:dyDescent="0.3">
      <c r="CY17183" s="34" t="s">
        <v>18110</v>
      </c>
      <c r="CZ17183" s="35">
        <v>7.2734828000000015E-2</v>
      </c>
    </row>
    <row r="17184" spans="103:104" x14ac:dyDescent="0.3">
      <c r="CY17184" s="34" t="s">
        <v>18111</v>
      </c>
      <c r="CZ17184" s="35">
        <v>7.1285828000000009E-2</v>
      </c>
    </row>
    <row r="17185" spans="103:104" x14ac:dyDescent="0.3">
      <c r="CY17185" s="34" t="s">
        <v>18112</v>
      </c>
      <c r="CZ17185" s="35">
        <v>7.4576733325000005E-2</v>
      </c>
    </row>
    <row r="17186" spans="103:104" x14ac:dyDescent="0.3">
      <c r="CY17186" s="34" t="s">
        <v>18113</v>
      </c>
      <c r="CZ17186" s="35">
        <v>9.7022000000000011E-2</v>
      </c>
    </row>
    <row r="17187" spans="103:104" x14ac:dyDescent="0.3">
      <c r="CY17187" s="34" t="s">
        <v>18114</v>
      </c>
      <c r="CZ17187" s="35">
        <v>2.0918148000000001E-2</v>
      </c>
    </row>
    <row r="17188" spans="103:104" x14ac:dyDescent="0.3">
      <c r="CY17188" s="34" t="s">
        <v>18115</v>
      </c>
      <c r="CZ17188" s="35">
        <v>5.9019199999999994E-2</v>
      </c>
    </row>
    <row r="17189" spans="103:104" x14ac:dyDescent="0.3">
      <c r="CY17189" s="34" t="s">
        <v>18116</v>
      </c>
      <c r="CZ17189" s="35">
        <v>5.9019199999999994E-2</v>
      </c>
    </row>
    <row r="17190" spans="103:104" x14ac:dyDescent="0.3">
      <c r="CY17190" s="34" t="s">
        <v>18117</v>
      </c>
      <c r="CZ17190" s="35">
        <v>2.9083749999999991E-3</v>
      </c>
    </row>
    <row r="17191" spans="103:104" x14ac:dyDescent="0.3">
      <c r="CY17191" s="34" t="s">
        <v>18118</v>
      </c>
      <c r="CZ17191" s="35">
        <v>7.0792530666666659E-2</v>
      </c>
    </row>
    <row r="17192" spans="103:104" x14ac:dyDescent="0.3">
      <c r="CY17192" s="34" t="s">
        <v>18119</v>
      </c>
      <c r="CZ17192" s="35">
        <v>9.9002079999999993E-4</v>
      </c>
    </row>
    <row r="17193" spans="103:104" x14ac:dyDescent="0.3">
      <c r="CY17193" s="34" t="s">
        <v>18120</v>
      </c>
      <c r="CZ17193" s="35">
        <v>0.55513443546666652</v>
      </c>
    </row>
    <row r="17194" spans="103:104" x14ac:dyDescent="0.3">
      <c r="CY17194" s="34" t="s">
        <v>18121</v>
      </c>
      <c r="CZ17194" s="35">
        <v>7.2375888888888892E-2</v>
      </c>
    </row>
    <row r="17195" spans="103:104" x14ac:dyDescent="0.3">
      <c r="CY17195" s="34" t="s">
        <v>18122</v>
      </c>
      <c r="CZ17195" s="35">
        <v>3.1913285000000007E-2</v>
      </c>
    </row>
    <row r="17196" spans="103:104" x14ac:dyDescent="0.3">
      <c r="CY17196" s="34" t="s">
        <v>18123</v>
      </c>
      <c r="CZ17196" s="35">
        <v>3.6733493333333338E-3</v>
      </c>
    </row>
    <row r="17197" spans="103:104" x14ac:dyDescent="0.3">
      <c r="CY17197" s="34" t="s">
        <v>18124</v>
      </c>
      <c r="CZ17197" s="35">
        <v>0.20160887428571431</v>
      </c>
    </row>
    <row r="17198" spans="103:104" x14ac:dyDescent="0.3">
      <c r="CY17198" s="34" t="s">
        <v>18125</v>
      </c>
      <c r="CZ17198" s="35">
        <v>4.7723082285714286E-2</v>
      </c>
    </row>
    <row r="17199" spans="103:104" x14ac:dyDescent="0.3">
      <c r="CY17199" s="34" t="s">
        <v>18126</v>
      </c>
      <c r="CZ17199" s="35">
        <v>2.2973839999999995E-3</v>
      </c>
    </row>
    <row r="17200" spans="103:104" x14ac:dyDescent="0.3">
      <c r="CY17200" s="34" t="s">
        <v>18127</v>
      </c>
      <c r="CZ17200" s="35">
        <v>3.5769416000000005E-2</v>
      </c>
    </row>
    <row r="17201" spans="103:104" x14ac:dyDescent="0.3">
      <c r="CY17201" s="34" t="s">
        <v>18128</v>
      </c>
      <c r="CZ17201" s="35">
        <v>1.5974120000000001E-2</v>
      </c>
    </row>
    <row r="17202" spans="103:104" x14ac:dyDescent="0.3">
      <c r="CY17202" s="34" t="s">
        <v>18129</v>
      </c>
      <c r="CZ17202" s="35">
        <v>7.0661861052631579E-3</v>
      </c>
    </row>
    <row r="17203" spans="103:104" x14ac:dyDescent="0.3">
      <c r="CY17203" s="34" t="s">
        <v>18130</v>
      </c>
      <c r="CZ17203" s="35">
        <v>8.161733333333334E-3</v>
      </c>
    </row>
    <row r="17204" spans="103:104" x14ac:dyDescent="0.3">
      <c r="CY17204" s="34" t="s">
        <v>18131</v>
      </c>
      <c r="CZ17204" s="35">
        <v>1.40228E-2</v>
      </c>
    </row>
    <row r="17205" spans="103:104" x14ac:dyDescent="0.3">
      <c r="CY17205" s="34" t="s">
        <v>18132</v>
      </c>
      <c r="CZ17205" s="35">
        <v>5.9879143999999995E-2</v>
      </c>
    </row>
    <row r="17206" spans="103:104" x14ac:dyDescent="0.3">
      <c r="CY17206" s="34" t="s">
        <v>18133</v>
      </c>
      <c r="CZ17206" s="35">
        <v>0.13009938400000001</v>
      </c>
    </row>
    <row r="17207" spans="103:104" x14ac:dyDescent="0.3">
      <c r="CY17207" s="34" t="s">
        <v>18134</v>
      </c>
      <c r="CZ17207" s="35">
        <v>0.109139984</v>
      </c>
    </row>
    <row r="17208" spans="103:104" x14ac:dyDescent="0.3">
      <c r="CY17208" s="34" t="s">
        <v>18135</v>
      </c>
      <c r="CZ17208" s="35">
        <v>0.73523757999999984</v>
      </c>
    </row>
    <row r="17209" spans="103:104" x14ac:dyDescent="0.3">
      <c r="CY17209" s="34" t="s">
        <v>18136</v>
      </c>
      <c r="CZ17209" s="35">
        <v>0.33319706666666671</v>
      </c>
    </row>
    <row r="17210" spans="103:104" x14ac:dyDescent="0.3">
      <c r="CY17210" s="34" t="s">
        <v>18137</v>
      </c>
      <c r="CZ17210" s="35">
        <v>0.37967600000000001</v>
      </c>
    </row>
    <row r="17211" spans="103:104" x14ac:dyDescent="0.3">
      <c r="CY17211" s="34" t="s">
        <v>18138</v>
      </c>
      <c r="CZ17211" s="35">
        <v>3.2356360000000001E-2</v>
      </c>
    </row>
    <row r="17212" spans="103:104" x14ac:dyDescent="0.3">
      <c r="CY17212" s="34" t="s">
        <v>18139</v>
      </c>
      <c r="CZ17212" s="35">
        <v>4.8317955999999995E-2</v>
      </c>
    </row>
    <row r="17213" spans="103:104" x14ac:dyDescent="0.3">
      <c r="CY17213" s="34" t="s">
        <v>18140</v>
      </c>
      <c r="CZ17213" s="35">
        <v>3.1738590000000004E-2</v>
      </c>
    </row>
    <row r="17214" spans="103:104" x14ac:dyDescent="0.3">
      <c r="CY17214" s="34" t="s">
        <v>18141</v>
      </c>
      <c r="CZ17214" s="35">
        <v>6.0770919999999999E-2</v>
      </c>
    </row>
    <row r="17215" spans="103:104" x14ac:dyDescent="0.3">
      <c r="CY17215" s="34" t="s">
        <v>18142</v>
      </c>
      <c r="CZ17215" s="35">
        <v>6.6044399999999983E-4</v>
      </c>
    </row>
    <row r="17216" spans="103:104" x14ac:dyDescent="0.3">
      <c r="CY17216" s="34" t="s">
        <v>18143</v>
      </c>
      <c r="CZ17216" s="35">
        <v>2.2353475000000001E-3</v>
      </c>
    </row>
    <row r="17217" spans="103:104" x14ac:dyDescent="0.3">
      <c r="CY17217" s="34" t="s">
        <v>18144</v>
      </c>
      <c r="CZ17217" s="35">
        <v>9.5487168000000014E-4</v>
      </c>
    </row>
    <row r="17218" spans="103:104" x14ac:dyDescent="0.3">
      <c r="CY17218" s="34" t="s">
        <v>18145</v>
      </c>
      <c r="CZ17218" s="35">
        <v>8.2984319999999999E-4</v>
      </c>
    </row>
    <row r="17219" spans="103:104" x14ac:dyDescent="0.3">
      <c r="CY17219" s="34" t="s">
        <v>18146</v>
      </c>
      <c r="CZ17219" s="35">
        <v>5.6019E-5</v>
      </c>
    </row>
    <row r="17220" spans="103:104" x14ac:dyDescent="0.3">
      <c r="CY17220" s="34" t="s">
        <v>18147</v>
      </c>
      <c r="CZ17220" s="35">
        <v>8.8653900000000002E-5</v>
      </c>
    </row>
    <row r="17221" spans="103:104" x14ac:dyDescent="0.3">
      <c r="CY17221" s="34" t="s">
        <v>18148</v>
      </c>
      <c r="CZ17221" s="35">
        <v>2.4005279999999999E-3</v>
      </c>
    </row>
    <row r="17222" spans="103:104" x14ac:dyDescent="0.3">
      <c r="CY17222" s="34" t="s">
        <v>18149</v>
      </c>
      <c r="CZ17222" s="35">
        <v>4.3660400000000002E-2</v>
      </c>
    </row>
    <row r="17223" spans="103:104" x14ac:dyDescent="0.3">
      <c r="CY17223" s="34" t="s">
        <v>18150</v>
      </c>
      <c r="CZ17223" s="35">
        <v>4.2975664000000004E-2</v>
      </c>
    </row>
    <row r="17224" spans="103:104" x14ac:dyDescent="0.3">
      <c r="CY17224" s="34" t="s">
        <v>18151</v>
      </c>
      <c r="CZ17224" s="35">
        <v>4.3660400000000002E-2</v>
      </c>
    </row>
    <row r="17225" spans="103:104" x14ac:dyDescent="0.3">
      <c r="CY17225" s="34" t="s">
        <v>18152</v>
      </c>
      <c r="CZ17225" s="35">
        <v>4.2975664000000004E-2</v>
      </c>
    </row>
    <row r="17226" spans="103:104" x14ac:dyDescent="0.3">
      <c r="CY17226" s="34" t="s">
        <v>18153</v>
      </c>
      <c r="CZ17226" s="35">
        <v>4.4516320000000005E-2</v>
      </c>
    </row>
    <row r="17227" spans="103:104" x14ac:dyDescent="0.3">
      <c r="CY17227" s="34" t="s">
        <v>18154</v>
      </c>
      <c r="CZ17227" s="35">
        <v>4.3660400000000002E-2</v>
      </c>
    </row>
    <row r="17228" spans="103:104" x14ac:dyDescent="0.3">
      <c r="CY17228" s="34" t="s">
        <v>18155</v>
      </c>
      <c r="CZ17228" s="35">
        <v>4.3660400000000002E-2</v>
      </c>
    </row>
    <row r="17229" spans="103:104" x14ac:dyDescent="0.3">
      <c r="CY17229" s="34" t="s">
        <v>18156</v>
      </c>
      <c r="CZ17229" s="35">
        <v>4.2975664000000004E-2</v>
      </c>
    </row>
    <row r="17230" spans="103:104" x14ac:dyDescent="0.3">
      <c r="CY17230" s="34" t="s">
        <v>18157</v>
      </c>
      <c r="CZ17230" s="35">
        <v>1.788808E-3</v>
      </c>
    </row>
    <row r="17231" spans="103:104" x14ac:dyDescent="0.3">
      <c r="CY17231" s="34" t="s">
        <v>18158</v>
      </c>
      <c r="CZ17231" s="35">
        <v>3.279808599999999E-2</v>
      </c>
    </row>
    <row r="17232" spans="103:104" x14ac:dyDescent="0.3">
      <c r="CY17232" s="34" t="s">
        <v>18159</v>
      </c>
      <c r="CZ17232" s="35">
        <v>2.3066845349999997E-2</v>
      </c>
    </row>
    <row r="17233" spans="103:104" x14ac:dyDescent="0.3">
      <c r="CY17233" s="34" t="s">
        <v>18160</v>
      </c>
      <c r="CZ17233" s="35">
        <v>1.4690966799999999E-3</v>
      </c>
    </row>
    <row r="17234" spans="103:104" x14ac:dyDescent="0.3">
      <c r="CY17234" s="34" t="s">
        <v>18161</v>
      </c>
      <c r="CZ17234" s="35">
        <v>9.5026012857142865E-4</v>
      </c>
    </row>
    <row r="17235" spans="103:104" x14ac:dyDescent="0.3">
      <c r="CY17235" s="34" t="s">
        <v>18162</v>
      </c>
      <c r="CZ17235" s="35">
        <v>1.1943023999999999E-3</v>
      </c>
    </row>
    <row r="17236" spans="103:104" x14ac:dyDescent="0.3">
      <c r="CY17236" s="34" t="s">
        <v>18163</v>
      </c>
      <c r="CZ17236" s="35">
        <v>2.8925832457142855E-3</v>
      </c>
    </row>
    <row r="17237" spans="103:104" x14ac:dyDescent="0.3">
      <c r="CY17237" s="34" t="s">
        <v>18164</v>
      </c>
      <c r="CZ17237" s="35">
        <v>6.1534824571428577E-4</v>
      </c>
    </row>
    <row r="17238" spans="103:104" x14ac:dyDescent="0.3">
      <c r="CY17238" s="34" t="s">
        <v>18165</v>
      </c>
      <c r="CZ17238" s="35">
        <v>1.5940619999999998E-3</v>
      </c>
    </row>
    <row r="17239" spans="103:104" x14ac:dyDescent="0.3">
      <c r="CY17239" s="34" t="s">
        <v>18166</v>
      </c>
      <c r="CZ17239" s="35">
        <v>8.1492559999999988E-3</v>
      </c>
    </row>
    <row r="17240" spans="103:104" x14ac:dyDescent="0.3">
      <c r="CY17240" s="34" t="s">
        <v>18167</v>
      </c>
      <c r="CZ17240" s="35">
        <v>1.2044415999999999E-2</v>
      </c>
    </row>
    <row r="17241" spans="103:104" x14ac:dyDescent="0.3">
      <c r="CY17241" s="34" t="s">
        <v>18168</v>
      </c>
      <c r="CZ17241" s="35">
        <v>1.2506457499999999E-3</v>
      </c>
    </row>
    <row r="17242" spans="103:104" x14ac:dyDescent="0.3">
      <c r="CY17242" s="34" t="s">
        <v>18169</v>
      </c>
      <c r="CZ17242" s="35">
        <v>0.11705536000000001</v>
      </c>
    </row>
    <row r="17243" spans="103:104" x14ac:dyDescent="0.3">
      <c r="CY17243" s="34" t="s">
        <v>18170</v>
      </c>
      <c r="CZ17243" s="35">
        <v>5.0655659999999998E-2</v>
      </c>
    </row>
    <row r="17244" spans="103:104" x14ac:dyDescent="0.3">
      <c r="CY17244" s="34" t="s">
        <v>18171</v>
      </c>
      <c r="CZ17244" s="35">
        <v>6.8116017500000001E-2</v>
      </c>
    </row>
    <row r="17245" spans="103:104" x14ac:dyDescent="0.3">
      <c r="CY17245" s="34" t="s">
        <v>18172</v>
      </c>
      <c r="CZ17245" s="35">
        <v>0.12970276</v>
      </c>
    </row>
    <row r="17246" spans="103:104" x14ac:dyDescent="0.3">
      <c r="CY17246" s="34" t="s">
        <v>18173</v>
      </c>
      <c r="CZ17246" s="35">
        <v>1.115985</v>
      </c>
    </row>
    <row r="17247" spans="103:104" x14ac:dyDescent="0.3">
      <c r="CY17247" s="34" t="s">
        <v>18174</v>
      </c>
      <c r="CZ17247" s="35">
        <v>2.6408960000000002E-2</v>
      </c>
    </row>
    <row r="17248" spans="103:104" x14ac:dyDescent="0.3">
      <c r="CY17248" s="34" t="s">
        <v>18175</v>
      </c>
      <c r="CZ17248" s="35">
        <v>2.6408960000000002E-2</v>
      </c>
    </row>
    <row r="17249" spans="103:104" x14ac:dyDescent="0.3">
      <c r="CY17249" s="34" t="s">
        <v>18176</v>
      </c>
      <c r="CZ17249" s="35">
        <v>3.1684759999999999E-2</v>
      </c>
    </row>
    <row r="17250" spans="103:104" x14ac:dyDescent="0.3">
      <c r="CY17250" s="34" t="s">
        <v>18177</v>
      </c>
      <c r="CZ17250" s="35">
        <v>3.1684759999999999E-2</v>
      </c>
    </row>
    <row r="17251" spans="103:104" x14ac:dyDescent="0.3">
      <c r="CY17251" s="34" t="s">
        <v>18178</v>
      </c>
      <c r="CZ17251" s="35">
        <v>4.8637520000000004E-2</v>
      </c>
    </row>
    <row r="17252" spans="103:104" x14ac:dyDescent="0.3">
      <c r="CY17252" s="34" t="s">
        <v>18179</v>
      </c>
      <c r="CZ17252" s="35">
        <v>2.3989880000000002E-2</v>
      </c>
    </row>
    <row r="17253" spans="103:104" x14ac:dyDescent="0.3">
      <c r="CY17253" s="34" t="s">
        <v>18180</v>
      </c>
      <c r="CZ17253" s="35">
        <v>1.7598040000000002E-2</v>
      </c>
    </row>
    <row r="17254" spans="103:104" x14ac:dyDescent="0.3">
      <c r="CY17254" s="34" t="s">
        <v>18181</v>
      </c>
      <c r="CZ17254" s="35">
        <v>1.8511160000000002E-2</v>
      </c>
    </row>
    <row r="17255" spans="103:104" x14ac:dyDescent="0.3">
      <c r="CY17255" s="34" t="s">
        <v>18182</v>
      </c>
      <c r="CZ17255" s="35">
        <v>2.3076760000000002E-2</v>
      </c>
    </row>
    <row r="17256" spans="103:104" x14ac:dyDescent="0.3">
      <c r="CY17256" s="34" t="s">
        <v>18183</v>
      </c>
      <c r="CZ17256" s="35">
        <v>2.3740279999999999E-2</v>
      </c>
    </row>
    <row r="17257" spans="103:104" x14ac:dyDescent="0.3">
      <c r="CY17257" s="34" t="s">
        <v>18184</v>
      </c>
      <c r="CZ17257" s="35">
        <v>0.13971546666666668</v>
      </c>
    </row>
    <row r="17258" spans="103:104" x14ac:dyDescent="0.3">
      <c r="CY17258" s="34" t="s">
        <v>18185</v>
      </c>
      <c r="CZ17258" s="35">
        <v>0.13971546666666668</v>
      </c>
    </row>
    <row r="17259" spans="103:104" x14ac:dyDescent="0.3">
      <c r="CY17259" s="34" t="s">
        <v>18186</v>
      </c>
      <c r="CZ17259" s="35">
        <v>0.39186023569023559</v>
      </c>
    </row>
    <row r="17260" spans="103:104" x14ac:dyDescent="0.3">
      <c r="CY17260" s="34" t="s">
        <v>18187</v>
      </c>
      <c r="CZ17260" s="35">
        <v>0.10737716498316498</v>
      </c>
    </row>
    <row r="17261" spans="103:104" x14ac:dyDescent="0.3">
      <c r="CY17261" s="34" t="s">
        <v>18188</v>
      </c>
      <c r="CZ17261" s="35">
        <v>0.60060609427609435</v>
      </c>
    </row>
    <row r="17262" spans="103:104" x14ac:dyDescent="0.3">
      <c r="CY17262" s="34" t="s">
        <v>18189</v>
      </c>
      <c r="CZ17262" s="35">
        <v>1.6802548333333334E-2</v>
      </c>
    </row>
    <row r="17263" spans="103:104" x14ac:dyDescent="0.3">
      <c r="CY17263" s="34" t="s">
        <v>18190</v>
      </c>
      <c r="CZ17263" s="35">
        <v>2.3110589350000002E-2</v>
      </c>
    </row>
    <row r="17264" spans="103:104" x14ac:dyDescent="0.3">
      <c r="CY17264" s="34" t="s">
        <v>18191</v>
      </c>
      <c r="CZ17264" s="35">
        <v>5.0919336842105263E-2</v>
      </c>
    </row>
    <row r="17265" spans="103:104" x14ac:dyDescent="0.3">
      <c r="CY17265" s="34" t="s">
        <v>18192</v>
      </c>
      <c r="CZ17265" s="35">
        <v>5.3288876150375947E-2</v>
      </c>
    </row>
    <row r="17266" spans="103:104" x14ac:dyDescent="0.3">
      <c r="CY17266" s="34" t="s">
        <v>18193</v>
      </c>
      <c r="CZ17266" s="35">
        <v>0.10830065532857142</v>
      </c>
    </row>
    <row r="17267" spans="103:104" x14ac:dyDescent="0.3">
      <c r="CY17267" s="34" t="s">
        <v>18194</v>
      </c>
      <c r="CZ17267" s="35">
        <v>5.0067941052631577E-2</v>
      </c>
    </row>
    <row r="17268" spans="103:104" x14ac:dyDescent="0.3">
      <c r="CY17268" s="34" t="s">
        <v>18195</v>
      </c>
      <c r="CZ17268" s="35">
        <v>5.1826069999999997E-3</v>
      </c>
    </row>
    <row r="17269" spans="103:104" x14ac:dyDescent="0.3">
      <c r="CY17269" s="34" t="s">
        <v>18196</v>
      </c>
      <c r="CZ17269" s="35">
        <v>0.11633043555555553</v>
      </c>
    </row>
    <row r="17270" spans="103:104" x14ac:dyDescent="0.3">
      <c r="CY17270" s="34" t="s">
        <v>18197</v>
      </c>
      <c r="CZ17270" s="35">
        <v>5.1012613333333331E-2</v>
      </c>
    </row>
    <row r="17271" spans="103:104" x14ac:dyDescent="0.3">
      <c r="CY17271" s="34" t="s">
        <v>18198</v>
      </c>
      <c r="CZ17271" s="35">
        <v>0.11996325052631578</v>
      </c>
    </row>
    <row r="17272" spans="103:104" x14ac:dyDescent="0.3">
      <c r="CY17272" s="34" t="s">
        <v>18199</v>
      </c>
      <c r="CZ17272" s="35">
        <v>8.586883555555555E-2</v>
      </c>
    </row>
    <row r="17273" spans="103:104" x14ac:dyDescent="0.3">
      <c r="CY17273" s="34" t="s">
        <v>18200</v>
      </c>
      <c r="CZ17273" s="35">
        <v>0.24019298</v>
      </c>
    </row>
    <row r="17274" spans="103:104" x14ac:dyDescent="0.3">
      <c r="CY17274" s="34" t="s">
        <v>18201</v>
      </c>
      <c r="CZ17274" s="35">
        <v>0.11590867368421053</v>
      </c>
    </row>
    <row r="17275" spans="103:104" x14ac:dyDescent="0.3">
      <c r="CY17275" s="34" t="s">
        <v>18202</v>
      </c>
      <c r="CZ17275" s="35">
        <v>0.10141924210526318</v>
      </c>
    </row>
    <row r="17276" spans="103:104" x14ac:dyDescent="0.3">
      <c r="CY17276" s="34" t="s">
        <v>18203</v>
      </c>
      <c r="CZ17276" s="35">
        <v>6.909549999999999E-2</v>
      </c>
    </row>
    <row r="17277" spans="103:104" x14ac:dyDescent="0.3">
      <c r="CY17277" s="34" t="s">
        <v>18204</v>
      </c>
      <c r="CZ17277" s="35">
        <v>0.10206500444444444</v>
      </c>
    </row>
    <row r="17278" spans="103:104" x14ac:dyDescent="0.3">
      <c r="CY17278" s="34" t="s">
        <v>18205</v>
      </c>
      <c r="CZ17278" s="35">
        <v>0.10548021052631579</v>
      </c>
    </row>
    <row r="17279" spans="103:104" x14ac:dyDescent="0.3">
      <c r="CY17279" s="34" t="s">
        <v>18206</v>
      </c>
      <c r="CZ17279" s="35">
        <v>0.13066592701754387</v>
      </c>
    </row>
    <row r="17280" spans="103:104" x14ac:dyDescent="0.3">
      <c r="CY17280" s="34" t="s">
        <v>18207</v>
      </c>
      <c r="CZ17280" s="35">
        <v>6.6617355789473684E-2</v>
      </c>
    </row>
    <row r="17281" spans="103:104" x14ac:dyDescent="0.3">
      <c r="CY17281" s="34" t="s">
        <v>18208</v>
      </c>
      <c r="CZ17281" s="35">
        <v>7.6627063999999995E-2</v>
      </c>
    </row>
    <row r="17282" spans="103:104" x14ac:dyDescent="0.3">
      <c r="CY17282" s="34" t="s">
        <v>18209</v>
      </c>
      <c r="CZ17282" s="35">
        <v>7.9633432000000004E-2</v>
      </c>
    </row>
    <row r="17283" spans="103:104" x14ac:dyDescent="0.3">
      <c r="CY17283" s="34" t="s">
        <v>18210</v>
      </c>
      <c r="CZ17283" s="35">
        <v>7.9459831999999994E-2</v>
      </c>
    </row>
    <row r="17284" spans="103:104" x14ac:dyDescent="0.3">
      <c r="CY17284" s="34" t="s">
        <v>18211</v>
      </c>
      <c r="CZ17284" s="35">
        <v>7.1304788664285718E-2</v>
      </c>
    </row>
    <row r="17285" spans="103:104" x14ac:dyDescent="0.3">
      <c r="CY17285" s="34" t="s">
        <v>18212</v>
      </c>
      <c r="CZ17285" s="35">
        <v>1.4780967999999998E-2</v>
      </c>
    </row>
    <row r="17286" spans="103:104" x14ac:dyDescent="0.3">
      <c r="CY17286" s="34" t="s">
        <v>18213</v>
      </c>
      <c r="CZ17286" s="35">
        <v>1.4958440799999998E-2</v>
      </c>
    </row>
    <row r="17287" spans="103:104" x14ac:dyDescent="0.3">
      <c r="CY17287" s="34" t="s">
        <v>18214</v>
      </c>
      <c r="CZ17287" s="35">
        <v>1.3674167999999999E-2</v>
      </c>
    </row>
    <row r="17288" spans="103:104" x14ac:dyDescent="0.3">
      <c r="CY17288" s="34" t="s">
        <v>18215</v>
      </c>
      <c r="CZ17288" s="35">
        <v>1.6950192000000003E-2</v>
      </c>
    </row>
    <row r="17289" spans="103:104" x14ac:dyDescent="0.3">
      <c r="CY17289" s="34" t="s">
        <v>18216</v>
      </c>
      <c r="CZ17289" s="35">
        <v>6.1369200000000006E-3</v>
      </c>
    </row>
    <row r="17290" spans="103:104" x14ac:dyDescent="0.3">
      <c r="CY17290" s="34" t="s">
        <v>18217</v>
      </c>
      <c r="CZ17290" s="35">
        <v>8.3640800000000012E-3</v>
      </c>
    </row>
    <row r="17291" spans="103:104" x14ac:dyDescent="0.3">
      <c r="CY17291" s="34" t="s">
        <v>18218</v>
      </c>
      <c r="CZ17291" s="35">
        <v>4.922938400000001E-3</v>
      </c>
    </row>
    <row r="17292" spans="103:104" x14ac:dyDescent="0.3">
      <c r="CY17292" s="34" t="s">
        <v>18219</v>
      </c>
      <c r="CZ17292" s="35">
        <v>6.7589625E-3</v>
      </c>
    </row>
    <row r="17293" spans="103:104" x14ac:dyDescent="0.3">
      <c r="CY17293" s="34" t="s">
        <v>18220</v>
      </c>
      <c r="CZ17293" s="35">
        <v>3.0383005340000001E-2</v>
      </c>
    </row>
    <row r="17294" spans="103:104" x14ac:dyDescent="0.3">
      <c r="CY17294" s="34" t="s">
        <v>18221</v>
      </c>
      <c r="CZ17294" s="35">
        <v>1.0446698399999999E-2</v>
      </c>
    </row>
    <row r="17295" spans="103:104" x14ac:dyDescent="0.3">
      <c r="CY17295" s="34" t="s">
        <v>18222</v>
      </c>
      <c r="CZ17295" s="35">
        <v>2.0097784E-3</v>
      </c>
    </row>
    <row r="17296" spans="103:104" x14ac:dyDescent="0.3">
      <c r="CY17296" s="34" t="s">
        <v>18223</v>
      </c>
      <c r="CZ17296" s="35">
        <v>7.1910119999999992E-3</v>
      </c>
    </row>
    <row r="17297" spans="103:104" x14ac:dyDescent="0.3">
      <c r="CY17297" s="34" t="s">
        <v>18224</v>
      </c>
      <c r="CZ17297" s="35">
        <v>7.2554120000000001E-3</v>
      </c>
    </row>
    <row r="17298" spans="103:104" x14ac:dyDescent="0.3">
      <c r="CY17298" s="34" t="s">
        <v>18225</v>
      </c>
      <c r="CZ17298" s="35">
        <v>2.0787784E-3</v>
      </c>
    </row>
    <row r="17299" spans="103:104" x14ac:dyDescent="0.3">
      <c r="CY17299" s="34" t="s">
        <v>18226</v>
      </c>
      <c r="CZ17299" s="35">
        <v>2.83336E-2</v>
      </c>
    </row>
    <row r="17300" spans="103:104" x14ac:dyDescent="0.3">
      <c r="CY17300" s="34" t="s">
        <v>18227</v>
      </c>
      <c r="CZ17300" s="35">
        <v>9.5708599999999987E-3</v>
      </c>
    </row>
    <row r="17301" spans="103:104" x14ac:dyDescent="0.3">
      <c r="CY17301" s="34" t="s">
        <v>18228</v>
      </c>
      <c r="CZ17301" s="35">
        <v>3.1207824E-3</v>
      </c>
    </row>
    <row r="17302" spans="103:104" x14ac:dyDescent="0.3">
      <c r="CY17302" s="34" t="s">
        <v>18229</v>
      </c>
      <c r="CZ17302" s="35">
        <v>9.3245439999999988E-3</v>
      </c>
    </row>
    <row r="17303" spans="103:104" x14ac:dyDescent="0.3">
      <c r="CY17303" s="34" t="s">
        <v>18230</v>
      </c>
      <c r="CZ17303" s="35">
        <v>1.0774691999999999E-2</v>
      </c>
    </row>
    <row r="17304" spans="103:104" x14ac:dyDescent="0.3">
      <c r="CY17304" s="34" t="s">
        <v>18231</v>
      </c>
      <c r="CZ17304" s="35">
        <v>2.7229933339999998E-2</v>
      </c>
    </row>
    <row r="17305" spans="103:104" x14ac:dyDescent="0.3">
      <c r="CY17305" s="34" t="s">
        <v>18232</v>
      </c>
      <c r="CZ17305" s="35">
        <v>2.97153879E-3</v>
      </c>
    </row>
    <row r="17306" spans="103:104" x14ac:dyDescent="0.3">
      <c r="CY17306" s="34" t="s">
        <v>18233</v>
      </c>
      <c r="CZ17306" s="35">
        <v>5.1094999999999992E-4</v>
      </c>
    </row>
    <row r="17307" spans="103:104" x14ac:dyDescent="0.3">
      <c r="CY17307" s="34" t="s">
        <v>18234</v>
      </c>
      <c r="CZ17307" s="35">
        <v>1.3726160000000001E-3</v>
      </c>
    </row>
    <row r="17308" spans="103:104" x14ac:dyDescent="0.3">
      <c r="CY17308" s="34" t="s">
        <v>18235</v>
      </c>
      <c r="CZ17308" s="35">
        <v>1.57084E-3</v>
      </c>
    </row>
    <row r="17309" spans="103:104" x14ac:dyDescent="0.3">
      <c r="CY17309" s="34" t="s">
        <v>18236</v>
      </c>
      <c r="CZ17309" s="35">
        <v>1.0491864888888889E-3</v>
      </c>
    </row>
    <row r="17310" spans="103:104" x14ac:dyDescent="0.3">
      <c r="CY17310" s="34" t="s">
        <v>18237</v>
      </c>
      <c r="CZ17310" s="35">
        <v>3.5130509166249996E-4</v>
      </c>
    </row>
    <row r="17311" spans="103:104" x14ac:dyDescent="0.3">
      <c r="CY17311" s="34" t="s">
        <v>18238</v>
      </c>
      <c r="CZ17311" s="35">
        <v>3.699223735825545E-4</v>
      </c>
    </row>
    <row r="17312" spans="103:104" x14ac:dyDescent="0.3">
      <c r="CY17312" s="34" t="s">
        <v>18239</v>
      </c>
      <c r="CZ17312" s="35">
        <v>5.4092799999999998E-4</v>
      </c>
    </row>
    <row r="17313" spans="103:104" x14ac:dyDescent="0.3">
      <c r="CY17313" s="34" t="s">
        <v>18240</v>
      </c>
      <c r="CZ17313" s="35">
        <v>2.9823272E-4</v>
      </c>
    </row>
    <row r="17314" spans="103:104" x14ac:dyDescent="0.3">
      <c r="CY17314" s="34" t="s">
        <v>18241</v>
      </c>
      <c r="CZ17314" s="35">
        <v>2.2494966666666665E-4</v>
      </c>
    </row>
    <row r="17315" spans="103:104" x14ac:dyDescent="0.3">
      <c r="CY17315" s="34" t="s">
        <v>18242</v>
      </c>
      <c r="CZ17315" s="35">
        <v>2.5622033249999999E-3</v>
      </c>
    </row>
    <row r="17316" spans="103:104" x14ac:dyDescent="0.3">
      <c r="CY17316" s="34" t="s">
        <v>18243</v>
      </c>
      <c r="CZ17316" s="35">
        <v>3.6802290000000001E-3</v>
      </c>
    </row>
    <row r="17317" spans="103:104" x14ac:dyDescent="0.3">
      <c r="CY17317" s="34" t="s">
        <v>18244</v>
      </c>
      <c r="CZ17317" s="35">
        <v>3.1711160000000001E-4</v>
      </c>
    </row>
    <row r="17318" spans="103:104" x14ac:dyDescent="0.3">
      <c r="CY17318" s="34" t="s">
        <v>18245</v>
      </c>
      <c r="CZ17318" s="35">
        <v>4.5018000000000006E-4</v>
      </c>
    </row>
    <row r="17319" spans="103:104" x14ac:dyDescent="0.3">
      <c r="CY17319" s="34" t="s">
        <v>18246</v>
      </c>
      <c r="CZ17319" s="35">
        <v>3.6208020000000004E-4</v>
      </c>
    </row>
    <row r="17320" spans="103:104" x14ac:dyDescent="0.3">
      <c r="CY17320" s="34" t="s">
        <v>18247</v>
      </c>
      <c r="CZ17320" s="35">
        <v>5.1953299999999997E-4</v>
      </c>
    </row>
    <row r="17321" spans="103:104" x14ac:dyDescent="0.3">
      <c r="CY17321" s="34" t="s">
        <v>18248</v>
      </c>
      <c r="CZ17321" s="35">
        <v>6.2332799999999992E-4</v>
      </c>
    </row>
    <row r="17322" spans="103:104" x14ac:dyDescent="0.3">
      <c r="CY17322" s="34" t="s">
        <v>18249</v>
      </c>
      <c r="CZ17322" s="35">
        <v>3.8732222222222223E-4</v>
      </c>
    </row>
    <row r="17323" spans="103:104" x14ac:dyDescent="0.3">
      <c r="CY17323" s="34" t="s">
        <v>18250</v>
      </c>
      <c r="CZ17323" s="35">
        <v>9.2193813333333338E-4</v>
      </c>
    </row>
    <row r="17324" spans="103:104" x14ac:dyDescent="0.3">
      <c r="CY17324" s="34" t="s">
        <v>18251</v>
      </c>
      <c r="CZ17324" s="35">
        <v>6.5056280000000009E-4</v>
      </c>
    </row>
    <row r="17325" spans="103:104" x14ac:dyDescent="0.3">
      <c r="CY17325" s="34" t="s">
        <v>18252</v>
      </c>
      <c r="CZ17325" s="35">
        <v>8.1767268571428578E-4</v>
      </c>
    </row>
    <row r="17326" spans="103:104" x14ac:dyDescent="0.3">
      <c r="CY17326" s="34" t="s">
        <v>18253</v>
      </c>
      <c r="CZ17326" s="35">
        <v>4.7571746000000007E-4</v>
      </c>
    </row>
    <row r="17327" spans="103:104" x14ac:dyDescent="0.3">
      <c r="CY17327" s="34" t="s">
        <v>18254</v>
      </c>
      <c r="CZ17327" s="35">
        <v>2.4738144E-4</v>
      </c>
    </row>
    <row r="17328" spans="103:104" x14ac:dyDescent="0.3">
      <c r="CY17328" s="34" t="s">
        <v>18255</v>
      </c>
      <c r="CZ17328" s="35">
        <v>6.4006000000000013E-4</v>
      </c>
    </row>
    <row r="17329" spans="103:104" x14ac:dyDescent="0.3">
      <c r="CY17329" s="34" t="s">
        <v>18256</v>
      </c>
      <c r="CZ17329" s="35">
        <v>8.5306919999999988E-4</v>
      </c>
    </row>
    <row r="17330" spans="103:104" x14ac:dyDescent="0.3">
      <c r="CY17330" s="34" t="s">
        <v>18257</v>
      </c>
      <c r="CZ17330" s="35">
        <v>5.663071999999999E-4</v>
      </c>
    </row>
    <row r="17331" spans="103:104" x14ac:dyDescent="0.3">
      <c r="CY17331" s="34" t="s">
        <v>18258</v>
      </c>
      <c r="CZ17331" s="35">
        <v>6.0681000000000005E-4</v>
      </c>
    </row>
    <row r="17332" spans="103:104" x14ac:dyDescent="0.3">
      <c r="CY17332" s="34" t="s">
        <v>18259</v>
      </c>
      <c r="CZ17332" s="35">
        <v>8.4829920000000002E-4</v>
      </c>
    </row>
    <row r="17333" spans="103:104" x14ac:dyDescent="0.3">
      <c r="CY17333" s="34" t="s">
        <v>18260</v>
      </c>
      <c r="CZ17333" s="35">
        <v>5.4440080000000006E-4</v>
      </c>
    </row>
    <row r="17334" spans="103:104" x14ac:dyDescent="0.3">
      <c r="CY17334" s="34" t="s">
        <v>18261</v>
      </c>
      <c r="CZ17334" s="35">
        <v>1.1139053933333332E-3</v>
      </c>
    </row>
    <row r="17335" spans="103:104" x14ac:dyDescent="0.3">
      <c r="CY17335" s="34" t="s">
        <v>18262</v>
      </c>
      <c r="CZ17335" s="35">
        <v>1.7962387466666663E-3</v>
      </c>
    </row>
    <row r="17336" spans="103:104" x14ac:dyDescent="0.3">
      <c r="CY17336" s="34" t="s">
        <v>18263</v>
      </c>
      <c r="CZ17336" s="35">
        <v>2.0918880000000001E-3</v>
      </c>
    </row>
    <row r="17337" spans="103:104" x14ac:dyDescent="0.3">
      <c r="CY17337" s="34" t="s">
        <v>18264</v>
      </c>
      <c r="CZ17337" s="35">
        <v>2.318210666666667E-3</v>
      </c>
    </row>
    <row r="17338" spans="103:104" x14ac:dyDescent="0.3">
      <c r="CY17338" s="34" t="s">
        <v>18265</v>
      </c>
      <c r="CZ17338" s="35">
        <v>9.1689280000000005E-4</v>
      </c>
    </row>
    <row r="17339" spans="103:104" x14ac:dyDescent="0.3">
      <c r="CY17339" s="34" t="s">
        <v>18266</v>
      </c>
      <c r="CZ17339" s="35">
        <v>9.9698500000000009E-2</v>
      </c>
    </row>
    <row r="17340" spans="103:104" x14ac:dyDescent="0.3">
      <c r="CY17340" s="34" t="s">
        <v>18267</v>
      </c>
      <c r="CZ17340" s="35">
        <v>8.4718584999999999E-2</v>
      </c>
    </row>
    <row r="17341" spans="103:104" x14ac:dyDescent="0.3">
      <c r="CY17341" s="34" t="s">
        <v>18268</v>
      </c>
      <c r="CZ17341" s="35">
        <v>6.8386692000000013E-2</v>
      </c>
    </row>
    <row r="17342" spans="103:104" x14ac:dyDescent="0.3">
      <c r="CY17342" s="34" t="s">
        <v>18269</v>
      </c>
      <c r="CZ17342" s="35">
        <v>9.7695274285714284E-2</v>
      </c>
    </row>
    <row r="17343" spans="103:104" x14ac:dyDescent="0.3">
      <c r="CY17343" s="34" t="s">
        <v>18270</v>
      </c>
      <c r="CZ17343" s="35">
        <v>0.13904570922406312</v>
      </c>
    </row>
    <row r="17344" spans="103:104" x14ac:dyDescent="0.3">
      <c r="CY17344" s="34" t="s">
        <v>18271</v>
      </c>
      <c r="CZ17344" s="35">
        <v>0.19844060631578947</v>
      </c>
    </row>
    <row r="17345" spans="103:104" x14ac:dyDescent="0.3">
      <c r="CY17345" s="34" t="s">
        <v>18272</v>
      </c>
      <c r="CZ17345" s="35">
        <v>3.7008319344344343E-2</v>
      </c>
    </row>
    <row r="17346" spans="103:104" x14ac:dyDescent="0.3">
      <c r="CY17346" s="34" t="s">
        <v>18273</v>
      </c>
      <c r="CZ17346" s="35">
        <v>7.7862702106318946E-2</v>
      </c>
    </row>
    <row r="17347" spans="103:104" x14ac:dyDescent="0.3">
      <c r="CY17347" s="34" t="s">
        <v>18274</v>
      </c>
      <c r="CZ17347" s="35">
        <v>7.1328693399999995E-3</v>
      </c>
    </row>
    <row r="17348" spans="103:104" x14ac:dyDescent="0.3">
      <c r="CY17348" s="34" t="s">
        <v>18275</v>
      </c>
      <c r="CZ17348" s="35">
        <v>3.4824016000000002E-3</v>
      </c>
    </row>
    <row r="17349" spans="103:104" x14ac:dyDescent="0.3">
      <c r="CY17349" s="34" t="s">
        <v>18276</v>
      </c>
      <c r="CZ17349" s="35">
        <v>6.7916035087719293E-3</v>
      </c>
    </row>
    <row r="17350" spans="103:104" x14ac:dyDescent="0.3">
      <c r="CY17350" s="34" t="s">
        <v>18277</v>
      </c>
      <c r="CZ17350" s="35">
        <v>2.8148264000000003E-2</v>
      </c>
    </row>
    <row r="17351" spans="103:104" x14ac:dyDescent="0.3">
      <c r="CY17351" s="34" t="s">
        <v>18278</v>
      </c>
      <c r="CZ17351" s="35">
        <v>9.6187695000000007E-3</v>
      </c>
    </row>
    <row r="17352" spans="103:104" x14ac:dyDescent="0.3">
      <c r="CY17352" s="34" t="s">
        <v>18279</v>
      </c>
      <c r="CZ17352" s="35">
        <v>1.286328E-3</v>
      </c>
    </row>
    <row r="17353" spans="103:104" x14ac:dyDescent="0.3">
      <c r="CY17353" s="34" t="s">
        <v>18280</v>
      </c>
      <c r="CZ17353" s="35">
        <v>2.3244368000000003E-3</v>
      </c>
    </row>
    <row r="17354" spans="103:104" x14ac:dyDescent="0.3">
      <c r="CY17354" s="34" t="s">
        <v>18281</v>
      </c>
      <c r="CZ17354" s="35">
        <v>2.4308288000000002E-3</v>
      </c>
    </row>
    <row r="17355" spans="103:104" x14ac:dyDescent="0.3">
      <c r="CY17355" s="34" t="s">
        <v>18282</v>
      </c>
      <c r="CZ17355" s="35">
        <v>2.0649431578947364E-3</v>
      </c>
    </row>
    <row r="17356" spans="103:104" x14ac:dyDescent="0.3">
      <c r="CY17356" s="34" t="s">
        <v>18283</v>
      </c>
      <c r="CZ17356" s="35">
        <v>2.1612498137651825E-2</v>
      </c>
    </row>
    <row r="17357" spans="103:104" x14ac:dyDescent="0.3">
      <c r="CY17357" s="34" t="s">
        <v>18284</v>
      </c>
      <c r="CZ17357" s="35">
        <v>2.4250000000000001E-3</v>
      </c>
    </row>
    <row r="17358" spans="103:104" x14ac:dyDescent="0.3">
      <c r="CY17358" s="34" t="s">
        <v>18285</v>
      </c>
      <c r="CZ17358" s="35">
        <v>3.925024E-3</v>
      </c>
    </row>
    <row r="17359" spans="103:104" x14ac:dyDescent="0.3">
      <c r="CY17359" s="34" t="s">
        <v>18286</v>
      </c>
      <c r="CZ17359" s="35">
        <v>6.7600839999999995E-3</v>
      </c>
    </row>
    <row r="17360" spans="103:104" x14ac:dyDescent="0.3">
      <c r="CY17360" s="34" t="s">
        <v>18287</v>
      </c>
      <c r="CZ17360" s="35">
        <v>7.2516723999999991E-3</v>
      </c>
    </row>
    <row r="17361" spans="103:104" x14ac:dyDescent="0.3">
      <c r="CY17361" s="34" t="s">
        <v>18288</v>
      </c>
      <c r="CZ17361" s="35">
        <v>9.0822279999999995E-3</v>
      </c>
    </row>
    <row r="17362" spans="103:104" x14ac:dyDescent="0.3">
      <c r="CY17362" s="34" t="s">
        <v>18289</v>
      </c>
      <c r="CZ17362" s="35">
        <v>8.4741959999999998E-3</v>
      </c>
    </row>
    <row r="17363" spans="103:104" x14ac:dyDescent="0.3">
      <c r="CY17363" s="34" t="s">
        <v>18290</v>
      </c>
      <c r="CZ17363" s="35">
        <v>0.17468130331578949</v>
      </c>
    </row>
    <row r="17364" spans="103:104" x14ac:dyDescent="0.3">
      <c r="CY17364" s="34" t="s">
        <v>18291</v>
      </c>
      <c r="CZ17364" s="35">
        <v>2.1570703999999998E-3</v>
      </c>
    </row>
    <row r="17365" spans="103:104" x14ac:dyDescent="0.3">
      <c r="CY17365" s="34" t="s">
        <v>18292</v>
      </c>
      <c r="CZ17365" s="35">
        <v>2.3724848000000001E-3</v>
      </c>
    </row>
    <row r="17366" spans="103:104" x14ac:dyDescent="0.3">
      <c r="CY17366" s="34" t="s">
        <v>18293</v>
      </c>
      <c r="CZ17366" s="35">
        <v>0.2893632666</v>
      </c>
    </row>
    <row r="17367" spans="103:104" x14ac:dyDescent="0.3">
      <c r="CY17367" s="34" t="s">
        <v>18294</v>
      </c>
      <c r="CZ17367" s="35">
        <v>0.2893632666</v>
      </c>
    </row>
    <row r="17368" spans="103:104" x14ac:dyDescent="0.3">
      <c r="CY17368" s="34" t="s">
        <v>18295</v>
      </c>
      <c r="CZ17368" s="35">
        <v>4.5963200000000001E-3</v>
      </c>
    </row>
    <row r="17369" spans="103:104" x14ac:dyDescent="0.3">
      <c r="CY17369" s="34" t="s">
        <v>18296</v>
      </c>
      <c r="CZ17369" s="35">
        <v>6.1220088888888887E-3</v>
      </c>
    </row>
    <row r="17370" spans="103:104" x14ac:dyDescent="0.3">
      <c r="CY17370" s="34" t="s">
        <v>18297</v>
      </c>
      <c r="CZ17370" s="35">
        <v>5.4606400000000001E-3</v>
      </c>
    </row>
    <row r="17371" spans="103:104" x14ac:dyDescent="0.3">
      <c r="CY17371" s="34" t="s">
        <v>18298</v>
      </c>
      <c r="CZ17371" s="35">
        <v>5.5459720000000006E-3</v>
      </c>
    </row>
    <row r="17372" spans="103:104" x14ac:dyDescent="0.3">
      <c r="CY17372" s="34" t="s">
        <v>18299</v>
      </c>
      <c r="CZ17372" s="35">
        <v>5.5459720000000006E-3</v>
      </c>
    </row>
    <row r="17373" spans="103:104" x14ac:dyDescent="0.3">
      <c r="CY17373" s="34" t="s">
        <v>18300</v>
      </c>
      <c r="CZ17373" s="35">
        <v>5.5459720000000006E-3</v>
      </c>
    </row>
    <row r="17374" spans="103:104" x14ac:dyDescent="0.3">
      <c r="CY17374" s="34" t="s">
        <v>18301</v>
      </c>
      <c r="CZ17374" s="35">
        <v>5.5459720000000006E-3</v>
      </c>
    </row>
    <row r="17375" spans="103:104" x14ac:dyDescent="0.3">
      <c r="CY17375" s="34" t="s">
        <v>18302</v>
      </c>
      <c r="CZ17375" s="35">
        <v>5.5459720000000006E-3</v>
      </c>
    </row>
    <row r="17376" spans="103:104" x14ac:dyDescent="0.3">
      <c r="CY17376" s="34" t="s">
        <v>18303</v>
      </c>
      <c r="CZ17376" s="35">
        <v>5.5459720000000006E-3</v>
      </c>
    </row>
    <row r="17377" spans="103:104" x14ac:dyDescent="0.3">
      <c r="CY17377" s="34" t="s">
        <v>18304</v>
      </c>
      <c r="CZ17377" s="35">
        <v>5.0879199999999992E-3</v>
      </c>
    </row>
    <row r="17378" spans="103:104" x14ac:dyDescent="0.3">
      <c r="CY17378" s="34" t="s">
        <v>18305</v>
      </c>
      <c r="CZ17378" s="35">
        <v>4.7776210526315789E-3</v>
      </c>
    </row>
    <row r="17379" spans="103:104" x14ac:dyDescent="0.3">
      <c r="CY17379" s="34" t="s">
        <v>18306</v>
      </c>
      <c r="CZ17379" s="35">
        <v>4.5387400000000003E-3</v>
      </c>
    </row>
    <row r="17380" spans="103:104" x14ac:dyDescent="0.3">
      <c r="CY17380" s="34" t="s">
        <v>18307</v>
      </c>
      <c r="CZ17380" s="35">
        <v>4.4983519999999997E-3</v>
      </c>
    </row>
    <row r="17381" spans="103:104" x14ac:dyDescent="0.3">
      <c r="CY17381" s="34" t="s">
        <v>18308</v>
      </c>
      <c r="CZ17381" s="35">
        <v>4.4983519999999997E-3</v>
      </c>
    </row>
    <row r="17382" spans="103:104" x14ac:dyDescent="0.3">
      <c r="CY17382" s="34" t="s">
        <v>18309</v>
      </c>
      <c r="CZ17382" s="35">
        <v>4.4983519999999997E-3</v>
      </c>
    </row>
    <row r="17383" spans="103:104" x14ac:dyDescent="0.3">
      <c r="CY17383" s="34" t="s">
        <v>18310</v>
      </c>
      <c r="CZ17383" s="35">
        <v>4.4983519999999997E-3</v>
      </c>
    </row>
    <row r="17384" spans="103:104" x14ac:dyDescent="0.3">
      <c r="CY17384" s="34" t="s">
        <v>18311</v>
      </c>
      <c r="CZ17384" s="35">
        <v>5.8194240000000001E-3</v>
      </c>
    </row>
    <row r="17385" spans="103:104" x14ac:dyDescent="0.3">
      <c r="CY17385" s="34" t="s">
        <v>18312</v>
      </c>
      <c r="CZ17385" s="35">
        <v>5.6208754000000001E-3</v>
      </c>
    </row>
    <row r="17386" spans="103:104" x14ac:dyDescent="0.3">
      <c r="CY17386" s="34" t="s">
        <v>18313</v>
      </c>
      <c r="CZ17386" s="35">
        <v>8.7682527999999996E-2</v>
      </c>
    </row>
    <row r="17387" spans="103:104" x14ac:dyDescent="0.3">
      <c r="CY17387" s="34" t="s">
        <v>18314</v>
      </c>
      <c r="CZ17387" s="35">
        <v>3.2974896000000004E-3</v>
      </c>
    </row>
    <row r="17388" spans="103:104" x14ac:dyDescent="0.3">
      <c r="CY17388" s="34" t="s">
        <v>18315</v>
      </c>
      <c r="CZ17388" s="35">
        <v>3.492976842105263E-2</v>
      </c>
    </row>
    <row r="17389" spans="103:104" x14ac:dyDescent="0.3">
      <c r="CY17389" s="34" t="s">
        <v>18316</v>
      </c>
      <c r="CZ17389" s="35">
        <v>8.2755285333333345E-2</v>
      </c>
    </row>
    <row r="17390" spans="103:104" x14ac:dyDescent="0.3">
      <c r="CY17390" s="34" t="s">
        <v>18317</v>
      </c>
      <c r="CZ17390" s="35">
        <v>0.11789011199999999</v>
      </c>
    </row>
    <row r="17391" spans="103:104" x14ac:dyDescent="0.3">
      <c r="CY17391" s="34" t="s">
        <v>18318</v>
      </c>
      <c r="CZ17391" s="35">
        <v>3.0642029333333336E-3</v>
      </c>
    </row>
    <row r="17392" spans="103:104" x14ac:dyDescent="0.3">
      <c r="CY17392" s="34" t="s">
        <v>18319</v>
      </c>
      <c r="CZ17392" s="35">
        <v>1.1807216000000001E-2</v>
      </c>
    </row>
    <row r="17393" spans="103:104" x14ac:dyDescent="0.3">
      <c r="CY17393" s="34" t="s">
        <v>18320</v>
      </c>
      <c r="CZ17393" s="35">
        <v>1.0653154999999999E-2</v>
      </c>
    </row>
    <row r="17394" spans="103:104" x14ac:dyDescent="0.3">
      <c r="CY17394" s="34" t="s">
        <v>18321</v>
      </c>
      <c r="CZ17394" s="35">
        <v>1.0583812999999999E-2</v>
      </c>
    </row>
    <row r="17395" spans="103:104" x14ac:dyDescent="0.3">
      <c r="CY17395" s="34" t="s">
        <v>18322</v>
      </c>
      <c r="CZ17395" s="35">
        <v>8.4344828333333344E-2</v>
      </c>
    </row>
    <row r="17396" spans="103:104" x14ac:dyDescent="0.3">
      <c r="CY17396" s="34" t="s">
        <v>18323</v>
      </c>
      <c r="CZ17396" s="35">
        <v>0.13521552000000001</v>
      </c>
    </row>
    <row r="17397" spans="103:104" x14ac:dyDescent="0.3">
      <c r="CY17397" s="34" t="s">
        <v>18324</v>
      </c>
      <c r="CZ17397" s="35">
        <v>0.17834021999999999</v>
      </c>
    </row>
    <row r="17398" spans="103:104" x14ac:dyDescent="0.3">
      <c r="CY17398" s="34" t="s">
        <v>18325</v>
      </c>
      <c r="CZ17398" s="35">
        <v>0.13521552000000001</v>
      </c>
    </row>
    <row r="17399" spans="103:104" x14ac:dyDescent="0.3">
      <c r="CY17399" s="34" t="s">
        <v>18326</v>
      </c>
      <c r="CZ17399" s="35">
        <v>1.8664346857142858E-3</v>
      </c>
    </row>
    <row r="17400" spans="103:104" x14ac:dyDescent="0.3">
      <c r="CY17400" s="34" t="s">
        <v>18327</v>
      </c>
      <c r="CZ17400" s="35">
        <v>5.6763232000000005E-3</v>
      </c>
    </row>
    <row r="17401" spans="103:104" x14ac:dyDescent="0.3">
      <c r="CY17401" s="34" t="s">
        <v>18328</v>
      </c>
      <c r="CZ17401" s="35">
        <v>3.2633767999999994E-4</v>
      </c>
    </row>
    <row r="17402" spans="103:104" x14ac:dyDescent="0.3">
      <c r="CY17402" s="34" t="s">
        <v>18329</v>
      </c>
      <c r="CZ17402" s="35">
        <v>5.6032080571428574E-3</v>
      </c>
    </row>
    <row r="17403" spans="103:104" x14ac:dyDescent="0.3">
      <c r="CY17403" s="34" t="s">
        <v>18330</v>
      </c>
      <c r="CZ17403" s="35">
        <v>3.0968989664999997E-3</v>
      </c>
    </row>
    <row r="17404" spans="103:104" x14ac:dyDescent="0.3">
      <c r="CY17404" s="34" t="s">
        <v>18331</v>
      </c>
      <c r="CZ17404" s="35">
        <v>6.8362343999999992E-2</v>
      </c>
    </row>
    <row r="17405" spans="103:104" x14ac:dyDescent="0.3">
      <c r="CY17405" s="34" t="s">
        <v>18332</v>
      </c>
      <c r="CZ17405" s="35">
        <v>0.39954699999999993</v>
      </c>
    </row>
    <row r="17406" spans="103:104" x14ac:dyDescent="0.3">
      <c r="CY17406" s="34" t="s">
        <v>18333</v>
      </c>
      <c r="CZ17406" s="35">
        <v>3.6191789823529413E-2</v>
      </c>
    </row>
    <row r="17407" spans="103:104" x14ac:dyDescent="0.3">
      <c r="CY17407" s="34" t="s">
        <v>18334</v>
      </c>
      <c r="CZ17407" s="35">
        <v>3.1369839999999996E-2</v>
      </c>
    </row>
    <row r="17408" spans="103:104" x14ac:dyDescent="0.3">
      <c r="CY17408" s="34" t="s">
        <v>18335</v>
      </c>
      <c r="CZ17408" s="35">
        <v>4.1319839999999997E-2</v>
      </c>
    </row>
    <row r="17409" spans="103:104" x14ac:dyDescent="0.3">
      <c r="CY17409" s="34" t="s">
        <v>18336</v>
      </c>
      <c r="CZ17409" s="35">
        <v>4.4553142000000011E-2</v>
      </c>
    </row>
    <row r="17410" spans="103:104" x14ac:dyDescent="0.3">
      <c r="CY17410" s="34" t="s">
        <v>18337</v>
      </c>
      <c r="CZ17410" s="35">
        <v>7.7459E-3</v>
      </c>
    </row>
    <row r="17411" spans="103:104" x14ac:dyDescent="0.3">
      <c r="CY17411" s="34" t="s">
        <v>18338</v>
      </c>
      <c r="CZ17411" s="35">
        <v>7.7459E-3</v>
      </c>
    </row>
    <row r="17412" spans="103:104" x14ac:dyDescent="0.3">
      <c r="CY17412" s="34" t="s">
        <v>18339</v>
      </c>
      <c r="CZ17412" s="35">
        <v>1.3073937499999999E-2</v>
      </c>
    </row>
    <row r="17413" spans="103:104" x14ac:dyDescent="0.3">
      <c r="CY17413" s="34" t="s">
        <v>18340</v>
      </c>
      <c r="CZ17413" s="35">
        <v>1.3318937499999999E-2</v>
      </c>
    </row>
    <row r="17414" spans="103:104" x14ac:dyDescent="0.3">
      <c r="CY17414" s="34" t="s">
        <v>18341</v>
      </c>
      <c r="CZ17414" s="35">
        <v>2.1264600000000002E-3</v>
      </c>
    </row>
    <row r="17415" spans="103:104" x14ac:dyDescent="0.3">
      <c r="CY17415" s="34" t="s">
        <v>18342</v>
      </c>
      <c r="CZ17415" s="35">
        <v>2.0114600000000001E-3</v>
      </c>
    </row>
    <row r="17416" spans="103:104" x14ac:dyDescent="0.3">
      <c r="CY17416" s="34" t="s">
        <v>18343</v>
      </c>
      <c r="CZ17416" s="35">
        <v>5.5309362000000003E-3</v>
      </c>
    </row>
    <row r="17417" spans="103:104" x14ac:dyDescent="0.3">
      <c r="CY17417" s="34" t="s">
        <v>18344</v>
      </c>
      <c r="CZ17417" s="35">
        <v>5.5309362000000011E-3</v>
      </c>
    </row>
    <row r="17418" spans="103:104" x14ac:dyDescent="0.3">
      <c r="CY17418" s="34" t="s">
        <v>18345</v>
      </c>
      <c r="CZ17418" s="35">
        <v>3.5167029999999999E-3</v>
      </c>
    </row>
    <row r="17419" spans="103:104" x14ac:dyDescent="0.3">
      <c r="CY17419" s="34" t="s">
        <v>18346</v>
      </c>
      <c r="CZ17419" s="35">
        <v>3.5167029999999995E-3</v>
      </c>
    </row>
    <row r="17420" spans="103:104" x14ac:dyDescent="0.3">
      <c r="CY17420" s="34" t="s">
        <v>18347</v>
      </c>
      <c r="CZ17420" s="35">
        <v>1.6319260000000001E-3</v>
      </c>
    </row>
    <row r="17421" spans="103:104" x14ac:dyDescent="0.3">
      <c r="CY17421" s="34" t="s">
        <v>18348</v>
      </c>
      <c r="CZ17421" s="35">
        <v>1.6319260000000001E-3</v>
      </c>
    </row>
    <row r="17422" spans="103:104" x14ac:dyDescent="0.3">
      <c r="CY17422" s="34" t="s">
        <v>18349</v>
      </c>
      <c r="CZ17422" s="35">
        <v>6.9596700000000003E-3</v>
      </c>
    </row>
    <row r="17423" spans="103:104" x14ac:dyDescent="0.3">
      <c r="CY17423" s="34" t="s">
        <v>18350</v>
      </c>
      <c r="CZ17423" s="35">
        <v>6.9596700000000011E-3</v>
      </c>
    </row>
    <row r="17424" spans="103:104" x14ac:dyDescent="0.3">
      <c r="CY17424" s="34" t="s">
        <v>18351</v>
      </c>
      <c r="CZ17424" s="35">
        <v>5.0776400000000006E-2</v>
      </c>
    </row>
    <row r="17425" spans="103:104" x14ac:dyDescent="0.3">
      <c r="CY17425" s="34" t="s">
        <v>18352</v>
      </c>
      <c r="CZ17425" s="35">
        <v>1.9287696000000003E-2</v>
      </c>
    </row>
    <row r="17426" spans="103:104" x14ac:dyDescent="0.3">
      <c r="CY17426" s="34" t="s">
        <v>18353</v>
      </c>
      <c r="CZ17426" s="35">
        <v>8.5234880000000009E-3</v>
      </c>
    </row>
    <row r="17427" spans="103:104" x14ac:dyDescent="0.3">
      <c r="CY17427" s="34" t="s">
        <v>18354</v>
      </c>
      <c r="CZ17427" s="35">
        <v>8.5234879999999992E-3</v>
      </c>
    </row>
    <row r="17428" spans="103:104" x14ac:dyDescent="0.3">
      <c r="CY17428" s="34" t="s">
        <v>18355</v>
      </c>
      <c r="CZ17428" s="35">
        <v>8.393544000000001E-3</v>
      </c>
    </row>
    <row r="17429" spans="103:104" x14ac:dyDescent="0.3">
      <c r="CY17429" s="34" t="s">
        <v>18356</v>
      </c>
      <c r="CZ17429" s="35">
        <v>8.7424799999999987E-3</v>
      </c>
    </row>
    <row r="17430" spans="103:104" x14ac:dyDescent="0.3">
      <c r="CY17430" s="34" t="s">
        <v>18357</v>
      </c>
      <c r="CZ17430" s="35">
        <v>8.5598559999999994E-3</v>
      </c>
    </row>
    <row r="17431" spans="103:104" x14ac:dyDescent="0.3">
      <c r="CY17431" s="34" t="s">
        <v>18358</v>
      </c>
      <c r="CZ17431" s="35">
        <v>7.0357488000000008E-3</v>
      </c>
    </row>
    <row r="17432" spans="103:104" x14ac:dyDescent="0.3">
      <c r="CY17432" s="34" t="s">
        <v>18359</v>
      </c>
      <c r="CZ17432" s="35">
        <v>5.3077148571428574E-3</v>
      </c>
    </row>
    <row r="17433" spans="103:104" x14ac:dyDescent="0.3">
      <c r="CY17433" s="34" t="s">
        <v>18360</v>
      </c>
      <c r="CZ17433" s="35">
        <v>5.3077148571428574E-3</v>
      </c>
    </row>
    <row r="17434" spans="103:104" x14ac:dyDescent="0.3">
      <c r="CY17434" s="34" t="s">
        <v>18361</v>
      </c>
      <c r="CZ17434" s="35">
        <v>5.2140788571428572E-3</v>
      </c>
    </row>
    <row r="17435" spans="103:104" x14ac:dyDescent="0.3">
      <c r="CY17435" s="34" t="s">
        <v>18362</v>
      </c>
      <c r="CZ17435" s="35">
        <v>2.2879799999999999E-2</v>
      </c>
    </row>
    <row r="17436" spans="103:104" x14ac:dyDescent="0.3">
      <c r="CY17436" s="34" t="s">
        <v>18363</v>
      </c>
      <c r="CZ17436" s="35">
        <v>2.2879799999999999E-2</v>
      </c>
    </row>
    <row r="17437" spans="103:104" x14ac:dyDescent="0.3">
      <c r="CY17437" s="34" t="s">
        <v>18364</v>
      </c>
      <c r="CZ17437" s="35">
        <v>2.1677700000000001E-2</v>
      </c>
    </row>
    <row r="17438" spans="103:104" x14ac:dyDescent="0.3">
      <c r="CY17438" s="34" t="s">
        <v>18365</v>
      </c>
      <c r="CZ17438" s="35">
        <v>7.4889792000000007E-3</v>
      </c>
    </row>
    <row r="17439" spans="103:104" x14ac:dyDescent="0.3">
      <c r="CY17439" s="34" t="s">
        <v>18366</v>
      </c>
      <c r="CZ17439" s="35">
        <v>7.4889792000000007E-3</v>
      </c>
    </row>
    <row r="17440" spans="103:104" x14ac:dyDescent="0.3">
      <c r="CY17440" s="34" t="s">
        <v>18367</v>
      </c>
      <c r="CZ17440" s="35">
        <v>7.3789296000000004E-3</v>
      </c>
    </row>
    <row r="17441" spans="103:104" x14ac:dyDescent="0.3">
      <c r="CY17441" s="34" t="s">
        <v>18368</v>
      </c>
      <c r="CZ17441" s="35">
        <v>2.7954744E-2</v>
      </c>
    </row>
    <row r="17442" spans="103:104" x14ac:dyDescent="0.3">
      <c r="CY17442" s="34" t="s">
        <v>18369</v>
      </c>
      <c r="CZ17442" s="35">
        <v>2.7954744000000004E-2</v>
      </c>
    </row>
    <row r="17443" spans="103:104" x14ac:dyDescent="0.3">
      <c r="CY17443" s="34" t="s">
        <v>18370</v>
      </c>
      <c r="CZ17443" s="35">
        <v>1.2358591999999998E-2</v>
      </c>
    </row>
    <row r="17444" spans="103:104" x14ac:dyDescent="0.3">
      <c r="CY17444" s="34" t="s">
        <v>18371</v>
      </c>
      <c r="CZ17444" s="35">
        <v>4.6394386666666664E-3</v>
      </c>
    </row>
    <row r="17445" spans="103:104" x14ac:dyDescent="0.3">
      <c r="CY17445" s="34" t="s">
        <v>18372</v>
      </c>
      <c r="CZ17445" s="35">
        <v>1.5550000000000001E-4</v>
      </c>
    </row>
    <row r="17446" spans="103:104" x14ac:dyDescent="0.3">
      <c r="CY17446" s="34" t="s">
        <v>18373</v>
      </c>
      <c r="CZ17446" s="35">
        <v>1.0113632000000001E-2</v>
      </c>
    </row>
    <row r="17447" spans="103:104" x14ac:dyDescent="0.3">
      <c r="CY17447" s="34" t="s">
        <v>18374</v>
      </c>
      <c r="CZ17447" s="35">
        <v>4.2278079999999996E-3</v>
      </c>
    </row>
    <row r="17448" spans="103:104" x14ac:dyDescent="0.3">
      <c r="CY17448" s="34" t="s">
        <v>18375</v>
      </c>
      <c r="CZ17448" s="35">
        <v>1.43175664E-3</v>
      </c>
    </row>
    <row r="17449" spans="103:104" x14ac:dyDescent="0.3">
      <c r="CY17449" s="34" t="s">
        <v>18376</v>
      </c>
      <c r="CZ17449" s="35">
        <v>2.9734821333333339E-3</v>
      </c>
    </row>
    <row r="17450" spans="103:104" x14ac:dyDescent="0.3">
      <c r="CY17450" s="34" t="s">
        <v>18377</v>
      </c>
      <c r="CZ17450" s="35">
        <v>3.0172648000000003E-2</v>
      </c>
    </row>
    <row r="17451" spans="103:104" x14ac:dyDescent="0.3">
      <c r="CY17451" s="34" t="s">
        <v>18378</v>
      </c>
      <c r="CZ17451" s="35">
        <v>2.0980183999999999E-2</v>
      </c>
    </row>
    <row r="17452" spans="103:104" x14ac:dyDescent="0.3">
      <c r="CY17452" s="34" t="s">
        <v>18379</v>
      </c>
      <c r="CZ17452" s="35">
        <v>4.9223879999999998E-3</v>
      </c>
    </row>
    <row r="17453" spans="103:104" x14ac:dyDescent="0.3">
      <c r="CY17453" s="34" t="s">
        <v>18380</v>
      </c>
      <c r="CZ17453" s="35">
        <v>1.7465273999999998E-3</v>
      </c>
    </row>
    <row r="17454" spans="103:104" x14ac:dyDescent="0.3">
      <c r="CY17454" s="34" t="s">
        <v>18381</v>
      </c>
      <c r="CZ17454" s="35">
        <v>8.9299480000000001E-3</v>
      </c>
    </row>
    <row r="17455" spans="103:104" x14ac:dyDescent="0.3">
      <c r="CY17455" s="34" t="s">
        <v>18382</v>
      </c>
      <c r="CZ17455" s="35">
        <v>4.6358026399999997E-3</v>
      </c>
    </row>
    <row r="17456" spans="103:104" x14ac:dyDescent="0.3">
      <c r="CY17456" s="34" t="s">
        <v>18383</v>
      </c>
      <c r="CZ17456" s="35">
        <v>9.8758696E-3</v>
      </c>
    </row>
    <row r="17457" spans="103:104" x14ac:dyDescent="0.3">
      <c r="CY17457" s="34" t="s">
        <v>18384</v>
      </c>
      <c r="CZ17457" s="35">
        <v>1.8625088E-3</v>
      </c>
    </row>
    <row r="17458" spans="103:104" x14ac:dyDescent="0.3">
      <c r="CY17458" s="34" t="s">
        <v>18385</v>
      </c>
      <c r="CZ17458" s="35">
        <v>9.7558711999999992E-2</v>
      </c>
    </row>
    <row r="17459" spans="103:104" x14ac:dyDescent="0.3">
      <c r="CY17459" s="34" t="s">
        <v>18386</v>
      </c>
      <c r="CZ17459" s="35">
        <v>0.10806863999999999</v>
      </c>
    </row>
    <row r="17460" spans="103:104" x14ac:dyDescent="0.3">
      <c r="CY17460" s="34" t="s">
        <v>18387</v>
      </c>
      <c r="CZ17460" s="35">
        <v>0.84106300000000012</v>
      </c>
    </row>
    <row r="17461" spans="103:104" x14ac:dyDescent="0.3">
      <c r="CY17461" s="34" t="s">
        <v>18388</v>
      </c>
      <c r="CZ17461" s="35">
        <v>0.36113499999999998</v>
      </c>
    </row>
    <row r="17462" spans="103:104" x14ac:dyDescent="0.3">
      <c r="CY17462" s="34" t="s">
        <v>18389</v>
      </c>
      <c r="CZ17462" s="35">
        <v>4.3969800000000009E-3</v>
      </c>
    </row>
    <row r="17463" spans="103:104" x14ac:dyDescent="0.3">
      <c r="CY17463" s="34" t="s">
        <v>18390</v>
      </c>
      <c r="CZ17463" s="35">
        <v>3.3688286764705887E-3</v>
      </c>
    </row>
    <row r="17464" spans="103:104" x14ac:dyDescent="0.3">
      <c r="CY17464" s="34" t="s">
        <v>18391</v>
      </c>
      <c r="CZ17464" s="35">
        <v>1.5785535999999999E-2</v>
      </c>
    </row>
    <row r="17465" spans="103:104" x14ac:dyDescent="0.3">
      <c r="CY17465" s="34" t="s">
        <v>18392</v>
      </c>
      <c r="CZ17465" s="35">
        <v>0.57666880000000009</v>
      </c>
    </row>
    <row r="17466" spans="103:104" x14ac:dyDescent="0.3">
      <c r="CY17466" s="34" t="s">
        <v>18393</v>
      </c>
      <c r="CZ17466" s="35">
        <v>0.26913792000000003</v>
      </c>
    </row>
    <row r="17467" spans="103:104" x14ac:dyDescent="0.3">
      <c r="CY17467" s="34" t="s">
        <v>18394</v>
      </c>
      <c r="CZ17467" s="35">
        <v>0.81446411266666652</v>
      </c>
    </row>
    <row r="17468" spans="103:104" x14ac:dyDescent="0.3">
      <c r="CY17468" s="34" t="s">
        <v>18395</v>
      </c>
      <c r="CZ17468" s="35">
        <v>0.75262744999999998</v>
      </c>
    </row>
    <row r="17469" spans="103:104" x14ac:dyDescent="0.3">
      <c r="CY17469" s="34" t="s">
        <v>18396</v>
      </c>
      <c r="CZ17469" s="35">
        <v>0.55858422499999993</v>
      </c>
    </row>
    <row r="17470" spans="103:104" x14ac:dyDescent="0.3">
      <c r="CY17470" s="34" t="s">
        <v>18397</v>
      </c>
      <c r="CZ17470" s="35">
        <v>0.80256470000000002</v>
      </c>
    </row>
    <row r="17471" spans="103:104" x14ac:dyDescent="0.3">
      <c r="CY17471" s="34" t="s">
        <v>18398</v>
      </c>
      <c r="CZ17471" s="35">
        <v>0.26219432500000001</v>
      </c>
    </row>
    <row r="17472" spans="103:104" x14ac:dyDescent="0.3">
      <c r="CY17472" s="34" t="s">
        <v>18399</v>
      </c>
      <c r="CZ17472" s="35">
        <v>0.25014959999999997</v>
      </c>
    </row>
    <row r="17473" spans="103:104" x14ac:dyDescent="0.3">
      <c r="CY17473" s="34" t="s">
        <v>18400</v>
      </c>
      <c r="CZ17473" s="35">
        <v>0.23541619999999999</v>
      </c>
    </row>
    <row r="17474" spans="103:104" x14ac:dyDescent="0.3">
      <c r="CY17474" s="34" t="s">
        <v>18401</v>
      </c>
      <c r="CZ17474" s="35">
        <v>0.356127425</v>
      </c>
    </row>
    <row r="17475" spans="103:104" x14ac:dyDescent="0.3">
      <c r="CY17475" s="34" t="s">
        <v>18402</v>
      </c>
      <c r="CZ17475" s="35">
        <v>0.2368537</v>
      </c>
    </row>
    <row r="17476" spans="103:104" x14ac:dyDescent="0.3">
      <c r="CY17476" s="34" t="s">
        <v>18403</v>
      </c>
      <c r="CZ17476" s="35">
        <v>7.8747280999999988E-2</v>
      </c>
    </row>
    <row r="17477" spans="103:104" x14ac:dyDescent="0.3">
      <c r="CY17477" s="34" t="s">
        <v>18404</v>
      </c>
      <c r="CZ17477" s="35">
        <v>9.0897926000000004E-2</v>
      </c>
    </row>
    <row r="17478" spans="103:104" x14ac:dyDescent="0.3">
      <c r="CY17478" s="34" t="s">
        <v>18405</v>
      </c>
      <c r="CZ17478" s="35">
        <v>5.0896563999999991E-2</v>
      </c>
    </row>
    <row r="17479" spans="103:104" x14ac:dyDescent="0.3">
      <c r="CY17479" s="34" t="s">
        <v>18406</v>
      </c>
      <c r="CZ17479" s="35">
        <v>3.8889262210526319E-2</v>
      </c>
    </row>
    <row r="17480" spans="103:104" x14ac:dyDescent="0.3">
      <c r="CY17480" s="34" t="s">
        <v>18407</v>
      </c>
      <c r="CZ17480" s="35">
        <v>0.17364307829999998</v>
      </c>
    </row>
    <row r="17481" spans="103:104" x14ac:dyDescent="0.3">
      <c r="CY17481" s="34" t="s">
        <v>18408</v>
      </c>
      <c r="CZ17481" s="35">
        <v>7.7055638302325577E-2</v>
      </c>
    </row>
    <row r="17482" spans="103:104" x14ac:dyDescent="0.3">
      <c r="CY17482" s="34" t="s">
        <v>18409</v>
      </c>
      <c r="CZ17482" s="35">
        <v>1.1319106666666668E-3</v>
      </c>
    </row>
    <row r="17483" spans="103:104" x14ac:dyDescent="0.3">
      <c r="CY17483" s="34" t="s">
        <v>18410</v>
      </c>
      <c r="CZ17483" s="35">
        <v>6.3733333333333339E-4</v>
      </c>
    </row>
    <row r="17484" spans="103:104" x14ac:dyDescent="0.3">
      <c r="CY17484" s="34" t="s">
        <v>18411</v>
      </c>
      <c r="CZ17484" s="35">
        <v>7.3533573913043475E-4</v>
      </c>
    </row>
    <row r="17485" spans="103:104" x14ac:dyDescent="0.3">
      <c r="CY17485" s="34" t="s">
        <v>18412</v>
      </c>
      <c r="CZ17485" s="35">
        <v>4.2773404000000003E-3</v>
      </c>
    </row>
    <row r="17486" spans="103:104" x14ac:dyDescent="0.3">
      <c r="CY17486" s="34" t="s">
        <v>18413</v>
      </c>
      <c r="CZ17486" s="35">
        <v>1.3702616888888889E-3</v>
      </c>
    </row>
    <row r="17487" spans="103:104" x14ac:dyDescent="0.3">
      <c r="CY17487" s="34" t="s">
        <v>18414</v>
      </c>
      <c r="CZ17487" s="35">
        <v>1.8363994285714284E-2</v>
      </c>
    </row>
    <row r="17488" spans="103:104" x14ac:dyDescent="0.3">
      <c r="CY17488" s="34" t="s">
        <v>18415</v>
      </c>
      <c r="CZ17488" s="35">
        <v>4.5497806783625725E-3</v>
      </c>
    </row>
    <row r="17489" spans="103:104" x14ac:dyDescent="0.3">
      <c r="CY17489" s="34" t="s">
        <v>18416</v>
      </c>
      <c r="CZ17489" s="35">
        <v>3.265332355555556E-3</v>
      </c>
    </row>
    <row r="17490" spans="103:104" x14ac:dyDescent="0.3">
      <c r="CY17490" s="34" t="s">
        <v>18417</v>
      </c>
      <c r="CZ17490" s="35">
        <v>3.0103813333333335E-3</v>
      </c>
    </row>
    <row r="17491" spans="103:104" x14ac:dyDescent="0.3">
      <c r="CY17491" s="34" t="s">
        <v>18418</v>
      </c>
      <c r="CZ17491" s="35">
        <v>5.0115680000000001E-3</v>
      </c>
    </row>
    <row r="17492" spans="103:104" x14ac:dyDescent="0.3">
      <c r="CY17492" s="34" t="s">
        <v>18419</v>
      </c>
      <c r="CZ17492" s="35">
        <v>0.25794922000000003</v>
      </c>
    </row>
    <row r="17493" spans="103:104" x14ac:dyDescent="0.3">
      <c r="CY17493" s="34" t="s">
        <v>18420</v>
      </c>
      <c r="CZ17493" s="35">
        <v>6.5015000000000003E-2</v>
      </c>
    </row>
    <row r="17494" spans="103:104" x14ac:dyDescent="0.3">
      <c r="CY17494" s="34" t="s">
        <v>18421</v>
      </c>
      <c r="CZ17494" s="35">
        <v>1.3727462588235293E-2</v>
      </c>
    </row>
    <row r="17495" spans="103:104" x14ac:dyDescent="0.3">
      <c r="CY17495" s="34" t="s">
        <v>18422</v>
      </c>
      <c r="CZ17495" s="35">
        <v>4.9195129999999995E-3</v>
      </c>
    </row>
    <row r="17496" spans="103:104" x14ac:dyDescent="0.3">
      <c r="CY17496" s="34" t="s">
        <v>18423</v>
      </c>
      <c r="CZ17496" s="35">
        <v>3.1169501664999998E-3</v>
      </c>
    </row>
    <row r="17497" spans="103:104" x14ac:dyDescent="0.3">
      <c r="CY17497" s="34" t="s">
        <v>18424</v>
      </c>
      <c r="CZ17497" s="35">
        <v>0.13181314</v>
      </c>
    </row>
    <row r="17498" spans="103:104" x14ac:dyDescent="0.3">
      <c r="CY17498" s="34" t="s">
        <v>18425</v>
      </c>
      <c r="CZ17498" s="35">
        <v>0.13181313999999997</v>
      </c>
    </row>
    <row r="17499" spans="103:104" x14ac:dyDescent="0.3">
      <c r="CY17499" s="34" t="s">
        <v>18426</v>
      </c>
      <c r="CZ17499" s="35">
        <v>0.13181314</v>
      </c>
    </row>
    <row r="17500" spans="103:104" x14ac:dyDescent="0.3">
      <c r="CY17500" s="34" t="s">
        <v>18427</v>
      </c>
      <c r="CZ17500" s="35">
        <v>4.7114750000000004E-2</v>
      </c>
    </row>
    <row r="17501" spans="103:104" x14ac:dyDescent="0.3">
      <c r="CY17501" s="34" t="s">
        <v>18428</v>
      </c>
      <c r="CZ17501" s="35">
        <v>4.7114750000000004E-2</v>
      </c>
    </row>
    <row r="17502" spans="103:104" x14ac:dyDescent="0.3">
      <c r="CY17502" s="34" t="s">
        <v>18429</v>
      </c>
      <c r="CZ17502" s="35">
        <v>5.9199559999999991E-2</v>
      </c>
    </row>
    <row r="17503" spans="103:104" x14ac:dyDescent="0.3">
      <c r="CY17503" s="34" t="s">
        <v>18430</v>
      </c>
      <c r="CZ17503" s="35">
        <v>0.26633112329999997</v>
      </c>
    </row>
    <row r="17504" spans="103:104" x14ac:dyDescent="0.3">
      <c r="CY17504" s="34" t="s">
        <v>18431</v>
      </c>
      <c r="CZ17504" s="35">
        <v>6.2818157144289996E-2</v>
      </c>
    </row>
    <row r="17505" spans="103:104" x14ac:dyDescent="0.3">
      <c r="CY17505" s="34" t="s">
        <v>18432</v>
      </c>
      <c r="CZ17505" s="35">
        <v>0.382613325</v>
      </c>
    </row>
    <row r="17506" spans="103:104" x14ac:dyDescent="0.3">
      <c r="CY17506" s="34" t="s">
        <v>18433</v>
      </c>
      <c r="CZ17506" s="35">
        <v>1.47342E-3</v>
      </c>
    </row>
    <row r="17507" spans="103:104" x14ac:dyDescent="0.3">
      <c r="CY17507" s="34" t="s">
        <v>18434</v>
      </c>
      <c r="CZ17507" s="35">
        <v>5.7295480000000003E-2</v>
      </c>
    </row>
    <row r="17508" spans="103:104" x14ac:dyDescent="0.3">
      <c r="CY17508" s="34" t="s">
        <v>18435</v>
      </c>
      <c r="CZ17508" s="35">
        <v>2.9707079999999997E-2</v>
      </c>
    </row>
    <row r="17509" spans="103:104" x14ac:dyDescent="0.3">
      <c r="CY17509" s="34" t="s">
        <v>18436</v>
      </c>
      <c r="CZ17509" s="35">
        <v>3.8982961702127672E-2</v>
      </c>
    </row>
    <row r="17510" spans="103:104" x14ac:dyDescent="0.3">
      <c r="CY17510" s="34" t="s">
        <v>18437</v>
      </c>
      <c r="CZ17510" s="35">
        <v>3.6626384999999997E-2</v>
      </c>
    </row>
    <row r="17511" spans="103:104" x14ac:dyDescent="0.3">
      <c r="CY17511" s="34" t="s">
        <v>18438</v>
      </c>
      <c r="CZ17511" s="35">
        <v>1.7981162499999998E-2</v>
      </c>
    </row>
    <row r="17512" spans="103:104" x14ac:dyDescent="0.3">
      <c r="CY17512" s="34" t="s">
        <v>18439</v>
      </c>
      <c r="CZ17512" s="35">
        <v>5.951575999999999E-4</v>
      </c>
    </row>
    <row r="17513" spans="103:104" x14ac:dyDescent="0.3">
      <c r="CY17513" s="34" t="s">
        <v>18440</v>
      </c>
      <c r="CZ17513" s="35">
        <v>4.3789768000000002E-4</v>
      </c>
    </row>
    <row r="17514" spans="103:104" x14ac:dyDescent="0.3">
      <c r="CY17514" s="34" t="s">
        <v>18441</v>
      </c>
      <c r="CZ17514" s="35">
        <v>1.1218019999999999E-3</v>
      </c>
    </row>
    <row r="17515" spans="103:104" x14ac:dyDescent="0.3">
      <c r="CY17515" s="34" t="s">
        <v>18442</v>
      </c>
      <c r="CZ17515" s="35">
        <v>1.2033024000000002E-3</v>
      </c>
    </row>
    <row r="17516" spans="103:104" x14ac:dyDescent="0.3">
      <c r="CY17516" s="34" t="s">
        <v>18443</v>
      </c>
      <c r="CZ17516" s="35">
        <v>4.9036346666666674E-4</v>
      </c>
    </row>
    <row r="17517" spans="103:104" x14ac:dyDescent="0.3">
      <c r="CY17517" s="34" t="s">
        <v>18444</v>
      </c>
      <c r="CZ17517" s="35">
        <v>2.50862667429E-3</v>
      </c>
    </row>
    <row r="17518" spans="103:104" x14ac:dyDescent="0.3">
      <c r="CY17518" s="34" t="s">
        <v>18445</v>
      </c>
      <c r="CZ17518" s="35">
        <v>9.4157320000000009E-4</v>
      </c>
    </row>
    <row r="17519" spans="103:104" x14ac:dyDescent="0.3">
      <c r="CY17519" s="34" t="s">
        <v>18446</v>
      </c>
      <c r="CZ17519" s="35">
        <v>6.4212239999999999E-4</v>
      </c>
    </row>
    <row r="17520" spans="103:104" x14ac:dyDescent="0.3">
      <c r="CY17520" s="34" t="s">
        <v>18447</v>
      </c>
      <c r="CZ17520" s="35">
        <v>5.4759920000000003E-4</v>
      </c>
    </row>
    <row r="17521" spans="103:104" x14ac:dyDescent="0.3">
      <c r="CY17521" s="34" t="s">
        <v>18448</v>
      </c>
      <c r="CZ17521" s="35">
        <v>1.8594320000000001E-3</v>
      </c>
    </row>
    <row r="17522" spans="103:104" x14ac:dyDescent="0.3">
      <c r="CY17522" s="34" t="s">
        <v>18449</v>
      </c>
      <c r="CZ17522" s="35">
        <v>6.9122959999999997E-2</v>
      </c>
    </row>
    <row r="17523" spans="103:104" x14ac:dyDescent="0.3">
      <c r="CY17523" s="34" t="s">
        <v>18450</v>
      </c>
      <c r="CZ17523" s="35">
        <v>7.011495999999999E-2</v>
      </c>
    </row>
    <row r="17524" spans="103:104" x14ac:dyDescent="0.3">
      <c r="CY17524" s="34" t="s">
        <v>18451</v>
      </c>
      <c r="CZ17524" s="35">
        <v>3.8303440000000001E-4</v>
      </c>
    </row>
    <row r="17525" spans="103:104" x14ac:dyDescent="0.3">
      <c r="CY17525" s="34" t="s">
        <v>18452</v>
      </c>
      <c r="CZ17525" s="35">
        <v>1.6809127941405641E-2</v>
      </c>
    </row>
    <row r="17526" spans="103:104" x14ac:dyDescent="0.3">
      <c r="CY17526" s="34" t="s">
        <v>18453</v>
      </c>
      <c r="CZ17526" s="35">
        <v>5.3776400000000004E-4</v>
      </c>
    </row>
    <row r="17527" spans="103:104" x14ac:dyDescent="0.3">
      <c r="CY17527" s="34" t="s">
        <v>18454</v>
      </c>
      <c r="CZ17527" s="35">
        <v>3.257504E-3</v>
      </c>
    </row>
    <row r="17528" spans="103:104" x14ac:dyDescent="0.3">
      <c r="CY17528" s="34" t="s">
        <v>18455</v>
      </c>
      <c r="CZ17528" s="35">
        <v>1.1348015813848413E-3</v>
      </c>
    </row>
    <row r="17529" spans="103:104" x14ac:dyDescent="0.3">
      <c r="CY17529" s="34" t="s">
        <v>18456</v>
      </c>
      <c r="CZ17529" s="35">
        <v>2.3245526262283965E-3</v>
      </c>
    </row>
    <row r="17530" spans="103:104" x14ac:dyDescent="0.3">
      <c r="CY17530" s="34" t="s">
        <v>18457</v>
      </c>
      <c r="CZ17530" s="35">
        <v>1.1161974E-2</v>
      </c>
    </row>
    <row r="17531" spans="103:104" x14ac:dyDescent="0.3">
      <c r="CY17531" s="34" t="s">
        <v>18458</v>
      </c>
      <c r="CZ17531" s="35">
        <v>4.415124E-4</v>
      </c>
    </row>
    <row r="17532" spans="103:104" x14ac:dyDescent="0.3">
      <c r="CY17532" s="34" t="s">
        <v>18459</v>
      </c>
      <c r="CZ17532" s="35">
        <v>6.7538054E-2</v>
      </c>
    </row>
    <row r="17533" spans="103:104" x14ac:dyDescent="0.3">
      <c r="CY17533" s="34" t="s">
        <v>18460</v>
      </c>
      <c r="CZ17533" s="35">
        <v>7.3917646800000002E-3</v>
      </c>
    </row>
    <row r="17534" spans="103:104" x14ac:dyDescent="0.3">
      <c r="CY17534" s="34" t="s">
        <v>18461</v>
      </c>
      <c r="CZ17534" s="35">
        <v>0.34532180000000001</v>
      </c>
    </row>
    <row r="17535" spans="103:104" x14ac:dyDescent="0.3">
      <c r="CY17535" s="34" t="s">
        <v>18462</v>
      </c>
      <c r="CZ17535" s="35">
        <v>0.56279733334000004</v>
      </c>
    </row>
    <row r="17536" spans="103:104" x14ac:dyDescent="0.3">
      <c r="CY17536" s="34" t="s">
        <v>18463</v>
      </c>
      <c r="CZ17536" s="35">
        <v>0.22794500000000001</v>
      </c>
    </row>
    <row r="17537" spans="103:104" x14ac:dyDescent="0.3">
      <c r="CY17537" s="34" t="s">
        <v>18464</v>
      </c>
      <c r="CZ17537" s="35">
        <v>0.56279733334000004</v>
      </c>
    </row>
    <row r="17538" spans="103:104" x14ac:dyDescent="0.3">
      <c r="CY17538" s="34" t="s">
        <v>18465</v>
      </c>
      <c r="CZ17538" s="35">
        <v>0.38730555555555557</v>
      </c>
    </row>
    <row r="17539" spans="103:104" x14ac:dyDescent="0.3">
      <c r="CY17539" s="34" t="s">
        <v>18466</v>
      </c>
      <c r="CZ17539" s="35">
        <v>2.6235478666666666E-2</v>
      </c>
    </row>
    <row r="17540" spans="103:104" x14ac:dyDescent="0.3">
      <c r="CY17540" s="34" t="s">
        <v>18467</v>
      </c>
      <c r="CZ17540" s="35">
        <v>2.1392175999999999E-3</v>
      </c>
    </row>
    <row r="17541" spans="103:104" x14ac:dyDescent="0.3">
      <c r="CY17541" s="34" t="s">
        <v>18468</v>
      </c>
      <c r="CZ17541" s="35">
        <v>3.5989919999999996E-3</v>
      </c>
    </row>
    <row r="17542" spans="103:104" x14ac:dyDescent="0.3">
      <c r="CY17542" s="34" t="s">
        <v>18469</v>
      </c>
      <c r="CZ17542" s="35">
        <v>3.4601200000000006E-3</v>
      </c>
    </row>
    <row r="17543" spans="103:104" x14ac:dyDescent="0.3">
      <c r="CY17543" s="34" t="s">
        <v>18470</v>
      </c>
      <c r="CZ17543" s="35">
        <v>1.3951645333333334E-2</v>
      </c>
    </row>
    <row r="17544" spans="103:104" x14ac:dyDescent="0.3">
      <c r="CY17544" s="34" t="s">
        <v>18471</v>
      </c>
      <c r="CZ17544" s="35">
        <v>1.67449E-2</v>
      </c>
    </row>
    <row r="17545" spans="103:104" x14ac:dyDescent="0.3">
      <c r="CY17545" s="34" t="s">
        <v>18472</v>
      </c>
      <c r="CZ17545" s="35">
        <v>2.3878948000000001E-2</v>
      </c>
    </row>
    <row r="17546" spans="103:104" x14ac:dyDescent="0.3">
      <c r="CY17546" s="34" t="s">
        <v>18473</v>
      </c>
      <c r="CZ17546" s="35">
        <v>3.1918424000000004E-3</v>
      </c>
    </row>
    <row r="17547" spans="103:104" x14ac:dyDescent="0.3">
      <c r="CY17547" s="34" t="s">
        <v>18474</v>
      </c>
      <c r="CZ17547" s="35">
        <v>1.1471508E-2</v>
      </c>
    </row>
    <row r="17548" spans="103:104" x14ac:dyDescent="0.3">
      <c r="CY17548" s="34" t="s">
        <v>18475</v>
      </c>
      <c r="CZ17548" s="35">
        <v>2.5338719999999999E-3</v>
      </c>
    </row>
    <row r="17549" spans="103:104" x14ac:dyDescent="0.3">
      <c r="CY17549" s="34" t="s">
        <v>18476</v>
      </c>
      <c r="CZ17549" s="35">
        <v>2.6972792000000002E-2</v>
      </c>
    </row>
    <row r="17550" spans="103:104" x14ac:dyDescent="0.3">
      <c r="CY17550" s="34" t="s">
        <v>18477</v>
      </c>
      <c r="CZ17550" s="35">
        <v>0.17558357894736842</v>
      </c>
    </row>
    <row r="17551" spans="103:104" x14ac:dyDescent="0.3">
      <c r="CY17551" s="34" t="s">
        <v>18478</v>
      </c>
      <c r="CZ17551" s="35">
        <v>2.0674568000000001E-2</v>
      </c>
    </row>
    <row r="17552" spans="103:104" x14ac:dyDescent="0.3">
      <c r="CY17552" s="34" t="s">
        <v>18479</v>
      </c>
      <c r="CZ17552" s="35">
        <v>6.7661283333333327E-4</v>
      </c>
    </row>
    <row r="17553" spans="103:104" x14ac:dyDescent="0.3">
      <c r="CY17553" s="34" t="s">
        <v>18480</v>
      </c>
      <c r="CZ17553" s="35">
        <v>4.3222233999999995E-4</v>
      </c>
    </row>
    <row r="17554" spans="103:104" x14ac:dyDescent="0.3">
      <c r="CY17554" s="34" t="s">
        <v>18481</v>
      </c>
      <c r="CZ17554" s="35">
        <v>6.3166129090909085E-3</v>
      </c>
    </row>
    <row r="17555" spans="103:104" x14ac:dyDescent="0.3">
      <c r="CY17555" s="34" t="s">
        <v>18482</v>
      </c>
      <c r="CZ17555" s="35">
        <v>3.8839880000000003E-4</v>
      </c>
    </row>
    <row r="17556" spans="103:104" x14ac:dyDescent="0.3">
      <c r="CY17556" s="34" t="s">
        <v>18483</v>
      </c>
      <c r="CZ17556" s="35">
        <v>1.4659065000000001E-2</v>
      </c>
    </row>
    <row r="17557" spans="103:104" x14ac:dyDescent="0.3">
      <c r="CY17557" s="34" t="s">
        <v>18484</v>
      </c>
      <c r="CZ17557" s="35">
        <v>5.9362701239999996E-2</v>
      </c>
    </row>
    <row r="17558" spans="103:104" x14ac:dyDescent="0.3">
      <c r="CY17558" s="34" t="s">
        <v>18485</v>
      </c>
      <c r="CZ17558" s="35">
        <v>1.2257688000000001E-2</v>
      </c>
    </row>
    <row r="17559" spans="103:104" x14ac:dyDescent="0.3">
      <c r="CY17559" s="34" t="s">
        <v>18486</v>
      </c>
      <c r="CZ17559" s="35">
        <v>7.1634526315789468E-2</v>
      </c>
    </row>
    <row r="17560" spans="103:104" x14ac:dyDescent="0.3">
      <c r="CY17560" s="34" t="s">
        <v>18487</v>
      </c>
      <c r="CZ17560" s="35">
        <v>1.8353360000000003E-2</v>
      </c>
    </row>
    <row r="17561" spans="103:104" x14ac:dyDescent="0.3">
      <c r="CY17561" s="34" t="s">
        <v>18488</v>
      </c>
      <c r="CZ17561" s="35">
        <v>1</v>
      </c>
    </row>
    <row r="17562" spans="103:104" x14ac:dyDescent="0.3">
      <c r="CY17562" s="34" t="s">
        <v>18489</v>
      </c>
      <c r="CZ17562" s="35">
        <v>4.271711999999999E-2</v>
      </c>
    </row>
    <row r="17563" spans="103:104" x14ac:dyDescent="0.3">
      <c r="CY17563" s="34" t="s">
        <v>18490</v>
      </c>
      <c r="CZ17563" s="35">
        <v>1.6872549999999998E-4</v>
      </c>
    </row>
    <row r="17564" spans="103:104" x14ac:dyDescent="0.3">
      <c r="CY17564" s="34" t="s">
        <v>18491</v>
      </c>
      <c r="CZ17564" s="35">
        <v>6.2220160000000006E-4</v>
      </c>
    </row>
    <row r="17565" spans="103:104" x14ac:dyDescent="0.3">
      <c r="CY17565" s="34" t="s">
        <v>18492</v>
      </c>
      <c r="CZ17565" s="35">
        <v>5.1783115999999997E-4</v>
      </c>
    </row>
    <row r="17566" spans="103:104" x14ac:dyDescent="0.3">
      <c r="CY17566" s="34" t="s">
        <v>18493</v>
      </c>
      <c r="CZ17566" s="35">
        <v>0.11997461599999999</v>
      </c>
    </row>
    <row r="17567" spans="103:104" x14ac:dyDescent="0.3">
      <c r="CY17567" s="34" t="s">
        <v>18494</v>
      </c>
      <c r="CZ17567" s="35">
        <v>0.10582529599999999</v>
      </c>
    </row>
    <row r="17568" spans="103:104" x14ac:dyDescent="0.3">
      <c r="CY17568" s="34" t="s">
        <v>18495</v>
      </c>
      <c r="CZ17568" s="35">
        <v>9.537349485714286E-2</v>
      </c>
    </row>
    <row r="17569" spans="103:104" x14ac:dyDescent="0.3">
      <c r="CY17569" s="34" t="s">
        <v>18496</v>
      </c>
      <c r="CZ17569" s="35">
        <v>0.10618272400000001</v>
      </c>
    </row>
    <row r="17570" spans="103:104" x14ac:dyDescent="0.3">
      <c r="CY17570" s="34" t="s">
        <v>18497</v>
      </c>
      <c r="CZ17570" s="35">
        <v>0.11917708631578951</v>
      </c>
    </row>
    <row r="17571" spans="103:104" x14ac:dyDescent="0.3">
      <c r="CY17571" s="34" t="s">
        <v>18498</v>
      </c>
      <c r="CZ17571" s="35">
        <v>7.2951759999999994E-4</v>
      </c>
    </row>
    <row r="17572" spans="103:104" x14ac:dyDescent="0.3">
      <c r="CY17572" s="34" t="s">
        <v>18499</v>
      </c>
      <c r="CZ17572" s="35">
        <v>0.14719660888888889</v>
      </c>
    </row>
    <row r="17573" spans="103:104" x14ac:dyDescent="0.3">
      <c r="CY17573" s="34" t="s">
        <v>18500</v>
      </c>
      <c r="CZ17573" s="35">
        <v>0.1832909066666667</v>
      </c>
    </row>
    <row r="17574" spans="103:104" x14ac:dyDescent="0.3">
      <c r="CY17574" s="34" t="s">
        <v>18501</v>
      </c>
      <c r="CZ17574" s="35">
        <v>0.15957963555555557</v>
      </c>
    </row>
    <row r="17575" spans="103:104" x14ac:dyDescent="0.3">
      <c r="CY17575" s="34" t="s">
        <v>18502</v>
      </c>
      <c r="CZ17575" s="35">
        <v>9.9881331789473671E-2</v>
      </c>
    </row>
    <row r="17576" spans="103:104" x14ac:dyDescent="0.3">
      <c r="CY17576" s="34" t="s">
        <v>18503</v>
      </c>
      <c r="CZ17576" s="35">
        <v>7.1471818512000004E-2</v>
      </c>
    </row>
    <row r="17577" spans="103:104" x14ac:dyDescent="0.3">
      <c r="CY17577" s="34" t="s">
        <v>18504</v>
      </c>
      <c r="CZ17577" s="35">
        <v>7.8987559999999998E-2</v>
      </c>
    </row>
    <row r="17578" spans="103:104" x14ac:dyDescent="0.3">
      <c r="CY17578" s="34" t="s">
        <v>18505</v>
      </c>
      <c r="CZ17578" s="35">
        <v>2.9670171999999998E-3</v>
      </c>
    </row>
    <row r="17579" spans="103:104" x14ac:dyDescent="0.3">
      <c r="CY17579" s="34" t="s">
        <v>18506</v>
      </c>
      <c r="CZ17579" s="35">
        <v>0</v>
      </c>
    </row>
    <row r="17580" spans="103:104" x14ac:dyDescent="0.3">
      <c r="CY17580" s="34" t="s">
        <v>18507</v>
      </c>
      <c r="CZ17580" s="35">
        <v>2.5044064E-3</v>
      </c>
    </row>
    <row r="17581" spans="103:104" x14ac:dyDescent="0.3">
      <c r="CY17581" s="34" t="s">
        <v>18508</v>
      </c>
      <c r="CZ17581" s="35">
        <v>0</v>
      </c>
    </row>
    <row r="17582" spans="103:104" x14ac:dyDescent="0.3">
      <c r="CY17582" s="34" t="s">
        <v>18509</v>
      </c>
      <c r="CZ17582" s="35">
        <v>0.12152831578947371</v>
      </c>
    </row>
    <row r="17583" spans="103:104" x14ac:dyDescent="0.3">
      <c r="CY17583" s="34" t="s">
        <v>18510</v>
      </c>
      <c r="CZ17583" s="35">
        <v>0.18036490666666666</v>
      </c>
    </row>
    <row r="17584" spans="103:104" x14ac:dyDescent="0.3">
      <c r="CY17584" s="34" t="s">
        <v>18511</v>
      </c>
      <c r="CZ17584" s="35">
        <v>0.17851944444444445</v>
      </c>
    </row>
    <row r="17585" spans="103:104" x14ac:dyDescent="0.3">
      <c r="CY17585" s="34" t="s">
        <v>18512</v>
      </c>
      <c r="CZ17585" s="35">
        <v>0.17851944444444445</v>
      </c>
    </row>
    <row r="17586" spans="103:104" x14ac:dyDescent="0.3">
      <c r="CY17586" s="34" t="s">
        <v>18513</v>
      </c>
      <c r="CZ17586" s="35">
        <v>8.1853780000000001E-2</v>
      </c>
    </row>
    <row r="17587" spans="103:104" x14ac:dyDescent="0.3">
      <c r="CY17587" s="34" t="s">
        <v>18514</v>
      </c>
      <c r="CZ17587" s="35">
        <v>6.8041698500000006E-3</v>
      </c>
    </row>
    <row r="17588" spans="103:104" x14ac:dyDescent="0.3">
      <c r="CY17588" s="34" t="s">
        <v>18515</v>
      </c>
      <c r="CZ17588" s="35">
        <v>5.1529476000000005E-2</v>
      </c>
    </row>
    <row r="17589" spans="103:104" x14ac:dyDescent="0.3">
      <c r="CY17589" s="34" t="s">
        <v>18516</v>
      </c>
      <c r="CZ17589" s="35">
        <v>5.2611540000000005E-2</v>
      </c>
    </row>
    <row r="17590" spans="103:104" x14ac:dyDescent="0.3">
      <c r="CY17590" s="34" t="s">
        <v>18517</v>
      </c>
      <c r="CZ17590" s="35">
        <v>5.2784039999999997E-2</v>
      </c>
    </row>
    <row r="17591" spans="103:104" x14ac:dyDescent="0.3">
      <c r="CY17591" s="34" t="s">
        <v>18518</v>
      </c>
      <c r="CZ17591" s="35">
        <v>0.13056939200000001</v>
      </c>
    </row>
    <row r="17592" spans="103:104" x14ac:dyDescent="0.3">
      <c r="CY17592" s="34" t="s">
        <v>18519</v>
      </c>
      <c r="CZ17592" s="35">
        <v>8.9773382749999998E-3</v>
      </c>
    </row>
    <row r="17593" spans="103:104" x14ac:dyDescent="0.3">
      <c r="CY17593" s="34" t="s">
        <v>18520</v>
      </c>
      <c r="CZ17593" s="35">
        <v>1.0693078875000001E-2</v>
      </c>
    </row>
    <row r="17594" spans="103:104" x14ac:dyDescent="0.3">
      <c r="CY17594" s="34" t="s">
        <v>18521</v>
      </c>
      <c r="CZ17594" s="35">
        <v>7.9361792909090918E-3</v>
      </c>
    </row>
    <row r="17595" spans="103:104" x14ac:dyDescent="0.3">
      <c r="CY17595" s="34" t="s">
        <v>18522</v>
      </c>
      <c r="CZ17595" s="35">
        <v>2.0909480000000005E-3</v>
      </c>
    </row>
    <row r="17596" spans="103:104" x14ac:dyDescent="0.3">
      <c r="CY17596" s="34" t="s">
        <v>18523</v>
      </c>
      <c r="CZ17596" s="35">
        <v>5.6214675000000004E-3</v>
      </c>
    </row>
    <row r="17597" spans="103:104" x14ac:dyDescent="0.3">
      <c r="CY17597" s="34" t="s">
        <v>18524</v>
      </c>
      <c r="CZ17597" s="35">
        <v>5.8572900000000002E-3</v>
      </c>
    </row>
    <row r="17598" spans="103:104" x14ac:dyDescent="0.3">
      <c r="CY17598" s="34" t="s">
        <v>18525</v>
      </c>
      <c r="CZ17598" s="35">
        <v>8.6794217142857153E-3</v>
      </c>
    </row>
    <row r="17599" spans="103:104" x14ac:dyDescent="0.3">
      <c r="CY17599" s="34" t="s">
        <v>18526</v>
      </c>
      <c r="CZ17599" s="35">
        <v>7.7477666714285713E-3</v>
      </c>
    </row>
    <row r="17600" spans="103:104" x14ac:dyDescent="0.3">
      <c r="CY17600" s="34" t="s">
        <v>18527</v>
      </c>
      <c r="CZ17600" s="35">
        <v>1.7794448571428569E-3</v>
      </c>
    </row>
    <row r="17601" spans="103:104" x14ac:dyDescent="0.3">
      <c r="CY17601" s="34" t="s">
        <v>18528</v>
      </c>
      <c r="CZ17601" s="35">
        <v>0.24427209</v>
      </c>
    </row>
    <row r="17602" spans="103:104" x14ac:dyDescent="0.3">
      <c r="CY17602" s="34" t="s">
        <v>18529</v>
      </c>
      <c r="CZ17602" s="35">
        <v>8.2577382599999999E-2</v>
      </c>
    </row>
    <row r="17603" spans="103:104" x14ac:dyDescent="0.3">
      <c r="CY17603" s="34" t="s">
        <v>18530</v>
      </c>
      <c r="CZ17603" s="35">
        <v>5.6872080000000009E-3</v>
      </c>
    </row>
    <row r="17604" spans="103:104" x14ac:dyDescent="0.3">
      <c r="CY17604" s="34" t="s">
        <v>18531</v>
      </c>
      <c r="CZ17604" s="35">
        <v>1.8771472000000001E-3</v>
      </c>
    </row>
    <row r="17605" spans="103:104" x14ac:dyDescent="0.3">
      <c r="CY17605" s="34" t="s">
        <v>18532</v>
      </c>
      <c r="CZ17605" s="35">
        <v>2.5887144000000001E-2</v>
      </c>
    </row>
    <row r="17606" spans="103:104" x14ac:dyDescent="0.3">
      <c r="CY17606" s="34" t="s">
        <v>18533</v>
      </c>
      <c r="CZ17606" s="35">
        <v>4.2509972571428568E-3</v>
      </c>
    </row>
    <row r="17607" spans="103:104" x14ac:dyDescent="0.3">
      <c r="CY17607" s="34" t="s">
        <v>18534</v>
      </c>
      <c r="CZ17607" s="35">
        <v>7.1713239999999998E-3</v>
      </c>
    </row>
    <row r="17608" spans="103:104" x14ac:dyDescent="0.3">
      <c r="CY17608" s="34" t="s">
        <v>18535</v>
      </c>
      <c r="CZ17608" s="35">
        <v>7.5088492571428571E-3</v>
      </c>
    </row>
    <row r="17609" spans="103:104" x14ac:dyDescent="0.3">
      <c r="CY17609" s="34" t="s">
        <v>18536</v>
      </c>
      <c r="CZ17609" s="35">
        <v>6.6892850000000004E-2</v>
      </c>
    </row>
    <row r="17610" spans="103:104" x14ac:dyDescent="0.3">
      <c r="CY17610" s="34" t="s">
        <v>18537</v>
      </c>
      <c r="CZ17610" s="35">
        <v>4.3600000000000002E-3</v>
      </c>
    </row>
    <row r="17611" spans="103:104" x14ac:dyDescent="0.3">
      <c r="CY17611" s="34" t="s">
        <v>18538</v>
      </c>
      <c r="CZ17611" s="35">
        <v>2.3427789299999998E-2</v>
      </c>
    </row>
    <row r="17612" spans="103:104" x14ac:dyDescent="0.3">
      <c r="CY17612" s="34" t="s">
        <v>18539</v>
      </c>
      <c r="CZ17612" s="35">
        <v>0.32699055556000006</v>
      </c>
    </row>
    <row r="17613" spans="103:104" x14ac:dyDescent="0.3">
      <c r="CY17613" s="34" t="s">
        <v>18540</v>
      </c>
      <c r="CZ17613" s="35">
        <v>0.46304499999999993</v>
      </c>
    </row>
    <row r="17614" spans="103:104" x14ac:dyDescent="0.3">
      <c r="CY17614" s="34" t="s">
        <v>18541</v>
      </c>
      <c r="CZ17614" s="35">
        <v>0.32699055556000006</v>
      </c>
    </row>
    <row r="17615" spans="103:104" x14ac:dyDescent="0.3">
      <c r="CY17615" s="34" t="s">
        <v>18542</v>
      </c>
      <c r="CZ17615" s="35">
        <v>7.8579958999999977E-2</v>
      </c>
    </row>
    <row r="17616" spans="103:104" x14ac:dyDescent="0.3">
      <c r="CY17616" s="34" t="s">
        <v>18543</v>
      </c>
      <c r="CZ17616" s="35">
        <v>1.5284970666666667E-3</v>
      </c>
    </row>
    <row r="17617" spans="103:104" x14ac:dyDescent="0.3">
      <c r="CY17617" s="34" t="s">
        <v>18544</v>
      </c>
      <c r="CZ17617" s="35">
        <v>6.4192959999999997E-3</v>
      </c>
    </row>
    <row r="17618" spans="103:104" x14ac:dyDescent="0.3">
      <c r="CY17618" s="34" t="s">
        <v>18545</v>
      </c>
      <c r="CZ17618" s="35">
        <v>4.8173247000000002E-3</v>
      </c>
    </row>
    <row r="17619" spans="103:104" x14ac:dyDescent="0.3">
      <c r="CY17619" s="34" t="s">
        <v>18546</v>
      </c>
      <c r="CZ17619" s="35">
        <v>3.1463200000000002E-3</v>
      </c>
    </row>
    <row r="17620" spans="103:104" x14ac:dyDescent="0.3">
      <c r="CY17620" s="34" t="s">
        <v>18547</v>
      </c>
      <c r="CZ17620" s="35">
        <v>3.7779792000000006E-2</v>
      </c>
    </row>
    <row r="17621" spans="103:104" x14ac:dyDescent="0.3">
      <c r="CY17621" s="34" t="s">
        <v>18548</v>
      </c>
      <c r="CZ17621" s="35">
        <v>4.9025623339999991E-2</v>
      </c>
    </row>
    <row r="17622" spans="103:104" x14ac:dyDescent="0.3">
      <c r="CY17622" s="34" t="s">
        <v>18549</v>
      </c>
      <c r="CZ17622" s="35">
        <v>6.5977311339999983E-2</v>
      </c>
    </row>
    <row r="17623" spans="103:104" x14ac:dyDescent="0.3">
      <c r="CY17623" s="34" t="s">
        <v>18550</v>
      </c>
      <c r="CZ17623" s="35">
        <v>6.6557839340000008E-2</v>
      </c>
    </row>
    <row r="17624" spans="103:104" x14ac:dyDescent="0.3">
      <c r="CY17624" s="34" t="s">
        <v>18551</v>
      </c>
      <c r="CZ17624" s="35">
        <v>0.10266963622</v>
      </c>
    </row>
    <row r="17625" spans="103:104" x14ac:dyDescent="0.3">
      <c r="CY17625" s="34" t="s">
        <v>18552</v>
      </c>
      <c r="CZ17625" s="35">
        <v>9.9860222199999987E-2</v>
      </c>
    </row>
    <row r="17626" spans="103:104" x14ac:dyDescent="0.3">
      <c r="CY17626" s="34" t="s">
        <v>18553</v>
      </c>
      <c r="CZ17626" s="35">
        <v>0.14855658219999998</v>
      </c>
    </row>
    <row r="17627" spans="103:104" x14ac:dyDescent="0.3">
      <c r="CY17627" s="34" t="s">
        <v>18554</v>
      </c>
      <c r="CZ17627" s="35">
        <v>0.22838400000000003</v>
      </c>
    </row>
    <row r="17628" spans="103:104" x14ac:dyDescent="0.3">
      <c r="CY17628" s="34" t="s">
        <v>18555</v>
      </c>
      <c r="CZ17628" s="35">
        <v>0.179088</v>
      </c>
    </row>
    <row r="17629" spans="103:104" x14ac:dyDescent="0.3">
      <c r="CY17629" s="34" t="s">
        <v>18556</v>
      </c>
      <c r="CZ17629" s="35">
        <v>5.8177599999999999E-3</v>
      </c>
    </row>
    <row r="17630" spans="103:104" x14ac:dyDescent="0.3">
      <c r="CY17630" s="34" t="s">
        <v>18557</v>
      </c>
      <c r="CZ17630" s="35">
        <v>0.245056</v>
      </c>
    </row>
    <row r="17631" spans="103:104" x14ac:dyDescent="0.3">
      <c r="CY17631" s="34" t="s">
        <v>18558</v>
      </c>
      <c r="CZ17631" s="35">
        <v>0.30102400000000007</v>
      </c>
    </row>
    <row r="17632" spans="103:104" x14ac:dyDescent="0.3">
      <c r="CY17632" s="34" t="s">
        <v>18559</v>
      </c>
      <c r="CZ17632" s="35">
        <v>0.23015951199999998</v>
      </c>
    </row>
    <row r="17633" spans="103:104" x14ac:dyDescent="0.3">
      <c r="CY17633" s="34" t="s">
        <v>18560</v>
      </c>
      <c r="CZ17633" s="35">
        <v>0.22917036800000001</v>
      </c>
    </row>
    <row r="17634" spans="103:104" x14ac:dyDescent="0.3">
      <c r="CY17634" s="34" t="s">
        <v>18561</v>
      </c>
      <c r="CZ17634" s="35">
        <v>0.18945976</v>
      </c>
    </row>
    <row r="17635" spans="103:104" x14ac:dyDescent="0.3">
      <c r="CY17635" s="34" t="s">
        <v>18562</v>
      </c>
      <c r="CZ17635" s="35">
        <v>0.18945976</v>
      </c>
    </row>
    <row r="17636" spans="103:104" x14ac:dyDescent="0.3">
      <c r="CY17636" s="34" t="s">
        <v>18563</v>
      </c>
      <c r="CZ17636" s="35">
        <v>0.31137116000000004</v>
      </c>
    </row>
    <row r="17637" spans="103:104" x14ac:dyDescent="0.3">
      <c r="CY17637" s="34" t="s">
        <v>18564</v>
      </c>
      <c r="CZ17637" s="35">
        <v>0.33617741600000001</v>
      </c>
    </row>
    <row r="17638" spans="103:104" x14ac:dyDescent="0.3">
      <c r="CY17638" s="34" t="s">
        <v>18565</v>
      </c>
      <c r="CZ17638" s="35">
        <v>0.45712004000000001</v>
      </c>
    </row>
    <row r="17639" spans="103:104" x14ac:dyDescent="0.3">
      <c r="CY17639" s="34" t="s">
        <v>18566</v>
      </c>
      <c r="CZ17639" s="35">
        <v>0.19687624370370371</v>
      </c>
    </row>
    <row r="17640" spans="103:104" x14ac:dyDescent="0.3">
      <c r="CY17640" s="34" t="s">
        <v>18567</v>
      </c>
      <c r="CZ17640" s="35">
        <v>0.21442580000000003</v>
      </c>
    </row>
    <row r="17641" spans="103:104" x14ac:dyDescent="0.3">
      <c r="CY17641" s="34" t="s">
        <v>18568</v>
      </c>
      <c r="CZ17641" s="35">
        <v>0.22317999999999999</v>
      </c>
    </row>
    <row r="17642" spans="103:104" x14ac:dyDescent="0.3">
      <c r="CY17642" s="34" t="s">
        <v>18569</v>
      </c>
      <c r="CZ17642" s="35">
        <v>0.1154178</v>
      </c>
    </row>
    <row r="17643" spans="103:104" x14ac:dyDescent="0.3">
      <c r="CY17643" s="34" t="s">
        <v>18570</v>
      </c>
      <c r="CZ17643" s="35">
        <v>0.24944259999999999</v>
      </c>
    </row>
    <row r="17644" spans="103:104" x14ac:dyDescent="0.3">
      <c r="CY17644" s="34" t="s">
        <v>18571</v>
      </c>
      <c r="CZ17644" s="35">
        <v>0.24944260000000001</v>
      </c>
    </row>
    <row r="17645" spans="103:104" x14ac:dyDescent="0.3">
      <c r="CY17645" s="34" t="s">
        <v>18572</v>
      </c>
      <c r="CZ17645" s="35">
        <v>4.3249999999999999E-3</v>
      </c>
    </row>
    <row r="17646" spans="103:104" x14ac:dyDescent="0.3">
      <c r="CY17646" s="34" t="s">
        <v>18573</v>
      </c>
      <c r="CZ17646" s="35">
        <v>0.24944259999999999</v>
      </c>
    </row>
    <row r="17647" spans="103:104" x14ac:dyDescent="0.3">
      <c r="CY17647" s="34" t="s">
        <v>18574</v>
      </c>
      <c r="CZ17647" s="35">
        <v>0.12214515730000002</v>
      </c>
    </row>
    <row r="17648" spans="103:104" x14ac:dyDescent="0.3">
      <c r="CY17648" s="34" t="s">
        <v>18575</v>
      </c>
      <c r="CZ17648" s="35">
        <v>0.46354899999999999</v>
      </c>
    </row>
    <row r="17649" spans="103:104" x14ac:dyDescent="0.3">
      <c r="CY17649" s="34" t="s">
        <v>18576</v>
      </c>
      <c r="CZ17649" s="35">
        <v>5.0370665999999991E-3</v>
      </c>
    </row>
    <row r="17650" spans="103:104" x14ac:dyDescent="0.3">
      <c r="CY17650" s="34" t="s">
        <v>18577</v>
      </c>
      <c r="CZ17650" s="35">
        <v>2.2621176600000004E-2</v>
      </c>
    </row>
    <row r="17651" spans="103:104" x14ac:dyDescent="0.3">
      <c r="CY17651" s="34" t="s">
        <v>18578</v>
      </c>
      <c r="CZ17651" s="35">
        <v>2.2621176600000001E-2</v>
      </c>
    </row>
    <row r="17652" spans="103:104" x14ac:dyDescent="0.3">
      <c r="CY17652" s="34" t="s">
        <v>18579</v>
      </c>
      <c r="CZ17652" s="35">
        <v>1.1833486900000002E-2</v>
      </c>
    </row>
    <row r="17653" spans="103:104" x14ac:dyDescent="0.3">
      <c r="CY17653" s="34" t="s">
        <v>18580</v>
      </c>
      <c r="CZ17653" s="35">
        <v>1.434798E-2</v>
      </c>
    </row>
    <row r="17654" spans="103:104" x14ac:dyDescent="0.3">
      <c r="CY17654" s="34" t="s">
        <v>18581</v>
      </c>
      <c r="CZ17654" s="35">
        <v>5.4059149299999998E-2</v>
      </c>
    </row>
    <row r="17655" spans="103:104" x14ac:dyDescent="0.3">
      <c r="CY17655" s="34" t="s">
        <v>18582</v>
      </c>
      <c r="CZ17655" s="35">
        <v>1.2198315999999999E-2</v>
      </c>
    </row>
    <row r="17656" spans="103:104" x14ac:dyDescent="0.3">
      <c r="CY17656" s="34" t="s">
        <v>18583</v>
      </c>
      <c r="CZ17656" s="35">
        <v>1.4232026599999999E-2</v>
      </c>
    </row>
    <row r="17657" spans="103:104" x14ac:dyDescent="0.3">
      <c r="CY17657" s="34" t="s">
        <v>18584</v>
      </c>
      <c r="CZ17657" s="35">
        <v>5.9528786999999998E-3</v>
      </c>
    </row>
    <row r="17658" spans="103:104" x14ac:dyDescent="0.3">
      <c r="CY17658" s="34" t="s">
        <v>18585</v>
      </c>
      <c r="CZ17658" s="35">
        <v>4.0002499999999995E-3</v>
      </c>
    </row>
    <row r="17659" spans="103:104" x14ac:dyDescent="0.3">
      <c r="CY17659" s="34" t="s">
        <v>18586</v>
      </c>
      <c r="CZ17659" s="35">
        <v>7.7222980000000007E-3</v>
      </c>
    </row>
    <row r="17660" spans="103:104" x14ac:dyDescent="0.3">
      <c r="CY17660" s="34" t="s">
        <v>18587</v>
      </c>
      <c r="CZ17660" s="35">
        <v>1.4061319999999999E-2</v>
      </c>
    </row>
    <row r="17661" spans="103:104" x14ac:dyDescent="0.3">
      <c r="CY17661" s="34" t="s">
        <v>18588</v>
      </c>
      <c r="CZ17661" s="35">
        <v>3.6243382E-3</v>
      </c>
    </row>
    <row r="17662" spans="103:104" x14ac:dyDescent="0.3">
      <c r="CY17662" s="34" t="s">
        <v>18589</v>
      </c>
      <c r="CZ17662" s="35">
        <v>7.0261279999999995E-3</v>
      </c>
    </row>
    <row r="17663" spans="103:104" x14ac:dyDescent="0.3">
      <c r="CY17663" s="34" t="s">
        <v>18590</v>
      </c>
      <c r="CZ17663" s="35">
        <v>4.8814299999999998E-2</v>
      </c>
    </row>
    <row r="17664" spans="103:104" x14ac:dyDescent="0.3">
      <c r="CY17664" s="34" t="s">
        <v>18591</v>
      </c>
      <c r="CZ17664" s="35">
        <v>4.1822199999999997E-2</v>
      </c>
    </row>
    <row r="17665" spans="103:104" x14ac:dyDescent="0.3">
      <c r="CY17665" s="34" t="s">
        <v>18592</v>
      </c>
      <c r="CZ17665" s="35">
        <v>7.78738E-3</v>
      </c>
    </row>
    <row r="17666" spans="103:104" x14ac:dyDescent="0.3">
      <c r="CY17666" s="34" t="s">
        <v>18593</v>
      </c>
      <c r="CZ17666" s="35">
        <v>6.7938080000000012E-2</v>
      </c>
    </row>
    <row r="17667" spans="103:104" x14ac:dyDescent="0.3">
      <c r="CY17667" s="34" t="s">
        <v>18594</v>
      </c>
      <c r="CZ17667" s="35">
        <v>1.1347679999999999E-2</v>
      </c>
    </row>
    <row r="17668" spans="103:104" x14ac:dyDescent="0.3">
      <c r="CY17668" s="34" t="s">
        <v>18595</v>
      </c>
      <c r="CZ17668" s="35">
        <v>8.8433236363636373E-3</v>
      </c>
    </row>
    <row r="17669" spans="103:104" x14ac:dyDescent="0.3">
      <c r="CY17669" s="34" t="s">
        <v>18596</v>
      </c>
      <c r="CZ17669" s="35">
        <v>1.4329461333333335E-2</v>
      </c>
    </row>
    <row r="17670" spans="103:104" x14ac:dyDescent="0.3">
      <c r="CY17670" s="34" t="s">
        <v>18597</v>
      </c>
      <c r="CZ17670" s="35">
        <v>0.107198904</v>
      </c>
    </row>
    <row r="17671" spans="103:104" x14ac:dyDescent="0.3">
      <c r="CY17671" s="34" t="s">
        <v>18598</v>
      </c>
      <c r="CZ17671" s="35">
        <v>0.12446800000000001</v>
      </c>
    </row>
    <row r="17672" spans="103:104" x14ac:dyDescent="0.3">
      <c r="CY17672" s="34" t="s">
        <v>18599</v>
      </c>
      <c r="CZ17672" s="35">
        <v>0.151983904</v>
      </c>
    </row>
    <row r="17673" spans="103:104" x14ac:dyDescent="0.3">
      <c r="CY17673" s="34" t="s">
        <v>18600</v>
      </c>
      <c r="CZ17673" s="35">
        <v>0.11459143999999999</v>
      </c>
    </row>
    <row r="17674" spans="103:104" x14ac:dyDescent="0.3">
      <c r="CY17674" s="34" t="s">
        <v>18601</v>
      </c>
      <c r="CZ17674" s="35">
        <v>3.6243382000000005E-3</v>
      </c>
    </row>
    <row r="17675" spans="103:104" x14ac:dyDescent="0.3">
      <c r="CY17675" s="34" t="s">
        <v>18602</v>
      </c>
      <c r="CZ17675" s="35">
        <v>6.4542039999999995E-2</v>
      </c>
    </row>
    <row r="17676" spans="103:104" x14ac:dyDescent="0.3">
      <c r="CY17676" s="34" t="s">
        <v>18603</v>
      </c>
      <c r="CZ17676" s="35">
        <v>7.2555031999999992E-2</v>
      </c>
    </row>
    <row r="17677" spans="103:104" x14ac:dyDescent="0.3">
      <c r="CY17677" s="34" t="s">
        <v>18604</v>
      </c>
      <c r="CZ17677" s="35">
        <v>0.15584688000000002</v>
      </c>
    </row>
    <row r="17678" spans="103:104" x14ac:dyDescent="0.3">
      <c r="CY17678" s="34" t="s">
        <v>18605</v>
      </c>
      <c r="CZ17678" s="35">
        <v>1.575E-3</v>
      </c>
    </row>
    <row r="17679" spans="103:104" x14ac:dyDescent="0.3">
      <c r="CY17679" s="34" t="s">
        <v>18606</v>
      </c>
      <c r="CZ17679" s="35">
        <v>0.13982849999999999</v>
      </c>
    </row>
    <row r="17680" spans="103:104" x14ac:dyDescent="0.3">
      <c r="CY17680" s="34" t="s">
        <v>18607</v>
      </c>
      <c r="CZ17680" s="35">
        <v>0.14172750000000001</v>
      </c>
    </row>
    <row r="17681" spans="103:104" x14ac:dyDescent="0.3">
      <c r="CY17681" s="34" t="s">
        <v>18608</v>
      </c>
      <c r="CZ17681" s="35">
        <v>0.1706976</v>
      </c>
    </row>
    <row r="17682" spans="103:104" x14ac:dyDescent="0.3">
      <c r="CY17682" s="34" t="s">
        <v>18609</v>
      </c>
      <c r="CZ17682" s="35">
        <v>0.14248943999999999</v>
      </c>
    </row>
    <row r="17683" spans="103:104" x14ac:dyDescent="0.3">
      <c r="CY17683" s="34" t="s">
        <v>18610</v>
      </c>
      <c r="CZ17683" s="35">
        <v>2.9086147999999996E-2</v>
      </c>
    </row>
    <row r="17684" spans="103:104" x14ac:dyDescent="0.3">
      <c r="CY17684" s="34" t="s">
        <v>18611</v>
      </c>
      <c r="CZ17684" s="35">
        <v>1.8457372E-2</v>
      </c>
    </row>
    <row r="17685" spans="103:104" x14ac:dyDescent="0.3">
      <c r="CY17685" s="34" t="s">
        <v>18612</v>
      </c>
      <c r="CZ17685" s="35">
        <v>1.2556000000000001E-2</v>
      </c>
    </row>
    <row r="17686" spans="103:104" x14ac:dyDescent="0.3">
      <c r="CY17686" s="34" t="s">
        <v>18613</v>
      </c>
      <c r="CZ17686" s="35">
        <v>0.65634180000000009</v>
      </c>
    </row>
    <row r="17687" spans="103:104" x14ac:dyDescent="0.3">
      <c r="CY17687" s="34" t="s">
        <v>18614</v>
      </c>
      <c r="CZ17687" s="35">
        <v>0.17143728</v>
      </c>
    </row>
    <row r="17688" spans="103:104" x14ac:dyDescent="0.3">
      <c r="CY17688" s="34" t="s">
        <v>18615</v>
      </c>
      <c r="CZ17688" s="35">
        <v>3.5815408333333331E-3</v>
      </c>
    </row>
    <row r="17689" spans="103:104" x14ac:dyDescent="0.3">
      <c r="CY17689" s="34" t="s">
        <v>18616</v>
      </c>
      <c r="CZ17689" s="35">
        <v>3.4343513333333336E-3</v>
      </c>
    </row>
    <row r="17690" spans="103:104" x14ac:dyDescent="0.3">
      <c r="CY17690" s="34" t="s">
        <v>18617</v>
      </c>
      <c r="CZ17690" s="35">
        <v>1.4445999999999999E-2</v>
      </c>
    </row>
    <row r="17691" spans="103:104" x14ac:dyDescent="0.3">
      <c r="CY17691" s="34" t="s">
        <v>18618</v>
      </c>
      <c r="CZ17691" s="35">
        <v>4.2576431999999994E-3</v>
      </c>
    </row>
    <row r="17692" spans="103:104" x14ac:dyDescent="0.3">
      <c r="CY17692" s="34" t="s">
        <v>18619</v>
      </c>
      <c r="CZ17692" s="35">
        <v>1.9886445333333336E-3</v>
      </c>
    </row>
    <row r="17693" spans="103:104" x14ac:dyDescent="0.3">
      <c r="CY17693" s="34" t="s">
        <v>18620</v>
      </c>
      <c r="CZ17693" s="35">
        <v>6.8298342666666661E-3</v>
      </c>
    </row>
    <row r="17694" spans="103:104" x14ac:dyDescent="0.3">
      <c r="CY17694" s="34" t="s">
        <v>18621</v>
      </c>
      <c r="CZ17694" s="35">
        <v>8.0099733333333339E-4</v>
      </c>
    </row>
    <row r="17695" spans="103:104" x14ac:dyDescent="0.3">
      <c r="CY17695" s="34" t="s">
        <v>18622</v>
      </c>
      <c r="CZ17695" s="35">
        <v>1.2750318666666665E-2</v>
      </c>
    </row>
    <row r="17696" spans="103:104" x14ac:dyDescent="0.3">
      <c r="CY17696" s="34" t="s">
        <v>18623</v>
      </c>
      <c r="CZ17696" s="35">
        <v>1.282884E-3</v>
      </c>
    </row>
    <row r="17697" spans="103:104" x14ac:dyDescent="0.3">
      <c r="CY17697" s="34" t="s">
        <v>18624</v>
      </c>
      <c r="CZ17697" s="35">
        <v>5.5076143333333332E-3</v>
      </c>
    </row>
    <row r="17698" spans="103:104" x14ac:dyDescent="0.3">
      <c r="CY17698" s="34" t="s">
        <v>18625</v>
      </c>
      <c r="CZ17698" s="35">
        <v>4.0411105263157901E-2</v>
      </c>
    </row>
    <row r="17699" spans="103:104" x14ac:dyDescent="0.3">
      <c r="CY17699" s="34" t="s">
        <v>18626</v>
      </c>
      <c r="CZ17699" s="35">
        <v>1.3986745833333336E-2</v>
      </c>
    </row>
    <row r="17700" spans="103:104" x14ac:dyDescent="0.3">
      <c r="CY17700" s="34" t="s">
        <v>18627</v>
      </c>
      <c r="CZ17700" s="35">
        <v>8.8086746000000007E-2</v>
      </c>
    </row>
    <row r="17701" spans="103:104" x14ac:dyDescent="0.3">
      <c r="CY17701" s="34" t="s">
        <v>18628</v>
      </c>
      <c r="CZ17701" s="35">
        <v>9.4948666000000001E-2</v>
      </c>
    </row>
    <row r="17702" spans="103:104" x14ac:dyDescent="0.3">
      <c r="CY17702" s="34" t="s">
        <v>18629</v>
      </c>
      <c r="CZ17702" s="35">
        <v>7.348535199999999E-2</v>
      </c>
    </row>
    <row r="17703" spans="103:104" x14ac:dyDescent="0.3">
      <c r="CY17703" s="34" t="s">
        <v>18630</v>
      </c>
      <c r="CZ17703" s="35">
        <v>8.5142857142857145E-5</v>
      </c>
    </row>
    <row r="17704" spans="103:104" x14ac:dyDescent="0.3">
      <c r="CY17704" s="34" t="s">
        <v>18631</v>
      </c>
      <c r="CZ17704" s="35">
        <v>6.3721919999999996E-3</v>
      </c>
    </row>
    <row r="17705" spans="103:104" x14ac:dyDescent="0.3">
      <c r="CY17705" s="34" t="s">
        <v>18632</v>
      </c>
      <c r="CZ17705" s="35">
        <v>6.3721920000000005E-3</v>
      </c>
    </row>
    <row r="17706" spans="103:104" x14ac:dyDescent="0.3">
      <c r="CY17706" s="34" t="s">
        <v>18633</v>
      </c>
      <c r="CZ17706" s="35">
        <v>8.0342720000000003E-3</v>
      </c>
    </row>
    <row r="17707" spans="103:104" x14ac:dyDescent="0.3">
      <c r="CY17707" s="34" t="s">
        <v>18634</v>
      </c>
      <c r="CZ17707" s="35">
        <v>8.6096832000000009E-3</v>
      </c>
    </row>
    <row r="17708" spans="103:104" x14ac:dyDescent="0.3">
      <c r="CY17708" s="34" t="s">
        <v>18635</v>
      </c>
      <c r="CZ17708" s="35">
        <v>4.76462E-2</v>
      </c>
    </row>
    <row r="17709" spans="103:104" x14ac:dyDescent="0.3">
      <c r="CY17709" s="34" t="s">
        <v>18636</v>
      </c>
      <c r="CZ17709" s="35">
        <v>4.76462E-2</v>
      </c>
    </row>
    <row r="17710" spans="103:104" x14ac:dyDescent="0.3">
      <c r="CY17710" s="34" t="s">
        <v>18637</v>
      </c>
      <c r="CZ17710" s="35">
        <v>0.10782712000000001</v>
      </c>
    </row>
    <row r="17711" spans="103:104" x14ac:dyDescent="0.3">
      <c r="CY17711" s="34" t="s">
        <v>18638</v>
      </c>
      <c r="CZ17711" s="35">
        <v>6.1549E-4</v>
      </c>
    </row>
    <row r="17712" spans="103:104" x14ac:dyDescent="0.3">
      <c r="CY17712" s="34" t="s">
        <v>18639</v>
      </c>
      <c r="CZ17712" s="35">
        <v>0.28432072000000003</v>
      </c>
    </row>
    <row r="17713" spans="103:104" x14ac:dyDescent="0.3">
      <c r="CY17713" s="34" t="s">
        <v>18640</v>
      </c>
      <c r="CZ17713" s="35">
        <v>5.8396123999999994E-2</v>
      </c>
    </row>
    <row r="17714" spans="103:104" x14ac:dyDescent="0.3">
      <c r="CY17714" s="34" t="s">
        <v>18641</v>
      </c>
      <c r="CZ17714" s="35">
        <v>5.7460277333333337E-2</v>
      </c>
    </row>
    <row r="17715" spans="103:104" x14ac:dyDescent="0.3">
      <c r="CY17715" s="34" t="s">
        <v>18642</v>
      </c>
      <c r="CZ17715" s="35">
        <v>5.5138852060000007E-2</v>
      </c>
    </row>
    <row r="17716" spans="103:104" x14ac:dyDescent="0.3">
      <c r="CY17716" s="34" t="s">
        <v>18643</v>
      </c>
      <c r="CZ17716" s="35">
        <v>3.3203614399999998E-2</v>
      </c>
    </row>
    <row r="17717" spans="103:104" x14ac:dyDescent="0.3">
      <c r="CY17717" s="34" t="s">
        <v>18644</v>
      </c>
      <c r="CZ17717" s="35">
        <v>3.3203614399999998E-2</v>
      </c>
    </row>
    <row r="17718" spans="103:104" x14ac:dyDescent="0.3">
      <c r="CY17718" s="34" t="s">
        <v>18645</v>
      </c>
      <c r="CZ17718" s="35">
        <v>1.8468976000000002E-2</v>
      </c>
    </row>
    <row r="17719" spans="103:104" x14ac:dyDescent="0.3">
      <c r="CY17719" s="34" t="s">
        <v>18646</v>
      </c>
      <c r="CZ17719" s="35">
        <v>2.0129575E-2</v>
      </c>
    </row>
    <row r="17720" spans="103:104" x14ac:dyDescent="0.3">
      <c r="CY17720" s="34" t="s">
        <v>18647</v>
      </c>
      <c r="CZ17720" s="35">
        <v>1.21883967E-2</v>
      </c>
    </row>
    <row r="17721" spans="103:104" x14ac:dyDescent="0.3">
      <c r="CY17721" s="34" t="s">
        <v>18648</v>
      </c>
      <c r="CZ17721" s="35">
        <v>1.147539E-2</v>
      </c>
    </row>
    <row r="17722" spans="103:104" x14ac:dyDescent="0.3">
      <c r="CY17722" s="34" t="s">
        <v>18649</v>
      </c>
      <c r="CZ17722" s="35">
        <v>2.110942E-2</v>
      </c>
    </row>
    <row r="17723" spans="103:104" x14ac:dyDescent="0.3">
      <c r="CY17723" s="34" t="s">
        <v>18650</v>
      </c>
      <c r="CZ17723" s="35">
        <v>2.7684825600000004E-3</v>
      </c>
    </row>
    <row r="17724" spans="103:104" x14ac:dyDescent="0.3">
      <c r="CY17724" s="34" t="s">
        <v>18651</v>
      </c>
      <c r="CZ17724" s="35">
        <v>9.0221290000000003E-3</v>
      </c>
    </row>
    <row r="17725" spans="103:104" x14ac:dyDescent="0.3">
      <c r="CY17725" s="34" t="s">
        <v>18652</v>
      </c>
      <c r="CZ17725" s="35">
        <v>4.1438946657142858E-2</v>
      </c>
    </row>
    <row r="17726" spans="103:104" x14ac:dyDescent="0.3">
      <c r="CY17726" s="34" t="s">
        <v>18653</v>
      </c>
      <c r="CZ17726" s="35">
        <v>1.8021532E-2</v>
      </c>
    </row>
    <row r="17727" spans="103:104" x14ac:dyDescent="0.3">
      <c r="CY17727" s="34" t="s">
        <v>18654</v>
      </c>
      <c r="CZ17727" s="35">
        <v>2.2826585333333337E-2</v>
      </c>
    </row>
    <row r="17728" spans="103:104" x14ac:dyDescent="0.3">
      <c r="CY17728" s="34" t="s">
        <v>18655</v>
      </c>
      <c r="CZ17728" s="35">
        <v>0.15391743465000002</v>
      </c>
    </row>
    <row r="17729" spans="103:104" x14ac:dyDescent="0.3">
      <c r="CY17729" s="34" t="s">
        <v>18656</v>
      </c>
      <c r="CZ17729" s="35">
        <v>5.6581000000000003E-4</v>
      </c>
    </row>
    <row r="17730" spans="103:104" x14ac:dyDescent="0.3">
      <c r="CY17730" s="34" t="s">
        <v>18657</v>
      </c>
      <c r="CZ17730" s="35">
        <v>6.6720884000000008E-2</v>
      </c>
    </row>
    <row r="17731" spans="103:104" x14ac:dyDescent="0.3">
      <c r="CY17731" s="34" t="s">
        <v>18658</v>
      </c>
      <c r="CZ17731" s="35">
        <v>1.7475800999999999E-2</v>
      </c>
    </row>
    <row r="17732" spans="103:104" x14ac:dyDescent="0.3">
      <c r="CY17732" s="34" t="s">
        <v>18659</v>
      </c>
      <c r="CZ17732" s="35">
        <v>5.7193271999999996E-2</v>
      </c>
    </row>
    <row r="17733" spans="103:104" x14ac:dyDescent="0.3">
      <c r="CY17733" s="34" t="s">
        <v>18660</v>
      </c>
      <c r="CZ17733" s="35">
        <v>3.6486480000000002E-2</v>
      </c>
    </row>
    <row r="17734" spans="103:104" x14ac:dyDescent="0.3">
      <c r="CY17734" s="34" t="s">
        <v>18661</v>
      </c>
      <c r="CZ17734" s="35">
        <v>3.6486479999999995E-2</v>
      </c>
    </row>
    <row r="17735" spans="103:104" x14ac:dyDescent="0.3">
      <c r="CY17735" s="34" t="s">
        <v>18662</v>
      </c>
      <c r="CZ17735" s="35">
        <v>0.11865373999999999</v>
      </c>
    </row>
    <row r="17736" spans="103:104" x14ac:dyDescent="0.3">
      <c r="CY17736" s="34" t="s">
        <v>18663</v>
      </c>
      <c r="CZ17736" s="35">
        <v>1.8919036929999997E-2</v>
      </c>
    </row>
    <row r="17737" spans="103:104" x14ac:dyDescent="0.3">
      <c r="CY17737" s="34" t="s">
        <v>18664</v>
      </c>
      <c r="CZ17737" s="35">
        <v>4.5932520000000004E-2</v>
      </c>
    </row>
    <row r="17738" spans="103:104" x14ac:dyDescent="0.3">
      <c r="CY17738" s="34" t="s">
        <v>18665</v>
      </c>
      <c r="CZ17738" s="35">
        <v>0.1760834</v>
      </c>
    </row>
    <row r="17739" spans="103:104" x14ac:dyDescent="0.3">
      <c r="CY17739" s="34" t="s">
        <v>18666</v>
      </c>
      <c r="CZ17739" s="35">
        <v>0.1760834</v>
      </c>
    </row>
    <row r="17740" spans="103:104" x14ac:dyDescent="0.3">
      <c r="CY17740" s="34" t="s">
        <v>18667</v>
      </c>
      <c r="CZ17740" s="35">
        <v>2.9996480000000002E-3</v>
      </c>
    </row>
    <row r="17741" spans="103:104" x14ac:dyDescent="0.3">
      <c r="CY17741" s="34" t="s">
        <v>18668</v>
      </c>
      <c r="CZ17741" s="35">
        <v>8.1389005E-2</v>
      </c>
    </row>
    <row r="17742" spans="103:104" x14ac:dyDescent="0.3">
      <c r="CY17742" s="34" t="s">
        <v>18669</v>
      </c>
      <c r="CZ17742" s="35">
        <v>2.1215004000000003E-2</v>
      </c>
    </row>
    <row r="17743" spans="103:104" x14ac:dyDescent="0.3">
      <c r="CY17743" s="34" t="s">
        <v>18670</v>
      </c>
      <c r="CZ17743" s="35">
        <v>1.7563148000000001E-2</v>
      </c>
    </row>
    <row r="17744" spans="103:104" x14ac:dyDescent="0.3">
      <c r="CY17744" s="34" t="s">
        <v>18671</v>
      </c>
      <c r="CZ17744" s="35">
        <v>1.7085981300000001E-2</v>
      </c>
    </row>
    <row r="17745" spans="103:104" x14ac:dyDescent="0.3">
      <c r="CY17745" s="34" t="s">
        <v>18672</v>
      </c>
      <c r="CZ17745" s="35">
        <v>4.7353720000000002E-2</v>
      </c>
    </row>
    <row r="17746" spans="103:104" x14ac:dyDescent="0.3">
      <c r="CY17746" s="34" t="s">
        <v>18673</v>
      </c>
      <c r="CZ17746" s="35">
        <v>5.6318319999999998E-2</v>
      </c>
    </row>
    <row r="17747" spans="103:104" x14ac:dyDescent="0.3">
      <c r="CY17747" s="34" t="s">
        <v>18674</v>
      </c>
      <c r="CZ17747" s="35">
        <v>3.221164E-2</v>
      </c>
    </row>
    <row r="17748" spans="103:104" x14ac:dyDescent="0.3">
      <c r="CY17748" s="34" t="s">
        <v>18675</v>
      </c>
      <c r="CZ17748" s="35">
        <v>3.0544832000000001E-2</v>
      </c>
    </row>
    <row r="17749" spans="103:104" x14ac:dyDescent="0.3">
      <c r="CY17749" s="34" t="s">
        <v>18676</v>
      </c>
      <c r="CZ17749" s="35">
        <v>3.6053399999999999E-2</v>
      </c>
    </row>
    <row r="17750" spans="103:104" x14ac:dyDescent="0.3">
      <c r="CY17750" s="34" t="s">
        <v>18677</v>
      </c>
      <c r="CZ17750" s="35">
        <v>5.9478284000000006E-2</v>
      </c>
    </row>
    <row r="17751" spans="103:104" x14ac:dyDescent="0.3">
      <c r="CY17751" s="34" t="s">
        <v>18678</v>
      </c>
      <c r="CZ17751" s="35">
        <v>4.574044E-2</v>
      </c>
    </row>
    <row r="17752" spans="103:104" x14ac:dyDescent="0.3">
      <c r="CY17752" s="34" t="s">
        <v>18679</v>
      </c>
      <c r="CZ17752" s="35">
        <v>4.762272E-2</v>
      </c>
    </row>
    <row r="17753" spans="103:104" x14ac:dyDescent="0.3">
      <c r="CY17753" s="34" t="s">
        <v>18680</v>
      </c>
      <c r="CZ17753" s="35">
        <v>7.5469640000000004E-2</v>
      </c>
    </row>
    <row r="17754" spans="103:104" x14ac:dyDescent="0.3">
      <c r="CY17754" s="34" t="s">
        <v>18681</v>
      </c>
      <c r="CZ17754" s="35">
        <v>4.7353720000000002E-2</v>
      </c>
    </row>
    <row r="17755" spans="103:104" x14ac:dyDescent="0.3">
      <c r="CY17755" s="34" t="s">
        <v>18682</v>
      </c>
      <c r="CZ17755" s="35">
        <v>5.6318319999999998E-2</v>
      </c>
    </row>
    <row r="17756" spans="103:104" x14ac:dyDescent="0.3">
      <c r="CY17756" s="34" t="s">
        <v>18683</v>
      </c>
      <c r="CZ17756" s="35">
        <v>3.221164E-2</v>
      </c>
    </row>
    <row r="17757" spans="103:104" x14ac:dyDescent="0.3">
      <c r="CY17757" s="34" t="s">
        <v>18684</v>
      </c>
      <c r="CZ17757" s="35">
        <v>3.0544832000000001E-2</v>
      </c>
    </row>
    <row r="17758" spans="103:104" x14ac:dyDescent="0.3">
      <c r="CY17758" s="34" t="s">
        <v>18685</v>
      </c>
      <c r="CZ17758" s="35">
        <v>3.6053399999999999E-2</v>
      </c>
    </row>
    <row r="17759" spans="103:104" x14ac:dyDescent="0.3">
      <c r="CY17759" s="34" t="s">
        <v>18686</v>
      </c>
      <c r="CZ17759" s="35">
        <v>5.9478284000000006E-2</v>
      </c>
    </row>
    <row r="17760" spans="103:104" x14ac:dyDescent="0.3">
      <c r="CY17760" s="34" t="s">
        <v>18687</v>
      </c>
      <c r="CZ17760" s="35">
        <v>4.574044E-2</v>
      </c>
    </row>
    <row r="17761" spans="103:104" x14ac:dyDescent="0.3">
      <c r="CY17761" s="34" t="s">
        <v>18688</v>
      </c>
      <c r="CZ17761" s="35">
        <v>4.7622720000000007E-2</v>
      </c>
    </row>
    <row r="17762" spans="103:104" x14ac:dyDescent="0.3">
      <c r="CY17762" s="34" t="s">
        <v>18689</v>
      </c>
      <c r="CZ17762" s="35">
        <v>7.5469640000000004E-2</v>
      </c>
    </row>
    <row r="17763" spans="103:104" x14ac:dyDescent="0.3">
      <c r="CY17763" s="34" t="s">
        <v>18690</v>
      </c>
      <c r="CZ17763" s="35">
        <v>7.6564135999999991E-2</v>
      </c>
    </row>
    <row r="17764" spans="103:104" x14ac:dyDescent="0.3">
      <c r="CY17764" s="34" t="s">
        <v>18691</v>
      </c>
      <c r="CZ17764" s="35">
        <v>1.3970649999999999E-2</v>
      </c>
    </row>
    <row r="17765" spans="103:104" x14ac:dyDescent="0.3">
      <c r="CY17765" s="34" t="s">
        <v>18692</v>
      </c>
      <c r="CZ17765" s="35">
        <v>1.3832649999999998E-2</v>
      </c>
    </row>
    <row r="17766" spans="103:104" x14ac:dyDescent="0.3">
      <c r="CY17766" s="34" t="s">
        <v>18693</v>
      </c>
      <c r="CZ17766" s="35">
        <v>0.24067932</v>
      </c>
    </row>
    <row r="17767" spans="103:104" x14ac:dyDescent="0.3">
      <c r="CY17767" s="34" t="s">
        <v>18694</v>
      </c>
      <c r="CZ17767" s="35">
        <v>1.4551897599999997</v>
      </c>
    </row>
    <row r="17768" spans="103:104" x14ac:dyDescent="0.3">
      <c r="CY17768" s="34" t="s">
        <v>18695</v>
      </c>
      <c r="CZ17768" s="35">
        <v>1.9254663999999999E-3</v>
      </c>
    </row>
    <row r="17769" spans="103:104" x14ac:dyDescent="0.3">
      <c r="CY17769" s="34" t="s">
        <v>18696</v>
      </c>
      <c r="CZ17769" s="35">
        <v>0.15533333333333335</v>
      </c>
    </row>
    <row r="17770" spans="103:104" x14ac:dyDescent="0.3">
      <c r="CY17770" s="34" t="s">
        <v>18697</v>
      </c>
      <c r="CZ17770" s="35">
        <v>0.11494666666666667</v>
      </c>
    </row>
    <row r="17771" spans="103:104" x14ac:dyDescent="0.3">
      <c r="CY17771" s="34" t="s">
        <v>18698</v>
      </c>
      <c r="CZ17771" s="35">
        <v>2.925256E-2</v>
      </c>
    </row>
    <row r="17772" spans="103:104" x14ac:dyDescent="0.3">
      <c r="CY17772" s="34" t="s">
        <v>18699</v>
      </c>
      <c r="CZ17772" s="35">
        <v>7.1732889200000005E-3</v>
      </c>
    </row>
    <row r="17773" spans="103:104" x14ac:dyDescent="0.3">
      <c r="CY17773" s="34" t="s">
        <v>18700</v>
      </c>
      <c r="CZ17773" s="35">
        <v>0.85576499999999989</v>
      </c>
    </row>
    <row r="17774" spans="103:104" x14ac:dyDescent="0.3">
      <c r="CY17774" s="34" t="s">
        <v>18701</v>
      </c>
      <c r="CZ17774" s="35">
        <v>1.0974639999999999E-2</v>
      </c>
    </row>
    <row r="17775" spans="103:104" x14ac:dyDescent="0.3">
      <c r="CY17775" s="34" t="s">
        <v>18702</v>
      </c>
      <c r="CZ17775" s="35">
        <v>6.7213840000000004E-3</v>
      </c>
    </row>
    <row r="17776" spans="103:104" x14ac:dyDescent="0.3">
      <c r="CY17776" s="34" t="s">
        <v>18703</v>
      </c>
      <c r="CZ17776" s="35">
        <v>8.3563529999999997E-2</v>
      </c>
    </row>
    <row r="17777" spans="103:104" x14ac:dyDescent="0.3">
      <c r="CY17777" s="34" t="s">
        <v>18704</v>
      </c>
      <c r="CZ17777" s="35">
        <v>8.5307759999999992E-4</v>
      </c>
    </row>
    <row r="17778" spans="103:104" x14ac:dyDescent="0.3">
      <c r="CY17778" s="34" t="s">
        <v>18705</v>
      </c>
      <c r="CZ17778" s="35">
        <v>2.7609335999999995E-3</v>
      </c>
    </row>
    <row r="17779" spans="103:104" x14ac:dyDescent="0.3">
      <c r="CY17779" s="34" t="s">
        <v>18706</v>
      </c>
      <c r="CZ17779" s="35">
        <v>8.1844200000000006E-2</v>
      </c>
    </row>
    <row r="17780" spans="103:104" x14ac:dyDescent="0.3">
      <c r="CY17780" s="34" t="s">
        <v>18707</v>
      </c>
      <c r="CZ17780" s="35">
        <v>3.6700000000000001E-3</v>
      </c>
    </row>
    <row r="17781" spans="103:104" x14ac:dyDescent="0.3">
      <c r="CY17781" s="34" t="s">
        <v>18708</v>
      </c>
      <c r="CZ17781" s="35">
        <v>1.687029E-2</v>
      </c>
    </row>
    <row r="17782" spans="103:104" x14ac:dyDescent="0.3">
      <c r="CY17782" s="34" t="s">
        <v>18709</v>
      </c>
      <c r="CZ17782" s="35">
        <v>5.4578960000000007E-4</v>
      </c>
    </row>
    <row r="17783" spans="103:104" x14ac:dyDescent="0.3">
      <c r="CY17783" s="34" t="s">
        <v>18710</v>
      </c>
      <c r="CZ17783" s="35">
        <v>0.76253650000000006</v>
      </c>
    </row>
    <row r="17784" spans="103:104" x14ac:dyDescent="0.3">
      <c r="CY17784" s="34" t="s">
        <v>18711</v>
      </c>
      <c r="CZ17784" s="35">
        <v>0.7500981000000001</v>
      </c>
    </row>
    <row r="17785" spans="103:104" x14ac:dyDescent="0.3">
      <c r="CY17785" s="34" t="s">
        <v>18712</v>
      </c>
      <c r="CZ17785" s="35">
        <v>0.90954007999999997</v>
      </c>
    </row>
    <row r="17786" spans="103:104" x14ac:dyDescent="0.3">
      <c r="CY17786" s="34" t="s">
        <v>18713</v>
      </c>
      <c r="CZ17786" s="35">
        <v>1.3011962859999999</v>
      </c>
    </row>
    <row r="17787" spans="103:104" x14ac:dyDescent="0.3">
      <c r="CY17787" s="34" t="s">
        <v>18714</v>
      </c>
      <c r="CZ17787" s="35">
        <v>0.71685600000000005</v>
      </c>
    </row>
    <row r="17788" spans="103:104" x14ac:dyDescent="0.3">
      <c r="CY17788" s="34" t="s">
        <v>18715</v>
      </c>
      <c r="CZ17788" s="35">
        <v>0.7465311200000001</v>
      </c>
    </row>
    <row r="17789" spans="103:104" x14ac:dyDescent="0.3">
      <c r="CY17789" s="34" t="s">
        <v>18716</v>
      </c>
      <c r="CZ17789" s="35">
        <v>0.35952632000000001</v>
      </c>
    </row>
    <row r="17790" spans="103:104" x14ac:dyDescent="0.3">
      <c r="CY17790" s="34" t="s">
        <v>18717</v>
      </c>
      <c r="CZ17790" s="35">
        <v>0.75110471999999995</v>
      </c>
    </row>
    <row r="17791" spans="103:104" x14ac:dyDescent="0.3">
      <c r="CY17791" s="34" t="s">
        <v>18718</v>
      </c>
      <c r="CZ17791" s="35">
        <v>0.39104144000000007</v>
      </c>
    </row>
    <row r="17792" spans="103:104" x14ac:dyDescent="0.3">
      <c r="CY17792" s="34" t="s">
        <v>18719</v>
      </c>
      <c r="CZ17792" s="35">
        <v>0.14294383999999999</v>
      </c>
    </row>
    <row r="17793" spans="103:104" x14ac:dyDescent="0.3">
      <c r="CY17793" s="34" t="s">
        <v>18720</v>
      </c>
      <c r="CZ17793" s="35">
        <v>0.30647921533333333</v>
      </c>
    </row>
    <row r="17794" spans="103:104" x14ac:dyDescent="0.3">
      <c r="CY17794" s="34" t="s">
        <v>18721</v>
      </c>
      <c r="CZ17794" s="35">
        <v>1.1113238240000001</v>
      </c>
    </row>
    <row r="17795" spans="103:104" x14ac:dyDescent="0.3">
      <c r="CY17795" s="34" t="s">
        <v>18722</v>
      </c>
      <c r="CZ17795" s="35">
        <v>0.44011664000000006</v>
      </c>
    </row>
    <row r="17796" spans="103:104" x14ac:dyDescent="0.3">
      <c r="CY17796" s="34" t="s">
        <v>18723</v>
      </c>
      <c r="CZ17796" s="35">
        <v>0.40225436922499996</v>
      </c>
    </row>
    <row r="17797" spans="103:104" x14ac:dyDescent="0.3">
      <c r="CY17797" s="34" t="s">
        <v>18724</v>
      </c>
      <c r="CZ17797" s="35">
        <v>1.2075031999999999E-2</v>
      </c>
    </row>
    <row r="17798" spans="103:104" x14ac:dyDescent="0.3">
      <c r="CY17798" s="34" t="s">
        <v>18725</v>
      </c>
      <c r="CZ17798" s="35">
        <v>1.5418448000000001E-2</v>
      </c>
    </row>
    <row r="17799" spans="103:104" x14ac:dyDescent="0.3">
      <c r="CY17799" s="34" t="s">
        <v>18726</v>
      </c>
      <c r="CZ17799" s="35">
        <v>0.140184</v>
      </c>
    </row>
    <row r="17800" spans="103:104" x14ac:dyDescent="0.3">
      <c r="CY17800" s="34" t="s">
        <v>18727</v>
      </c>
      <c r="CZ17800" s="35">
        <v>0.11494666666666667</v>
      </c>
    </row>
    <row r="17801" spans="103:104" x14ac:dyDescent="0.3">
      <c r="CY17801" s="34" t="s">
        <v>18728</v>
      </c>
      <c r="CZ17801" s="35">
        <v>0.12951776000000001</v>
      </c>
    </row>
    <row r="17802" spans="103:104" x14ac:dyDescent="0.3">
      <c r="CY17802" s="34" t="s">
        <v>18729</v>
      </c>
      <c r="CZ17802" s="35">
        <v>4.7798528E-2</v>
      </c>
    </row>
    <row r="17803" spans="103:104" x14ac:dyDescent="0.3">
      <c r="CY17803" s="34" t="s">
        <v>18730</v>
      </c>
      <c r="CZ17803" s="35">
        <v>0.98334759999999999</v>
      </c>
    </row>
    <row r="17804" spans="103:104" x14ac:dyDescent="0.3">
      <c r="CY17804" s="34" t="s">
        <v>18731</v>
      </c>
      <c r="CZ17804" s="35">
        <v>2.0081149999999999E-2</v>
      </c>
    </row>
    <row r="17805" spans="103:104" x14ac:dyDescent="0.3">
      <c r="CY17805" s="34" t="s">
        <v>18732</v>
      </c>
      <c r="CZ17805" s="35">
        <v>0.12168796</v>
      </c>
    </row>
    <row r="17806" spans="103:104" x14ac:dyDescent="0.3">
      <c r="CY17806" s="34" t="s">
        <v>18733</v>
      </c>
      <c r="CZ17806" s="35">
        <v>0.32779800000000009</v>
      </c>
    </row>
    <row r="17807" spans="103:104" x14ac:dyDescent="0.3">
      <c r="CY17807" s="34" t="s">
        <v>18734</v>
      </c>
      <c r="CZ17807" s="35">
        <v>0.26954136000000001</v>
      </c>
    </row>
    <row r="17808" spans="103:104" x14ac:dyDescent="0.3">
      <c r="CY17808" s="34" t="s">
        <v>18735</v>
      </c>
      <c r="CZ17808" s="35">
        <v>0.33564126</v>
      </c>
    </row>
    <row r="17809" spans="103:104" x14ac:dyDescent="0.3">
      <c r="CY17809" s="34" t="s">
        <v>18736</v>
      </c>
      <c r="CZ17809" s="35">
        <v>0.33670345999999995</v>
      </c>
    </row>
    <row r="17810" spans="103:104" x14ac:dyDescent="0.3">
      <c r="CY17810" s="34" t="s">
        <v>18737</v>
      </c>
      <c r="CZ17810" s="35">
        <v>0.46474891999999995</v>
      </c>
    </row>
    <row r="17811" spans="103:104" x14ac:dyDescent="0.3">
      <c r="CY17811" s="34" t="s">
        <v>18738</v>
      </c>
      <c r="CZ17811" s="35">
        <v>0.74269261999999991</v>
      </c>
    </row>
    <row r="17812" spans="103:104" x14ac:dyDescent="0.3">
      <c r="CY17812" s="34" t="s">
        <v>18739</v>
      </c>
      <c r="CZ17812" s="35">
        <v>0.91335337500000002</v>
      </c>
    </row>
    <row r="17813" spans="103:104" x14ac:dyDescent="0.3">
      <c r="CY17813" s="34" t="s">
        <v>18740</v>
      </c>
      <c r="CZ17813" s="35">
        <v>8.004128000000001E-3</v>
      </c>
    </row>
    <row r="17814" spans="103:104" x14ac:dyDescent="0.3">
      <c r="CY17814" s="34" t="s">
        <v>18741</v>
      </c>
      <c r="CZ17814" s="35">
        <v>1.8625088E-3</v>
      </c>
    </row>
    <row r="17815" spans="103:104" x14ac:dyDescent="0.3">
      <c r="CY17815" s="34" t="s">
        <v>18742</v>
      </c>
      <c r="CZ17815" s="35">
        <v>2.6522400000000002E-3</v>
      </c>
    </row>
    <row r="17816" spans="103:104" x14ac:dyDescent="0.3">
      <c r="CY17816" s="34" t="s">
        <v>18743</v>
      </c>
      <c r="CZ17816" s="35">
        <v>0.13534383999999999</v>
      </c>
    </row>
    <row r="17817" spans="103:104" x14ac:dyDescent="0.3">
      <c r="CY17817" s="34" t="s">
        <v>18744</v>
      </c>
      <c r="CZ17817" s="35">
        <v>0.3201275733333333</v>
      </c>
    </row>
    <row r="17818" spans="103:104" x14ac:dyDescent="0.3">
      <c r="CY17818" s="34" t="s">
        <v>18745</v>
      </c>
      <c r="CZ17818" s="35">
        <v>0.315133</v>
      </c>
    </row>
    <row r="17819" spans="103:104" x14ac:dyDescent="0.3">
      <c r="CY17819" s="34" t="s">
        <v>18746</v>
      </c>
      <c r="CZ17819" s="35">
        <v>0.23234733400000002</v>
      </c>
    </row>
    <row r="17820" spans="103:104" x14ac:dyDescent="0.3">
      <c r="CY17820" s="34" t="s">
        <v>18747</v>
      </c>
      <c r="CZ17820" s="35">
        <v>0.17100217894736844</v>
      </c>
    </row>
    <row r="17821" spans="103:104" x14ac:dyDescent="0.3">
      <c r="CY17821" s="34" t="s">
        <v>18748</v>
      </c>
      <c r="CZ17821" s="35">
        <v>0.28802940350877193</v>
      </c>
    </row>
    <row r="17822" spans="103:104" x14ac:dyDescent="0.3">
      <c r="CY17822" s="34" t="s">
        <v>18749</v>
      </c>
      <c r="CZ17822" s="35">
        <v>7.2450555555555546E-2</v>
      </c>
    </row>
    <row r="17823" spans="103:104" x14ac:dyDescent="0.3">
      <c r="CY17823" s="34" t="s">
        <v>18750</v>
      </c>
      <c r="CZ17823" s="35">
        <v>8.3489768518518512E-2</v>
      </c>
    </row>
    <row r="17824" spans="103:104" x14ac:dyDescent="0.3">
      <c r="CY17824" s="34" t="s">
        <v>18751</v>
      </c>
      <c r="CZ17824" s="35">
        <v>9.2735671052631585E-2</v>
      </c>
    </row>
    <row r="17825" spans="103:104" x14ac:dyDescent="0.3">
      <c r="CY17825" s="34" t="s">
        <v>18752</v>
      </c>
      <c r="CZ17825" s="35">
        <v>0.13093774077777778</v>
      </c>
    </row>
    <row r="17826" spans="103:104" x14ac:dyDescent="0.3">
      <c r="CY17826" s="34" t="s">
        <v>18753</v>
      </c>
      <c r="CZ17826" s="35">
        <v>9.3540527777777771E-2</v>
      </c>
    </row>
    <row r="17827" spans="103:104" x14ac:dyDescent="0.3">
      <c r="CY17827" s="34" t="s">
        <v>18754</v>
      </c>
      <c r="CZ17827" s="35">
        <v>8.2144E-4</v>
      </c>
    </row>
    <row r="17828" spans="103:104" x14ac:dyDescent="0.3">
      <c r="CY17828" s="34" t="s">
        <v>18755</v>
      </c>
      <c r="CZ17828" s="35">
        <v>7.1010476000000003E-4</v>
      </c>
    </row>
    <row r="17829" spans="103:104" x14ac:dyDescent="0.3">
      <c r="CY17829" s="34" t="s">
        <v>18756</v>
      </c>
      <c r="CZ17829" s="35">
        <v>8.0387264000000001E-4</v>
      </c>
    </row>
    <row r="17830" spans="103:104" x14ac:dyDescent="0.3">
      <c r="CY17830" s="34" t="s">
        <v>18757</v>
      </c>
      <c r="CZ17830" s="35">
        <v>6.2219867526881719E-3</v>
      </c>
    </row>
    <row r="17831" spans="103:104" x14ac:dyDescent="0.3">
      <c r="CY17831" s="34" t="s">
        <v>18758</v>
      </c>
      <c r="CZ17831" s="35">
        <v>0.33648680608695652</v>
      </c>
    </row>
    <row r="17832" spans="103:104" x14ac:dyDescent="0.3">
      <c r="CY17832" s="34" t="s">
        <v>18759</v>
      </c>
      <c r="CZ17832" s="35">
        <v>0.33485127999999997</v>
      </c>
    </row>
    <row r="17833" spans="103:104" x14ac:dyDescent="0.3">
      <c r="CY17833" s="34" t="s">
        <v>18760</v>
      </c>
      <c r="CZ17833" s="35">
        <v>3.4771592800000001E-2</v>
      </c>
    </row>
    <row r="17834" spans="103:104" x14ac:dyDescent="0.3">
      <c r="CY17834" s="34" t="s">
        <v>18761</v>
      </c>
      <c r="CZ17834" s="35">
        <v>2.5930504000000001E-3</v>
      </c>
    </row>
    <row r="17835" spans="103:104" x14ac:dyDescent="0.3">
      <c r="CY17835" s="34" t="s">
        <v>18762</v>
      </c>
      <c r="CZ17835" s="35">
        <v>1.5712768E-3</v>
      </c>
    </row>
    <row r="17836" spans="103:104" x14ac:dyDescent="0.3">
      <c r="CY17836" s="34" t="s">
        <v>18763</v>
      </c>
      <c r="CZ17836" s="35">
        <v>2.8674322660000001E-2</v>
      </c>
    </row>
    <row r="17837" spans="103:104" x14ac:dyDescent="0.3">
      <c r="CY17837" s="34" t="s">
        <v>18764</v>
      </c>
      <c r="CZ17837" s="35">
        <v>3.5241290660000001E-2</v>
      </c>
    </row>
    <row r="17838" spans="103:104" x14ac:dyDescent="0.3">
      <c r="CY17838" s="34" t="s">
        <v>18765</v>
      </c>
      <c r="CZ17838" s="35">
        <v>5.9551090660000007E-2</v>
      </c>
    </row>
    <row r="17839" spans="103:104" x14ac:dyDescent="0.3">
      <c r="CY17839" s="34" t="s">
        <v>18766</v>
      </c>
      <c r="CZ17839" s="35">
        <v>5.4396857340000007E-2</v>
      </c>
    </row>
    <row r="17840" spans="103:104" x14ac:dyDescent="0.3">
      <c r="CY17840" s="34" t="s">
        <v>18767</v>
      </c>
      <c r="CZ17840" s="35">
        <v>4.3455135212121208E-2</v>
      </c>
    </row>
    <row r="17841" spans="103:104" x14ac:dyDescent="0.3">
      <c r="CY17841" s="34" t="s">
        <v>18768</v>
      </c>
      <c r="CZ17841" s="35">
        <v>6.5812419999999996E-2</v>
      </c>
    </row>
    <row r="17842" spans="103:104" x14ac:dyDescent="0.3">
      <c r="CY17842" s="34" t="s">
        <v>18769</v>
      </c>
      <c r="CZ17842" s="35">
        <v>8.4570408E-2</v>
      </c>
    </row>
    <row r="17843" spans="103:104" x14ac:dyDescent="0.3">
      <c r="CY17843" s="34" t="s">
        <v>18770</v>
      </c>
      <c r="CZ17843" s="35">
        <v>7.665739333249999E-2</v>
      </c>
    </row>
    <row r="17844" spans="103:104" x14ac:dyDescent="0.3">
      <c r="CY17844" s="34" t="s">
        <v>18771</v>
      </c>
      <c r="CZ17844" s="35">
        <v>1.2939448780000001E-2</v>
      </c>
    </row>
    <row r="17845" spans="103:104" x14ac:dyDescent="0.3">
      <c r="CY17845" s="34" t="s">
        <v>18772</v>
      </c>
      <c r="CZ17845" s="35">
        <v>0.13597300000000001</v>
      </c>
    </row>
    <row r="17846" spans="103:104" x14ac:dyDescent="0.3">
      <c r="CY17846" s="34" t="s">
        <v>18773</v>
      </c>
      <c r="CZ17846" s="35">
        <v>1.8097187499999998</v>
      </c>
    </row>
    <row r="17847" spans="103:104" x14ac:dyDescent="0.3">
      <c r="CY17847" s="34" t="s">
        <v>18774</v>
      </c>
      <c r="CZ17847" s="35">
        <v>9.9629200000000018E-4</v>
      </c>
    </row>
    <row r="17848" spans="103:104" x14ac:dyDescent="0.3">
      <c r="CY17848" s="34" t="s">
        <v>18775</v>
      </c>
      <c r="CZ17848" s="35">
        <v>1.474068E-3</v>
      </c>
    </row>
    <row r="17849" spans="103:104" x14ac:dyDescent="0.3">
      <c r="CY17849" s="34" t="s">
        <v>18776</v>
      </c>
      <c r="CZ17849" s="35">
        <v>1.474068E-3</v>
      </c>
    </row>
    <row r="17850" spans="103:104" x14ac:dyDescent="0.3">
      <c r="CY17850" s="34" t="s">
        <v>18777</v>
      </c>
      <c r="CZ17850" s="35">
        <v>2.0348756000000004E-3</v>
      </c>
    </row>
    <row r="17851" spans="103:104" x14ac:dyDescent="0.3">
      <c r="CY17851" s="34" t="s">
        <v>18778</v>
      </c>
      <c r="CZ17851" s="35">
        <v>1.5673080000000001E-3</v>
      </c>
    </row>
    <row r="17852" spans="103:104" x14ac:dyDescent="0.3">
      <c r="CY17852" s="34" t="s">
        <v>18779</v>
      </c>
      <c r="CZ17852" s="35">
        <v>7.4434080000000003E-3</v>
      </c>
    </row>
    <row r="17853" spans="103:104" x14ac:dyDescent="0.3">
      <c r="CY17853" s="34" t="s">
        <v>18780</v>
      </c>
      <c r="CZ17853" s="35">
        <v>2.0581174736842109E-2</v>
      </c>
    </row>
    <row r="17854" spans="103:104" x14ac:dyDescent="0.3">
      <c r="CY17854" s="34" t="s">
        <v>18781</v>
      </c>
      <c r="CZ17854" s="35">
        <v>1.102584E-3</v>
      </c>
    </row>
    <row r="17855" spans="103:104" x14ac:dyDescent="0.3">
      <c r="CY17855" s="34" t="s">
        <v>18782</v>
      </c>
      <c r="CZ17855" s="35">
        <v>2.3595599999999997E-3</v>
      </c>
    </row>
    <row r="17856" spans="103:104" x14ac:dyDescent="0.3">
      <c r="CY17856" s="34" t="s">
        <v>18783</v>
      </c>
      <c r="CZ17856" s="35">
        <v>0.23972769999999999</v>
      </c>
    </row>
    <row r="17857" spans="103:104" x14ac:dyDescent="0.3">
      <c r="CY17857" s="34" t="s">
        <v>18784</v>
      </c>
      <c r="CZ17857" s="35">
        <v>4.8405527999999996E-2</v>
      </c>
    </row>
    <row r="17858" spans="103:104" x14ac:dyDescent="0.3">
      <c r="CY17858" s="34" t="s">
        <v>18785</v>
      </c>
      <c r="CZ17858" s="35">
        <v>0.34900520000000002</v>
      </c>
    </row>
    <row r="17859" spans="103:104" x14ac:dyDescent="0.3">
      <c r="CY17859" s="34" t="s">
        <v>18786</v>
      </c>
      <c r="CZ17859" s="35">
        <v>0.17392329600000001</v>
      </c>
    </row>
    <row r="17860" spans="103:104" x14ac:dyDescent="0.3">
      <c r="CY17860" s="34" t="s">
        <v>18787</v>
      </c>
      <c r="CZ17860" s="35">
        <v>6.3736000000000001E-3</v>
      </c>
    </row>
    <row r="17861" spans="103:104" x14ac:dyDescent="0.3">
      <c r="CY17861" s="34" t="s">
        <v>18788</v>
      </c>
      <c r="CZ17861" s="35">
        <v>6.9857920000000002E-3</v>
      </c>
    </row>
    <row r="17862" spans="103:104" x14ac:dyDescent="0.3">
      <c r="CY17862" s="34" t="s">
        <v>18789</v>
      </c>
      <c r="CZ17862" s="35">
        <v>6.3736000000000001E-3</v>
      </c>
    </row>
    <row r="17863" spans="103:104" x14ac:dyDescent="0.3">
      <c r="CY17863" s="34" t="s">
        <v>18790</v>
      </c>
      <c r="CZ17863" s="35">
        <v>6.9857920000000002E-3</v>
      </c>
    </row>
    <row r="17864" spans="103:104" x14ac:dyDescent="0.3">
      <c r="CY17864" s="34" t="s">
        <v>18791</v>
      </c>
      <c r="CZ17864" s="35">
        <v>9.7131200000000001E-2</v>
      </c>
    </row>
    <row r="17865" spans="103:104" x14ac:dyDescent="0.3">
      <c r="CY17865" s="34" t="s">
        <v>18792</v>
      </c>
      <c r="CZ17865" s="35">
        <v>0.16319165866666666</v>
      </c>
    </row>
    <row r="17866" spans="103:104" x14ac:dyDescent="0.3">
      <c r="CY17866" s="34" t="s">
        <v>18793</v>
      </c>
      <c r="CZ17866" s="35">
        <v>2.4728059199999999E-2</v>
      </c>
    </row>
    <row r="17867" spans="103:104" x14ac:dyDescent="0.3">
      <c r="CY17867" s="34" t="s">
        <v>18794</v>
      </c>
      <c r="CZ17867" s="35">
        <v>8.9136935999999986E-2</v>
      </c>
    </row>
    <row r="17868" spans="103:104" x14ac:dyDescent="0.3">
      <c r="CY17868" s="34" t="s">
        <v>18795</v>
      </c>
      <c r="CZ17868" s="35">
        <v>8.7669599999999986E-2</v>
      </c>
    </row>
    <row r="17869" spans="103:104" x14ac:dyDescent="0.3">
      <c r="CY17869" s="34" t="s">
        <v>18796</v>
      </c>
      <c r="CZ17869" s="35">
        <v>6.1583999999999993E-2</v>
      </c>
    </row>
    <row r="17870" spans="103:104" x14ac:dyDescent="0.3">
      <c r="CY17870" s="34" t="s">
        <v>18797</v>
      </c>
      <c r="CZ17870" s="35">
        <v>9.6970391999999989E-2</v>
      </c>
    </row>
    <row r="17871" spans="103:104" x14ac:dyDescent="0.3">
      <c r="CY17871" s="34" t="s">
        <v>18798</v>
      </c>
      <c r="CZ17871" s="35">
        <v>8.6202263999999987E-2</v>
      </c>
    </row>
    <row r="17872" spans="103:104" x14ac:dyDescent="0.3">
      <c r="CY17872" s="34" t="s">
        <v>18799</v>
      </c>
      <c r="CZ17872" s="35">
        <v>1.7384551999999998E-2</v>
      </c>
    </row>
    <row r="17873" spans="103:104" x14ac:dyDescent="0.3">
      <c r="CY17873" s="34" t="s">
        <v>18800</v>
      </c>
      <c r="CZ17873" s="35">
        <v>4.3690844666666666E-2</v>
      </c>
    </row>
    <row r="17874" spans="103:104" x14ac:dyDescent="0.3">
      <c r="CY17874" s="34" t="s">
        <v>18801</v>
      </c>
      <c r="CZ17874" s="35">
        <v>3.8689174000000007E-2</v>
      </c>
    </row>
    <row r="17875" spans="103:104" x14ac:dyDescent="0.3">
      <c r="CY17875" s="34" t="s">
        <v>18802</v>
      </c>
      <c r="CZ17875" s="35">
        <v>3.8689174000000007E-2</v>
      </c>
    </row>
    <row r="17876" spans="103:104" x14ac:dyDescent="0.3">
      <c r="CY17876" s="34" t="s">
        <v>18803</v>
      </c>
      <c r="CZ17876" s="35">
        <v>2.3345998870000002E-2</v>
      </c>
    </row>
    <row r="17877" spans="103:104" x14ac:dyDescent="0.3">
      <c r="CY17877" s="34" t="s">
        <v>18804</v>
      </c>
      <c r="CZ17877" s="35">
        <v>9.7253360000000011E-3</v>
      </c>
    </row>
    <row r="17878" spans="103:104" x14ac:dyDescent="0.3">
      <c r="CY17878" s="34" t="s">
        <v>18805</v>
      </c>
      <c r="CZ17878" s="35">
        <v>1.1623874279999998E-2</v>
      </c>
    </row>
    <row r="17879" spans="103:104" x14ac:dyDescent="0.3">
      <c r="CY17879" s="34" t="s">
        <v>18806</v>
      </c>
      <c r="CZ17879" s="35">
        <v>1.7304502859999998E-2</v>
      </c>
    </row>
    <row r="17880" spans="103:104" x14ac:dyDescent="0.3">
      <c r="CY17880" s="34" t="s">
        <v>18807</v>
      </c>
      <c r="CZ17880" s="35">
        <v>1.3413372000000002E-2</v>
      </c>
    </row>
    <row r="17881" spans="103:104" x14ac:dyDescent="0.3">
      <c r="CY17881" s="34" t="s">
        <v>18808</v>
      </c>
      <c r="CZ17881" s="35">
        <v>5.1227307733333324E-2</v>
      </c>
    </row>
    <row r="17882" spans="103:104" x14ac:dyDescent="0.3">
      <c r="CY17882" s="34" t="s">
        <v>18809</v>
      </c>
      <c r="CZ17882" s="35">
        <v>8.6747199999999986E-3</v>
      </c>
    </row>
    <row r="17883" spans="103:104" x14ac:dyDescent="0.3">
      <c r="CY17883" s="34" t="s">
        <v>18810</v>
      </c>
      <c r="CZ17883" s="35">
        <v>8.6747200000000003E-3</v>
      </c>
    </row>
    <row r="17884" spans="103:104" x14ac:dyDescent="0.3">
      <c r="CY17884" s="34" t="s">
        <v>18811</v>
      </c>
      <c r="CZ17884" s="35">
        <v>1.50209656E-2</v>
      </c>
    </row>
    <row r="17885" spans="103:104" x14ac:dyDescent="0.3">
      <c r="CY17885" s="34" t="s">
        <v>18812</v>
      </c>
      <c r="CZ17885" s="35">
        <v>1.5020965600000002E-2</v>
      </c>
    </row>
    <row r="17886" spans="103:104" x14ac:dyDescent="0.3">
      <c r="CY17886" s="34" t="s">
        <v>18813</v>
      </c>
      <c r="CZ17886" s="35">
        <v>7.0303399999999986E-3</v>
      </c>
    </row>
    <row r="17887" spans="103:104" x14ac:dyDescent="0.3">
      <c r="CY17887" s="34" t="s">
        <v>18814</v>
      </c>
      <c r="CZ17887" s="35">
        <v>4.0532133333333331E-3</v>
      </c>
    </row>
    <row r="17888" spans="103:104" x14ac:dyDescent="0.3">
      <c r="CY17888" s="34" t="s">
        <v>18815</v>
      </c>
      <c r="CZ17888" s="35">
        <v>4.2176749999999999E-2</v>
      </c>
    </row>
    <row r="17889" spans="103:104" x14ac:dyDescent="0.3">
      <c r="CY17889" s="34" t="s">
        <v>18816</v>
      </c>
      <c r="CZ17889" s="35">
        <v>4.2176750000000006E-2</v>
      </c>
    </row>
    <row r="17890" spans="103:104" x14ac:dyDescent="0.3">
      <c r="CY17890" s="34" t="s">
        <v>18817</v>
      </c>
      <c r="CZ17890" s="35">
        <v>7.2114919999999985E-2</v>
      </c>
    </row>
    <row r="17891" spans="103:104" x14ac:dyDescent="0.3">
      <c r="CY17891" s="34" t="s">
        <v>18818</v>
      </c>
      <c r="CZ17891" s="35">
        <v>3.8057106250000007E-2</v>
      </c>
    </row>
    <row r="17892" spans="103:104" x14ac:dyDescent="0.3">
      <c r="CY17892" s="34" t="s">
        <v>18819</v>
      </c>
      <c r="CZ17892" s="35">
        <v>0.21483163333335717</v>
      </c>
    </row>
    <row r="17893" spans="103:104" x14ac:dyDescent="0.3">
      <c r="CY17893" s="34" t="s">
        <v>18820</v>
      </c>
      <c r="CZ17893" s="35">
        <v>0.14525555000000001</v>
      </c>
    </row>
    <row r="17894" spans="103:104" x14ac:dyDescent="0.3">
      <c r="CY17894" s="34" t="s">
        <v>18821</v>
      </c>
      <c r="CZ17894" s="35">
        <v>2.0670682947368423E-2</v>
      </c>
    </row>
    <row r="17895" spans="103:104" x14ac:dyDescent="0.3">
      <c r="CY17895" s="34" t="s">
        <v>18822</v>
      </c>
      <c r="CZ17895" s="35">
        <v>7.3275242666666657E-2</v>
      </c>
    </row>
    <row r="17896" spans="103:104" x14ac:dyDescent="0.3">
      <c r="CY17896" s="34" t="s">
        <v>18823</v>
      </c>
      <c r="CZ17896" s="35">
        <v>7.3275242666666657E-2</v>
      </c>
    </row>
    <row r="17897" spans="103:104" x14ac:dyDescent="0.3">
      <c r="CY17897" s="34" t="s">
        <v>18824</v>
      </c>
      <c r="CZ17897" s="35">
        <v>4.1595792000000001E-3</v>
      </c>
    </row>
    <row r="17898" spans="103:104" x14ac:dyDescent="0.3">
      <c r="CY17898" s="34" t="s">
        <v>18825</v>
      </c>
      <c r="CZ17898" s="35">
        <v>2.531424E-3</v>
      </c>
    </row>
    <row r="17899" spans="103:104" x14ac:dyDescent="0.3">
      <c r="CY17899" s="34" t="s">
        <v>18826</v>
      </c>
      <c r="CZ17899" s="35">
        <v>4.4077439999999999E-3</v>
      </c>
    </row>
    <row r="17900" spans="103:104" x14ac:dyDescent="0.3">
      <c r="CY17900" s="34" t="s">
        <v>18827</v>
      </c>
      <c r="CZ17900" s="35">
        <v>6.5861360000000005E-4</v>
      </c>
    </row>
    <row r="17901" spans="103:104" x14ac:dyDescent="0.3">
      <c r="CY17901" s="34" t="s">
        <v>18828</v>
      </c>
      <c r="CZ17901" s="35">
        <v>8.3811760000000008E-4</v>
      </c>
    </row>
    <row r="17902" spans="103:104" x14ac:dyDescent="0.3">
      <c r="CY17902" s="34" t="s">
        <v>18829</v>
      </c>
      <c r="CZ17902" s="35">
        <v>1.2622767999999999E-3</v>
      </c>
    </row>
    <row r="17903" spans="103:104" x14ac:dyDescent="0.3">
      <c r="CY17903" s="34" t="s">
        <v>18830</v>
      </c>
      <c r="CZ17903" s="35">
        <v>1.2892023999999998E-3</v>
      </c>
    </row>
    <row r="17904" spans="103:104" x14ac:dyDescent="0.3">
      <c r="CY17904" s="34" t="s">
        <v>18831</v>
      </c>
      <c r="CZ17904" s="35">
        <v>0.10811285</v>
      </c>
    </row>
    <row r="17905" spans="103:104" x14ac:dyDescent="0.3">
      <c r="CY17905" s="34" t="s">
        <v>18832</v>
      </c>
      <c r="CZ17905" s="35">
        <v>1.719646667E-2</v>
      </c>
    </row>
    <row r="17906" spans="103:104" x14ac:dyDescent="0.3">
      <c r="CY17906" s="34" t="s">
        <v>18833</v>
      </c>
      <c r="CZ17906" s="35">
        <v>3.8544443999999995E-4</v>
      </c>
    </row>
    <row r="17907" spans="103:104" x14ac:dyDescent="0.3">
      <c r="CY17907" s="34" t="s">
        <v>18834</v>
      </c>
      <c r="CZ17907" s="35">
        <v>1.8965576000000001E-3</v>
      </c>
    </row>
    <row r="17908" spans="103:104" x14ac:dyDescent="0.3">
      <c r="CY17908" s="34" t="s">
        <v>18835</v>
      </c>
      <c r="CZ17908" s="35">
        <v>0.15818541335999997</v>
      </c>
    </row>
    <row r="17909" spans="103:104" x14ac:dyDescent="0.3">
      <c r="CY17909" s="34" t="s">
        <v>18836</v>
      </c>
      <c r="CZ17909" s="35">
        <v>2.7253330000000004E-4</v>
      </c>
    </row>
    <row r="17910" spans="103:104" x14ac:dyDescent="0.3">
      <c r="CY17910" s="34" t="s">
        <v>18837</v>
      </c>
      <c r="CZ17910" s="35">
        <v>4.7142000000000001E-4</v>
      </c>
    </row>
    <row r="17911" spans="103:104" x14ac:dyDescent="0.3">
      <c r="CY17911" s="34" t="s">
        <v>18838</v>
      </c>
      <c r="CZ17911" s="35">
        <v>2.37064625E-3</v>
      </c>
    </row>
    <row r="17912" spans="103:104" x14ac:dyDescent="0.3">
      <c r="CY17912" s="34" t="s">
        <v>18839</v>
      </c>
      <c r="CZ17912" s="35">
        <v>3.3647600000000001E-3</v>
      </c>
    </row>
    <row r="17913" spans="103:104" x14ac:dyDescent="0.3">
      <c r="CY17913" s="34" t="s">
        <v>18840</v>
      </c>
      <c r="CZ17913" s="35">
        <v>1.2143200000000001E-3</v>
      </c>
    </row>
    <row r="17914" spans="103:104" x14ac:dyDescent="0.3">
      <c r="CY17914" s="34" t="s">
        <v>18841</v>
      </c>
      <c r="CZ17914" s="35">
        <v>1.7760223333333333E-3</v>
      </c>
    </row>
    <row r="17915" spans="103:104" x14ac:dyDescent="0.3">
      <c r="CY17915" s="34" t="s">
        <v>18842</v>
      </c>
      <c r="CZ17915" s="35">
        <v>0.11386904</v>
      </c>
    </row>
    <row r="17916" spans="103:104" x14ac:dyDescent="0.3">
      <c r="CY17916" s="34" t="s">
        <v>18843</v>
      </c>
      <c r="CZ17916" s="35">
        <v>7.8396400000000002E-3</v>
      </c>
    </row>
    <row r="17917" spans="103:104" x14ac:dyDescent="0.3">
      <c r="CY17917" s="34" t="s">
        <v>18844</v>
      </c>
      <c r="CZ17917" s="35">
        <v>2.7827279999999999E-2</v>
      </c>
    </row>
    <row r="17918" spans="103:104" x14ac:dyDescent="0.3">
      <c r="CY17918" s="34" t="s">
        <v>18845</v>
      </c>
      <c r="CZ17918" s="35">
        <v>1.4964639999999999E-3</v>
      </c>
    </row>
    <row r="17919" spans="103:104" x14ac:dyDescent="0.3">
      <c r="CY17919" s="34" t="s">
        <v>18846</v>
      </c>
      <c r="CZ17919" s="35">
        <v>3.1622948571428571E-3</v>
      </c>
    </row>
    <row r="17920" spans="103:104" x14ac:dyDescent="0.3">
      <c r="CY17920" s="34" t="s">
        <v>18847</v>
      </c>
      <c r="CZ17920" s="35">
        <v>2.7290720000000001E-2</v>
      </c>
    </row>
    <row r="17921" spans="103:104" x14ac:dyDescent="0.3">
      <c r="CY17921" s="34" t="s">
        <v>18848</v>
      </c>
      <c r="CZ17921" s="35">
        <v>1.9335842000000002E-3</v>
      </c>
    </row>
    <row r="17922" spans="103:104" x14ac:dyDescent="0.3">
      <c r="CY17922" s="34" t="s">
        <v>18849</v>
      </c>
      <c r="CZ17922" s="35">
        <v>8.7707359999999995E-3</v>
      </c>
    </row>
    <row r="17923" spans="103:104" x14ac:dyDescent="0.3">
      <c r="CY17923" s="34" t="s">
        <v>18850</v>
      </c>
      <c r="CZ17923" s="35">
        <v>4.768500000000001E-3</v>
      </c>
    </row>
    <row r="17924" spans="103:104" x14ac:dyDescent="0.3">
      <c r="CY17924" s="34" t="s">
        <v>18851</v>
      </c>
      <c r="CZ17924" s="35">
        <v>8.7707359999999995E-3</v>
      </c>
    </row>
    <row r="17925" spans="103:104" x14ac:dyDescent="0.3">
      <c r="CY17925" s="34" t="s">
        <v>18852</v>
      </c>
      <c r="CZ17925" s="35">
        <v>3.2465912E-2</v>
      </c>
    </row>
    <row r="17926" spans="103:104" x14ac:dyDescent="0.3">
      <c r="CY17926" s="34" t="s">
        <v>18853</v>
      </c>
      <c r="CZ17926" s="35">
        <v>2.9557031999999997E-2</v>
      </c>
    </row>
    <row r="17927" spans="103:104" x14ac:dyDescent="0.3">
      <c r="CY17927" s="34" t="s">
        <v>18854</v>
      </c>
      <c r="CZ17927" s="35">
        <v>8.4543679999999986E-3</v>
      </c>
    </row>
    <row r="17928" spans="103:104" x14ac:dyDescent="0.3">
      <c r="CY17928" s="34" t="s">
        <v>18855</v>
      </c>
      <c r="CZ17928" s="35">
        <v>0.146127114275</v>
      </c>
    </row>
    <row r="17929" spans="103:104" x14ac:dyDescent="0.3">
      <c r="CY17929" s="34" t="s">
        <v>18856</v>
      </c>
      <c r="CZ17929" s="35">
        <v>2.8749840000000001E-3</v>
      </c>
    </row>
    <row r="17930" spans="103:104" x14ac:dyDescent="0.3">
      <c r="CY17930" s="34" t="s">
        <v>18857</v>
      </c>
      <c r="CZ17930" s="35">
        <v>0.27724506999999998</v>
      </c>
    </row>
    <row r="17931" spans="103:104" x14ac:dyDescent="0.3">
      <c r="CY17931" s="34" t="s">
        <v>18858</v>
      </c>
      <c r="CZ17931" s="35">
        <v>8.0191192000000004</v>
      </c>
    </row>
    <row r="17932" spans="103:104" x14ac:dyDescent="0.3">
      <c r="CY17932" s="34" t="s">
        <v>18859</v>
      </c>
      <c r="CZ17932" s="35">
        <v>1.1424240000000002E-3</v>
      </c>
    </row>
    <row r="17933" spans="103:104" x14ac:dyDescent="0.3">
      <c r="CY17933" s="34" t="s">
        <v>18860</v>
      </c>
      <c r="CZ17933" s="35">
        <v>2.5561479999999998E-3</v>
      </c>
    </row>
    <row r="17934" spans="103:104" x14ac:dyDescent="0.3">
      <c r="CY17934" s="34" t="s">
        <v>18861</v>
      </c>
      <c r="CZ17934" s="35">
        <v>7.3359120000000009E-3</v>
      </c>
    </row>
    <row r="17935" spans="103:104" x14ac:dyDescent="0.3">
      <c r="CY17935" s="34" t="s">
        <v>18862</v>
      </c>
      <c r="CZ17935" s="35">
        <v>1.7309879999999999E-3</v>
      </c>
    </row>
    <row r="17936" spans="103:104" x14ac:dyDescent="0.3">
      <c r="CY17936" s="34" t="s">
        <v>18863</v>
      </c>
      <c r="CZ17936" s="35">
        <v>0.10506933333333333</v>
      </c>
    </row>
    <row r="17937" spans="103:104" x14ac:dyDescent="0.3">
      <c r="CY17937" s="34" t="s">
        <v>18864</v>
      </c>
      <c r="CZ17937" s="35">
        <v>8.3665320000000015E-2</v>
      </c>
    </row>
    <row r="17938" spans="103:104" x14ac:dyDescent="0.3">
      <c r="CY17938" s="34" t="s">
        <v>18865</v>
      </c>
      <c r="CZ17938" s="35">
        <v>4.3877400000000004E-2</v>
      </c>
    </row>
    <row r="17939" spans="103:104" x14ac:dyDescent="0.3">
      <c r="CY17939" s="34" t="s">
        <v>18866</v>
      </c>
      <c r="CZ17939" s="35">
        <v>0.12351831428571428</v>
      </c>
    </row>
    <row r="17940" spans="103:104" x14ac:dyDescent="0.3">
      <c r="CY17940" s="34" t="s">
        <v>18867</v>
      </c>
      <c r="CZ17940" s="35">
        <v>1.5877598666666666E-3</v>
      </c>
    </row>
    <row r="17941" spans="103:104" x14ac:dyDescent="0.3">
      <c r="CY17941" s="34" t="s">
        <v>18868</v>
      </c>
      <c r="CZ17941" s="35">
        <v>7.7226680000000006E-2</v>
      </c>
    </row>
    <row r="17942" spans="103:104" x14ac:dyDescent="0.3">
      <c r="CY17942" s="34" t="s">
        <v>18869</v>
      </c>
      <c r="CZ17942" s="35">
        <v>4.0265735999999998E-4</v>
      </c>
    </row>
    <row r="17943" spans="103:104" x14ac:dyDescent="0.3">
      <c r="CY17943" s="34" t="s">
        <v>18870</v>
      </c>
      <c r="CZ17943" s="35">
        <v>4.8920416000000004E-4</v>
      </c>
    </row>
    <row r="17944" spans="103:104" x14ac:dyDescent="0.3">
      <c r="CY17944" s="34" t="s">
        <v>18871</v>
      </c>
      <c r="CZ17944" s="35">
        <v>4.0524344000000004E-4</v>
      </c>
    </row>
    <row r="17945" spans="103:104" x14ac:dyDescent="0.3">
      <c r="CY17945" s="34" t="s">
        <v>18872</v>
      </c>
      <c r="CZ17945" s="35">
        <v>7.5367415999999998E-4</v>
      </c>
    </row>
    <row r="17946" spans="103:104" x14ac:dyDescent="0.3">
      <c r="CY17946" s="34" t="s">
        <v>18873</v>
      </c>
      <c r="CZ17946" s="35">
        <v>1.3937622000000001E-3</v>
      </c>
    </row>
    <row r="17947" spans="103:104" x14ac:dyDescent="0.3">
      <c r="CY17947" s="34" t="s">
        <v>18874</v>
      </c>
      <c r="CZ17947" s="35">
        <v>5.7582239999999995E-4</v>
      </c>
    </row>
    <row r="17948" spans="103:104" x14ac:dyDescent="0.3">
      <c r="CY17948" s="34" t="s">
        <v>18875</v>
      </c>
      <c r="CZ17948" s="35">
        <v>1.4138107000000002E-3</v>
      </c>
    </row>
    <row r="17949" spans="103:104" x14ac:dyDescent="0.3">
      <c r="CY17949" s="34" t="s">
        <v>18876</v>
      </c>
      <c r="CZ17949" s="35">
        <v>0.11604705899999999</v>
      </c>
    </row>
    <row r="17950" spans="103:104" x14ac:dyDescent="0.3">
      <c r="CY17950" s="34" t="s">
        <v>18877</v>
      </c>
      <c r="CZ17950" s="35">
        <v>8.0528719999999998E-2</v>
      </c>
    </row>
    <row r="17951" spans="103:104" x14ac:dyDescent="0.3">
      <c r="CY17951" s="34" t="s">
        <v>18878</v>
      </c>
      <c r="CZ17951" s="35">
        <v>7.5535208999999992E-2</v>
      </c>
    </row>
    <row r="17952" spans="103:104" x14ac:dyDescent="0.3">
      <c r="CY17952" s="34" t="s">
        <v>18879</v>
      </c>
      <c r="CZ17952" s="35">
        <v>7.45928431E-2</v>
      </c>
    </row>
    <row r="17953" spans="103:104" x14ac:dyDescent="0.3">
      <c r="CY17953" s="34" t="s">
        <v>18880</v>
      </c>
      <c r="CZ17953" s="35">
        <v>0.10095020000000002</v>
      </c>
    </row>
    <row r="17954" spans="103:104" x14ac:dyDescent="0.3">
      <c r="CY17954" s="34" t="s">
        <v>18881</v>
      </c>
      <c r="CZ17954" s="35">
        <v>8.7099200000000002E-2</v>
      </c>
    </row>
    <row r="17955" spans="103:104" x14ac:dyDescent="0.3">
      <c r="CY17955" s="34" t="s">
        <v>18882</v>
      </c>
      <c r="CZ17955" s="35">
        <v>9.4913311666666667E-2</v>
      </c>
    </row>
    <row r="17956" spans="103:104" x14ac:dyDescent="0.3">
      <c r="CY17956" s="34" t="s">
        <v>18883</v>
      </c>
      <c r="CZ17956" s="35">
        <v>8.9187003099999995E-2</v>
      </c>
    </row>
    <row r="17957" spans="103:104" x14ac:dyDescent="0.3">
      <c r="CY17957" s="34" t="s">
        <v>18884</v>
      </c>
      <c r="CZ17957" s="35">
        <v>5.7316980000000003E-2</v>
      </c>
    </row>
    <row r="17958" spans="103:104" x14ac:dyDescent="0.3">
      <c r="CY17958" s="34" t="s">
        <v>18885</v>
      </c>
      <c r="CZ17958" s="35">
        <v>0.10280950320000001</v>
      </c>
    </row>
    <row r="17959" spans="103:104" x14ac:dyDescent="0.3">
      <c r="CY17959" s="34" t="s">
        <v>18886</v>
      </c>
      <c r="CZ17959" s="35">
        <v>6.8526973349999992E-2</v>
      </c>
    </row>
    <row r="17960" spans="103:104" x14ac:dyDescent="0.3">
      <c r="CY17960" s="34" t="s">
        <v>18887</v>
      </c>
      <c r="CZ17960" s="35">
        <v>9.4061740000000019E-2</v>
      </c>
    </row>
    <row r="17961" spans="103:104" x14ac:dyDescent="0.3">
      <c r="CY17961" s="34" t="s">
        <v>18888</v>
      </c>
      <c r="CZ17961" s="35">
        <v>4.7385999999999999E-3</v>
      </c>
    </row>
    <row r="17962" spans="103:104" x14ac:dyDescent="0.3">
      <c r="CY17962" s="34" t="s">
        <v>18889</v>
      </c>
      <c r="CZ17962" s="35">
        <v>6.0591773350000003E-2</v>
      </c>
    </row>
    <row r="17963" spans="103:104" x14ac:dyDescent="0.3">
      <c r="CY17963" s="34" t="s">
        <v>18890</v>
      </c>
      <c r="CZ17963" s="35">
        <v>5.1856328000000007E-2</v>
      </c>
    </row>
    <row r="17964" spans="103:104" x14ac:dyDescent="0.3">
      <c r="CY17964" s="34" t="s">
        <v>18891</v>
      </c>
      <c r="CZ17964" s="35">
        <v>4.7602727999999997E-2</v>
      </c>
    </row>
    <row r="17965" spans="103:104" x14ac:dyDescent="0.3">
      <c r="CY17965" s="34" t="s">
        <v>18892</v>
      </c>
      <c r="CZ17965" s="35">
        <v>6.9508559999999992E-3</v>
      </c>
    </row>
    <row r="17966" spans="103:104" x14ac:dyDescent="0.3">
      <c r="CY17966" s="34" t="s">
        <v>18893</v>
      </c>
      <c r="CZ17966" s="35">
        <v>1.4443307142857143E-3</v>
      </c>
    </row>
    <row r="17967" spans="103:104" x14ac:dyDescent="0.3">
      <c r="CY17967" s="34" t="s">
        <v>18894</v>
      </c>
      <c r="CZ17967" s="35">
        <v>3.7838800000000006E-2</v>
      </c>
    </row>
    <row r="17968" spans="103:104" x14ac:dyDescent="0.3">
      <c r="CY17968" s="34" t="s">
        <v>18895</v>
      </c>
      <c r="CZ17968" s="35">
        <v>3.0617040000000005E-2</v>
      </c>
    </row>
    <row r="17969" spans="103:104" x14ac:dyDescent="0.3">
      <c r="CY17969" s="34" t="s">
        <v>18896</v>
      </c>
      <c r="CZ17969" s="35">
        <v>2.3472128000000002E-2</v>
      </c>
    </row>
    <row r="17970" spans="103:104" x14ac:dyDescent="0.3">
      <c r="CY17970" s="34" t="s">
        <v>18897</v>
      </c>
      <c r="CZ17970" s="35">
        <v>5.1391520000000003E-2</v>
      </c>
    </row>
    <row r="17971" spans="103:104" x14ac:dyDescent="0.3">
      <c r="CY17971" s="34" t="s">
        <v>18898</v>
      </c>
      <c r="CZ17971" s="35">
        <v>5.6527040000000001E-2</v>
      </c>
    </row>
    <row r="17972" spans="103:104" x14ac:dyDescent="0.3">
      <c r="CY17972" s="34" t="s">
        <v>18899</v>
      </c>
      <c r="CZ17972" s="35">
        <v>3.4227920000000002E-2</v>
      </c>
    </row>
    <row r="17973" spans="103:104" x14ac:dyDescent="0.3">
      <c r="CY17973" s="34" t="s">
        <v>18900</v>
      </c>
      <c r="CZ17973" s="35">
        <v>6.3374399999999997E-2</v>
      </c>
    </row>
    <row r="17974" spans="103:104" x14ac:dyDescent="0.3">
      <c r="CY17974" s="34" t="s">
        <v>18901</v>
      </c>
      <c r="CZ17974" s="35">
        <v>0.11703626700000001</v>
      </c>
    </row>
    <row r="17975" spans="103:104" x14ac:dyDescent="0.3">
      <c r="CY17975" s="34" t="s">
        <v>18902</v>
      </c>
      <c r="CZ17975" s="35">
        <v>1.7816640000000001E-3</v>
      </c>
    </row>
    <row r="17976" spans="103:104" x14ac:dyDescent="0.3">
      <c r="CY17976" s="34" t="s">
        <v>18903</v>
      </c>
      <c r="CZ17976" s="35">
        <v>1.0031435714285717E-2</v>
      </c>
    </row>
    <row r="17977" spans="103:104" x14ac:dyDescent="0.3">
      <c r="CY17977" s="34" t="s">
        <v>18904</v>
      </c>
      <c r="CZ17977" s="35">
        <v>4.5953852631578945E-2</v>
      </c>
    </row>
    <row r="17978" spans="103:104" x14ac:dyDescent="0.3">
      <c r="CY17978" s="34" t="s">
        <v>18905</v>
      </c>
      <c r="CZ17978" s="35">
        <v>2.4833333333333331E-3</v>
      </c>
    </row>
    <row r="17979" spans="103:104" x14ac:dyDescent="0.3">
      <c r="CY17979" s="34" t="s">
        <v>18906</v>
      </c>
      <c r="CZ17979" s="35">
        <v>0.21262986666666667</v>
      </c>
    </row>
    <row r="17980" spans="103:104" x14ac:dyDescent="0.3">
      <c r="CY17980" s="34" t="s">
        <v>18907</v>
      </c>
      <c r="CZ17980" s="35">
        <v>1.1549288E-2</v>
      </c>
    </row>
    <row r="17981" spans="103:104" x14ac:dyDescent="0.3">
      <c r="CY17981" s="34" t="s">
        <v>18908</v>
      </c>
      <c r="CZ17981" s="35">
        <v>1.8165357250000003E-2</v>
      </c>
    </row>
    <row r="17982" spans="103:104" x14ac:dyDescent="0.3">
      <c r="CY17982" s="34" t="s">
        <v>18909</v>
      </c>
      <c r="CZ17982" s="35">
        <v>0.19711573333333335</v>
      </c>
    </row>
    <row r="17983" spans="103:104" x14ac:dyDescent="0.3">
      <c r="CY17983" s="34" t="s">
        <v>18910</v>
      </c>
      <c r="CZ17983" s="35">
        <v>7.0893026666666668E-3</v>
      </c>
    </row>
    <row r="17984" spans="103:104" x14ac:dyDescent="0.3">
      <c r="CY17984" s="34" t="s">
        <v>18911</v>
      </c>
      <c r="CZ17984" s="35">
        <v>7.7896880000000012E-3</v>
      </c>
    </row>
    <row r="17985" spans="103:104" x14ac:dyDescent="0.3">
      <c r="CY17985" s="34" t="s">
        <v>18912</v>
      </c>
      <c r="CZ17985" s="35">
        <v>3.3460460000000005E-4</v>
      </c>
    </row>
    <row r="17986" spans="103:104" x14ac:dyDescent="0.3">
      <c r="CY17986" s="34" t="s">
        <v>18913</v>
      </c>
      <c r="CZ17986" s="35">
        <v>1.01574375E-3</v>
      </c>
    </row>
    <row r="17987" spans="103:104" x14ac:dyDescent="0.3">
      <c r="CY17987" s="34" t="s">
        <v>18914</v>
      </c>
      <c r="CZ17987" s="35">
        <v>2.4883800000000001E-2</v>
      </c>
    </row>
    <row r="17988" spans="103:104" x14ac:dyDescent="0.3">
      <c r="CY17988" s="34" t="s">
        <v>18915</v>
      </c>
      <c r="CZ17988" s="35">
        <v>4.563208E-3</v>
      </c>
    </row>
    <row r="17989" spans="103:104" x14ac:dyDescent="0.3">
      <c r="CY17989" s="34" t="s">
        <v>18916</v>
      </c>
      <c r="CZ17989" s="35">
        <v>1.4264801600000002E-3</v>
      </c>
    </row>
    <row r="17990" spans="103:104" x14ac:dyDescent="0.3">
      <c r="CY17990" s="34" t="s">
        <v>18917</v>
      </c>
      <c r="CZ17990" s="35">
        <v>7.8923839999999997E-4</v>
      </c>
    </row>
    <row r="17991" spans="103:104" x14ac:dyDescent="0.3">
      <c r="CY17991" s="34" t="s">
        <v>18918</v>
      </c>
      <c r="CZ17991" s="35">
        <v>5.8353050666666659E-4</v>
      </c>
    </row>
    <row r="17992" spans="103:104" x14ac:dyDescent="0.3">
      <c r="CY17992" s="34" t="s">
        <v>18919</v>
      </c>
      <c r="CZ17992" s="35">
        <v>2.5715670399999998E-4</v>
      </c>
    </row>
    <row r="17993" spans="103:104" x14ac:dyDescent="0.3">
      <c r="CY17993" s="34" t="s">
        <v>18920</v>
      </c>
      <c r="CZ17993" s="35">
        <v>6.7373751999999997E-4</v>
      </c>
    </row>
    <row r="17994" spans="103:104" x14ac:dyDescent="0.3">
      <c r="CY17994" s="34" t="s">
        <v>18921</v>
      </c>
      <c r="CZ17994" s="35">
        <v>1.2131626879999999E-3</v>
      </c>
    </row>
    <row r="17995" spans="103:104" x14ac:dyDescent="0.3">
      <c r="CY17995" s="34" t="s">
        <v>18922</v>
      </c>
      <c r="CZ17995" s="35">
        <v>6.7724319999999997E-4</v>
      </c>
    </row>
    <row r="17996" spans="103:104" x14ac:dyDescent="0.3">
      <c r="CY17996" s="34" t="s">
        <v>18923</v>
      </c>
      <c r="CZ17996" s="35">
        <v>3.5694816000000001E-4</v>
      </c>
    </row>
    <row r="17997" spans="103:104" x14ac:dyDescent="0.3">
      <c r="CY17997" s="34" t="s">
        <v>18924</v>
      </c>
      <c r="CZ17997" s="35">
        <v>6.0362037200000006E-4</v>
      </c>
    </row>
    <row r="17998" spans="103:104" x14ac:dyDescent="0.3">
      <c r="CY17998" s="34" t="s">
        <v>18925</v>
      </c>
      <c r="CZ17998" s="35">
        <v>2.5922760000000003E-2</v>
      </c>
    </row>
    <row r="17999" spans="103:104" x14ac:dyDescent="0.3">
      <c r="CY17999" s="34" t="s">
        <v>18926</v>
      </c>
      <c r="CZ17999" s="35">
        <v>4.1215125999999993E-3</v>
      </c>
    </row>
    <row r="18000" spans="103:104" x14ac:dyDescent="0.3">
      <c r="CY18000" s="34" t="s">
        <v>18927</v>
      </c>
      <c r="CZ18000" s="35">
        <v>2.7357980799999999E-3</v>
      </c>
    </row>
    <row r="18001" spans="103:104" x14ac:dyDescent="0.3">
      <c r="CY18001" s="34" t="s">
        <v>18928</v>
      </c>
      <c r="CZ18001" s="35">
        <v>9.1621362699999986E-2</v>
      </c>
    </row>
    <row r="18002" spans="103:104" x14ac:dyDescent="0.3">
      <c r="CY18002" s="34" t="s">
        <v>18929</v>
      </c>
      <c r="CZ18002" s="35">
        <v>9.0608640000000004E-2</v>
      </c>
    </row>
    <row r="18003" spans="103:104" x14ac:dyDescent="0.3">
      <c r="CY18003" s="34" t="s">
        <v>18930</v>
      </c>
      <c r="CZ18003" s="35">
        <v>0.13632891199999997</v>
      </c>
    </row>
    <row r="18004" spans="103:104" x14ac:dyDescent="0.3">
      <c r="CY18004" s="34" t="s">
        <v>18931</v>
      </c>
      <c r="CZ18004" s="35">
        <v>5.7164959999999997E-3</v>
      </c>
    </row>
    <row r="18005" spans="103:104" x14ac:dyDescent="0.3">
      <c r="CY18005" s="34" t="s">
        <v>18932</v>
      </c>
      <c r="CZ18005" s="35">
        <v>2.6341549473684212E-2</v>
      </c>
    </row>
    <row r="18006" spans="103:104" x14ac:dyDescent="0.3">
      <c r="CY18006" s="34" t="s">
        <v>18933</v>
      </c>
      <c r="CZ18006" s="35">
        <v>2.2523768421052633E-2</v>
      </c>
    </row>
    <row r="18007" spans="103:104" x14ac:dyDescent="0.3">
      <c r="CY18007" s="34" t="s">
        <v>18934</v>
      </c>
      <c r="CZ18007" s="35">
        <v>2.1631012705882354E-2</v>
      </c>
    </row>
    <row r="18008" spans="103:104" x14ac:dyDescent="0.3">
      <c r="CY18008" s="34" t="s">
        <v>18935</v>
      </c>
      <c r="CZ18008" s="35">
        <v>5.6041199999999999E-2</v>
      </c>
    </row>
    <row r="18009" spans="103:104" x14ac:dyDescent="0.3">
      <c r="CY18009" s="34" t="s">
        <v>18936</v>
      </c>
      <c r="CZ18009" s="35">
        <v>5.8133699999999996E-2</v>
      </c>
    </row>
    <row r="18010" spans="103:104" x14ac:dyDescent="0.3">
      <c r="CY18010" s="34" t="s">
        <v>18937</v>
      </c>
      <c r="CZ18010" s="35">
        <v>5.0251020000000007E-2</v>
      </c>
    </row>
    <row r="18011" spans="103:104" x14ac:dyDescent="0.3">
      <c r="CY18011" s="34" t="s">
        <v>18938</v>
      </c>
      <c r="CZ18011" s="35">
        <v>1.8723792000000003E-3</v>
      </c>
    </row>
    <row r="18012" spans="103:104" x14ac:dyDescent="0.3">
      <c r="CY18012" s="34" t="s">
        <v>18939</v>
      </c>
      <c r="CZ18012" s="35">
        <v>5.7852928571428576E-2</v>
      </c>
    </row>
    <row r="18013" spans="103:104" x14ac:dyDescent="0.3">
      <c r="CY18013" s="34" t="s">
        <v>18940</v>
      </c>
      <c r="CZ18013" s="35">
        <v>2.6841780000000003E-2</v>
      </c>
    </row>
    <row r="18014" spans="103:104" x14ac:dyDescent="0.3">
      <c r="CY18014" s="34" t="s">
        <v>18941</v>
      </c>
      <c r="CZ18014" s="35">
        <v>6.4470776E-3</v>
      </c>
    </row>
    <row r="18015" spans="103:104" x14ac:dyDescent="0.3">
      <c r="CY18015" s="34" t="s">
        <v>18942</v>
      </c>
      <c r="CZ18015" s="35">
        <v>2.6995060000000001E-2</v>
      </c>
    </row>
    <row r="18016" spans="103:104" x14ac:dyDescent="0.3">
      <c r="CY18016" s="34" t="s">
        <v>18943</v>
      </c>
      <c r="CZ18016" s="35">
        <v>2.996364E-2</v>
      </c>
    </row>
    <row r="18017" spans="103:104" x14ac:dyDescent="0.3">
      <c r="CY18017" s="34" t="s">
        <v>18944</v>
      </c>
      <c r="CZ18017" s="35">
        <v>4.2000000000000006E-3</v>
      </c>
    </row>
    <row r="18018" spans="103:104" x14ac:dyDescent="0.3">
      <c r="CY18018" s="34" t="s">
        <v>18945</v>
      </c>
      <c r="CZ18018" s="35">
        <v>8.8000000000000005E-3</v>
      </c>
    </row>
    <row r="18019" spans="103:104" x14ac:dyDescent="0.3">
      <c r="CY18019" s="34" t="s">
        <v>18946</v>
      </c>
      <c r="CZ18019" s="35">
        <v>8.6E-3</v>
      </c>
    </row>
    <row r="18020" spans="103:104" x14ac:dyDescent="0.3">
      <c r="CY18020" s="34" t="s">
        <v>18947</v>
      </c>
      <c r="CZ18020" s="35">
        <v>0.2517606</v>
      </c>
    </row>
    <row r="18021" spans="103:104" x14ac:dyDescent="0.3">
      <c r="CY18021" s="34" t="s">
        <v>18948</v>
      </c>
      <c r="CZ18021" s="35">
        <v>5.5523840000000003E-4</v>
      </c>
    </row>
    <row r="18022" spans="103:104" x14ac:dyDescent="0.3">
      <c r="CY18022" s="34" t="s">
        <v>18949</v>
      </c>
      <c r="CZ18022" s="35">
        <v>5.0784107999999994E-2</v>
      </c>
    </row>
    <row r="18023" spans="103:104" x14ac:dyDescent="0.3">
      <c r="CY18023" s="34" t="s">
        <v>18950</v>
      </c>
      <c r="CZ18023" s="35">
        <v>8.0826506666666661E-4</v>
      </c>
    </row>
    <row r="18024" spans="103:104" x14ac:dyDescent="0.3">
      <c r="CY18024" s="34" t="s">
        <v>18951</v>
      </c>
      <c r="CZ18024" s="35">
        <v>2.5472779999999995E-4</v>
      </c>
    </row>
    <row r="18025" spans="103:104" x14ac:dyDescent="0.3">
      <c r="CY18025" s="34" t="s">
        <v>18952</v>
      </c>
      <c r="CZ18025" s="35">
        <v>3.7458780000000001E-4</v>
      </c>
    </row>
    <row r="18026" spans="103:104" x14ac:dyDescent="0.3">
      <c r="CY18026" s="34" t="s">
        <v>18953</v>
      </c>
      <c r="CZ18026" s="35">
        <v>2.6979933333333337E-3</v>
      </c>
    </row>
    <row r="18027" spans="103:104" x14ac:dyDescent="0.3">
      <c r="CY18027" s="34" t="s">
        <v>18954</v>
      </c>
      <c r="CZ18027" s="35">
        <v>1.6621444999999999E-3</v>
      </c>
    </row>
    <row r="18028" spans="103:104" x14ac:dyDescent="0.3">
      <c r="CY18028" s="34" t="s">
        <v>18955</v>
      </c>
      <c r="CZ18028" s="35">
        <v>8.5082479999999997E-4</v>
      </c>
    </row>
    <row r="18029" spans="103:104" x14ac:dyDescent="0.3">
      <c r="CY18029" s="34" t="s">
        <v>18956</v>
      </c>
      <c r="CZ18029" s="35">
        <v>4.1509080000000001E-4</v>
      </c>
    </row>
    <row r="18030" spans="103:104" x14ac:dyDescent="0.3">
      <c r="CY18030" s="34" t="s">
        <v>18957</v>
      </c>
      <c r="CZ18030" s="35">
        <v>4.8756959999999988E-3</v>
      </c>
    </row>
    <row r="18031" spans="103:104" x14ac:dyDescent="0.3">
      <c r="CY18031" s="34" t="s">
        <v>18958</v>
      </c>
      <c r="CZ18031" s="35">
        <v>1.3074175999999999E-3</v>
      </c>
    </row>
    <row r="18032" spans="103:104" x14ac:dyDescent="0.3">
      <c r="CY18032" s="34" t="s">
        <v>18959</v>
      </c>
      <c r="CZ18032" s="35">
        <v>1.0639828E-3</v>
      </c>
    </row>
    <row r="18033" spans="103:104" x14ac:dyDescent="0.3">
      <c r="CY18033" s="34" t="s">
        <v>18960</v>
      </c>
      <c r="CZ18033" s="35">
        <v>2.0427183999999999E-3</v>
      </c>
    </row>
    <row r="18034" spans="103:104" x14ac:dyDescent="0.3">
      <c r="CY18034" s="34" t="s">
        <v>18961</v>
      </c>
      <c r="CZ18034" s="35">
        <v>1.7112695E-3</v>
      </c>
    </row>
    <row r="18035" spans="103:104" x14ac:dyDescent="0.3">
      <c r="CY18035" s="34" t="s">
        <v>18962</v>
      </c>
      <c r="CZ18035" s="35">
        <v>1.5982903749999998E-3</v>
      </c>
    </row>
    <row r="18036" spans="103:104" x14ac:dyDescent="0.3">
      <c r="CY18036" s="34" t="s">
        <v>18963</v>
      </c>
      <c r="CZ18036" s="35">
        <v>2.9100103999999999E-3</v>
      </c>
    </row>
    <row r="18037" spans="103:104" x14ac:dyDescent="0.3">
      <c r="CY18037" s="34" t="s">
        <v>18964</v>
      </c>
      <c r="CZ18037" s="35">
        <v>2.9100103999999999E-3</v>
      </c>
    </row>
    <row r="18038" spans="103:104" x14ac:dyDescent="0.3">
      <c r="CY18038" s="34" t="s">
        <v>18965</v>
      </c>
      <c r="CZ18038" s="35">
        <v>1.6528309866666669E-3</v>
      </c>
    </row>
    <row r="18039" spans="103:104" x14ac:dyDescent="0.3">
      <c r="CY18039" s="34" t="s">
        <v>18966</v>
      </c>
      <c r="CZ18039" s="35">
        <v>9.511873333333332E-4</v>
      </c>
    </row>
    <row r="18040" spans="103:104" x14ac:dyDescent="0.3">
      <c r="CY18040" s="34" t="s">
        <v>18967</v>
      </c>
      <c r="CZ18040" s="35">
        <v>1.2756304E-3</v>
      </c>
    </row>
    <row r="18041" spans="103:104" x14ac:dyDescent="0.3">
      <c r="CY18041" s="34" t="s">
        <v>18968</v>
      </c>
      <c r="CZ18041" s="35">
        <v>3.1549759999999996E-2</v>
      </c>
    </row>
    <row r="18042" spans="103:104" x14ac:dyDescent="0.3">
      <c r="CY18042" s="34" t="s">
        <v>18969</v>
      </c>
      <c r="CZ18042" s="35">
        <v>8.2456140000000001E-3</v>
      </c>
    </row>
    <row r="18043" spans="103:104" x14ac:dyDescent="0.3">
      <c r="CY18043" s="34" t="s">
        <v>18970</v>
      </c>
      <c r="CZ18043" s="35">
        <v>7.8855260000000003E-3</v>
      </c>
    </row>
    <row r="18044" spans="103:104" x14ac:dyDescent="0.3">
      <c r="CY18044" s="34" t="s">
        <v>18971</v>
      </c>
      <c r="CZ18044" s="35">
        <v>2.2052184000000002E-3</v>
      </c>
    </row>
    <row r="18045" spans="103:104" x14ac:dyDescent="0.3">
      <c r="CY18045" s="34" t="s">
        <v>18972</v>
      </c>
      <c r="CZ18045" s="35">
        <v>1.31028E-2</v>
      </c>
    </row>
    <row r="18046" spans="103:104" x14ac:dyDescent="0.3">
      <c r="CY18046" s="34" t="s">
        <v>18973</v>
      </c>
      <c r="CZ18046" s="35">
        <v>1.31028E-2</v>
      </c>
    </row>
    <row r="18047" spans="103:104" x14ac:dyDescent="0.3">
      <c r="CY18047" s="34" t="s">
        <v>18974</v>
      </c>
      <c r="CZ18047" s="35">
        <v>3.2958459999999995E-2</v>
      </c>
    </row>
    <row r="18048" spans="103:104" x14ac:dyDescent="0.3">
      <c r="CY18048" s="34" t="s">
        <v>18975</v>
      </c>
      <c r="CZ18048" s="35">
        <v>3.9498639667499995E-2</v>
      </c>
    </row>
    <row r="18049" spans="103:104" x14ac:dyDescent="0.3">
      <c r="CY18049" s="34" t="s">
        <v>18976</v>
      </c>
      <c r="CZ18049" s="35">
        <v>5.0552896000000007E-2</v>
      </c>
    </row>
    <row r="18050" spans="103:104" x14ac:dyDescent="0.3">
      <c r="CY18050" s="34" t="s">
        <v>18977</v>
      </c>
      <c r="CZ18050" s="35">
        <v>5.8391906700000003E-2</v>
      </c>
    </row>
    <row r="18051" spans="103:104" x14ac:dyDescent="0.3">
      <c r="CY18051" s="34" t="s">
        <v>18978</v>
      </c>
      <c r="CZ18051" s="35">
        <v>6.8948967599999994E-2</v>
      </c>
    </row>
    <row r="18052" spans="103:104" x14ac:dyDescent="0.3">
      <c r="CY18052" s="34" t="s">
        <v>18979</v>
      </c>
      <c r="CZ18052" s="35">
        <v>9.4826880000000016E-2</v>
      </c>
    </row>
    <row r="18053" spans="103:104" x14ac:dyDescent="0.3">
      <c r="CY18053" s="34" t="s">
        <v>18980</v>
      </c>
      <c r="CZ18053" s="35">
        <v>7.163332800000001E-2</v>
      </c>
    </row>
    <row r="18054" spans="103:104" x14ac:dyDescent="0.3">
      <c r="CY18054" s="34" t="s">
        <v>18981</v>
      </c>
      <c r="CZ18054" s="35">
        <v>4.9750431999999997E-2</v>
      </c>
    </row>
    <row r="18055" spans="103:104" x14ac:dyDescent="0.3">
      <c r="CY18055" s="34" t="s">
        <v>18982</v>
      </c>
      <c r="CZ18055" s="35">
        <v>7.5932421333333333E-2</v>
      </c>
    </row>
    <row r="18056" spans="103:104" x14ac:dyDescent="0.3">
      <c r="CY18056" s="34" t="s">
        <v>18983</v>
      </c>
      <c r="CZ18056" s="35">
        <v>5.1955029333333326E-2</v>
      </c>
    </row>
    <row r="18057" spans="103:104" x14ac:dyDescent="0.3">
      <c r="CY18057" s="34" t="s">
        <v>18984</v>
      </c>
      <c r="CZ18057" s="35">
        <v>4.2803181333333336E-2</v>
      </c>
    </row>
    <row r="18058" spans="103:104" x14ac:dyDescent="0.3">
      <c r="CY18058" s="34" t="s">
        <v>18985</v>
      </c>
      <c r="CZ18058" s="35">
        <v>4.1077760000000005E-2</v>
      </c>
    </row>
    <row r="18059" spans="103:104" x14ac:dyDescent="0.3">
      <c r="CY18059" s="34" t="s">
        <v>18986</v>
      </c>
      <c r="CZ18059" s="35">
        <v>7.6806780583333336E-3</v>
      </c>
    </row>
    <row r="18060" spans="103:104" x14ac:dyDescent="0.3">
      <c r="CY18060" s="34" t="s">
        <v>18987</v>
      </c>
      <c r="CZ18060" s="35">
        <v>3.8929884460000008E-2</v>
      </c>
    </row>
    <row r="18061" spans="103:104" x14ac:dyDescent="0.3">
      <c r="CY18061" s="34" t="s">
        <v>18988</v>
      </c>
      <c r="CZ18061" s="35">
        <v>4.008797473333333E-2</v>
      </c>
    </row>
    <row r="18062" spans="103:104" x14ac:dyDescent="0.3">
      <c r="CY18062" s="34" t="s">
        <v>18989</v>
      </c>
      <c r="CZ18062" s="35">
        <v>3.8929884460000008E-2</v>
      </c>
    </row>
    <row r="18063" spans="103:104" x14ac:dyDescent="0.3">
      <c r="CY18063" s="34" t="s">
        <v>18990</v>
      </c>
      <c r="CZ18063" s="35">
        <v>0.10723408</v>
      </c>
    </row>
    <row r="18064" spans="103:104" x14ac:dyDescent="0.3">
      <c r="CY18064" s="34" t="s">
        <v>18991</v>
      </c>
      <c r="CZ18064" s="35">
        <v>0.10711907999999999</v>
      </c>
    </row>
    <row r="18065" spans="103:104" x14ac:dyDescent="0.3">
      <c r="CY18065" s="34" t="s">
        <v>18992</v>
      </c>
      <c r="CZ18065" s="35">
        <v>0.10902664000000001</v>
      </c>
    </row>
    <row r="18066" spans="103:104" x14ac:dyDescent="0.3">
      <c r="CY18066" s="34" t="s">
        <v>18993</v>
      </c>
      <c r="CZ18066" s="35">
        <v>0.10711907999999999</v>
      </c>
    </row>
    <row r="18067" spans="103:104" x14ac:dyDescent="0.3">
      <c r="CY18067" s="34" t="s">
        <v>18994</v>
      </c>
      <c r="CZ18067" s="35">
        <v>0.105766744</v>
      </c>
    </row>
    <row r="18068" spans="103:104" x14ac:dyDescent="0.3">
      <c r="CY18068" s="34" t="s">
        <v>18995</v>
      </c>
      <c r="CZ18068" s="35">
        <v>0.10711908000000001</v>
      </c>
    </row>
    <row r="18069" spans="103:104" x14ac:dyDescent="0.3">
      <c r="CY18069" s="34" t="s">
        <v>18996</v>
      </c>
      <c r="CZ18069" s="35">
        <v>9.5169479999999987E-2</v>
      </c>
    </row>
    <row r="18070" spans="103:104" x14ac:dyDescent="0.3">
      <c r="CY18070" s="34" t="s">
        <v>18997</v>
      </c>
      <c r="CZ18070" s="35">
        <v>9.5169480000000001E-2</v>
      </c>
    </row>
    <row r="18071" spans="103:104" x14ac:dyDescent="0.3">
      <c r="CY18071" s="34" t="s">
        <v>18998</v>
      </c>
      <c r="CZ18071" s="35">
        <v>2.5679812E-2</v>
      </c>
    </row>
    <row r="18072" spans="103:104" x14ac:dyDescent="0.3">
      <c r="CY18072" s="34" t="s">
        <v>18999</v>
      </c>
      <c r="CZ18072" s="35">
        <v>9.4804588599999989E-3</v>
      </c>
    </row>
    <row r="18073" spans="103:104" x14ac:dyDescent="0.3">
      <c r="CY18073" s="34" t="s">
        <v>19000</v>
      </c>
      <c r="CZ18073" s="35">
        <v>4.1971359999999999E-2</v>
      </c>
    </row>
    <row r="18074" spans="103:104" x14ac:dyDescent="0.3">
      <c r="CY18074" s="34" t="s">
        <v>19001</v>
      </c>
      <c r="CZ18074" s="35">
        <v>4.8683918660000006E-2</v>
      </c>
    </row>
    <row r="18075" spans="103:104" x14ac:dyDescent="0.3">
      <c r="CY18075" s="34" t="s">
        <v>19002</v>
      </c>
      <c r="CZ18075" s="35">
        <v>6.8167280000000011E-3</v>
      </c>
    </row>
    <row r="18076" spans="103:104" x14ac:dyDescent="0.3">
      <c r="CY18076" s="34" t="s">
        <v>19003</v>
      </c>
      <c r="CZ18076" s="35">
        <v>9.2664240000000012E-4</v>
      </c>
    </row>
    <row r="18077" spans="103:104" x14ac:dyDescent="0.3">
      <c r="CY18077" s="34" t="s">
        <v>19004</v>
      </c>
      <c r="CZ18077" s="35">
        <v>6.2431115866806677E-2</v>
      </c>
    </row>
    <row r="18078" spans="103:104" x14ac:dyDescent="0.3">
      <c r="CY18078" s="34" t="s">
        <v>19005</v>
      </c>
      <c r="CZ18078" s="35">
        <v>8.6261156014581258E-2</v>
      </c>
    </row>
    <row r="18079" spans="103:104" x14ac:dyDescent="0.3">
      <c r="CY18079" s="34" t="s">
        <v>19006</v>
      </c>
      <c r="CZ18079" s="35">
        <v>3.0703948332857143E-2</v>
      </c>
    </row>
    <row r="18080" spans="103:104" x14ac:dyDescent="0.3">
      <c r="CY18080" s="34" t="s">
        <v>19007</v>
      </c>
      <c r="CZ18080" s="35">
        <v>3.302E-4</v>
      </c>
    </row>
    <row r="18081" spans="103:104" x14ac:dyDescent="0.3">
      <c r="CY18081" s="34" t="s">
        <v>19008</v>
      </c>
      <c r="CZ18081" s="35">
        <v>6.0672500000000004E-2</v>
      </c>
    </row>
    <row r="18082" spans="103:104" x14ac:dyDescent="0.3">
      <c r="CY18082" s="34" t="s">
        <v>19009</v>
      </c>
      <c r="CZ18082" s="35">
        <v>8.1392000000000009E-3</v>
      </c>
    </row>
    <row r="18083" spans="103:104" x14ac:dyDescent="0.3">
      <c r="CY18083" s="34" t="s">
        <v>19010</v>
      </c>
      <c r="CZ18083" s="35">
        <v>1.5354400000000001E-2</v>
      </c>
    </row>
    <row r="18084" spans="103:104" x14ac:dyDescent="0.3">
      <c r="CY18084" s="34" t="s">
        <v>19011</v>
      </c>
      <c r="CZ18084" s="35">
        <v>0.26477400000000001</v>
      </c>
    </row>
    <row r="18085" spans="103:104" x14ac:dyDescent="0.3">
      <c r="CY18085" s="34" t="s">
        <v>19012</v>
      </c>
      <c r="CZ18085" s="35">
        <v>0.24895669999999998</v>
      </c>
    </row>
    <row r="18086" spans="103:104" x14ac:dyDescent="0.3">
      <c r="CY18086" s="34" t="s">
        <v>19013</v>
      </c>
      <c r="CZ18086" s="35">
        <v>0.18989998</v>
      </c>
    </row>
    <row r="18087" spans="103:104" x14ac:dyDescent="0.3">
      <c r="CY18087" s="34" t="s">
        <v>19014</v>
      </c>
      <c r="CZ18087" s="35">
        <v>7.671248E-2</v>
      </c>
    </row>
    <row r="18088" spans="103:104" x14ac:dyDescent="0.3">
      <c r="CY18088" s="34" t="s">
        <v>19015</v>
      </c>
      <c r="CZ18088" s="35">
        <v>0.108</v>
      </c>
    </row>
    <row r="18089" spans="103:104" x14ac:dyDescent="0.3">
      <c r="CY18089" s="34" t="s">
        <v>19016</v>
      </c>
      <c r="CZ18089" s="35">
        <v>0.22107900000000003</v>
      </c>
    </row>
    <row r="18090" spans="103:104" x14ac:dyDescent="0.3">
      <c r="CY18090" s="34" t="s">
        <v>19017</v>
      </c>
      <c r="CZ18090" s="35">
        <v>0.26321979999999995</v>
      </c>
    </row>
    <row r="18091" spans="103:104" x14ac:dyDescent="0.3">
      <c r="CY18091" s="34" t="s">
        <v>19018</v>
      </c>
      <c r="CZ18091" s="35">
        <v>2.8855001600000003E-3</v>
      </c>
    </row>
    <row r="18092" spans="103:104" x14ac:dyDescent="0.3">
      <c r="CY18092" s="34" t="s">
        <v>19019</v>
      </c>
      <c r="CZ18092" s="35">
        <v>2.8855001600000003E-3</v>
      </c>
    </row>
    <row r="18093" spans="103:104" x14ac:dyDescent="0.3">
      <c r="CY18093" s="34" t="s">
        <v>19020</v>
      </c>
      <c r="CZ18093" s="35">
        <v>3.3835950000000005E-4</v>
      </c>
    </row>
    <row r="18094" spans="103:104" x14ac:dyDescent="0.3">
      <c r="CY18094" s="34" t="s">
        <v>19021</v>
      </c>
      <c r="CZ18094" s="35">
        <v>6.3673620000000005E-3</v>
      </c>
    </row>
    <row r="18095" spans="103:104" x14ac:dyDescent="0.3">
      <c r="CY18095" s="34" t="s">
        <v>19022</v>
      </c>
      <c r="CZ18095" s="35">
        <v>1.3991999999999999E-2</v>
      </c>
    </row>
    <row r="18096" spans="103:104" x14ac:dyDescent="0.3">
      <c r="CY18096" s="34" t="s">
        <v>19023</v>
      </c>
      <c r="CZ18096" s="35">
        <v>1.3991999999999999E-2</v>
      </c>
    </row>
    <row r="18097" spans="103:104" x14ac:dyDescent="0.3">
      <c r="CY18097" s="34" t="s">
        <v>19024</v>
      </c>
      <c r="CZ18097" s="35">
        <v>0.31590600000000002</v>
      </c>
    </row>
    <row r="18098" spans="103:104" x14ac:dyDescent="0.3">
      <c r="CY18098" s="34" t="s">
        <v>19025</v>
      </c>
      <c r="CZ18098" s="35">
        <v>0.19360480000000002</v>
      </c>
    </row>
    <row r="18099" spans="103:104" x14ac:dyDescent="0.3">
      <c r="CY18099" s="34" t="s">
        <v>19026</v>
      </c>
      <c r="CZ18099" s="35">
        <v>0.129062488</v>
      </c>
    </row>
    <row r="18100" spans="103:104" x14ac:dyDescent="0.3">
      <c r="CY18100" s="34" t="s">
        <v>19027</v>
      </c>
      <c r="CZ18100" s="35">
        <v>0.64964548</v>
      </c>
    </row>
    <row r="18101" spans="103:104" x14ac:dyDescent="0.3">
      <c r="CY18101" s="34" t="s">
        <v>19028</v>
      </c>
      <c r="CZ18101" s="35">
        <v>0.325578865</v>
      </c>
    </row>
    <row r="18102" spans="103:104" x14ac:dyDescent="0.3">
      <c r="CY18102" s="34" t="s">
        <v>19029</v>
      </c>
      <c r="CZ18102" s="35">
        <v>0.47904007999999992</v>
      </c>
    </row>
    <row r="18103" spans="103:104" x14ac:dyDescent="0.3">
      <c r="CY18103" s="34" t="s">
        <v>19030</v>
      </c>
      <c r="CZ18103" s="35">
        <v>0.33327839999999997</v>
      </c>
    </row>
    <row r="18104" spans="103:104" x14ac:dyDescent="0.3">
      <c r="CY18104" s="34" t="s">
        <v>19031</v>
      </c>
      <c r="CZ18104" s="35">
        <v>6.9155839999999996E-2</v>
      </c>
    </row>
    <row r="18105" spans="103:104" x14ac:dyDescent="0.3">
      <c r="CY18105" s="34" t="s">
        <v>19032</v>
      </c>
      <c r="CZ18105" s="35">
        <v>2.6958716000000001E-2</v>
      </c>
    </row>
    <row r="18106" spans="103:104" x14ac:dyDescent="0.3">
      <c r="CY18106" s="34" t="s">
        <v>19033</v>
      </c>
      <c r="CZ18106" s="35">
        <v>5.9400000000000002E-4</v>
      </c>
    </row>
    <row r="18107" spans="103:104" x14ac:dyDescent="0.3">
      <c r="CY18107" s="34" t="s">
        <v>19034</v>
      </c>
      <c r="CZ18107" s="35">
        <v>7.5653929999999994E-2</v>
      </c>
    </row>
    <row r="18108" spans="103:104" x14ac:dyDescent="0.3">
      <c r="CY18108" s="34" t="s">
        <v>19035</v>
      </c>
      <c r="CZ18108" s="35">
        <v>5.0023709999999999E-2</v>
      </c>
    </row>
    <row r="18109" spans="103:104" x14ac:dyDescent="0.3">
      <c r="CY18109" s="34" t="s">
        <v>19036</v>
      </c>
      <c r="CZ18109" s="35">
        <v>5.5039159999999997E-2</v>
      </c>
    </row>
    <row r="18110" spans="103:104" x14ac:dyDescent="0.3">
      <c r="CY18110" s="34" t="s">
        <v>19037</v>
      </c>
      <c r="CZ18110" s="35">
        <v>4.3946255999999996E-2</v>
      </c>
    </row>
    <row r="18111" spans="103:104" x14ac:dyDescent="0.3">
      <c r="CY18111" s="34" t="s">
        <v>19038</v>
      </c>
      <c r="CZ18111" s="35">
        <v>1.5801546666666666E-3</v>
      </c>
    </row>
    <row r="18112" spans="103:104" x14ac:dyDescent="0.3">
      <c r="CY18112" s="34" t="s">
        <v>19039</v>
      </c>
      <c r="CZ18112" s="35">
        <v>2.0386080000000003E-3</v>
      </c>
    </row>
    <row r="18113" spans="103:104" x14ac:dyDescent="0.3">
      <c r="CY18113" s="34" t="s">
        <v>19040</v>
      </c>
      <c r="CZ18113" s="35">
        <v>1.194596E-2</v>
      </c>
    </row>
    <row r="18114" spans="103:104" x14ac:dyDescent="0.3">
      <c r="CY18114" s="34" t="s">
        <v>19041</v>
      </c>
      <c r="CZ18114" s="35">
        <v>5.7376371999999995E-3</v>
      </c>
    </row>
    <row r="18115" spans="103:104" x14ac:dyDescent="0.3">
      <c r="CY18115" s="34" t="s">
        <v>19042</v>
      </c>
      <c r="CZ18115" s="35">
        <v>1.9780584000000001E-3</v>
      </c>
    </row>
    <row r="18116" spans="103:104" x14ac:dyDescent="0.3">
      <c r="CY18116" s="34" t="s">
        <v>19043</v>
      </c>
      <c r="CZ18116" s="35">
        <v>6.9757257142857149E-4</v>
      </c>
    </row>
    <row r="18117" spans="103:104" x14ac:dyDescent="0.3">
      <c r="CY18117" s="34" t="s">
        <v>19044</v>
      </c>
      <c r="CZ18117" s="35">
        <v>8.3968336000000011E-4</v>
      </c>
    </row>
    <row r="18118" spans="103:104" x14ac:dyDescent="0.3">
      <c r="CY18118" s="34" t="s">
        <v>19045</v>
      </c>
      <c r="CZ18118" s="35">
        <v>3.7980381333333328E-3</v>
      </c>
    </row>
    <row r="18119" spans="103:104" x14ac:dyDescent="0.3">
      <c r="CY18119" s="34" t="s">
        <v>19046</v>
      </c>
      <c r="CZ18119" s="35">
        <v>6.23328302E-3</v>
      </c>
    </row>
    <row r="18120" spans="103:104" x14ac:dyDescent="0.3">
      <c r="CY18120" s="34" t="s">
        <v>19047</v>
      </c>
      <c r="CZ18120" s="35">
        <v>4.3352218750000006E-3</v>
      </c>
    </row>
    <row r="18121" spans="103:104" x14ac:dyDescent="0.3">
      <c r="CY18121" s="34" t="s">
        <v>19048</v>
      </c>
      <c r="CZ18121" s="35">
        <v>3.3279167999999998E-2</v>
      </c>
    </row>
    <row r="18122" spans="103:104" x14ac:dyDescent="0.3">
      <c r="CY18122" s="34" t="s">
        <v>19049</v>
      </c>
      <c r="CZ18122" s="35">
        <v>1.0475599732000001E-2</v>
      </c>
    </row>
    <row r="18123" spans="103:104" x14ac:dyDescent="0.3">
      <c r="CY18123" s="34" t="s">
        <v>19050</v>
      </c>
      <c r="CZ18123" s="35">
        <v>3.6351946000000002E-3</v>
      </c>
    </row>
    <row r="18124" spans="103:104" x14ac:dyDescent="0.3">
      <c r="CY18124" s="34" t="s">
        <v>19051</v>
      </c>
      <c r="CZ18124" s="35">
        <v>6.6021600000000004E-4</v>
      </c>
    </row>
    <row r="18125" spans="103:104" x14ac:dyDescent="0.3">
      <c r="CY18125" s="34" t="s">
        <v>19052</v>
      </c>
      <c r="CZ18125" s="35">
        <v>1.5203804E-2</v>
      </c>
    </row>
    <row r="18126" spans="103:104" x14ac:dyDescent="0.3">
      <c r="CY18126" s="34" t="s">
        <v>19053</v>
      </c>
      <c r="CZ18126" s="35">
        <v>6.2892171999999989E-3</v>
      </c>
    </row>
    <row r="18127" spans="103:104" x14ac:dyDescent="0.3">
      <c r="CY18127" s="34" t="s">
        <v>19054</v>
      </c>
      <c r="CZ18127" s="35">
        <v>5.305092E-3</v>
      </c>
    </row>
    <row r="18128" spans="103:104" x14ac:dyDescent="0.3">
      <c r="CY18128" s="34" t="s">
        <v>19055</v>
      </c>
      <c r="CZ18128" s="35">
        <v>1.1998625000000001E-2</v>
      </c>
    </row>
    <row r="18129" spans="103:104" x14ac:dyDescent="0.3">
      <c r="CY18129" s="34" t="s">
        <v>19056</v>
      </c>
      <c r="CZ18129" s="35">
        <v>3.2400288000000006E-2</v>
      </c>
    </row>
    <row r="18130" spans="103:104" x14ac:dyDescent="0.3">
      <c r="CY18130" s="34" t="s">
        <v>19057</v>
      </c>
      <c r="CZ18130" s="35">
        <v>2.1261926399999999E-2</v>
      </c>
    </row>
    <row r="18131" spans="103:104" x14ac:dyDescent="0.3">
      <c r="CY18131" s="34" t="s">
        <v>19058</v>
      </c>
      <c r="CZ18131" s="35">
        <v>2.1210207199999997E-2</v>
      </c>
    </row>
    <row r="18132" spans="103:104" x14ac:dyDescent="0.3">
      <c r="CY18132" s="34" t="s">
        <v>19059</v>
      </c>
      <c r="CZ18132" s="35">
        <v>2.2137433599999999E-2</v>
      </c>
    </row>
    <row r="18133" spans="103:104" x14ac:dyDescent="0.3">
      <c r="CY18133" s="34" t="s">
        <v>19060</v>
      </c>
      <c r="CZ18133" s="35">
        <v>2.398204E-2</v>
      </c>
    </row>
    <row r="18134" spans="103:104" x14ac:dyDescent="0.3">
      <c r="CY18134" s="34" t="s">
        <v>19061</v>
      </c>
      <c r="CZ18134" s="35">
        <v>3.3014349000000005E-2</v>
      </c>
    </row>
    <row r="18135" spans="103:104" x14ac:dyDescent="0.3">
      <c r="CY18135" s="34" t="s">
        <v>19062</v>
      </c>
      <c r="CZ18135" s="35">
        <v>8.7764168000000007E-3</v>
      </c>
    </row>
    <row r="18136" spans="103:104" x14ac:dyDescent="0.3">
      <c r="CY18136" s="34" t="s">
        <v>19063</v>
      </c>
      <c r="CZ18136" s="35">
        <v>2.0150524E-2</v>
      </c>
    </row>
    <row r="18137" spans="103:104" x14ac:dyDescent="0.3">
      <c r="CY18137" s="34" t="s">
        <v>19064</v>
      </c>
      <c r="CZ18137" s="35">
        <v>0.13375541047</v>
      </c>
    </row>
    <row r="18138" spans="103:104" x14ac:dyDescent="0.3">
      <c r="CY18138" s="34" t="s">
        <v>19065</v>
      </c>
      <c r="CZ18138" s="35">
        <v>0.27683512000000005</v>
      </c>
    </row>
    <row r="18139" spans="103:104" x14ac:dyDescent="0.3">
      <c r="CY18139" s="34" t="s">
        <v>19066</v>
      </c>
      <c r="CZ18139" s="35">
        <v>5.8186184000000002E-2</v>
      </c>
    </row>
    <row r="18140" spans="103:104" x14ac:dyDescent="0.3">
      <c r="CY18140" s="34" t="s">
        <v>19067</v>
      </c>
      <c r="CZ18140" s="35">
        <v>2.0956204E-3</v>
      </c>
    </row>
    <row r="18141" spans="103:104" x14ac:dyDescent="0.3">
      <c r="CY18141" s="34" t="s">
        <v>19068</v>
      </c>
      <c r="CZ18141" s="35">
        <v>5.5017644442857143E-3</v>
      </c>
    </row>
    <row r="18142" spans="103:104" x14ac:dyDescent="0.3">
      <c r="CY18142" s="34" t="s">
        <v>19069</v>
      </c>
      <c r="CZ18142" s="35">
        <v>2.3324378399999998E-3</v>
      </c>
    </row>
    <row r="18143" spans="103:104" x14ac:dyDescent="0.3">
      <c r="CY18143" s="34" t="s">
        <v>19070</v>
      </c>
      <c r="CZ18143" s="35">
        <v>1.0088579999999998E-3</v>
      </c>
    </row>
    <row r="18144" spans="103:104" x14ac:dyDescent="0.3">
      <c r="CY18144" s="34" t="s">
        <v>19071</v>
      </c>
      <c r="CZ18144" s="35">
        <v>6.7279514659999992E-3</v>
      </c>
    </row>
    <row r="18145" spans="103:104" x14ac:dyDescent="0.3">
      <c r="CY18145" s="34" t="s">
        <v>19072</v>
      </c>
      <c r="CZ18145" s="35">
        <v>2.8240320000000004E-4</v>
      </c>
    </row>
    <row r="18146" spans="103:104" x14ac:dyDescent="0.3">
      <c r="CY18146" s="34" t="s">
        <v>19073</v>
      </c>
      <c r="CZ18146" s="35">
        <v>0</v>
      </c>
    </row>
    <row r="18147" spans="103:104" x14ac:dyDescent="0.3">
      <c r="CY18147" s="34" t="s">
        <v>19074</v>
      </c>
      <c r="CZ18147" s="35">
        <v>3.3287341176470591E-3</v>
      </c>
    </row>
    <row r="18148" spans="103:104" x14ac:dyDescent="0.3">
      <c r="CY18148" s="34" t="s">
        <v>19075</v>
      </c>
      <c r="CZ18148" s="35">
        <v>4.0716099999999998E-3</v>
      </c>
    </row>
    <row r="18149" spans="103:104" x14ac:dyDescent="0.3">
      <c r="CY18149" s="34" t="s">
        <v>19076</v>
      </c>
      <c r="CZ18149" s="35">
        <v>5.2706703999999994E-4</v>
      </c>
    </row>
    <row r="18150" spans="103:104" x14ac:dyDescent="0.3">
      <c r="CY18150" s="34" t="s">
        <v>19077</v>
      </c>
      <c r="CZ18150" s="35">
        <v>1.7551674444999998E-2</v>
      </c>
    </row>
    <row r="18151" spans="103:104" x14ac:dyDescent="0.3">
      <c r="CY18151" s="34" t="s">
        <v>19078</v>
      </c>
      <c r="CZ18151" s="35">
        <v>2.4259456999999995E-3</v>
      </c>
    </row>
    <row r="18152" spans="103:104" x14ac:dyDescent="0.3">
      <c r="CY18152" s="34" t="s">
        <v>19079</v>
      </c>
      <c r="CZ18152" s="35">
        <v>2.9390912499999999E-3</v>
      </c>
    </row>
    <row r="18153" spans="103:104" x14ac:dyDescent="0.3">
      <c r="CY18153" s="34" t="s">
        <v>19080</v>
      </c>
      <c r="CZ18153" s="35">
        <v>1.0258948E-2</v>
      </c>
    </row>
    <row r="18154" spans="103:104" x14ac:dyDescent="0.3">
      <c r="CY18154" s="34" t="s">
        <v>19081</v>
      </c>
      <c r="CZ18154" s="35">
        <v>6.9332640000000001E-2</v>
      </c>
    </row>
    <row r="18155" spans="103:104" x14ac:dyDescent="0.3">
      <c r="CY18155" s="34" t="s">
        <v>19082</v>
      </c>
      <c r="CZ18155" s="35">
        <v>8.4390560000000003E-4</v>
      </c>
    </row>
    <row r="18156" spans="103:104" x14ac:dyDescent="0.3">
      <c r="CY18156" s="34" t="s">
        <v>19083</v>
      </c>
      <c r="CZ18156" s="35">
        <v>4.7678440000000004E-4</v>
      </c>
    </row>
    <row r="18157" spans="103:104" x14ac:dyDescent="0.3">
      <c r="CY18157" s="34" t="s">
        <v>19084</v>
      </c>
      <c r="CZ18157" s="35">
        <v>3.8725599999999997E-3</v>
      </c>
    </row>
    <row r="18158" spans="103:104" x14ac:dyDescent="0.3">
      <c r="CY18158" s="34" t="s">
        <v>19085</v>
      </c>
      <c r="CZ18158" s="35">
        <v>1.0896864E-3</v>
      </c>
    </row>
    <row r="18159" spans="103:104" x14ac:dyDescent="0.3">
      <c r="CY18159" s="34" t="s">
        <v>19086</v>
      </c>
      <c r="CZ18159" s="35">
        <v>1.2090111999999997E-3</v>
      </c>
    </row>
    <row r="18160" spans="103:104" x14ac:dyDescent="0.3">
      <c r="CY18160" s="34" t="s">
        <v>19087</v>
      </c>
      <c r="CZ18160" s="35">
        <v>3.0011680000000007E-4</v>
      </c>
    </row>
    <row r="18161" spans="103:104" x14ac:dyDescent="0.3">
      <c r="CY18161" s="34" t="s">
        <v>19088</v>
      </c>
      <c r="CZ18161" s="35">
        <v>7.8502080000000002E-2</v>
      </c>
    </row>
    <row r="18162" spans="103:104" x14ac:dyDescent="0.3">
      <c r="CY18162" s="34" t="s">
        <v>19089</v>
      </c>
      <c r="CZ18162" s="35">
        <v>6.6980677333333322E-2</v>
      </c>
    </row>
    <row r="18163" spans="103:104" x14ac:dyDescent="0.3">
      <c r="CY18163" s="34" t="s">
        <v>19090</v>
      </c>
      <c r="CZ18163" s="35">
        <v>3.2674576000000004E-2</v>
      </c>
    </row>
    <row r="18164" spans="103:104" x14ac:dyDescent="0.3">
      <c r="CY18164" s="34" t="s">
        <v>19091</v>
      </c>
      <c r="CZ18164" s="35">
        <v>0.11468792470588235</v>
      </c>
    </row>
    <row r="18165" spans="103:104" x14ac:dyDescent="0.3">
      <c r="CY18165" s="34" t="s">
        <v>19092</v>
      </c>
      <c r="CZ18165" s="35">
        <v>0.10818757499999999</v>
      </c>
    </row>
    <row r="18166" spans="103:104" x14ac:dyDescent="0.3">
      <c r="CY18166" s="34" t="s">
        <v>19093</v>
      </c>
      <c r="CZ18166" s="35">
        <v>0.30781846444444444</v>
      </c>
    </row>
    <row r="18167" spans="103:104" x14ac:dyDescent="0.3">
      <c r="CY18167" s="34" t="s">
        <v>19094</v>
      </c>
      <c r="CZ18167" s="35">
        <v>2.0244125714285722E-3</v>
      </c>
    </row>
    <row r="18168" spans="103:104" x14ac:dyDescent="0.3">
      <c r="CY18168" s="34" t="s">
        <v>19095</v>
      </c>
      <c r="CZ18168" s="35">
        <v>4.5821959999999995E-2</v>
      </c>
    </row>
    <row r="18169" spans="103:104" x14ac:dyDescent="0.3">
      <c r="CY18169" s="34" t="s">
        <v>19096</v>
      </c>
      <c r="CZ18169" s="35">
        <v>9.1150300000000004E-2</v>
      </c>
    </row>
    <row r="18170" spans="103:104" x14ac:dyDescent="0.3">
      <c r="CY18170" s="34" t="s">
        <v>19097</v>
      </c>
      <c r="CZ18170" s="35">
        <v>0.14287368</v>
      </c>
    </row>
    <row r="18171" spans="103:104" x14ac:dyDescent="0.3">
      <c r="CY18171" s="34" t="s">
        <v>19098</v>
      </c>
      <c r="CZ18171" s="35">
        <v>0.75722835999999993</v>
      </c>
    </row>
    <row r="18172" spans="103:104" x14ac:dyDescent="0.3">
      <c r="CY18172" s="34" t="s">
        <v>19099</v>
      </c>
      <c r="CZ18172" s="35">
        <v>0.79103387999999986</v>
      </c>
    </row>
    <row r="18173" spans="103:104" x14ac:dyDescent="0.3">
      <c r="CY18173" s="34" t="s">
        <v>19100</v>
      </c>
      <c r="CZ18173" s="35">
        <v>0.82966876000000001</v>
      </c>
    </row>
    <row r="18174" spans="103:104" x14ac:dyDescent="0.3">
      <c r="CY18174" s="34" t="s">
        <v>19101</v>
      </c>
      <c r="CZ18174" s="35">
        <v>0.89245043999999996</v>
      </c>
    </row>
    <row r="18175" spans="103:104" x14ac:dyDescent="0.3">
      <c r="CY18175" s="34" t="s">
        <v>19102</v>
      </c>
      <c r="CZ18175" s="35">
        <v>0.84898620000000002</v>
      </c>
    </row>
    <row r="18176" spans="103:104" x14ac:dyDescent="0.3">
      <c r="CY18176" s="34" t="s">
        <v>19103</v>
      </c>
      <c r="CZ18176" s="35">
        <v>0.93349999999999989</v>
      </c>
    </row>
    <row r="18177" spans="103:104" x14ac:dyDescent="0.3">
      <c r="CY18177" s="34" t="s">
        <v>19104</v>
      </c>
      <c r="CZ18177" s="35">
        <v>0.68536295999999997</v>
      </c>
    </row>
    <row r="18178" spans="103:104" x14ac:dyDescent="0.3">
      <c r="CY18178" s="34" t="s">
        <v>19105</v>
      </c>
      <c r="CZ18178" s="35">
        <v>0.65638679999999994</v>
      </c>
    </row>
    <row r="18179" spans="103:104" x14ac:dyDescent="0.3">
      <c r="CY18179" s="34" t="s">
        <v>19106</v>
      </c>
      <c r="CZ18179" s="35">
        <v>0.67087488000000006</v>
      </c>
    </row>
    <row r="18180" spans="103:104" x14ac:dyDescent="0.3">
      <c r="CY18180" s="34" t="s">
        <v>19107</v>
      </c>
      <c r="CZ18180" s="35">
        <v>0.69985103999999998</v>
      </c>
    </row>
    <row r="18181" spans="103:104" x14ac:dyDescent="0.3">
      <c r="CY18181" s="34" t="s">
        <v>19108</v>
      </c>
      <c r="CZ18181" s="35">
        <v>0.43761128000000005</v>
      </c>
    </row>
    <row r="18182" spans="103:104" x14ac:dyDescent="0.3">
      <c r="CY18182" s="34" t="s">
        <v>19109</v>
      </c>
      <c r="CZ18182" s="35">
        <v>0.59891741599999992</v>
      </c>
    </row>
    <row r="18183" spans="103:104" x14ac:dyDescent="0.3">
      <c r="CY18183" s="34" t="s">
        <v>19110</v>
      </c>
      <c r="CZ18183" s="35">
        <v>0.73848592000000002</v>
      </c>
    </row>
    <row r="18184" spans="103:104" x14ac:dyDescent="0.3">
      <c r="CY18184" s="34" t="s">
        <v>19111</v>
      </c>
      <c r="CZ18184" s="35">
        <v>0.49204015999999995</v>
      </c>
    </row>
    <row r="18185" spans="103:104" x14ac:dyDescent="0.3">
      <c r="CY18185" s="34" t="s">
        <v>19112</v>
      </c>
      <c r="CZ18185" s="35">
        <v>1.4196633333333335E-2</v>
      </c>
    </row>
    <row r="18186" spans="103:104" x14ac:dyDescent="0.3">
      <c r="CY18186" s="34" t="s">
        <v>19113</v>
      </c>
      <c r="CZ18186" s="35">
        <v>2.21827598E-2</v>
      </c>
    </row>
    <row r="18187" spans="103:104" x14ac:dyDescent="0.3">
      <c r="CY18187" s="34" t="s">
        <v>19114</v>
      </c>
      <c r="CZ18187" s="35">
        <v>0.12533968400000001</v>
      </c>
    </row>
    <row r="18188" spans="103:104" x14ac:dyDescent="0.3">
      <c r="CY18188" s="34" t="s">
        <v>19115</v>
      </c>
      <c r="CZ18188" s="35">
        <v>3.084044E-4</v>
      </c>
    </row>
    <row r="18189" spans="103:104" x14ac:dyDescent="0.3">
      <c r="CY18189" s="34" t="s">
        <v>19116</v>
      </c>
      <c r="CZ18189" s="35">
        <v>2.7609784E-4</v>
      </c>
    </row>
    <row r="18190" spans="103:104" x14ac:dyDescent="0.3">
      <c r="CY18190" s="34" t="s">
        <v>19117</v>
      </c>
      <c r="CZ18190" s="35">
        <v>7.8829160000000009E-4</v>
      </c>
    </row>
    <row r="18191" spans="103:104" x14ac:dyDescent="0.3">
      <c r="CY18191" s="34" t="s">
        <v>19118</v>
      </c>
      <c r="CZ18191" s="35">
        <v>5.7795999999999993E-3</v>
      </c>
    </row>
    <row r="18192" spans="103:104" x14ac:dyDescent="0.3">
      <c r="CY18192" s="34" t="s">
        <v>19119</v>
      </c>
      <c r="CZ18192" s="35">
        <v>0.28510140000000006</v>
      </c>
    </row>
    <row r="18193" spans="103:104" x14ac:dyDescent="0.3">
      <c r="CY18193" s="34" t="s">
        <v>19120</v>
      </c>
      <c r="CZ18193" s="35">
        <v>1.99873816E-2</v>
      </c>
    </row>
    <row r="18194" spans="103:104" x14ac:dyDescent="0.3">
      <c r="CY18194" s="34" t="s">
        <v>19121</v>
      </c>
      <c r="CZ18194" s="35">
        <v>2.7896624000000002E-3</v>
      </c>
    </row>
    <row r="18195" spans="103:104" x14ac:dyDescent="0.3">
      <c r="CY18195" s="34" t="s">
        <v>19122</v>
      </c>
      <c r="CZ18195" s="35">
        <v>4.5646567999999997E-3</v>
      </c>
    </row>
    <row r="18196" spans="103:104" x14ac:dyDescent="0.3">
      <c r="CY18196" s="34" t="s">
        <v>19123</v>
      </c>
      <c r="CZ18196" s="35">
        <v>2.5550819999999998E-2</v>
      </c>
    </row>
    <row r="18197" spans="103:104" x14ac:dyDescent="0.3">
      <c r="CY18197" s="34" t="s">
        <v>19124</v>
      </c>
      <c r="CZ18197" s="35">
        <v>7.3105543999999981E-2</v>
      </c>
    </row>
    <row r="18198" spans="103:104" x14ac:dyDescent="0.3">
      <c r="CY18198" s="34" t="s">
        <v>19125</v>
      </c>
      <c r="CZ18198" s="35">
        <v>5.7658952000000001E-3</v>
      </c>
    </row>
    <row r="18199" spans="103:104" x14ac:dyDescent="0.3">
      <c r="CY18199" s="34" t="s">
        <v>19126</v>
      </c>
      <c r="CZ18199" s="35">
        <v>5.8074289999999994E-3</v>
      </c>
    </row>
    <row r="18200" spans="103:104" x14ac:dyDescent="0.3">
      <c r="CY18200" s="34" t="s">
        <v>19127</v>
      </c>
      <c r="CZ18200" s="35">
        <v>3.9080859999999999E-3</v>
      </c>
    </row>
    <row r="18201" spans="103:104" x14ac:dyDescent="0.3">
      <c r="CY18201" s="34" t="s">
        <v>19128</v>
      </c>
      <c r="CZ18201" s="35">
        <v>1.9800750399999997E-2</v>
      </c>
    </row>
    <row r="18202" spans="103:104" x14ac:dyDescent="0.3">
      <c r="CY18202" s="34" t="s">
        <v>19129</v>
      </c>
      <c r="CZ18202" s="35">
        <v>1.4957064000000002E-3</v>
      </c>
    </row>
    <row r="18203" spans="103:104" x14ac:dyDescent="0.3">
      <c r="CY18203" s="34" t="s">
        <v>19130</v>
      </c>
      <c r="CZ18203" s="35">
        <v>7.1405979999999997E-3</v>
      </c>
    </row>
    <row r="18204" spans="103:104" x14ac:dyDescent="0.3">
      <c r="CY18204" s="34" t="s">
        <v>19131</v>
      </c>
      <c r="CZ18204" s="35">
        <v>1.177513E-2</v>
      </c>
    </row>
    <row r="18205" spans="103:104" x14ac:dyDescent="0.3">
      <c r="CY18205" s="34" t="s">
        <v>19132</v>
      </c>
      <c r="CZ18205" s="35">
        <v>3.6522303999999995E-3</v>
      </c>
    </row>
    <row r="18206" spans="103:104" x14ac:dyDescent="0.3">
      <c r="CY18206" s="34" t="s">
        <v>19133</v>
      </c>
      <c r="CZ18206" s="35">
        <v>1.0975216200000001E-3</v>
      </c>
    </row>
    <row r="18207" spans="103:104" x14ac:dyDescent="0.3">
      <c r="CY18207" s="34" t="s">
        <v>19134</v>
      </c>
      <c r="CZ18207" s="35">
        <v>3.8077058599999998E-3</v>
      </c>
    </row>
    <row r="18208" spans="103:104" x14ac:dyDescent="0.3">
      <c r="CY18208" s="34" t="s">
        <v>19135</v>
      </c>
      <c r="CZ18208" s="35">
        <v>9.7816351999999995E-3</v>
      </c>
    </row>
    <row r="18209" spans="103:104" x14ac:dyDescent="0.3">
      <c r="CY18209" s="34" t="s">
        <v>19136</v>
      </c>
      <c r="CZ18209" s="35">
        <v>7.4346607407407405E-3</v>
      </c>
    </row>
    <row r="18210" spans="103:104" x14ac:dyDescent="0.3">
      <c r="CY18210" s="34" t="s">
        <v>19137</v>
      </c>
      <c r="CZ18210" s="35">
        <v>1.20950008E-2</v>
      </c>
    </row>
    <row r="18211" spans="103:104" x14ac:dyDescent="0.3">
      <c r="CY18211" s="34" t="s">
        <v>19138</v>
      </c>
      <c r="CZ18211" s="35">
        <v>4.8992460000000002E-2</v>
      </c>
    </row>
    <row r="18212" spans="103:104" x14ac:dyDescent="0.3">
      <c r="CY18212" s="34" t="s">
        <v>19139</v>
      </c>
      <c r="CZ18212" s="35">
        <v>6.4674134800000005E-2</v>
      </c>
    </row>
    <row r="18213" spans="103:104" x14ac:dyDescent="0.3">
      <c r="CY18213" s="34" t="s">
        <v>19140</v>
      </c>
      <c r="CZ18213" s="35">
        <v>5.4773429999999998E-2</v>
      </c>
    </row>
    <row r="18214" spans="103:104" x14ac:dyDescent="0.3">
      <c r="CY18214" s="34" t="s">
        <v>19141</v>
      </c>
      <c r="CZ18214" s="35">
        <v>5.4773429999999998E-2</v>
      </c>
    </row>
    <row r="18215" spans="103:104" x14ac:dyDescent="0.3">
      <c r="CY18215" s="34" t="s">
        <v>19142</v>
      </c>
      <c r="CZ18215" s="35">
        <v>1.784388533333333E-2</v>
      </c>
    </row>
    <row r="18216" spans="103:104" x14ac:dyDescent="0.3">
      <c r="CY18216" s="34" t="s">
        <v>19143</v>
      </c>
      <c r="CZ18216" s="35">
        <v>0.18435847529411767</v>
      </c>
    </row>
    <row r="18217" spans="103:104" x14ac:dyDescent="0.3">
      <c r="CY18217" s="34" t="s">
        <v>19144</v>
      </c>
      <c r="CZ18217" s="35">
        <v>4.7124650000000004E-2</v>
      </c>
    </row>
    <row r="18218" spans="103:104" x14ac:dyDescent="0.3">
      <c r="CY18218" s="34" t="s">
        <v>19145</v>
      </c>
      <c r="CZ18218" s="35">
        <v>3.2940312499999999E-2</v>
      </c>
    </row>
    <row r="18219" spans="103:104" x14ac:dyDescent="0.3">
      <c r="CY18219" s="34" t="s">
        <v>19146</v>
      </c>
      <c r="CZ18219" s="35">
        <v>1.537413422857143E-2</v>
      </c>
    </row>
    <row r="18220" spans="103:104" x14ac:dyDescent="0.3">
      <c r="CY18220" s="34" t="s">
        <v>19147</v>
      </c>
      <c r="CZ18220" s="35">
        <v>0.19921623999999999</v>
      </c>
    </row>
    <row r="18221" spans="103:104" x14ac:dyDescent="0.3">
      <c r="CY18221" s="34" t="s">
        <v>19148</v>
      </c>
      <c r="CZ18221" s="35">
        <v>3.9158800000000001E-3</v>
      </c>
    </row>
    <row r="18222" spans="103:104" x14ac:dyDescent="0.3">
      <c r="CY18222" s="34" t="s">
        <v>19149</v>
      </c>
      <c r="CZ18222" s="35">
        <v>5.2820640000000004E-3</v>
      </c>
    </row>
    <row r="18223" spans="103:104" x14ac:dyDescent="0.3">
      <c r="CY18223" s="34" t="s">
        <v>19150</v>
      </c>
      <c r="CZ18223" s="35">
        <v>4.1854880000000002E-3</v>
      </c>
    </row>
    <row r="18224" spans="103:104" x14ac:dyDescent="0.3">
      <c r="CY18224" s="34" t="s">
        <v>19151</v>
      </c>
      <c r="CZ18224" s="35">
        <v>1.3089E-3</v>
      </c>
    </row>
    <row r="18225" spans="103:104" x14ac:dyDescent="0.3">
      <c r="CY18225" s="34" t="s">
        <v>19152</v>
      </c>
      <c r="CZ18225" s="35">
        <v>2.7410738235294123E-3</v>
      </c>
    </row>
    <row r="18226" spans="103:104" x14ac:dyDescent="0.3">
      <c r="CY18226" s="34" t="s">
        <v>19153</v>
      </c>
      <c r="CZ18226" s="35">
        <v>2.5909283333333333E-3</v>
      </c>
    </row>
    <row r="18227" spans="103:104" x14ac:dyDescent="0.3">
      <c r="CY18227" s="34" t="s">
        <v>19154</v>
      </c>
      <c r="CZ18227" s="35">
        <v>1.1139269019607842E-3</v>
      </c>
    </row>
    <row r="18228" spans="103:104" x14ac:dyDescent="0.3">
      <c r="CY18228" s="34" t="s">
        <v>19155</v>
      </c>
      <c r="CZ18228" s="35">
        <v>6.812532E-4</v>
      </c>
    </row>
    <row r="18229" spans="103:104" x14ac:dyDescent="0.3">
      <c r="CY18229" s="34" t="s">
        <v>19156</v>
      </c>
      <c r="CZ18229" s="35">
        <v>9.1466666666666671E-4</v>
      </c>
    </row>
    <row r="18230" spans="103:104" x14ac:dyDescent="0.3">
      <c r="CY18230" s="34" t="s">
        <v>19157</v>
      </c>
      <c r="CZ18230" s="35">
        <v>1.1753815000000001E-2</v>
      </c>
    </row>
    <row r="18231" spans="103:104" x14ac:dyDescent="0.3">
      <c r="CY18231" s="34" t="s">
        <v>19158</v>
      </c>
      <c r="CZ18231" s="35">
        <v>4.1992550000000007E-3</v>
      </c>
    </row>
    <row r="18232" spans="103:104" x14ac:dyDescent="0.3">
      <c r="CY18232" s="34" t="s">
        <v>19159</v>
      </c>
      <c r="CZ18232" s="35">
        <v>1.1517499999999999E-4</v>
      </c>
    </row>
    <row r="18233" spans="103:104" x14ac:dyDescent="0.3">
      <c r="CY18233" s="34" t="s">
        <v>19160</v>
      </c>
      <c r="CZ18233" s="35">
        <v>1.1517399999999999E-4</v>
      </c>
    </row>
    <row r="18234" spans="103:104" x14ac:dyDescent="0.3">
      <c r="CY18234" s="34" t="s">
        <v>19161</v>
      </c>
      <c r="CZ18234" s="35">
        <v>1.1517399999999999E-4</v>
      </c>
    </row>
    <row r="18235" spans="103:104" x14ac:dyDescent="0.3">
      <c r="CY18235" s="34" t="s">
        <v>19162</v>
      </c>
      <c r="CZ18235" s="35">
        <v>4.1992566666666674E-3</v>
      </c>
    </row>
    <row r="18236" spans="103:104" x14ac:dyDescent="0.3">
      <c r="CY18236" s="34" t="s">
        <v>19163</v>
      </c>
      <c r="CZ18236" s="35">
        <v>2.2513457999999999E-3</v>
      </c>
    </row>
    <row r="18237" spans="103:104" x14ac:dyDescent="0.3">
      <c r="CY18237" s="34" t="s">
        <v>19164</v>
      </c>
      <c r="CZ18237" s="35">
        <v>4.0724000000000001E-4</v>
      </c>
    </row>
    <row r="18238" spans="103:104" x14ac:dyDescent="0.3">
      <c r="CY18238" s="34" t="s">
        <v>19165</v>
      </c>
      <c r="CZ18238" s="35">
        <v>1.9732104E-2</v>
      </c>
    </row>
    <row r="18239" spans="103:104" x14ac:dyDescent="0.3">
      <c r="CY18239" s="34" t="s">
        <v>19166</v>
      </c>
      <c r="CZ18239" s="35">
        <v>1.1119214000000001E-2</v>
      </c>
    </row>
    <row r="18240" spans="103:104" x14ac:dyDescent="0.3">
      <c r="CY18240" s="34" t="s">
        <v>19167</v>
      </c>
      <c r="CZ18240" s="35">
        <v>2.99394506E-2</v>
      </c>
    </row>
    <row r="18241" spans="103:104" x14ac:dyDescent="0.3">
      <c r="CY18241" s="34" t="s">
        <v>19168</v>
      </c>
      <c r="CZ18241" s="35">
        <v>4.0784080000000004E-3</v>
      </c>
    </row>
    <row r="18242" spans="103:104" x14ac:dyDescent="0.3">
      <c r="CY18242" s="34" t="s">
        <v>19169</v>
      </c>
      <c r="CZ18242" s="35">
        <v>3.0319879999999998E-3</v>
      </c>
    </row>
    <row r="18243" spans="103:104" x14ac:dyDescent="0.3">
      <c r="CY18243" s="34" t="s">
        <v>19170</v>
      </c>
      <c r="CZ18243" s="35">
        <v>8.0519119999999986E-2</v>
      </c>
    </row>
    <row r="18244" spans="103:104" x14ac:dyDescent="0.3">
      <c r="CY18244" s="34" t="s">
        <v>19171</v>
      </c>
      <c r="CZ18244" s="35">
        <v>1.9387806315789478E-2</v>
      </c>
    </row>
    <row r="18245" spans="103:104" x14ac:dyDescent="0.3">
      <c r="CY18245" s="34" t="s">
        <v>19172</v>
      </c>
      <c r="CZ18245" s="35">
        <v>2.0721964000000002E-2</v>
      </c>
    </row>
    <row r="18246" spans="103:104" x14ac:dyDescent="0.3">
      <c r="CY18246" s="34" t="s">
        <v>19173</v>
      </c>
      <c r="CZ18246" s="35">
        <v>4.8533055999999998E-2</v>
      </c>
    </row>
    <row r="18247" spans="103:104" x14ac:dyDescent="0.3">
      <c r="CY18247" s="34" t="s">
        <v>19174</v>
      </c>
      <c r="CZ18247" s="35">
        <v>7.3514115000000008E-4</v>
      </c>
    </row>
    <row r="18248" spans="103:104" x14ac:dyDescent="0.3">
      <c r="CY18248" s="34" t="s">
        <v>19175</v>
      </c>
      <c r="CZ18248" s="35">
        <v>3.6461420000000002E-3</v>
      </c>
    </row>
    <row r="18249" spans="103:104" x14ac:dyDescent="0.3">
      <c r="CY18249" s="34" t="s">
        <v>19176</v>
      </c>
      <c r="CZ18249" s="35">
        <v>6.0128684000000003E-3</v>
      </c>
    </row>
    <row r="18250" spans="103:104" x14ac:dyDescent="0.3">
      <c r="CY18250" s="34" t="s">
        <v>19177</v>
      </c>
      <c r="CZ18250" s="35">
        <v>1.3781455999999999E-2</v>
      </c>
    </row>
    <row r="18251" spans="103:104" x14ac:dyDescent="0.3">
      <c r="CY18251" s="34" t="s">
        <v>19178</v>
      </c>
      <c r="CZ18251" s="35">
        <v>2.7606223999999999E-2</v>
      </c>
    </row>
    <row r="18252" spans="103:104" x14ac:dyDescent="0.3">
      <c r="CY18252" s="34" t="s">
        <v>19179</v>
      </c>
      <c r="CZ18252" s="35">
        <v>5.2403760000000006E-3</v>
      </c>
    </row>
    <row r="18253" spans="103:104" x14ac:dyDescent="0.3">
      <c r="CY18253" s="34" t="s">
        <v>19180</v>
      </c>
      <c r="CZ18253" s="35">
        <v>1.3836461E-2</v>
      </c>
    </row>
    <row r="18254" spans="103:104" x14ac:dyDescent="0.3">
      <c r="CY18254" s="34" t="s">
        <v>19181</v>
      </c>
      <c r="CZ18254" s="35">
        <v>2.5861264000000002E-2</v>
      </c>
    </row>
    <row r="18255" spans="103:104" x14ac:dyDescent="0.3">
      <c r="CY18255" s="34" t="s">
        <v>19182</v>
      </c>
      <c r="CZ18255" s="35">
        <v>1.2170718000000001E-2</v>
      </c>
    </row>
    <row r="18256" spans="103:104" x14ac:dyDescent="0.3">
      <c r="CY18256" s="34" t="s">
        <v>19183</v>
      </c>
      <c r="CZ18256" s="35">
        <v>7.9309007999999997E-3</v>
      </c>
    </row>
    <row r="18257" spans="103:104" x14ac:dyDescent="0.3">
      <c r="CY18257" s="34" t="s">
        <v>19184</v>
      </c>
      <c r="CZ18257" s="35">
        <v>6.3252064499999998E-3</v>
      </c>
    </row>
    <row r="18258" spans="103:104" x14ac:dyDescent="0.3">
      <c r="CY18258" s="34" t="s">
        <v>19185</v>
      </c>
      <c r="CZ18258" s="35">
        <v>2.4682539999999996E-3</v>
      </c>
    </row>
    <row r="18259" spans="103:104" x14ac:dyDescent="0.3">
      <c r="CY18259" s="34" t="s">
        <v>19186</v>
      </c>
      <c r="CZ18259" s="35">
        <v>2.382402E-3</v>
      </c>
    </row>
    <row r="18260" spans="103:104" x14ac:dyDescent="0.3">
      <c r="CY18260" s="34" t="s">
        <v>19187</v>
      </c>
      <c r="CZ18260" s="35">
        <v>1.596351E-3</v>
      </c>
    </row>
    <row r="18261" spans="103:104" x14ac:dyDescent="0.3">
      <c r="CY18261" s="34" t="s">
        <v>19188</v>
      </c>
      <c r="CZ18261" s="35">
        <v>9.6665066666666664E-3</v>
      </c>
    </row>
    <row r="18262" spans="103:104" x14ac:dyDescent="0.3">
      <c r="CY18262" s="34" t="s">
        <v>19189</v>
      </c>
      <c r="CZ18262" s="35">
        <v>9.6665066666666646E-3</v>
      </c>
    </row>
    <row r="18263" spans="103:104" x14ac:dyDescent="0.3">
      <c r="CY18263" s="34" t="s">
        <v>19190</v>
      </c>
      <c r="CZ18263" s="35">
        <v>3.4425947733333337E-2</v>
      </c>
    </row>
    <row r="18264" spans="103:104" x14ac:dyDescent="0.3">
      <c r="CY18264" s="34" t="s">
        <v>19191</v>
      </c>
      <c r="CZ18264" s="35">
        <v>2.8121380000000005E-2</v>
      </c>
    </row>
    <row r="18265" spans="103:104" x14ac:dyDescent="0.3">
      <c r="CY18265" s="34" t="s">
        <v>19192</v>
      </c>
      <c r="CZ18265" s="35">
        <v>8.361774399999999E-3</v>
      </c>
    </row>
    <row r="18266" spans="103:104" x14ac:dyDescent="0.3">
      <c r="CY18266" s="34" t="s">
        <v>19193</v>
      </c>
      <c r="CZ18266" s="35">
        <v>8.361774399999999E-3</v>
      </c>
    </row>
    <row r="18267" spans="103:104" x14ac:dyDescent="0.3">
      <c r="CY18267" s="34" t="s">
        <v>19194</v>
      </c>
      <c r="CZ18267" s="35">
        <v>1.4693195000000001E-2</v>
      </c>
    </row>
    <row r="18268" spans="103:104" x14ac:dyDescent="0.3">
      <c r="CY18268" s="34" t="s">
        <v>19195</v>
      </c>
      <c r="CZ18268" s="35">
        <v>6.3725920000000005E-2</v>
      </c>
    </row>
    <row r="18269" spans="103:104" x14ac:dyDescent="0.3">
      <c r="CY18269" s="34" t="s">
        <v>19196</v>
      </c>
      <c r="CZ18269" s="35">
        <v>7.245768000000001E-2</v>
      </c>
    </row>
    <row r="18270" spans="103:104" x14ac:dyDescent="0.3">
      <c r="CY18270" s="34" t="s">
        <v>19197</v>
      </c>
      <c r="CZ18270" s="35">
        <v>8.6232210000000004E-2</v>
      </c>
    </row>
    <row r="18271" spans="103:104" x14ac:dyDescent="0.3">
      <c r="CY18271" s="34" t="s">
        <v>19198</v>
      </c>
      <c r="CZ18271" s="35">
        <v>7.2457679999999997E-2</v>
      </c>
    </row>
    <row r="18272" spans="103:104" x14ac:dyDescent="0.3">
      <c r="CY18272" s="34" t="s">
        <v>19199</v>
      </c>
      <c r="CZ18272" s="35">
        <v>1.7161082000000003E-3</v>
      </c>
    </row>
    <row r="18273" spans="103:104" x14ac:dyDescent="0.3">
      <c r="CY18273" s="34" t="s">
        <v>19200</v>
      </c>
      <c r="CZ18273" s="35">
        <v>5.3348000000000002E-4</v>
      </c>
    </row>
    <row r="18274" spans="103:104" x14ac:dyDescent="0.3">
      <c r="CY18274" s="34" t="s">
        <v>19201</v>
      </c>
      <c r="CZ18274" s="35">
        <v>8.0655940000000006E-3</v>
      </c>
    </row>
    <row r="18275" spans="103:104" x14ac:dyDescent="0.3">
      <c r="CY18275" s="34" t="s">
        <v>19202</v>
      </c>
      <c r="CZ18275" s="35">
        <v>0.37787445000000008</v>
      </c>
    </row>
    <row r="18276" spans="103:104" x14ac:dyDescent="0.3">
      <c r="CY18276" s="34" t="s">
        <v>19203</v>
      </c>
      <c r="CZ18276" s="35">
        <v>0.43906559999999994</v>
      </c>
    </row>
    <row r="18277" spans="103:104" x14ac:dyDescent="0.3">
      <c r="CY18277" s="34" t="s">
        <v>19204</v>
      </c>
      <c r="CZ18277" s="35">
        <v>0.5960198000000001</v>
      </c>
    </row>
    <row r="18278" spans="103:104" x14ac:dyDescent="0.3">
      <c r="CY18278" s="34" t="s">
        <v>19205</v>
      </c>
      <c r="CZ18278" s="35">
        <v>0.34194840000000004</v>
      </c>
    </row>
    <row r="18279" spans="103:104" x14ac:dyDescent="0.3">
      <c r="CY18279" s="34" t="s">
        <v>19206</v>
      </c>
      <c r="CZ18279" s="35">
        <v>8.851502E-2</v>
      </c>
    </row>
    <row r="18280" spans="103:104" x14ac:dyDescent="0.3">
      <c r="CY18280" s="34" t="s">
        <v>19207</v>
      </c>
      <c r="CZ18280" s="35">
        <v>9.0489720000000006E-3</v>
      </c>
    </row>
    <row r="18281" spans="103:104" x14ac:dyDescent="0.3">
      <c r="CY18281" s="34" t="s">
        <v>19208</v>
      </c>
      <c r="CZ18281" s="35">
        <v>1.63148E-3</v>
      </c>
    </row>
    <row r="18282" spans="103:104" x14ac:dyDescent="0.3">
      <c r="CY18282" s="34" t="s">
        <v>19209</v>
      </c>
      <c r="CZ18282" s="35">
        <v>1.63148E-3</v>
      </c>
    </row>
    <row r="18283" spans="103:104" x14ac:dyDescent="0.3">
      <c r="CY18283" s="34" t="s">
        <v>19210</v>
      </c>
      <c r="CZ18283" s="35">
        <v>1.2310862E-3</v>
      </c>
    </row>
    <row r="18284" spans="103:104" x14ac:dyDescent="0.3">
      <c r="CY18284" s="34" t="s">
        <v>19211</v>
      </c>
      <c r="CZ18284" s="35">
        <v>5.4633760000000003E-4</v>
      </c>
    </row>
    <row r="18285" spans="103:104" x14ac:dyDescent="0.3">
      <c r="CY18285" s="34" t="s">
        <v>19212</v>
      </c>
      <c r="CZ18285" s="35">
        <v>3.8271446E-3</v>
      </c>
    </row>
    <row r="18286" spans="103:104" x14ac:dyDescent="0.3">
      <c r="CY18286" s="34" t="s">
        <v>19213</v>
      </c>
      <c r="CZ18286" s="35">
        <v>6.2173450114285712E-4</v>
      </c>
    </row>
    <row r="18287" spans="103:104" x14ac:dyDescent="0.3">
      <c r="CY18287" s="34" t="s">
        <v>19214</v>
      </c>
      <c r="CZ18287" s="35">
        <v>1.0542585600000001E-2</v>
      </c>
    </row>
    <row r="18288" spans="103:104" x14ac:dyDescent="0.3">
      <c r="CY18288" s="34" t="s">
        <v>19215</v>
      </c>
      <c r="CZ18288" s="35">
        <v>4.5963855000000005E-2</v>
      </c>
    </row>
    <row r="18289" spans="103:104" x14ac:dyDescent="0.3">
      <c r="CY18289" s="34" t="s">
        <v>19216</v>
      </c>
      <c r="CZ18289" s="35">
        <v>3.0917119999999995E-3</v>
      </c>
    </row>
    <row r="18290" spans="103:104" x14ac:dyDescent="0.3">
      <c r="CY18290" s="34" t="s">
        <v>19217</v>
      </c>
      <c r="CZ18290" s="35">
        <v>2.4451785000000004E-2</v>
      </c>
    </row>
    <row r="18291" spans="103:104" x14ac:dyDescent="0.3">
      <c r="CY18291" s="34" t="s">
        <v>19218</v>
      </c>
      <c r="CZ18291" s="35">
        <v>4.3997520000000012E-2</v>
      </c>
    </row>
    <row r="18292" spans="103:104" x14ac:dyDescent="0.3">
      <c r="CY18292" s="34" t="s">
        <v>19219</v>
      </c>
      <c r="CZ18292" s="35">
        <v>1.2875492000000001E-2</v>
      </c>
    </row>
    <row r="18293" spans="103:104" x14ac:dyDescent="0.3">
      <c r="CY18293" s="34" t="s">
        <v>19220</v>
      </c>
      <c r="CZ18293" s="35">
        <v>3.662588E-2</v>
      </c>
    </row>
    <row r="18294" spans="103:104" x14ac:dyDescent="0.3">
      <c r="CY18294" s="34" t="s">
        <v>19221</v>
      </c>
      <c r="CZ18294" s="35">
        <v>1.45390064E-2</v>
      </c>
    </row>
    <row r="18295" spans="103:104" x14ac:dyDescent="0.3">
      <c r="CY18295" s="34" t="s">
        <v>19222</v>
      </c>
      <c r="CZ18295" s="35">
        <v>3.8795918000000002E-3</v>
      </c>
    </row>
    <row r="18296" spans="103:104" x14ac:dyDescent="0.3">
      <c r="CY18296" s="34" t="s">
        <v>19223</v>
      </c>
      <c r="CZ18296" s="35">
        <v>5.3514080000000002E-3</v>
      </c>
    </row>
    <row r="18297" spans="103:104" x14ac:dyDescent="0.3">
      <c r="CY18297" s="34" t="s">
        <v>19224</v>
      </c>
      <c r="CZ18297" s="35">
        <v>4.8204472000000003E-3</v>
      </c>
    </row>
    <row r="18298" spans="103:104" x14ac:dyDescent="0.3">
      <c r="CY18298" s="34" t="s">
        <v>19225</v>
      </c>
      <c r="CZ18298" s="35">
        <v>5.2959679999999999E-3</v>
      </c>
    </row>
    <row r="18299" spans="103:104" x14ac:dyDescent="0.3">
      <c r="CY18299" s="34" t="s">
        <v>19226</v>
      </c>
      <c r="CZ18299" s="35">
        <v>7.6102280000000001E-3</v>
      </c>
    </row>
    <row r="18300" spans="103:104" x14ac:dyDescent="0.3">
      <c r="CY18300" s="34" t="s">
        <v>19227</v>
      </c>
      <c r="CZ18300" s="35">
        <v>6.9453279999999997E-3</v>
      </c>
    </row>
    <row r="18301" spans="103:104" x14ac:dyDescent="0.3">
      <c r="CY18301" s="34" t="s">
        <v>19228</v>
      </c>
      <c r="CZ18301" s="35">
        <v>6.3086959999999991E-3</v>
      </c>
    </row>
    <row r="18302" spans="103:104" x14ac:dyDescent="0.3">
      <c r="CY18302" s="34" t="s">
        <v>19229</v>
      </c>
      <c r="CZ18302" s="35">
        <v>3.3150916599999997E-2</v>
      </c>
    </row>
    <row r="18303" spans="103:104" x14ac:dyDescent="0.3">
      <c r="CY18303" s="34" t="s">
        <v>19230</v>
      </c>
      <c r="CZ18303" s="35">
        <v>1.2900779999999998</v>
      </c>
    </row>
    <row r="18304" spans="103:104" x14ac:dyDescent="0.3">
      <c r="CY18304" s="34" t="s">
        <v>19231</v>
      </c>
      <c r="CZ18304" s="35">
        <v>2.9439652777777776E-2</v>
      </c>
    </row>
    <row r="18305" spans="103:104" x14ac:dyDescent="0.3">
      <c r="CY18305" s="34" t="s">
        <v>19232</v>
      </c>
      <c r="CZ18305" s="35">
        <v>1.5621288000000001E-2</v>
      </c>
    </row>
    <row r="18306" spans="103:104" x14ac:dyDescent="0.3">
      <c r="CY18306" s="34" t="s">
        <v>19233</v>
      </c>
      <c r="CZ18306" s="35">
        <v>9.4782771557142861E-2</v>
      </c>
    </row>
    <row r="18307" spans="103:104" x14ac:dyDescent="0.3">
      <c r="CY18307" s="34" t="s">
        <v>19234</v>
      </c>
      <c r="CZ18307" s="35">
        <v>9.7736648333328568E-2</v>
      </c>
    </row>
    <row r="18308" spans="103:104" x14ac:dyDescent="0.3">
      <c r="CY18308" s="34" t="s">
        <v>19235</v>
      </c>
      <c r="CZ18308" s="35">
        <v>9.4782771555000006E-2</v>
      </c>
    </row>
    <row r="18309" spans="103:104" x14ac:dyDescent="0.3">
      <c r="CY18309" s="34" t="s">
        <v>19236</v>
      </c>
      <c r="CZ18309" s="35">
        <v>4.9121299999999993E-2</v>
      </c>
    </row>
    <row r="18310" spans="103:104" x14ac:dyDescent="0.3">
      <c r="CY18310" s="34" t="s">
        <v>19237</v>
      </c>
      <c r="CZ18310" s="35">
        <v>5.2324499999999996E-2</v>
      </c>
    </row>
    <row r="18311" spans="103:104" x14ac:dyDescent="0.3">
      <c r="CY18311" s="34" t="s">
        <v>19238</v>
      </c>
      <c r="CZ18311" s="35">
        <v>1.6761194666666667E-3</v>
      </c>
    </row>
    <row r="18312" spans="103:104" x14ac:dyDescent="0.3">
      <c r="CY18312" s="34" t="s">
        <v>19239</v>
      </c>
      <c r="CZ18312" s="35">
        <v>2.8064885333333334E-3</v>
      </c>
    </row>
    <row r="18313" spans="103:104" x14ac:dyDescent="0.3">
      <c r="CY18313" s="34" t="s">
        <v>19240</v>
      </c>
      <c r="CZ18313" s="35">
        <v>2.8064885333333334E-3</v>
      </c>
    </row>
    <row r="18314" spans="103:104" x14ac:dyDescent="0.3">
      <c r="CY18314" s="34" t="s">
        <v>19241</v>
      </c>
      <c r="CZ18314" s="35">
        <v>7.3333230769230756E-3</v>
      </c>
    </row>
    <row r="18315" spans="103:104" x14ac:dyDescent="0.3">
      <c r="CY18315" s="34" t="s">
        <v>19242</v>
      </c>
      <c r="CZ18315" s="35">
        <v>2.0744316800000002E-2</v>
      </c>
    </row>
    <row r="18316" spans="103:104" x14ac:dyDescent="0.3">
      <c r="CY18316" s="34" t="s">
        <v>19243</v>
      </c>
      <c r="CZ18316" s="35">
        <v>0.15446458000000002</v>
      </c>
    </row>
    <row r="18317" spans="103:104" x14ac:dyDescent="0.3">
      <c r="CY18317" s="34" t="s">
        <v>19244</v>
      </c>
      <c r="CZ18317" s="35">
        <v>3.9128857142857146E-2</v>
      </c>
    </row>
    <row r="18318" spans="103:104" x14ac:dyDescent="0.3">
      <c r="CY18318" s="34" t="s">
        <v>19245</v>
      </c>
      <c r="CZ18318" s="35">
        <v>8.9850159999999998E-2</v>
      </c>
    </row>
    <row r="18319" spans="103:104" x14ac:dyDescent="0.3">
      <c r="CY18319" s="34" t="s">
        <v>19246</v>
      </c>
      <c r="CZ18319" s="35">
        <v>0.36566063999999998</v>
      </c>
    </row>
    <row r="18320" spans="103:104" x14ac:dyDescent="0.3">
      <c r="CY18320" s="34" t="s">
        <v>19247</v>
      </c>
      <c r="CZ18320" s="35">
        <v>3.2951934000000002E-2</v>
      </c>
    </row>
    <row r="18321" spans="103:104" x14ac:dyDescent="0.3">
      <c r="CY18321" s="34" t="s">
        <v>19248</v>
      </c>
      <c r="CZ18321" s="35">
        <v>2.1351679999999998E-2</v>
      </c>
    </row>
    <row r="18322" spans="103:104" x14ac:dyDescent="0.3">
      <c r="CY18322" s="34" t="s">
        <v>19249</v>
      </c>
      <c r="CZ18322" s="35">
        <v>1.3569675E-2</v>
      </c>
    </row>
    <row r="18323" spans="103:104" x14ac:dyDescent="0.3">
      <c r="CY18323" s="34" t="s">
        <v>19250</v>
      </c>
      <c r="CZ18323" s="35">
        <v>0.17027150762000001</v>
      </c>
    </row>
    <row r="18324" spans="103:104" x14ac:dyDescent="0.3">
      <c r="CY18324" s="34" t="s">
        <v>19251</v>
      </c>
      <c r="CZ18324" s="35">
        <v>6.1179645299999995E-2</v>
      </c>
    </row>
    <row r="18325" spans="103:104" x14ac:dyDescent="0.3">
      <c r="CY18325" s="34" t="s">
        <v>19252</v>
      </c>
      <c r="CZ18325" s="35">
        <v>1.151872E-3</v>
      </c>
    </row>
    <row r="18326" spans="103:104" x14ac:dyDescent="0.3">
      <c r="CY18326" s="34" t="s">
        <v>19253</v>
      </c>
      <c r="CZ18326" s="35">
        <v>6.1179645299999995E-2</v>
      </c>
    </row>
    <row r="18327" spans="103:104" x14ac:dyDescent="0.3">
      <c r="CY18327" s="34" t="s">
        <v>19254</v>
      </c>
      <c r="CZ18327" s="35">
        <v>3.5443600000000003E-3</v>
      </c>
    </row>
    <row r="18328" spans="103:104" x14ac:dyDescent="0.3">
      <c r="CY18328" s="34" t="s">
        <v>19255</v>
      </c>
      <c r="CZ18328" s="35">
        <v>4.1048433333333335E-3</v>
      </c>
    </row>
    <row r="18329" spans="103:104" x14ac:dyDescent="0.3">
      <c r="CY18329" s="34" t="s">
        <v>19256</v>
      </c>
      <c r="CZ18329" s="35">
        <v>0.20838515626666668</v>
      </c>
    </row>
    <row r="18330" spans="103:104" x14ac:dyDescent="0.3">
      <c r="CY18330" s="34" t="s">
        <v>19257</v>
      </c>
      <c r="CZ18330" s="35">
        <v>0.16411562500000001</v>
      </c>
    </row>
    <row r="18331" spans="103:104" x14ac:dyDescent="0.3">
      <c r="CY18331" s="34" t="s">
        <v>19258</v>
      </c>
      <c r="CZ18331" s="35">
        <v>0.20046053333333333</v>
      </c>
    </row>
    <row r="18332" spans="103:104" x14ac:dyDescent="0.3">
      <c r="CY18332" s="34" t="s">
        <v>19259</v>
      </c>
      <c r="CZ18332" s="35">
        <v>0.20612096000000002</v>
      </c>
    </row>
    <row r="18333" spans="103:104" x14ac:dyDescent="0.3">
      <c r="CY18333" s="34" t="s">
        <v>19260</v>
      </c>
      <c r="CZ18333" s="35">
        <v>7.1092960000000002E-3</v>
      </c>
    </row>
    <row r="18334" spans="103:104" x14ac:dyDescent="0.3">
      <c r="CY18334" s="34" t="s">
        <v>19261</v>
      </c>
      <c r="CZ18334" s="35">
        <v>1.9047578666666666E-3</v>
      </c>
    </row>
    <row r="18335" spans="103:104" x14ac:dyDescent="0.3">
      <c r="CY18335" s="34" t="s">
        <v>19262</v>
      </c>
      <c r="CZ18335" s="35">
        <v>1.0532150000000001E-2</v>
      </c>
    </row>
    <row r="18336" spans="103:104" x14ac:dyDescent="0.3">
      <c r="CY18336" s="34" t="s">
        <v>19263</v>
      </c>
      <c r="CZ18336" s="35">
        <v>1.8644663999999999E-3</v>
      </c>
    </row>
    <row r="18337" spans="103:104" x14ac:dyDescent="0.3">
      <c r="CY18337" s="34" t="s">
        <v>19264</v>
      </c>
      <c r="CZ18337" s="35">
        <v>2.7987821E-2</v>
      </c>
    </row>
    <row r="18338" spans="103:104" x14ac:dyDescent="0.3">
      <c r="CY18338" s="34" t="s">
        <v>19265</v>
      </c>
      <c r="CZ18338" s="35">
        <v>0.18665616000000004</v>
      </c>
    </row>
    <row r="18339" spans="103:104" x14ac:dyDescent="0.3">
      <c r="CY18339" s="34" t="s">
        <v>19266</v>
      </c>
      <c r="CZ18339" s="35">
        <v>0.12866823999999999</v>
      </c>
    </row>
    <row r="18340" spans="103:104" x14ac:dyDescent="0.3">
      <c r="CY18340" s="34" t="s">
        <v>19267</v>
      </c>
      <c r="CZ18340" s="35">
        <v>3.8332000000000001E-3</v>
      </c>
    </row>
    <row r="18341" spans="103:104" x14ac:dyDescent="0.3">
      <c r="CY18341" s="34" t="s">
        <v>19268</v>
      </c>
      <c r="CZ18341" s="35">
        <v>1.186625E-2</v>
      </c>
    </row>
    <row r="18342" spans="103:104" x14ac:dyDescent="0.3">
      <c r="CY18342" s="34" t="s">
        <v>19269</v>
      </c>
      <c r="CZ18342" s="35">
        <v>1.1866250000000002E-2</v>
      </c>
    </row>
    <row r="18343" spans="103:104" x14ac:dyDescent="0.3">
      <c r="CY18343" s="34" t="s">
        <v>19270</v>
      </c>
      <c r="CZ18343" s="35">
        <v>2.2873464000000001E-3</v>
      </c>
    </row>
    <row r="18344" spans="103:104" x14ac:dyDescent="0.3">
      <c r="CY18344" s="34" t="s">
        <v>19271</v>
      </c>
      <c r="CZ18344" s="35">
        <v>2.2873464000000001E-3</v>
      </c>
    </row>
    <row r="18345" spans="103:104" x14ac:dyDescent="0.3">
      <c r="CY18345" s="34" t="s">
        <v>19272</v>
      </c>
      <c r="CZ18345" s="35">
        <v>2.2137464000000001E-3</v>
      </c>
    </row>
    <row r="18346" spans="103:104" x14ac:dyDescent="0.3">
      <c r="CY18346" s="34" t="s">
        <v>19273</v>
      </c>
      <c r="CZ18346" s="35">
        <v>0.46094750000000001</v>
      </c>
    </row>
    <row r="18347" spans="103:104" x14ac:dyDescent="0.3">
      <c r="CY18347" s="34" t="s">
        <v>19274</v>
      </c>
      <c r="CZ18347" s="35">
        <v>3.4014813333333332E-3</v>
      </c>
    </row>
    <row r="18348" spans="103:104" x14ac:dyDescent="0.3">
      <c r="CY18348" s="34" t="s">
        <v>19275</v>
      </c>
      <c r="CZ18348" s="35">
        <v>1.10803458E-2</v>
      </c>
    </row>
    <row r="18349" spans="103:104" x14ac:dyDescent="0.3">
      <c r="CY18349" s="34" t="s">
        <v>19276</v>
      </c>
      <c r="CZ18349" s="35">
        <v>3.9765E-3</v>
      </c>
    </row>
    <row r="18350" spans="103:104" x14ac:dyDescent="0.3">
      <c r="CY18350" s="34" t="s">
        <v>19277</v>
      </c>
      <c r="CZ18350" s="35">
        <v>1.8405252000000004E-2</v>
      </c>
    </row>
    <row r="18351" spans="103:104" x14ac:dyDescent="0.3">
      <c r="CY18351" s="34" t="s">
        <v>19278</v>
      </c>
      <c r="CZ18351" s="35">
        <v>3.6310483999999997E-2</v>
      </c>
    </row>
    <row r="18352" spans="103:104" x14ac:dyDescent="0.3">
      <c r="CY18352" s="34" t="s">
        <v>19279</v>
      </c>
      <c r="CZ18352" s="35">
        <v>3.6310483999999997E-2</v>
      </c>
    </row>
    <row r="18353" spans="103:104" x14ac:dyDescent="0.3">
      <c r="CY18353" s="34" t="s">
        <v>19280</v>
      </c>
      <c r="CZ18353" s="35">
        <v>1.585375E-3</v>
      </c>
    </row>
    <row r="18354" spans="103:104" x14ac:dyDescent="0.3">
      <c r="CY18354" s="34" t="s">
        <v>19281</v>
      </c>
      <c r="CZ18354" s="35">
        <v>0.26196903999999999</v>
      </c>
    </row>
    <row r="18355" spans="103:104" x14ac:dyDescent="0.3">
      <c r="CY18355" s="34" t="s">
        <v>19282</v>
      </c>
      <c r="CZ18355" s="35">
        <v>0.26308662399999999</v>
      </c>
    </row>
    <row r="18356" spans="103:104" x14ac:dyDescent="0.3">
      <c r="CY18356" s="34" t="s">
        <v>19283</v>
      </c>
      <c r="CZ18356" s="35">
        <v>0.26383167999999996</v>
      </c>
    </row>
    <row r="18357" spans="103:104" x14ac:dyDescent="0.3">
      <c r="CY18357" s="34" t="s">
        <v>19284</v>
      </c>
      <c r="CZ18357" s="35">
        <v>0.25153825600000002</v>
      </c>
    </row>
    <row r="18358" spans="103:104" x14ac:dyDescent="0.3">
      <c r="CY18358" s="34" t="s">
        <v>19285</v>
      </c>
      <c r="CZ18358" s="35">
        <v>1.8523999999999999E-3</v>
      </c>
    </row>
    <row r="18359" spans="103:104" x14ac:dyDescent="0.3">
      <c r="CY18359" s="34" t="s">
        <v>19286</v>
      </c>
      <c r="CZ18359" s="35">
        <v>2.5186135999999994E-2</v>
      </c>
    </row>
    <row r="18360" spans="103:104" x14ac:dyDescent="0.3">
      <c r="CY18360" s="34" t="s">
        <v>19287</v>
      </c>
      <c r="CZ18360" s="35">
        <v>1.0950000000000001E-3</v>
      </c>
    </row>
    <row r="18361" spans="103:104" x14ac:dyDescent="0.3">
      <c r="CY18361" s="34" t="s">
        <v>19288</v>
      </c>
      <c r="CZ18361" s="35">
        <v>5.3309679999999993E-3</v>
      </c>
    </row>
    <row r="18362" spans="103:104" x14ac:dyDescent="0.3">
      <c r="CY18362" s="34" t="s">
        <v>19289</v>
      </c>
      <c r="CZ18362" s="35">
        <v>1.33347402E-2</v>
      </c>
    </row>
    <row r="18363" spans="103:104" x14ac:dyDescent="0.3">
      <c r="CY18363" s="34" t="s">
        <v>19290</v>
      </c>
      <c r="CZ18363" s="35">
        <v>5.1108214285714292E-2</v>
      </c>
    </row>
    <row r="18364" spans="103:104" x14ac:dyDescent="0.3">
      <c r="CY18364" s="34" t="s">
        <v>19291</v>
      </c>
      <c r="CZ18364" s="35">
        <v>0.32980381049999996</v>
      </c>
    </row>
    <row r="18365" spans="103:104" x14ac:dyDescent="0.3">
      <c r="CY18365" s="34" t="s">
        <v>19292</v>
      </c>
      <c r="CZ18365" s="35">
        <v>6.5569728000000006E-3</v>
      </c>
    </row>
    <row r="18366" spans="103:104" x14ac:dyDescent="0.3">
      <c r="CY18366" s="34" t="s">
        <v>19293</v>
      </c>
      <c r="CZ18366" s="35">
        <v>1.60345E-2</v>
      </c>
    </row>
    <row r="18367" spans="103:104" x14ac:dyDescent="0.3">
      <c r="CY18367" s="34" t="s">
        <v>19294</v>
      </c>
      <c r="CZ18367" s="35">
        <v>3.4790223999999999E-4</v>
      </c>
    </row>
    <row r="18368" spans="103:104" x14ac:dyDescent="0.3">
      <c r="CY18368" s="34" t="s">
        <v>19295</v>
      </c>
      <c r="CZ18368" s="35">
        <v>2.6241725999999997E-4</v>
      </c>
    </row>
    <row r="18369" spans="103:104" x14ac:dyDescent="0.3">
      <c r="CY18369" s="34" t="s">
        <v>19296</v>
      </c>
      <c r="CZ18369" s="35">
        <v>2.856838E-3</v>
      </c>
    </row>
    <row r="18370" spans="103:104" x14ac:dyDescent="0.3">
      <c r="CY18370" s="34" t="s">
        <v>19297</v>
      </c>
      <c r="CZ18370" s="35">
        <v>2.856838E-3</v>
      </c>
    </row>
    <row r="18371" spans="103:104" x14ac:dyDescent="0.3">
      <c r="CY18371" s="34" t="s">
        <v>19298</v>
      </c>
      <c r="CZ18371" s="35">
        <v>1.4727155E-2</v>
      </c>
    </row>
    <row r="18372" spans="103:104" x14ac:dyDescent="0.3">
      <c r="CY18372" s="34" t="s">
        <v>19299</v>
      </c>
      <c r="CZ18372" s="35">
        <v>3.9973897500000001E-2</v>
      </c>
    </row>
    <row r="18373" spans="103:104" x14ac:dyDescent="0.3">
      <c r="CY18373" s="34" t="s">
        <v>19300</v>
      </c>
      <c r="CZ18373" s="35">
        <v>2.9611386600000001E-2</v>
      </c>
    </row>
    <row r="18374" spans="103:104" x14ac:dyDescent="0.3">
      <c r="CY18374" s="34" t="s">
        <v>19301</v>
      </c>
      <c r="CZ18374" s="35">
        <v>5.8265380000000006E-2</v>
      </c>
    </row>
    <row r="18375" spans="103:104" x14ac:dyDescent="0.3">
      <c r="CY18375" s="34" t="s">
        <v>19302</v>
      </c>
      <c r="CZ18375" s="35">
        <v>3.6175779999999998E-2</v>
      </c>
    </row>
    <row r="18376" spans="103:104" x14ac:dyDescent="0.3">
      <c r="CY18376" s="34" t="s">
        <v>19303</v>
      </c>
      <c r="CZ18376" s="35">
        <v>9.6369437300000013E-2</v>
      </c>
    </row>
    <row r="18377" spans="103:104" x14ac:dyDescent="0.3">
      <c r="CY18377" s="34" t="s">
        <v>19304</v>
      </c>
      <c r="CZ18377" s="35">
        <v>4.9642121666666664E-2</v>
      </c>
    </row>
    <row r="18378" spans="103:104" x14ac:dyDescent="0.3">
      <c r="CY18378" s="34" t="s">
        <v>19305</v>
      </c>
      <c r="CZ18378" s="35">
        <v>4.2057610000000002E-2</v>
      </c>
    </row>
    <row r="18379" spans="103:104" x14ac:dyDescent="0.3">
      <c r="CY18379" s="34" t="s">
        <v>19306</v>
      </c>
      <c r="CZ18379" s="35">
        <v>3.3615271000000009E-2</v>
      </c>
    </row>
    <row r="18380" spans="103:104" x14ac:dyDescent="0.3">
      <c r="CY18380" s="34" t="s">
        <v>19307</v>
      </c>
      <c r="CZ18380" s="35">
        <v>1.09408084E-2</v>
      </c>
    </row>
    <row r="18381" spans="103:104" x14ac:dyDescent="0.3">
      <c r="CY18381" s="34" t="s">
        <v>19308</v>
      </c>
      <c r="CZ18381" s="35">
        <v>9.2004730000000024E-3</v>
      </c>
    </row>
    <row r="18382" spans="103:104" x14ac:dyDescent="0.3">
      <c r="CY18382" s="34" t="s">
        <v>19309</v>
      </c>
      <c r="CZ18382" s="35">
        <v>9.200472888888889E-3</v>
      </c>
    </row>
    <row r="18383" spans="103:104" x14ac:dyDescent="0.3">
      <c r="CY18383" s="34" t="s">
        <v>19310</v>
      </c>
      <c r="CZ18383" s="35">
        <v>2.2553360000000001E-2</v>
      </c>
    </row>
    <row r="18384" spans="103:104" x14ac:dyDescent="0.3">
      <c r="CY18384" s="34" t="s">
        <v>19311</v>
      </c>
      <c r="CZ18384" s="35">
        <v>4.9095648000000002E-3</v>
      </c>
    </row>
    <row r="18385" spans="103:104" x14ac:dyDescent="0.3">
      <c r="CY18385" s="34" t="s">
        <v>19312</v>
      </c>
      <c r="CZ18385" s="35">
        <v>4.9095648000000002E-3</v>
      </c>
    </row>
    <row r="18386" spans="103:104" x14ac:dyDescent="0.3">
      <c r="CY18386" s="34" t="s">
        <v>19313</v>
      </c>
      <c r="CZ18386" s="35">
        <v>6.6756139999999992E-2</v>
      </c>
    </row>
    <row r="18387" spans="103:104" x14ac:dyDescent="0.3">
      <c r="CY18387" s="34" t="s">
        <v>19314</v>
      </c>
      <c r="CZ18387" s="35">
        <v>7.738007999999999E-2</v>
      </c>
    </row>
    <row r="18388" spans="103:104" x14ac:dyDescent="0.3">
      <c r="CY18388" s="34" t="s">
        <v>19315</v>
      </c>
      <c r="CZ18388" s="35">
        <v>6.6500639999999986E-2</v>
      </c>
    </row>
    <row r="18389" spans="103:104" x14ac:dyDescent="0.3">
      <c r="CY18389" s="34" t="s">
        <v>19316</v>
      </c>
      <c r="CZ18389" s="35">
        <v>8.8259519999999994E-2</v>
      </c>
    </row>
    <row r="18390" spans="103:104" x14ac:dyDescent="0.3">
      <c r="CY18390" s="34" t="s">
        <v>19317</v>
      </c>
      <c r="CZ18390" s="35">
        <v>8.1006559999999991E-2</v>
      </c>
    </row>
    <row r="18391" spans="103:104" x14ac:dyDescent="0.3">
      <c r="CY18391" s="34" t="s">
        <v>19318</v>
      </c>
      <c r="CZ18391" s="35">
        <v>3.2907659999999998E-2</v>
      </c>
    </row>
    <row r="18392" spans="103:104" x14ac:dyDescent="0.3">
      <c r="CY18392" s="34" t="s">
        <v>19319</v>
      </c>
      <c r="CZ18392" s="35">
        <v>1.7489182689818028E-2</v>
      </c>
    </row>
    <row r="18393" spans="103:104" x14ac:dyDescent="0.3">
      <c r="CY18393" s="34" t="s">
        <v>19320</v>
      </c>
      <c r="CZ18393" s="35">
        <v>1.3085697889613487E-2</v>
      </c>
    </row>
    <row r="18394" spans="103:104" x14ac:dyDescent="0.3">
      <c r="CY18394" s="34" t="s">
        <v>19321</v>
      </c>
      <c r="CZ18394" s="35">
        <v>1.4540445799999999E-2</v>
      </c>
    </row>
    <row r="18395" spans="103:104" x14ac:dyDescent="0.3">
      <c r="CY18395" s="34" t="s">
        <v>19322</v>
      </c>
      <c r="CZ18395" s="35">
        <v>1.4677725800000001E-2</v>
      </c>
    </row>
    <row r="18396" spans="103:104" x14ac:dyDescent="0.3">
      <c r="CY18396" s="34" t="s">
        <v>19323</v>
      </c>
      <c r="CZ18396" s="35">
        <v>0.35178379999999998</v>
      </c>
    </row>
    <row r="18397" spans="103:104" x14ac:dyDescent="0.3">
      <c r="CY18397" s="34" t="s">
        <v>19324</v>
      </c>
      <c r="CZ18397" s="35">
        <v>0.448942493</v>
      </c>
    </row>
    <row r="18398" spans="103:104" x14ac:dyDescent="0.3">
      <c r="CY18398" s="34" t="s">
        <v>19325</v>
      </c>
      <c r="CZ18398" s="35">
        <v>1.6653013328571428E-2</v>
      </c>
    </row>
    <row r="18399" spans="103:104" x14ac:dyDescent="0.3">
      <c r="CY18399" s="34" t="s">
        <v>19326</v>
      </c>
      <c r="CZ18399" s="35">
        <v>6.5516559999999988E-2</v>
      </c>
    </row>
    <row r="18400" spans="103:104" x14ac:dyDescent="0.3">
      <c r="CY18400" s="34" t="s">
        <v>19327</v>
      </c>
      <c r="CZ18400" s="35">
        <v>3.2601519999999995E-2</v>
      </c>
    </row>
    <row r="18401" spans="103:104" x14ac:dyDescent="0.3">
      <c r="CY18401" s="34" t="s">
        <v>19328</v>
      </c>
      <c r="CZ18401" s="35">
        <v>0.14978413599999998</v>
      </c>
    </row>
    <row r="18402" spans="103:104" x14ac:dyDescent="0.3">
      <c r="CY18402" s="34" t="s">
        <v>19329</v>
      </c>
      <c r="CZ18402" s="35">
        <v>7.6542600000000016E-2</v>
      </c>
    </row>
    <row r="18403" spans="103:104" x14ac:dyDescent="0.3">
      <c r="CY18403" s="34" t="s">
        <v>19330</v>
      </c>
      <c r="CZ18403" s="35">
        <v>5.1266440000000003E-2</v>
      </c>
    </row>
    <row r="18404" spans="103:104" x14ac:dyDescent="0.3">
      <c r="CY18404" s="34" t="s">
        <v>19331</v>
      </c>
      <c r="CZ18404" s="35">
        <v>2.4519744E-2</v>
      </c>
    </row>
    <row r="18405" spans="103:104" x14ac:dyDescent="0.3">
      <c r="CY18405" s="34" t="s">
        <v>19332</v>
      </c>
      <c r="CZ18405" s="35">
        <v>5.4089260000000005E-3</v>
      </c>
    </row>
    <row r="18406" spans="103:104" x14ac:dyDescent="0.3">
      <c r="CY18406" s="34" t="s">
        <v>19333</v>
      </c>
      <c r="CZ18406" s="35">
        <v>1.4934133333333335E-3</v>
      </c>
    </row>
    <row r="18407" spans="103:104" x14ac:dyDescent="0.3">
      <c r="CY18407" s="34" t="s">
        <v>19334</v>
      </c>
      <c r="CZ18407" s="35">
        <v>0.89251924999999999</v>
      </c>
    </row>
    <row r="18408" spans="103:104" x14ac:dyDescent="0.3">
      <c r="CY18408" s="34" t="s">
        <v>19335</v>
      </c>
      <c r="CZ18408" s="35">
        <v>1.70861889E-2</v>
      </c>
    </row>
    <row r="18409" spans="103:104" x14ac:dyDescent="0.3">
      <c r="CY18409" s="34" t="s">
        <v>19336</v>
      </c>
      <c r="CZ18409" s="35">
        <v>62.279275299999995</v>
      </c>
    </row>
    <row r="18410" spans="103:104" x14ac:dyDescent="0.3">
      <c r="CY18410" s="34" t="s">
        <v>19337</v>
      </c>
      <c r="CZ18410" s="35">
        <v>0.27364479999999997</v>
      </c>
    </row>
    <row r="18411" spans="103:104" x14ac:dyDescent="0.3">
      <c r="CY18411" s="34" t="s">
        <v>19338</v>
      </c>
      <c r="CZ18411" s="35">
        <v>0.35451369999999999</v>
      </c>
    </row>
    <row r="18412" spans="103:104" x14ac:dyDescent="0.3">
      <c r="CY18412" s="34" t="s">
        <v>19339</v>
      </c>
      <c r="CZ18412" s="35">
        <v>0.27890719999999997</v>
      </c>
    </row>
    <row r="18413" spans="103:104" x14ac:dyDescent="0.3">
      <c r="CY18413" s="34" t="s">
        <v>19340</v>
      </c>
      <c r="CZ18413" s="35">
        <v>0.35451369999999993</v>
      </c>
    </row>
    <row r="18414" spans="103:104" x14ac:dyDescent="0.3">
      <c r="CY18414" s="34" t="s">
        <v>19341</v>
      </c>
      <c r="CZ18414" s="35">
        <v>0.34207529999999997</v>
      </c>
    </row>
    <row r="18415" spans="103:104" x14ac:dyDescent="0.3">
      <c r="CY18415" s="34" t="s">
        <v>19342</v>
      </c>
      <c r="CZ18415" s="35">
        <v>0.34305663331999992</v>
      </c>
    </row>
    <row r="18416" spans="103:104" x14ac:dyDescent="0.3">
      <c r="CY18416" s="34" t="s">
        <v>19343</v>
      </c>
      <c r="CZ18416" s="35">
        <v>3.1890666659999997E-2</v>
      </c>
    </row>
    <row r="18417" spans="103:104" x14ac:dyDescent="0.3">
      <c r="CY18417" s="34" t="s">
        <v>19344</v>
      </c>
      <c r="CZ18417" s="35">
        <v>3.149066666E-2</v>
      </c>
    </row>
    <row r="18418" spans="103:104" x14ac:dyDescent="0.3">
      <c r="CY18418" s="34" t="s">
        <v>19345</v>
      </c>
      <c r="CZ18418" s="35">
        <v>0.28908779999999995</v>
      </c>
    </row>
    <row r="18419" spans="103:104" x14ac:dyDescent="0.3">
      <c r="CY18419" s="34" t="s">
        <v>19346</v>
      </c>
      <c r="CZ18419" s="35">
        <v>0.34225663331999995</v>
      </c>
    </row>
    <row r="18420" spans="103:104" x14ac:dyDescent="0.3">
      <c r="CY18420" s="34" t="s">
        <v>19347</v>
      </c>
      <c r="CZ18420" s="35">
        <v>3.149066666E-2</v>
      </c>
    </row>
    <row r="18421" spans="103:104" x14ac:dyDescent="0.3">
      <c r="CY18421" s="34" t="s">
        <v>19348</v>
      </c>
      <c r="CZ18421" s="35">
        <v>62.148812320000005</v>
      </c>
    </row>
    <row r="18422" spans="103:104" x14ac:dyDescent="0.3">
      <c r="CY18422" s="34" t="s">
        <v>19349</v>
      </c>
      <c r="CZ18422" s="35">
        <v>0.14051232</v>
      </c>
    </row>
    <row r="18423" spans="103:104" x14ac:dyDescent="0.3">
      <c r="CY18423" s="34" t="s">
        <v>19350</v>
      </c>
      <c r="CZ18423" s="35">
        <v>62.151414399999993</v>
      </c>
    </row>
    <row r="18424" spans="103:104" x14ac:dyDescent="0.3">
      <c r="CY18424" s="34" t="s">
        <v>19351</v>
      </c>
      <c r="CZ18424" s="35">
        <v>0.1514144</v>
      </c>
    </row>
    <row r="18425" spans="103:104" x14ac:dyDescent="0.3">
      <c r="CY18425" s="34" t="s">
        <v>19352</v>
      </c>
      <c r="CZ18425" s="35">
        <v>0.30575825000000001</v>
      </c>
    </row>
    <row r="18426" spans="103:104" x14ac:dyDescent="0.3">
      <c r="CY18426" s="34" t="s">
        <v>19353</v>
      </c>
      <c r="CZ18426" s="35">
        <v>0.24175825000000001</v>
      </c>
    </row>
    <row r="18427" spans="103:104" x14ac:dyDescent="0.3">
      <c r="CY18427" s="34" t="s">
        <v>19354</v>
      </c>
      <c r="CZ18427" s="35">
        <v>0.30575825000000001</v>
      </c>
    </row>
    <row r="18428" spans="103:104" x14ac:dyDescent="0.3">
      <c r="CY18428" s="34" t="s">
        <v>19355</v>
      </c>
      <c r="CZ18428" s="35">
        <v>1.4847702400000001E-2</v>
      </c>
    </row>
    <row r="18429" spans="103:104" x14ac:dyDescent="0.3">
      <c r="CY18429" s="34" t="s">
        <v>19356</v>
      </c>
      <c r="CZ18429" s="35">
        <v>1.4943702400000002E-2</v>
      </c>
    </row>
    <row r="18430" spans="103:104" x14ac:dyDescent="0.3">
      <c r="CY18430" s="34" t="s">
        <v>19357</v>
      </c>
      <c r="CZ18430" s="35">
        <v>3.6869086666666663E-3</v>
      </c>
    </row>
    <row r="18431" spans="103:104" x14ac:dyDescent="0.3">
      <c r="CY18431" s="34" t="s">
        <v>19358</v>
      </c>
      <c r="CZ18431" s="35">
        <v>1.9301049999999997E-3</v>
      </c>
    </row>
    <row r="18432" spans="103:104" x14ac:dyDescent="0.3">
      <c r="CY18432" s="34" t="s">
        <v>19359</v>
      </c>
      <c r="CZ18432" s="35">
        <v>2.4988599999999994E-3</v>
      </c>
    </row>
    <row r="18433" spans="103:104" x14ac:dyDescent="0.3">
      <c r="CY18433" s="34" t="s">
        <v>19360</v>
      </c>
      <c r="CZ18433" s="35">
        <v>1.2342199999999998E-3</v>
      </c>
    </row>
    <row r="18434" spans="103:104" x14ac:dyDescent="0.3">
      <c r="CY18434" s="34" t="s">
        <v>19361</v>
      </c>
      <c r="CZ18434" s="35">
        <v>2.8900663999999999E-3</v>
      </c>
    </row>
    <row r="18435" spans="103:104" x14ac:dyDescent="0.3">
      <c r="CY18435" s="34" t="s">
        <v>19362</v>
      </c>
      <c r="CZ18435" s="35">
        <v>2.4283299999999994E-3</v>
      </c>
    </row>
    <row r="18436" spans="103:104" x14ac:dyDescent="0.3">
      <c r="CY18436" s="34" t="s">
        <v>19363</v>
      </c>
      <c r="CZ18436" s="35">
        <v>1.7367168000000002E-3</v>
      </c>
    </row>
    <row r="18437" spans="103:104" x14ac:dyDescent="0.3">
      <c r="CY18437" s="34" t="s">
        <v>19364</v>
      </c>
      <c r="CZ18437" s="35">
        <v>2.8052483725000001E-2</v>
      </c>
    </row>
    <row r="18438" spans="103:104" x14ac:dyDescent="0.3">
      <c r="CY18438" s="34" t="s">
        <v>19365</v>
      </c>
      <c r="CZ18438" s="35">
        <v>2.1789266666666664E-2</v>
      </c>
    </row>
    <row r="18439" spans="103:104" x14ac:dyDescent="0.3">
      <c r="CY18439" s="34" t="s">
        <v>19366</v>
      </c>
      <c r="CZ18439" s="35">
        <v>3.4766691764705884E-2</v>
      </c>
    </row>
    <row r="18440" spans="103:104" x14ac:dyDescent="0.3">
      <c r="CY18440" s="34" t="s">
        <v>19367</v>
      </c>
      <c r="CZ18440" s="35">
        <v>3.4781145541176471E-2</v>
      </c>
    </row>
    <row r="18441" spans="103:104" x14ac:dyDescent="0.3">
      <c r="CY18441" s="34" t="s">
        <v>19368</v>
      </c>
      <c r="CZ18441" s="35">
        <v>3.4817279999999999E-2</v>
      </c>
    </row>
    <row r="18442" spans="103:104" x14ac:dyDescent="0.3">
      <c r="CY18442" s="34" t="s">
        <v>19369</v>
      </c>
      <c r="CZ18442" s="35">
        <v>3.3253973333333332E-2</v>
      </c>
    </row>
    <row r="18443" spans="103:104" x14ac:dyDescent="0.3">
      <c r="CY18443" s="34" t="s">
        <v>19370</v>
      </c>
      <c r="CZ18443" s="35">
        <v>3.8585160960000003E-3</v>
      </c>
    </row>
    <row r="18444" spans="103:104" x14ac:dyDescent="0.3">
      <c r="CY18444" s="34" t="s">
        <v>19371</v>
      </c>
      <c r="CZ18444" s="35">
        <v>6.062747368421053E-2</v>
      </c>
    </row>
    <row r="18445" spans="103:104" x14ac:dyDescent="0.3">
      <c r="CY18445" s="34" t="s">
        <v>19372</v>
      </c>
      <c r="CZ18445" s="35">
        <v>0.15906880000000001</v>
      </c>
    </row>
    <row r="18446" spans="103:104" x14ac:dyDescent="0.3">
      <c r="CY18446" s="34" t="s">
        <v>19373</v>
      </c>
      <c r="CZ18446" s="35">
        <v>0.14918176</v>
      </c>
    </row>
    <row r="18447" spans="103:104" x14ac:dyDescent="0.3">
      <c r="CY18447" s="34" t="s">
        <v>19374</v>
      </c>
      <c r="CZ18447" s="35">
        <v>7.5670320000000013E-2</v>
      </c>
    </row>
    <row r="18448" spans="103:104" x14ac:dyDescent="0.3">
      <c r="CY18448" s="34" t="s">
        <v>19375</v>
      </c>
      <c r="CZ18448" s="35">
        <v>7.2210320000000008E-2</v>
      </c>
    </row>
    <row r="18449" spans="103:104" x14ac:dyDescent="0.3">
      <c r="CY18449" s="34" t="s">
        <v>19376</v>
      </c>
      <c r="CZ18449" s="35">
        <v>5.3435650000000001E-2</v>
      </c>
    </row>
    <row r="18450" spans="103:104" x14ac:dyDescent="0.3">
      <c r="CY18450" s="34" t="s">
        <v>19377</v>
      </c>
      <c r="CZ18450" s="35">
        <v>8.1634480000000002E-3</v>
      </c>
    </row>
    <row r="18451" spans="103:104" x14ac:dyDescent="0.3">
      <c r="CY18451" s="34" t="s">
        <v>19378</v>
      </c>
      <c r="CZ18451" s="35">
        <v>1.846194E-2</v>
      </c>
    </row>
    <row r="18452" spans="103:104" x14ac:dyDescent="0.3">
      <c r="CY18452" s="34" t="s">
        <v>19379</v>
      </c>
      <c r="CZ18452" s="35">
        <v>3.9855914999999999E-2</v>
      </c>
    </row>
    <row r="18453" spans="103:104" x14ac:dyDescent="0.3">
      <c r="CY18453" s="34" t="s">
        <v>19380</v>
      </c>
      <c r="CZ18453" s="35">
        <v>3.9559307000000002E-2</v>
      </c>
    </row>
    <row r="18454" spans="103:104" x14ac:dyDescent="0.3">
      <c r="CY18454" s="34" t="s">
        <v>19381</v>
      </c>
      <c r="CZ18454" s="35">
        <v>1.1217312E-3</v>
      </c>
    </row>
    <row r="18455" spans="103:104" x14ac:dyDescent="0.3">
      <c r="CY18455" s="34" t="s">
        <v>19382</v>
      </c>
      <c r="CZ18455" s="35">
        <v>1.1217312E-3</v>
      </c>
    </row>
    <row r="18456" spans="103:104" x14ac:dyDescent="0.3">
      <c r="CY18456" s="34" t="s">
        <v>19383</v>
      </c>
      <c r="CZ18456" s="35">
        <v>1.3021024799999999E-3</v>
      </c>
    </row>
    <row r="18457" spans="103:104" x14ac:dyDescent="0.3">
      <c r="CY18457" s="34" t="s">
        <v>19384</v>
      </c>
      <c r="CZ18457" s="35">
        <v>1.4973341333333332E-3</v>
      </c>
    </row>
    <row r="18458" spans="103:104" x14ac:dyDescent="0.3">
      <c r="CY18458" s="34" t="s">
        <v>19385</v>
      </c>
      <c r="CZ18458" s="35">
        <v>9.6353347999999991E-3</v>
      </c>
    </row>
    <row r="18459" spans="103:104" x14ac:dyDescent="0.3">
      <c r="CY18459" s="34" t="s">
        <v>19386</v>
      </c>
      <c r="CZ18459" s="35">
        <v>1.8481304E-2</v>
      </c>
    </row>
    <row r="18460" spans="103:104" x14ac:dyDescent="0.3">
      <c r="CY18460" s="34" t="s">
        <v>19387</v>
      </c>
      <c r="CZ18460" s="35">
        <v>1.8481304E-2</v>
      </c>
    </row>
    <row r="18461" spans="103:104" x14ac:dyDescent="0.3">
      <c r="CY18461" s="34" t="s">
        <v>19388</v>
      </c>
      <c r="CZ18461" s="35">
        <v>8.5511920000000009E-3</v>
      </c>
    </row>
    <row r="18462" spans="103:104" x14ac:dyDescent="0.3">
      <c r="CY18462" s="34" t="s">
        <v>19389</v>
      </c>
      <c r="CZ18462" s="35">
        <v>2.2003592000000002E-2</v>
      </c>
    </row>
    <row r="18463" spans="103:104" x14ac:dyDescent="0.3">
      <c r="CY18463" s="34" t="s">
        <v>19390</v>
      </c>
      <c r="CZ18463" s="35">
        <v>4.0733983999999994E-2</v>
      </c>
    </row>
    <row r="18464" spans="103:104" x14ac:dyDescent="0.3">
      <c r="CY18464" s="34" t="s">
        <v>19391</v>
      </c>
      <c r="CZ18464" s="35">
        <v>6.9460559999999991E-3</v>
      </c>
    </row>
    <row r="18465" spans="103:104" x14ac:dyDescent="0.3">
      <c r="CY18465" s="34" t="s">
        <v>19392</v>
      </c>
      <c r="CZ18465" s="35">
        <v>1.9237397894736847E-2</v>
      </c>
    </row>
    <row r="18466" spans="103:104" x14ac:dyDescent="0.3">
      <c r="CY18466" s="34" t="s">
        <v>19393</v>
      </c>
      <c r="CZ18466" s="35">
        <v>5.606933894736843E-2</v>
      </c>
    </row>
    <row r="18467" spans="103:104" x14ac:dyDescent="0.3">
      <c r="CY18467" s="34" t="s">
        <v>19394</v>
      </c>
      <c r="CZ18467" s="35">
        <v>2.4737160000000004E-3</v>
      </c>
    </row>
    <row r="18468" spans="103:104" x14ac:dyDescent="0.3">
      <c r="CY18468" s="34" t="s">
        <v>19395</v>
      </c>
      <c r="CZ18468" s="35">
        <v>7.3404615384615383E-4</v>
      </c>
    </row>
    <row r="18469" spans="103:104" x14ac:dyDescent="0.3">
      <c r="CY18469" s="34" t="s">
        <v>19396</v>
      </c>
      <c r="CZ18469" s="35">
        <v>4.8341719999999994E-3</v>
      </c>
    </row>
    <row r="18470" spans="103:104" x14ac:dyDescent="0.3">
      <c r="CY18470" s="34" t="s">
        <v>19397</v>
      </c>
      <c r="CZ18470" s="35">
        <v>0.82622333339999998</v>
      </c>
    </row>
    <row r="18471" spans="103:104" x14ac:dyDescent="0.3">
      <c r="CY18471" s="34" t="s">
        <v>19398</v>
      </c>
      <c r="CZ18471" s="35">
        <v>0.34161055559999998</v>
      </c>
    </row>
    <row r="18472" spans="103:104" x14ac:dyDescent="0.3">
      <c r="CY18472" s="34" t="s">
        <v>19399</v>
      </c>
      <c r="CZ18472" s="35">
        <v>0.13682708333339999</v>
      </c>
    </row>
    <row r="18473" spans="103:104" x14ac:dyDescent="0.3">
      <c r="CY18473" s="34" t="s">
        <v>19400</v>
      </c>
      <c r="CZ18473" s="35">
        <v>0.1150096666</v>
      </c>
    </row>
    <row r="18474" spans="103:104" x14ac:dyDescent="0.3">
      <c r="CY18474" s="34" t="s">
        <v>19401</v>
      </c>
      <c r="CZ18474" s="35">
        <v>4.4115866700000003E-3</v>
      </c>
    </row>
    <row r="18475" spans="103:104" x14ac:dyDescent="0.3">
      <c r="CY18475" s="34" t="s">
        <v>19402</v>
      </c>
      <c r="CZ18475" s="35">
        <v>8.5444500000000007E-2</v>
      </c>
    </row>
    <row r="18476" spans="103:104" x14ac:dyDescent="0.3">
      <c r="CY18476" s="34" t="s">
        <v>19403</v>
      </c>
      <c r="CZ18476" s="35">
        <v>3.8583800000000001E-2</v>
      </c>
    </row>
    <row r="18477" spans="103:104" x14ac:dyDescent="0.3">
      <c r="CY18477" s="34" t="s">
        <v>19404</v>
      </c>
      <c r="CZ18477" s="35">
        <v>3.7977839999999998E-3</v>
      </c>
    </row>
    <row r="18478" spans="103:104" x14ac:dyDescent="0.3">
      <c r="CY18478" s="34" t="s">
        <v>19405</v>
      </c>
      <c r="CZ18478" s="35">
        <v>8.6500000000000002E-5</v>
      </c>
    </row>
    <row r="18479" spans="103:104" x14ac:dyDescent="0.3">
      <c r="CY18479" s="34" t="s">
        <v>19406</v>
      </c>
      <c r="CZ18479" s="35">
        <v>8.6500000000000002E-5</v>
      </c>
    </row>
    <row r="18480" spans="103:104" x14ac:dyDescent="0.3">
      <c r="CY18480" s="34" t="s">
        <v>19407</v>
      </c>
      <c r="CZ18480" s="35">
        <v>8.6500000000000002E-5</v>
      </c>
    </row>
    <row r="18481" spans="103:104" x14ac:dyDescent="0.3">
      <c r="CY18481" s="34" t="s">
        <v>19408</v>
      </c>
      <c r="CZ18481" s="35">
        <v>8.6500000000000002E-5</v>
      </c>
    </row>
    <row r="18482" spans="103:104" x14ac:dyDescent="0.3">
      <c r="CY18482" s="34" t="s">
        <v>19409</v>
      </c>
      <c r="CZ18482" s="35">
        <v>1.73E-4</v>
      </c>
    </row>
    <row r="18483" spans="103:104" x14ac:dyDescent="0.3">
      <c r="CY18483" s="34" t="s">
        <v>19410</v>
      </c>
      <c r="CZ18483" s="35">
        <v>4.5571419999999994E-2</v>
      </c>
    </row>
    <row r="18484" spans="103:104" x14ac:dyDescent="0.3">
      <c r="CY18484" s="34" t="s">
        <v>19411</v>
      </c>
      <c r="CZ18484" s="35">
        <v>2.2350252955844158E-2</v>
      </c>
    </row>
    <row r="18485" spans="103:104" x14ac:dyDescent="0.3">
      <c r="CY18485" s="34" t="s">
        <v>19412</v>
      </c>
      <c r="CZ18485" s="35">
        <v>2.2402397066666666E-2</v>
      </c>
    </row>
    <row r="18486" spans="103:104" x14ac:dyDescent="0.3">
      <c r="CY18486" s="34" t="s">
        <v>19413</v>
      </c>
      <c r="CZ18486" s="35">
        <v>2.40345509E-2</v>
      </c>
    </row>
    <row r="18487" spans="103:104" x14ac:dyDescent="0.3">
      <c r="CY18487" s="34" t="s">
        <v>19414</v>
      </c>
      <c r="CZ18487" s="35">
        <v>2.3208906666666664E-2</v>
      </c>
    </row>
    <row r="18488" spans="103:104" x14ac:dyDescent="0.3">
      <c r="CY18488" s="34" t="s">
        <v>19415</v>
      </c>
      <c r="CZ18488" s="35">
        <v>1.9470745725000002E-2</v>
      </c>
    </row>
    <row r="18489" spans="103:104" x14ac:dyDescent="0.3">
      <c r="CY18489" s="34" t="s">
        <v>19416</v>
      </c>
      <c r="CZ18489" s="35">
        <v>1.5122440000000001E-2</v>
      </c>
    </row>
    <row r="18490" spans="103:104" x14ac:dyDescent="0.3">
      <c r="CY18490" s="34" t="s">
        <v>19417</v>
      </c>
      <c r="CZ18490" s="35">
        <v>1.11175136E-2</v>
      </c>
    </row>
    <row r="18491" spans="103:104" x14ac:dyDescent="0.3">
      <c r="CY18491" s="34" t="s">
        <v>19418</v>
      </c>
      <c r="CZ18491" s="35">
        <v>2.4377360000000002E-3</v>
      </c>
    </row>
    <row r="18492" spans="103:104" x14ac:dyDescent="0.3">
      <c r="CY18492" s="34" t="s">
        <v>19419</v>
      </c>
      <c r="CZ18492" s="35">
        <v>3.9169840000000004E-2</v>
      </c>
    </row>
    <row r="18493" spans="103:104" x14ac:dyDescent="0.3">
      <c r="CY18493" s="34" t="s">
        <v>19420</v>
      </c>
      <c r="CZ18493" s="35">
        <v>0.26514170000000004</v>
      </c>
    </row>
    <row r="18494" spans="103:104" x14ac:dyDescent="0.3">
      <c r="CY18494" s="34" t="s">
        <v>19421</v>
      </c>
      <c r="CZ18494" s="35">
        <v>4.0849799999999999E-2</v>
      </c>
    </row>
    <row r="18495" spans="103:104" x14ac:dyDescent="0.3">
      <c r="CY18495" s="34" t="s">
        <v>19422</v>
      </c>
      <c r="CZ18495" s="35">
        <v>7.7984267142857153E-2</v>
      </c>
    </row>
    <row r="18496" spans="103:104" x14ac:dyDescent="0.3">
      <c r="CY18496" s="34" t="s">
        <v>19423</v>
      </c>
      <c r="CZ18496" s="35">
        <v>0.12133748000000001</v>
      </c>
    </row>
    <row r="18497" spans="103:104" x14ac:dyDescent="0.3">
      <c r="CY18497" s="34" t="s">
        <v>19424</v>
      </c>
      <c r="CZ18497" s="35">
        <v>7.798426700000001E-2</v>
      </c>
    </row>
    <row r="18498" spans="103:104" x14ac:dyDescent="0.3">
      <c r="CY18498" s="34" t="s">
        <v>19425</v>
      </c>
      <c r="CZ18498" s="35">
        <v>9.0622346749999985E-2</v>
      </c>
    </row>
    <row r="18499" spans="103:104" x14ac:dyDescent="0.3">
      <c r="CY18499" s="34" t="s">
        <v>19426</v>
      </c>
      <c r="CZ18499" s="35">
        <v>5.8488199999999997E-2</v>
      </c>
    </row>
    <row r="18500" spans="103:104" x14ac:dyDescent="0.3">
      <c r="CY18500" s="34" t="s">
        <v>19427</v>
      </c>
      <c r="CZ18500" s="35">
        <v>1.2332575E-2</v>
      </c>
    </row>
    <row r="18501" spans="103:104" x14ac:dyDescent="0.3">
      <c r="CY18501" s="34" t="s">
        <v>19428</v>
      </c>
      <c r="CZ18501" s="35">
        <v>1.5572312E-2</v>
      </c>
    </row>
    <row r="18502" spans="103:104" x14ac:dyDescent="0.3">
      <c r="CY18502" s="34" t="s">
        <v>19429</v>
      </c>
      <c r="CZ18502" s="35">
        <v>1.5572311999999998E-2</v>
      </c>
    </row>
    <row r="18503" spans="103:104" x14ac:dyDescent="0.3">
      <c r="CY18503" s="34" t="s">
        <v>19430</v>
      </c>
      <c r="CZ18503" s="35">
        <v>1.5978992000000001E-2</v>
      </c>
    </row>
    <row r="18504" spans="103:104" x14ac:dyDescent="0.3">
      <c r="CY18504" s="34" t="s">
        <v>19431</v>
      </c>
      <c r="CZ18504" s="35">
        <v>1.5978992000000001E-2</v>
      </c>
    </row>
    <row r="18505" spans="103:104" x14ac:dyDescent="0.3">
      <c r="CY18505" s="34" t="s">
        <v>19432</v>
      </c>
      <c r="CZ18505" s="35">
        <v>9.0197119999999974E-3</v>
      </c>
    </row>
    <row r="18506" spans="103:104" x14ac:dyDescent="0.3">
      <c r="CY18506" s="34" t="s">
        <v>19433</v>
      </c>
      <c r="CZ18506" s="35">
        <v>9.0197119999999974E-3</v>
      </c>
    </row>
    <row r="18507" spans="103:104" x14ac:dyDescent="0.3">
      <c r="CY18507" s="34" t="s">
        <v>19434</v>
      </c>
      <c r="CZ18507" s="35">
        <v>1.1850541333333332E-2</v>
      </c>
    </row>
    <row r="18508" spans="103:104" x14ac:dyDescent="0.3">
      <c r="CY18508" s="34" t="s">
        <v>19435</v>
      </c>
      <c r="CZ18508" s="35">
        <v>1.1850541333333332E-2</v>
      </c>
    </row>
    <row r="18509" spans="103:104" x14ac:dyDescent="0.3">
      <c r="CY18509" s="34" t="s">
        <v>19436</v>
      </c>
      <c r="CZ18509" s="35">
        <v>1.8113896000000004E-2</v>
      </c>
    </row>
    <row r="18510" spans="103:104" x14ac:dyDescent="0.3">
      <c r="CY18510" s="34" t="s">
        <v>19437</v>
      </c>
      <c r="CZ18510" s="35">
        <v>1.8113896000000004E-2</v>
      </c>
    </row>
    <row r="18511" spans="103:104" x14ac:dyDescent="0.3">
      <c r="CY18511" s="34" t="s">
        <v>19438</v>
      </c>
      <c r="CZ18511" s="35">
        <v>1.14319808E-2</v>
      </c>
    </row>
    <row r="18512" spans="103:104" x14ac:dyDescent="0.3">
      <c r="CY18512" s="34" t="s">
        <v>19439</v>
      </c>
      <c r="CZ18512" s="35">
        <v>1.14319808E-2</v>
      </c>
    </row>
    <row r="18513" spans="103:104" x14ac:dyDescent="0.3">
      <c r="CY18513" s="34" t="s">
        <v>19440</v>
      </c>
      <c r="CZ18513" s="35">
        <v>2.0031324000000001E-3</v>
      </c>
    </row>
    <row r="18514" spans="103:104" x14ac:dyDescent="0.3">
      <c r="CY18514" s="34" t="s">
        <v>19441</v>
      </c>
      <c r="CZ18514" s="35">
        <v>2.0031324000000001E-3</v>
      </c>
    </row>
    <row r="18515" spans="103:104" x14ac:dyDescent="0.3">
      <c r="CY18515" s="34" t="s">
        <v>19442</v>
      </c>
      <c r="CZ18515" s="35">
        <v>7.0853679999999999E-3</v>
      </c>
    </row>
    <row r="18516" spans="103:104" x14ac:dyDescent="0.3">
      <c r="CY18516" s="34" t="s">
        <v>19443</v>
      </c>
      <c r="CZ18516" s="35">
        <v>7.0853679999999999E-3</v>
      </c>
    </row>
    <row r="18517" spans="103:104" x14ac:dyDescent="0.3">
      <c r="CY18517" s="34" t="s">
        <v>19444</v>
      </c>
      <c r="CZ18517" s="35">
        <v>9.7468908950000002E-2</v>
      </c>
    </row>
    <row r="18518" spans="103:104" x14ac:dyDescent="0.3">
      <c r="CY18518" s="34" t="s">
        <v>19445</v>
      </c>
      <c r="CZ18518" s="35">
        <v>2.7058576000000004E-2</v>
      </c>
    </row>
    <row r="18519" spans="103:104" x14ac:dyDescent="0.3">
      <c r="CY18519" s="34" t="s">
        <v>19446</v>
      </c>
      <c r="CZ18519" s="35">
        <v>4.7926319999999998E-3</v>
      </c>
    </row>
    <row r="18520" spans="103:104" x14ac:dyDescent="0.3">
      <c r="CY18520" s="34" t="s">
        <v>19447</v>
      </c>
      <c r="CZ18520" s="35">
        <v>4.6076320000000004E-3</v>
      </c>
    </row>
    <row r="18521" spans="103:104" x14ac:dyDescent="0.3">
      <c r="CY18521" s="34" t="s">
        <v>19448</v>
      </c>
      <c r="CZ18521" s="35">
        <v>0.44997156800000004</v>
      </c>
    </row>
    <row r="18522" spans="103:104" x14ac:dyDescent="0.3">
      <c r="CY18522" s="34" t="s">
        <v>19449</v>
      </c>
      <c r="CZ18522" s="35">
        <v>2.4109143999999999E-2</v>
      </c>
    </row>
    <row r="18523" spans="103:104" x14ac:dyDescent="0.3">
      <c r="CY18523" s="34" t="s">
        <v>19450</v>
      </c>
      <c r="CZ18523" s="35">
        <v>4.5995100000000002E-3</v>
      </c>
    </row>
    <row r="18524" spans="103:104" x14ac:dyDescent="0.3">
      <c r="CY18524" s="34" t="s">
        <v>19451</v>
      </c>
      <c r="CZ18524" s="35">
        <v>4.5995100000000002E-3</v>
      </c>
    </row>
    <row r="18525" spans="103:104" x14ac:dyDescent="0.3">
      <c r="CY18525" s="34" t="s">
        <v>19452</v>
      </c>
      <c r="CZ18525" s="35">
        <v>6.4560560000000003E-2</v>
      </c>
    </row>
    <row r="18526" spans="103:104" x14ac:dyDescent="0.3">
      <c r="CY18526" s="34" t="s">
        <v>19453</v>
      </c>
      <c r="CZ18526" s="35">
        <v>0.35751906</v>
      </c>
    </row>
    <row r="18527" spans="103:104" x14ac:dyDescent="0.3">
      <c r="CY18527" s="34" t="s">
        <v>19454</v>
      </c>
      <c r="CZ18527" s="35">
        <v>0.21535331999999999</v>
      </c>
    </row>
    <row r="18528" spans="103:104" x14ac:dyDescent="0.3">
      <c r="CY18528" s="34" t="s">
        <v>19455</v>
      </c>
      <c r="CZ18528" s="35">
        <v>0.18883395999999997</v>
      </c>
    </row>
    <row r="18529" spans="103:104" x14ac:dyDescent="0.3">
      <c r="CY18529" s="34" t="s">
        <v>19456</v>
      </c>
      <c r="CZ18529" s="35">
        <v>0.13727895999999998</v>
      </c>
    </row>
    <row r="18530" spans="103:104" x14ac:dyDescent="0.3">
      <c r="CY18530" s="34" t="s">
        <v>19457</v>
      </c>
      <c r="CZ18530" s="35">
        <v>0.21043912000000001</v>
      </c>
    </row>
    <row r="18531" spans="103:104" x14ac:dyDescent="0.3">
      <c r="CY18531" s="34" t="s">
        <v>19458</v>
      </c>
      <c r="CZ18531" s="35">
        <v>0.15179412</v>
      </c>
    </row>
    <row r="18532" spans="103:104" x14ac:dyDescent="0.3">
      <c r="CY18532" s="34" t="s">
        <v>19459</v>
      </c>
      <c r="CZ18532" s="35">
        <v>0.32897120000000002</v>
      </c>
    </row>
    <row r="18533" spans="103:104" x14ac:dyDescent="0.3">
      <c r="CY18533" s="34" t="s">
        <v>19460</v>
      </c>
      <c r="CZ18533" s="35">
        <v>3.8728E-3</v>
      </c>
    </row>
    <row r="18534" spans="103:104" x14ac:dyDescent="0.3">
      <c r="CY18534" s="34" t="s">
        <v>19461</v>
      </c>
      <c r="CZ18534" s="35">
        <v>5.4836049999999999E-3</v>
      </c>
    </row>
    <row r="18535" spans="103:104" x14ac:dyDescent="0.3">
      <c r="CY18535" s="34" t="s">
        <v>19462</v>
      </c>
      <c r="CZ18535" s="35">
        <v>1.68735E-3</v>
      </c>
    </row>
    <row r="18536" spans="103:104" x14ac:dyDescent="0.3">
      <c r="CY18536" s="34" t="s">
        <v>19463</v>
      </c>
      <c r="CZ18536" s="35">
        <v>1.560285E-3</v>
      </c>
    </row>
    <row r="18537" spans="103:104" x14ac:dyDescent="0.3">
      <c r="CY18537" s="34" t="s">
        <v>19464</v>
      </c>
      <c r="CZ18537" s="35">
        <v>1.3038958999999999E-3</v>
      </c>
    </row>
    <row r="18538" spans="103:104" x14ac:dyDescent="0.3">
      <c r="CY18538" s="34" t="s">
        <v>19465</v>
      </c>
      <c r="CZ18538" s="35">
        <v>7.733525E-4</v>
      </c>
    </row>
    <row r="18539" spans="103:104" x14ac:dyDescent="0.3">
      <c r="CY18539" s="34" t="s">
        <v>19466</v>
      </c>
      <c r="CZ18539" s="35">
        <v>1.7117252000000002E-4</v>
      </c>
    </row>
    <row r="18540" spans="103:104" x14ac:dyDescent="0.3">
      <c r="CY18540" s="34" t="s">
        <v>19467</v>
      </c>
      <c r="CZ18540" s="35">
        <v>1.6848918666666668E-4</v>
      </c>
    </row>
    <row r="18541" spans="103:104" x14ac:dyDescent="0.3">
      <c r="CY18541" s="34" t="s">
        <v>19468</v>
      </c>
      <c r="CZ18541" s="35">
        <v>1.122501037037037E-3</v>
      </c>
    </row>
    <row r="18542" spans="103:104" x14ac:dyDescent="0.3">
      <c r="CY18542" s="34" t="s">
        <v>19469</v>
      </c>
      <c r="CZ18542" s="35">
        <v>5.1552131574125477E-2</v>
      </c>
    </row>
    <row r="18543" spans="103:104" x14ac:dyDescent="0.3">
      <c r="CY18543" s="34" t="s">
        <v>19470</v>
      </c>
      <c r="CZ18543" s="35">
        <v>4.8132274666666669E-3</v>
      </c>
    </row>
    <row r="18544" spans="103:104" x14ac:dyDescent="0.3">
      <c r="CY18544" s="34" t="s">
        <v>19471</v>
      </c>
      <c r="CZ18544" s="35">
        <v>0.22555760000000002</v>
      </c>
    </row>
    <row r="18545" spans="103:104" x14ac:dyDescent="0.3">
      <c r="CY18545" s="34" t="s">
        <v>19472</v>
      </c>
      <c r="CZ18545" s="35">
        <v>0.15419239999999998</v>
      </c>
    </row>
    <row r="18546" spans="103:104" x14ac:dyDescent="0.3">
      <c r="CY18546" s="34" t="s">
        <v>19473</v>
      </c>
      <c r="CZ18546" s="35">
        <v>3.3970480000000006E-3</v>
      </c>
    </row>
    <row r="18547" spans="103:104" x14ac:dyDescent="0.3">
      <c r="CY18547" s="34" t="s">
        <v>19474</v>
      </c>
      <c r="CZ18547" s="35">
        <v>0.19222297426666668</v>
      </c>
    </row>
    <row r="18548" spans="103:104" x14ac:dyDescent="0.3">
      <c r="CY18548" s="34" t="s">
        <v>19475</v>
      </c>
      <c r="CZ18548" s="35">
        <v>6.5683860000000007E-3</v>
      </c>
    </row>
    <row r="18549" spans="103:104" x14ac:dyDescent="0.3">
      <c r="CY18549" s="34" t="s">
        <v>19476</v>
      </c>
      <c r="CZ18549" s="35">
        <v>1.1313142839999998E-2</v>
      </c>
    </row>
    <row r="18550" spans="103:104" x14ac:dyDescent="0.3">
      <c r="CY18550" s="34" t="s">
        <v>19477</v>
      </c>
      <c r="CZ18550" s="35">
        <v>1.1313142839999998E-2</v>
      </c>
    </row>
    <row r="18551" spans="103:104" x14ac:dyDescent="0.3">
      <c r="CY18551" s="34" t="s">
        <v>19478</v>
      </c>
      <c r="CZ18551" s="35">
        <v>7.6225040000000004E-3</v>
      </c>
    </row>
    <row r="18552" spans="103:104" x14ac:dyDescent="0.3">
      <c r="CY18552" s="34" t="s">
        <v>19479</v>
      </c>
      <c r="CZ18552" s="35">
        <v>0.35296228571428578</v>
      </c>
    </row>
    <row r="18553" spans="103:104" x14ac:dyDescent="0.3">
      <c r="CY18553" s="34" t="s">
        <v>19480</v>
      </c>
      <c r="CZ18553" s="35">
        <v>2.0684639999999997E-2</v>
      </c>
    </row>
    <row r="18554" spans="103:104" x14ac:dyDescent="0.3">
      <c r="CY18554" s="34" t="s">
        <v>19481</v>
      </c>
      <c r="CZ18554" s="35">
        <v>2.7677599999999997E-2</v>
      </c>
    </row>
    <row r="18555" spans="103:104" x14ac:dyDescent="0.3">
      <c r="CY18555" s="34" t="s">
        <v>19482</v>
      </c>
      <c r="CZ18555" s="35">
        <v>0.46078081823498696</v>
      </c>
    </row>
    <row r="18556" spans="103:104" x14ac:dyDescent="0.3">
      <c r="CY18556" s="34" t="s">
        <v>19483</v>
      </c>
      <c r="CZ18556" s="35">
        <v>0.85988876000000003</v>
      </c>
    </row>
    <row r="18557" spans="103:104" x14ac:dyDescent="0.3">
      <c r="CY18557" s="34" t="s">
        <v>19484</v>
      </c>
      <c r="CZ18557" s="35">
        <v>0.23458215884000003</v>
      </c>
    </row>
    <row r="18558" spans="103:104" x14ac:dyDescent="0.3">
      <c r="CY18558" s="34" t="s">
        <v>19485</v>
      </c>
      <c r="CZ18558" s="35">
        <v>3.0118421333333329E-2</v>
      </c>
    </row>
    <row r="18559" spans="103:104" x14ac:dyDescent="0.3">
      <c r="CY18559" s="34" t="s">
        <v>19486</v>
      </c>
      <c r="CZ18559" s="35">
        <v>5.5651205333333328E-2</v>
      </c>
    </row>
    <row r="18560" spans="103:104" x14ac:dyDescent="0.3">
      <c r="CY18560" s="34" t="s">
        <v>19487</v>
      </c>
      <c r="CZ18560" s="35">
        <v>4.416039866666667E-2</v>
      </c>
    </row>
    <row r="18561" spans="103:104" x14ac:dyDescent="0.3">
      <c r="CY18561" s="34" t="s">
        <v>19488</v>
      </c>
      <c r="CZ18561" s="35">
        <v>3.7308825333333323E-2</v>
      </c>
    </row>
    <row r="18562" spans="103:104" x14ac:dyDescent="0.3">
      <c r="CY18562" s="34" t="s">
        <v>19489</v>
      </c>
      <c r="CZ18562" s="35">
        <v>1.7700677333333334</v>
      </c>
    </row>
    <row r="18563" spans="103:104" x14ac:dyDescent="0.3">
      <c r="CY18563" s="34" t="s">
        <v>19490</v>
      </c>
      <c r="CZ18563" s="35">
        <v>1.3939361333333331</v>
      </c>
    </row>
    <row r="18564" spans="103:104" x14ac:dyDescent="0.3">
      <c r="CY18564" s="34" t="s">
        <v>19491</v>
      </c>
      <c r="CZ18564" s="35">
        <v>0.62274079999999998</v>
      </c>
    </row>
    <row r="18565" spans="103:104" x14ac:dyDescent="0.3">
      <c r="CY18565" s="34" t="s">
        <v>19492</v>
      </c>
      <c r="CZ18565" s="35">
        <v>1.1408070400000001</v>
      </c>
    </row>
    <row r="18566" spans="103:104" x14ac:dyDescent="0.3">
      <c r="CY18566" s="34" t="s">
        <v>19493</v>
      </c>
      <c r="CZ18566" s="35">
        <v>2.1232511999999999E-2</v>
      </c>
    </row>
    <row r="18567" spans="103:104" x14ac:dyDescent="0.3">
      <c r="CY18567" s="34" t="s">
        <v>19494</v>
      </c>
      <c r="CZ18567" s="35">
        <v>1.89320893332</v>
      </c>
    </row>
    <row r="18568" spans="103:104" x14ac:dyDescent="0.3">
      <c r="CY18568" s="34" t="s">
        <v>19495</v>
      </c>
      <c r="CZ18568" s="35">
        <v>0.13598045340000001</v>
      </c>
    </row>
    <row r="18569" spans="103:104" x14ac:dyDescent="0.3">
      <c r="CY18569" s="34" t="s">
        <v>19496</v>
      </c>
      <c r="CZ18569" s="35">
        <v>0.15625591999999999</v>
      </c>
    </row>
    <row r="18570" spans="103:104" x14ac:dyDescent="0.3">
      <c r="CY18570" s="34" t="s">
        <v>19497</v>
      </c>
      <c r="CZ18570" s="35">
        <v>0.12705079999999999</v>
      </c>
    </row>
    <row r="18571" spans="103:104" x14ac:dyDescent="0.3">
      <c r="CY18571" s="34" t="s">
        <v>19498</v>
      </c>
      <c r="CZ18571" s="35">
        <v>0.19130356660000003</v>
      </c>
    </row>
    <row r="18572" spans="103:104" x14ac:dyDescent="0.3">
      <c r="CY18572" s="34" t="s">
        <v>19499</v>
      </c>
      <c r="CZ18572" s="35">
        <v>0.24876464000000001</v>
      </c>
    </row>
    <row r="18573" spans="103:104" x14ac:dyDescent="0.3">
      <c r="CY18573" s="34" t="s">
        <v>19500</v>
      </c>
      <c r="CZ18573" s="35">
        <v>0.24876463999999998</v>
      </c>
    </row>
    <row r="18574" spans="103:104" x14ac:dyDescent="0.3">
      <c r="CY18574" s="34" t="s">
        <v>19501</v>
      </c>
      <c r="CZ18574" s="35">
        <v>0.20008862660000001</v>
      </c>
    </row>
    <row r="18575" spans="103:104" x14ac:dyDescent="0.3">
      <c r="CY18575" s="34" t="s">
        <v>19502</v>
      </c>
      <c r="CZ18575" s="35">
        <v>0.27812387739999994</v>
      </c>
    </row>
    <row r="18576" spans="103:104" x14ac:dyDescent="0.3">
      <c r="CY18576" s="34" t="s">
        <v>19503</v>
      </c>
      <c r="CZ18576" s="35">
        <v>1.6588872000000001E-2</v>
      </c>
    </row>
    <row r="18577" spans="103:104" x14ac:dyDescent="0.3">
      <c r="CY18577" s="34" t="s">
        <v>19504</v>
      </c>
      <c r="CZ18577" s="35">
        <v>6.7968665428571424E-4</v>
      </c>
    </row>
    <row r="18578" spans="103:104" x14ac:dyDescent="0.3">
      <c r="CY18578" s="34" t="s">
        <v>19505</v>
      </c>
      <c r="CZ18578" s="35">
        <v>6.7968665428571424E-4</v>
      </c>
    </row>
    <row r="18579" spans="103:104" x14ac:dyDescent="0.3">
      <c r="CY18579" s="34" t="s">
        <v>19506</v>
      </c>
      <c r="CZ18579" s="35">
        <v>5.5678222222222216E-3</v>
      </c>
    </row>
    <row r="18580" spans="103:104" x14ac:dyDescent="0.3">
      <c r="CY18580" s="34" t="s">
        <v>19507</v>
      </c>
      <c r="CZ18580" s="35">
        <v>5.8030622456140359E-2</v>
      </c>
    </row>
    <row r="18581" spans="103:104" x14ac:dyDescent="0.3">
      <c r="CY18581" s="34" t="s">
        <v>19508</v>
      </c>
      <c r="CZ18581" s="35">
        <v>8.1205899999999987E-3</v>
      </c>
    </row>
    <row r="18582" spans="103:104" x14ac:dyDescent="0.3">
      <c r="CY18582" s="34" t="s">
        <v>19509</v>
      </c>
      <c r="CZ18582" s="35">
        <v>7.1571733333333316E-3</v>
      </c>
    </row>
    <row r="18583" spans="103:104" x14ac:dyDescent="0.3">
      <c r="CY18583" s="34" t="s">
        <v>19510</v>
      </c>
      <c r="CZ18583" s="35">
        <v>7.3102049999999984E-3</v>
      </c>
    </row>
    <row r="18584" spans="103:104" x14ac:dyDescent="0.3">
      <c r="CY18584" s="34" t="s">
        <v>19511</v>
      </c>
      <c r="CZ18584" s="35">
        <v>6.2857978947368437E-3</v>
      </c>
    </row>
    <row r="18585" spans="103:104" x14ac:dyDescent="0.3">
      <c r="CY18585" s="34" t="s">
        <v>19512</v>
      </c>
      <c r="CZ18585" s="35">
        <v>6.4310610526315797E-3</v>
      </c>
    </row>
    <row r="18586" spans="103:104" x14ac:dyDescent="0.3">
      <c r="CY18586" s="34" t="s">
        <v>19513</v>
      </c>
      <c r="CZ18586" s="35">
        <v>9.4202393894736829E-3</v>
      </c>
    </row>
    <row r="18587" spans="103:104" x14ac:dyDescent="0.3">
      <c r="CY18587" s="34" t="s">
        <v>19514</v>
      </c>
      <c r="CZ18587" s="35">
        <v>4.4543295000000005E-3</v>
      </c>
    </row>
    <row r="18588" spans="103:104" x14ac:dyDescent="0.3">
      <c r="CY18588" s="34" t="s">
        <v>19515</v>
      </c>
      <c r="CZ18588" s="35">
        <v>3.9931960000000001E-3</v>
      </c>
    </row>
    <row r="18589" spans="103:104" x14ac:dyDescent="0.3">
      <c r="CY18589" s="34" t="s">
        <v>19516</v>
      </c>
      <c r="CZ18589" s="35">
        <v>2.4290000000000002E-3</v>
      </c>
    </row>
    <row r="18590" spans="103:104" x14ac:dyDescent="0.3">
      <c r="CY18590" s="34" t="s">
        <v>19517</v>
      </c>
      <c r="CZ18590" s="35">
        <v>5.1851052631578951E-2</v>
      </c>
    </row>
    <row r="18591" spans="103:104" x14ac:dyDescent="0.3">
      <c r="CY18591" s="34" t="s">
        <v>19518</v>
      </c>
      <c r="CZ18591" s="35">
        <v>5.7139411764705883E-2</v>
      </c>
    </row>
    <row r="18592" spans="103:104" x14ac:dyDescent="0.3">
      <c r="CY18592" s="34" t="s">
        <v>19519</v>
      </c>
      <c r="CZ18592" s="35">
        <v>0.27210478740000005</v>
      </c>
    </row>
    <row r="18593" spans="103:104" x14ac:dyDescent="0.3">
      <c r="CY18593" s="34" t="s">
        <v>19520</v>
      </c>
      <c r="CZ18593" s="35">
        <v>0.32040916459999996</v>
      </c>
    </row>
    <row r="18594" spans="103:104" x14ac:dyDescent="0.3">
      <c r="CY18594" s="34" t="s">
        <v>19521</v>
      </c>
      <c r="CZ18594" s="35">
        <v>0.27029193909999999</v>
      </c>
    </row>
    <row r="18595" spans="103:104" x14ac:dyDescent="0.3">
      <c r="CY18595" s="34" t="s">
        <v>19522</v>
      </c>
      <c r="CZ18595" s="35">
        <v>0.25981193908</v>
      </c>
    </row>
    <row r="18596" spans="103:104" x14ac:dyDescent="0.3">
      <c r="CY18596" s="34" t="s">
        <v>19523</v>
      </c>
      <c r="CZ18596" s="35">
        <v>2.3146363999999999E-2</v>
      </c>
    </row>
    <row r="18597" spans="103:104" x14ac:dyDescent="0.3">
      <c r="CY18597" s="34" t="s">
        <v>19524</v>
      </c>
      <c r="CZ18597" s="35">
        <v>6.3831245333333328E-3</v>
      </c>
    </row>
    <row r="18598" spans="103:104" x14ac:dyDescent="0.3">
      <c r="CY18598" s="34" t="s">
        <v>19525</v>
      </c>
      <c r="CZ18598" s="35">
        <v>4.4064978947368418E-2</v>
      </c>
    </row>
    <row r="18599" spans="103:104" x14ac:dyDescent="0.3">
      <c r="CY18599" s="34" t="s">
        <v>19526</v>
      </c>
      <c r="CZ18599" s="35">
        <v>5.9248421052631575E-2</v>
      </c>
    </row>
    <row r="18600" spans="103:104" x14ac:dyDescent="0.3">
      <c r="CY18600" s="34" t="s">
        <v>19527</v>
      </c>
      <c r="CZ18600" s="35">
        <v>8.2237894736842121E-2</v>
      </c>
    </row>
    <row r="18601" spans="103:104" x14ac:dyDescent="0.3">
      <c r="CY18601" s="34" t="s">
        <v>19528</v>
      </c>
      <c r="CZ18601" s="35">
        <v>9.3439999999999995E-2</v>
      </c>
    </row>
    <row r="18602" spans="103:104" x14ac:dyDescent="0.3">
      <c r="CY18602" s="34" t="s">
        <v>19529</v>
      </c>
      <c r="CZ18602" s="35">
        <v>8.2102105263157921E-2</v>
      </c>
    </row>
    <row r="18603" spans="103:104" x14ac:dyDescent="0.3">
      <c r="CY18603" s="34" t="s">
        <v>19530</v>
      </c>
      <c r="CZ18603" s="35">
        <v>9.0895294117647046E-2</v>
      </c>
    </row>
    <row r="18604" spans="103:104" x14ac:dyDescent="0.3">
      <c r="CY18604" s="34" t="s">
        <v>19531</v>
      </c>
      <c r="CZ18604" s="35">
        <v>8.2237894736842121E-2</v>
      </c>
    </row>
    <row r="18605" spans="103:104" x14ac:dyDescent="0.3">
      <c r="CY18605" s="34" t="s">
        <v>19532</v>
      </c>
      <c r="CZ18605" s="35">
        <v>8.0927368421052637E-2</v>
      </c>
    </row>
    <row r="18606" spans="103:104" x14ac:dyDescent="0.3">
      <c r="CY18606" s="34" t="s">
        <v>19533</v>
      </c>
      <c r="CZ18606" s="35">
        <v>8.2237894736842121E-2</v>
      </c>
    </row>
    <row r="18607" spans="103:104" x14ac:dyDescent="0.3">
      <c r="CY18607" s="34" t="s">
        <v>19534</v>
      </c>
      <c r="CZ18607" s="35">
        <v>8.1327368421052634E-2</v>
      </c>
    </row>
    <row r="18608" spans="103:104" x14ac:dyDescent="0.3">
      <c r="CY18608" s="34" t="s">
        <v>19535</v>
      </c>
      <c r="CZ18608" s="35">
        <v>2.5278668499999997E-2</v>
      </c>
    </row>
    <row r="18609" spans="103:104" x14ac:dyDescent="0.3">
      <c r="CY18609" s="34" t="s">
        <v>19536</v>
      </c>
      <c r="CZ18609" s="35">
        <v>1.4785672000000001E-2</v>
      </c>
    </row>
    <row r="18610" spans="103:104" x14ac:dyDescent="0.3">
      <c r="CY18610" s="34" t="s">
        <v>19537</v>
      </c>
      <c r="CZ18610" s="35">
        <v>1.4437796000000003E-2</v>
      </c>
    </row>
    <row r="18611" spans="103:104" x14ac:dyDescent="0.3">
      <c r="CY18611" s="34" t="s">
        <v>19538</v>
      </c>
      <c r="CZ18611" s="35">
        <v>7.5458888888888887E-4</v>
      </c>
    </row>
    <row r="18612" spans="103:104" x14ac:dyDescent="0.3">
      <c r="CY18612" s="34" t="s">
        <v>19539</v>
      </c>
      <c r="CZ18612" s="35">
        <v>1.3621773257142858E-2</v>
      </c>
    </row>
    <row r="18613" spans="103:104" x14ac:dyDescent="0.3">
      <c r="CY18613" s="34" t="s">
        <v>19540</v>
      </c>
      <c r="CZ18613" s="35">
        <v>1.3621773257142858E-2</v>
      </c>
    </row>
    <row r="18614" spans="103:104" x14ac:dyDescent="0.3">
      <c r="CY18614" s="34" t="s">
        <v>19541</v>
      </c>
      <c r="CZ18614" s="35">
        <v>0.29687868000000001</v>
      </c>
    </row>
    <row r="18615" spans="103:104" x14ac:dyDescent="0.3">
      <c r="CY18615" s="34" t="s">
        <v>19542</v>
      </c>
      <c r="CZ18615" s="35">
        <v>0.12419011702127662</v>
      </c>
    </row>
    <row r="18616" spans="103:104" x14ac:dyDescent="0.3">
      <c r="CY18616" s="34" t="s">
        <v>19543</v>
      </c>
      <c r="CZ18616" s="35">
        <v>0.14810569148936167</v>
      </c>
    </row>
    <row r="18617" spans="103:104" x14ac:dyDescent="0.3">
      <c r="CY18617" s="34" t="s">
        <v>19544</v>
      </c>
      <c r="CZ18617" s="35">
        <v>1.586248E-3</v>
      </c>
    </row>
    <row r="18618" spans="103:104" x14ac:dyDescent="0.3">
      <c r="CY18618" s="34" t="s">
        <v>19545</v>
      </c>
      <c r="CZ18618" s="35">
        <v>2.8228176000000002E-3</v>
      </c>
    </row>
    <row r="18619" spans="103:104" x14ac:dyDescent="0.3">
      <c r="CY18619" s="34" t="s">
        <v>19546</v>
      </c>
      <c r="CZ18619" s="35">
        <v>2.635268E-2</v>
      </c>
    </row>
    <row r="18620" spans="103:104" x14ac:dyDescent="0.3">
      <c r="CY18620" s="34" t="s">
        <v>19547</v>
      </c>
      <c r="CZ18620" s="35">
        <v>7.3827800000000002E-3</v>
      </c>
    </row>
    <row r="18621" spans="103:104" x14ac:dyDescent="0.3">
      <c r="CY18621" s="34" t="s">
        <v>19548</v>
      </c>
      <c r="CZ18621" s="35">
        <v>4.0340106666666665E-3</v>
      </c>
    </row>
    <row r="18622" spans="103:104" x14ac:dyDescent="0.3">
      <c r="CY18622" s="34" t="s">
        <v>19549</v>
      </c>
      <c r="CZ18622" s="35">
        <v>8.4044899999999988E-3</v>
      </c>
    </row>
    <row r="18623" spans="103:104" x14ac:dyDescent="0.3">
      <c r="CY18623" s="34" t="s">
        <v>19550</v>
      </c>
      <c r="CZ18623" s="35">
        <v>7.8117541052631578E-2</v>
      </c>
    </row>
    <row r="18624" spans="103:104" x14ac:dyDescent="0.3">
      <c r="CY18624" s="34" t="s">
        <v>19551</v>
      </c>
      <c r="CZ18624" s="35">
        <v>7.6522648000000013E-2</v>
      </c>
    </row>
    <row r="18625" spans="103:104" x14ac:dyDescent="0.3">
      <c r="CY18625" s="34" t="s">
        <v>19552</v>
      </c>
      <c r="CZ18625" s="35">
        <v>1.3780000000000001E-3</v>
      </c>
    </row>
    <row r="18626" spans="103:104" x14ac:dyDescent="0.3">
      <c r="CY18626" s="34" t="s">
        <v>19553</v>
      </c>
      <c r="CZ18626" s="35">
        <v>2.645016E-3</v>
      </c>
    </row>
    <row r="18627" spans="103:104" x14ac:dyDescent="0.3">
      <c r="CY18627" s="34" t="s">
        <v>19554</v>
      </c>
      <c r="CZ18627" s="35">
        <v>1.5236932714285712E-2</v>
      </c>
    </row>
    <row r="18628" spans="103:104" x14ac:dyDescent="0.3">
      <c r="CY18628" s="34" t="s">
        <v>19555</v>
      </c>
      <c r="CZ18628" s="35">
        <v>1.6127412888888887E-2</v>
      </c>
    </row>
    <row r="18629" spans="103:104" x14ac:dyDescent="0.3">
      <c r="CY18629" s="34" t="s">
        <v>19556</v>
      </c>
      <c r="CZ18629" s="35">
        <v>4.3185135499999992E-2</v>
      </c>
    </row>
    <row r="18630" spans="103:104" x14ac:dyDescent="0.3">
      <c r="CY18630" s="34" t="s">
        <v>19557</v>
      </c>
      <c r="CZ18630" s="35">
        <v>3.3977620000000004E-3</v>
      </c>
    </row>
    <row r="18631" spans="103:104" x14ac:dyDescent="0.3">
      <c r="CY18631" s="34" t="s">
        <v>19558</v>
      </c>
      <c r="CZ18631" s="35">
        <v>8.853096000000003E-3</v>
      </c>
    </row>
    <row r="18632" spans="103:104" x14ac:dyDescent="0.3">
      <c r="CY18632" s="34" t="s">
        <v>19559</v>
      </c>
      <c r="CZ18632" s="35">
        <v>6.7014708000000004E-3</v>
      </c>
    </row>
    <row r="18633" spans="103:104" x14ac:dyDescent="0.3">
      <c r="CY18633" s="34" t="s">
        <v>19560</v>
      </c>
      <c r="CZ18633" s="35">
        <v>1.8949474666666668E-3</v>
      </c>
    </row>
    <row r="18634" spans="103:104" x14ac:dyDescent="0.3">
      <c r="CY18634" s="34" t="s">
        <v>19561</v>
      </c>
      <c r="CZ18634" s="35">
        <v>1.4493785334285714E-2</v>
      </c>
    </row>
    <row r="18635" spans="103:104" x14ac:dyDescent="0.3">
      <c r="CY18635" s="34" t="s">
        <v>19562</v>
      </c>
      <c r="CZ18635" s="35">
        <v>4.0610055333333332E-2</v>
      </c>
    </row>
    <row r="18636" spans="103:104" x14ac:dyDescent="0.3">
      <c r="CY18636" s="34" t="s">
        <v>19563</v>
      </c>
      <c r="CZ18636" s="35">
        <v>3.8677171999999998E-3</v>
      </c>
    </row>
    <row r="18637" spans="103:104" x14ac:dyDescent="0.3">
      <c r="CY18637" s="34" t="s">
        <v>19564</v>
      </c>
      <c r="CZ18637" s="35">
        <v>1.8207929062500003E-2</v>
      </c>
    </row>
    <row r="18638" spans="103:104" x14ac:dyDescent="0.3">
      <c r="CY18638" s="34" t="s">
        <v>19565</v>
      </c>
      <c r="CZ18638" s="35">
        <v>3.6389172571428571E-3</v>
      </c>
    </row>
    <row r="18639" spans="103:104" x14ac:dyDescent="0.3">
      <c r="CY18639" s="34" t="s">
        <v>19566</v>
      </c>
      <c r="CZ18639" s="35">
        <v>0.13195805333999999</v>
      </c>
    </row>
    <row r="18640" spans="103:104" x14ac:dyDescent="0.3">
      <c r="CY18640" s="34" t="s">
        <v>19567</v>
      </c>
      <c r="CZ18640" s="35">
        <v>2.9839933314285715E-3</v>
      </c>
    </row>
    <row r="18641" spans="103:104" x14ac:dyDescent="0.3">
      <c r="CY18641" s="34" t="s">
        <v>19568</v>
      </c>
      <c r="CZ18641" s="35">
        <v>1.3933921568627453E-3</v>
      </c>
    </row>
    <row r="18642" spans="103:104" x14ac:dyDescent="0.3">
      <c r="CY18642" s="34" t="s">
        <v>19569</v>
      </c>
      <c r="CZ18642" s="35">
        <v>1.5722800000000001E-3</v>
      </c>
    </row>
    <row r="18643" spans="103:104" x14ac:dyDescent="0.3">
      <c r="CY18643" s="34" t="s">
        <v>19570</v>
      </c>
      <c r="CZ18643" s="35">
        <v>3.4650331555555556E-3</v>
      </c>
    </row>
    <row r="18644" spans="103:104" x14ac:dyDescent="0.3">
      <c r="CY18644" s="34" t="s">
        <v>19571</v>
      </c>
      <c r="CZ18644" s="35">
        <v>1.8560421215000002E-3</v>
      </c>
    </row>
    <row r="18645" spans="103:104" x14ac:dyDescent="0.3">
      <c r="CY18645" s="34" t="s">
        <v>19572</v>
      </c>
      <c r="CZ18645" s="35">
        <v>2.6120057828571429E-2</v>
      </c>
    </row>
    <row r="18646" spans="103:104" x14ac:dyDescent="0.3">
      <c r="CY18646" s="34" t="s">
        <v>19573</v>
      </c>
      <c r="CZ18646" s="35">
        <v>1.6753161999999999E-2</v>
      </c>
    </row>
    <row r="18647" spans="103:104" x14ac:dyDescent="0.3">
      <c r="CY18647" s="34" t="s">
        <v>19574</v>
      </c>
      <c r="CZ18647" s="35">
        <v>6.4779488000000001E-3</v>
      </c>
    </row>
    <row r="18648" spans="103:104" x14ac:dyDescent="0.3">
      <c r="CY18648" s="34" t="s">
        <v>19575</v>
      </c>
      <c r="CZ18648" s="35">
        <v>3.01070222E-2</v>
      </c>
    </row>
    <row r="18649" spans="103:104" x14ac:dyDescent="0.3">
      <c r="CY18649" s="34" t="s">
        <v>19576</v>
      </c>
      <c r="CZ18649" s="35">
        <v>2.2928392000000002E-2</v>
      </c>
    </row>
    <row r="18650" spans="103:104" x14ac:dyDescent="0.3">
      <c r="CY18650" s="34" t="s">
        <v>19577</v>
      </c>
      <c r="CZ18650" s="35">
        <v>2.0353165333333333E-2</v>
      </c>
    </row>
    <row r="18651" spans="103:104" x14ac:dyDescent="0.3">
      <c r="CY18651" s="34" t="s">
        <v>19578</v>
      </c>
      <c r="CZ18651" s="35">
        <v>9.638058666666666E-3</v>
      </c>
    </row>
    <row r="18652" spans="103:104" x14ac:dyDescent="0.3">
      <c r="CY18652" s="34" t="s">
        <v>19579</v>
      </c>
      <c r="CZ18652" s="35">
        <v>9.7720199999999993E-4</v>
      </c>
    </row>
    <row r="18653" spans="103:104" x14ac:dyDescent="0.3">
      <c r="CY18653" s="34" t="s">
        <v>19580</v>
      </c>
      <c r="CZ18653" s="35">
        <v>6.6921900000000015E-3</v>
      </c>
    </row>
    <row r="18654" spans="103:104" x14ac:dyDescent="0.3">
      <c r="CY18654" s="34" t="s">
        <v>19581</v>
      </c>
      <c r="CZ18654" s="35">
        <v>8.5233280000000008E-2</v>
      </c>
    </row>
    <row r="18655" spans="103:104" x14ac:dyDescent="0.3">
      <c r="CY18655" s="34" t="s">
        <v>19582</v>
      </c>
      <c r="CZ18655" s="35">
        <v>1.3197165324999999E-2</v>
      </c>
    </row>
    <row r="18656" spans="103:104" x14ac:dyDescent="0.3">
      <c r="CY18656" s="34" t="s">
        <v>19583</v>
      </c>
      <c r="CZ18656" s="35">
        <v>0.31758001332499997</v>
      </c>
    </row>
    <row r="18657" spans="103:104" x14ac:dyDescent="0.3">
      <c r="CY18657" s="34" t="s">
        <v>19584</v>
      </c>
      <c r="CZ18657" s="35">
        <v>2.6854114675000002E-2</v>
      </c>
    </row>
    <row r="18658" spans="103:104" x14ac:dyDescent="0.3">
      <c r="CY18658" s="34" t="s">
        <v>19585</v>
      </c>
      <c r="CZ18658" s="35">
        <v>5.1227302500000002E-2</v>
      </c>
    </row>
    <row r="18659" spans="103:104" x14ac:dyDescent="0.3">
      <c r="CY18659" s="34" t="s">
        <v>19586</v>
      </c>
      <c r="CZ18659" s="35">
        <v>5.0688239999999996E-2</v>
      </c>
    </row>
    <row r="18660" spans="103:104" x14ac:dyDescent="0.3">
      <c r="CY18660" s="34" t="s">
        <v>19587</v>
      </c>
      <c r="CZ18660" s="35">
        <v>1.7167700000000001E-3</v>
      </c>
    </row>
    <row r="18661" spans="103:104" x14ac:dyDescent="0.3">
      <c r="CY18661" s="34" t="s">
        <v>19588</v>
      </c>
      <c r="CZ18661" s="35">
        <v>0.54251405733333335</v>
      </c>
    </row>
    <row r="18662" spans="103:104" x14ac:dyDescent="0.3">
      <c r="CY18662" s="34" t="s">
        <v>19589</v>
      </c>
      <c r="CZ18662" s="35">
        <v>5.2006925333333339E-3</v>
      </c>
    </row>
    <row r="18663" spans="103:104" x14ac:dyDescent="0.3">
      <c r="CY18663" s="34" t="s">
        <v>19590</v>
      </c>
      <c r="CZ18663" s="35">
        <v>1.8315450666666667E-3</v>
      </c>
    </row>
    <row r="18664" spans="103:104" x14ac:dyDescent="0.3">
      <c r="CY18664" s="34" t="s">
        <v>19591</v>
      </c>
      <c r="CZ18664" s="35">
        <v>2.8393792000000004E-3</v>
      </c>
    </row>
    <row r="18665" spans="103:104" x14ac:dyDescent="0.3">
      <c r="CY18665" s="34" t="s">
        <v>19592</v>
      </c>
      <c r="CZ18665" s="35">
        <v>3.352505E-3</v>
      </c>
    </row>
    <row r="18666" spans="103:104" x14ac:dyDescent="0.3">
      <c r="CY18666" s="34" t="s">
        <v>19593</v>
      </c>
      <c r="CZ18666" s="35">
        <v>0.18932256</v>
      </c>
    </row>
    <row r="18667" spans="103:104" x14ac:dyDescent="0.3">
      <c r="CY18667" s="34" t="s">
        <v>19594</v>
      </c>
      <c r="CZ18667" s="35">
        <v>0.16486695999999998</v>
      </c>
    </row>
    <row r="18668" spans="103:104" x14ac:dyDescent="0.3">
      <c r="CY18668" s="34" t="s">
        <v>19595</v>
      </c>
      <c r="CZ18668" s="35">
        <v>2.0976013333333335E-2</v>
      </c>
    </row>
    <row r="18669" spans="103:104" x14ac:dyDescent="0.3">
      <c r="CY18669" s="34" t="s">
        <v>19596</v>
      </c>
      <c r="CZ18669" s="35">
        <v>0.21237212000000003</v>
      </c>
    </row>
    <row r="18670" spans="103:104" x14ac:dyDescent="0.3">
      <c r="CY18670" s="34" t="s">
        <v>19597</v>
      </c>
      <c r="CZ18670" s="35">
        <v>0.21237212000000003</v>
      </c>
    </row>
    <row r="18671" spans="103:104" x14ac:dyDescent="0.3">
      <c r="CY18671" s="34" t="s">
        <v>19598</v>
      </c>
      <c r="CZ18671" s="35">
        <v>0.19011820000000001</v>
      </c>
    </row>
    <row r="18672" spans="103:104" x14ac:dyDescent="0.3">
      <c r="CY18672" s="34" t="s">
        <v>19599</v>
      </c>
      <c r="CZ18672" s="35">
        <v>0.46937592</v>
      </c>
    </row>
    <row r="18673" spans="103:104" x14ac:dyDescent="0.3">
      <c r="CY18673" s="34" t="s">
        <v>19600</v>
      </c>
      <c r="CZ18673" s="35">
        <v>0.46937592000000006</v>
      </c>
    </row>
    <row r="18674" spans="103:104" x14ac:dyDescent="0.3">
      <c r="CY18674" s="34" t="s">
        <v>19601</v>
      </c>
      <c r="CZ18674" s="35">
        <v>0.113388908</v>
      </c>
    </row>
    <row r="18675" spans="103:104" x14ac:dyDescent="0.3">
      <c r="CY18675" s="34" t="s">
        <v>19602</v>
      </c>
      <c r="CZ18675" s="35">
        <v>2.5592625000000003E-3</v>
      </c>
    </row>
    <row r="18676" spans="103:104" x14ac:dyDescent="0.3">
      <c r="CY18676" s="34" t="s">
        <v>19603</v>
      </c>
      <c r="CZ18676" s="35">
        <v>2.2879666666666665E-3</v>
      </c>
    </row>
    <row r="18677" spans="103:104" x14ac:dyDescent="0.3">
      <c r="CY18677" s="34" t="s">
        <v>19604</v>
      </c>
      <c r="CZ18677" s="35">
        <v>3.4123500000000011E-3</v>
      </c>
    </row>
    <row r="18678" spans="103:104" x14ac:dyDescent="0.3">
      <c r="CY18678" s="34" t="s">
        <v>19605</v>
      </c>
      <c r="CZ18678" s="35">
        <v>1.1846884571428573E-2</v>
      </c>
    </row>
    <row r="18679" spans="103:104" x14ac:dyDescent="0.3">
      <c r="CY18679" s="34" t="s">
        <v>19606</v>
      </c>
      <c r="CZ18679" s="35">
        <v>0.29026825000000001</v>
      </c>
    </row>
    <row r="18680" spans="103:104" x14ac:dyDescent="0.3">
      <c r="CY18680" s="34" t="s">
        <v>19607</v>
      </c>
      <c r="CZ18680" s="35">
        <v>0.37924808000000004</v>
      </c>
    </row>
    <row r="18681" spans="103:104" x14ac:dyDescent="0.3">
      <c r="CY18681" s="34" t="s">
        <v>19608</v>
      </c>
      <c r="CZ18681" s="35">
        <v>2.3920672000000004E-3</v>
      </c>
    </row>
    <row r="18682" spans="103:104" x14ac:dyDescent="0.3">
      <c r="CY18682" s="34" t="s">
        <v>19609</v>
      </c>
      <c r="CZ18682" s="35">
        <v>4.5207885333333319E-3</v>
      </c>
    </row>
    <row r="18683" spans="103:104" x14ac:dyDescent="0.3">
      <c r="CY18683" s="34" t="s">
        <v>19610</v>
      </c>
      <c r="CZ18683" s="35">
        <v>3.8404357333333334E-3</v>
      </c>
    </row>
    <row r="18684" spans="103:104" x14ac:dyDescent="0.3">
      <c r="CY18684" s="34" t="s">
        <v>19611</v>
      </c>
      <c r="CZ18684" s="35">
        <v>5.8160346666666666E-3</v>
      </c>
    </row>
    <row r="18685" spans="103:104" x14ac:dyDescent="0.3">
      <c r="CY18685" s="34" t="s">
        <v>19612</v>
      </c>
      <c r="CZ18685" s="35">
        <v>1.9944405333333333E-3</v>
      </c>
    </row>
    <row r="18686" spans="103:104" x14ac:dyDescent="0.3">
      <c r="CY18686" s="34" t="s">
        <v>19613</v>
      </c>
      <c r="CZ18686" s="35">
        <v>2.6920339999999994E-3</v>
      </c>
    </row>
    <row r="18687" spans="103:104" x14ac:dyDescent="0.3">
      <c r="CY18687" s="34" t="s">
        <v>19614</v>
      </c>
      <c r="CZ18687" s="35">
        <v>7.4908226666666666E-3</v>
      </c>
    </row>
    <row r="18688" spans="103:104" x14ac:dyDescent="0.3">
      <c r="CY18688" s="34" t="s">
        <v>19615</v>
      </c>
      <c r="CZ18688" s="35">
        <v>5.7737280000000002E-2</v>
      </c>
    </row>
    <row r="18689" spans="103:104" x14ac:dyDescent="0.3">
      <c r="CY18689" s="34" t="s">
        <v>19616</v>
      </c>
      <c r="CZ18689" s="35">
        <v>3.3097877333333331E-2</v>
      </c>
    </row>
    <row r="18690" spans="103:104" x14ac:dyDescent="0.3">
      <c r="CY18690" s="34" t="s">
        <v>19617</v>
      </c>
      <c r="CZ18690" s="35">
        <v>3.7774279999999998E-4</v>
      </c>
    </row>
    <row r="18691" spans="103:104" x14ac:dyDescent="0.3">
      <c r="CY18691" s="34" t="s">
        <v>19618</v>
      </c>
      <c r="CZ18691" s="35">
        <v>9.2974561714285716E-4</v>
      </c>
    </row>
    <row r="18692" spans="103:104" x14ac:dyDescent="0.3">
      <c r="CY18692" s="34" t="s">
        <v>19619</v>
      </c>
      <c r="CZ18692" s="35">
        <v>1.5477158571428572E-3</v>
      </c>
    </row>
    <row r="18693" spans="103:104" x14ac:dyDescent="0.3">
      <c r="CY18693" s="34" t="s">
        <v>19620</v>
      </c>
      <c r="CZ18693" s="35">
        <v>4.1731040000000004E-3</v>
      </c>
    </row>
    <row r="18694" spans="103:104" x14ac:dyDescent="0.3">
      <c r="CY18694" s="34" t="s">
        <v>19621</v>
      </c>
      <c r="CZ18694" s="35">
        <v>7.366582E-3</v>
      </c>
    </row>
    <row r="18695" spans="103:104" x14ac:dyDescent="0.3">
      <c r="CY18695" s="34" t="s">
        <v>19622</v>
      </c>
      <c r="CZ18695" s="35">
        <v>9.9307659269841295E-3</v>
      </c>
    </row>
    <row r="18696" spans="103:104" x14ac:dyDescent="0.3">
      <c r="CY18696" s="34" t="s">
        <v>19623</v>
      </c>
      <c r="CZ18696" s="35">
        <v>1.0628844444444445E-2</v>
      </c>
    </row>
    <row r="18697" spans="103:104" x14ac:dyDescent="0.3">
      <c r="CY18697" s="34" t="s">
        <v>19624</v>
      </c>
      <c r="CZ18697" s="35">
        <v>1.1035553777777778E-2</v>
      </c>
    </row>
    <row r="18698" spans="103:104" x14ac:dyDescent="0.3">
      <c r="CY18698" s="34" t="s">
        <v>19625</v>
      </c>
      <c r="CZ18698" s="35">
        <v>1.1519731555555556E-2</v>
      </c>
    </row>
    <row r="18699" spans="103:104" x14ac:dyDescent="0.3">
      <c r="CY18699" s="34" t="s">
        <v>19626</v>
      </c>
      <c r="CZ18699" s="35">
        <v>1.1887706666666666E-2</v>
      </c>
    </row>
    <row r="18700" spans="103:104" x14ac:dyDescent="0.3">
      <c r="CY18700" s="34" t="s">
        <v>19627</v>
      </c>
      <c r="CZ18700" s="35">
        <v>1.2333150222222223E-2</v>
      </c>
    </row>
    <row r="18701" spans="103:104" x14ac:dyDescent="0.3">
      <c r="CY18701" s="34" t="s">
        <v>19628</v>
      </c>
      <c r="CZ18701" s="35">
        <v>1.2842220149206348E-2</v>
      </c>
    </row>
    <row r="18702" spans="103:104" x14ac:dyDescent="0.3">
      <c r="CY18702" s="34" t="s">
        <v>19629</v>
      </c>
      <c r="CZ18702" s="35">
        <v>1.3403866371428574E-2</v>
      </c>
    </row>
    <row r="18703" spans="103:104" x14ac:dyDescent="0.3">
      <c r="CY18703" s="34" t="s">
        <v>19630</v>
      </c>
      <c r="CZ18703" s="35">
        <v>1.4081715260317458E-2</v>
      </c>
    </row>
    <row r="18704" spans="103:104" x14ac:dyDescent="0.3">
      <c r="CY18704" s="34" t="s">
        <v>19631</v>
      </c>
      <c r="CZ18704" s="35">
        <v>1.462399437142857E-2</v>
      </c>
    </row>
    <row r="18705" spans="103:104" x14ac:dyDescent="0.3">
      <c r="CY18705" s="34" t="s">
        <v>19632</v>
      </c>
      <c r="CZ18705" s="35">
        <v>1.5263109038095237E-2</v>
      </c>
    </row>
    <row r="18706" spans="103:104" x14ac:dyDescent="0.3">
      <c r="CY18706" s="34" t="s">
        <v>19633</v>
      </c>
      <c r="CZ18706" s="35">
        <v>1.5610376593650792E-2</v>
      </c>
    </row>
    <row r="18707" spans="103:104" x14ac:dyDescent="0.3">
      <c r="CY18707" s="34" t="s">
        <v>19634</v>
      </c>
      <c r="CZ18707" s="35">
        <v>1.6329650859526982E-2</v>
      </c>
    </row>
    <row r="18708" spans="103:104" x14ac:dyDescent="0.3">
      <c r="CY18708" s="34" t="s">
        <v>19635</v>
      </c>
      <c r="CZ18708" s="35">
        <v>1.5856948869841268E-2</v>
      </c>
    </row>
    <row r="18709" spans="103:104" x14ac:dyDescent="0.3">
      <c r="CY18709" s="34" t="s">
        <v>19636</v>
      </c>
      <c r="CZ18709" s="35">
        <v>1.6690444438095239E-2</v>
      </c>
    </row>
    <row r="18710" spans="103:104" x14ac:dyDescent="0.3">
      <c r="CY18710" s="34" t="s">
        <v>19637</v>
      </c>
      <c r="CZ18710" s="35">
        <v>1.6272856425396828E-2</v>
      </c>
    </row>
    <row r="18711" spans="103:104" x14ac:dyDescent="0.3">
      <c r="CY18711" s="34" t="s">
        <v>19638</v>
      </c>
      <c r="CZ18711" s="35">
        <v>1.680793422222222E-2</v>
      </c>
    </row>
    <row r="18712" spans="103:104" x14ac:dyDescent="0.3">
      <c r="CY18712" s="34" t="s">
        <v>19639</v>
      </c>
      <c r="CZ18712" s="35">
        <v>1.7280556444444446E-2</v>
      </c>
    </row>
    <row r="18713" spans="103:104" x14ac:dyDescent="0.3">
      <c r="CY18713" s="34" t="s">
        <v>19640</v>
      </c>
      <c r="CZ18713" s="35">
        <v>1.7828798222222223E-2</v>
      </c>
    </row>
    <row r="18714" spans="103:104" x14ac:dyDescent="0.3">
      <c r="CY18714" s="34" t="s">
        <v>19641</v>
      </c>
      <c r="CZ18714" s="35">
        <v>1.8414849777777777E-2</v>
      </c>
    </row>
    <row r="18715" spans="103:104" x14ac:dyDescent="0.3">
      <c r="CY18715" s="34" t="s">
        <v>19642</v>
      </c>
      <c r="CZ18715" s="35">
        <v>1.8902413176470588E-2</v>
      </c>
    </row>
    <row r="18716" spans="103:104" x14ac:dyDescent="0.3">
      <c r="CY18716" s="34" t="s">
        <v>19643</v>
      </c>
      <c r="CZ18716" s="35">
        <v>1.95010091454084E-2</v>
      </c>
    </row>
    <row r="18717" spans="103:104" x14ac:dyDescent="0.3">
      <c r="CY18717" s="34" t="s">
        <v>19644</v>
      </c>
      <c r="CZ18717" s="35">
        <v>2.0813443052100842E-2</v>
      </c>
    </row>
    <row r="18718" spans="103:104" x14ac:dyDescent="0.3">
      <c r="CY18718" s="34" t="s">
        <v>19645</v>
      </c>
      <c r="CZ18718" s="35">
        <v>2.1189301959663866E-2</v>
      </c>
    </row>
    <row r="18719" spans="103:104" x14ac:dyDescent="0.3">
      <c r="CY18719" s="34" t="s">
        <v>19646</v>
      </c>
      <c r="CZ18719" s="35">
        <v>2.137601254789916E-2</v>
      </c>
    </row>
    <row r="18720" spans="103:104" x14ac:dyDescent="0.3">
      <c r="CY18720" s="34" t="s">
        <v>19647</v>
      </c>
      <c r="CZ18720" s="35">
        <v>2.2176838991596639E-2</v>
      </c>
    </row>
    <row r="18721" spans="103:104" x14ac:dyDescent="0.3">
      <c r="CY18721" s="34" t="s">
        <v>19648</v>
      </c>
      <c r="CZ18721" s="35">
        <v>0.77028130000000017</v>
      </c>
    </row>
    <row r="18722" spans="103:104" x14ac:dyDescent="0.3">
      <c r="CY18722" s="34" t="s">
        <v>19649</v>
      </c>
      <c r="CZ18722" s="35">
        <v>0.71536519999999981</v>
      </c>
    </row>
    <row r="18723" spans="103:104" x14ac:dyDescent="0.3">
      <c r="CY18723" s="34" t="s">
        <v>19650</v>
      </c>
      <c r="CZ18723" s="35">
        <v>0.44420872</v>
      </c>
    </row>
    <row r="18724" spans="103:104" x14ac:dyDescent="0.3">
      <c r="CY18724" s="34" t="s">
        <v>19651</v>
      </c>
      <c r="CZ18724" s="35">
        <v>6.9237973333333338E-3</v>
      </c>
    </row>
    <row r="18725" spans="103:104" x14ac:dyDescent="0.3">
      <c r="CY18725" s="34" t="s">
        <v>19652</v>
      </c>
      <c r="CZ18725" s="35">
        <v>3.1573434000000004E-2</v>
      </c>
    </row>
    <row r="18726" spans="103:104" x14ac:dyDescent="0.3">
      <c r="CY18726" s="34" t="s">
        <v>19653</v>
      </c>
      <c r="CZ18726" s="35">
        <v>1.8889077714285715E-2</v>
      </c>
    </row>
    <row r="18727" spans="103:104" x14ac:dyDescent="0.3">
      <c r="CY18727" s="34" t="s">
        <v>19654</v>
      </c>
      <c r="CZ18727" s="35">
        <v>1.281405E-3</v>
      </c>
    </row>
    <row r="18728" spans="103:104" x14ac:dyDescent="0.3">
      <c r="CY18728" s="34" t="s">
        <v>19655</v>
      </c>
      <c r="CZ18728" s="35">
        <v>0.1068602</v>
      </c>
    </row>
    <row r="18729" spans="103:104" x14ac:dyDescent="0.3">
      <c r="CY18729" s="34" t="s">
        <v>19656</v>
      </c>
      <c r="CZ18729" s="35">
        <v>4.9937259999999997E-2</v>
      </c>
    </row>
    <row r="18730" spans="103:104" x14ac:dyDescent="0.3">
      <c r="CY18730" s="34" t="s">
        <v>19657</v>
      </c>
      <c r="CZ18730" s="35">
        <v>1.2634402666666666E-2</v>
      </c>
    </row>
    <row r="18731" spans="103:104" x14ac:dyDescent="0.3">
      <c r="CY18731" s="34" t="s">
        <v>19658</v>
      </c>
      <c r="CZ18731" s="35">
        <v>0.22935818400000002</v>
      </c>
    </row>
    <row r="18732" spans="103:104" x14ac:dyDescent="0.3">
      <c r="CY18732" s="34" t="s">
        <v>19659</v>
      </c>
      <c r="CZ18732" s="35">
        <v>5.0646463999999995E-2</v>
      </c>
    </row>
    <row r="18733" spans="103:104" x14ac:dyDescent="0.3">
      <c r="CY18733" s="34" t="s">
        <v>19660</v>
      </c>
      <c r="CZ18733" s="35">
        <v>1.3357499999999998E-4</v>
      </c>
    </row>
    <row r="18734" spans="103:104" x14ac:dyDescent="0.3">
      <c r="CY18734" s="34" t="s">
        <v>19661</v>
      </c>
      <c r="CZ18734" s="35">
        <v>2.0750000000000001E-2</v>
      </c>
    </row>
    <row r="18735" spans="103:104" x14ac:dyDescent="0.3">
      <c r="CY18735" s="34" t="s">
        <v>19662</v>
      </c>
      <c r="CZ18735" s="35">
        <v>2.0749999999999998E-2</v>
      </c>
    </row>
    <row r="18736" spans="103:104" x14ac:dyDescent="0.3">
      <c r="CY18736" s="34" t="s">
        <v>19663</v>
      </c>
      <c r="CZ18736" s="35">
        <v>2.0750000000000001E-2</v>
      </c>
    </row>
    <row r="18737" spans="103:104" x14ac:dyDescent="0.3">
      <c r="CY18737" s="34" t="s">
        <v>19664</v>
      </c>
      <c r="CZ18737" s="35">
        <v>5.438254E-3</v>
      </c>
    </row>
    <row r="18738" spans="103:104" x14ac:dyDescent="0.3">
      <c r="CY18738" s="34" t="s">
        <v>19665</v>
      </c>
      <c r="CZ18738" s="35">
        <v>0.24100970666666666</v>
      </c>
    </row>
    <row r="18739" spans="103:104" x14ac:dyDescent="0.3">
      <c r="CY18739" s="34" t="s">
        <v>19666</v>
      </c>
      <c r="CZ18739" s="35">
        <v>0.52104519999999999</v>
      </c>
    </row>
    <row r="18740" spans="103:104" x14ac:dyDescent="0.3">
      <c r="CY18740" s="34" t="s">
        <v>19667</v>
      </c>
      <c r="CZ18740" s="35">
        <v>9.4811023999999994E-2</v>
      </c>
    </row>
    <row r="18741" spans="103:104" x14ac:dyDescent="0.3">
      <c r="CY18741" s="34" t="s">
        <v>19668</v>
      </c>
      <c r="CZ18741" s="35">
        <v>3.500966</v>
      </c>
    </row>
    <row r="18742" spans="103:104" x14ac:dyDescent="0.3">
      <c r="CY18742" s="34" t="s">
        <v>19669</v>
      </c>
      <c r="CZ18742" s="35">
        <v>6.459102666666667E-4</v>
      </c>
    </row>
    <row r="18743" spans="103:104" x14ac:dyDescent="0.3">
      <c r="CY18743" s="34" t="s">
        <v>19670</v>
      </c>
      <c r="CZ18743" s="35">
        <v>9.5496533333333349E-4</v>
      </c>
    </row>
    <row r="18744" spans="103:104" x14ac:dyDescent="0.3">
      <c r="CY18744" s="34" t="s">
        <v>19671</v>
      </c>
      <c r="CZ18744" s="35">
        <v>1.5369200000000002E-3</v>
      </c>
    </row>
    <row r="18745" spans="103:104" x14ac:dyDescent="0.3">
      <c r="CY18745" s="34" t="s">
        <v>19672</v>
      </c>
      <c r="CZ18745" s="35">
        <v>1.5369200000000002E-3</v>
      </c>
    </row>
    <row r="18746" spans="103:104" x14ac:dyDescent="0.3">
      <c r="CY18746" s="34" t="s">
        <v>19673</v>
      </c>
      <c r="CZ18746" s="35">
        <v>1.9058733333333334E-3</v>
      </c>
    </row>
    <row r="18747" spans="103:104" x14ac:dyDescent="0.3">
      <c r="CY18747" s="34" t="s">
        <v>19674</v>
      </c>
      <c r="CZ18747" s="35">
        <v>4.0717009519999998E-3</v>
      </c>
    </row>
    <row r="18748" spans="103:104" x14ac:dyDescent="0.3">
      <c r="CY18748" s="34" t="s">
        <v>19675</v>
      </c>
      <c r="CZ18748" s="35">
        <v>1.3753390666666669E-2</v>
      </c>
    </row>
    <row r="18749" spans="103:104" x14ac:dyDescent="0.3">
      <c r="CY18749" s="34" t="s">
        <v>19676</v>
      </c>
      <c r="CZ18749" s="35">
        <v>4.0702888914285716E-3</v>
      </c>
    </row>
    <row r="18750" spans="103:104" x14ac:dyDescent="0.3">
      <c r="CY18750" s="34" t="s">
        <v>19677</v>
      </c>
      <c r="CZ18750" s="35">
        <v>4.5724318171428569E-3</v>
      </c>
    </row>
    <row r="18751" spans="103:104" x14ac:dyDescent="0.3">
      <c r="CY18751" s="34" t="s">
        <v>19678</v>
      </c>
      <c r="CZ18751" s="35">
        <v>6.233166668E-3</v>
      </c>
    </row>
    <row r="18752" spans="103:104" x14ac:dyDescent="0.3">
      <c r="CY18752" s="34" t="s">
        <v>19679</v>
      </c>
      <c r="CZ18752" s="35">
        <v>1.0560718666666667E-2</v>
      </c>
    </row>
    <row r="18753" spans="103:104" x14ac:dyDescent="0.3">
      <c r="CY18753" s="34" t="s">
        <v>19680</v>
      </c>
      <c r="CZ18753" s="35">
        <v>6.1447904000000005E-2</v>
      </c>
    </row>
    <row r="18754" spans="103:104" x14ac:dyDescent="0.3">
      <c r="CY18754" s="34" t="s">
        <v>19681</v>
      </c>
      <c r="CZ18754" s="35">
        <v>0.17190142</v>
      </c>
    </row>
    <row r="18755" spans="103:104" x14ac:dyDescent="0.3">
      <c r="CY18755" s="34" t="s">
        <v>19682</v>
      </c>
      <c r="CZ18755" s="35">
        <v>0.12968923199999999</v>
      </c>
    </row>
    <row r="18756" spans="103:104" x14ac:dyDescent="0.3">
      <c r="CY18756" s="34" t="s">
        <v>19683</v>
      </c>
      <c r="CZ18756" s="35">
        <v>6.7134926000000017E-4</v>
      </c>
    </row>
    <row r="18757" spans="103:104" x14ac:dyDescent="0.3">
      <c r="CY18757" s="34" t="s">
        <v>19684</v>
      </c>
      <c r="CZ18757" s="35">
        <v>1.7963543999999998E-2</v>
      </c>
    </row>
    <row r="18758" spans="103:104" x14ac:dyDescent="0.3">
      <c r="CY18758" s="34" t="s">
        <v>19685</v>
      </c>
      <c r="CZ18758" s="35">
        <v>0.24318674285333333</v>
      </c>
    </row>
    <row r="18759" spans="103:104" x14ac:dyDescent="0.3">
      <c r="CY18759" s="34" t="s">
        <v>19686</v>
      </c>
      <c r="CZ18759" s="35">
        <v>8.7571040000000006E-4</v>
      </c>
    </row>
    <row r="18760" spans="103:104" x14ac:dyDescent="0.3">
      <c r="CY18760" s="34" t="s">
        <v>19687</v>
      </c>
      <c r="CZ18760" s="35">
        <v>1.1580192E-3</v>
      </c>
    </row>
    <row r="18761" spans="103:104" x14ac:dyDescent="0.3">
      <c r="CY18761" s="34" t="s">
        <v>19688</v>
      </c>
      <c r="CZ18761" s="35">
        <v>1.3505915466666666E-2</v>
      </c>
    </row>
    <row r="18762" spans="103:104" x14ac:dyDescent="0.3">
      <c r="CY18762" s="34" t="s">
        <v>19689</v>
      </c>
      <c r="CZ18762" s="35">
        <v>6.5724320000000004E-3</v>
      </c>
    </row>
    <row r="18763" spans="103:104" x14ac:dyDescent="0.3">
      <c r="CY18763" s="34" t="s">
        <v>19690</v>
      </c>
      <c r="CZ18763" s="35">
        <v>2.3376145454545457E-3</v>
      </c>
    </row>
    <row r="18764" spans="103:104" x14ac:dyDescent="0.3">
      <c r="CY18764" s="34" t="s">
        <v>19691</v>
      </c>
      <c r="CZ18764" s="35">
        <v>1.05140144E-2</v>
      </c>
    </row>
    <row r="18765" spans="103:104" x14ac:dyDescent="0.3">
      <c r="CY18765" s="34" t="s">
        <v>19692</v>
      </c>
      <c r="CZ18765" s="35">
        <v>4.5306092857142852E-3</v>
      </c>
    </row>
    <row r="18766" spans="103:104" x14ac:dyDescent="0.3">
      <c r="CY18766" s="34" t="s">
        <v>19693</v>
      </c>
      <c r="CZ18766" s="35">
        <v>7.839496E-2</v>
      </c>
    </row>
    <row r="18767" spans="103:104" x14ac:dyDescent="0.3">
      <c r="CY18767" s="34" t="s">
        <v>19694</v>
      </c>
      <c r="CZ18767" s="35">
        <v>0.16288436399999998</v>
      </c>
    </row>
    <row r="18768" spans="103:104" x14ac:dyDescent="0.3">
      <c r="CY18768" s="34" t="s">
        <v>19695</v>
      </c>
      <c r="CZ18768" s="35">
        <v>7.7915005666666662E-2</v>
      </c>
    </row>
    <row r="18769" spans="103:104" x14ac:dyDescent="0.3">
      <c r="CY18769" s="34" t="s">
        <v>19696</v>
      </c>
      <c r="CZ18769" s="35">
        <v>8.8162293249999996E-2</v>
      </c>
    </row>
    <row r="18770" spans="103:104" x14ac:dyDescent="0.3">
      <c r="CY18770" s="34" t="s">
        <v>19697</v>
      </c>
      <c r="CZ18770" s="35">
        <v>2.1252184E-2</v>
      </c>
    </row>
    <row r="18771" spans="103:104" x14ac:dyDescent="0.3">
      <c r="CY18771" s="34" t="s">
        <v>19698</v>
      </c>
      <c r="CZ18771" s="35">
        <v>7.5357879999999999E-3</v>
      </c>
    </row>
    <row r="18772" spans="103:104" x14ac:dyDescent="0.3">
      <c r="CY18772" s="34" t="s">
        <v>19699</v>
      </c>
      <c r="CZ18772" s="35">
        <v>2.2461776000000003E-2</v>
      </c>
    </row>
    <row r="18773" spans="103:104" x14ac:dyDescent="0.3">
      <c r="CY18773" s="34" t="s">
        <v>19700</v>
      </c>
      <c r="CZ18773" s="35">
        <v>0.16989949600000001</v>
      </c>
    </row>
    <row r="18774" spans="103:104" x14ac:dyDescent="0.3">
      <c r="CY18774" s="34" t="s">
        <v>19701</v>
      </c>
      <c r="CZ18774" s="35">
        <v>3.8245665882352932E-2</v>
      </c>
    </row>
    <row r="18775" spans="103:104" x14ac:dyDescent="0.3">
      <c r="CY18775" s="34" t="s">
        <v>19702</v>
      </c>
      <c r="CZ18775" s="35">
        <v>0.1310432</v>
      </c>
    </row>
    <row r="18776" spans="103:104" x14ac:dyDescent="0.3">
      <c r="CY18776" s="34" t="s">
        <v>19703</v>
      </c>
      <c r="CZ18776" s="35">
        <v>4.3325000000000004E-4</v>
      </c>
    </row>
    <row r="18777" spans="103:104" x14ac:dyDescent="0.3">
      <c r="CY18777" s="34" t="s">
        <v>19704</v>
      </c>
      <c r="CZ18777" s="35">
        <v>8.3873920000000005E-2</v>
      </c>
    </row>
    <row r="18778" spans="103:104" x14ac:dyDescent="0.3">
      <c r="CY18778" s="34" t="s">
        <v>19705</v>
      </c>
      <c r="CZ18778" s="35">
        <v>4.029282800000001E-2</v>
      </c>
    </row>
    <row r="18779" spans="103:104" x14ac:dyDescent="0.3">
      <c r="CY18779" s="34" t="s">
        <v>19706</v>
      </c>
      <c r="CZ18779" s="35">
        <v>2.1472221333333333E-2</v>
      </c>
    </row>
    <row r="18780" spans="103:104" x14ac:dyDescent="0.3">
      <c r="CY18780" s="34" t="s">
        <v>19707</v>
      </c>
      <c r="CZ18780" s="35">
        <v>4.029282800000001E-2</v>
      </c>
    </row>
    <row r="18781" spans="103:104" x14ac:dyDescent="0.3">
      <c r="CY18781" s="34" t="s">
        <v>19708</v>
      </c>
      <c r="CZ18781" s="35">
        <v>0.15986600000000001</v>
      </c>
    </row>
    <row r="18782" spans="103:104" x14ac:dyDescent="0.3">
      <c r="CY18782" s="34" t="s">
        <v>19709</v>
      </c>
      <c r="CZ18782" s="35">
        <v>9.2354861111111103E-2</v>
      </c>
    </row>
    <row r="18783" spans="103:104" x14ac:dyDescent="0.3">
      <c r="CY18783" s="34" t="s">
        <v>19710</v>
      </c>
      <c r="CZ18783" s="35">
        <v>2.9729722222222227E-2</v>
      </c>
    </row>
    <row r="18784" spans="103:104" x14ac:dyDescent="0.3">
      <c r="CY18784" s="34" t="s">
        <v>19711</v>
      </c>
      <c r="CZ18784" s="35">
        <v>9.9679577578947368E-2</v>
      </c>
    </row>
    <row r="18785" spans="103:104" x14ac:dyDescent="0.3">
      <c r="CY18785" s="34" t="s">
        <v>19712</v>
      </c>
      <c r="CZ18785" s="35">
        <v>4.3046606000000001E-2</v>
      </c>
    </row>
    <row r="18786" spans="103:104" x14ac:dyDescent="0.3">
      <c r="CY18786" s="34" t="s">
        <v>19713</v>
      </c>
      <c r="CZ18786" s="35">
        <v>3.1848672000000001E-2</v>
      </c>
    </row>
    <row r="18787" spans="103:104" x14ac:dyDescent="0.3">
      <c r="CY18787" s="34" t="s">
        <v>19714</v>
      </c>
      <c r="CZ18787" s="35">
        <v>3.2219872000000011E-2</v>
      </c>
    </row>
    <row r="18788" spans="103:104" x14ac:dyDescent="0.3">
      <c r="CY18788" s="34" t="s">
        <v>19715</v>
      </c>
      <c r="CZ18788" s="35">
        <v>4.3046606000000001E-2</v>
      </c>
    </row>
    <row r="18789" spans="103:104" x14ac:dyDescent="0.3">
      <c r="CY18789" s="34" t="s">
        <v>19716</v>
      </c>
      <c r="CZ18789" s="35">
        <v>3.2390304000000002E-2</v>
      </c>
    </row>
    <row r="18790" spans="103:104" x14ac:dyDescent="0.3">
      <c r="CY18790" s="34" t="s">
        <v>19717</v>
      </c>
      <c r="CZ18790" s="35">
        <v>3.2233904000000001E-2</v>
      </c>
    </row>
    <row r="18791" spans="103:104" x14ac:dyDescent="0.3">
      <c r="CY18791" s="34" t="s">
        <v>19718</v>
      </c>
      <c r="CZ18791" s="35">
        <v>5.4621189890109896E-4</v>
      </c>
    </row>
    <row r="18792" spans="103:104" x14ac:dyDescent="0.3">
      <c r="CY18792" s="34" t="s">
        <v>19719</v>
      </c>
      <c r="CZ18792" s="35">
        <v>7.5488779780219766E-4</v>
      </c>
    </row>
    <row r="18793" spans="103:104" x14ac:dyDescent="0.3">
      <c r="CY18793" s="34" t="s">
        <v>19720</v>
      </c>
      <c r="CZ18793" s="35">
        <v>6.5477083900000004E-3</v>
      </c>
    </row>
    <row r="18794" spans="103:104" x14ac:dyDescent="0.3">
      <c r="CY18794" s="34" t="s">
        <v>19721</v>
      </c>
      <c r="CZ18794" s="35">
        <v>6.5477083900000012E-3</v>
      </c>
    </row>
    <row r="18795" spans="103:104" x14ac:dyDescent="0.3">
      <c r="CY18795" s="34" t="s">
        <v>19722</v>
      </c>
      <c r="CZ18795" s="35">
        <v>1.9246543087999998E-2</v>
      </c>
    </row>
    <row r="18796" spans="103:104" x14ac:dyDescent="0.3">
      <c r="CY18796" s="34" t="s">
        <v>19723</v>
      </c>
      <c r="CZ18796" s="35">
        <v>1.9246543088000001E-2</v>
      </c>
    </row>
    <row r="18797" spans="103:104" x14ac:dyDescent="0.3">
      <c r="CY18797" s="34" t="s">
        <v>19724</v>
      </c>
      <c r="CZ18797" s="35">
        <v>3.3651405720000007E-3</v>
      </c>
    </row>
    <row r="18798" spans="103:104" x14ac:dyDescent="0.3">
      <c r="CY18798" s="34" t="s">
        <v>19725</v>
      </c>
      <c r="CZ18798" s="35">
        <v>3.3651405720000003E-3</v>
      </c>
    </row>
    <row r="18799" spans="103:104" x14ac:dyDescent="0.3">
      <c r="CY18799" s="34" t="s">
        <v>19726</v>
      </c>
      <c r="CZ18799" s="35">
        <v>2.2407836469999998E-2</v>
      </c>
    </row>
    <row r="18800" spans="103:104" x14ac:dyDescent="0.3">
      <c r="CY18800" s="34" t="s">
        <v>19727</v>
      </c>
      <c r="CZ18800" s="35">
        <v>2.2407836469999998E-2</v>
      </c>
    </row>
    <row r="18801" spans="103:104" x14ac:dyDescent="0.3">
      <c r="CY18801" s="34" t="s">
        <v>19728</v>
      </c>
      <c r="CZ18801" s="35">
        <v>9.1455914659999988E-3</v>
      </c>
    </row>
    <row r="18802" spans="103:104" x14ac:dyDescent="0.3">
      <c r="CY18802" s="34" t="s">
        <v>19729</v>
      </c>
      <c r="CZ18802" s="35">
        <v>9.1455914659999988E-3</v>
      </c>
    </row>
    <row r="18803" spans="103:104" x14ac:dyDescent="0.3">
      <c r="CY18803" s="34" t="s">
        <v>19730</v>
      </c>
      <c r="CZ18803" s="35">
        <v>2.5535757720000006E-3</v>
      </c>
    </row>
    <row r="18804" spans="103:104" x14ac:dyDescent="0.3">
      <c r="CY18804" s="34" t="s">
        <v>19731</v>
      </c>
      <c r="CZ18804" s="35">
        <v>2.5535757666666666E-3</v>
      </c>
    </row>
    <row r="18805" spans="103:104" x14ac:dyDescent="0.3">
      <c r="CY18805" s="34" t="s">
        <v>19732</v>
      </c>
      <c r="CZ18805" s="35">
        <v>8.898675671999999E-3</v>
      </c>
    </row>
    <row r="18806" spans="103:104" x14ac:dyDescent="0.3">
      <c r="CY18806" s="34" t="s">
        <v>19733</v>
      </c>
      <c r="CZ18806" s="35">
        <v>8.898675671999999E-3</v>
      </c>
    </row>
    <row r="18807" spans="103:104" x14ac:dyDescent="0.3">
      <c r="CY18807" s="34" t="s">
        <v>19734</v>
      </c>
      <c r="CZ18807" s="35">
        <v>2.1559733720000001E-3</v>
      </c>
    </row>
    <row r="18808" spans="103:104" x14ac:dyDescent="0.3">
      <c r="CY18808" s="34" t="s">
        <v>19735</v>
      </c>
      <c r="CZ18808" s="35">
        <v>2.1559733720000001E-3</v>
      </c>
    </row>
    <row r="18809" spans="103:104" x14ac:dyDescent="0.3">
      <c r="CY18809" s="34" t="s">
        <v>19736</v>
      </c>
      <c r="CZ18809" s="35">
        <v>2.7698801720000004E-3</v>
      </c>
    </row>
    <row r="18810" spans="103:104" x14ac:dyDescent="0.3">
      <c r="CY18810" s="34" t="s">
        <v>19737</v>
      </c>
      <c r="CZ18810" s="35">
        <v>2.7698801720000004E-3</v>
      </c>
    </row>
    <row r="18811" spans="103:104" x14ac:dyDescent="0.3">
      <c r="CY18811" s="34" t="s">
        <v>19738</v>
      </c>
      <c r="CZ18811" s="35">
        <v>1.21677641E-3</v>
      </c>
    </row>
    <row r="18812" spans="103:104" x14ac:dyDescent="0.3">
      <c r="CY18812" s="34" t="s">
        <v>19739</v>
      </c>
      <c r="CZ18812" s="35">
        <v>1.21677641E-3</v>
      </c>
    </row>
    <row r="18813" spans="103:104" x14ac:dyDescent="0.3">
      <c r="CY18813" s="34" t="s">
        <v>19740</v>
      </c>
      <c r="CZ18813" s="35">
        <v>4.3543528E-3</v>
      </c>
    </row>
    <row r="18814" spans="103:104" x14ac:dyDescent="0.3">
      <c r="CY18814" s="34" t="s">
        <v>19741</v>
      </c>
      <c r="CZ18814" s="35">
        <v>4.3543528000000008E-3</v>
      </c>
    </row>
    <row r="18815" spans="103:104" x14ac:dyDescent="0.3">
      <c r="CY18815" s="34" t="s">
        <v>19742</v>
      </c>
      <c r="CZ18815" s="35">
        <v>1.5536276566666668E-2</v>
      </c>
    </row>
    <row r="18816" spans="103:104" x14ac:dyDescent="0.3">
      <c r="CY18816" s="34" t="s">
        <v>19743</v>
      </c>
      <c r="CZ18816" s="35">
        <v>1.5536276566666668E-2</v>
      </c>
    </row>
    <row r="18817" spans="103:104" x14ac:dyDescent="0.3">
      <c r="CY18817" s="34" t="s">
        <v>19744</v>
      </c>
      <c r="CZ18817" s="35">
        <v>2.3530776000000001E-3</v>
      </c>
    </row>
    <row r="18818" spans="103:104" x14ac:dyDescent="0.3">
      <c r="CY18818" s="34" t="s">
        <v>19745</v>
      </c>
      <c r="CZ18818" s="35">
        <v>2.3880694666666672E-3</v>
      </c>
    </row>
    <row r="18819" spans="103:104" x14ac:dyDescent="0.3">
      <c r="CY18819" s="34" t="s">
        <v>19746</v>
      </c>
      <c r="CZ18819" s="35">
        <v>2.3190694666666671E-3</v>
      </c>
    </row>
    <row r="18820" spans="103:104" x14ac:dyDescent="0.3">
      <c r="CY18820" s="34" t="s">
        <v>19747</v>
      </c>
      <c r="CZ18820" s="35">
        <v>2.3262277333333335E-3</v>
      </c>
    </row>
    <row r="18821" spans="103:104" x14ac:dyDescent="0.3">
      <c r="CY18821" s="34" t="s">
        <v>19748</v>
      </c>
      <c r="CZ18821" s="35">
        <v>2.3262277333333335E-3</v>
      </c>
    </row>
    <row r="18822" spans="103:104" x14ac:dyDescent="0.3">
      <c r="CY18822" s="34" t="s">
        <v>19749</v>
      </c>
      <c r="CZ18822" s="35">
        <v>9.4154600000000005E-3</v>
      </c>
    </row>
    <row r="18823" spans="103:104" x14ac:dyDescent="0.3">
      <c r="CY18823" s="34" t="s">
        <v>19750</v>
      </c>
      <c r="CZ18823" s="35">
        <v>9.4154599999999988E-3</v>
      </c>
    </row>
    <row r="18824" spans="103:104" x14ac:dyDescent="0.3">
      <c r="CY18824" s="34" t="s">
        <v>19751</v>
      </c>
      <c r="CZ18824" s="35">
        <v>1.1832815199999999E-2</v>
      </c>
    </row>
    <row r="18825" spans="103:104" x14ac:dyDescent="0.3">
      <c r="CY18825" s="34" t="s">
        <v>19752</v>
      </c>
      <c r="CZ18825" s="35">
        <v>1.1832815199999997E-2</v>
      </c>
    </row>
    <row r="18826" spans="103:104" x14ac:dyDescent="0.3">
      <c r="CY18826" s="34" t="s">
        <v>19753</v>
      </c>
      <c r="CZ18826" s="35">
        <v>1.8413776533333331E-3</v>
      </c>
    </row>
    <row r="18827" spans="103:104" x14ac:dyDescent="0.3">
      <c r="CY18827" s="34" t="s">
        <v>19754</v>
      </c>
      <c r="CZ18827" s="35">
        <v>1.8413776533333331E-3</v>
      </c>
    </row>
    <row r="18828" spans="103:104" x14ac:dyDescent="0.3">
      <c r="CY18828" s="34" t="s">
        <v>19755</v>
      </c>
      <c r="CZ18828" s="35">
        <v>0.46937592</v>
      </c>
    </row>
    <row r="18829" spans="103:104" x14ac:dyDescent="0.3">
      <c r="CY18829" s="34" t="s">
        <v>19756</v>
      </c>
      <c r="CZ18829" s="35">
        <v>0.46091128000000009</v>
      </c>
    </row>
    <row r="18830" spans="103:104" x14ac:dyDescent="0.3">
      <c r="CY18830" s="34" t="s">
        <v>19757</v>
      </c>
      <c r="CZ18830" s="35">
        <v>4.0849800000000006E-2</v>
      </c>
    </row>
    <row r="18831" spans="103:104" x14ac:dyDescent="0.3">
      <c r="CY18831" s="34" t="s">
        <v>19758</v>
      </c>
      <c r="CZ18831" s="35">
        <v>6.843653333333333E-4</v>
      </c>
    </row>
    <row r="18832" spans="103:104" x14ac:dyDescent="0.3">
      <c r="CY18832" s="34" t="s">
        <v>19759</v>
      </c>
      <c r="CZ18832" s="35">
        <v>2.45614756E-2</v>
      </c>
    </row>
    <row r="18833" spans="103:104" x14ac:dyDescent="0.3">
      <c r="CY18833" s="34" t="s">
        <v>19760</v>
      </c>
      <c r="CZ18833" s="35">
        <v>1.3215049999999999E-2</v>
      </c>
    </row>
    <row r="18834" spans="103:104" x14ac:dyDescent="0.3">
      <c r="CY18834" s="34" t="s">
        <v>19761</v>
      </c>
      <c r="CZ18834" s="35">
        <v>4.4732040790000004E-2</v>
      </c>
    </row>
    <row r="18835" spans="103:104" x14ac:dyDescent="0.3">
      <c r="CY18835" s="34" t="s">
        <v>19762</v>
      </c>
      <c r="CZ18835" s="35">
        <v>1.3423049999999999E-2</v>
      </c>
    </row>
    <row r="18836" spans="103:104" x14ac:dyDescent="0.3">
      <c r="CY18836" s="34" t="s">
        <v>19763</v>
      </c>
      <c r="CZ18836" s="35">
        <v>9.0332689200000003E-3</v>
      </c>
    </row>
    <row r="18837" spans="103:104" x14ac:dyDescent="0.3">
      <c r="CY18837" s="34" t="s">
        <v>19764</v>
      </c>
      <c r="CZ18837" s="35">
        <v>4.9934729999999991E-4</v>
      </c>
    </row>
    <row r="18838" spans="103:104" x14ac:dyDescent="0.3">
      <c r="CY18838" s="34" t="s">
        <v>19765</v>
      </c>
      <c r="CZ18838" s="35">
        <v>2.4793545000000002E-3</v>
      </c>
    </row>
    <row r="18839" spans="103:104" x14ac:dyDescent="0.3">
      <c r="CY18839" s="34" t="s">
        <v>19766</v>
      </c>
      <c r="CZ18839" s="35">
        <v>0.39643349999999999</v>
      </c>
    </row>
    <row r="18840" spans="103:104" x14ac:dyDescent="0.3">
      <c r="CY18840" s="34" t="s">
        <v>19767</v>
      </c>
      <c r="CZ18840" s="35">
        <v>2.6139904000000002E-3</v>
      </c>
    </row>
    <row r="18841" spans="103:104" x14ac:dyDescent="0.3">
      <c r="CY18841" s="34" t="s">
        <v>19768</v>
      </c>
      <c r="CZ18841" s="35">
        <v>4.2277439999999993E-2</v>
      </c>
    </row>
    <row r="18842" spans="103:104" x14ac:dyDescent="0.3">
      <c r="CY18842" s="34" t="s">
        <v>19769</v>
      </c>
      <c r="CZ18842" s="35">
        <v>5.6863000000000004E-2</v>
      </c>
    </row>
    <row r="18843" spans="103:104" x14ac:dyDescent="0.3">
      <c r="CY18843" s="34" t="s">
        <v>19770</v>
      </c>
      <c r="CZ18843" s="35">
        <v>9.9388599999999994E-2</v>
      </c>
    </row>
    <row r="18844" spans="103:104" x14ac:dyDescent="0.3">
      <c r="CY18844" s="34" t="s">
        <v>19771</v>
      </c>
      <c r="CZ18844" s="35">
        <v>2.4948023999999999E-2</v>
      </c>
    </row>
    <row r="18845" spans="103:104" x14ac:dyDescent="0.3">
      <c r="CY18845" s="34" t="s">
        <v>19772</v>
      </c>
      <c r="CZ18845" s="35">
        <v>4.8543360000000001E-2</v>
      </c>
    </row>
    <row r="18846" spans="103:104" x14ac:dyDescent="0.3">
      <c r="CY18846" s="34" t="s">
        <v>19773</v>
      </c>
      <c r="CZ18846" s="35">
        <v>5.0515200000000003E-2</v>
      </c>
    </row>
    <row r="18847" spans="103:104" x14ac:dyDescent="0.3">
      <c r="CY18847" s="34" t="s">
        <v>19774</v>
      </c>
      <c r="CZ18847" s="35">
        <v>5.9424655999999999E-2</v>
      </c>
    </row>
    <row r="18848" spans="103:104" x14ac:dyDescent="0.3">
      <c r="CY18848" s="34" t="s">
        <v>19775</v>
      </c>
      <c r="CZ18848" s="35">
        <v>5.6715000000000003E-3</v>
      </c>
    </row>
    <row r="18849" spans="103:104" x14ac:dyDescent="0.3">
      <c r="CY18849" s="34" t="s">
        <v>19776</v>
      </c>
      <c r="CZ18849" s="35">
        <v>5.6715000000000003E-3</v>
      </c>
    </row>
    <row r="18850" spans="103:104" x14ac:dyDescent="0.3">
      <c r="CY18850" s="34" t="s">
        <v>19777</v>
      </c>
      <c r="CZ18850" s="35">
        <v>1.6948386650000001E-2</v>
      </c>
    </row>
    <row r="18851" spans="103:104" x14ac:dyDescent="0.3">
      <c r="CY18851" s="34" t="s">
        <v>19778</v>
      </c>
      <c r="CZ18851" s="35">
        <v>8.6900243200000005E-2</v>
      </c>
    </row>
    <row r="18852" spans="103:104" x14ac:dyDescent="0.3">
      <c r="CY18852" s="34" t="s">
        <v>19779</v>
      </c>
      <c r="CZ18852" s="35">
        <v>8.6900243200000005E-2</v>
      </c>
    </row>
    <row r="18853" spans="103:104" x14ac:dyDescent="0.3">
      <c r="CY18853" s="34" t="s">
        <v>19780</v>
      </c>
      <c r="CZ18853" s="35">
        <v>0.13158951200000002</v>
      </c>
    </row>
    <row r="18854" spans="103:104" x14ac:dyDescent="0.3">
      <c r="CY18854" s="34" t="s">
        <v>19781</v>
      </c>
      <c r="CZ18854" s="35">
        <v>0.119926952</v>
      </c>
    </row>
    <row r="18855" spans="103:104" x14ac:dyDescent="0.3">
      <c r="CY18855" s="34" t="s">
        <v>19782</v>
      </c>
      <c r="CZ18855" s="35">
        <v>3.7928666649999997E-3</v>
      </c>
    </row>
    <row r="18856" spans="103:104" x14ac:dyDescent="0.3">
      <c r="CY18856" s="34" t="s">
        <v>19783</v>
      </c>
      <c r="CZ18856" s="35">
        <v>2.8042866664999999E-2</v>
      </c>
    </row>
    <row r="18857" spans="103:104" x14ac:dyDescent="0.3">
      <c r="CY18857" s="34" t="s">
        <v>19784</v>
      </c>
      <c r="CZ18857" s="35">
        <v>3.3990625000000002E-3</v>
      </c>
    </row>
    <row r="18858" spans="103:104" x14ac:dyDescent="0.3">
      <c r="CY18858" s="34" t="s">
        <v>19785</v>
      </c>
      <c r="CZ18858" s="35">
        <v>9.8333333333333345E-3</v>
      </c>
    </row>
    <row r="18859" spans="103:104" x14ac:dyDescent="0.3">
      <c r="CY18859" s="34" t="s">
        <v>19786</v>
      </c>
      <c r="CZ18859" s="35">
        <v>1.0619071999999998E-2</v>
      </c>
    </row>
    <row r="18860" spans="103:104" x14ac:dyDescent="0.3">
      <c r="CY18860" s="34" t="s">
        <v>19787</v>
      </c>
      <c r="CZ18860" s="35">
        <v>2.2267176999999999E-2</v>
      </c>
    </row>
    <row r="18861" spans="103:104" x14ac:dyDescent="0.3">
      <c r="CY18861" s="34" t="s">
        <v>19788</v>
      </c>
      <c r="CZ18861" s="35">
        <v>0.1109441234</v>
      </c>
    </row>
    <row r="18862" spans="103:104" x14ac:dyDescent="0.3">
      <c r="CY18862" s="34" t="s">
        <v>19789</v>
      </c>
      <c r="CZ18862" s="35">
        <v>4.01626E-2</v>
      </c>
    </row>
    <row r="18863" spans="103:104" x14ac:dyDescent="0.3">
      <c r="CY18863" s="34" t="s">
        <v>19790</v>
      </c>
      <c r="CZ18863" s="35">
        <v>4.01626E-2</v>
      </c>
    </row>
    <row r="18864" spans="103:104" x14ac:dyDescent="0.3">
      <c r="CY18864" s="34" t="s">
        <v>19791</v>
      </c>
      <c r="CZ18864" s="35">
        <v>0.78318249600000001</v>
      </c>
    </row>
    <row r="18865" spans="103:104" x14ac:dyDescent="0.3">
      <c r="CY18865" s="34" t="s">
        <v>19792</v>
      </c>
      <c r="CZ18865" s="35">
        <v>0.59114263999999994</v>
      </c>
    </row>
    <row r="18866" spans="103:104" x14ac:dyDescent="0.3">
      <c r="CY18866" s="34" t="s">
        <v>19793</v>
      </c>
      <c r="CZ18866" s="35">
        <v>0.85484199999999999</v>
      </c>
    </row>
    <row r="18867" spans="103:104" x14ac:dyDescent="0.3">
      <c r="CY18867" s="34" t="s">
        <v>19794</v>
      </c>
      <c r="CZ18867" s="35">
        <v>3.2079999999999999E-4</v>
      </c>
    </row>
    <row r="18868" spans="103:104" x14ac:dyDescent="0.3">
      <c r="CY18868" s="34" t="s">
        <v>19795</v>
      </c>
      <c r="CZ18868" s="35">
        <v>3.8709960000000002E-2</v>
      </c>
    </row>
    <row r="18869" spans="103:104" x14ac:dyDescent="0.3">
      <c r="CY18869" s="34" t="s">
        <v>19796</v>
      </c>
      <c r="CZ18869" s="35">
        <v>5.3536220000000002E-2</v>
      </c>
    </row>
    <row r="18870" spans="103:104" x14ac:dyDescent="0.3">
      <c r="CY18870" s="34" t="s">
        <v>19797</v>
      </c>
      <c r="CZ18870" s="35">
        <v>4.9760199999999997E-2</v>
      </c>
    </row>
    <row r="18871" spans="103:104" x14ac:dyDescent="0.3">
      <c r="CY18871" s="34" t="s">
        <v>19798</v>
      </c>
      <c r="CZ18871" s="35">
        <v>0.29022304685</v>
      </c>
    </row>
    <row r="18872" spans="103:104" x14ac:dyDescent="0.3">
      <c r="CY18872" s="34" t="s">
        <v>19799</v>
      </c>
      <c r="CZ18872" s="35">
        <v>0.17635737331818177</v>
      </c>
    </row>
    <row r="18873" spans="103:104" x14ac:dyDescent="0.3">
      <c r="CY18873" s="34" t="s">
        <v>19800</v>
      </c>
      <c r="CZ18873" s="35">
        <v>4.2937575999999998E-3</v>
      </c>
    </row>
    <row r="18874" spans="103:104" x14ac:dyDescent="0.3">
      <c r="CY18874" s="34" t="s">
        <v>19801</v>
      </c>
      <c r="CZ18874" s="35">
        <v>2.9449776470588237E-3</v>
      </c>
    </row>
    <row r="18875" spans="103:104" x14ac:dyDescent="0.3">
      <c r="CY18875" s="34" t="s">
        <v>19802</v>
      </c>
      <c r="CZ18875" s="35">
        <v>2.5693447999999997E-3</v>
      </c>
    </row>
    <row r="18876" spans="103:104" x14ac:dyDescent="0.3">
      <c r="CY18876" s="34" t="s">
        <v>19803</v>
      </c>
      <c r="CZ18876" s="35">
        <v>0.22051997435897439</v>
      </c>
    </row>
    <row r="18877" spans="103:104" x14ac:dyDescent="0.3">
      <c r="CY18877" s="34" t="s">
        <v>19804</v>
      </c>
      <c r="CZ18877" s="35">
        <v>5.5997671799999987E-3</v>
      </c>
    </row>
    <row r="18878" spans="103:104" x14ac:dyDescent="0.3">
      <c r="CY18878" s="34" t="s">
        <v>19805</v>
      </c>
      <c r="CZ18878" s="35">
        <v>4.0503920000000007E-3</v>
      </c>
    </row>
    <row r="18879" spans="103:104" x14ac:dyDescent="0.3">
      <c r="CY18879" s="34" t="s">
        <v>19806</v>
      </c>
      <c r="CZ18879" s="35">
        <v>6.860949506666666E-3</v>
      </c>
    </row>
    <row r="18880" spans="103:104" x14ac:dyDescent="0.3">
      <c r="CY18880" s="34" t="s">
        <v>19807</v>
      </c>
      <c r="CZ18880" s="35">
        <v>4.7850000000000003E-4</v>
      </c>
    </row>
    <row r="18881" spans="103:104" x14ac:dyDescent="0.3">
      <c r="CY18881" s="34" t="s">
        <v>19808</v>
      </c>
      <c r="CZ18881" s="35">
        <v>2.3536363999999998E-4</v>
      </c>
    </row>
    <row r="18882" spans="103:104" x14ac:dyDescent="0.3">
      <c r="CY18882" s="34" t="s">
        <v>19809</v>
      </c>
      <c r="CZ18882" s="35">
        <v>3.2940000000000004E-4</v>
      </c>
    </row>
    <row r="18883" spans="103:104" x14ac:dyDescent="0.3">
      <c r="CY18883" s="34" t="s">
        <v>19810</v>
      </c>
      <c r="CZ18883" s="35">
        <v>2.6108185000000003E-2</v>
      </c>
    </row>
    <row r="18884" spans="103:104" x14ac:dyDescent="0.3">
      <c r="CY18884" s="34" t="s">
        <v>19811</v>
      </c>
      <c r="CZ18884" s="35">
        <v>2.0325340000000001E-2</v>
      </c>
    </row>
    <row r="18885" spans="103:104" x14ac:dyDescent="0.3">
      <c r="CY18885" s="34" t="s">
        <v>19812</v>
      </c>
      <c r="CZ18885" s="35">
        <v>8.1357800000000008E-2</v>
      </c>
    </row>
    <row r="18886" spans="103:104" x14ac:dyDescent="0.3">
      <c r="CY18886" s="34" t="s">
        <v>19813</v>
      </c>
      <c r="CZ18886" s="35">
        <v>5.9944666666666667E-2</v>
      </c>
    </row>
    <row r="18887" spans="103:104" x14ac:dyDescent="0.3">
      <c r="CY18887" s="34" t="s">
        <v>19814</v>
      </c>
      <c r="CZ18887" s="35">
        <v>0.13748505599999999</v>
      </c>
    </row>
    <row r="18888" spans="103:104" x14ac:dyDescent="0.3">
      <c r="CY18888" s="34" t="s">
        <v>19815</v>
      </c>
      <c r="CZ18888" s="35">
        <v>7.7840524000000008E-2</v>
      </c>
    </row>
    <row r="18889" spans="103:104" x14ac:dyDescent="0.3">
      <c r="CY18889" s="34" t="s">
        <v>19816</v>
      </c>
      <c r="CZ18889" s="35">
        <v>9.4300000000000002E-5</v>
      </c>
    </row>
    <row r="18890" spans="103:104" x14ac:dyDescent="0.3">
      <c r="CY18890" s="34" t="s">
        <v>19817</v>
      </c>
      <c r="CZ18890" s="35">
        <v>4.6295159897548496E-2</v>
      </c>
    </row>
    <row r="18891" spans="103:104" x14ac:dyDescent="0.3">
      <c r="CY18891" s="34" t="s">
        <v>19818</v>
      </c>
      <c r="CZ18891" s="35">
        <v>4.0599911500000002E-2</v>
      </c>
    </row>
    <row r="18892" spans="103:104" x14ac:dyDescent="0.3">
      <c r="CY18892" s="34" t="s">
        <v>19819</v>
      </c>
      <c r="CZ18892" s="35">
        <v>4.8288780000000003E-2</v>
      </c>
    </row>
    <row r="18893" spans="103:104" x14ac:dyDescent="0.3">
      <c r="CY18893" s="34" t="s">
        <v>19820</v>
      </c>
      <c r="CZ18893" s="35">
        <v>7.3105543999999981E-2</v>
      </c>
    </row>
    <row r="18894" spans="103:104" x14ac:dyDescent="0.3">
      <c r="CY18894" s="34" t="s">
        <v>19821</v>
      </c>
      <c r="CZ18894" s="35">
        <v>1.1192055999999998E-3</v>
      </c>
    </row>
    <row r="18895" spans="103:104" x14ac:dyDescent="0.3">
      <c r="CY18895" s="34" t="s">
        <v>19822</v>
      </c>
      <c r="CZ18895" s="35">
        <v>4.3798063999999998E-2</v>
      </c>
    </row>
    <row r="18896" spans="103:104" x14ac:dyDescent="0.3">
      <c r="CY18896" s="34" t="s">
        <v>19823</v>
      </c>
      <c r="CZ18896" s="35">
        <v>1.5201115499999999E-2</v>
      </c>
    </row>
    <row r="18897" spans="103:104" x14ac:dyDescent="0.3">
      <c r="CY18897" s="34" t="s">
        <v>19824</v>
      </c>
      <c r="CZ18897" s="35">
        <v>1.2000851199999999E-2</v>
      </c>
    </row>
    <row r="18898" spans="103:104" x14ac:dyDescent="0.3">
      <c r="CY18898" s="34" t="s">
        <v>19825</v>
      </c>
      <c r="CZ18898" s="35">
        <v>0.18312940837499997</v>
      </c>
    </row>
    <row r="18899" spans="103:104" x14ac:dyDescent="0.3">
      <c r="CY18899" s="34" t="s">
        <v>19826</v>
      </c>
      <c r="CZ18899" s="35">
        <v>0.13752257439999999</v>
      </c>
    </row>
    <row r="18900" spans="103:104" x14ac:dyDescent="0.3">
      <c r="CY18900" s="34" t="s">
        <v>19827</v>
      </c>
      <c r="CZ18900" s="35">
        <v>0.13197019339999999</v>
      </c>
    </row>
    <row r="18901" spans="103:104" x14ac:dyDescent="0.3">
      <c r="CY18901" s="34" t="s">
        <v>19828</v>
      </c>
      <c r="CZ18901" s="35">
        <v>4.53624667E-2</v>
      </c>
    </row>
    <row r="18902" spans="103:104" x14ac:dyDescent="0.3">
      <c r="CY18902" s="34" t="s">
        <v>19829</v>
      </c>
      <c r="CZ18902" s="35">
        <v>7.2919575E-2</v>
      </c>
    </row>
    <row r="18903" spans="103:104" x14ac:dyDescent="0.3">
      <c r="CY18903" s="34" t="s">
        <v>19830</v>
      </c>
      <c r="CZ18903" s="35">
        <v>0.12708350000000002</v>
      </c>
    </row>
    <row r="18904" spans="103:104" x14ac:dyDescent="0.3">
      <c r="CY18904" s="34" t="s">
        <v>19831</v>
      </c>
      <c r="CZ18904" s="35">
        <v>1.4412296E-2</v>
      </c>
    </row>
    <row r="18905" spans="103:104" x14ac:dyDescent="0.3">
      <c r="CY18905" s="34" t="s">
        <v>19832</v>
      </c>
      <c r="CZ18905" s="35">
        <v>3.4747047388888889E-2</v>
      </c>
    </row>
    <row r="18906" spans="103:104" x14ac:dyDescent="0.3">
      <c r="CY18906" s="34" t="s">
        <v>19833</v>
      </c>
      <c r="CZ18906" s="35">
        <v>5.4979999999999994E-3</v>
      </c>
    </row>
    <row r="18907" spans="103:104" x14ac:dyDescent="0.3">
      <c r="CY18907" s="34" t="s">
        <v>19834</v>
      </c>
      <c r="CZ18907" s="35">
        <v>9.0578666666666658E-3</v>
      </c>
    </row>
    <row r="18908" spans="103:104" x14ac:dyDescent="0.3">
      <c r="CY18908" s="34" t="s">
        <v>19835</v>
      </c>
      <c r="CZ18908" s="35">
        <v>2.3074352000000001E-3</v>
      </c>
    </row>
    <row r="18909" spans="103:104" x14ac:dyDescent="0.3">
      <c r="CY18909" s="34" t="s">
        <v>19836</v>
      </c>
      <c r="CZ18909" s="35">
        <v>5.1627504166660003E-2</v>
      </c>
    </row>
    <row r="18910" spans="103:104" x14ac:dyDescent="0.3">
      <c r="CY18910" s="34" t="s">
        <v>19837</v>
      </c>
      <c r="CZ18910" s="35">
        <v>5.162750416666001E-2</v>
      </c>
    </row>
    <row r="18911" spans="103:104" x14ac:dyDescent="0.3">
      <c r="CY18911" s="34" t="s">
        <v>19838</v>
      </c>
      <c r="CZ18911" s="35">
        <v>0.10667794332500001</v>
      </c>
    </row>
    <row r="18912" spans="103:104" x14ac:dyDescent="0.3">
      <c r="CY18912" s="34" t="s">
        <v>19839</v>
      </c>
      <c r="CZ18912" s="35">
        <v>0.13823191333333332</v>
      </c>
    </row>
    <row r="18913" spans="103:104" x14ac:dyDescent="0.3">
      <c r="CY18913" s="34" t="s">
        <v>19840</v>
      </c>
      <c r="CZ18913" s="35">
        <v>9.5014333300000003E-2</v>
      </c>
    </row>
    <row r="18914" spans="103:104" x14ac:dyDescent="0.3">
      <c r="CY18914" s="34" t="s">
        <v>19841</v>
      </c>
      <c r="CZ18914" s="35">
        <v>5.7272713333333322E-2</v>
      </c>
    </row>
    <row r="18915" spans="103:104" x14ac:dyDescent="0.3">
      <c r="CY18915" s="34" t="s">
        <v>19842</v>
      </c>
      <c r="CZ18915" s="35">
        <v>8.7122533337500002E-2</v>
      </c>
    </row>
    <row r="18916" spans="103:104" x14ac:dyDescent="0.3">
      <c r="CY18916" s="34" t="s">
        <v>19843</v>
      </c>
      <c r="CZ18916" s="35">
        <v>4.3642199999999992E-2</v>
      </c>
    </row>
    <row r="18917" spans="103:104" x14ac:dyDescent="0.3">
      <c r="CY18917" s="34" t="s">
        <v>19844</v>
      </c>
      <c r="CZ18917" s="35">
        <v>6.0613130825E-2</v>
      </c>
    </row>
    <row r="18918" spans="103:104" x14ac:dyDescent="0.3">
      <c r="CY18918" s="34" t="s">
        <v>19845</v>
      </c>
      <c r="CZ18918" s="35">
        <v>8.2105213325000009E-2</v>
      </c>
    </row>
    <row r="18919" spans="103:104" x14ac:dyDescent="0.3">
      <c r="CY18919" s="34" t="s">
        <v>19846</v>
      </c>
      <c r="CZ18919" s="35">
        <v>8.949473333333334E-2</v>
      </c>
    </row>
    <row r="18920" spans="103:104" x14ac:dyDescent="0.3">
      <c r="CY18920" s="34" t="s">
        <v>19847</v>
      </c>
      <c r="CZ18920" s="35">
        <v>4.3160039999999997E-2</v>
      </c>
    </row>
    <row r="18921" spans="103:104" x14ac:dyDescent="0.3">
      <c r="CY18921" s="34" t="s">
        <v>19848</v>
      </c>
      <c r="CZ18921" s="35">
        <v>6.0498080000000003E-2</v>
      </c>
    </row>
    <row r="18922" spans="103:104" x14ac:dyDescent="0.3">
      <c r="CY18922" s="34" t="s">
        <v>19849</v>
      </c>
      <c r="CZ18922" s="35">
        <v>7.6893013350000011E-2</v>
      </c>
    </row>
    <row r="18923" spans="103:104" x14ac:dyDescent="0.3">
      <c r="CY18923" s="34" t="s">
        <v>19850</v>
      </c>
      <c r="CZ18923" s="35">
        <v>9.9521983325000021E-2</v>
      </c>
    </row>
    <row r="18924" spans="103:104" x14ac:dyDescent="0.3">
      <c r="CY18924" s="34" t="s">
        <v>19851</v>
      </c>
      <c r="CZ18924" s="35">
        <v>3.7128174999999999E-2</v>
      </c>
    </row>
    <row r="18925" spans="103:104" x14ac:dyDescent="0.3">
      <c r="CY18925" s="34" t="s">
        <v>19852</v>
      </c>
      <c r="CZ18925" s="35">
        <v>1.232E-3</v>
      </c>
    </row>
    <row r="18926" spans="103:104" x14ac:dyDescent="0.3">
      <c r="CY18926" s="34" t="s">
        <v>19853</v>
      </c>
      <c r="CZ18926" s="35">
        <v>9.2426734000000004E-4</v>
      </c>
    </row>
    <row r="18927" spans="103:104" x14ac:dyDescent="0.3">
      <c r="CY18927" s="34" t="s">
        <v>19854</v>
      </c>
      <c r="CZ18927" s="35">
        <v>6.1837403999999993E-3</v>
      </c>
    </row>
    <row r="18928" spans="103:104" x14ac:dyDescent="0.3">
      <c r="CY18928" s="34" t="s">
        <v>19855</v>
      </c>
      <c r="CZ18928" s="35">
        <v>1.1060708799999999E-2</v>
      </c>
    </row>
    <row r="18929" spans="103:104" x14ac:dyDescent="0.3">
      <c r="CY18929" s="34" t="s">
        <v>19856</v>
      </c>
      <c r="CZ18929" s="35">
        <v>0.13093826660000002</v>
      </c>
    </row>
    <row r="18930" spans="103:104" x14ac:dyDescent="0.3">
      <c r="CY18930" s="34" t="s">
        <v>19857</v>
      </c>
      <c r="CZ18930" s="35">
        <v>0.16422968659999998</v>
      </c>
    </row>
    <row r="18931" spans="103:104" x14ac:dyDescent="0.3">
      <c r="CY18931" s="34" t="s">
        <v>19858</v>
      </c>
      <c r="CZ18931" s="35">
        <v>7.8128632666660008E-2</v>
      </c>
    </row>
    <row r="18932" spans="103:104" x14ac:dyDescent="0.3">
      <c r="CY18932" s="34" t="s">
        <v>19859</v>
      </c>
      <c r="CZ18932" s="35">
        <v>6.6020207999999995E-3</v>
      </c>
    </row>
    <row r="18933" spans="103:104" x14ac:dyDescent="0.3">
      <c r="CY18933" s="34" t="s">
        <v>19860</v>
      </c>
      <c r="CZ18933" s="35">
        <v>8.1633050000000009E-3</v>
      </c>
    </row>
    <row r="18934" spans="103:104" x14ac:dyDescent="0.3">
      <c r="CY18934" s="34" t="s">
        <v>19861</v>
      </c>
      <c r="CZ18934" s="35">
        <v>8.1633050000000009E-3</v>
      </c>
    </row>
    <row r="18935" spans="103:104" x14ac:dyDescent="0.3">
      <c r="CY18935" s="34" t="s">
        <v>19862</v>
      </c>
      <c r="CZ18935" s="35">
        <v>8.9299480000000001E-3</v>
      </c>
    </row>
    <row r="18936" spans="103:104" x14ac:dyDescent="0.3">
      <c r="CY18936" s="34" t="s">
        <v>19863</v>
      </c>
      <c r="CZ18936" s="35">
        <v>9.8758696E-3</v>
      </c>
    </row>
    <row r="18937" spans="103:104" x14ac:dyDescent="0.3">
      <c r="CY18937" s="34" t="s">
        <v>19864</v>
      </c>
      <c r="CZ18937" s="35">
        <v>4.9223880000000006E-3</v>
      </c>
    </row>
    <row r="18938" spans="103:104" x14ac:dyDescent="0.3">
      <c r="CY18938" s="34" t="s">
        <v>19865</v>
      </c>
      <c r="CZ18938" s="35">
        <v>7.5575570000000012E-3</v>
      </c>
    </row>
    <row r="18939" spans="103:104" x14ac:dyDescent="0.3">
      <c r="CY18939" s="34" t="s">
        <v>19866</v>
      </c>
      <c r="CZ18939" s="35">
        <v>7.5575570000000003E-3</v>
      </c>
    </row>
    <row r="18940" spans="103:104" x14ac:dyDescent="0.3">
      <c r="CY18940" s="34" t="s">
        <v>19867</v>
      </c>
      <c r="CZ18940" s="35">
        <v>2.4359820000000002E-3</v>
      </c>
    </row>
    <row r="18941" spans="103:104" x14ac:dyDescent="0.3">
      <c r="CY18941" s="34" t="s">
        <v>19868</v>
      </c>
      <c r="CZ18941" s="35">
        <v>3.9999457999999998E-3</v>
      </c>
    </row>
    <row r="18942" spans="103:104" x14ac:dyDescent="0.3">
      <c r="CY18942" s="34" t="s">
        <v>19869</v>
      </c>
      <c r="CZ18942" s="35">
        <v>3.9999457999999989E-3</v>
      </c>
    </row>
    <row r="18943" spans="103:104" x14ac:dyDescent="0.3">
      <c r="CY18943" s="34" t="s">
        <v>19870</v>
      </c>
      <c r="CZ18943" s="35">
        <v>1.7465274E-3</v>
      </c>
    </row>
    <row r="18944" spans="103:104" x14ac:dyDescent="0.3">
      <c r="CY18944" s="34" t="s">
        <v>19871</v>
      </c>
      <c r="CZ18944" s="35">
        <v>1.8625088E-3</v>
      </c>
    </row>
    <row r="18945" spans="103:104" x14ac:dyDescent="0.3">
      <c r="CY18945" s="34" t="s">
        <v>19872</v>
      </c>
      <c r="CZ18945" s="35">
        <v>8.8203064000000005E-4</v>
      </c>
    </row>
    <row r="18946" spans="103:104" x14ac:dyDescent="0.3">
      <c r="CY18946" s="34" t="s">
        <v>19873</v>
      </c>
      <c r="CZ18946" s="35">
        <v>0.78566154600000004</v>
      </c>
    </row>
    <row r="18947" spans="103:104" x14ac:dyDescent="0.3">
      <c r="CY18947" s="34" t="s">
        <v>19874</v>
      </c>
      <c r="CZ18947" s="35">
        <v>0.68137544199999989</v>
      </c>
    </row>
    <row r="18948" spans="103:104" x14ac:dyDescent="0.3">
      <c r="CY18948" s="34" t="s">
        <v>19875</v>
      </c>
      <c r="CZ18948" s="35">
        <v>0.51889083299999994</v>
      </c>
    </row>
    <row r="18949" spans="103:104" x14ac:dyDescent="0.3">
      <c r="CY18949" s="34" t="s">
        <v>19876</v>
      </c>
      <c r="CZ18949" s="35">
        <v>0.9079100200000001</v>
      </c>
    </row>
    <row r="18950" spans="103:104" x14ac:dyDescent="0.3">
      <c r="CY18950" s="34" t="s">
        <v>19877</v>
      </c>
      <c r="CZ18950" s="35">
        <v>0.59091851200000001</v>
      </c>
    </row>
    <row r="18951" spans="103:104" x14ac:dyDescent="0.3">
      <c r="CY18951" s="34" t="s">
        <v>19878</v>
      </c>
      <c r="CZ18951" s="35">
        <v>0.66865300000000005</v>
      </c>
    </row>
    <row r="18952" spans="103:104" x14ac:dyDescent="0.3">
      <c r="CY18952" s="34" t="s">
        <v>19879</v>
      </c>
      <c r="CZ18952" s="35">
        <v>6.4754040000000006E-3</v>
      </c>
    </row>
    <row r="18953" spans="103:104" x14ac:dyDescent="0.3">
      <c r="CY18953" s="34" t="s">
        <v>19880</v>
      </c>
      <c r="CZ18953" s="35">
        <v>5.7487120000000003E-2</v>
      </c>
    </row>
    <row r="18954" spans="103:104" x14ac:dyDescent="0.3">
      <c r="CY18954" s="34" t="s">
        <v>19881</v>
      </c>
      <c r="CZ18954" s="35">
        <v>6.6779358499999997E-2</v>
      </c>
    </row>
    <row r="18955" spans="103:104" x14ac:dyDescent="0.3">
      <c r="CY18955" s="34" t="s">
        <v>19882</v>
      </c>
      <c r="CZ18955" s="35">
        <v>0.1562375</v>
      </c>
    </row>
    <row r="18956" spans="103:104" x14ac:dyDescent="0.3">
      <c r="CY18956" s="34" t="s">
        <v>19883</v>
      </c>
      <c r="CZ18956" s="35">
        <v>0.16309833330000001</v>
      </c>
    </row>
    <row r="18957" spans="103:104" x14ac:dyDescent="0.3">
      <c r="CY18957" s="34" t="s">
        <v>19884</v>
      </c>
      <c r="CZ18957" s="35">
        <v>6.4874714E-2</v>
      </c>
    </row>
    <row r="18958" spans="103:104" x14ac:dyDescent="0.3">
      <c r="CY18958" s="34" t="s">
        <v>19885</v>
      </c>
      <c r="CZ18958" s="35">
        <v>0.12505833333333333</v>
      </c>
    </row>
    <row r="18959" spans="103:104" x14ac:dyDescent="0.3">
      <c r="CY18959" s="34" t="s">
        <v>19886</v>
      </c>
      <c r="CZ18959" s="35">
        <v>0.26361084000000001</v>
      </c>
    </row>
    <row r="18960" spans="103:104" x14ac:dyDescent="0.3">
      <c r="CY18960" s="34" t="s">
        <v>19887</v>
      </c>
      <c r="CZ18960" s="35">
        <v>2.5015857777777777E-3</v>
      </c>
    </row>
    <row r="18961" spans="103:104" x14ac:dyDescent="0.3">
      <c r="CY18961" s="34" t="s">
        <v>19888</v>
      </c>
      <c r="CZ18961" s="35">
        <v>3.3794097777777778E-3</v>
      </c>
    </row>
    <row r="18962" spans="103:104" x14ac:dyDescent="0.3">
      <c r="CY18962" s="34" t="s">
        <v>19889</v>
      </c>
      <c r="CZ18962" s="35">
        <v>4.9496823703703702E-3</v>
      </c>
    </row>
    <row r="18963" spans="103:104" x14ac:dyDescent="0.3">
      <c r="CY18963" s="34" t="s">
        <v>19890</v>
      </c>
      <c r="CZ18963" s="35">
        <v>5.7990903703703705E-3</v>
      </c>
    </row>
    <row r="18964" spans="103:104" x14ac:dyDescent="0.3">
      <c r="CY18964" s="34" t="s">
        <v>19891</v>
      </c>
      <c r="CZ18964" s="35">
        <v>2.2486977777777774E-2</v>
      </c>
    </row>
    <row r="18965" spans="103:104" x14ac:dyDescent="0.3">
      <c r="CY18965" s="34" t="s">
        <v>19892</v>
      </c>
      <c r="CZ18965" s="35">
        <v>1.4180293333333331E-3</v>
      </c>
    </row>
    <row r="18966" spans="103:104" x14ac:dyDescent="0.3">
      <c r="CY18966" s="34" t="s">
        <v>19893</v>
      </c>
      <c r="CZ18966" s="35">
        <v>1.1401506666666667E-3</v>
      </c>
    </row>
    <row r="18967" spans="103:104" x14ac:dyDescent="0.3">
      <c r="CY18967" s="34" t="s">
        <v>19894</v>
      </c>
      <c r="CZ18967" s="35">
        <v>1.3078146666666668E-3</v>
      </c>
    </row>
    <row r="18968" spans="103:104" x14ac:dyDescent="0.3">
      <c r="CY18968" s="34" t="s">
        <v>19895</v>
      </c>
      <c r="CZ18968" s="35">
        <v>1.6192728888888889E-3</v>
      </c>
    </row>
    <row r="18969" spans="103:104" x14ac:dyDescent="0.3">
      <c r="CY18969" s="34" t="s">
        <v>19896</v>
      </c>
      <c r="CZ18969" s="35">
        <v>2.6101848888888893E-3</v>
      </c>
    </row>
    <row r="18970" spans="103:104" x14ac:dyDescent="0.3">
      <c r="CY18970" s="34" t="s">
        <v>19897</v>
      </c>
      <c r="CZ18970" s="35">
        <v>0.16284863999999999</v>
      </c>
    </row>
    <row r="18971" spans="103:104" x14ac:dyDescent="0.3">
      <c r="CY18971" s="34" t="s">
        <v>19898</v>
      </c>
      <c r="CZ18971" s="35">
        <v>5.1124736842105271E-2</v>
      </c>
    </row>
    <row r="18972" spans="103:104" x14ac:dyDescent="0.3">
      <c r="CY18972" s="34" t="s">
        <v>19899</v>
      </c>
      <c r="CZ18972" s="35">
        <v>9.230867999999999E-2</v>
      </c>
    </row>
    <row r="18973" spans="103:104" x14ac:dyDescent="0.3">
      <c r="CY18973" s="34" t="s">
        <v>19900</v>
      </c>
      <c r="CZ18973" s="35">
        <v>7.8048960000000001E-2</v>
      </c>
    </row>
    <row r="18974" spans="103:104" x14ac:dyDescent="0.3">
      <c r="CY18974" s="34" t="s">
        <v>19901</v>
      </c>
      <c r="CZ18974" s="35">
        <v>6.0793559999999996E-2</v>
      </c>
    </row>
    <row r="18975" spans="103:104" x14ac:dyDescent="0.3">
      <c r="CY18975" s="34" t="s">
        <v>19902</v>
      </c>
      <c r="CZ18975" s="35">
        <v>0.10009496</v>
      </c>
    </row>
    <row r="18976" spans="103:104" x14ac:dyDescent="0.3">
      <c r="CY18976" s="34" t="s">
        <v>19903</v>
      </c>
      <c r="CZ18976" s="35">
        <v>1.0028367999999999E-2</v>
      </c>
    </row>
    <row r="18977" spans="103:104" x14ac:dyDescent="0.3">
      <c r="CY18977" s="34" t="s">
        <v>19904</v>
      </c>
      <c r="CZ18977" s="35">
        <v>9.088886400000001E-4</v>
      </c>
    </row>
    <row r="18978" spans="103:104" x14ac:dyDescent="0.3">
      <c r="CY18978" s="34" t="s">
        <v>19905</v>
      </c>
      <c r="CZ18978" s="35">
        <v>7.6238216000000004E-3</v>
      </c>
    </row>
    <row r="18979" spans="103:104" x14ac:dyDescent="0.3">
      <c r="CY18979" s="34" t="s">
        <v>19906</v>
      </c>
      <c r="CZ18979" s="35">
        <v>5.2502025999999989E-4</v>
      </c>
    </row>
    <row r="18980" spans="103:104" x14ac:dyDescent="0.3">
      <c r="CY18980" s="34" t="s">
        <v>19907</v>
      </c>
      <c r="CZ18980" s="35">
        <v>5.9112631578947368E-2</v>
      </c>
    </row>
    <row r="18981" spans="103:104" x14ac:dyDescent="0.3">
      <c r="CY18981" s="34" t="s">
        <v>19908</v>
      </c>
      <c r="CZ18981" s="35">
        <v>6.6067058823529409E-2</v>
      </c>
    </row>
    <row r="18982" spans="103:104" x14ac:dyDescent="0.3">
      <c r="CY18982" s="34" t="s">
        <v>19909</v>
      </c>
      <c r="CZ18982" s="35">
        <v>6.8771250000000006E-2</v>
      </c>
    </row>
    <row r="18983" spans="103:104" x14ac:dyDescent="0.3">
      <c r="CY18983" s="34" t="s">
        <v>19910</v>
      </c>
      <c r="CZ18983" s="35">
        <v>4.3046605700000004E-2</v>
      </c>
    </row>
    <row r="18984" spans="103:104" x14ac:dyDescent="0.3">
      <c r="CY18984" s="34" t="s">
        <v>19911</v>
      </c>
      <c r="CZ18984" s="35">
        <v>3.6008533333333329E-2</v>
      </c>
    </row>
    <row r="18985" spans="103:104" x14ac:dyDescent="0.3">
      <c r="CY18985" s="34" t="s">
        <v>19912</v>
      </c>
      <c r="CZ18985" s="35">
        <v>3.2804983339999996E-2</v>
      </c>
    </row>
    <row r="18986" spans="103:104" x14ac:dyDescent="0.3">
      <c r="CY18986" s="34" t="s">
        <v>19913</v>
      </c>
      <c r="CZ18986" s="35">
        <v>4.5545998339999998E-2</v>
      </c>
    </row>
    <row r="18987" spans="103:104" x14ac:dyDescent="0.3">
      <c r="CY18987" s="34" t="s">
        <v>19914</v>
      </c>
      <c r="CZ18987" s="35">
        <v>4.7718763324999997E-2</v>
      </c>
    </row>
    <row r="18988" spans="103:104" x14ac:dyDescent="0.3">
      <c r="CY18988" s="34" t="s">
        <v>19915</v>
      </c>
      <c r="CZ18988" s="35">
        <v>9.2529613329999996E-2</v>
      </c>
    </row>
    <row r="18989" spans="103:104" x14ac:dyDescent="0.3">
      <c r="CY18989" s="34" t="s">
        <v>19916</v>
      </c>
      <c r="CZ18989" s="35">
        <v>0.18623921249999997</v>
      </c>
    </row>
    <row r="18990" spans="103:104" x14ac:dyDescent="0.3">
      <c r="CY18990" s="34" t="s">
        <v>19917</v>
      </c>
      <c r="CZ18990" s="35">
        <v>6.9166666666666656E-3</v>
      </c>
    </row>
    <row r="18991" spans="103:104" x14ac:dyDescent="0.3">
      <c r="CY18991" s="34" t="s">
        <v>19918</v>
      </c>
      <c r="CZ18991" s="35">
        <v>1.0374999999999999E-2</v>
      </c>
    </row>
    <row r="18992" spans="103:104" x14ac:dyDescent="0.3">
      <c r="CY18992" s="34" t="s">
        <v>19919</v>
      </c>
      <c r="CZ18992" s="35">
        <v>0.11237499999999999</v>
      </c>
    </row>
    <row r="18993" spans="103:104" x14ac:dyDescent="0.3">
      <c r="CY18993" s="34" t="s">
        <v>19920</v>
      </c>
      <c r="CZ18993" s="35">
        <v>1.0374999999999999E-2</v>
      </c>
    </row>
    <row r="18994" spans="103:104" x14ac:dyDescent="0.3">
      <c r="CY18994" s="34" t="s">
        <v>19921</v>
      </c>
      <c r="CZ18994" s="35">
        <v>1.21E-2</v>
      </c>
    </row>
    <row r="18995" spans="103:104" x14ac:dyDescent="0.3">
      <c r="CY18995" s="34" t="s">
        <v>19922</v>
      </c>
      <c r="CZ18995" s="35">
        <v>1.5550000000000001E-2</v>
      </c>
    </row>
    <row r="18996" spans="103:104" x14ac:dyDescent="0.3">
      <c r="CY18996" s="34" t="s">
        <v>19923</v>
      </c>
      <c r="CZ18996" s="35">
        <v>2.4266399999999999E-3</v>
      </c>
    </row>
    <row r="18997" spans="103:104" x14ac:dyDescent="0.3">
      <c r="CY18997" s="34" t="s">
        <v>19924</v>
      </c>
      <c r="CZ18997" s="35">
        <v>1.014736E-3</v>
      </c>
    </row>
    <row r="18998" spans="103:104" x14ac:dyDescent="0.3">
      <c r="CY18998" s="34" t="s">
        <v>19925</v>
      </c>
      <c r="CZ18998" s="35">
        <v>9.8887195120000004E-3</v>
      </c>
    </row>
    <row r="18999" spans="103:104" x14ac:dyDescent="0.3">
      <c r="CY18999" s="34" t="s">
        <v>19926</v>
      </c>
      <c r="CZ18999" s="35">
        <v>0.1406372618125</v>
      </c>
    </row>
    <row r="19000" spans="103:104" x14ac:dyDescent="0.3">
      <c r="CY19000" s="34" t="s">
        <v>19927</v>
      </c>
      <c r="CZ19000" s="35">
        <v>0.14625802667500004</v>
      </c>
    </row>
    <row r="19001" spans="103:104" x14ac:dyDescent="0.3">
      <c r="CY19001" s="34" t="s">
        <v>19928</v>
      </c>
      <c r="CZ19001" s="35">
        <v>0.26201482000000004</v>
      </c>
    </row>
    <row r="19002" spans="103:104" x14ac:dyDescent="0.3">
      <c r="CY19002" s="34" t="s">
        <v>19929</v>
      </c>
      <c r="CZ19002" s="35">
        <v>0.10428184</v>
      </c>
    </row>
    <row r="19003" spans="103:104" x14ac:dyDescent="0.3">
      <c r="CY19003" s="34" t="s">
        <v>19930</v>
      </c>
      <c r="CZ19003" s="35">
        <v>0.13983571800000003</v>
      </c>
    </row>
    <row r="19004" spans="103:104" x14ac:dyDescent="0.3">
      <c r="CY19004" s="34" t="s">
        <v>19931</v>
      </c>
      <c r="CZ19004" s="35">
        <v>0.12462389673913044</v>
      </c>
    </row>
    <row r="19005" spans="103:104" x14ac:dyDescent="0.3">
      <c r="CY19005" s="34" t="s">
        <v>19932</v>
      </c>
      <c r="CZ19005" s="35">
        <v>0.12948021739130433</v>
      </c>
    </row>
    <row r="19006" spans="103:104" x14ac:dyDescent="0.3">
      <c r="CY19006" s="34" t="s">
        <v>19933</v>
      </c>
      <c r="CZ19006" s="35">
        <v>0.30246778947368425</v>
      </c>
    </row>
    <row r="19007" spans="103:104" x14ac:dyDescent="0.3">
      <c r="CY19007" s="34" t="s">
        <v>19934</v>
      </c>
      <c r="CZ19007" s="35">
        <v>0.1865313263157895</v>
      </c>
    </row>
    <row r="19008" spans="103:104" x14ac:dyDescent="0.3">
      <c r="CY19008" s="34" t="s">
        <v>19935</v>
      </c>
      <c r="CZ19008" s="35">
        <v>0.53943498947368429</v>
      </c>
    </row>
    <row r="19009" spans="103:104" x14ac:dyDescent="0.3">
      <c r="CY19009" s="34" t="s">
        <v>19936</v>
      </c>
      <c r="CZ19009" s="35">
        <v>0.53566999999999998</v>
      </c>
    </row>
    <row r="19010" spans="103:104" x14ac:dyDescent="0.3">
      <c r="CY19010" s="34" t="s">
        <v>19937</v>
      </c>
      <c r="CZ19010" s="35">
        <v>0.13759661340000001</v>
      </c>
    </row>
    <row r="19011" spans="103:104" x14ac:dyDescent="0.3">
      <c r="CY19011" s="34" t="s">
        <v>19938</v>
      </c>
      <c r="CZ19011" s="35">
        <v>0.14184953</v>
      </c>
    </row>
    <row r="19012" spans="103:104" x14ac:dyDescent="0.3">
      <c r="CY19012" s="34" t="s">
        <v>19939</v>
      </c>
      <c r="CZ19012" s="35">
        <v>2.530278E-3</v>
      </c>
    </row>
    <row r="19013" spans="103:104" x14ac:dyDescent="0.3">
      <c r="CY19013" s="34" t="s">
        <v>19940</v>
      </c>
      <c r="CZ19013" s="35">
        <v>2.0201460000000001E-2</v>
      </c>
    </row>
    <row r="19014" spans="103:104" x14ac:dyDescent="0.3">
      <c r="CY19014" s="34" t="s">
        <v>19941</v>
      </c>
      <c r="CZ19014" s="35">
        <v>9.0281433333333338E-3</v>
      </c>
    </row>
    <row r="19015" spans="103:104" x14ac:dyDescent="0.3">
      <c r="CY19015" s="34" t="s">
        <v>19942</v>
      </c>
      <c r="CZ19015" s="35">
        <v>2.7752383999999995E-3</v>
      </c>
    </row>
    <row r="19016" spans="103:104" x14ac:dyDescent="0.3">
      <c r="CY19016" s="34" t="s">
        <v>19943</v>
      </c>
      <c r="CZ19016" s="35">
        <v>2.0668132000000003E-3</v>
      </c>
    </row>
    <row r="19017" spans="103:104" x14ac:dyDescent="0.3">
      <c r="CY19017" s="34" t="s">
        <v>19944</v>
      </c>
      <c r="CZ19017" s="35">
        <v>2.0211200000000002E-2</v>
      </c>
    </row>
    <row r="19018" spans="103:104" x14ac:dyDescent="0.3">
      <c r="CY19018" s="34" t="s">
        <v>19945</v>
      </c>
      <c r="CZ19018" s="35">
        <v>1.0969536E-2</v>
      </c>
    </row>
    <row r="19019" spans="103:104" x14ac:dyDescent="0.3">
      <c r="CY19019" s="34" t="s">
        <v>19946</v>
      </c>
      <c r="CZ19019" s="35">
        <v>3.3648302222222229E-3</v>
      </c>
    </row>
    <row r="19020" spans="103:104" x14ac:dyDescent="0.3">
      <c r="CY19020" s="34" t="s">
        <v>19947</v>
      </c>
      <c r="CZ19020" s="35">
        <v>1.9085493333333335E-2</v>
      </c>
    </row>
    <row r="19021" spans="103:104" x14ac:dyDescent="0.3">
      <c r="CY19021" s="34" t="s">
        <v>19948</v>
      </c>
      <c r="CZ19021" s="35">
        <v>0.6883667</v>
      </c>
    </row>
    <row r="19022" spans="103:104" x14ac:dyDescent="0.3">
      <c r="CY19022" s="34" t="s">
        <v>19949</v>
      </c>
      <c r="CZ19022" s="35">
        <v>0.6883667</v>
      </c>
    </row>
    <row r="19023" spans="103:104" x14ac:dyDescent="0.3">
      <c r="CY19023" s="34" t="s">
        <v>19950</v>
      </c>
      <c r="CZ19023" s="35">
        <v>0.68836670000000011</v>
      </c>
    </row>
    <row r="19024" spans="103:104" x14ac:dyDescent="0.3">
      <c r="CY19024" s="34" t="s">
        <v>19951</v>
      </c>
      <c r="CZ19024" s="35">
        <v>0.68836670000000011</v>
      </c>
    </row>
    <row r="19025" spans="103:104" x14ac:dyDescent="0.3">
      <c r="CY19025" s="34" t="s">
        <v>19952</v>
      </c>
      <c r="CZ19025" s="35">
        <v>0.68836670000000011</v>
      </c>
    </row>
    <row r="19026" spans="103:104" x14ac:dyDescent="0.3">
      <c r="CY19026" s="34" t="s">
        <v>19953</v>
      </c>
      <c r="CZ19026" s="35">
        <v>0.53854099999999994</v>
      </c>
    </row>
    <row r="19027" spans="103:104" x14ac:dyDescent="0.3">
      <c r="CY19027" s="34" t="s">
        <v>19954</v>
      </c>
      <c r="CZ19027" s="35">
        <v>4.6879790857142861E-2</v>
      </c>
    </row>
    <row r="19028" spans="103:104" x14ac:dyDescent="0.3">
      <c r="CY19028" s="34" t="s">
        <v>19955</v>
      </c>
      <c r="CZ19028" s="35">
        <v>0.16085581272727273</v>
      </c>
    </row>
    <row r="19029" spans="103:104" x14ac:dyDescent="0.3">
      <c r="CY19029" s="34" t="s">
        <v>19956</v>
      </c>
      <c r="CZ19029" s="35">
        <v>4.5609120000000003E-2</v>
      </c>
    </row>
    <row r="19030" spans="103:104" x14ac:dyDescent="0.3">
      <c r="CY19030" s="34" t="s">
        <v>19957</v>
      </c>
      <c r="CZ19030" s="35">
        <v>2.8902534400000003E-4</v>
      </c>
    </row>
    <row r="19031" spans="103:104" x14ac:dyDescent="0.3">
      <c r="CY19031" s="34" t="s">
        <v>19958</v>
      </c>
      <c r="CZ19031" s="35">
        <v>0.13869129522223334</v>
      </c>
    </row>
    <row r="19032" spans="103:104" x14ac:dyDescent="0.3">
      <c r="CY19032" s="34" t="s">
        <v>19959</v>
      </c>
      <c r="CZ19032" s="35">
        <v>7.5330391999999988E-4</v>
      </c>
    </row>
    <row r="19033" spans="103:104" x14ac:dyDescent="0.3">
      <c r="CY19033" s="34" t="s">
        <v>19960</v>
      </c>
      <c r="CZ19033" s="35">
        <v>1.0314727199999998E-3</v>
      </c>
    </row>
    <row r="19034" spans="103:104" x14ac:dyDescent="0.3">
      <c r="CY19034" s="34" t="s">
        <v>19961</v>
      </c>
      <c r="CZ19034" s="35">
        <v>5.7650736842105267E-3</v>
      </c>
    </row>
    <row r="19035" spans="103:104" x14ac:dyDescent="0.3">
      <c r="CY19035" s="34" t="s">
        <v>19962</v>
      </c>
      <c r="CZ19035" s="35">
        <v>3.61271768E-3</v>
      </c>
    </row>
    <row r="19036" spans="103:104" x14ac:dyDescent="0.3">
      <c r="CY19036" s="34" t="s">
        <v>19963</v>
      </c>
      <c r="CZ19036" s="35">
        <v>3.8549703277775002E-2</v>
      </c>
    </row>
    <row r="19037" spans="103:104" x14ac:dyDescent="0.3">
      <c r="CY19037" s="34" t="s">
        <v>19964</v>
      </c>
      <c r="CZ19037" s="35">
        <v>5.9619567999999994E-3</v>
      </c>
    </row>
    <row r="19038" spans="103:104" x14ac:dyDescent="0.3">
      <c r="CY19038" s="34" t="s">
        <v>19965</v>
      </c>
      <c r="CZ19038" s="35">
        <v>4.5141916000000001E-3</v>
      </c>
    </row>
    <row r="19039" spans="103:104" x14ac:dyDescent="0.3">
      <c r="CY19039" s="34" t="s">
        <v>19966</v>
      </c>
      <c r="CZ19039" s="35">
        <v>8.3076611083400004E-2</v>
      </c>
    </row>
    <row r="19040" spans="103:104" x14ac:dyDescent="0.3">
      <c r="CY19040" s="34" t="s">
        <v>19967</v>
      </c>
      <c r="CZ19040" s="35">
        <v>2.4717706666666666E-4</v>
      </c>
    </row>
    <row r="19041" spans="103:104" x14ac:dyDescent="0.3">
      <c r="CY19041" s="34" t="s">
        <v>19968</v>
      </c>
      <c r="CZ19041" s="35">
        <v>1.7520611764705884E-3</v>
      </c>
    </row>
    <row r="19042" spans="103:104" x14ac:dyDescent="0.3">
      <c r="CY19042" s="34" t="s">
        <v>19969</v>
      </c>
      <c r="CZ19042" s="35">
        <v>0.43235825000000006</v>
      </c>
    </row>
    <row r="19043" spans="103:104" x14ac:dyDescent="0.3">
      <c r="CY19043" s="34" t="s">
        <v>19970</v>
      </c>
      <c r="CZ19043" s="35">
        <v>0.42831785000000006</v>
      </c>
    </row>
    <row r="19044" spans="103:104" x14ac:dyDescent="0.3">
      <c r="CY19044" s="34" t="s">
        <v>19971</v>
      </c>
      <c r="CZ19044" s="35">
        <v>1.1064525333333334E-2</v>
      </c>
    </row>
    <row r="19045" spans="103:104" x14ac:dyDescent="0.3">
      <c r="CY19045" s="34" t="s">
        <v>19972</v>
      </c>
      <c r="CZ19045" s="35">
        <v>3.2666840000000003E-2</v>
      </c>
    </row>
    <row r="19046" spans="103:104" x14ac:dyDescent="0.3">
      <c r="CY19046" s="34" t="s">
        <v>19973</v>
      </c>
      <c r="CZ19046" s="35">
        <v>5.6390880000000004E-3</v>
      </c>
    </row>
    <row r="19047" spans="103:104" x14ac:dyDescent="0.3">
      <c r="CY19047" s="34" t="s">
        <v>19974</v>
      </c>
      <c r="CZ19047" s="35">
        <v>5.9529327999999999E-2</v>
      </c>
    </row>
    <row r="19048" spans="103:104" x14ac:dyDescent="0.3">
      <c r="CY19048" s="34" t="s">
        <v>19975</v>
      </c>
      <c r="CZ19048" s="35">
        <v>7.0280140000000005E-2</v>
      </c>
    </row>
    <row r="19049" spans="103:104" x14ac:dyDescent="0.3">
      <c r="CY19049" s="34" t="s">
        <v>19976</v>
      </c>
      <c r="CZ19049" s="35">
        <v>6.0375000000000004E-5</v>
      </c>
    </row>
    <row r="19050" spans="103:104" x14ac:dyDescent="0.3">
      <c r="CY19050" s="34" t="s">
        <v>19977</v>
      </c>
      <c r="CZ19050" s="35">
        <v>1.9759999999999998E-4</v>
      </c>
    </row>
    <row r="19051" spans="103:104" x14ac:dyDescent="0.3">
      <c r="CY19051" s="34" t="s">
        <v>19978</v>
      </c>
      <c r="CZ19051" s="35">
        <v>4.9977076499999997E-3</v>
      </c>
    </row>
    <row r="19052" spans="103:104" x14ac:dyDescent="0.3">
      <c r="CY19052" s="34" t="s">
        <v>19979</v>
      </c>
      <c r="CZ19052" s="35">
        <v>1.346968E-3</v>
      </c>
    </row>
    <row r="19053" spans="103:104" x14ac:dyDescent="0.3">
      <c r="CY19053" s="34" t="s">
        <v>19980</v>
      </c>
      <c r="CZ19053" s="35">
        <v>1.6467519999999999E-2</v>
      </c>
    </row>
    <row r="19054" spans="103:104" x14ac:dyDescent="0.3">
      <c r="CY19054" s="34" t="s">
        <v>19981</v>
      </c>
      <c r="CZ19054" s="35">
        <v>6.5574399999999991E-2</v>
      </c>
    </row>
    <row r="19055" spans="103:104" x14ac:dyDescent="0.3">
      <c r="CY19055" s="34" t="s">
        <v>19982</v>
      </c>
      <c r="CZ19055" s="35">
        <v>9.7951780999999986E-4</v>
      </c>
    </row>
    <row r="19056" spans="103:104" x14ac:dyDescent="0.3">
      <c r="CY19056" s="34" t="s">
        <v>19983</v>
      </c>
      <c r="CZ19056" s="35">
        <v>3.766796E-2</v>
      </c>
    </row>
    <row r="19057" spans="103:104" x14ac:dyDescent="0.3">
      <c r="CY19057" s="34" t="s">
        <v>19984</v>
      </c>
      <c r="CZ19057" s="35">
        <v>2.3398100000000002E-2</v>
      </c>
    </row>
    <row r="19058" spans="103:104" x14ac:dyDescent="0.3">
      <c r="CY19058" s="34" t="s">
        <v>19985</v>
      </c>
      <c r="CZ19058" s="35">
        <v>6.4731119999999989E-2</v>
      </c>
    </row>
    <row r="19059" spans="103:104" x14ac:dyDescent="0.3">
      <c r="CY19059" s="34" t="s">
        <v>19986</v>
      </c>
      <c r="CZ19059" s="35">
        <v>3.5647169500000004E-3</v>
      </c>
    </row>
    <row r="19060" spans="103:104" x14ac:dyDescent="0.3">
      <c r="CY19060" s="34" t="s">
        <v>19987</v>
      </c>
      <c r="CZ19060" s="35">
        <v>2.3435335999999994E-2</v>
      </c>
    </row>
    <row r="19061" spans="103:104" x14ac:dyDescent="0.3">
      <c r="CY19061" s="34" t="s">
        <v>19988</v>
      </c>
      <c r="CZ19061" s="35">
        <v>3.01488016E-2</v>
      </c>
    </row>
    <row r="19062" spans="103:104" x14ac:dyDescent="0.3">
      <c r="CY19062" s="34" t="s">
        <v>19989</v>
      </c>
      <c r="CZ19062" s="35">
        <v>2.3383102400000001E-2</v>
      </c>
    </row>
    <row r="19063" spans="103:104" x14ac:dyDescent="0.3">
      <c r="CY19063" s="34" t="s">
        <v>19990</v>
      </c>
      <c r="CZ19063" s="35">
        <v>7.0335385251428578E-3</v>
      </c>
    </row>
    <row r="19064" spans="103:104" x14ac:dyDescent="0.3">
      <c r="CY19064" s="34" t="s">
        <v>19991</v>
      </c>
      <c r="CZ19064" s="35">
        <v>4.807158514437429E-3</v>
      </c>
    </row>
    <row r="19065" spans="103:104" x14ac:dyDescent="0.3">
      <c r="CY19065" s="34" t="s">
        <v>19992</v>
      </c>
      <c r="CZ19065" s="35">
        <v>8.4244586666666663E-2</v>
      </c>
    </row>
    <row r="19066" spans="103:104" x14ac:dyDescent="0.3">
      <c r="CY19066" s="34" t="s">
        <v>19993</v>
      </c>
      <c r="CZ19066" s="35">
        <v>2.2772397800000004E-2</v>
      </c>
    </row>
    <row r="19067" spans="103:104" x14ac:dyDescent="0.3">
      <c r="CY19067" s="34" t="s">
        <v>19994</v>
      </c>
      <c r="CZ19067" s="35">
        <v>6.0838235294117651E-2</v>
      </c>
    </row>
    <row r="19068" spans="103:104" x14ac:dyDescent="0.3">
      <c r="CY19068" s="34" t="s">
        <v>19995</v>
      </c>
      <c r="CZ19068" s="35">
        <v>5.4547368421052643E-2</v>
      </c>
    </row>
    <row r="19069" spans="103:104" x14ac:dyDescent="0.3">
      <c r="CY19069" s="34" t="s">
        <v>19996</v>
      </c>
      <c r="CZ19069" s="35">
        <v>5.4547368421052643E-2</v>
      </c>
    </row>
    <row r="19070" spans="103:104" x14ac:dyDescent="0.3">
      <c r="CY19070" s="34" t="s">
        <v>19997</v>
      </c>
      <c r="CZ19070" s="35">
        <v>1.3699599999999999E-2</v>
      </c>
    </row>
    <row r="19071" spans="103:104" x14ac:dyDescent="0.3">
      <c r="CY19071" s="34" t="s">
        <v>19998</v>
      </c>
      <c r="CZ19071" s="35">
        <v>1.2894817999999999E-2</v>
      </c>
    </row>
    <row r="19072" spans="103:104" x14ac:dyDescent="0.3">
      <c r="CY19072" s="34" t="s">
        <v>19999</v>
      </c>
      <c r="CZ19072" s="35">
        <v>9.2976159999999999E-3</v>
      </c>
    </row>
    <row r="19073" spans="103:104" x14ac:dyDescent="0.3">
      <c r="CY19073" s="34" t="s">
        <v>20000</v>
      </c>
      <c r="CZ19073" s="35">
        <v>1.7139000000000001E-2</v>
      </c>
    </row>
    <row r="19074" spans="103:104" x14ac:dyDescent="0.3">
      <c r="CY19074" s="34" t="s">
        <v>20001</v>
      </c>
      <c r="CZ19074" s="35">
        <v>8.151600000000001E-4</v>
      </c>
    </row>
    <row r="19075" spans="103:104" x14ac:dyDescent="0.3">
      <c r="CY19075" s="34" t="s">
        <v>20002</v>
      </c>
      <c r="CZ19075" s="35">
        <v>3.0977999999999999E-3</v>
      </c>
    </row>
    <row r="19076" spans="103:104" x14ac:dyDescent="0.3">
      <c r="CY19076" s="34" t="s">
        <v>20003</v>
      </c>
      <c r="CZ19076" s="35">
        <v>3.8617E-3</v>
      </c>
    </row>
    <row r="19077" spans="103:104" x14ac:dyDescent="0.3">
      <c r="CY19077" s="34" t="s">
        <v>20004</v>
      </c>
      <c r="CZ19077" s="35">
        <v>3.0051640000000001E-2</v>
      </c>
    </row>
    <row r="19078" spans="103:104" x14ac:dyDescent="0.3">
      <c r="CY19078" s="34" t="s">
        <v>20005</v>
      </c>
      <c r="CZ19078" s="35">
        <v>2.3088359999999999E-4</v>
      </c>
    </row>
    <row r="19079" spans="103:104" x14ac:dyDescent="0.3">
      <c r="CY19079" s="34" t="s">
        <v>20006</v>
      </c>
      <c r="CZ19079" s="35">
        <v>0</v>
      </c>
    </row>
    <row r="19080" spans="103:104" x14ac:dyDescent="0.3">
      <c r="CY19080" s="34" t="s">
        <v>20007</v>
      </c>
      <c r="CZ19080" s="35">
        <v>7.5235579999999996E-2</v>
      </c>
    </row>
    <row r="19081" spans="103:104" x14ac:dyDescent="0.3">
      <c r="CY19081" s="34" t="s">
        <v>20008</v>
      </c>
      <c r="CZ19081" s="35">
        <v>3.1484600000000008E-2</v>
      </c>
    </row>
    <row r="19082" spans="103:104" x14ac:dyDescent="0.3">
      <c r="CY19082" s="34" t="s">
        <v>20009</v>
      </c>
      <c r="CZ19082" s="35">
        <v>1.7210930000000003E-2</v>
      </c>
    </row>
    <row r="19083" spans="103:104" x14ac:dyDescent="0.3">
      <c r="CY19083" s="34" t="s">
        <v>20010</v>
      </c>
      <c r="CZ19083" s="35">
        <v>6.0200480000000001E-2</v>
      </c>
    </row>
    <row r="19084" spans="103:104" x14ac:dyDescent="0.3">
      <c r="CY19084" s="34" t="s">
        <v>20011</v>
      </c>
      <c r="CZ19084" s="35">
        <v>6.0200480000000001E-2</v>
      </c>
    </row>
    <row r="19085" spans="103:104" x14ac:dyDescent="0.3">
      <c r="CY19085" s="34" t="s">
        <v>20012</v>
      </c>
      <c r="CZ19085" s="35">
        <v>9.39078E-2</v>
      </c>
    </row>
    <row r="19086" spans="103:104" x14ac:dyDescent="0.3">
      <c r="CY19086" s="34" t="s">
        <v>20013</v>
      </c>
      <c r="CZ19086" s="35">
        <v>7.4270746666666668E-3</v>
      </c>
    </row>
    <row r="19087" spans="103:104" x14ac:dyDescent="0.3">
      <c r="CY19087" s="34" t="s">
        <v>20014</v>
      </c>
      <c r="CZ19087" s="35">
        <v>8.3004599999999991E-3</v>
      </c>
    </row>
    <row r="19088" spans="103:104" x14ac:dyDescent="0.3">
      <c r="CY19088" s="34" t="s">
        <v>20015</v>
      </c>
      <c r="CZ19088" s="35">
        <v>2.1826168888888886E-2</v>
      </c>
    </row>
    <row r="19089" spans="103:104" x14ac:dyDescent="0.3">
      <c r="CY19089" s="34" t="s">
        <v>20016</v>
      </c>
      <c r="CZ19089" s="35">
        <v>1.7611744000000002E-2</v>
      </c>
    </row>
    <row r="19090" spans="103:104" x14ac:dyDescent="0.3">
      <c r="CY19090" s="34" t="s">
        <v>20017</v>
      </c>
      <c r="CZ19090" s="35">
        <v>4.6328519999999998E-2</v>
      </c>
    </row>
    <row r="19091" spans="103:104" x14ac:dyDescent="0.3">
      <c r="CY19091" s="34" t="s">
        <v>20018</v>
      </c>
      <c r="CZ19091" s="35">
        <v>1.1329908000000001E-2</v>
      </c>
    </row>
    <row r="19092" spans="103:104" x14ac:dyDescent="0.3">
      <c r="CY19092" s="34" t="s">
        <v>20019</v>
      </c>
      <c r="CZ19092" s="35">
        <v>1.24180992E-3</v>
      </c>
    </row>
    <row r="19093" spans="103:104" x14ac:dyDescent="0.3">
      <c r="CY19093" s="34" t="s">
        <v>20020</v>
      </c>
      <c r="CZ19093" s="35">
        <v>3.3466132000000003E-2</v>
      </c>
    </row>
    <row r="19094" spans="103:104" x14ac:dyDescent="0.3">
      <c r="CY19094" s="34" t="s">
        <v>20021</v>
      </c>
      <c r="CZ19094" s="35">
        <v>1.1224248E-3</v>
      </c>
    </row>
    <row r="19095" spans="103:104" x14ac:dyDescent="0.3">
      <c r="CY19095" s="34" t="s">
        <v>20022</v>
      </c>
      <c r="CZ19095" s="35">
        <v>1.1427936E-2</v>
      </c>
    </row>
    <row r="19096" spans="103:104" x14ac:dyDescent="0.3">
      <c r="CY19096" s="34" t="s">
        <v>20023</v>
      </c>
      <c r="CZ19096" s="35">
        <v>2.1561280000000002E-2</v>
      </c>
    </row>
    <row r="19097" spans="103:104" x14ac:dyDescent="0.3">
      <c r="CY19097" s="34" t="s">
        <v>20024</v>
      </c>
      <c r="CZ19097" s="35">
        <v>1.3343391999999999E-2</v>
      </c>
    </row>
    <row r="19098" spans="103:104" x14ac:dyDescent="0.3">
      <c r="CY19098" s="34" t="s">
        <v>20025</v>
      </c>
      <c r="CZ19098" s="35">
        <v>0.14902020500000002</v>
      </c>
    </row>
    <row r="19099" spans="103:104" x14ac:dyDescent="0.3">
      <c r="CY19099" s="34" t="s">
        <v>20026</v>
      </c>
      <c r="CZ19099" s="35">
        <v>0.16469743999999997</v>
      </c>
    </row>
    <row r="19100" spans="103:104" x14ac:dyDescent="0.3">
      <c r="CY19100" s="34" t="s">
        <v>20027</v>
      </c>
      <c r="CZ19100" s="35">
        <v>0.16469744</v>
      </c>
    </row>
    <row r="19101" spans="103:104" x14ac:dyDescent="0.3">
      <c r="CY19101" s="34" t="s">
        <v>20028</v>
      </c>
      <c r="CZ19101" s="35">
        <v>0.16085360000000001</v>
      </c>
    </row>
    <row r="19102" spans="103:104" x14ac:dyDescent="0.3">
      <c r="CY19102" s="34" t="s">
        <v>20029</v>
      </c>
      <c r="CZ19102" s="35">
        <v>0.16902589724725944</v>
      </c>
    </row>
    <row r="19103" spans="103:104" x14ac:dyDescent="0.3">
      <c r="CY19103" s="34" t="s">
        <v>20030</v>
      </c>
      <c r="CZ19103" s="35">
        <v>3.1525846400000002E-2</v>
      </c>
    </row>
    <row r="19104" spans="103:104" x14ac:dyDescent="0.3">
      <c r="CY19104" s="34" t="s">
        <v>20031</v>
      </c>
      <c r="CZ19104" s="35">
        <v>0.2085224688</v>
      </c>
    </row>
    <row r="19105" spans="103:104" x14ac:dyDescent="0.3">
      <c r="CY19105" s="34" t="s">
        <v>20032</v>
      </c>
      <c r="CZ19105" s="35">
        <v>7.5874239999999997E-3</v>
      </c>
    </row>
    <row r="19106" spans="103:104" x14ac:dyDescent="0.3">
      <c r="CY19106" s="34" t="s">
        <v>20033</v>
      </c>
      <c r="CZ19106" s="35">
        <v>3.7956100000000007E-2</v>
      </c>
    </row>
    <row r="19107" spans="103:104" x14ac:dyDescent="0.3">
      <c r="CY19107" s="34" t="s">
        <v>20034</v>
      </c>
      <c r="CZ19107" s="35">
        <v>6.3484046000000002E-2</v>
      </c>
    </row>
    <row r="19108" spans="103:104" x14ac:dyDescent="0.3">
      <c r="CY19108" s="34" t="s">
        <v>20035</v>
      </c>
      <c r="CZ19108" s="35">
        <v>3.5761949999999999E-3</v>
      </c>
    </row>
    <row r="19109" spans="103:104" x14ac:dyDescent="0.3">
      <c r="CY19109" s="34" t="s">
        <v>20036</v>
      </c>
      <c r="CZ19109" s="35">
        <v>8.8438160000000009E-3</v>
      </c>
    </row>
    <row r="19110" spans="103:104" x14ac:dyDescent="0.3">
      <c r="CY19110" s="34" t="s">
        <v>20037</v>
      </c>
      <c r="CZ19110" s="35">
        <v>3.8125974222222222E-4</v>
      </c>
    </row>
    <row r="19111" spans="103:104" x14ac:dyDescent="0.3">
      <c r="CY19111" s="34" t="s">
        <v>20038</v>
      </c>
      <c r="CZ19111" s="35">
        <v>1.5905539999999999E-2</v>
      </c>
    </row>
    <row r="19112" spans="103:104" x14ac:dyDescent="0.3">
      <c r="CY19112" s="34" t="s">
        <v>20039</v>
      </c>
      <c r="CZ19112" s="35">
        <v>1.5905539999999999E-2</v>
      </c>
    </row>
    <row r="19113" spans="103:104" x14ac:dyDescent="0.3">
      <c r="CY19113" s="34" t="s">
        <v>20040</v>
      </c>
      <c r="CZ19113" s="35">
        <v>5.76804E-2</v>
      </c>
    </row>
    <row r="19114" spans="103:104" x14ac:dyDescent="0.3">
      <c r="CY19114" s="34" t="s">
        <v>20041</v>
      </c>
      <c r="CZ19114" s="35">
        <v>0.231102114</v>
      </c>
    </row>
    <row r="19115" spans="103:104" x14ac:dyDescent="0.3">
      <c r="CY19115" s="34" t="s">
        <v>20042</v>
      </c>
      <c r="CZ19115" s="35">
        <v>3.0200000000000002E-4</v>
      </c>
    </row>
    <row r="19116" spans="103:104" x14ac:dyDescent="0.3">
      <c r="CY19116" s="34" t="s">
        <v>20043</v>
      </c>
      <c r="CZ19116" s="35">
        <v>9.1650000000000013E-3</v>
      </c>
    </row>
    <row r="19117" spans="103:104" x14ac:dyDescent="0.3">
      <c r="CY19117" s="34" t="s">
        <v>20044</v>
      </c>
      <c r="CZ19117" s="35">
        <v>1.4218500000000002E-2</v>
      </c>
    </row>
    <row r="19118" spans="103:104" x14ac:dyDescent="0.3">
      <c r="CY19118" s="34" t="s">
        <v>20045</v>
      </c>
      <c r="CZ19118" s="35">
        <v>3.3628000000000005E-2</v>
      </c>
    </row>
    <row r="19119" spans="103:104" x14ac:dyDescent="0.3">
      <c r="CY19119" s="34" t="s">
        <v>20046</v>
      </c>
      <c r="CZ19119" s="35">
        <v>5.0675E-3</v>
      </c>
    </row>
    <row r="19120" spans="103:104" x14ac:dyDescent="0.3">
      <c r="CY19120" s="34" t="s">
        <v>20047</v>
      </c>
      <c r="CZ19120" s="35">
        <v>3.1920000000000004E-3</v>
      </c>
    </row>
    <row r="19121" spans="103:104" x14ac:dyDescent="0.3">
      <c r="CY19121" s="34" t="s">
        <v>20048</v>
      </c>
      <c r="CZ19121" s="35">
        <v>2.6235555999999997E-2</v>
      </c>
    </row>
    <row r="19122" spans="103:104" x14ac:dyDescent="0.3">
      <c r="CY19122" s="34" t="s">
        <v>20049</v>
      </c>
      <c r="CZ19122" s="35">
        <v>3.8123076000000006E-2</v>
      </c>
    </row>
    <row r="19123" spans="103:104" x14ac:dyDescent="0.3">
      <c r="CY19123" s="34" t="s">
        <v>20050</v>
      </c>
      <c r="CZ19123" s="35">
        <v>4.87E-2</v>
      </c>
    </row>
    <row r="19124" spans="103:104" x14ac:dyDescent="0.3">
      <c r="CY19124" s="34" t="s">
        <v>20051</v>
      </c>
      <c r="CZ19124" s="35">
        <v>6.6909999999999999E-3</v>
      </c>
    </row>
    <row r="19125" spans="103:104" x14ac:dyDescent="0.3">
      <c r="CY19125" s="34" t="s">
        <v>20052</v>
      </c>
      <c r="CZ19125" s="35">
        <v>2.2765000000000001E-2</v>
      </c>
    </row>
    <row r="19126" spans="103:104" x14ac:dyDescent="0.3">
      <c r="CY19126" s="34" t="s">
        <v>20053</v>
      </c>
      <c r="CZ19126" s="35">
        <v>7.2021176470588241E-2</v>
      </c>
    </row>
    <row r="19127" spans="103:104" x14ac:dyDescent="0.3">
      <c r="CY19127" s="34" t="s">
        <v>20054</v>
      </c>
      <c r="CZ19127" s="35">
        <v>2.6964705882352941E-3</v>
      </c>
    </row>
    <row r="19128" spans="103:104" x14ac:dyDescent="0.3">
      <c r="CY19128" s="34" t="s">
        <v>20055</v>
      </c>
      <c r="CZ19128" s="35">
        <v>5.0627999999999992E-2</v>
      </c>
    </row>
    <row r="19129" spans="103:104" x14ac:dyDescent="0.3">
      <c r="CY19129" s="34" t="s">
        <v>20056</v>
      </c>
      <c r="CZ19129" s="35">
        <v>6.5490000000000007E-2</v>
      </c>
    </row>
    <row r="19130" spans="103:104" x14ac:dyDescent="0.3">
      <c r="CY19130" s="34" t="s">
        <v>20057</v>
      </c>
      <c r="CZ19130" s="35">
        <v>6.5489999999999993E-2</v>
      </c>
    </row>
    <row r="19131" spans="103:104" x14ac:dyDescent="0.3">
      <c r="CY19131" s="34" t="s">
        <v>20058</v>
      </c>
      <c r="CZ19131" s="35">
        <v>7.2021176470588227E-2</v>
      </c>
    </row>
    <row r="19132" spans="103:104" x14ac:dyDescent="0.3">
      <c r="CY19132" s="34" t="s">
        <v>20059</v>
      </c>
      <c r="CZ19132" s="35">
        <v>6.2978823529411768E-2</v>
      </c>
    </row>
    <row r="19133" spans="103:104" x14ac:dyDescent="0.3">
      <c r="CY19133" s="34" t="s">
        <v>20060</v>
      </c>
      <c r="CZ19133" s="35">
        <v>0.12526000100000001</v>
      </c>
    </row>
    <row r="19134" spans="103:104" x14ac:dyDescent="0.3">
      <c r="CY19134" s="34" t="s">
        <v>20061</v>
      </c>
      <c r="CZ19134" s="35">
        <v>6.715185176470588E-2</v>
      </c>
    </row>
    <row r="19135" spans="103:104" x14ac:dyDescent="0.3">
      <c r="CY19135" s="34" t="s">
        <v>20062</v>
      </c>
      <c r="CZ19135" s="35">
        <v>4.3325000000000004E-3</v>
      </c>
    </row>
    <row r="19136" spans="103:104" x14ac:dyDescent="0.3">
      <c r="CY19136" s="34" t="s">
        <v>20063</v>
      </c>
      <c r="CZ19136" s="35">
        <v>1.23765E-2</v>
      </c>
    </row>
    <row r="19137" spans="103:104" x14ac:dyDescent="0.3">
      <c r="CY19137" s="34" t="s">
        <v>20064</v>
      </c>
      <c r="CZ19137" s="35">
        <v>0.59327444000000007</v>
      </c>
    </row>
    <row r="19138" spans="103:104" x14ac:dyDescent="0.3">
      <c r="CY19138" s="34" t="s">
        <v>20065</v>
      </c>
      <c r="CZ19138" s="35">
        <v>7.5500000000000006E-5</v>
      </c>
    </row>
    <row r="19139" spans="103:104" x14ac:dyDescent="0.3">
      <c r="CY19139" s="34" t="s">
        <v>20066</v>
      </c>
      <c r="CZ19139" s="35">
        <v>2.588E-4</v>
      </c>
    </row>
    <row r="19140" spans="103:104" x14ac:dyDescent="0.3">
      <c r="CY19140" s="34" t="s">
        <v>20067</v>
      </c>
      <c r="CZ19140" s="35">
        <v>2.265E-4</v>
      </c>
    </row>
    <row r="19141" spans="103:104" x14ac:dyDescent="0.3">
      <c r="CY19141" s="34" t="s">
        <v>20068</v>
      </c>
      <c r="CZ19141" s="35">
        <v>6.4714285714285717E-5</v>
      </c>
    </row>
    <row r="19142" spans="103:104" x14ac:dyDescent="0.3">
      <c r="CY19142" s="34" t="s">
        <v>20069</v>
      </c>
      <c r="CZ19142" s="35">
        <v>9.4880000000000008E-4</v>
      </c>
    </row>
    <row r="19143" spans="103:104" x14ac:dyDescent="0.3">
      <c r="CY19143" s="34" t="s">
        <v>20070</v>
      </c>
      <c r="CZ19143" s="35">
        <v>0.10053176470588236</v>
      </c>
    </row>
    <row r="19144" spans="103:104" x14ac:dyDescent="0.3">
      <c r="CY19144" s="34" t="s">
        <v>20071</v>
      </c>
      <c r="CZ19144" s="35">
        <v>9.8458823529411765E-2</v>
      </c>
    </row>
    <row r="19145" spans="103:104" x14ac:dyDescent="0.3">
      <c r="CY19145" s="34" t="s">
        <v>20072</v>
      </c>
      <c r="CZ19145" s="35">
        <v>0.10053176470588236</v>
      </c>
    </row>
    <row r="19146" spans="103:104" x14ac:dyDescent="0.3">
      <c r="CY19146" s="34" t="s">
        <v>20073</v>
      </c>
      <c r="CZ19146" s="35">
        <v>9.9665882352941174E-2</v>
      </c>
    </row>
    <row r="19147" spans="103:104" x14ac:dyDescent="0.3">
      <c r="CY19147" s="34" t="s">
        <v>20074</v>
      </c>
      <c r="CZ19147" s="35">
        <v>3.7205647058823531E-2</v>
      </c>
    </row>
    <row r="19148" spans="103:104" x14ac:dyDescent="0.3">
      <c r="CY19148" s="34" t="s">
        <v>20075</v>
      </c>
      <c r="CZ19148" s="35">
        <v>3.6876988235294117E-2</v>
      </c>
    </row>
    <row r="19149" spans="103:104" x14ac:dyDescent="0.3">
      <c r="CY19149" s="34" t="s">
        <v>20076</v>
      </c>
      <c r="CZ19149" s="35">
        <v>0.10053176470588236</v>
      </c>
    </row>
    <row r="19150" spans="103:104" x14ac:dyDescent="0.3">
      <c r="CY19150" s="34" t="s">
        <v>20077</v>
      </c>
      <c r="CZ19150" s="35">
        <v>9.8458823529411765E-2</v>
      </c>
    </row>
    <row r="19151" spans="103:104" x14ac:dyDescent="0.3">
      <c r="CY19151" s="34" t="s">
        <v>20078</v>
      </c>
      <c r="CZ19151" s="35">
        <v>0.10053176470588236</v>
      </c>
    </row>
    <row r="19152" spans="103:104" x14ac:dyDescent="0.3">
      <c r="CY19152" s="34" t="s">
        <v>20079</v>
      </c>
      <c r="CZ19152" s="35">
        <v>7.9066666666666662E-4</v>
      </c>
    </row>
    <row r="19153" spans="103:104" x14ac:dyDescent="0.3">
      <c r="CY19153" s="34" t="s">
        <v>20080</v>
      </c>
      <c r="CZ19153" s="35">
        <v>3.6408746666666669E-3</v>
      </c>
    </row>
    <row r="19154" spans="103:104" x14ac:dyDescent="0.3">
      <c r="CY19154" s="34" t="s">
        <v>20081</v>
      </c>
      <c r="CZ19154" s="35">
        <v>2.1566666666666666E-4</v>
      </c>
    </row>
    <row r="19155" spans="103:104" x14ac:dyDescent="0.3">
      <c r="CY19155" s="34" t="s">
        <v>20082</v>
      </c>
      <c r="CZ19155" s="35">
        <v>2.2912500000000003E-3</v>
      </c>
    </row>
    <row r="19156" spans="103:104" x14ac:dyDescent="0.3">
      <c r="CY19156" s="34" t="s">
        <v>20083</v>
      </c>
      <c r="CZ19156" s="35">
        <v>9.0600000000000001E-4</v>
      </c>
    </row>
    <row r="19157" spans="103:104" x14ac:dyDescent="0.3">
      <c r="CY19157" s="34" t="s">
        <v>20084</v>
      </c>
      <c r="CZ19157" s="35">
        <v>1.7999999999999998E-4</v>
      </c>
    </row>
    <row r="19158" spans="103:104" x14ac:dyDescent="0.3">
      <c r="CY19158" s="34" t="s">
        <v>20085</v>
      </c>
      <c r="CZ19158" s="35">
        <v>2.1472128E-2</v>
      </c>
    </row>
    <row r="19159" spans="103:104" x14ac:dyDescent="0.3">
      <c r="CY19159" s="34" t="s">
        <v>20086</v>
      </c>
      <c r="CZ19159" s="35">
        <v>5.7412379999999992E-3</v>
      </c>
    </row>
    <row r="19160" spans="103:104" x14ac:dyDescent="0.3">
      <c r="CY19160" s="34" t="s">
        <v>20087</v>
      </c>
      <c r="CZ19160" s="35">
        <v>4.7478878117647068E-2</v>
      </c>
    </row>
    <row r="19161" spans="103:104" x14ac:dyDescent="0.3">
      <c r="CY19161" s="34" t="s">
        <v>20088</v>
      </c>
      <c r="CZ19161" s="35">
        <v>4.7478878117647061E-2</v>
      </c>
    </row>
    <row r="19162" spans="103:104" x14ac:dyDescent="0.3">
      <c r="CY19162" s="34" t="s">
        <v>20089</v>
      </c>
      <c r="CZ19162" s="35">
        <v>4.7478878117647068E-2</v>
      </c>
    </row>
    <row r="19163" spans="103:104" x14ac:dyDescent="0.3">
      <c r="CY19163" s="34" t="s">
        <v>20090</v>
      </c>
      <c r="CZ19163" s="35">
        <v>3.8489999999999996E-3</v>
      </c>
    </row>
    <row r="19164" spans="103:104" x14ac:dyDescent="0.3">
      <c r="CY19164" s="34" t="s">
        <v>20091</v>
      </c>
      <c r="CZ19164" s="35">
        <v>2.5786665714285715E-4</v>
      </c>
    </row>
    <row r="19165" spans="103:104" x14ac:dyDescent="0.3">
      <c r="CY19165" s="34" t="s">
        <v>20092</v>
      </c>
      <c r="CZ19165" s="35">
        <v>9.0060000000000001E-2</v>
      </c>
    </row>
    <row r="19166" spans="103:104" x14ac:dyDescent="0.3">
      <c r="CY19166" s="34" t="s">
        <v>20093</v>
      </c>
      <c r="CZ19166" s="35">
        <v>9.0060000000000015E-2</v>
      </c>
    </row>
    <row r="19167" spans="103:104" x14ac:dyDescent="0.3">
      <c r="CY19167" s="34" t="s">
        <v>20094</v>
      </c>
      <c r="CZ19167" s="35">
        <v>9.0195789473684215E-2</v>
      </c>
    </row>
    <row r="19168" spans="103:104" x14ac:dyDescent="0.3">
      <c r="CY19168" s="34" t="s">
        <v>20095</v>
      </c>
      <c r="CZ19168" s="35">
        <v>9.0195789473684201E-2</v>
      </c>
    </row>
    <row r="19169" spans="103:104" x14ac:dyDescent="0.3">
      <c r="CY19169" s="34" t="s">
        <v>20096</v>
      </c>
      <c r="CZ19169" s="35">
        <v>1.73E-4</v>
      </c>
    </row>
    <row r="19170" spans="103:104" x14ac:dyDescent="0.3">
      <c r="CY19170" s="34" t="s">
        <v>20097</v>
      </c>
      <c r="CZ19170" s="35">
        <v>1.9890768E-2</v>
      </c>
    </row>
    <row r="19171" spans="103:104" x14ac:dyDescent="0.3">
      <c r="CY19171" s="34" t="s">
        <v>20098</v>
      </c>
      <c r="CZ19171" s="35">
        <v>2.3538928000000001E-2</v>
      </c>
    </row>
    <row r="19172" spans="103:104" x14ac:dyDescent="0.3">
      <c r="CY19172" s="34" t="s">
        <v>20099</v>
      </c>
      <c r="CZ19172" s="35">
        <v>1.7424000000000001E-3</v>
      </c>
    </row>
    <row r="19173" spans="103:104" x14ac:dyDescent="0.3">
      <c r="CY19173" s="34" t="s">
        <v>20100</v>
      </c>
      <c r="CZ19173" s="35">
        <v>2.1193300000000002E-2</v>
      </c>
    </row>
    <row r="19174" spans="103:104" x14ac:dyDescent="0.3">
      <c r="CY19174" s="34" t="s">
        <v>20101</v>
      </c>
      <c r="CZ19174" s="35">
        <v>2.2764712E-3</v>
      </c>
    </row>
    <row r="19175" spans="103:104" x14ac:dyDescent="0.3">
      <c r="CY19175" s="34" t="s">
        <v>20102</v>
      </c>
      <c r="CZ19175" s="35">
        <v>0.58939265519999995</v>
      </c>
    </row>
    <row r="19176" spans="103:104" x14ac:dyDescent="0.3">
      <c r="CY19176" s="34" t="s">
        <v>20103</v>
      </c>
      <c r="CZ19176" s="35">
        <v>2.4929280000000002E-2</v>
      </c>
    </row>
    <row r="19177" spans="103:104" x14ac:dyDescent="0.3">
      <c r="CY19177" s="34" t="s">
        <v>20104</v>
      </c>
      <c r="CZ19177" s="35">
        <v>2.3039743999999997E-2</v>
      </c>
    </row>
    <row r="19178" spans="103:104" x14ac:dyDescent="0.3">
      <c r="CY19178" s="34" t="s">
        <v>20105</v>
      </c>
      <c r="CZ19178" s="35">
        <v>0.13639715199999999</v>
      </c>
    </row>
    <row r="19179" spans="103:104" x14ac:dyDescent="0.3">
      <c r="CY19179" s="34" t="s">
        <v>20106</v>
      </c>
      <c r="CZ19179" s="35">
        <v>0.16740595999999999</v>
      </c>
    </row>
    <row r="19180" spans="103:104" x14ac:dyDescent="0.3">
      <c r="CY19180" s="34" t="s">
        <v>20107</v>
      </c>
      <c r="CZ19180" s="35">
        <v>5.3770128E-2</v>
      </c>
    </row>
    <row r="19181" spans="103:104" x14ac:dyDescent="0.3">
      <c r="CY19181" s="34" t="s">
        <v>20108</v>
      </c>
      <c r="CZ19181" s="35">
        <v>5.2104319999999996E-2</v>
      </c>
    </row>
    <row r="19182" spans="103:104" x14ac:dyDescent="0.3">
      <c r="CY19182" s="34" t="s">
        <v>20109</v>
      </c>
      <c r="CZ19182" s="35">
        <v>8.784723999999999E-3</v>
      </c>
    </row>
    <row r="19183" spans="103:104" x14ac:dyDescent="0.3">
      <c r="CY19183" s="34" t="s">
        <v>20110</v>
      </c>
      <c r="CZ19183" s="35">
        <v>0.15939328000000003</v>
      </c>
    </row>
    <row r="19184" spans="103:104" x14ac:dyDescent="0.3">
      <c r="CY19184" s="34" t="s">
        <v>20111</v>
      </c>
      <c r="CZ19184" s="35">
        <v>1.885332E-2</v>
      </c>
    </row>
    <row r="19185" spans="103:104" x14ac:dyDescent="0.3">
      <c r="CY19185" s="34" t="s">
        <v>20112</v>
      </c>
      <c r="CZ19185" s="35">
        <v>0.12852657600000003</v>
      </c>
    </row>
    <row r="19186" spans="103:104" x14ac:dyDescent="0.3">
      <c r="CY19186" s="34" t="s">
        <v>20113</v>
      </c>
      <c r="CZ19186" s="35">
        <v>2.5665352000000001E-4</v>
      </c>
    </row>
    <row r="19187" spans="103:104" x14ac:dyDescent="0.3">
      <c r="CY19187" s="34" t="s">
        <v>20114</v>
      </c>
      <c r="CZ19187" s="35">
        <v>3.9789008000000008E-3</v>
      </c>
    </row>
    <row r="19188" spans="103:104" x14ac:dyDescent="0.3">
      <c r="CY19188" s="34" t="s">
        <v>20115</v>
      </c>
      <c r="CZ19188" s="35">
        <v>2.1658538666666665E-3</v>
      </c>
    </row>
    <row r="19189" spans="103:104" x14ac:dyDescent="0.3">
      <c r="CY19189" s="34" t="s">
        <v>20116</v>
      </c>
      <c r="CZ19189" s="35">
        <v>1.9810912E-2</v>
      </c>
    </row>
    <row r="19190" spans="103:104" x14ac:dyDescent="0.3">
      <c r="CY19190" s="34" t="s">
        <v>20117</v>
      </c>
      <c r="CZ19190" s="35">
        <v>6.4678780000000005E-2</v>
      </c>
    </row>
    <row r="19191" spans="103:104" x14ac:dyDescent="0.3">
      <c r="CY19191" s="34" t="s">
        <v>20118</v>
      </c>
      <c r="CZ19191" s="35">
        <v>7.5393157894736856E-2</v>
      </c>
    </row>
    <row r="19192" spans="103:104" x14ac:dyDescent="0.3">
      <c r="CY19192" s="34" t="s">
        <v>20119</v>
      </c>
      <c r="CZ19192" s="35">
        <v>7.4618421052631598E-2</v>
      </c>
    </row>
    <row r="19193" spans="103:104" x14ac:dyDescent="0.3">
      <c r="CY19193" s="34" t="s">
        <v>20120</v>
      </c>
      <c r="CZ19193" s="35">
        <v>7.5393157894736856E-2</v>
      </c>
    </row>
    <row r="19194" spans="103:104" x14ac:dyDescent="0.3">
      <c r="CY19194" s="34" t="s">
        <v>20121</v>
      </c>
      <c r="CZ19194" s="35">
        <v>6.3827952941176463E-2</v>
      </c>
    </row>
    <row r="19195" spans="103:104" x14ac:dyDescent="0.3">
      <c r="CY19195" s="34" t="s">
        <v>20122</v>
      </c>
      <c r="CZ19195" s="35">
        <v>7.4618421052631598E-2</v>
      </c>
    </row>
    <row r="19196" spans="103:104" x14ac:dyDescent="0.3">
      <c r="CY19196" s="34" t="s">
        <v>20123</v>
      </c>
      <c r="CZ19196" s="35">
        <v>7.5393157894736856E-2</v>
      </c>
    </row>
    <row r="19197" spans="103:104" x14ac:dyDescent="0.3">
      <c r="CY19197" s="34" t="s">
        <v>20124</v>
      </c>
      <c r="CZ19197" s="35">
        <v>7.4618421052631612E-2</v>
      </c>
    </row>
    <row r="19198" spans="103:104" x14ac:dyDescent="0.3">
      <c r="CY19198" s="34" t="s">
        <v>20125</v>
      </c>
      <c r="CZ19198" s="35">
        <v>7.9640526315789467E-2</v>
      </c>
    </row>
    <row r="19199" spans="103:104" x14ac:dyDescent="0.3">
      <c r="CY19199" s="34" t="s">
        <v>20126</v>
      </c>
      <c r="CZ19199" s="35">
        <v>7.0371764705882356E-2</v>
      </c>
    </row>
    <row r="19200" spans="103:104" x14ac:dyDescent="0.3">
      <c r="CY19200" s="34" t="s">
        <v>20127</v>
      </c>
      <c r="CZ19200" s="35">
        <v>7.9183947368421062E-2</v>
      </c>
    </row>
    <row r="19201" spans="103:104" x14ac:dyDescent="0.3">
      <c r="CY19201" s="34" t="s">
        <v>20128</v>
      </c>
      <c r="CZ19201" s="35">
        <v>2.9134736842105265E-2</v>
      </c>
    </row>
    <row r="19202" spans="103:104" x14ac:dyDescent="0.3">
      <c r="CY19202" s="34" t="s">
        <v>20129</v>
      </c>
      <c r="CZ19202" s="35">
        <v>7.9504736842105281E-2</v>
      </c>
    </row>
    <row r="19203" spans="103:104" x14ac:dyDescent="0.3">
      <c r="CY19203" s="34" t="s">
        <v>20130</v>
      </c>
      <c r="CZ19203" s="35">
        <v>7.171294117647059E-2</v>
      </c>
    </row>
    <row r="19204" spans="103:104" x14ac:dyDescent="0.3">
      <c r="CY19204" s="34" t="s">
        <v>20131</v>
      </c>
      <c r="CZ19204" s="35">
        <v>7.8730000000000022E-2</v>
      </c>
    </row>
    <row r="19205" spans="103:104" x14ac:dyDescent="0.3">
      <c r="CY19205" s="34" t="s">
        <v>20132</v>
      </c>
      <c r="CZ19205" s="35">
        <v>3.1359473684210527E-2</v>
      </c>
    </row>
    <row r="19206" spans="103:104" x14ac:dyDescent="0.3">
      <c r="CY19206" s="34" t="s">
        <v>20133</v>
      </c>
      <c r="CZ19206" s="35">
        <v>2.8833448421052635E-2</v>
      </c>
    </row>
    <row r="19207" spans="103:104" x14ac:dyDescent="0.3">
      <c r="CY19207" s="34" t="s">
        <v>20134</v>
      </c>
      <c r="CZ19207" s="35">
        <v>5.0200230999999995</v>
      </c>
    </row>
    <row r="19208" spans="103:104" x14ac:dyDescent="0.3">
      <c r="CY19208" s="34" t="s">
        <v>20135</v>
      </c>
      <c r="CZ19208" s="35">
        <v>3.2519770000000002E-4</v>
      </c>
    </row>
    <row r="19209" spans="103:104" x14ac:dyDescent="0.3">
      <c r="CY19209" s="34" t="s">
        <v>20136</v>
      </c>
      <c r="CZ19209" s="35">
        <v>1.508644E-3</v>
      </c>
    </row>
    <row r="19210" spans="103:104" x14ac:dyDescent="0.3">
      <c r="CY19210" s="34" t="s">
        <v>20137</v>
      </c>
      <c r="CZ19210" s="35">
        <v>2.5513255999999999E-3</v>
      </c>
    </row>
    <row r="19211" spans="103:104" x14ac:dyDescent="0.3">
      <c r="CY19211" s="34" t="s">
        <v>20138</v>
      </c>
      <c r="CZ19211" s="35">
        <v>2.2524191999999999E-3</v>
      </c>
    </row>
    <row r="19212" spans="103:104" x14ac:dyDescent="0.3">
      <c r="CY19212" s="34" t="s">
        <v>20139</v>
      </c>
      <c r="CZ19212" s="35">
        <v>2.2345199999999998E-3</v>
      </c>
    </row>
    <row r="19213" spans="103:104" x14ac:dyDescent="0.3">
      <c r="CY19213" s="34" t="s">
        <v>20140</v>
      </c>
      <c r="CZ19213" s="35">
        <v>2.86276E-2</v>
      </c>
    </row>
    <row r="19214" spans="103:104" x14ac:dyDescent="0.3">
      <c r="CY19214" s="34" t="s">
        <v>20141</v>
      </c>
      <c r="CZ19214" s="35">
        <v>5.9281429999999996E-2</v>
      </c>
    </row>
    <row r="19215" spans="103:104" x14ac:dyDescent="0.3">
      <c r="CY19215" s="34" t="s">
        <v>20142</v>
      </c>
      <c r="CZ19215" s="35">
        <v>3.8868221052631574E-2</v>
      </c>
    </row>
    <row r="19216" spans="103:104" x14ac:dyDescent="0.3">
      <c r="CY19216" s="34" t="s">
        <v>20143</v>
      </c>
      <c r="CZ19216" s="35">
        <v>6.6451365999999998E-2</v>
      </c>
    </row>
    <row r="19217" spans="103:104" x14ac:dyDescent="0.3">
      <c r="CY19217" s="34" t="s">
        <v>20144</v>
      </c>
      <c r="CZ19217" s="35">
        <v>4.3186639999999998E-3</v>
      </c>
    </row>
    <row r="19218" spans="103:104" x14ac:dyDescent="0.3">
      <c r="CY19218" s="34" t="s">
        <v>20145</v>
      </c>
      <c r="CZ19218" s="35">
        <v>1.8135328000000001E-3</v>
      </c>
    </row>
    <row r="19219" spans="103:104" x14ac:dyDescent="0.3">
      <c r="CY19219" s="34" t="s">
        <v>20146</v>
      </c>
      <c r="CZ19219" s="35">
        <v>1.2738624000000002E-2</v>
      </c>
    </row>
    <row r="19220" spans="103:104" x14ac:dyDescent="0.3">
      <c r="CY19220" s="34" t="s">
        <v>20147</v>
      </c>
      <c r="CZ19220" s="35">
        <v>1.31214816E-2</v>
      </c>
    </row>
    <row r="19221" spans="103:104" x14ac:dyDescent="0.3">
      <c r="CY19221" s="34" t="s">
        <v>20148</v>
      </c>
      <c r="CZ19221" s="35">
        <v>6.0893466666666667E-2</v>
      </c>
    </row>
    <row r="19222" spans="103:104" x14ac:dyDescent="0.3">
      <c r="CY19222" s="34" t="s">
        <v>20149</v>
      </c>
      <c r="CZ19222" s="35">
        <v>2.6269189473684212E-2</v>
      </c>
    </row>
    <row r="19223" spans="103:104" x14ac:dyDescent="0.3">
      <c r="CY19223" s="34" t="s">
        <v>20150</v>
      </c>
      <c r="CZ19223" s="35">
        <v>8.1005967999999998E-2</v>
      </c>
    </row>
    <row r="19224" spans="103:104" x14ac:dyDescent="0.3">
      <c r="CY19224" s="34" t="s">
        <v>20151</v>
      </c>
      <c r="CZ19224" s="35">
        <v>8.09763072E-2</v>
      </c>
    </row>
    <row r="19225" spans="103:104" x14ac:dyDescent="0.3">
      <c r="CY19225" s="34" t="s">
        <v>20152</v>
      </c>
      <c r="CZ19225" s="35">
        <v>2.8513115999999995E-2</v>
      </c>
    </row>
    <row r="19226" spans="103:104" x14ac:dyDescent="0.3">
      <c r="CY19226" s="34" t="s">
        <v>20153</v>
      </c>
      <c r="CZ19226" s="35">
        <v>2.8513115999999998E-2</v>
      </c>
    </row>
    <row r="19227" spans="103:104" x14ac:dyDescent="0.3">
      <c r="CY19227" s="34" t="s">
        <v>20154</v>
      </c>
      <c r="CZ19227" s="35">
        <v>2.8274291999999999E-2</v>
      </c>
    </row>
    <row r="19228" spans="103:104" x14ac:dyDescent="0.3">
      <c r="CY19228" s="34" t="s">
        <v>20155</v>
      </c>
      <c r="CZ19228" s="35">
        <v>3.0101559999999996E-2</v>
      </c>
    </row>
    <row r="19229" spans="103:104" x14ac:dyDescent="0.3">
      <c r="CY19229" s="34" t="s">
        <v>20156</v>
      </c>
      <c r="CZ19229" s="35">
        <v>3.0368984000000002E-2</v>
      </c>
    </row>
    <row r="19230" spans="103:104" x14ac:dyDescent="0.3">
      <c r="CY19230" s="34" t="s">
        <v>20157</v>
      </c>
      <c r="CZ19230" s="35">
        <v>2.9805407999999999E-2</v>
      </c>
    </row>
    <row r="19231" spans="103:104" x14ac:dyDescent="0.3">
      <c r="CY19231" s="34" t="s">
        <v>20158</v>
      </c>
      <c r="CZ19231" s="35">
        <v>4.2965371999999995E-2</v>
      </c>
    </row>
    <row r="19232" spans="103:104" x14ac:dyDescent="0.3">
      <c r="CY19232" s="34" t="s">
        <v>20159</v>
      </c>
      <c r="CZ19232" s="35">
        <v>4.8772507999999999E-2</v>
      </c>
    </row>
    <row r="19233" spans="103:104" x14ac:dyDescent="0.3">
      <c r="CY19233" s="34" t="s">
        <v>20160</v>
      </c>
      <c r="CZ19233" s="35">
        <v>2.7300275000000001E-3</v>
      </c>
    </row>
    <row r="19234" spans="103:104" x14ac:dyDescent="0.3">
      <c r="CY19234" s="34" t="s">
        <v>20161</v>
      </c>
      <c r="CZ19234" s="35">
        <v>2.1872680000000002E-2</v>
      </c>
    </row>
    <row r="19235" spans="103:104" x14ac:dyDescent="0.3">
      <c r="CY19235" s="34" t="s">
        <v>20162</v>
      </c>
      <c r="CZ19235" s="35">
        <v>0.58074100000000006</v>
      </c>
    </row>
    <row r="19236" spans="103:104" x14ac:dyDescent="0.3">
      <c r="CY19236" s="34" t="s">
        <v>20163</v>
      </c>
      <c r="CZ19236" s="35">
        <v>0.87721899999999997</v>
      </c>
    </row>
    <row r="19237" spans="103:104" x14ac:dyDescent="0.3">
      <c r="CY19237" s="34" t="s">
        <v>20164</v>
      </c>
      <c r="CZ19237" s="35">
        <v>0.58074100000000006</v>
      </c>
    </row>
    <row r="19238" spans="103:104" x14ac:dyDescent="0.3">
      <c r="CY19238" s="34" t="s">
        <v>20165</v>
      </c>
      <c r="CZ19238" s="35">
        <v>0.58074100000000006</v>
      </c>
    </row>
    <row r="19239" spans="103:104" x14ac:dyDescent="0.3">
      <c r="CY19239" s="34" t="s">
        <v>20166</v>
      </c>
      <c r="CZ19239" s="35">
        <v>0.58074100000000006</v>
      </c>
    </row>
    <row r="19240" spans="103:104" x14ac:dyDescent="0.3">
      <c r="CY19240" s="34" t="s">
        <v>20167</v>
      </c>
      <c r="CZ19240" s="35">
        <v>0.142718128</v>
      </c>
    </row>
    <row r="19241" spans="103:104" x14ac:dyDescent="0.3">
      <c r="CY19241" s="34" t="s">
        <v>20168</v>
      </c>
      <c r="CZ19241" s="35">
        <v>7.0590160000000004E-3</v>
      </c>
    </row>
    <row r="19242" spans="103:104" x14ac:dyDescent="0.3">
      <c r="CY19242" s="34" t="s">
        <v>20169</v>
      </c>
      <c r="CZ19242" s="35">
        <v>0.14243197199999999</v>
      </c>
    </row>
    <row r="19243" spans="103:104" x14ac:dyDescent="0.3">
      <c r="CY19243" s="34" t="s">
        <v>20170</v>
      </c>
      <c r="CZ19243" s="35">
        <v>6.7921000000000006E-3</v>
      </c>
    </row>
    <row r="19244" spans="103:104" x14ac:dyDescent="0.3">
      <c r="CY19244" s="34" t="s">
        <v>20171</v>
      </c>
      <c r="CZ19244" s="35">
        <v>6.7921000000000006E-3</v>
      </c>
    </row>
    <row r="19245" spans="103:104" x14ac:dyDescent="0.3">
      <c r="CY19245" s="34" t="s">
        <v>20172</v>
      </c>
      <c r="CZ19245" s="35">
        <v>0.14208697200000001</v>
      </c>
    </row>
    <row r="19246" spans="103:104" x14ac:dyDescent="0.3">
      <c r="CY19246" s="34" t="s">
        <v>20173</v>
      </c>
      <c r="CZ19246" s="35">
        <v>2.22490672E-2</v>
      </c>
    </row>
    <row r="19247" spans="103:104" x14ac:dyDescent="0.3">
      <c r="CY19247" s="34" t="s">
        <v>20174</v>
      </c>
      <c r="CZ19247" s="35">
        <v>2.22490672E-2</v>
      </c>
    </row>
    <row r="19248" spans="103:104" x14ac:dyDescent="0.3">
      <c r="CY19248" s="34" t="s">
        <v>20175</v>
      </c>
      <c r="CZ19248" s="35">
        <v>0.2283425</v>
      </c>
    </row>
    <row r="19249" spans="103:104" x14ac:dyDescent="0.3">
      <c r="CY19249" s="34" t="s">
        <v>20176</v>
      </c>
      <c r="CZ19249" s="35">
        <v>0.19541156000000001</v>
      </c>
    </row>
    <row r="19250" spans="103:104" x14ac:dyDescent="0.3">
      <c r="CY19250" s="34" t="s">
        <v>20177</v>
      </c>
      <c r="CZ19250" s="35">
        <v>4.0381819999999998E-4</v>
      </c>
    </row>
    <row r="19251" spans="103:104" x14ac:dyDescent="0.3">
      <c r="CY19251" s="34" t="s">
        <v>20178</v>
      </c>
      <c r="CZ19251" s="35">
        <v>4.52608E-3</v>
      </c>
    </row>
    <row r="19252" spans="103:104" x14ac:dyDescent="0.3">
      <c r="CY19252" s="34" t="s">
        <v>20179</v>
      </c>
      <c r="CZ19252" s="35">
        <v>7.1266159999999997E-3</v>
      </c>
    </row>
    <row r="19253" spans="103:104" x14ac:dyDescent="0.3">
      <c r="CY19253" s="34" t="s">
        <v>20180</v>
      </c>
      <c r="CZ19253" s="35">
        <v>0.11019749714285713</v>
      </c>
    </row>
    <row r="19254" spans="103:104" x14ac:dyDescent="0.3">
      <c r="CY19254" s="34" t="s">
        <v>20181</v>
      </c>
      <c r="CZ19254" s="35">
        <v>4.4122255999999999E-2</v>
      </c>
    </row>
    <row r="19255" spans="103:104" x14ac:dyDescent="0.3">
      <c r="CY19255" s="34" t="s">
        <v>20182</v>
      </c>
      <c r="CZ19255" s="35">
        <v>9.8594280000000012E-4</v>
      </c>
    </row>
    <row r="19256" spans="103:104" x14ac:dyDescent="0.3">
      <c r="CY19256" s="34" t="s">
        <v>20183</v>
      </c>
      <c r="CZ19256" s="35">
        <v>3.1282527999999996E-3</v>
      </c>
    </row>
    <row r="19257" spans="103:104" x14ac:dyDescent="0.3">
      <c r="CY19257" s="34" t="s">
        <v>20184</v>
      </c>
      <c r="CZ19257" s="35">
        <v>1.4665830000000001E-2</v>
      </c>
    </row>
    <row r="19258" spans="103:104" x14ac:dyDescent="0.3">
      <c r="CY19258" s="34" t="s">
        <v>20185</v>
      </c>
      <c r="CZ19258" s="35">
        <v>1.706384E-3</v>
      </c>
    </row>
    <row r="19259" spans="103:104" x14ac:dyDescent="0.3">
      <c r="CY19259" s="34" t="s">
        <v>20186</v>
      </c>
      <c r="CZ19259" s="35">
        <v>5.4687611999999991E-4</v>
      </c>
    </row>
    <row r="19260" spans="103:104" x14ac:dyDescent="0.3">
      <c r="CY19260" s="34" t="s">
        <v>20187</v>
      </c>
      <c r="CZ19260" s="35">
        <v>2.5053458000000007E-3</v>
      </c>
    </row>
    <row r="19261" spans="103:104" x14ac:dyDescent="0.3">
      <c r="CY19261" s="34" t="s">
        <v>20188</v>
      </c>
      <c r="CZ19261" s="35">
        <v>4.7203159999999996E-3</v>
      </c>
    </row>
    <row r="19262" spans="103:104" x14ac:dyDescent="0.3">
      <c r="CY19262" s="34" t="s">
        <v>20189</v>
      </c>
      <c r="CZ19262" s="35">
        <v>2.5437793684210525E-2</v>
      </c>
    </row>
    <row r="19263" spans="103:104" x14ac:dyDescent="0.3">
      <c r="CY19263" s="34" t="s">
        <v>20190</v>
      </c>
      <c r="CZ19263" s="35">
        <v>8.4291279999999993E-3</v>
      </c>
    </row>
    <row r="19264" spans="103:104" x14ac:dyDescent="0.3">
      <c r="CY19264" s="34" t="s">
        <v>20191</v>
      </c>
      <c r="CZ19264" s="35">
        <v>8.7735280000000009E-3</v>
      </c>
    </row>
    <row r="19265" spans="103:104" x14ac:dyDescent="0.3">
      <c r="CY19265" s="34" t="s">
        <v>20192</v>
      </c>
      <c r="CZ19265" s="35">
        <v>3.5240787499999988E-2</v>
      </c>
    </row>
    <row r="19266" spans="103:104" x14ac:dyDescent="0.3">
      <c r="CY19266" s="34" t="s">
        <v>20193</v>
      </c>
      <c r="CZ19266" s="35">
        <v>1.7957952857142852E-2</v>
      </c>
    </row>
    <row r="19267" spans="103:104" x14ac:dyDescent="0.3">
      <c r="CY19267" s="34" t="s">
        <v>20194</v>
      </c>
      <c r="CZ19267" s="35">
        <v>9.3593400000000007E-3</v>
      </c>
    </row>
    <row r="19268" spans="103:104" x14ac:dyDescent="0.3">
      <c r="CY19268" s="34" t="s">
        <v>20195</v>
      </c>
      <c r="CZ19268" s="35">
        <v>1.1019461514285714E-3</v>
      </c>
    </row>
    <row r="19269" spans="103:104" x14ac:dyDescent="0.3">
      <c r="CY19269" s="34" t="s">
        <v>20196</v>
      </c>
      <c r="CZ19269" s="35">
        <v>2.2933479018404909E-2</v>
      </c>
    </row>
    <row r="19270" spans="103:104" x14ac:dyDescent="0.3">
      <c r="CY19270" s="34" t="s">
        <v>20197</v>
      </c>
      <c r="CZ19270" s="35">
        <v>1.0528731799999998E-2</v>
      </c>
    </row>
    <row r="19271" spans="103:104" x14ac:dyDescent="0.3">
      <c r="CY19271" s="34" t="s">
        <v>20198</v>
      </c>
      <c r="CZ19271" s="35">
        <v>1.2301026666666666E-2</v>
      </c>
    </row>
    <row r="19272" spans="103:104" x14ac:dyDescent="0.3">
      <c r="CY19272" s="34" t="s">
        <v>20199</v>
      </c>
      <c r="CZ19272" s="35">
        <v>8.1687255999999999E-4</v>
      </c>
    </row>
    <row r="19273" spans="103:104" x14ac:dyDescent="0.3">
      <c r="CY19273" s="34" t="s">
        <v>20200</v>
      </c>
      <c r="CZ19273" s="35">
        <v>3.549216E-4</v>
      </c>
    </row>
    <row r="19274" spans="103:104" x14ac:dyDescent="0.3">
      <c r="CY19274" s="34" t="s">
        <v>20201</v>
      </c>
      <c r="CZ19274" s="35">
        <v>3.9181687999999999E-3</v>
      </c>
    </row>
    <row r="19275" spans="103:104" x14ac:dyDescent="0.3">
      <c r="CY19275" s="34" t="s">
        <v>20202</v>
      </c>
      <c r="CZ19275" s="35">
        <v>2.2157279999999998E-2</v>
      </c>
    </row>
    <row r="19276" spans="103:104" x14ac:dyDescent="0.3">
      <c r="CY19276" s="34" t="s">
        <v>20203</v>
      </c>
      <c r="CZ19276" s="35">
        <v>5.9734185999999995E-2</v>
      </c>
    </row>
    <row r="19277" spans="103:104" x14ac:dyDescent="0.3">
      <c r="CY19277" s="34" t="s">
        <v>20204</v>
      </c>
      <c r="CZ19277" s="35">
        <v>1.8908864000000001E-2</v>
      </c>
    </row>
    <row r="19278" spans="103:104" x14ac:dyDescent="0.3">
      <c r="CY19278" s="34" t="s">
        <v>20205</v>
      </c>
      <c r="CZ19278" s="35">
        <v>3.9569461119999996E-2</v>
      </c>
    </row>
    <row r="19279" spans="103:104" x14ac:dyDescent="0.3">
      <c r="CY19279" s="34" t="s">
        <v>20206</v>
      </c>
      <c r="CZ19279" s="35">
        <v>0.14468504500000001</v>
      </c>
    </row>
    <row r="19280" spans="103:104" x14ac:dyDescent="0.3">
      <c r="CY19280" s="34" t="s">
        <v>20207</v>
      </c>
      <c r="CZ19280" s="35">
        <v>0.15624492000000001</v>
      </c>
    </row>
    <row r="19281" spans="103:104" x14ac:dyDescent="0.3">
      <c r="CY19281" s="34" t="s">
        <v>20208</v>
      </c>
      <c r="CZ19281" s="35">
        <v>0.14414192000000001</v>
      </c>
    </row>
    <row r="19282" spans="103:104" x14ac:dyDescent="0.3">
      <c r="CY19282" s="34" t="s">
        <v>20209</v>
      </c>
      <c r="CZ19282" s="35">
        <v>0.14468504500000001</v>
      </c>
    </row>
    <row r="19283" spans="103:104" x14ac:dyDescent="0.3">
      <c r="CY19283" s="34" t="s">
        <v>20210</v>
      </c>
      <c r="CZ19283" s="35">
        <v>0.23680119999999999</v>
      </c>
    </row>
    <row r="19284" spans="103:104" x14ac:dyDescent="0.3">
      <c r="CY19284" s="34" t="s">
        <v>20211</v>
      </c>
      <c r="CZ19284" s="35">
        <v>0.115876405</v>
      </c>
    </row>
    <row r="19285" spans="103:104" x14ac:dyDescent="0.3">
      <c r="CY19285" s="34" t="s">
        <v>20212</v>
      </c>
      <c r="CZ19285" s="35">
        <v>0.1739656</v>
      </c>
    </row>
    <row r="19286" spans="103:104" x14ac:dyDescent="0.3">
      <c r="CY19286" s="34" t="s">
        <v>20213</v>
      </c>
      <c r="CZ19286" s="35">
        <v>4.9612560000000003E-4</v>
      </c>
    </row>
    <row r="19287" spans="103:104" x14ac:dyDescent="0.3">
      <c r="CY19287" s="34" t="s">
        <v>20214</v>
      </c>
      <c r="CZ19287" s="35">
        <v>2.6548575999999998E-4</v>
      </c>
    </row>
    <row r="19288" spans="103:104" x14ac:dyDescent="0.3">
      <c r="CY19288" s="34" t="s">
        <v>20215</v>
      </c>
      <c r="CZ19288" s="35">
        <v>6.8731028E-2</v>
      </c>
    </row>
    <row r="19289" spans="103:104" x14ac:dyDescent="0.3">
      <c r="CY19289" s="34" t="s">
        <v>20216</v>
      </c>
      <c r="CZ19289" s="35">
        <v>2.474751E-2</v>
      </c>
    </row>
    <row r="19290" spans="103:104" x14ac:dyDescent="0.3">
      <c r="CY19290" s="34" t="s">
        <v>20217</v>
      </c>
      <c r="CZ19290" s="35">
        <v>8.6154160000000007E-2</v>
      </c>
    </row>
    <row r="19291" spans="103:104" x14ac:dyDescent="0.3">
      <c r="CY19291" s="34" t="s">
        <v>20218</v>
      </c>
      <c r="CZ19291" s="35">
        <v>7.9505333399999989E-2</v>
      </c>
    </row>
    <row r="19292" spans="103:104" x14ac:dyDescent="0.3">
      <c r="CY19292" s="34" t="s">
        <v>20219</v>
      </c>
      <c r="CZ19292" s="35">
        <v>0.46277848000000005</v>
      </c>
    </row>
    <row r="19293" spans="103:104" x14ac:dyDescent="0.3">
      <c r="CY19293" s="34" t="s">
        <v>20220</v>
      </c>
      <c r="CZ19293" s="35">
        <v>0.46277847999999999</v>
      </c>
    </row>
    <row r="19294" spans="103:104" x14ac:dyDescent="0.3">
      <c r="CY19294" s="34" t="s">
        <v>20221</v>
      </c>
      <c r="CZ19294" s="35">
        <v>2.3875624000000002E-2</v>
      </c>
    </row>
    <row r="19295" spans="103:104" x14ac:dyDescent="0.3">
      <c r="CY19295" s="34" t="s">
        <v>20222</v>
      </c>
      <c r="CZ19295" s="35">
        <v>2.7865200000000003E-2</v>
      </c>
    </row>
    <row r="19296" spans="103:104" x14ac:dyDescent="0.3">
      <c r="CY19296" s="34" t="s">
        <v>20223</v>
      </c>
      <c r="CZ19296" s="35">
        <v>5.2469380000000003E-2</v>
      </c>
    </row>
    <row r="19297" spans="103:104" x14ac:dyDescent="0.3">
      <c r="CY19297" s="34" t="s">
        <v>20224</v>
      </c>
      <c r="CZ19297" s="35">
        <v>8.2250100000000007E-2</v>
      </c>
    </row>
    <row r="19298" spans="103:104" x14ac:dyDescent="0.3">
      <c r="CY19298" s="34" t="s">
        <v>20225</v>
      </c>
      <c r="CZ19298" s="35">
        <v>0.30248922400000006</v>
      </c>
    </row>
    <row r="19299" spans="103:104" x14ac:dyDescent="0.3">
      <c r="CY19299" s="34" t="s">
        <v>20226</v>
      </c>
      <c r="CZ19299" s="35">
        <v>6.2906853375E-3</v>
      </c>
    </row>
    <row r="19300" spans="103:104" x14ac:dyDescent="0.3">
      <c r="CY19300" s="34" t="s">
        <v>20227</v>
      </c>
      <c r="CZ19300" s="35">
        <v>2.6600699789473686E-2</v>
      </c>
    </row>
    <row r="19301" spans="103:104" x14ac:dyDescent="0.3">
      <c r="CY19301" s="34" t="s">
        <v>20228</v>
      </c>
      <c r="CZ19301" s="35">
        <v>0.10990964</v>
      </c>
    </row>
    <row r="19302" spans="103:104" x14ac:dyDescent="0.3">
      <c r="CY19302" s="34" t="s">
        <v>20229</v>
      </c>
      <c r="CZ19302" s="35">
        <v>3.5525560000000005E-2</v>
      </c>
    </row>
    <row r="19303" spans="103:104" x14ac:dyDescent="0.3">
      <c r="CY19303" s="34" t="s">
        <v>20230</v>
      </c>
      <c r="CZ19303" s="35">
        <v>1.2001968E-2</v>
      </c>
    </row>
    <row r="19304" spans="103:104" x14ac:dyDescent="0.3">
      <c r="CY19304" s="34" t="s">
        <v>20231</v>
      </c>
      <c r="CZ19304" s="35">
        <v>2.7142704000000004E-2</v>
      </c>
    </row>
    <row r="19305" spans="103:104" x14ac:dyDescent="0.3">
      <c r="CY19305" s="34" t="s">
        <v>20232</v>
      </c>
      <c r="CZ19305" s="35">
        <v>2.6750666000000003E-2</v>
      </c>
    </row>
    <row r="19306" spans="103:104" x14ac:dyDescent="0.3">
      <c r="CY19306" s="34" t="s">
        <v>20233</v>
      </c>
      <c r="CZ19306" s="35">
        <v>0.1726336466666667</v>
      </c>
    </row>
    <row r="19307" spans="103:104" x14ac:dyDescent="0.3">
      <c r="CY19307" s="34" t="s">
        <v>20234</v>
      </c>
      <c r="CZ19307" s="35">
        <v>0.18862427330000001</v>
      </c>
    </row>
    <row r="19308" spans="103:104" x14ac:dyDescent="0.3">
      <c r="CY19308" s="34" t="s">
        <v>20235</v>
      </c>
      <c r="CZ19308" s="35">
        <v>0.21718266664999999</v>
      </c>
    </row>
    <row r="19309" spans="103:104" x14ac:dyDescent="0.3">
      <c r="CY19309" s="34" t="s">
        <v>20236</v>
      </c>
      <c r="CZ19309" s="35">
        <v>0.24220307666666668</v>
      </c>
    </row>
    <row r="19310" spans="103:104" x14ac:dyDescent="0.3">
      <c r="CY19310" s="34" t="s">
        <v>20237</v>
      </c>
      <c r="CZ19310" s="35">
        <v>1.9682656000000001E-3</v>
      </c>
    </row>
    <row r="19311" spans="103:104" x14ac:dyDescent="0.3">
      <c r="CY19311" s="34" t="s">
        <v>20238</v>
      </c>
      <c r="CZ19311" s="35">
        <v>1.60458E-3</v>
      </c>
    </row>
    <row r="19312" spans="103:104" x14ac:dyDescent="0.3">
      <c r="CY19312" s="34" t="s">
        <v>20239</v>
      </c>
      <c r="CZ19312" s="35">
        <v>1.6582467E-3</v>
      </c>
    </row>
    <row r="19313" spans="103:104" x14ac:dyDescent="0.3">
      <c r="CY19313" s="34" t="s">
        <v>20240</v>
      </c>
      <c r="CZ19313" s="35">
        <v>1.3968378666666665E-2</v>
      </c>
    </row>
    <row r="19314" spans="103:104" x14ac:dyDescent="0.3">
      <c r="CY19314" s="34" t="s">
        <v>20241</v>
      </c>
      <c r="CZ19314" s="35">
        <v>1.7913960000000003E-2</v>
      </c>
    </row>
    <row r="19315" spans="103:104" x14ac:dyDescent="0.3">
      <c r="CY19315" s="34" t="s">
        <v>20242</v>
      </c>
      <c r="CZ19315" s="35">
        <v>1.15E-2</v>
      </c>
    </row>
    <row r="19316" spans="103:104" x14ac:dyDescent="0.3">
      <c r="CY19316" s="34" t="s">
        <v>20243</v>
      </c>
      <c r="CZ19316" s="35">
        <v>1.4061776E-3</v>
      </c>
    </row>
    <row r="19317" spans="103:104" x14ac:dyDescent="0.3">
      <c r="CY19317" s="34" t="s">
        <v>20244</v>
      </c>
      <c r="CZ19317" s="35">
        <v>5.9163322999999997E-2</v>
      </c>
    </row>
    <row r="19318" spans="103:104" x14ac:dyDescent="0.3">
      <c r="CY19318" s="34" t="s">
        <v>20245</v>
      </c>
      <c r="CZ19318" s="35">
        <v>7.666669000000001E-2</v>
      </c>
    </row>
    <row r="19319" spans="103:104" x14ac:dyDescent="0.3">
      <c r="CY19319" s="34" t="s">
        <v>20246</v>
      </c>
      <c r="CZ19319" s="35">
        <v>0.90840171999999986</v>
      </c>
    </row>
    <row r="19320" spans="103:104" x14ac:dyDescent="0.3">
      <c r="CY19320" s="34" t="s">
        <v>20247</v>
      </c>
      <c r="CZ19320" s="35">
        <v>0.41083139999999996</v>
      </c>
    </row>
    <row r="19321" spans="103:104" x14ac:dyDescent="0.3">
      <c r="CY19321" s="34" t="s">
        <v>20248</v>
      </c>
      <c r="CZ19321" s="35">
        <v>0.52307000000000003</v>
      </c>
    </row>
    <row r="19322" spans="103:104" x14ac:dyDescent="0.3">
      <c r="CY19322" s="34" t="s">
        <v>20249</v>
      </c>
      <c r="CZ19322" s="35">
        <v>1.7724480000000001E-2</v>
      </c>
    </row>
    <row r="19323" spans="103:104" x14ac:dyDescent="0.3">
      <c r="CY19323" s="34" t="s">
        <v>20250</v>
      </c>
      <c r="CZ19323" s="35">
        <v>1.6369392E-2</v>
      </c>
    </row>
    <row r="19324" spans="103:104" x14ac:dyDescent="0.3">
      <c r="CY19324" s="34" t="s">
        <v>20251</v>
      </c>
      <c r="CZ19324" s="35">
        <v>1.044E-3</v>
      </c>
    </row>
    <row r="19325" spans="103:104" x14ac:dyDescent="0.3">
      <c r="CY19325" s="34" t="s">
        <v>20252</v>
      </c>
      <c r="CZ19325" s="35">
        <v>0.14491810999999996</v>
      </c>
    </row>
    <row r="19326" spans="103:104" x14ac:dyDescent="0.3">
      <c r="CY19326" s="34" t="s">
        <v>20253</v>
      </c>
      <c r="CZ19326" s="35">
        <v>0.13373187</v>
      </c>
    </row>
    <row r="19327" spans="103:104" x14ac:dyDescent="0.3">
      <c r="CY19327" s="34" t="s">
        <v>20254</v>
      </c>
      <c r="CZ19327" s="35">
        <v>0.11437539000000001</v>
      </c>
    </row>
    <row r="19328" spans="103:104" x14ac:dyDescent="0.3">
      <c r="CY19328" s="34" t="s">
        <v>20255</v>
      </c>
      <c r="CZ19328" s="35">
        <v>7.4745119999999998E-2</v>
      </c>
    </row>
    <row r="19329" spans="103:104" x14ac:dyDescent="0.3">
      <c r="CY19329" s="34" t="s">
        <v>20256</v>
      </c>
      <c r="CZ19329" s="35">
        <v>2.2267176999999999E-2</v>
      </c>
    </row>
    <row r="19330" spans="103:104" x14ac:dyDescent="0.3">
      <c r="CY19330" s="34" t="s">
        <v>20257</v>
      </c>
      <c r="CZ19330" s="35">
        <v>1.3421023999999997E-3</v>
      </c>
    </row>
    <row r="19331" spans="103:104" x14ac:dyDescent="0.3">
      <c r="CY19331" s="34" t="s">
        <v>20258</v>
      </c>
      <c r="CZ19331" s="35">
        <v>0.23234919999999998</v>
      </c>
    </row>
    <row r="19332" spans="103:104" x14ac:dyDescent="0.3">
      <c r="CY19332" s="34" t="s">
        <v>20259</v>
      </c>
      <c r="CZ19332" s="35">
        <v>3.7063496000000007E-4</v>
      </c>
    </row>
    <row r="19333" spans="103:104" x14ac:dyDescent="0.3">
      <c r="CY19333" s="34" t="s">
        <v>20260</v>
      </c>
      <c r="CZ19333" s="35">
        <v>2.55683E-3</v>
      </c>
    </row>
    <row r="19334" spans="103:104" x14ac:dyDescent="0.3">
      <c r="CY19334" s="34" t="s">
        <v>20261</v>
      </c>
      <c r="CZ19334" s="35">
        <v>1.4460951954285713E-2</v>
      </c>
    </row>
    <row r="19335" spans="103:104" x14ac:dyDescent="0.3">
      <c r="CY19335" s="34" t="s">
        <v>20262</v>
      </c>
      <c r="CZ19335" s="35">
        <v>1.245732E-3</v>
      </c>
    </row>
    <row r="19336" spans="103:104" x14ac:dyDescent="0.3">
      <c r="CY19336" s="34" t="s">
        <v>20263</v>
      </c>
      <c r="CZ19336" s="35">
        <v>0.28650283332999998</v>
      </c>
    </row>
    <row r="19337" spans="103:104" x14ac:dyDescent="0.3">
      <c r="CY19337" s="34" t="s">
        <v>20264</v>
      </c>
      <c r="CZ19337" s="35">
        <v>4.9176985333333333E-2</v>
      </c>
    </row>
    <row r="19338" spans="103:104" x14ac:dyDescent="0.3">
      <c r="CY19338" s="34" t="s">
        <v>20265</v>
      </c>
      <c r="CZ19338" s="35">
        <v>4.2516176666666669E-2</v>
      </c>
    </row>
    <row r="19339" spans="103:104" x14ac:dyDescent="0.3">
      <c r="CY19339" s="34" t="s">
        <v>20266</v>
      </c>
      <c r="CZ19339" s="35">
        <v>5.8884816E-2</v>
      </c>
    </row>
    <row r="19340" spans="103:104" x14ac:dyDescent="0.3">
      <c r="CY19340" s="34" t="s">
        <v>20267</v>
      </c>
      <c r="CZ19340" s="35">
        <v>1.8937974857142856E-2</v>
      </c>
    </row>
    <row r="19341" spans="103:104" x14ac:dyDescent="0.3">
      <c r="CY19341" s="34" t="s">
        <v>20268</v>
      </c>
      <c r="CZ19341" s="35">
        <v>6.4514285714285715E-4</v>
      </c>
    </row>
    <row r="19342" spans="103:104" x14ac:dyDescent="0.3">
      <c r="CY19342" s="34" t="s">
        <v>20269</v>
      </c>
      <c r="CZ19342" s="35">
        <v>7.7103427200000005E-2</v>
      </c>
    </row>
    <row r="19343" spans="103:104" x14ac:dyDescent="0.3">
      <c r="CY19343" s="34" t="s">
        <v>20270</v>
      </c>
      <c r="CZ19343" s="35">
        <v>7.4653004000000009E-2</v>
      </c>
    </row>
    <row r="19344" spans="103:104" x14ac:dyDescent="0.3">
      <c r="CY19344" s="34" t="s">
        <v>20271</v>
      </c>
      <c r="CZ19344" s="35">
        <v>1.3980983999999998E-2</v>
      </c>
    </row>
    <row r="19345" spans="103:104" x14ac:dyDescent="0.3">
      <c r="CY19345" s="34" t="s">
        <v>20272</v>
      </c>
      <c r="CZ19345" s="35">
        <v>9.632215999999999E-3</v>
      </c>
    </row>
    <row r="19346" spans="103:104" x14ac:dyDescent="0.3">
      <c r="CY19346" s="34" t="s">
        <v>20273</v>
      </c>
      <c r="CZ19346" s="35">
        <v>9.632215999999999E-3</v>
      </c>
    </row>
    <row r="19347" spans="103:104" x14ac:dyDescent="0.3">
      <c r="CY19347" s="34" t="s">
        <v>20274</v>
      </c>
      <c r="CZ19347" s="35">
        <v>6.7419000000000003E-3</v>
      </c>
    </row>
    <row r="19348" spans="103:104" x14ac:dyDescent="0.3">
      <c r="CY19348" s="34" t="s">
        <v>20275</v>
      </c>
      <c r="CZ19348" s="35">
        <v>6.7419000000000003E-3</v>
      </c>
    </row>
    <row r="19349" spans="103:104" x14ac:dyDescent="0.3">
      <c r="CY19349" s="34" t="s">
        <v>20276</v>
      </c>
      <c r="CZ19349" s="35">
        <v>4.0706929142857146E-2</v>
      </c>
    </row>
    <row r="19350" spans="103:104" x14ac:dyDescent="0.3">
      <c r="CY19350" s="34" t="s">
        <v>20277</v>
      </c>
      <c r="CZ19350" s="35">
        <v>7.7162800000000004E-2</v>
      </c>
    </row>
    <row r="19351" spans="103:104" x14ac:dyDescent="0.3">
      <c r="CY19351" s="34" t="s">
        <v>20278</v>
      </c>
      <c r="CZ19351" s="35">
        <v>6.7295175999999998E-2</v>
      </c>
    </row>
    <row r="19352" spans="103:104" x14ac:dyDescent="0.3">
      <c r="CY19352" s="34" t="s">
        <v>20279</v>
      </c>
      <c r="CZ19352" s="35">
        <v>8.9839047999999991E-2</v>
      </c>
    </row>
    <row r="19353" spans="103:104" x14ac:dyDescent="0.3">
      <c r="CY19353" s="34" t="s">
        <v>20280</v>
      </c>
      <c r="CZ19353" s="35">
        <v>1.8E-5</v>
      </c>
    </row>
    <row r="19354" spans="103:104" x14ac:dyDescent="0.3">
      <c r="CY19354" s="34" t="s">
        <v>20281</v>
      </c>
      <c r="CZ19354" s="35">
        <v>8.3149750000000005E-3</v>
      </c>
    </row>
    <row r="19355" spans="103:104" x14ac:dyDescent="0.3">
      <c r="CY19355" s="34" t="s">
        <v>20282</v>
      </c>
      <c r="CZ19355" s="35">
        <v>4.7393043200000002E-3</v>
      </c>
    </row>
    <row r="19356" spans="103:104" x14ac:dyDescent="0.3">
      <c r="CY19356" s="34" t="s">
        <v>20283</v>
      </c>
      <c r="CZ19356" s="35">
        <v>1.7921523999999997E-3</v>
      </c>
    </row>
    <row r="19357" spans="103:104" x14ac:dyDescent="0.3">
      <c r="CY19357" s="34" t="s">
        <v>20284</v>
      </c>
      <c r="CZ19357" s="35">
        <v>4.7754000000000005E-2</v>
      </c>
    </row>
    <row r="19358" spans="103:104" x14ac:dyDescent="0.3">
      <c r="CY19358" s="34" t="s">
        <v>20285</v>
      </c>
      <c r="CZ19358" s="35">
        <v>2.3378600000000002E-3</v>
      </c>
    </row>
    <row r="19359" spans="103:104" x14ac:dyDescent="0.3">
      <c r="CY19359" s="34" t="s">
        <v>20286</v>
      </c>
      <c r="CZ19359" s="35">
        <v>0.11827717600000001</v>
      </c>
    </row>
    <row r="19360" spans="103:104" x14ac:dyDescent="0.3">
      <c r="CY19360" s="34" t="s">
        <v>20287</v>
      </c>
      <c r="CZ19360" s="35">
        <v>2.9080548300000002E-2</v>
      </c>
    </row>
    <row r="19361" spans="103:104" x14ac:dyDescent="0.3">
      <c r="CY19361" s="34" t="s">
        <v>20288</v>
      </c>
      <c r="CZ19361" s="35">
        <v>3.2900362999999998E-3</v>
      </c>
    </row>
    <row r="19362" spans="103:104" x14ac:dyDescent="0.3">
      <c r="CY19362" s="34" t="s">
        <v>20289</v>
      </c>
      <c r="CZ19362" s="35">
        <v>8.9926600000000002E-4</v>
      </c>
    </row>
    <row r="19363" spans="103:104" x14ac:dyDescent="0.3">
      <c r="CY19363" s="34" t="s">
        <v>20290</v>
      </c>
      <c r="CZ19363" s="35">
        <v>1.3766398400000001E-2</v>
      </c>
    </row>
    <row r="19364" spans="103:104" x14ac:dyDescent="0.3">
      <c r="CY19364" s="34" t="s">
        <v>20291</v>
      </c>
      <c r="CZ19364" s="35">
        <v>1.1621347999999998E-3</v>
      </c>
    </row>
    <row r="19365" spans="103:104" x14ac:dyDescent="0.3">
      <c r="CY19365" s="34" t="s">
        <v>20292</v>
      </c>
      <c r="CZ19365" s="35">
        <v>1.0392098E-3</v>
      </c>
    </row>
    <row r="19366" spans="103:104" x14ac:dyDescent="0.3">
      <c r="CY19366" s="34" t="s">
        <v>20293</v>
      </c>
      <c r="CZ19366" s="35">
        <v>4.3532471999999994E-3</v>
      </c>
    </row>
    <row r="19367" spans="103:104" x14ac:dyDescent="0.3">
      <c r="CY19367" s="34" t="s">
        <v>20294</v>
      </c>
      <c r="CZ19367" s="35">
        <v>3.9191931999999997E-3</v>
      </c>
    </row>
    <row r="19368" spans="103:104" x14ac:dyDescent="0.3">
      <c r="CY19368" s="34" t="s">
        <v>20295</v>
      </c>
      <c r="CZ19368" s="35">
        <v>2.2138279999999996E-2</v>
      </c>
    </row>
    <row r="19369" spans="103:104" x14ac:dyDescent="0.3">
      <c r="CY19369" s="34" t="s">
        <v>20296</v>
      </c>
      <c r="CZ19369" s="35">
        <v>3.3744893999999998E-3</v>
      </c>
    </row>
    <row r="19370" spans="103:104" x14ac:dyDescent="0.3">
      <c r="CY19370" s="34" t="s">
        <v>20297</v>
      </c>
      <c r="CZ19370" s="35">
        <v>5.6798040000000001E-3</v>
      </c>
    </row>
    <row r="19371" spans="103:104" x14ac:dyDescent="0.3">
      <c r="CY19371" s="34" t="s">
        <v>20298</v>
      </c>
      <c r="CZ19371" s="35">
        <v>9.5002120000000009E-3</v>
      </c>
    </row>
    <row r="19372" spans="103:104" x14ac:dyDescent="0.3">
      <c r="CY19372" s="34" t="s">
        <v>20299</v>
      </c>
      <c r="CZ19372" s="35">
        <v>2.5355801000000008E-2</v>
      </c>
    </row>
    <row r="19373" spans="103:104" x14ac:dyDescent="0.3">
      <c r="CY19373" s="34" t="s">
        <v>20300</v>
      </c>
      <c r="CZ19373" s="35">
        <v>9.7691055999999998E-2</v>
      </c>
    </row>
    <row r="19374" spans="103:104" x14ac:dyDescent="0.3">
      <c r="CY19374" s="34" t="s">
        <v>20301</v>
      </c>
      <c r="CZ19374" s="35">
        <v>5.3620000000000002E-4</v>
      </c>
    </row>
    <row r="19375" spans="103:104" x14ac:dyDescent="0.3">
      <c r="CY19375" s="34" t="s">
        <v>20302</v>
      </c>
      <c r="CZ19375" s="35">
        <v>2.9469999999999995E-4</v>
      </c>
    </row>
    <row r="19376" spans="103:104" x14ac:dyDescent="0.3">
      <c r="CY19376" s="34" t="s">
        <v>20303</v>
      </c>
      <c r="CZ19376" s="35">
        <v>0.10178774688000002</v>
      </c>
    </row>
    <row r="19377" spans="103:104" x14ac:dyDescent="0.3">
      <c r="CY19377" s="34" t="s">
        <v>20304</v>
      </c>
      <c r="CZ19377" s="35">
        <v>7.0537545999999979E-2</v>
      </c>
    </row>
    <row r="19378" spans="103:104" x14ac:dyDescent="0.3">
      <c r="CY19378" s="34" t="s">
        <v>20305</v>
      </c>
      <c r="CZ19378" s="35">
        <v>9.2476787500000004E-2</v>
      </c>
    </row>
    <row r="19379" spans="103:104" x14ac:dyDescent="0.3">
      <c r="CY19379" s="34" t="s">
        <v>20306</v>
      </c>
      <c r="CZ19379" s="35">
        <v>0.11072899333333333</v>
      </c>
    </row>
    <row r="19380" spans="103:104" x14ac:dyDescent="0.3">
      <c r="CY19380" s="34" t="s">
        <v>20307</v>
      </c>
      <c r="CZ19380" s="35">
        <v>2.5168749320000003E-2</v>
      </c>
    </row>
    <row r="19381" spans="103:104" x14ac:dyDescent="0.3">
      <c r="CY19381" s="34" t="s">
        <v>20308</v>
      </c>
      <c r="CZ19381" s="35">
        <v>3.0449170000000001E-2</v>
      </c>
    </row>
    <row r="19382" spans="103:104" x14ac:dyDescent="0.3">
      <c r="CY19382" s="34" t="s">
        <v>20309</v>
      </c>
      <c r="CZ19382" s="35">
        <v>4.8992161999999999E-2</v>
      </c>
    </row>
    <row r="19383" spans="103:104" x14ac:dyDescent="0.3">
      <c r="CY19383" s="34" t="s">
        <v>20310</v>
      </c>
      <c r="CZ19383" s="35">
        <v>8.556264999999999E-2</v>
      </c>
    </row>
    <row r="19384" spans="103:104" x14ac:dyDescent="0.3">
      <c r="CY19384" s="34" t="s">
        <v>20311</v>
      </c>
      <c r="CZ19384" s="35">
        <v>7.0726149999999997E-5</v>
      </c>
    </row>
    <row r="19385" spans="103:104" x14ac:dyDescent="0.3">
      <c r="CY19385" s="34" t="s">
        <v>20312</v>
      </c>
      <c r="CZ19385" s="35">
        <v>6.7406880000000002E-2</v>
      </c>
    </row>
    <row r="19386" spans="103:104" x14ac:dyDescent="0.3">
      <c r="CY19386" s="34" t="s">
        <v>20313</v>
      </c>
      <c r="CZ19386" s="35">
        <v>6.5071160000000003E-2</v>
      </c>
    </row>
    <row r="19387" spans="103:104" x14ac:dyDescent="0.3">
      <c r="CY19387" s="34" t="s">
        <v>20314</v>
      </c>
      <c r="CZ19387" s="35">
        <v>5.5392919999999991E-2</v>
      </c>
    </row>
    <row r="19388" spans="103:104" x14ac:dyDescent="0.3">
      <c r="CY19388" s="34" t="s">
        <v>20315</v>
      </c>
      <c r="CZ19388" s="35">
        <v>7.0638279999999998E-2</v>
      </c>
    </row>
    <row r="19389" spans="103:104" x14ac:dyDescent="0.3">
      <c r="CY19389" s="34" t="s">
        <v>20316</v>
      </c>
      <c r="CZ19389" s="35">
        <v>6.5747159999999999E-2</v>
      </c>
    </row>
    <row r="19390" spans="103:104" x14ac:dyDescent="0.3">
      <c r="CY19390" s="34" t="s">
        <v>20317</v>
      </c>
      <c r="CZ19390" s="35">
        <v>6.5747159999999999E-2</v>
      </c>
    </row>
    <row r="19391" spans="103:104" x14ac:dyDescent="0.3">
      <c r="CY19391" s="34" t="s">
        <v>20318</v>
      </c>
      <c r="CZ19391" s="35">
        <v>0.10183539999999999</v>
      </c>
    </row>
    <row r="19392" spans="103:104" x14ac:dyDescent="0.3">
      <c r="CY19392" s="34" t="s">
        <v>20319</v>
      </c>
      <c r="CZ19392" s="35">
        <v>1.7032160000000001E-2</v>
      </c>
    </row>
    <row r="19393" spans="103:104" x14ac:dyDescent="0.3">
      <c r="CY19393" s="34" t="s">
        <v>20320</v>
      </c>
      <c r="CZ19393" s="35">
        <v>7.2798600000000005E-2</v>
      </c>
    </row>
    <row r="19394" spans="103:104" x14ac:dyDescent="0.3">
      <c r="CY19394" s="34" t="s">
        <v>20321</v>
      </c>
      <c r="CZ19394" s="35">
        <v>1.721936E-2</v>
      </c>
    </row>
    <row r="19395" spans="103:104" x14ac:dyDescent="0.3">
      <c r="CY19395" s="34" t="s">
        <v>20322</v>
      </c>
      <c r="CZ19395" s="35">
        <v>1.88744E-2</v>
      </c>
    </row>
    <row r="19396" spans="103:104" x14ac:dyDescent="0.3">
      <c r="CY19396" s="34" t="s">
        <v>20323</v>
      </c>
      <c r="CZ19396" s="35">
        <v>4.8218114285714285E-2</v>
      </c>
    </row>
    <row r="19397" spans="103:104" x14ac:dyDescent="0.3">
      <c r="CY19397" s="34" t="s">
        <v>20324</v>
      </c>
      <c r="CZ19397" s="35">
        <v>3.2578621325000008E-2</v>
      </c>
    </row>
    <row r="19398" spans="103:104" x14ac:dyDescent="0.3">
      <c r="CY19398" s="34" t="s">
        <v>20325</v>
      </c>
      <c r="CZ19398" s="35">
        <v>0.24275623684210526</v>
      </c>
    </row>
    <row r="19399" spans="103:104" x14ac:dyDescent="0.3">
      <c r="CY19399" s="34" t="s">
        <v>20326</v>
      </c>
      <c r="CZ19399" s="35">
        <v>1.3322535426666667E-2</v>
      </c>
    </row>
    <row r="19400" spans="103:104" x14ac:dyDescent="0.3">
      <c r="CY19400" s="34" t="s">
        <v>20327</v>
      </c>
      <c r="CZ19400" s="35">
        <v>0.10526402666</v>
      </c>
    </row>
    <row r="19401" spans="103:104" x14ac:dyDescent="0.3">
      <c r="CY19401" s="34" t="s">
        <v>20328</v>
      </c>
      <c r="CZ19401" s="35">
        <v>5.653976666666667E-3</v>
      </c>
    </row>
    <row r="19402" spans="103:104" x14ac:dyDescent="0.3">
      <c r="CY19402" s="34" t="s">
        <v>20329</v>
      </c>
      <c r="CZ19402" s="35">
        <v>4.7678E-3</v>
      </c>
    </row>
    <row r="19403" spans="103:104" x14ac:dyDescent="0.3">
      <c r="CY19403" s="34" t="s">
        <v>20330</v>
      </c>
      <c r="CZ19403" s="35">
        <v>2.6470174133333333E-2</v>
      </c>
    </row>
    <row r="19404" spans="103:104" x14ac:dyDescent="0.3">
      <c r="CY19404" s="34" t="s">
        <v>20331</v>
      </c>
      <c r="CZ19404" s="35">
        <v>5.1619049999999996E-3</v>
      </c>
    </row>
    <row r="19405" spans="103:104" x14ac:dyDescent="0.3">
      <c r="CY19405" s="34" t="s">
        <v>20332</v>
      </c>
      <c r="CZ19405" s="35">
        <v>0.10572526666700001</v>
      </c>
    </row>
    <row r="19406" spans="103:104" x14ac:dyDescent="0.3">
      <c r="CY19406" s="34" t="s">
        <v>20333</v>
      </c>
      <c r="CZ19406" s="35">
        <v>4.6164000000000005E-3</v>
      </c>
    </row>
    <row r="19407" spans="103:104" x14ac:dyDescent="0.3">
      <c r="CY19407" s="34" t="s">
        <v>20334</v>
      </c>
      <c r="CZ19407" s="35">
        <v>5.1701536000000006E-2</v>
      </c>
    </row>
    <row r="19408" spans="103:104" x14ac:dyDescent="0.3">
      <c r="CY19408" s="34" t="s">
        <v>20335</v>
      </c>
      <c r="CZ19408" s="35">
        <v>7.6471631999999998E-2</v>
      </c>
    </row>
    <row r="19409" spans="103:104" x14ac:dyDescent="0.3">
      <c r="CY19409" s="34" t="s">
        <v>20336</v>
      </c>
      <c r="CZ19409" s="35">
        <v>5.9273087000000002E-2</v>
      </c>
    </row>
    <row r="19410" spans="103:104" x14ac:dyDescent="0.3">
      <c r="CY19410" s="34" t="s">
        <v>20337</v>
      </c>
      <c r="CZ19410" s="35">
        <v>5.0895633500000009E-2</v>
      </c>
    </row>
    <row r="19411" spans="103:104" x14ac:dyDescent="0.3">
      <c r="CY19411" s="34" t="s">
        <v>20338</v>
      </c>
      <c r="CZ19411" s="35">
        <v>2.1553864000000002E-2</v>
      </c>
    </row>
    <row r="19412" spans="103:104" x14ac:dyDescent="0.3">
      <c r="CY19412" s="34" t="s">
        <v>20339</v>
      </c>
      <c r="CZ19412" s="35">
        <v>2.5700226666666662E-3</v>
      </c>
    </row>
    <row r="19413" spans="103:104" x14ac:dyDescent="0.3">
      <c r="CY19413" s="34" t="s">
        <v>20340</v>
      </c>
      <c r="CZ19413" s="35">
        <v>1.9202553087500001E-2</v>
      </c>
    </row>
    <row r="19414" spans="103:104" x14ac:dyDescent="0.3">
      <c r="CY19414" s="34" t="s">
        <v>20341</v>
      </c>
      <c r="CZ19414" s="35">
        <v>0.13848239999999998</v>
      </c>
    </row>
    <row r="19415" spans="103:104" x14ac:dyDescent="0.3">
      <c r="CY19415" s="34" t="s">
        <v>20342</v>
      </c>
      <c r="CZ19415" s="35">
        <v>6.9166666666666664E-3</v>
      </c>
    </row>
    <row r="19416" spans="103:104" x14ac:dyDescent="0.3">
      <c r="CY19416" s="34" t="s">
        <v>20343</v>
      </c>
      <c r="CZ19416" s="35">
        <v>0.14373492000000004</v>
      </c>
    </row>
    <row r="19417" spans="103:104" x14ac:dyDescent="0.3">
      <c r="CY19417" s="34" t="s">
        <v>20344</v>
      </c>
      <c r="CZ19417" s="35">
        <v>5.4179013400000003E-2</v>
      </c>
    </row>
    <row r="19418" spans="103:104" x14ac:dyDescent="0.3">
      <c r="CY19418" s="34" t="s">
        <v>20345</v>
      </c>
      <c r="CZ19418" s="35">
        <v>5.3742720015599994E-2</v>
      </c>
    </row>
    <row r="19419" spans="103:104" x14ac:dyDescent="0.3">
      <c r="CY19419" s="34" t="s">
        <v>20346</v>
      </c>
      <c r="CZ19419" s="35">
        <v>1.0561960000000001E-3</v>
      </c>
    </row>
    <row r="19420" spans="103:104" x14ac:dyDescent="0.3">
      <c r="CY19420" s="34" t="s">
        <v>20347</v>
      </c>
      <c r="CZ19420" s="35">
        <v>2.4079629299999999E-2</v>
      </c>
    </row>
    <row r="19421" spans="103:104" x14ac:dyDescent="0.3">
      <c r="CY19421" s="34" t="s">
        <v>20348</v>
      </c>
      <c r="CZ19421" s="35">
        <v>1.490936E-2</v>
      </c>
    </row>
    <row r="19422" spans="103:104" x14ac:dyDescent="0.3">
      <c r="CY19422" s="34" t="s">
        <v>20349</v>
      </c>
      <c r="CZ19422" s="35">
        <v>6.0202369999999998E-2</v>
      </c>
    </row>
    <row r="19423" spans="103:104" x14ac:dyDescent="0.3">
      <c r="CY19423" s="34" t="s">
        <v>20350</v>
      </c>
      <c r="CZ19423" s="35">
        <v>1.214925E-2</v>
      </c>
    </row>
    <row r="19424" spans="103:104" x14ac:dyDescent="0.3">
      <c r="CY19424" s="34" t="s">
        <v>20351</v>
      </c>
      <c r="CZ19424" s="35">
        <v>5.3024799999999998E-4</v>
      </c>
    </row>
    <row r="19425" spans="103:104" x14ac:dyDescent="0.3">
      <c r="CY19425" s="34" t="s">
        <v>20352</v>
      </c>
      <c r="CZ19425" s="35">
        <v>5.5741279999999992E-4</v>
      </c>
    </row>
    <row r="19426" spans="103:104" x14ac:dyDescent="0.3">
      <c r="CY19426" s="34" t="s">
        <v>20353</v>
      </c>
      <c r="CZ19426" s="35">
        <v>1.0745872000000002E-3</v>
      </c>
    </row>
    <row r="19427" spans="103:104" x14ac:dyDescent="0.3">
      <c r="CY19427" s="34" t="s">
        <v>20354</v>
      </c>
      <c r="CZ19427" s="35">
        <v>0.40626510416666667</v>
      </c>
    </row>
    <row r="19428" spans="103:104" x14ac:dyDescent="0.3">
      <c r="CY19428" s="34" t="s">
        <v>20355</v>
      </c>
      <c r="CZ19428" s="35">
        <v>0.53362325626666662</v>
      </c>
    </row>
    <row r="19429" spans="103:104" x14ac:dyDescent="0.3">
      <c r="CY19429" s="34" t="s">
        <v>20356</v>
      </c>
      <c r="CZ19429" s="35">
        <v>2.0273029199999997E-3</v>
      </c>
    </row>
    <row r="19430" spans="103:104" x14ac:dyDescent="0.3">
      <c r="CY19430" s="34" t="s">
        <v>20357</v>
      </c>
      <c r="CZ19430" s="35">
        <v>1.3350410659999999E-2</v>
      </c>
    </row>
    <row r="19431" spans="103:104" x14ac:dyDescent="0.3">
      <c r="CY19431" s="34" t="s">
        <v>20358</v>
      </c>
      <c r="CZ19431" s="35">
        <v>7.1920706749999995E-3</v>
      </c>
    </row>
    <row r="19432" spans="103:104" x14ac:dyDescent="0.3">
      <c r="CY19432" s="34" t="s">
        <v>20359</v>
      </c>
      <c r="CZ19432" s="35">
        <v>4.4019359999999995E-3</v>
      </c>
    </row>
    <row r="19433" spans="103:104" x14ac:dyDescent="0.3">
      <c r="CY19433" s="34" t="s">
        <v>20360</v>
      </c>
      <c r="CZ19433" s="35">
        <v>5.3280999999999997E-3</v>
      </c>
    </row>
    <row r="19434" spans="103:104" x14ac:dyDescent="0.3">
      <c r="CY19434" s="34" t="s">
        <v>20361</v>
      </c>
      <c r="CZ19434" s="35">
        <v>0.23988366666666666</v>
      </c>
    </row>
    <row r="19435" spans="103:104" x14ac:dyDescent="0.3">
      <c r="CY19435" s="34" t="s">
        <v>20362</v>
      </c>
      <c r="CZ19435" s="35">
        <v>0.42608313131313136</v>
      </c>
    </row>
    <row r="19436" spans="103:104" x14ac:dyDescent="0.3">
      <c r="CY19436" s="34" t="s">
        <v>20363</v>
      </c>
      <c r="CZ19436" s="35">
        <v>8.7618000000000001E-3</v>
      </c>
    </row>
    <row r="19437" spans="103:104" x14ac:dyDescent="0.3">
      <c r="CY19437" s="34" t="s">
        <v>20364</v>
      </c>
      <c r="CZ19437" s="35">
        <v>1.4003400000000001E-2</v>
      </c>
    </row>
    <row r="19438" spans="103:104" x14ac:dyDescent="0.3">
      <c r="CY19438" s="34" t="s">
        <v>20365</v>
      </c>
      <c r="CZ19438" s="35">
        <v>1.5215585138888888E-2</v>
      </c>
    </row>
    <row r="19439" spans="103:104" x14ac:dyDescent="0.3">
      <c r="CY19439" s="34" t="s">
        <v>20366</v>
      </c>
      <c r="CZ19439" s="35">
        <v>0.10354064</v>
      </c>
    </row>
    <row r="19440" spans="103:104" x14ac:dyDescent="0.3">
      <c r="CY19440" s="34" t="s">
        <v>20367</v>
      </c>
      <c r="CZ19440" s="35">
        <v>4.8999999999999998E-3</v>
      </c>
    </row>
    <row r="19441" spans="103:104" x14ac:dyDescent="0.3">
      <c r="CY19441" s="34" t="s">
        <v>20368</v>
      </c>
      <c r="CZ19441" s="35">
        <v>0.15785250000000001</v>
      </c>
    </row>
    <row r="19442" spans="103:104" x14ac:dyDescent="0.3">
      <c r="CY19442" s="34" t="s">
        <v>20369</v>
      </c>
      <c r="CZ19442" s="35">
        <v>3.4756835999999999E-2</v>
      </c>
    </row>
    <row r="19443" spans="103:104" x14ac:dyDescent="0.3">
      <c r="CY19443" s="34" t="s">
        <v>20370</v>
      </c>
      <c r="CZ19443" s="35">
        <v>9.8616792000000009E-3</v>
      </c>
    </row>
    <row r="19444" spans="103:104" x14ac:dyDescent="0.3">
      <c r="CY19444" s="34" t="s">
        <v>20371</v>
      </c>
      <c r="CZ19444" s="35">
        <v>8.5589819999999997E-3</v>
      </c>
    </row>
    <row r="19445" spans="103:104" x14ac:dyDescent="0.3">
      <c r="CY19445" s="34" t="s">
        <v>20372</v>
      </c>
      <c r="CZ19445" s="35">
        <v>1.0240478400000001E-2</v>
      </c>
    </row>
    <row r="19446" spans="103:104" x14ac:dyDescent="0.3">
      <c r="CY19446" s="34" t="s">
        <v>20373</v>
      </c>
      <c r="CZ19446" s="35">
        <v>8.7252816000000007E-3</v>
      </c>
    </row>
    <row r="19447" spans="103:104" x14ac:dyDescent="0.3">
      <c r="CY19447" s="34" t="s">
        <v>20374</v>
      </c>
      <c r="CZ19447" s="35">
        <v>1.1855041E-2</v>
      </c>
    </row>
    <row r="19448" spans="103:104" x14ac:dyDescent="0.3">
      <c r="CY19448" s="34" t="s">
        <v>20375</v>
      </c>
      <c r="CZ19448" s="35">
        <v>0.11228613333333334</v>
      </c>
    </row>
    <row r="19449" spans="103:104" x14ac:dyDescent="0.3">
      <c r="CY19449" s="34" t="s">
        <v>20376</v>
      </c>
      <c r="CZ19449" s="35">
        <v>5.9329226666666654E-4</v>
      </c>
    </row>
    <row r="19450" spans="103:104" x14ac:dyDescent="0.3">
      <c r="CY19450" s="34" t="s">
        <v>20377</v>
      </c>
      <c r="CZ19450" s="35">
        <v>6.443776E-4</v>
      </c>
    </row>
    <row r="19451" spans="103:104" x14ac:dyDescent="0.3">
      <c r="CY19451" s="34" t="s">
        <v>20378</v>
      </c>
      <c r="CZ19451" s="35">
        <v>1.0201312000000001E-2</v>
      </c>
    </row>
    <row r="19452" spans="103:104" x14ac:dyDescent="0.3">
      <c r="CY19452" s="34" t="s">
        <v>20379</v>
      </c>
      <c r="CZ19452" s="35">
        <v>5.2239000000000009E-3</v>
      </c>
    </row>
    <row r="19453" spans="103:104" x14ac:dyDescent="0.3">
      <c r="CY19453" s="34" t="s">
        <v>20380</v>
      </c>
      <c r="CZ19453" s="35">
        <v>1.9333587999999999E-3</v>
      </c>
    </row>
    <row r="19454" spans="103:104" x14ac:dyDescent="0.3">
      <c r="CY19454" s="34" t="s">
        <v>20381</v>
      </c>
      <c r="CZ19454" s="35">
        <v>8.4469900000000001E-2</v>
      </c>
    </row>
    <row r="19455" spans="103:104" x14ac:dyDescent="0.3">
      <c r="CY19455" s="34" t="s">
        <v>20382</v>
      </c>
      <c r="CZ19455" s="35">
        <v>0.14500749999999998</v>
      </c>
    </row>
    <row r="19456" spans="103:104" x14ac:dyDescent="0.3">
      <c r="CY19456" s="34" t="s">
        <v>20383</v>
      </c>
      <c r="CZ19456" s="35">
        <v>2.3934672351619998E-2</v>
      </c>
    </row>
    <row r="19457" spans="103:104" x14ac:dyDescent="0.3">
      <c r="CY19457" s="34" t="s">
        <v>20384</v>
      </c>
      <c r="CZ19457" s="35">
        <v>2.3934672351619998E-2</v>
      </c>
    </row>
    <row r="19458" spans="103:104" x14ac:dyDescent="0.3">
      <c r="CY19458" s="34" t="s">
        <v>20385</v>
      </c>
      <c r="CZ19458" s="35">
        <v>2.4728178948379999E-2</v>
      </c>
    </row>
    <row r="19459" spans="103:104" x14ac:dyDescent="0.3">
      <c r="CY19459" s="34" t="s">
        <v>20386</v>
      </c>
      <c r="CZ19459" s="35">
        <v>2.4728178948379996E-2</v>
      </c>
    </row>
    <row r="19460" spans="103:104" x14ac:dyDescent="0.3">
      <c r="CY19460" s="34" t="s">
        <v>20387</v>
      </c>
      <c r="CZ19460" s="35">
        <v>2.65397809242E-2</v>
      </c>
    </row>
    <row r="19461" spans="103:104" x14ac:dyDescent="0.3">
      <c r="CY19461" s="34" t="s">
        <v>20388</v>
      </c>
      <c r="CZ19461" s="35">
        <v>2.83027908758E-2</v>
      </c>
    </row>
    <row r="19462" spans="103:104" x14ac:dyDescent="0.3">
      <c r="CY19462" s="34" t="s">
        <v>20389</v>
      </c>
      <c r="CZ19462" s="35">
        <v>3.0082106875799999E-2</v>
      </c>
    </row>
    <row r="19463" spans="103:104" x14ac:dyDescent="0.3">
      <c r="CY19463" s="34" t="s">
        <v>20390</v>
      </c>
      <c r="CZ19463" s="35">
        <v>3.0082106875799996E-2</v>
      </c>
    </row>
    <row r="19464" spans="103:104" x14ac:dyDescent="0.3">
      <c r="CY19464" s="34" t="s">
        <v>20391</v>
      </c>
      <c r="CZ19464" s="35">
        <v>3.4318984199999993E-2</v>
      </c>
    </row>
    <row r="19465" spans="103:104" x14ac:dyDescent="0.3">
      <c r="CY19465" s="34" t="s">
        <v>20392</v>
      </c>
      <c r="CZ19465" s="35">
        <v>3.3271110600000001E-2</v>
      </c>
    </row>
    <row r="19466" spans="103:104" x14ac:dyDescent="0.3">
      <c r="CY19466" s="34" t="s">
        <v>20393</v>
      </c>
      <c r="CZ19466" s="35">
        <v>3.3271110599999994E-2</v>
      </c>
    </row>
    <row r="19467" spans="103:104" x14ac:dyDescent="0.3">
      <c r="CY19467" s="34" t="s">
        <v>20394</v>
      </c>
      <c r="CZ19467" s="35">
        <v>3.6797391399999997E-2</v>
      </c>
    </row>
    <row r="19468" spans="103:104" x14ac:dyDescent="0.3">
      <c r="CY19468" s="34" t="s">
        <v>20395</v>
      </c>
      <c r="CZ19468" s="35">
        <v>5.6937433799999992E-2</v>
      </c>
    </row>
    <row r="19469" spans="103:104" x14ac:dyDescent="0.3">
      <c r="CY19469" s="34" t="s">
        <v>20396</v>
      </c>
      <c r="CZ19469" s="35">
        <v>5.6937433799999999E-2</v>
      </c>
    </row>
    <row r="19470" spans="103:104" x14ac:dyDescent="0.3">
      <c r="CY19470" s="34" t="s">
        <v>20397</v>
      </c>
      <c r="CZ19470" s="35">
        <v>5.8879376000000013E-3</v>
      </c>
    </row>
    <row r="19471" spans="103:104" x14ac:dyDescent="0.3">
      <c r="CY19471" s="34" t="s">
        <v>20398</v>
      </c>
      <c r="CZ19471" s="35">
        <v>3.123416E-2</v>
      </c>
    </row>
    <row r="19472" spans="103:104" x14ac:dyDescent="0.3">
      <c r="CY19472" s="34" t="s">
        <v>20399</v>
      </c>
      <c r="CZ19472" s="35">
        <v>9.7512884999999994E-2</v>
      </c>
    </row>
    <row r="19473" spans="103:104" x14ac:dyDescent="0.3">
      <c r="CY19473" s="34" t="s">
        <v>20400</v>
      </c>
      <c r="CZ19473" s="35">
        <v>1.9401459999999995E-2</v>
      </c>
    </row>
    <row r="19474" spans="103:104" x14ac:dyDescent="0.3">
      <c r="CY19474" s="34" t="s">
        <v>20401</v>
      </c>
      <c r="CZ19474" s="35">
        <v>5.7132666499999998E-3</v>
      </c>
    </row>
    <row r="19475" spans="103:104" x14ac:dyDescent="0.3">
      <c r="CY19475" s="34" t="s">
        <v>20402</v>
      </c>
      <c r="CZ19475" s="35">
        <v>5.9626480000000001E-3</v>
      </c>
    </row>
    <row r="19476" spans="103:104" x14ac:dyDescent="0.3">
      <c r="CY19476" s="34" t="s">
        <v>20403</v>
      </c>
      <c r="CZ19476" s="35">
        <v>1.703396E-3</v>
      </c>
    </row>
    <row r="19477" spans="103:104" x14ac:dyDescent="0.3">
      <c r="CY19477" s="34" t="s">
        <v>20404</v>
      </c>
      <c r="CZ19477" s="35">
        <v>1.5183799999999999E-3</v>
      </c>
    </row>
    <row r="19478" spans="103:104" x14ac:dyDescent="0.3">
      <c r="CY19478" s="34" t="s">
        <v>20405</v>
      </c>
      <c r="CZ19478" s="35">
        <v>1.703396E-3</v>
      </c>
    </row>
    <row r="19479" spans="103:104" x14ac:dyDescent="0.3">
      <c r="CY19479" s="34" t="s">
        <v>20406</v>
      </c>
      <c r="CZ19479" s="35">
        <v>1.5183799999999999E-3</v>
      </c>
    </row>
    <row r="19480" spans="103:104" x14ac:dyDescent="0.3">
      <c r="CY19480" s="34" t="s">
        <v>20407</v>
      </c>
      <c r="CZ19480" s="35">
        <v>9.4570199999999983E-3</v>
      </c>
    </row>
    <row r="19481" spans="103:104" x14ac:dyDescent="0.3">
      <c r="CY19481" s="34" t="s">
        <v>20408</v>
      </c>
      <c r="CZ19481" s="35">
        <v>1.1758369333333333E-3</v>
      </c>
    </row>
    <row r="19482" spans="103:104" x14ac:dyDescent="0.3">
      <c r="CY19482" s="34" t="s">
        <v>20409</v>
      </c>
      <c r="CZ19482" s="35">
        <v>5.6924999999999996E-3</v>
      </c>
    </row>
    <row r="19483" spans="103:104" x14ac:dyDescent="0.3">
      <c r="CY19483" s="34" t="s">
        <v>20410</v>
      </c>
      <c r="CZ19483" s="35">
        <v>3.1051568999999998E-3</v>
      </c>
    </row>
    <row r="19484" spans="103:104" x14ac:dyDescent="0.3">
      <c r="CY19484" s="34" t="s">
        <v>20411</v>
      </c>
      <c r="CZ19484" s="35">
        <v>3.1051568999999998E-3</v>
      </c>
    </row>
    <row r="19485" spans="103:104" x14ac:dyDescent="0.3">
      <c r="CY19485" s="34" t="s">
        <v>20412</v>
      </c>
      <c r="CZ19485" s="35">
        <v>2.9952915000000004E-3</v>
      </c>
    </row>
    <row r="19486" spans="103:104" x14ac:dyDescent="0.3">
      <c r="CY19486" s="34" t="s">
        <v>20413</v>
      </c>
      <c r="CZ19486" s="35">
        <v>2.0591145000000001E-3</v>
      </c>
    </row>
    <row r="19487" spans="103:104" x14ac:dyDescent="0.3">
      <c r="CY19487" s="34" t="s">
        <v>20414</v>
      </c>
      <c r="CZ19487" s="35">
        <v>2.0591145000000001E-3</v>
      </c>
    </row>
    <row r="19488" spans="103:104" x14ac:dyDescent="0.3">
      <c r="CY19488" s="34" t="s">
        <v>20415</v>
      </c>
      <c r="CZ19488" s="35">
        <v>1.4727155E-2</v>
      </c>
    </row>
    <row r="19489" spans="103:104" x14ac:dyDescent="0.3">
      <c r="CY19489" s="34" t="s">
        <v>20416</v>
      </c>
      <c r="CZ19489" s="35">
        <v>3.6303839999999996E-4</v>
      </c>
    </row>
    <row r="19490" spans="103:104" x14ac:dyDescent="0.3">
      <c r="CY19490" s="34" t="s">
        <v>20417</v>
      </c>
      <c r="CZ19490" s="35">
        <v>2.6813823340000001E-2</v>
      </c>
    </row>
    <row r="19491" spans="103:104" x14ac:dyDescent="0.3">
      <c r="CY19491" s="34" t="s">
        <v>20418</v>
      </c>
      <c r="CZ19491" s="35">
        <v>2.4573663339999999E-2</v>
      </c>
    </row>
    <row r="19492" spans="103:104" x14ac:dyDescent="0.3">
      <c r="CY19492" s="34" t="s">
        <v>20419</v>
      </c>
      <c r="CZ19492" s="35">
        <v>2.4386879333333337E-2</v>
      </c>
    </row>
    <row r="19493" spans="103:104" x14ac:dyDescent="0.3">
      <c r="CY19493" s="34" t="s">
        <v>20420</v>
      </c>
      <c r="CZ19493" s="35">
        <v>1.7180879999999999E-2</v>
      </c>
    </row>
    <row r="19494" spans="103:104" x14ac:dyDescent="0.3">
      <c r="CY19494" s="34" t="s">
        <v>20421</v>
      </c>
      <c r="CZ19494" s="35">
        <v>1.5171567999999998E-2</v>
      </c>
    </row>
    <row r="19495" spans="103:104" x14ac:dyDescent="0.3">
      <c r="CY19495" s="34" t="s">
        <v>20422</v>
      </c>
      <c r="CZ19495" s="35">
        <v>8.2231552000000003E-3</v>
      </c>
    </row>
    <row r="19496" spans="103:104" x14ac:dyDescent="0.3">
      <c r="CY19496" s="34" t="s">
        <v>20423</v>
      </c>
      <c r="CZ19496" s="35">
        <v>6.0628359999999994E-3</v>
      </c>
    </row>
    <row r="19497" spans="103:104" x14ac:dyDescent="0.3">
      <c r="CY19497" s="34" t="s">
        <v>20424</v>
      </c>
      <c r="CZ19497" s="35">
        <v>6.0501019999999999E-3</v>
      </c>
    </row>
    <row r="19498" spans="103:104" x14ac:dyDescent="0.3">
      <c r="CY19498" s="34" t="s">
        <v>20425</v>
      </c>
      <c r="CZ19498" s="35">
        <v>2.9343677333333335E-3</v>
      </c>
    </row>
    <row r="19499" spans="103:104" x14ac:dyDescent="0.3">
      <c r="CY19499" s="34" t="s">
        <v>20426</v>
      </c>
      <c r="CZ19499" s="35">
        <v>1.0101578947368422E-2</v>
      </c>
    </row>
    <row r="19500" spans="103:104" x14ac:dyDescent="0.3">
      <c r="CY19500" s="34" t="s">
        <v>20427</v>
      </c>
      <c r="CZ19500" s="35">
        <v>4.3242975999999997E-3</v>
      </c>
    </row>
    <row r="19501" spans="103:104" x14ac:dyDescent="0.3">
      <c r="CY19501" s="34" t="s">
        <v>20428</v>
      </c>
      <c r="CZ19501" s="35">
        <v>2.1068090649999999E-2</v>
      </c>
    </row>
    <row r="19502" spans="103:104" x14ac:dyDescent="0.3">
      <c r="CY19502" s="34" t="s">
        <v>20429</v>
      </c>
      <c r="CZ19502" s="35">
        <v>8.0772624000000001E-3</v>
      </c>
    </row>
    <row r="19503" spans="103:104" x14ac:dyDescent="0.3">
      <c r="CY19503" s="34" t="s">
        <v>20430</v>
      </c>
      <c r="CZ19503" s="35">
        <v>7.5673504000000006E-3</v>
      </c>
    </row>
    <row r="19504" spans="103:104" x14ac:dyDescent="0.3">
      <c r="CY19504" s="34" t="s">
        <v>20431</v>
      </c>
      <c r="CZ19504" s="35">
        <v>0.42571786399999995</v>
      </c>
    </row>
    <row r="19505" spans="103:104" x14ac:dyDescent="0.3">
      <c r="CY19505" s="34" t="s">
        <v>20432</v>
      </c>
      <c r="CZ19505" s="35">
        <v>9.0114400000000003</v>
      </c>
    </row>
    <row r="19506" spans="103:104" x14ac:dyDescent="0.3">
      <c r="CY19506" s="34" t="s">
        <v>20433</v>
      </c>
      <c r="CZ19506" s="35">
        <v>1.0890000000000001E-3</v>
      </c>
    </row>
    <row r="19507" spans="103:104" x14ac:dyDescent="0.3">
      <c r="CY19507" s="34" t="s">
        <v>20434</v>
      </c>
      <c r="CZ19507" s="35">
        <v>7.8378120000000009E-2</v>
      </c>
    </row>
    <row r="19508" spans="103:104" x14ac:dyDescent="0.3">
      <c r="CY19508" s="34" t="s">
        <v>20435</v>
      </c>
      <c r="CZ19508" s="35">
        <v>0.28198638399999998</v>
      </c>
    </row>
    <row r="19509" spans="103:104" x14ac:dyDescent="0.3">
      <c r="CY19509" s="34" t="s">
        <v>20436</v>
      </c>
      <c r="CZ19509" s="35">
        <v>3.0847999999999997E-4</v>
      </c>
    </row>
    <row r="19510" spans="103:104" x14ac:dyDescent="0.3">
      <c r="CY19510" s="34" t="s">
        <v>20437</v>
      </c>
      <c r="CZ19510" s="35">
        <v>2.8002613333333331E-4</v>
      </c>
    </row>
    <row r="19511" spans="103:104" x14ac:dyDescent="0.3">
      <c r="CY19511" s="34" t="s">
        <v>20438</v>
      </c>
      <c r="CZ19511" s="35">
        <v>8.0332700000000003E-3</v>
      </c>
    </row>
    <row r="19512" spans="103:104" x14ac:dyDescent="0.3">
      <c r="CY19512" s="34" t="s">
        <v>20439</v>
      </c>
      <c r="CZ19512" s="35">
        <v>1.2427685500000002E-2</v>
      </c>
    </row>
    <row r="19513" spans="103:104" x14ac:dyDescent="0.3">
      <c r="CY19513" s="34" t="s">
        <v>20440</v>
      </c>
      <c r="CZ19513" s="35">
        <v>2.4356600000000003E-2</v>
      </c>
    </row>
    <row r="19514" spans="103:104" x14ac:dyDescent="0.3">
      <c r="CY19514" s="34" t="s">
        <v>20441</v>
      </c>
      <c r="CZ19514" s="35">
        <v>7.1238560000000006E-2</v>
      </c>
    </row>
    <row r="19515" spans="103:104" x14ac:dyDescent="0.3">
      <c r="CY19515" s="34" t="s">
        <v>20442</v>
      </c>
      <c r="CZ19515" s="35">
        <v>4.1255899999999993E-3</v>
      </c>
    </row>
    <row r="19516" spans="103:104" x14ac:dyDescent="0.3">
      <c r="CY19516" s="34" t="s">
        <v>20443</v>
      </c>
      <c r="CZ19516" s="35">
        <v>3.2969399999999999E-3</v>
      </c>
    </row>
    <row r="19517" spans="103:104" x14ac:dyDescent="0.3">
      <c r="CY19517" s="34" t="s">
        <v>20444</v>
      </c>
      <c r="CZ19517" s="35">
        <v>1.575826E-2</v>
      </c>
    </row>
    <row r="19518" spans="103:104" x14ac:dyDescent="0.3">
      <c r="CY19518" s="34" t="s">
        <v>20445</v>
      </c>
      <c r="CZ19518" s="35">
        <v>9.9037249999999986E-3</v>
      </c>
    </row>
    <row r="19519" spans="103:104" x14ac:dyDescent="0.3">
      <c r="CY19519" s="34" t="s">
        <v>20446</v>
      </c>
      <c r="CZ19519" s="35">
        <v>1.2971584E-2</v>
      </c>
    </row>
    <row r="19520" spans="103:104" x14ac:dyDescent="0.3">
      <c r="CY19520" s="34" t="s">
        <v>20447</v>
      </c>
      <c r="CZ19520" s="35">
        <v>0.12132388000000001</v>
      </c>
    </row>
    <row r="19521" spans="103:104" x14ac:dyDescent="0.3">
      <c r="CY19521" s="34" t="s">
        <v>20448</v>
      </c>
      <c r="CZ19521" s="35">
        <v>1.6532970666666667E-2</v>
      </c>
    </row>
    <row r="19522" spans="103:104" x14ac:dyDescent="0.3">
      <c r="CY19522" s="34" t="s">
        <v>20449</v>
      </c>
      <c r="CZ19522" s="35">
        <v>3.0563366666666668E-2</v>
      </c>
    </row>
    <row r="19523" spans="103:104" x14ac:dyDescent="0.3">
      <c r="CY19523" s="34" t="s">
        <v>20450</v>
      </c>
      <c r="CZ19523" s="35">
        <v>5.2388054499999996E-2</v>
      </c>
    </row>
    <row r="19524" spans="103:104" x14ac:dyDescent="0.3">
      <c r="CY19524" s="34" t="s">
        <v>20451</v>
      </c>
      <c r="CZ19524" s="35">
        <v>0.13605829999999999</v>
      </c>
    </row>
    <row r="19525" spans="103:104" x14ac:dyDescent="0.3">
      <c r="CY19525" s="34" t="s">
        <v>20452</v>
      </c>
      <c r="CZ19525" s="35">
        <v>6.9107260000000007E-3</v>
      </c>
    </row>
    <row r="19526" spans="103:104" x14ac:dyDescent="0.3">
      <c r="CY19526" s="34" t="s">
        <v>20453</v>
      </c>
      <c r="CZ19526" s="35">
        <v>7.1238049999999997E-2</v>
      </c>
    </row>
    <row r="19527" spans="103:104" x14ac:dyDescent="0.3">
      <c r="CY19527" s="34" t="s">
        <v>20454</v>
      </c>
      <c r="CZ19527" s="35">
        <v>2.9589909090909094E-2</v>
      </c>
    </row>
    <row r="19528" spans="103:104" x14ac:dyDescent="0.3">
      <c r="CY19528" s="34" t="s">
        <v>20455</v>
      </c>
      <c r="CZ19528" s="35">
        <v>2.9589909090909094E-2</v>
      </c>
    </row>
    <row r="19529" spans="103:104" x14ac:dyDescent="0.3">
      <c r="CY19529" s="34" t="s">
        <v>20456</v>
      </c>
      <c r="CZ19529" s="35">
        <v>2.9589909090909094E-2</v>
      </c>
    </row>
    <row r="19530" spans="103:104" x14ac:dyDescent="0.3">
      <c r="CY19530" s="34" t="s">
        <v>20457</v>
      </c>
      <c r="CZ19530" s="35">
        <v>2.9589909090909094E-2</v>
      </c>
    </row>
    <row r="19531" spans="103:104" x14ac:dyDescent="0.3">
      <c r="CY19531" s="34" t="s">
        <v>20458</v>
      </c>
      <c r="CZ19531" s="35">
        <v>2.9589909090909094E-2</v>
      </c>
    </row>
    <row r="19532" spans="103:104" x14ac:dyDescent="0.3">
      <c r="CY19532" s="34" t="s">
        <v>20459</v>
      </c>
      <c r="CZ19532" s="35">
        <v>3.7966139999999995E-2</v>
      </c>
    </row>
    <row r="19533" spans="103:104" x14ac:dyDescent="0.3">
      <c r="CY19533" s="34" t="s">
        <v>20460</v>
      </c>
      <c r="CZ19533" s="35">
        <v>2.4546424000000001E-2</v>
      </c>
    </row>
    <row r="19534" spans="103:104" x14ac:dyDescent="0.3">
      <c r="CY19534" s="34" t="s">
        <v>20461</v>
      </c>
      <c r="CZ19534" s="35">
        <v>2.8253199999999997E-3</v>
      </c>
    </row>
    <row r="19535" spans="103:104" x14ac:dyDescent="0.3">
      <c r="CY19535" s="34" t="s">
        <v>20462</v>
      </c>
      <c r="CZ19535" s="35">
        <v>1.1162400000000001E-3</v>
      </c>
    </row>
    <row r="19536" spans="103:104" x14ac:dyDescent="0.3">
      <c r="CY19536" s="34" t="s">
        <v>20463</v>
      </c>
      <c r="CZ19536" s="35">
        <v>1.6532970666666667E-2</v>
      </c>
    </row>
    <row r="19537" spans="103:104" x14ac:dyDescent="0.3">
      <c r="CY19537" s="34" t="s">
        <v>20464</v>
      </c>
      <c r="CZ19537" s="35">
        <v>1.2531039999999999E-3</v>
      </c>
    </row>
    <row r="19538" spans="103:104" x14ac:dyDescent="0.3">
      <c r="CY19538" s="34" t="s">
        <v>20465</v>
      </c>
      <c r="CZ19538" s="35">
        <v>2.8154940000000004E-3</v>
      </c>
    </row>
    <row r="19539" spans="103:104" x14ac:dyDescent="0.3">
      <c r="CY19539" s="34" t="s">
        <v>20466</v>
      </c>
      <c r="CZ19539" s="35">
        <v>1.7270300000000001E-3</v>
      </c>
    </row>
    <row r="19540" spans="103:104" x14ac:dyDescent="0.3">
      <c r="CY19540" s="34" t="s">
        <v>20467</v>
      </c>
      <c r="CZ19540" s="35">
        <v>1.9370447200000002E-2</v>
      </c>
    </row>
    <row r="19541" spans="103:104" x14ac:dyDescent="0.3">
      <c r="CY19541" s="34" t="s">
        <v>20468</v>
      </c>
      <c r="CZ19541" s="35">
        <v>3.5007160000000002E-2</v>
      </c>
    </row>
    <row r="19542" spans="103:104" x14ac:dyDescent="0.3">
      <c r="CY19542" s="34" t="s">
        <v>20469</v>
      </c>
      <c r="CZ19542" s="35">
        <v>2.905344E-2</v>
      </c>
    </row>
    <row r="19543" spans="103:104" x14ac:dyDescent="0.3">
      <c r="CY19543" s="34" t="s">
        <v>20470</v>
      </c>
      <c r="CZ19543" s="35">
        <v>2.5443600000000003E-3</v>
      </c>
    </row>
    <row r="19544" spans="103:104" x14ac:dyDescent="0.3">
      <c r="CY19544" s="34" t="s">
        <v>20471</v>
      </c>
      <c r="CZ19544" s="35">
        <v>6.3559000000000004E-2</v>
      </c>
    </row>
    <row r="19545" spans="103:104" x14ac:dyDescent="0.3">
      <c r="CY19545" s="34" t="s">
        <v>20472</v>
      </c>
      <c r="CZ19545" s="35">
        <v>1.7775092363636367E-2</v>
      </c>
    </row>
    <row r="19546" spans="103:104" x14ac:dyDescent="0.3">
      <c r="CY19546" s="34" t="s">
        <v>20473</v>
      </c>
      <c r="CZ19546" s="35">
        <v>3.0816149599999999E-2</v>
      </c>
    </row>
    <row r="19547" spans="103:104" x14ac:dyDescent="0.3">
      <c r="CY19547" s="34" t="s">
        <v>20474</v>
      </c>
      <c r="CZ19547" s="35">
        <v>2.4007628E-2</v>
      </c>
    </row>
    <row r="19548" spans="103:104" x14ac:dyDescent="0.3">
      <c r="CY19548" s="34" t="s">
        <v>20475</v>
      </c>
      <c r="CZ19548" s="35">
        <v>4.6857623200000004E-2</v>
      </c>
    </row>
    <row r="19549" spans="103:104" x14ac:dyDescent="0.3">
      <c r="CY19549" s="34" t="s">
        <v>20476</v>
      </c>
      <c r="CZ19549" s="35">
        <v>5.7293409600000005E-2</v>
      </c>
    </row>
    <row r="19550" spans="103:104" x14ac:dyDescent="0.3">
      <c r="CY19550" s="34" t="s">
        <v>20477</v>
      </c>
      <c r="CZ19550" s="35">
        <v>7.7927914399999992E-2</v>
      </c>
    </row>
    <row r="19551" spans="103:104" x14ac:dyDescent="0.3">
      <c r="CY19551" s="34" t="s">
        <v>20478</v>
      </c>
      <c r="CZ19551" s="35">
        <v>2.9719155000000001E-2</v>
      </c>
    </row>
    <row r="19552" spans="103:104" x14ac:dyDescent="0.3">
      <c r="CY19552" s="34" t="s">
        <v>20479</v>
      </c>
      <c r="CZ19552" s="35">
        <v>3.4364375000000003E-2</v>
      </c>
    </row>
    <row r="19553" spans="103:104" x14ac:dyDescent="0.3">
      <c r="CY19553" s="34" t="s">
        <v>20480</v>
      </c>
      <c r="CZ19553" s="35">
        <v>2.6062248E-2</v>
      </c>
    </row>
    <row r="19554" spans="103:104" x14ac:dyDescent="0.3">
      <c r="CY19554" s="34" t="s">
        <v>20481</v>
      </c>
      <c r="CZ19554" s="35">
        <v>9.0642588000000007E-3</v>
      </c>
    </row>
    <row r="19555" spans="103:104" x14ac:dyDescent="0.3">
      <c r="CY19555" s="34" t="s">
        <v>20482</v>
      </c>
      <c r="CZ19555" s="35">
        <v>3.5974374999999996E-2</v>
      </c>
    </row>
    <row r="19556" spans="103:104" x14ac:dyDescent="0.3">
      <c r="CY19556" s="34" t="s">
        <v>20483</v>
      </c>
      <c r="CZ19556" s="35">
        <v>9.6330666666666672E-3</v>
      </c>
    </row>
    <row r="19557" spans="103:104" x14ac:dyDescent="0.3">
      <c r="CY19557" s="34" t="s">
        <v>20484</v>
      </c>
      <c r="CZ19557" s="35">
        <v>6.5098679999999994E-3</v>
      </c>
    </row>
    <row r="19558" spans="103:104" x14ac:dyDescent="0.3">
      <c r="CY19558" s="34" t="s">
        <v>20485</v>
      </c>
      <c r="CZ19558" s="35">
        <v>1.0161076E-2</v>
      </c>
    </row>
    <row r="19559" spans="103:104" x14ac:dyDescent="0.3">
      <c r="CY19559" s="34" t="s">
        <v>20486</v>
      </c>
      <c r="CZ19559" s="35">
        <v>9.3099991999999986E-3</v>
      </c>
    </row>
    <row r="19560" spans="103:104" x14ac:dyDescent="0.3">
      <c r="CY19560" s="34" t="s">
        <v>20487</v>
      </c>
      <c r="CZ19560" s="35">
        <v>1.2391108040399999E-2</v>
      </c>
    </row>
    <row r="19561" spans="103:104" x14ac:dyDescent="0.3">
      <c r="CY19561" s="34" t="s">
        <v>20488</v>
      </c>
      <c r="CZ19561" s="35">
        <v>8.5074082400000001E-2</v>
      </c>
    </row>
    <row r="19562" spans="103:104" x14ac:dyDescent="0.3">
      <c r="CY19562" s="34" t="s">
        <v>20489</v>
      </c>
      <c r="CZ19562" s="35">
        <v>0.10791108000000001</v>
      </c>
    </row>
    <row r="19563" spans="103:104" x14ac:dyDescent="0.3">
      <c r="CY19563" s="34" t="s">
        <v>20490</v>
      </c>
      <c r="CZ19563" s="35">
        <v>1.3831479733333334E-2</v>
      </c>
    </row>
    <row r="19564" spans="103:104" x14ac:dyDescent="0.3">
      <c r="CY19564" s="34" t="s">
        <v>20491</v>
      </c>
      <c r="CZ19564" s="35">
        <v>1.2005503999999998E-2</v>
      </c>
    </row>
    <row r="19565" spans="103:104" x14ac:dyDescent="0.3">
      <c r="CY19565" s="34" t="s">
        <v>20492</v>
      </c>
      <c r="CZ19565" s="35">
        <v>8.9948440000000001E-3</v>
      </c>
    </row>
    <row r="19566" spans="103:104" x14ac:dyDescent="0.3">
      <c r="CY19566" s="34" t="s">
        <v>20493</v>
      </c>
      <c r="CZ19566" s="35">
        <v>4.2786000000000005E-2</v>
      </c>
    </row>
    <row r="19567" spans="103:104" x14ac:dyDescent="0.3">
      <c r="CY19567" s="34" t="s">
        <v>20494</v>
      </c>
      <c r="CZ19567" s="35">
        <v>9.8737186666666681E-3</v>
      </c>
    </row>
    <row r="19568" spans="103:104" x14ac:dyDescent="0.3">
      <c r="CY19568" s="34" t="s">
        <v>20495</v>
      </c>
      <c r="CZ19568" s="35">
        <v>3.1477854207999999E-2</v>
      </c>
    </row>
    <row r="19569" spans="103:104" x14ac:dyDescent="0.3">
      <c r="CY19569" s="34" t="s">
        <v>20496</v>
      </c>
      <c r="CZ19569" s="35">
        <v>3.4582854208000002E-2</v>
      </c>
    </row>
    <row r="19570" spans="103:104" x14ac:dyDescent="0.3">
      <c r="CY19570" s="34" t="s">
        <v>20497</v>
      </c>
      <c r="CZ19570" s="35">
        <v>0.21956000000000001</v>
      </c>
    </row>
    <row r="19571" spans="103:104" x14ac:dyDescent="0.3">
      <c r="CY19571" s="34" t="s">
        <v>20498</v>
      </c>
      <c r="CZ19571" s="35">
        <v>0.23546615999999998</v>
      </c>
    </row>
    <row r="19572" spans="103:104" x14ac:dyDescent="0.3">
      <c r="CY19572" s="34" t="s">
        <v>20499</v>
      </c>
      <c r="CZ19572" s="35">
        <v>5.9092772000000002E-3</v>
      </c>
    </row>
    <row r="19573" spans="103:104" x14ac:dyDescent="0.3">
      <c r="CY19573" s="34" t="s">
        <v>20500</v>
      </c>
      <c r="CZ19573" s="35">
        <v>5.8798388000000004E-3</v>
      </c>
    </row>
    <row r="19574" spans="103:104" x14ac:dyDescent="0.3">
      <c r="CY19574" s="34" t="s">
        <v>20501</v>
      </c>
      <c r="CZ19574" s="35">
        <v>5.8945580000000003E-3</v>
      </c>
    </row>
    <row r="19575" spans="103:104" x14ac:dyDescent="0.3">
      <c r="CY19575" s="34" t="s">
        <v>20502</v>
      </c>
      <c r="CZ19575" s="35">
        <v>5.9019175999999998E-3</v>
      </c>
    </row>
    <row r="19576" spans="103:104" x14ac:dyDescent="0.3">
      <c r="CY19576" s="34" t="s">
        <v>20503</v>
      </c>
      <c r="CZ19576" s="35">
        <v>5.9681539999999998E-3</v>
      </c>
    </row>
    <row r="19577" spans="103:104" x14ac:dyDescent="0.3">
      <c r="CY19577" s="34" t="s">
        <v>20504</v>
      </c>
      <c r="CZ19577" s="35">
        <v>5.7272047999999999E-3</v>
      </c>
    </row>
    <row r="19578" spans="103:104" x14ac:dyDescent="0.3">
      <c r="CY19578" s="34" t="s">
        <v>20505</v>
      </c>
      <c r="CZ19578" s="35">
        <v>8.3938169999999996E-4</v>
      </c>
    </row>
    <row r="19579" spans="103:104" x14ac:dyDescent="0.3">
      <c r="CY19579" s="34" t="s">
        <v>20506</v>
      </c>
      <c r="CZ19579" s="35">
        <v>1.1646728999999999E-3</v>
      </c>
    </row>
    <row r="19580" spans="103:104" x14ac:dyDescent="0.3">
      <c r="CY19580" s="34" t="s">
        <v>20507</v>
      </c>
      <c r="CZ19580" s="35">
        <v>0.24323672000000005</v>
      </c>
    </row>
    <row r="19581" spans="103:104" x14ac:dyDescent="0.3">
      <c r="CY19581" s="34" t="s">
        <v>20508</v>
      </c>
      <c r="CZ19581" s="35">
        <v>0</v>
      </c>
    </row>
    <row r="19582" spans="103:104" x14ac:dyDescent="0.3">
      <c r="CY19582" s="34" t="s">
        <v>20509</v>
      </c>
      <c r="CZ19582" s="35">
        <v>0</v>
      </c>
    </row>
    <row r="19583" spans="103:104" x14ac:dyDescent="0.3">
      <c r="CY19583" s="34" t="s">
        <v>20510</v>
      </c>
      <c r="CZ19583" s="35">
        <v>0</v>
      </c>
    </row>
    <row r="19584" spans="103:104" x14ac:dyDescent="0.3">
      <c r="CY19584" s="34" t="s">
        <v>20511</v>
      </c>
      <c r="CZ19584" s="35">
        <v>3.3176824000000001E-2</v>
      </c>
    </row>
    <row r="19585" spans="103:104" x14ac:dyDescent="0.3">
      <c r="CY19585" s="34" t="s">
        <v>20512</v>
      </c>
      <c r="CZ19585" s="35">
        <v>6.5102244000000004E-2</v>
      </c>
    </row>
    <row r="19586" spans="103:104" x14ac:dyDescent="0.3">
      <c r="CY19586" s="34" t="s">
        <v>20513</v>
      </c>
      <c r="CZ19586" s="35">
        <v>3.1882913333333332E-2</v>
      </c>
    </row>
    <row r="19587" spans="103:104" x14ac:dyDescent="0.3">
      <c r="CY19587" s="34" t="s">
        <v>20514</v>
      </c>
      <c r="CZ19587" s="35">
        <v>0.12086728799999999</v>
      </c>
    </row>
    <row r="19588" spans="103:104" x14ac:dyDescent="0.3">
      <c r="CY19588" s="34" t="s">
        <v>20515</v>
      </c>
      <c r="CZ19588" s="35">
        <v>5.3116399999999988E-4</v>
      </c>
    </row>
    <row r="19589" spans="103:104" x14ac:dyDescent="0.3">
      <c r="CY19589" s="34" t="s">
        <v>20516</v>
      </c>
      <c r="CZ19589" s="35">
        <v>5.3116399999999999E-4</v>
      </c>
    </row>
    <row r="19590" spans="103:104" x14ac:dyDescent="0.3">
      <c r="CY19590" s="34" t="s">
        <v>20517</v>
      </c>
      <c r="CZ19590" s="35">
        <v>3.5452063999999997E-3</v>
      </c>
    </row>
    <row r="19591" spans="103:104" x14ac:dyDescent="0.3">
      <c r="CY19591" s="34" t="s">
        <v>20518</v>
      </c>
      <c r="CZ19591" s="35">
        <v>0.22140321600000004</v>
      </c>
    </row>
    <row r="19592" spans="103:104" x14ac:dyDescent="0.3">
      <c r="CY19592" s="34" t="s">
        <v>20519</v>
      </c>
      <c r="CZ19592" s="35">
        <v>0.22950392000000003</v>
      </c>
    </row>
    <row r="19593" spans="103:104" x14ac:dyDescent="0.3">
      <c r="CY19593" s="34" t="s">
        <v>20520</v>
      </c>
      <c r="CZ19593" s="35">
        <v>0.19124730000000001</v>
      </c>
    </row>
    <row r="19594" spans="103:104" x14ac:dyDescent="0.3">
      <c r="CY19594" s="34" t="s">
        <v>20521</v>
      </c>
      <c r="CZ19594" s="35">
        <v>0.16170002679999998</v>
      </c>
    </row>
    <row r="19595" spans="103:104" x14ac:dyDescent="0.3">
      <c r="CY19595" s="34" t="s">
        <v>20522</v>
      </c>
      <c r="CZ19595" s="35">
        <v>0.151213232</v>
      </c>
    </row>
    <row r="19596" spans="103:104" x14ac:dyDescent="0.3">
      <c r="CY19596" s="34" t="s">
        <v>20523</v>
      </c>
      <c r="CZ19596" s="35">
        <v>4.7009988000000003E-2</v>
      </c>
    </row>
    <row r="19597" spans="103:104" x14ac:dyDescent="0.3">
      <c r="CY19597" s="34" t="s">
        <v>20524</v>
      </c>
      <c r="CZ19597" s="35">
        <v>2.4956903200000001E-3</v>
      </c>
    </row>
    <row r="19598" spans="103:104" x14ac:dyDescent="0.3">
      <c r="CY19598" s="34" t="s">
        <v>20525</v>
      </c>
      <c r="CZ19598" s="35">
        <v>2.4516346E-3</v>
      </c>
    </row>
    <row r="19599" spans="103:104" x14ac:dyDescent="0.3">
      <c r="CY19599" s="34" t="s">
        <v>20526</v>
      </c>
      <c r="CZ19599" s="35">
        <v>5.2795519999999999E-2</v>
      </c>
    </row>
    <row r="19600" spans="103:104" x14ac:dyDescent="0.3">
      <c r="CY19600" s="34" t="s">
        <v>20527</v>
      </c>
      <c r="CZ19600" s="35">
        <v>4.9573119999999998E-2</v>
      </c>
    </row>
    <row r="19601" spans="103:104" x14ac:dyDescent="0.3">
      <c r="CY19601" s="34" t="s">
        <v>20528</v>
      </c>
      <c r="CZ19601" s="35">
        <v>5.1532959999999991E-3</v>
      </c>
    </row>
    <row r="19602" spans="103:104" x14ac:dyDescent="0.3">
      <c r="CY19602" s="34" t="s">
        <v>20529</v>
      </c>
      <c r="CZ19602" s="35">
        <v>2.9311308333333334E-2</v>
      </c>
    </row>
    <row r="19603" spans="103:104" x14ac:dyDescent="0.3">
      <c r="CY19603" s="34" t="s">
        <v>20530</v>
      </c>
      <c r="CZ19603" s="35">
        <v>2.7584039999999997E-2</v>
      </c>
    </row>
    <row r="19604" spans="103:104" x14ac:dyDescent="0.3">
      <c r="CY19604" s="34" t="s">
        <v>20531</v>
      </c>
      <c r="CZ19604" s="35">
        <v>3.0000719999999998E-2</v>
      </c>
    </row>
    <row r="19605" spans="103:104" x14ac:dyDescent="0.3">
      <c r="CY19605" s="34" t="s">
        <v>20532</v>
      </c>
      <c r="CZ19605" s="35">
        <v>6.2700047058823526E-3</v>
      </c>
    </row>
    <row r="19606" spans="103:104" x14ac:dyDescent="0.3">
      <c r="CY19606" s="34" t="s">
        <v>20533</v>
      </c>
      <c r="CZ19606" s="35">
        <v>0.18250751999999998</v>
      </c>
    </row>
    <row r="19607" spans="103:104" x14ac:dyDescent="0.3">
      <c r="CY19607" s="34" t="s">
        <v>20534</v>
      </c>
      <c r="CZ19607" s="35">
        <v>2.2705562699999998E-2</v>
      </c>
    </row>
    <row r="19608" spans="103:104" x14ac:dyDescent="0.3">
      <c r="CY19608" s="34" t="s">
        <v>20535</v>
      </c>
      <c r="CZ19608" s="35">
        <v>8.265099200000002E-2</v>
      </c>
    </row>
    <row r="19609" spans="103:104" x14ac:dyDescent="0.3">
      <c r="CY19609" s="34" t="s">
        <v>20536</v>
      </c>
      <c r="CZ19609" s="35">
        <v>6.7643296000000006E-2</v>
      </c>
    </row>
    <row r="19610" spans="103:104" x14ac:dyDescent="0.3">
      <c r="CY19610" s="34" t="s">
        <v>20537</v>
      </c>
      <c r="CZ19610" s="35">
        <v>1.9939250000000002E-2</v>
      </c>
    </row>
    <row r="19611" spans="103:104" x14ac:dyDescent="0.3">
      <c r="CY19611" s="34" t="s">
        <v>20538</v>
      </c>
      <c r="CZ19611" s="35">
        <v>1.08125E-3</v>
      </c>
    </row>
    <row r="19612" spans="103:104" x14ac:dyDescent="0.3">
      <c r="CY19612" s="34" t="s">
        <v>20539</v>
      </c>
      <c r="CZ19612" s="35">
        <v>4.9636013600000001E-2</v>
      </c>
    </row>
    <row r="19613" spans="103:104" x14ac:dyDescent="0.3">
      <c r="CY19613" s="34" t="s">
        <v>20540</v>
      </c>
      <c r="CZ19613" s="35">
        <v>4.9791171200000005E-2</v>
      </c>
    </row>
    <row r="19614" spans="103:104" x14ac:dyDescent="0.3">
      <c r="CY19614" s="34" t="s">
        <v>20541</v>
      </c>
      <c r="CZ19614" s="35">
        <v>7.6919999999999994E-4</v>
      </c>
    </row>
    <row r="19615" spans="103:104" x14ac:dyDescent="0.3">
      <c r="CY19615" s="34" t="s">
        <v>20542</v>
      </c>
      <c r="CZ19615" s="35">
        <v>5.0254992000000002E-3</v>
      </c>
    </row>
    <row r="19616" spans="103:104" x14ac:dyDescent="0.3">
      <c r="CY19616" s="34" t="s">
        <v>20543</v>
      </c>
      <c r="CZ19616" s="35">
        <v>2.8514507422222217E-2</v>
      </c>
    </row>
    <row r="19617" spans="103:104" x14ac:dyDescent="0.3">
      <c r="CY19617" s="34" t="s">
        <v>20544</v>
      </c>
      <c r="CZ19617" s="35">
        <v>3.5930703999999996E-3</v>
      </c>
    </row>
    <row r="19618" spans="103:104" x14ac:dyDescent="0.3">
      <c r="CY19618" s="34" t="s">
        <v>20545</v>
      </c>
      <c r="CZ19618" s="35">
        <v>2.1231959288888887E-2</v>
      </c>
    </row>
    <row r="19619" spans="103:104" x14ac:dyDescent="0.3">
      <c r="CY19619" s="34" t="s">
        <v>20546</v>
      </c>
      <c r="CZ19619" s="35">
        <v>3.525612E-3</v>
      </c>
    </row>
    <row r="19620" spans="103:104" x14ac:dyDescent="0.3">
      <c r="CY19620" s="34" t="s">
        <v>20547</v>
      </c>
      <c r="CZ19620" s="35">
        <v>3.0060000000000004E-4</v>
      </c>
    </row>
    <row r="19621" spans="103:104" x14ac:dyDescent="0.3">
      <c r="CY19621" s="34" t="s">
        <v>20548</v>
      </c>
      <c r="CZ19621" s="35">
        <v>0.19839072220000001</v>
      </c>
    </row>
    <row r="19622" spans="103:104" x14ac:dyDescent="0.3">
      <c r="CY19622" s="34" t="s">
        <v>20549</v>
      </c>
      <c r="CZ19622" s="35">
        <v>4.0096384000000013E-2</v>
      </c>
    </row>
    <row r="19623" spans="103:104" x14ac:dyDescent="0.3">
      <c r="CY19623" s="34" t="s">
        <v>20550</v>
      </c>
      <c r="CZ19623" s="35">
        <v>6.3879840000000002E-3</v>
      </c>
    </row>
    <row r="19624" spans="103:104" x14ac:dyDescent="0.3">
      <c r="CY19624" s="34" t="s">
        <v>20551</v>
      </c>
      <c r="CZ19624" s="35">
        <v>5.79401142857143E-4</v>
      </c>
    </row>
    <row r="19625" spans="103:104" x14ac:dyDescent="0.3">
      <c r="CY19625" s="34" t="s">
        <v>20552</v>
      </c>
      <c r="CZ19625" s="35">
        <v>2.8840500000000002E-2</v>
      </c>
    </row>
    <row r="19626" spans="103:104" x14ac:dyDescent="0.3">
      <c r="CY19626" s="34" t="s">
        <v>20553</v>
      </c>
      <c r="CZ19626" s="35">
        <v>1.827225E-2</v>
      </c>
    </row>
    <row r="19627" spans="103:104" x14ac:dyDescent="0.3">
      <c r="CY19627" s="34" t="s">
        <v>20554</v>
      </c>
      <c r="CZ19627" s="35">
        <v>2.9914019999999999E-2</v>
      </c>
    </row>
    <row r="19628" spans="103:104" x14ac:dyDescent="0.3">
      <c r="CY19628" s="34" t="s">
        <v>20555</v>
      </c>
      <c r="CZ19628" s="35">
        <v>0.124461</v>
      </c>
    </row>
    <row r="19629" spans="103:104" x14ac:dyDescent="0.3">
      <c r="CY19629" s="34" t="s">
        <v>20556</v>
      </c>
      <c r="CZ19629" s="35">
        <v>5.9143229999999998E-2</v>
      </c>
    </row>
    <row r="19630" spans="103:104" x14ac:dyDescent="0.3">
      <c r="CY19630" s="34" t="s">
        <v>20557</v>
      </c>
      <c r="CZ19630" s="35">
        <v>8.9959679999999986E-2</v>
      </c>
    </row>
    <row r="19631" spans="103:104" x14ac:dyDescent="0.3">
      <c r="CY19631" s="34" t="s">
        <v>20558</v>
      </c>
      <c r="CZ19631" s="35">
        <v>3.2500822222222225E-2</v>
      </c>
    </row>
    <row r="19632" spans="103:104" x14ac:dyDescent="0.3">
      <c r="CY19632" s="34" t="s">
        <v>20559</v>
      </c>
      <c r="CZ19632" s="35">
        <v>1.9426686222222222E-2</v>
      </c>
    </row>
    <row r="19633" spans="103:104" x14ac:dyDescent="0.3">
      <c r="CY19633" s="34" t="s">
        <v>20560</v>
      </c>
      <c r="CZ19633" s="35">
        <v>2.5938366993464052E-2</v>
      </c>
    </row>
    <row r="19634" spans="103:104" x14ac:dyDescent="0.3">
      <c r="CY19634" s="34" t="s">
        <v>20561</v>
      </c>
      <c r="CZ19634" s="35">
        <v>1.6541920000000002E-2</v>
      </c>
    </row>
    <row r="19635" spans="103:104" x14ac:dyDescent="0.3">
      <c r="CY19635" s="34" t="s">
        <v>20562</v>
      </c>
      <c r="CZ19635" s="35">
        <v>8.9662845925925924E-2</v>
      </c>
    </row>
    <row r="19636" spans="103:104" x14ac:dyDescent="0.3">
      <c r="CY19636" s="34" t="s">
        <v>20563</v>
      </c>
      <c r="CZ19636" s="35">
        <v>1.1900670507317074E-2</v>
      </c>
    </row>
    <row r="19637" spans="103:104" x14ac:dyDescent="0.3">
      <c r="CY19637" s="34" t="s">
        <v>20564</v>
      </c>
      <c r="CZ19637" s="35">
        <v>8.9110639999999998E-3</v>
      </c>
    </row>
    <row r="19638" spans="103:104" x14ac:dyDescent="0.3">
      <c r="CY19638" s="34" t="s">
        <v>20565</v>
      </c>
      <c r="CZ19638" s="35">
        <v>8.9110639999999981E-3</v>
      </c>
    </row>
    <row r="19639" spans="103:104" x14ac:dyDescent="0.3">
      <c r="CY19639" s="34" t="s">
        <v>20566</v>
      </c>
      <c r="CZ19639" s="35">
        <v>1.1982813366371683E-2</v>
      </c>
    </row>
    <row r="19640" spans="103:104" x14ac:dyDescent="0.3">
      <c r="CY19640" s="34" t="s">
        <v>20567</v>
      </c>
      <c r="CZ19640" s="35">
        <v>1.3485359675362319E-2</v>
      </c>
    </row>
    <row r="19641" spans="103:104" x14ac:dyDescent="0.3">
      <c r="CY19641" s="34" t="s">
        <v>20568</v>
      </c>
      <c r="CZ19641" s="35">
        <v>1.3869304666666667E-2</v>
      </c>
    </row>
    <row r="19642" spans="103:104" x14ac:dyDescent="0.3">
      <c r="CY19642" s="34" t="s">
        <v>20569</v>
      </c>
      <c r="CZ19642" s="35">
        <v>1.3869304666666667E-2</v>
      </c>
    </row>
    <row r="19643" spans="103:104" x14ac:dyDescent="0.3">
      <c r="CY19643" s="34" t="s">
        <v>20570</v>
      </c>
      <c r="CZ19643" s="35">
        <v>1.4367546730275228E-2</v>
      </c>
    </row>
    <row r="19644" spans="103:104" x14ac:dyDescent="0.3">
      <c r="CY19644" s="34" t="s">
        <v>20571</v>
      </c>
      <c r="CZ19644" s="35">
        <v>3.0987084000000002E-2</v>
      </c>
    </row>
    <row r="19645" spans="103:104" x14ac:dyDescent="0.3">
      <c r="CY19645" s="34" t="s">
        <v>20572</v>
      </c>
      <c r="CZ19645" s="35">
        <v>2.4608648E-2</v>
      </c>
    </row>
    <row r="19646" spans="103:104" x14ac:dyDescent="0.3">
      <c r="CY19646" s="34" t="s">
        <v>20573</v>
      </c>
      <c r="CZ19646" s="35">
        <v>2.855856E-2</v>
      </c>
    </row>
    <row r="19647" spans="103:104" x14ac:dyDescent="0.3">
      <c r="CY19647" s="34" t="s">
        <v>20574</v>
      </c>
      <c r="CZ19647" s="35">
        <v>2.517970286E-2</v>
      </c>
    </row>
    <row r="19648" spans="103:104" x14ac:dyDescent="0.3">
      <c r="CY19648" s="34" t="s">
        <v>20575</v>
      </c>
      <c r="CZ19648" s="35">
        <v>2.4301504000000005E-2</v>
      </c>
    </row>
    <row r="19649" spans="103:104" x14ac:dyDescent="0.3">
      <c r="CY19649" s="34" t="s">
        <v>20576</v>
      </c>
      <c r="CZ19649" s="35">
        <v>3.2938256E-3</v>
      </c>
    </row>
    <row r="19650" spans="103:104" x14ac:dyDescent="0.3">
      <c r="CY19650" s="34" t="s">
        <v>20577</v>
      </c>
      <c r="CZ19650" s="35">
        <v>3.2938256E-3</v>
      </c>
    </row>
    <row r="19651" spans="103:104" x14ac:dyDescent="0.3">
      <c r="CY19651" s="34" t="s">
        <v>20578</v>
      </c>
      <c r="CZ19651" s="35">
        <v>3.2938256E-3</v>
      </c>
    </row>
    <row r="19652" spans="103:104" x14ac:dyDescent="0.3">
      <c r="CY19652" s="34" t="s">
        <v>20579</v>
      </c>
      <c r="CZ19652" s="35">
        <v>3.2938256E-3</v>
      </c>
    </row>
    <row r="19653" spans="103:104" x14ac:dyDescent="0.3">
      <c r="CY19653" s="34" t="s">
        <v>20580</v>
      </c>
      <c r="CZ19653" s="35">
        <v>3.2938256E-3</v>
      </c>
    </row>
    <row r="19654" spans="103:104" x14ac:dyDescent="0.3">
      <c r="CY19654" s="34" t="s">
        <v>20581</v>
      </c>
      <c r="CZ19654" s="35">
        <v>3.5607415999999999E-3</v>
      </c>
    </row>
    <row r="19655" spans="103:104" x14ac:dyDescent="0.3">
      <c r="CY19655" s="34" t="s">
        <v>20582</v>
      </c>
      <c r="CZ19655" s="35">
        <v>2.6725000000000002E-4</v>
      </c>
    </row>
    <row r="19656" spans="103:104" x14ac:dyDescent="0.3">
      <c r="CY19656" s="34" t="s">
        <v>20583</v>
      </c>
      <c r="CZ19656" s="35">
        <v>5.2307666660000002E-2</v>
      </c>
    </row>
    <row r="19657" spans="103:104" x14ac:dyDescent="0.3">
      <c r="CY19657" s="34" t="s">
        <v>20584</v>
      </c>
      <c r="CZ19657" s="35">
        <v>4.6680480000000002E-3</v>
      </c>
    </row>
    <row r="19658" spans="103:104" x14ac:dyDescent="0.3">
      <c r="CY19658" s="34" t="s">
        <v>20585</v>
      </c>
      <c r="CZ19658" s="35">
        <v>4.8359480000000005E-3</v>
      </c>
    </row>
    <row r="19659" spans="103:104" x14ac:dyDescent="0.3">
      <c r="CY19659" s="34" t="s">
        <v>20586</v>
      </c>
      <c r="CZ19659" s="35">
        <v>0.14752661168384881</v>
      </c>
    </row>
    <row r="19660" spans="103:104" x14ac:dyDescent="0.3">
      <c r="CY19660" s="34" t="s">
        <v>20587</v>
      </c>
      <c r="CZ19660" s="35">
        <v>1.9320000000000001E-3</v>
      </c>
    </row>
    <row r="19661" spans="103:104" x14ac:dyDescent="0.3">
      <c r="CY19661" s="34" t="s">
        <v>20588</v>
      </c>
      <c r="CZ19661" s="35">
        <v>0.126985764</v>
      </c>
    </row>
    <row r="19662" spans="103:104" x14ac:dyDescent="0.3">
      <c r="CY19662" s="34" t="s">
        <v>20589</v>
      </c>
      <c r="CZ19662" s="35">
        <v>4.8062332444444446E-2</v>
      </c>
    </row>
    <row r="19663" spans="103:104" x14ac:dyDescent="0.3">
      <c r="CY19663" s="34" t="s">
        <v>20590</v>
      </c>
      <c r="CZ19663" s="35">
        <v>2.2891368000000002E-2</v>
      </c>
    </row>
    <row r="19664" spans="103:104" x14ac:dyDescent="0.3">
      <c r="CY19664" s="34" t="s">
        <v>20591</v>
      </c>
      <c r="CZ19664" s="35">
        <v>1.8940926E-2</v>
      </c>
    </row>
    <row r="19665" spans="103:104" x14ac:dyDescent="0.3">
      <c r="CY19665" s="34" t="s">
        <v>20592</v>
      </c>
      <c r="CZ19665" s="35">
        <v>1.04369328E-2</v>
      </c>
    </row>
    <row r="19666" spans="103:104" x14ac:dyDescent="0.3">
      <c r="CY19666" s="34" t="s">
        <v>20593</v>
      </c>
      <c r="CZ19666" s="35">
        <v>1.49274656E-2</v>
      </c>
    </row>
    <row r="19667" spans="103:104" x14ac:dyDescent="0.3">
      <c r="CY19667" s="34" t="s">
        <v>20594</v>
      </c>
      <c r="CZ19667" s="35">
        <v>7.2642346666666668E-3</v>
      </c>
    </row>
    <row r="19668" spans="103:104" x14ac:dyDescent="0.3">
      <c r="CY19668" s="34" t="s">
        <v>20595</v>
      </c>
      <c r="CZ19668" s="35">
        <v>0.15003591329999999</v>
      </c>
    </row>
    <row r="19669" spans="103:104" x14ac:dyDescent="0.3">
      <c r="CY19669" s="34" t="s">
        <v>20596</v>
      </c>
      <c r="CZ19669" s="35">
        <v>2.9904336E-2</v>
      </c>
    </row>
    <row r="19670" spans="103:104" x14ac:dyDescent="0.3">
      <c r="CY19670" s="34" t="s">
        <v>20597</v>
      </c>
      <c r="CZ19670" s="35">
        <v>1.1663200000000002E-3</v>
      </c>
    </row>
    <row r="19671" spans="103:104" x14ac:dyDescent="0.3">
      <c r="CY19671" s="34" t="s">
        <v>20598</v>
      </c>
      <c r="CZ19671" s="35">
        <v>7.5215800000000008E-3</v>
      </c>
    </row>
    <row r="19672" spans="103:104" x14ac:dyDescent="0.3">
      <c r="CY19672" s="34" t="s">
        <v>20599</v>
      </c>
      <c r="CZ19672" s="35">
        <v>0.41876744000000005</v>
      </c>
    </row>
    <row r="19673" spans="103:104" x14ac:dyDescent="0.3">
      <c r="CY19673" s="34" t="s">
        <v>20600</v>
      </c>
      <c r="CZ19673" s="35">
        <v>1.8558866666666667E-3</v>
      </c>
    </row>
    <row r="19674" spans="103:104" x14ac:dyDescent="0.3">
      <c r="CY19674" s="34" t="s">
        <v>20601</v>
      </c>
      <c r="CZ19674" s="35">
        <v>1.8871335999999996E-3</v>
      </c>
    </row>
    <row r="19675" spans="103:104" x14ac:dyDescent="0.3">
      <c r="CY19675" s="34" t="s">
        <v>20602</v>
      </c>
      <c r="CZ19675" s="35">
        <v>2.563757666666667E-3</v>
      </c>
    </row>
    <row r="19676" spans="103:104" x14ac:dyDescent="0.3">
      <c r="CY19676" s="34" t="s">
        <v>20603</v>
      </c>
      <c r="CZ19676" s="35">
        <v>3.5664875319999997E-2</v>
      </c>
    </row>
    <row r="19677" spans="103:104" x14ac:dyDescent="0.3">
      <c r="CY19677" s="34" t="s">
        <v>20604</v>
      </c>
      <c r="CZ19677" s="35">
        <v>5.0531120800000003E-2</v>
      </c>
    </row>
    <row r="19678" spans="103:104" x14ac:dyDescent="0.3">
      <c r="CY19678" s="34" t="s">
        <v>20605</v>
      </c>
      <c r="CZ19678" s="35">
        <v>1.1543336600000001E-2</v>
      </c>
    </row>
    <row r="19679" spans="103:104" x14ac:dyDescent="0.3">
      <c r="CY19679" s="34" t="s">
        <v>20606</v>
      </c>
      <c r="CZ19679" s="35">
        <v>2.5199999999999997E-3</v>
      </c>
    </row>
    <row r="19680" spans="103:104" x14ac:dyDescent="0.3">
      <c r="CY19680" s="34" t="s">
        <v>20607</v>
      </c>
      <c r="CZ19680" s="35">
        <v>2.415E-3</v>
      </c>
    </row>
    <row r="19681" spans="103:104" x14ac:dyDescent="0.3">
      <c r="CY19681" s="34" t="s">
        <v>20608</v>
      </c>
      <c r="CZ19681" s="35">
        <v>5.5336300000000005E-2</v>
      </c>
    </row>
    <row r="19682" spans="103:104" x14ac:dyDescent="0.3">
      <c r="CY19682" s="34" t="s">
        <v>20609</v>
      </c>
      <c r="CZ19682" s="35">
        <v>0.17622067999999999</v>
      </c>
    </row>
    <row r="19683" spans="103:104" x14ac:dyDescent="0.3">
      <c r="CY19683" s="34" t="s">
        <v>20610</v>
      </c>
      <c r="CZ19683" s="35">
        <v>0.10054264</v>
      </c>
    </row>
    <row r="19684" spans="103:104" x14ac:dyDescent="0.3">
      <c r="CY19684" s="34" t="s">
        <v>20611</v>
      </c>
      <c r="CZ19684" s="35">
        <v>0.76159597140000002</v>
      </c>
    </row>
    <row r="19685" spans="103:104" x14ac:dyDescent="0.3">
      <c r="CY19685" s="34" t="s">
        <v>20612</v>
      </c>
      <c r="CZ19685" s="35">
        <v>1.150702468E-2</v>
      </c>
    </row>
    <row r="19686" spans="103:104" x14ac:dyDescent="0.3">
      <c r="CY19686" s="34" t="s">
        <v>20613</v>
      </c>
      <c r="CZ19686" s="35">
        <v>1.150702468E-2</v>
      </c>
    </row>
    <row r="19687" spans="103:104" x14ac:dyDescent="0.3">
      <c r="CY19687" s="34" t="s">
        <v>20614</v>
      </c>
      <c r="CZ19687" s="35">
        <v>0.14649765999999997</v>
      </c>
    </row>
    <row r="19688" spans="103:104" x14ac:dyDescent="0.3">
      <c r="CY19688" s="34" t="s">
        <v>20615</v>
      </c>
      <c r="CZ19688" s="35">
        <v>1.3688214000000001E-2</v>
      </c>
    </row>
    <row r="19689" spans="103:104" x14ac:dyDescent="0.3">
      <c r="CY19689" s="34" t="s">
        <v>20616</v>
      </c>
      <c r="CZ19689" s="35">
        <v>6.082512E-3</v>
      </c>
    </row>
    <row r="19690" spans="103:104" x14ac:dyDescent="0.3">
      <c r="CY19690" s="34" t="s">
        <v>20617</v>
      </c>
      <c r="CZ19690" s="35">
        <v>1.1253750000000001E-3</v>
      </c>
    </row>
    <row r="19691" spans="103:104" x14ac:dyDescent="0.3">
      <c r="CY19691" s="34" t="s">
        <v>20618</v>
      </c>
      <c r="CZ19691" s="35">
        <v>5.7150000000000005E-3</v>
      </c>
    </row>
    <row r="19692" spans="103:104" x14ac:dyDescent="0.3">
      <c r="CY19692" s="34" t="s">
        <v>20619</v>
      </c>
      <c r="CZ19692" s="35">
        <v>2.0498636000000001E-2</v>
      </c>
    </row>
    <row r="19693" spans="103:104" x14ac:dyDescent="0.3">
      <c r="CY19693" s="34" t="s">
        <v>20620</v>
      </c>
      <c r="CZ19693" s="35">
        <v>2.9651481779999999E-2</v>
      </c>
    </row>
    <row r="19694" spans="103:104" x14ac:dyDescent="0.3">
      <c r="CY19694" s="34" t="s">
        <v>20621</v>
      </c>
      <c r="CZ19694" s="35">
        <v>2.8498704E-2</v>
      </c>
    </row>
    <row r="19695" spans="103:104" x14ac:dyDescent="0.3">
      <c r="CY19695" s="34" t="s">
        <v>20622</v>
      </c>
      <c r="CZ19695" s="35">
        <v>1.1131104400000001E-2</v>
      </c>
    </row>
    <row r="19696" spans="103:104" x14ac:dyDescent="0.3">
      <c r="CY19696" s="34" t="s">
        <v>20623</v>
      </c>
      <c r="CZ19696" s="35">
        <v>1.0698854400000001E-2</v>
      </c>
    </row>
    <row r="19697" spans="103:104" x14ac:dyDescent="0.3">
      <c r="CY19697" s="34" t="s">
        <v>20624</v>
      </c>
      <c r="CZ19697" s="35">
        <v>1.0058496000000001E-3</v>
      </c>
    </row>
    <row r="19698" spans="103:104" x14ac:dyDescent="0.3">
      <c r="CY19698" s="34" t="s">
        <v>20625</v>
      </c>
      <c r="CZ19698" s="35">
        <v>2.0498636000000001E-2</v>
      </c>
    </row>
    <row r="19699" spans="103:104" x14ac:dyDescent="0.3">
      <c r="CY19699" s="34" t="s">
        <v>20626</v>
      </c>
      <c r="CZ19699" s="35">
        <v>1.9391220000000002E-3</v>
      </c>
    </row>
    <row r="19700" spans="103:104" x14ac:dyDescent="0.3">
      <c r="CY19700" s="34" t="s">
        <v>20627</v>
      </c>
      <c r="CZ19700" s="35">
        <v>3.2326062999999995E-2</v>
      </c>
    </row>
    <row r="19701" spans="103:104" x14ac:dyDescent="0.3">
      <c r="CY19701" s="34" t="s">
        <v>20628</v>
      </c>
      <c r="CZ19701" s="35">
        <v>1.5793280000000001E-3</v>
      </c>
    </row>
    <row r="19702" spans="103:104" x14ac:dyDescent="0.3">
      <c r="CY19702" s="34" t="s">
        <v>20629</v>
      </c>
      <c r="CZ19702" s="35">
        <v>0.31152943700000002</v>
      </c>
    </row>
    <row r="19703" spans="103:104" x14ac:dyDescent="0.3">
      <c r="CY19703" s="34" t="s">
        <v>20630</v>
      </c>
      <c r="CZ19703" s="35">
        <v>0.1431424</v>
      </c>
    </row>
    <row r="19704" spans="103:104" x14ac:dyDescent="0.3">
      <c r="CY19704" s="34" t="s">
        <v>20631</v>
      </c>
      <c r="CZ19704" s="35">
        <v>0.54061419999999993</v>
      </c>
    </row>
    <row r="19705" spans="103:104" x14ac:dyDescent="0.3">
      <c r="CY19705" s="34" t="s">
        <v>20632</v>
      </c>
      <c r="CZ19705" s="35">
        <v>0.25243919999999997</v>
      </c>
    </row>
    <row r="19706" spans="103:104" x14ac:dyDescent="0.3">
      <c r="CY19706" s="34" t="s">
        <v>20633</v>
      </c>
      <c r="CZ19706" s="35">
        <v>3.038943333E-2</v>
      </c>
    </row>
    <row r="19707" spans="103:104" x14ac:dyDescent="0.3">
      <c r="CY19707" s="34" t="s">
        <v>20634</v>
      </c>
      <c r="CZ19707" s="35">
        <v>1.2020582499999998E-2</v>
      </c>
    </row>
    <row r="19708" spans="103:104" x14ac:dyDescent="0.3">
      <c r="CY19708" s="34" t="s">
        <v>20635</v>
      </c>
      <c r="CZ19708" s="35">
        <v>6.6379670000000002E-2</v>
      </c>
    </row>
    <row r="19709" spans="103:104" x14ac:dyDescent="0.3">
      <c r="CY19709" s="34" t="s">
        <v>20636</v>
      </c>
      <c r="CZ19709" s="35">
        <v>0.113015095</v>
      </c>
    </row>
    <row r="19710" spans="103:104" x14ac:dyDescent="0.3">
      <c r="CY19710" s="34" t="s">
        <v>20637</v>
      </c>
      <c r="CZ19710" s="35">
        <v>9.5351999999999989E-3</v>
      </c>
    </row>
    <row r="19711" spans="103:104" x14ac:dyDescent="0.3">
      <c r="CY19711" s="34" t="s">
        <v>20638</v>
      </c>
      <c r="CZ19711" s="35">
        <v>3.2307075000000004E-3</v>
      </c>
    </row>
    <row r="19712" spans="103:104" x14ac:dyDescent="0.3">
      <c r="CY19712" s="34" t="s">
        <v>20639</v>
      </c>
      <c r="CZ19712" s="35">
        <v>5.1325866666666669E-3</v>
      </c>
    </row>
    <row r="19713" spans="103:104" x14ac:dyDescent="0.3">
      <c r="CY19713" s="34" t="s">
        <v>20640</v>
      </c>
      <c r="CZ19713" s="35">
        <v>2.8042640000000001E-2</v>
      </c>
    </row>
    <row r="19714" spans="103:104" x14ac:dyDescent="0.3">
      <c r="CY19714" s="34" t="s">
        <v>20641</v>
      </c>
      <c r="CZ19714" s="35">
        <v>2.8042640000000004E-2</v>
      </c>
    </row>
    <row r="19715" spans="103:104" x14ac:dyDescent="0.3">
      <c r="CY19715" s="34" t="s">
        <v>20642</v>
      </c>
      <c r="CZ19715" s="35">
        <v>6.1264207999999994E-2</v>
      </c>
    </row>
    <row r="19716" spans="103:104" x14ac:dyDescent="0.3">
      <c r="CY19716" s="34" t="s">
        <v>20643</v>
      </c>
      <c r="CZ19716" s="35">
        <v>5.4036623999999998E-2</v>
      </c>
    </row>
    <row r="19717" spans="103:104" x14ac:dyDescent="0.3">
      <c r="CY19717" s="34" t="s">
        <v>20644</v>
      </c>
      <c r="CZ19717" s="35">
        <v>3.4266095999999996E-2</v>
      </c>
    </row>
    <row r="19718" spans="103:104" x14ac:dyDescent="0.3">
      <c r="CY19718" s="34" t="s">
        <v>20645</v>
      </c>
      <c r="CZ19718" s="35">
        <v>3.9473856000000002E-2</v>
      </c>
    </row>
    <row r="19719" spans="103:104" x14ac:dyDescent="0.3">
      <c r="CY19719" s="34" t="s">
        <v>20646</v>
      </c>
      <c r="CZ19719" s="35">
        <v>1.250504E-2</v>
      </c>
    </row>
    <row r="19720" spans="103:104" x14ac:dyDescent="0.3">
      <c r="CY19720" s="34" t="s">
        <v>20647</v>
      </c>
      <c r="CZ19720" s="35">
        <v>1.8866403999999997E-3</v>
      </c>
    </row>
    <row r="19721" spans="103:104" x14ac:dyDescent="0.3">
      <c r="CY19721" s="34" t="s">
        <v>20648</v>
      </c>
      <c r="CZ19721" s="35">
        <v>6.4707378285714295E-2</v>
      </c>
    </row>
    <row r="19722" spans="103:104" x14ac:dyDescent="0.3">
      <c r="CY19722" s="34" t="s">
        <v>20649</v>
      </c>
      <c r="CZ19722" s="35">
        <v>5.7766666666666657E-5</v>
      </c>
    </row>
    <row r="19723" spans="103:104" x14ac:dyDescent="0.3">
      <c r="CY19723" s="34" t="s">
        <v>20650</v>
      </c>
      <c r="CZ19723" s="35">
        <v>2.2650000000000003E-6</v>
      </c>
    </row>
    <row r="19724" spans="103:104" x14ac:dyDescent="0.3">
      <c r="CY19724" s="34" t="s">
        <v>20651</v>
      </c>
      <c r="CZ19724" s="35">
        <v>1.412E-5</v>
      </c>
    </row>
    <row r="19725" spans="103:104" x14ac:dyDescent="0.3">
      <c r="CY19725" s="34" t="s">
        <v>20652</v>
      </c>
      <c r="CZ19725" s="35">
        <v>1.7330000000000001E-4</v>
      </c>
    </row>
    <row r="19726" spans="103:104" x14ac:dyDescent="0.3">
      <c r="CY19726" s="34" t="s">
        <v>20653</v>
      </c>
      <c r="CZ19726" s="35">
        <v>9.565006400000001E-3</v>
      </c>
    </row>
    <row r="19727" spans="103:104" x14ac:dyDescent="0.3">
      <c r="CY19727" s="34" t="s">
        <v>20654</v>
      </c>
      <c r="CZ19727" s="35">
        <v>8.2957719999999999E-3</v>
      </c>
    </row>
    <row r="19728" spans="103:104" x14ac:dyDescent="0.3">
      <c r="CY19728" s="34" t="s">
        <v>20655</v>
      </c>
      <c r="CZ19728" s="35">
        <v>4.0036799999999999E-3</v>
      </c>
    </row>
    <row r="19729" spans="103:104" x14ac:dyDescent="0.3">
      <c r="CY19729" s="34" t="s">
        <v>20656</v>
      </c>
      <c r="CZ19729" s="35">
        <v>4.4563479999999997E-3</v>
      </c>
    </row>
    <row r="19730" spans="103:104" x14ac:dyDescent="0.3">
      <c r="CY19730" s="34" t="s">
        <v>20657</v>
      </c>
      <c r="CZ19730" s="35">
        <v>1.2401200000000002E-3</v>
      </c>
    </row>
    <row r="19731" spans="103:104" x14ac:dyDescent="0.3">
      <c r="CY19731" s="34" t="s">
        <v>20658</v>
      </c>
      <c r="CZ19731" s="35">
        <v>4.9340208000000003E-2</v>
      </c>
    </row>
    <row r="19732" spans="103:104" x14ac:dyDescent="0.3">
      <c r="CY19732" s="34" t="s">
        <v>20659</v>
      </c>
      <c r="CZ19732" s="35">
        <v>2.2137064000000001E-2</v>
      </c>
    </row>
    <row r="19733" spans="103:104" x14ac:dyDescent="0.3">
      <c r="CY19733" s="34" t="s">
        <v>20660</v>
      </c>
      <c r="CZ19733" s="35">
        <v>2.0893998400000002E-2</v>
      </c>
    </row>
    <row r="19734" spans="103:104" x14ac:dyDescent="0.3">
      <c r="CY19734" s="34" t="s">
        <v>20661</v>
      </c>
      <c r="CZ19734" s="35">
        <v>2.0893998400000002E-2</v>
      </c>
    </row>
    <row r="19735" spans="103:104" x14ac:dyDescent="0.3">
      <c r="CY19735" s="34" t="s">
        <v>20662</v>
      </c>
      <c r="CZ19735" s="35">
        <v>0.11839327199999999</v>
      </c>
    </row>
    <row r="19736" spans="103:104" x14ac:dyDescent="0.3">
      <c r="CY19736" s="34" t="s">
        <v>20663</v>
      </c>
      <c r="CZ19736" s="35">
        <v>7.203816E-3</v>
      </c>
    </row>
    <row r="19737" spans="103:104" x14ac:dyDescent="0.3">
      <c r="CY19737" s="34" t="s">
        <v>20664</v>
      </c>
      <c r="CZ19737" s="35">
        <v>1.2956055999999999E-2</v>
      </c>
    </row>
    <row r="19738" spans="103:104" x14ac:dyDescent="0.3">
      <c r="CY19738" s="34" t="s">
        <v>20665</v>
      </c>
      <c r="CZ19738" s="35">
        <v>8.2686811428571438E-4</v>
      </c>
    </row>
    <row r="19739" spans="103:104" x14ac:dyDescent="0.3">
      <c r="CY19739" s="34" t="s">
        <v>20666</v>
      </c>
      <c r="CZ19739" s="35">
        <v>1.7359012571428571E-2</v>
      </c>
    </row>
    <row r="19740" spans="103:104" x14ac:dyDescent="0.3">
      <c r="CY19740" s="34" t="s">
        <v>20667</v>
      </c>
      <c r="CZ19740" s="35">
        <v>1.0020249142857142E-3</v>
      </c>
    </row>
    <row r="19741" spans="103:104" x14ac:dyDescent="0.3">
      <c r="CY19741" s="34" t="s">
        <v>20668</v>
      </c>
      <c r="CZ19741" s="35">
        <v>1.0366666666666666E-3</v>
      </c>
    </row>
    <row r="19742" spans="103:104" x14ac:dyDescent="0.3">
      <c r="CY19742" s="34" t="s">
        <v>20669</v>
      </c>
      <c r="CZ19742" s="35">
        <v>8.2711520000000004E-3</v>
      </c>
    </row>
    <row r="19743" spans="103:104" x14ac:dyDescent="0.3">
      <c r="CY19743" s="34" t="s">
        <v>20670</v>
      </c>
      <c r="CZ19743" s="35">
        <v>0.24498756000000002</v>
      </c>
    </row>
    <row r="19744" spans="103:104" x14ac:dyDescent="0.3">
      <c r="CY19744" s="34" t="s">
        <v>20671</v>
      </c>
      <c r="CZ19744" s="35">
        <v>2.0842364999999999E-3</v>
      </c>
    </row>
    <row r="19745" spans="103:104" x14ac:dyDescent="0.3">
      <c r="CY19745" s="34" t="s">
        <v>20672</v>
      </c>
      <c r="CZ19745" s="35">
        <v>2.0962984499999998E-3</v>
      </c>
    </row>
    <row r="19746" spans="103:104" x14ac:dyDescent="0.3">
      <c r="CY19746" s="34" t="s">
        <v>20673</v>
      </c>
      <c r="CZ19746" s="35">
        <v>3.1162800000000001E-2</v>
      </c>
    </row>
    <row r="19747" spans="103:104" x14ac:dyDescent="0.3">
      <c r="CY19747" s="34" t="s">
        <v>20674</v>
      </c>
      <c r="CZ19747" s="35">
        <v>1.2953306666666668E-2</v>
      </c>
    </row>
    <row r="19748" spans="103:104" x14ac:dyDescent="0.3">
      <c r="CY19748" s="34" t="s">
        <v>20675</v>
      </c>
      <c r="CZ19748" s="35">
        <v>6.8456933499999994E-3</v>
      </c>
    </row>
    <row r="19749" spans="103:104" x14ac:dyDescent="0.3">
      <c r="CY19749" s="34" t="s">
        <v>20676</v>
      </c>
      <c r="CZ19749" s="35">
        <v>1.2953306666666668E-2</v>
      </c>
    </row>
    <row r="19750" spans="103:104" x14ac:dyDescent="0.3">
      <c r="CY19750" s="34" t="s">
        <v>20677</v>
      </c>
      <c r="CZ19750" s="35">
        <v>6.1428799999999999E-3</v>
      </c>
    </row>
    <row r="19751" spans="103:104" x14ac:dyDescent="0.3">
      <c r="CY19751" s="34" t="s">
        <v>20678</v>
      </c>
      <c r="CZ19751" s="35">
        <v>3.0200000000000002E-5</v>
      </c>
    </row>
    <row r="19752" spans="103:104" x14ac:dyDescent="0.3">
      <c r="CY19752" s="34" t="s">
        <v>20679</v>
      </c>
      <c r="CZ19752" s="35">
        <v>1.0537547199999999E-2</v>
      </c>
    </row>
    <row r="19753" spans="103:104" x14ac:dyDescent="0.3">
      <c r="CY19753" s="34" t="s">
        <v>20680</v>
      </c>
      <c r="CZ19753" s="35">
        <v>3.9364126400000003E-3</v>
      </c>
    </row>
    <row r="19754" spans="103:104" x14ac:dyDescent="0.3">
      <c r="CY19754" s="34" t="s">
        <v>20681</v>
      </c>
      <c r="CZ19754" s="35">
        <v>2.974904E-3</v>
      </c>
    </row>
    <row r="19755" spans="103:104" x14ac:dyDescent="0.3">
      <c r="CY19755" s="34" t="s">
        <v>20682</v>
      </c>
      <c r="CZ19755" s="35">
        <v>0.20372844000000001</v>
      </c>
    </row>
    <row r="19756" spans="103:104" x14ac:dyDescent="0.3">
      <c r="CY19756" s="34" t="s">
        <v>20683</v>
      </c>
      <c r="CZ19756" s="35">
        <v>8.2000372999999991E-3</v>
      </c>
    </row>
    <row r="19757" spans="103:104" x14ac:dyDescent="0.3">
      <c r="CY19757" s="34" t="s">
        <v>20684</v>
      </c>
      <c r="CZ19757" s="35">
        <v>4.3237639999999999E-3</v>
      </c>
    </row>
    <row r="19758" spans="103:104" x14ac:dyDescent="0.3">
      <c r="CY19758" s="34" t="s">
        <v>20685</v>
      </c>
      <c r="CZ19758" s="35">
        <v>8.2056920000000005E-3</v>
      </c>
    </row>
    <row r="19759" spans="103:104" x14ac:dyDescent="0.3">
      <c r="CY19759" s="34" t="s">
        <v>20686</v>
      </c>
      <c r="CZ19759" s="35">
        <v>1.9369094736842108E-2</v>
      </c>
    </row>
    <row r="19760" spans="103:104" x14ac:dyDescent="0.3">
      <c r="CY19760" s="34" t="s">
        <v>20687</v>
      </c>
      <c r="CZ19760" s="35">
        <v>2.7398991999999997E-2</v>
      </c>
    </row>
    <row r="19761" spans="103:104" x14ac:dyDescent="0.3">
      <c r="CY19761" s="34" t="s">
        <v>20688</v>
      </c>
      <c r="CZ19761" s="35">
        <v>3.5473178947368421E-2</v>
      </c>
    </row>
    <row r="19762" spans="103:104" x14ac:dyDescent="0.3">
      <c r="CY19762" s="34" t="s">
        <v>20689</v>
      </c>
      <c r="CZ19762" s="35">
        <v>2.4659632000000001E-2</v>
      </c>
    </row>
    <row r="19763" spans="103:104" x14ac:dyDescent="0.3">
      <c r="CY19763" s="34" t="s">
        <v>20690</v>
      </c>
      <c r="CZ19763" s="35">
        <v>2.9854400000000003E-2</v>
      </c>
    </row>
    <row r="19764" spans="103:104" x14ac:dyDescent="0.3">
      <c r="CY19764" s="34" t="s">
        <v>20691</v>
      </c>
      <c r="CZ19764" s="35">
        <v>0.12757938400000002</v>
      </c>
    </row>
    <row r="19765" spans="103:104" x14ac:dyDescent="0.3">
      <c r="CY19765" s="34" t="s">
        <v>20692</v>
      </c>
      <c r="CZ19765" s="35">
        <v>0.12877138400000002</v>
      </c>
    </row>
    <row r="19766" spans="103:104" x14ac:dyDescent="0.3">
      <c r="CY19766" s="34" t="s">
        <v>20693</v>
      </c>
      <c r="CZ19766" s="35">
        <v>5.149488E-2</v>
      </c>
    </row>
    <row r="19767" spans="103:104" x14ac:dyDescent="0.3">
      <c r="CY19767" s="34" t="s">
        <v>20694</v>
      </c>
      <c r="CZ19767" s="35">
        <v>1.0161039999999998E-2</v>
      </c>
    </row>
    <row r="19768" spans="103:104" x14ac:dyDescent="0.3">
      <c r="CY19768" s="34" t="s">
        <v>20695</v>
      </c>
      <c r="CZ19768" s="35">
        <v>3.2204336E-2</v>
      </c>
    </row>
    <row r="19769" spans="103:104" x14ac:dyDescent="0.3">
      <c r="CY19769" s="34" t="s">
        <v>20696</v>
      </c>
      <c r="CZ19769" s="35">
        <v>0.14941230499999997</v>
      </c>
    </row>
    <row r="19770" spans="103:104" x14ac:dyDescent="0.3">
      <c r="CY19770" s="34" t="s">
        <v>20697</v>
      </c>
      <c r="CZ19770" s="35">
        <v>0.20681393000000003</v>
      </c>
    </row>
    <row r="19771" spans="103:104" x14ac:dyDescent="0.3">
      <c r="CY19771" s="34" t="s">
        <v>20698</v>
      </c>
      <c r="CZ19771" s="35">
        <v>0.14600768</v>
      </c>
    </row>
    <row r="19772" spans="103:104" x14ac:dyDescent="0.3">
      <c r="CY19772" s="34" t="s">
        <v>20699</v>
      </c>
      <c r="CZ19772" s="35">
        <v>1.0281486499999998E-3</v>
      </c>
    </row>
    <row r="19773" spans="103:104" x14ac:dyDescent="0.3">
      <c r="CY19773" s="34" t="s">
        <v>20700</v>
      </c>
      <c r="CZ19773" s="35">
        <v>1.9482104E-2</v>
      </c>
    </row>
    <row r="19774" spans="103:104" x14ac:dyDescent="0.3">
      <c r="CY19774" s="34" t="s">
        <v>20701</v>
      </c>
      <c r="CZ19774" s="35">
        <v>1.8280050000000002E-3</v>
      </c>
    </row>
    <row r="19775" spans="103:104" x14ac:dyDescent="0.3">
      <c r="CY19775" s="34" t="s">
        <v>20702</v>
      </c>
      <c r="CZ19775" s="35">
        <v>9.4716915360000001E-2</v>
      </c>
    </row>
    <row r="19776" spans="103:104" x14ac:dyDescent="0.3">
      <c r="CY19776" s="34" t="s">
        <v>20703</v>
      </c>
      <c r="CZ19776" s="35">
        <v>7.4852647999999994E-2</v>
      </c>
    </row>
    <row r="19777" spans="103:104" x14ac:dyDescent="0.3">
      <c r="CY19777" s="34" t="s">
        <v>20704</v>
      </c>
      <c r="CZ19777" s="35">
        <v>6.1263128800000011E-2</v>
      </c>
    </row>
    <row r="19778" spans="103:104" x14ac:dyDescent="0.3">
      <c r="CY19778" s="34" t="s">
        <v>20705</v>
      </c>
      <c r="CZ19778" s="35">
        <v>8.2053630799999999E-2</v>
      </c>
    </row>
    <row r="19779" spans="103:104" x14ac:dyDescent="0.3">
      <c r="CY19779" s="34" t="s">
        <v>20706</v>
      </c>
      <c r="CZ19779" s="35">
        <v>6.0473980000000004E-2</v>
      </c>
    </row>
    <row r="19780" spans="103:104" x14ac:dyDescent="0.3">
      <c r="CY19780" s="34" t="s">
        <v>20707</v>
      </c>
      <c r="CZ19780" s="35">
        <v>8.7976951999999997E-2</v>
      </c>
    </row>
    <row r="19781" spans="103:104" x14ac:dyDescent="0.3">
      <c r="CY19781" s="34" t="s">
        <v>20708</v>
      </c>
      <c r="CZ19781" s="35">
        <v>0.10912434299999998</v>
      </c>
    </row>
    <row r="19782" spans="103:104" x14ac:dyDescent="0.3">
      <c r="CY19782" s="34" t="s">
        <v>20709</v>
      </c>
      <c r="CZ19782" s="35">
        <v>9.401924759999998E-2</v>
      </c>
    </row>
    <row r="19783" spans="103:104" x14ac:dyDescent="0.3">
      <c r="CY19783" s="34" t="s">
        <v>20710</v>
      </c>
      <c r="CZ19783" s="35">
        <v>0.10067034479999999</v>
      </c>
    </row>
    <row r="19784" spans="103:104" x14ac:dyDescent="0.3">
      <c r="CY19784" s="34" t="s">
        <v>20711</v>
      </c>
      <c r="CZ19784" s="35">
        <v>9.3962580000000004E-2</v>
      </c>
    </row>
    <row r="19785" spans="103:104" x14ac:dyDescent="0.3">
      <c r="CY19785" s="34" t="s">
        <v>20712</v>
      </c>
      <c r="CZ19785" s="35">
        <v>0.114924345</v>
      </c>
    </row>
    <row r="19786" spans="103:104" x14ac:dyDescent="0.3">
      <c r="CY19786" s="34" t="s">
        <v>20713</v>
      </c>
      <c r="CZ19786" s="35">
        <v>0.45426004266666664</v>
      </c>
    </row>
    <row r="19787" spans="103:104" x14ac:dyDescent="0.3">
      <c r="CY19787" s="34" t="s">
        <v>20714</v>
      </c>
      <c r="CZ19787" s="35">
        <v>0.16754337599999999</v>
      </c>
    </row>
    <row r="19788" spans="103:104" x14ac:dyDescent="0.3">
      <c r="CY19788" s="34" t="s">
        <v>20715</v>
      </c>
      <c r="CZ19788" s="35">
        <v>0.84929108525000008</v>
      </c>
    </row>
    <row r="19789" spans="103:104" x14ac:dyDescent="0.3">
      <c r="CY19789" s="34" t="s">
        <v>20716</v>
      </c>
      <c r="CZ19789" s="35">
        <v>0.32880775200000001</v>
      </c>
    </row>
    <row r="19790" spans="103:104" x14ac:dyDescent="0.3">
      <c r="CY19790" s="34" t="s">
        <v>20717</v>
      </c>
      <c r="CZ19790" s="35">
        <v>0.33371010400000001</v>
      </c>
    </row>
    <row r="19791" spans="103:104" x14ac:dyDescent="0.3">
      <c r="CY19791" s="34" t="s">
        <v>20718</v>
      </c>
      <c r="CZ19791" s="35">
        <v>0.49781010400000003</v>
      </c>
    </row>
    <row r="19792" spans="103:104" x14ac:dyDescent="0.3">
      <c r="CY19792" s="34" t="s">
        <v>20719</v>
      </c>
      <c r="CZ19792" s="35">
        <v>9.6955713428571427E-2</v>
      </c>
    </row>
    <row r="19793" spans="103:104" x14ac:dyDescent="0.3">
      <c r="CY19793" s="34" t="s">
        <v>20720</v>
      </c>
      <c r="CZ19793" s="35">
        <v>9.6955713428571427E-2</v>
      </c>
    </row>
    <row r="19794" spans="103:104" x14ac:dyDescent="0.3">
      <c r="CY19794" s="34" t="s">
        <v>20721</v>
      </c>
      <c r="CZ19794" s="35">
        <v>1.6748399999999999E-3</v>
      </c>
    </row>
    <row r="19795" spans="103:104" x14ac:dyDescent="0.3">
      <c r="CY19795" s="34" t="s">
        <v>20722</v>
      </c>
      <c r="CZ19795" s="35">
        <v>2.5638303000000001E-3</v>
      </c>
    </row>
    <row r="19796" spans="103:104" x14ac:dyDescent="0.3">
      <c r="CY19796" s="34" t="s">
        <v>20723</v>
      </c>
      <c r="CZ19796" s="35">
        <v>2.5638303000000001E-3</v>
      </c>
    </row>
    <row r="19797" spans="103:104" x14ac:dyDescent="0.3">
      <c r="CY19797" s="34" t="s">
        <v>20724</v>
      </c>
      <c r="CZ19797" s="35">
        <v>1.04884607773E-2</v>
      </c>
    </row>
    <row r="19798" spans="103:104" x14ac:dyDescent="0.3">
      <c r="CY19798" s="34" t="s">
        <v>20725</v>
      </c>
      <c r="CZ19798" s="35">
        <v>1.6311560247E-2</v>
      </c>
    </row>
    <row r="19799" spans="103:104" x14ac:dyDescent="0.3">
      <c r="CY19799" s="34" t="s">
        <v>20726</v>
      </c>
      <c r="CZ19799" s="35">
        <v>3.9453513393177736E-2</v>
      </c>
    </row>
    <row r="19800" spans="103:104" x14ac:dyDescent="0.3">
      <c r="CY19800" s="34" t="s">
        <v>20727</v>
      </c>
      <c r="CZ19800" s="35">
        <v>1.4477337600000001E-2</v>
      </c>
    </row>
    <row r="19801" spans="103:104" x14ac:dyDescent="0.3">
      <c r="CY19801" s="34" t="s">
        <v>20728</v>
      </c>
      <c r="CZ19801" s="35">
        <v>1.2338096E-3</v>
      </c>
    </row>
    <row r="19802" spans="103:104" x14ac:dyDescent="0.3">
      <c r="CY19802" s="34" t="s">
        <v>20729</v>
      </c>
      <c r="CZ19802" s="35">
        <v>2.386924E-2</v>
      </c>
    </row>
    <row r="19803" spans="103:104" x14ac:dyDescent="0.3">
      <c r="CY19803" s="34" t="s">
        <v>20730</v>
      </c>
      <c r="CZ19803" s="35">
        <v>0.10054165</v>
      </c>
    </row>
    <row r="19804" spans="103:104" x14ac:dyDescent="0.3">
      <c r="CY19804" s="34" t="s">
        <v>20731</v>
      </c>
      <c r="CZ19804" s="35">
        <v>1.5999759999999998E-2</v>
      </c>
    </row>
    <row r="19805" spans="103:104" x14ac:dyDescent="0.3">
      <c r="CY19805" s="34" t="s">
        <v>20732</v>
      </c>
      <c r="CZ19805" s="35">
        <v>1.1689223999999998E-2</v>
      </c>
    </row>
    <row r="19806" spans="103:104" x14ac:dyDescent="0.3">
      <c r="CY19806" s="34" t="s">
        <v>20733</v>
      </c>
      <c r="CZ19806" s="35">
        <v>9.7237775999999984E-2</v>
      </c>
    </row>
    <row r="19807" spans="103:104" x14ac:dyDescent="0.3">
      <c r="CY19807" s="34" t="s">
        <v>20734</v>
      </c>
      <c r="CZ19807" s="35">
        <v>6.8908999999999998E-2</v>
      </c>
    </row>
    <row r="19808" spans="103:104" x14ac:dyDescent="0.3">
      <c r="CY19808" s="34" t="s">
        <v>20735</v>
      </c>
      <c r="CZ19808" s="35">
        <v>1.1883628E-2</v>
      </c>
    </row>
    <row r="19809" spans="103:104" x14ac:dyDescent="0.3">
      <c r="CY19809" s="34" t="s">
        <v>20736</v>
      </c>
      <c r="CZ19809" s="35">
        <v>1.6345406666666666E-3</v>
      </c>
    </row>
    <row r="19810" spans="103:104" x14ac:dyDescent="0.3">
      <c r="CY19810" s="34" t="s">
        <v>20737</v>
      </c>
      <c r="CZ19810" s="35">
        <v>0.38427992</v>
      </c>
    </row>
    <row r="19811" spans="103:104" x14ac:dyDescent="0.3">
      <c r="CY19811" s="34" t="s">
        <v>20738</v>
      </c>
      <c r="CZ19811" s="35">
        <v>1.5663234666666668E-3</v>
      </c>
    </row>
    <row r="19812" spans="103:104" x14ac:dyDescent="0.3">
      <c r="CY19812" s="34" t="s">
        <v>20739</v>
      </c>
      <c r="CZ19812" s="35">
        <v>1.7229858666666668E-3</v>
      </c>
    </row>
    <row r="19813" spans="103:104" x14ac:dyDescent="0.3">
      <c r="CY19813" s="34" t="s">
        <v>20740</v>
      </c>
      <c r="CZ19813" s="35">
        <v>1.2460638333333335E-3</v>
      </c>
    </row>
    <row r="19814" spans="103:104" x14ac:dyDescent="0.3">
      <c r="CY19814" s="34" t="s">
        <v>20741</v>
      </c>
      <c r="CZ19814" s="35">
        <v>1.2805105000000001E-3</v>
      </c>
    </row>
    <row r="19815" spans="103:104" x14ac:dyDescent="0.3">
      <c r="CY19815" s="34" t="s">
        <v>20742</v>
      </c>
      <c r="CZ19815" s="35">
        <v>9.8227882222222222E-4</v>
      </c>
    </row>
    <row r="19816" spans="103:104" x14ac:dyDescent="0.3">
      <c r="CY19816" s="34" t="s">
        <v>20743</v>
      </c>
      <c r="CZ19816" s="35">
        <v>0.11595575999999999</v>
      </c>
    </row>
    <row r="19817" spans="103:104" x14ac:dyDescent="0.3">
      <c r="CY19817" s="34" t="s">
        <v>20744</v>
      </c>
      <c r="CZ19817" s="35">
        <v>0.11117233600000001</v>
      </c>
    </row>
    <row r="19818" spans="103:104" x14ac:dyDescent="0.3">
      <c r="CY19818" s="34" t="s">
        <v>20745</v>
      </c>
      <c r="CZ19818" s="35">
        <v>0.11117233600000001</v>
      </c>
    </row>
    <row r="19819" spans="103:104" x14ac:dyDescent="0.3">
      <c r="CY19819" s="34" t="s">
        <v>20746</v>
      </c>
      <c r="CZ19819" s="35">
        <v>0.52034190000000002</v>
      </c>
    </row>
    <row r="19820" spans="103:104" x14ac:dyDescent="0.3">
      <c r="CY19820" s="34" t="s">
        <v>20747</v>
      </c>
      <c r="CZ19820" s="35">
        <v>0.58815510000000004</v>
      </c>
    </row>
    <row r="19821" spans="103:104" x14ac:dyDescent="0.3">
      <c r="CY19821" s="34" t="s">
        <v>20748</v>
      </c>
      <c r="CZ19821" s="35">
        <v>0.22775635</v>
      </c>
    </row>
    <row r="19822" spans="103:104" x14ac:dyDescent="0.3">
      <c r="CY19822" s="34" t="s">
        <v>20749</v>
      </c>
      <c r="CZ19822" s="35">
        <v>4.1700000000000005E-4</v>
      </c>
    </row>
    <row r="19823" spans="103:104" x14ac:dyDescent="0.3">
      <c r="CY19823" s="34" t="s">
        <v>20750</v>
      </c>
      <c r="CZ19823" s="35">
        <v>0.4129883157894737</v>
      </c>
    </row>
    <row r="19824" spans="103:104" x14ac:dyDescent="0.3">
      <c r="CY19824" s="34" t="s">
        <v>20751</v>
      </c>
      <c r="CZ19824" s="35">
        <v>9.5295679999999994E-2</v>
      </c>
    </row>
    <row r="19825" spans="103:104" x14ac:dyDescent="0.3">
      <c r="CY19825" s="34" t="s">
        <v>20752</v>
      </c>
      <c r="CZ19825" s="35">
        <v>0.14784448</v>
      </c>
    </row>
    <row r="19826" spans="103:104" x14ac:dyDescent="0.3">
      <c r="CY19826" s="34" t="s">
        <v>20753</v>
      </c>
      <c r="CZ19826" s="35">
        <v>0.41298831578947365</v>
      </c>
    </row>
    <row r="19827" spans="103:104" x14ac:dyDescent="0.3">
      <c r="CY19827" s="34" t="s">
        <v>20754</v>
      </c>
      <c r="CZ19827" s="35">
        <v>0.13067057193684212</v>
      </c>
    </row>
    <row r="19828" spans="103:104" x14ac:dyDescent="0.3">
      <c r="CY19828" s="34" t="s">
        <v>20755</v>
      </c>
      <c r="CZ19828" s="35">
        <v>1.4922727333333333E-3</v>
      </c>
    </row>
    <row r="19829" spans="103:104" x14ac:dyDescent="0.3">
      <c r="CY19829" s="34" t="s">
        <v>20756</v>
      </c>
      <c r="CZ19829" s="35">
        <v>0.103089783325</v>
      </c>
    </row>
    <row r="19830" spans="103:104" x14ac:dyDescent="0.3">
      <c r="CY19830" s="34" t="s">
        <v>20757</v>
      </c>
      <c r="CZ19830" s="35">
        <v>6.2686325000000011E-3</v>
      </c>
    </row>
    <row r="19831" spans="103:104" x14ac:dyDescent="0.3">
      <c r="CY19831" s="34" t="s">
        <v>20758</v>
      </c>
      <c r="CZ19831" s="35">
        <v>8.1318624999999999E-3</v>
      </c>
    </row>
    <row r="19832" spans="103:104" x14ac:dyDescent="0.3">
      <c r="CY19832" s="34" t="s">
        <v>20759</v>
      </c>
      <c r="CZ19832" s="35">
        <v>3.50893408E-2</v>
      </c>
    </row>
    <row r="19833" spans="103:104" x14ac:dyDescent="0.3">
      <c r="CY19833" s="34" t="s">
        <v>20760</v>
      </c>
      <c r="CZ19833" s="35">
        <v>3.6015607999999991E-2</v>
      </c>
    </row>
    <row r="19834" spans="103:104" x14ac:dyDescent="0.3">
      <c r="CY19834" s="34" t="s">
        <v>20761</v>
      </c>
      <c r="CZ19834" s="35">
        <v>9.5598964999999998E-4</v>
      </c>
    </row>
    <row r="19835" spans="103:104" x14ac:dyDescent="0.3">
      <c r="CY19835" s="34" t="s">
        <v>20762</v>
      </c>
      <c r="CZ19835" s="35">
        <v>2.5499227999999999E-2</v>
      </c>
    </row>
    <row r="19836" spans="103:104" x14ac:dyDescent="0.3">
      <c r="CY19836" s="34" t="s">
        <v>20763</v>
      </c>
      <c r="CZ19836" s="35">
        <v>2.3307864533333333E-2</v>
      </c>
    </row>
    <row r="19837" spans="103:104" x14ac:dyDescent="0.3">
      <c r="CY19837" s="34" t="s">
        <v>20764</v>
      </c>
      <c r="CZ19837" s="35">
        <v>0.22412373299999999</v>
      </c>
    </row>
    <row r="19838" spans="103:104" x14ac:dyDescent="0.3">
      <c r="CY19838" s="34" t="s">
        <v>20765</v>
      </c>
      <c r="CZ19838" s="35">
        <v>3.5096000000000007E-3</v>
      </c>
    </row>
    <row r="19839" spans="103:104" x14ac:dyDescent="0.3">
      <c r="CY19839" s="34" t="s">
        <v>20766</v>
      </c>
      <c r="CZ19839" s="35">
        <v>2.5990635000000005E-2</v>
      </c>
    </row>
    <row r="19840" spans="103:104" x14ac:dyDescent="0.3">
      <c r="CY19840" s="34" t="s">
        <v>20767</v>
      </c>
      <c r="CZ19840" s="35">
        <v>0.385984667</v>
      </c>
    </row>
    <row r="19841" spans="103:104" x14ac:dyDescent="0.3">
      <c r="CY19841" s="34" t="s">
        <v>20768</v>
      </c>
      <c r="CZ19841" s="35">
        <v>1.2857142857142857E-5</v>
      </c>
    </row>
    <row r="19842" spans="103:104" x14ac:dyDescent="0.3">
      <c r="CY19842" s="34" t="s">
        <v>20769</v>
      </c>
      <c r="CZ19842" s="35">
        <v>0.50036500000000006</v>
      </c>
    </row>
    <row r="19843" spans="103:104" x14ac:dyDescent="0.3">
      <c r="CY19843" s="34" t="s">
        <v>20770</v>
      </c>
      <c r="CZ19843" s="35">
        <v>9.5558664000000001E-2</v>
      </c>
    </row>
    <row r="19844" spans="103:104" x14ac:dyDescent="0.3">
      <c r="CY19844" s="34" t="s">
        <v>20771</v>
      </c>
      <c r="CZ19844" s="35">
        <v>4.0370547999999999E-2</v>
      </c>
    </row>
    <row r="19845" spans="103:104" x14ac:dyDescent="0.3">
      <c r="CY19845" s="34" t="s">
        <v>20772</v>
      </c>
      <c r="CZ19845" s="35">
        <v>7.4652929999999996E-3</v>
      </c>
    </row>
    <row r="19846" spans="103:104" x14ac:dyDescent="0.3">
      <c r="CY19846" s="34" t="s">
        <v>20773</v>
      </c>
      <c r="CZ19846" s="35">
        <v>0.11133638933333333</v>
      </c>
    </row>
    <row r="19847" spans="103:104" x14ac:dyDescent="0.3">
      <c r="CY19847" s="34" t="s">
        <v>20774</v>
      </c>
      <c r="CZ19847" s="35">
        <v>1.4027832E-2</v>
      </c>
    </row>
    <row r="19848" spans="103:104" x14ac:dyDescent="0.3">
      <c r="CY19848" s="34" t="s">
        <v>20775</v>
      </c>
      <c r="CZ19848" s="35">
        <v>3.0675113725490196E-2</v>
      </c>
    </row>
    <row r="19849" spans="103:104" x14ac:dyDescent="0.3">
      <c r="CY19849" s="34" t="s">
        <v>20776</v>
      </c>
      <c r="CZ19849" s="35">
        <v>3.0675113725490196E-2</v>
      </c>
    </row>
    <row r="19850" spans="103:104" x14ac:dyDescent="0.3">
      <c r="CY19850" s="34" t="s">
        <v>20777</v>
      </c>
      <c r="CZ19850" s="35">
        <v>3.3011237500000006E-2</v>
      </c>
    </row>
    <row r="19851" spans="103:104" x14ac:dyDescent="0.3">
      <c r="CY19851" s="34" t="s">
        <v>20778</v>
      </c>
      <c r="CZ19851" s="35">
        <v>3.3011237499999999E-2</v>
      </c>
    </row>
    <row r="19852" spans="103:104" x14ac:dyDescent="0.3">
      <c r="CY19852" s="34" t="s">
        <v>20779</v>
      </c>
      <c r="CZ19852" s="35">
        <v>4.5300000000000003E-5</v>
      </c>
    </row>
    <row r="19853" spans="103:104" x14ac:dyDescent="0.3">
      <c r="CY19853" s="34" t="s">
        <v>20780</v>
      </c>
      <c r="CZ19853" s="35">
        <v>3.8630240000000005E-3</v>
      </c>
    </row>
    <row r="19854" spans="103:104" x14ac:dyDescent="0.3">
      <c r="CY19854" s="34" t="s">
        <v>20781</v>
      </c>
      <c r="CZ19854" s="35">
        <v>2.5217500000000006E-3</v>
      </c>
    </row>
    <row r="19855" spans="103:104" x14ac:dyDescent="0.3">
      <c r="CY19855" s="34" t="s">
        <v>20782</v>
      </c>
      <c r="CZ19855" s="35">
        <v>4.4232246666666671E-3</v>
      </c>
    </row>
    <row r="19856" spans="103:104" x14ac:dyDescent="0.3">
      <c r="CY19856" s="34" t="s">
        <v>20783</v>
      </c>
      <c r="CZ19856" s="35">
        <v>9.469786253333333E-2</v>
      </c>
    </row>
    <row r="19857" spans="103:104" x14ac:dyDescent="0.3">
      <c r="CY19857" s="34" t="s">
        <v>20784</v>
      </c>
      <c r="CZ19857" s="35">
        <v>9.469786253333333E-2</v>
      </c>
    </row>
    <row r="19858" spans="103:104" x14ac:dyDescent="0.3">
      <c r="CY19858" s="34" t="s">
        <v>20785</v>
      </c>
      <c r="CZ19858" s="35">
        <v>3.0413164444444446E-2</v>
      </c>
    </row>
    <row r="19859" spans="103:104" x14ac:dyDescent="0.3">
      <c r="CY19859" s="34" t="s">
        <v>20786</v>
      </c>
      <c r="CZ19859" s="35">
        <v>2.8812471578947372E-2</v>
      </c>
    </row>
    <row r="19860" spans="103:104" x14ac:dyDescent="0.3">
      <c r="CY19860" s="34" t="s">
        <v>20787</v>
      </c>
      <c r="CZ19860" s="35">
        <v>4.6577965999999998E-2</v>
      </c>
    </row>
    <row r="19861" spans="103:104" x14ac:dyDescent="0.3">
      <c r="CY19861" s="34" t="s">
        <v>20788</v>
      </c>
      <c r="CZ19861" s="35">
        <v>4.0866925E-3</v>
      </c>
    </row>
    <row r="19862" spans="103:104" x14ac:dyDescent="0.3">
      <c r="CY19862" s="34" t="s">
        <v>20789</v>
      </c>
      <c r="CZ19862" s="35">
        <v>4.2559525000000001E-3</v>
      </c>
    </row>
    <row r="19863" spans="103:104" x14ac:dyDescent="0.3">
      <c r="CY19863" s="34" t="s">
        <v>20790</v>
      </c>
      <c r="CZ19863" s="35">
        <v>4.6283245000000002E-3</v>
      </c>
    </row>
    <row r="19864" spans="103:104" x14ac:dyDescent="0.3">
      <c r="CY19864" s="34" t="s">
        <v>20791</v>
      </c>
      <c r="CZ19864" s="35">
        <v>4.8088684999999997E-3</v>
      </c>
    </row>
    <row r="19865" spans="103:104" x14ac:dyDescent="0.3">
      <c r="CY19865" s="34" t="s">
        <v>20792</v>
      </c>
      <c r="CZ19865" s="35">
        <v>5.1699565000000005E-3</v>
      </c>
    </row>
    <row r="19866" spans="103:104" x14ac:dyDescent="0.3">
      <c r="CY19866" s="34" t="s">
        <v>20793</v>
      </c>
      <c r="CZ19866" s="35">
        <v>3.4756279999999997E-3</v>
      </c>
    </row>
    <row r="19867" spans="103:104" x14ac:dyDescent="0.3">
      <c r="CY19867" s="34" t="s">
        <v>20794</v>
      </c>
      <c r="CZ19867" s="35">
        <v>2.6783599999999999E-3</v>
      </c>
    </row>
    <row r="19868" spans="103:104" x14ac:dyDescent="0.3">
      <c r="CY19868" s="34" t="s">
        <v>20795</v>
      </c>
      <c r="CZ19868" s="35">
        <v>5.6549600000000005E-3</v>
      </c>
    </row>
    <row r="19869" spans="103:104" x14ac:dyDescent="0.3">
      <c r="CY19869" s="34" t="s">
        <v>20796</v>
      </c>
      <c r="CZ19869" s="35">
        <v>8.7199999999999995E-4</v>
      </c>
    </row>
    <row r="19870" spans="103:104" x14ac:dyDescent="0.3">
      <c r="CY19870" s="34" t="s">
        <v>20797</v>
      </c>
      <c r="CZ19870" s="35">
        <v>6.7130879999999997E-4</v>
      </c>
    </row>
    <row r="19871" spans="103:104" x14ac:dyDescent="0.3">
      <c r="CY19871" s="34" t="s">
        <v>20798</v>
      </c>
      <c r="CZ19871" s="35">
        <v>7.4879296000000004E-4</v>
      </c>
    </row>
    <row r="19872" spans="103:104" x14ac:dyDescent="0.3">
      <c r="CY19872" s="34" t="s">
        <v>20799</v>
      </c>
      <c r="CZ19872" s="35">
        <v>6.7130879999999997E-4</v>
      </c>
    </row>
    <row r="19873" spans="103:104" x14ac:dyDescent="0.3">
      <c r="CY19873" s="34" t="s">
        <v>20800</v>
      </c>
      <c r="CZ19873" s="35">
        <v>6.7130879999999997E-4</v>
      </c>
    </row>
    <row r="19874" spans="103:104" x14ac:dyDescent="0.3">
      <c r="CY19874" s="34" t="s">
        <v>20801</v>
      </c>
      <c r="CZ19874" s="35">
        <v>8.5533368E-4</v>
      </c>
    </row>
    <row r="19875" spans="103:104" x14ac:dyDescent="0.3">
      <c r="CY19875" s="34" t="s">
        <v>20802</v>
      </c>
      <c r="CZ19875" s="35">
        <v>3.8881231999999995E-2</v>
      </c>
    </row>
    <row r="19876" spans="103:104" x14ac:dyDescent="0.3">
      <c r="CY19876" s="34" t="s">
        <v>20803</v>
      </c>
      <c r="CZ19876" s="35">
        <v>5.6002435999999996E-2</v>
      </c>
    </row>
    <row r="19877" spans="103:104" x14ac:dyDescent="0.3">
      <c r="CY19877" s="34" t="s">
        <v>20804</v>
      </c>
      <c r="CZ19877" s="35">
        <v>6.355688E-3</v>
      </c>
    </row>
    <row r="19878" spans="103:104" x14ac:dyDescent="0.3">
      <c r="CY19878" s="34" t="s">
        <v>20805</v>
      </c>
      <c r="CZ19878" s="35">
        <v>2.2578530000000003E-2</v>
      </c>
    </row>
    <row r="19879" spans="103:104" x14ac:dyDescent="0.3">
      <c r="CY19879" s="34" t="s">
        <v>20806</v>
      </c>
      <c r="CZ19879" s="35">
        <v>8.9414159999999993E-2</v>
      </c>
    </row>
    <row r="19880" spans="103:104" x14ac:dyDescent="0.3">
      <c r="CY19880" s="34" t="s">
        <v>20807</v>
      </c>
      <c r="CZ19880" s="35">
        <v>3.7468978666666666E-2</v>
      </c>
    </row>
    <row r="19881" spans="103:104" x14ac:dyDescent="0.3">
      <c r="CY19881" s="34" t="s">
        <v>20808</v>
      </c>
      <c r="CZ19881" s="35">
        <v>2.506953338947368E-2</v>
      </c>
    </row>
    <row r="19882" spans="103:104" x14ac:dyDescent="0.3">
      <c r="CY19882" s="34" t="s">
        <v>20809</v>
      </c>
      <c r="CZ19882" s="35">
        <v>1.5615300000000002E-3</v>
      </c>
    </row>
    <row r="19883" spans="103:104" x14ac:dyDescent="0.3">
      <c r="CY19883" s="34" t="s">
        <v>20810</v>
      </c>
      <c r="CZ19883" s="35">
        <v>7.0407451332000007E-2</v>
      </c>
    </row>
    <row r="19884" spans="103:104" x14ac:dyDescent="0.3">
      <c r="CY19884" s="34" t="s">
        <v>20811</v>
      </c>
      <c r="CZ19884" s="35">
        <v>7.0735201400000003E-2</v>
      </c>
    </row>
    <row r="19885" spans="103:104" x14ac:dyDescent="0.3">
      <c r="CY19885" s="34" t="s">
        <v>20812</v>
      </c>
      <c r="CZ19885" s="35">
        <v>1.1517499999999999E-4</v>
      </c>
    </row>
    <row r="19886" spans="103:104" x14ac:dyDescent="0.3">
      <c r="CY19886" s="34" t="s">
        <v>20813</v>
      </c>
      <c r="CZ19886" s="35">
        <v>1.328417E-2</v>
      </c>
    </row>
    <row r="19887" spans="103:104" x14ac:dyDescent="0.3">
      <c r="CY19887" s="34" t="s">
        <v>20814</v>
      </c>
      <c r="CZ19887" s="35">
        <v>0.38496308000000001</v>
      </c>
    </row>
    <row r="19888" spans="103:104" x14ac:dyDescent="0.3">
      <c r="CY19888" s="34" t="s">
        <v>20815</v>
      </c>
      <c r="CZ19888" s="35">
        <v>1.4027831999999999E-2</v>
      </c>
    </row>
    <row r="19889" spans="103:104" x14ac:dyDescent="0.3">
      <c r="CY19889" s="34" t="s">
        <v>20816</v>
      </c>
      <c r="CZ19889" s="35">
        <v>9.3181000000000004E-4</v>
      </c>
    </row>
    <row r="19890" spans="103:104" x14ac:dyDescent="0.3">
      <c r="CY19890" s="34" t="s">
        <v>20817</v>
      </c>
      <c r="CZ19890" s="35">
        <v>0.13790522499777996</v>
      </c>
    </row>
    <row r="19891" spans="103:104" x14ac:dyDescent="0.3">
      <c r="CY19891" s="34" t="s">
        <v>20818</v>
      </c>
      <c r="CZ19891" s="35">
        <v>0.13788352222000003</v>
      </c>
    </row>
    <row r="19892" spans="103:104" x14ac:dyDescent="0.3">
      <c r="CY19892" s="34" t="s">
        <v>20819</v>
      </c>
      <c r="CZ19892" s="35">
        <v>2.7733176000000002E-2</v>
      </c>
    </row>
    <row r="19893" spans="103:104" x14ac:dyDescent="0.3">
      <c r="CY19893" s="34" t="s">
        <v>20820</v>
      </c>
      <c r="CZ19893" s="35">
        <v>8.3093373428571437E-3</v>
      </c>
    </row>
    <row r="19894" spans="103:104" x14ac:dyDescent="0.3">
      <c r="CY19894" s="34" t="s">
        <v>20821</v>
      </c>
      <c r="CZ19894" s="35">
        <v>4.0356106671428575E-2</v>
      </c>
    </row>
    <row r="19895" spans="103:104" x14ac:dyDescent="0.3">
      <c r="CY19895" s="34" t="s">
        <v>20822</v>
      </c>
      <c r="CZ19895" s="35">
        <v>4.6972855999999993E-2</v>
      </c>
    </row>
    <row r="19896" spans="103:104" x14ac:dyDescent="0.3">
      <c r="CY19896" s="34" t="s">
        <v>20823</v>
      </c>
      <c r="CZ19896" s="35">
        <v>4.6972855999999993E-2</v>
      </c>
    </row>
    <row r="19897" spans="103:104" x14ac:dyDescent="0.3">
      <c r="CY19897" s="34" t="s">
        <v>20824</v>
      </c>
      <c r="CZ19897" s="35">
        <v>4.7892855999999991E-2</v>
      </c>
    </row>
    <row r="19898" spans="103:104" x14ac:dyDescent="0.3">
      <c r="CY19898" s="34" t="s">
        <v>20825</v>
      </c>
      <c r="CZ19898" s="35">
        <v>0.13562559999999999</v>
      </c>
    </row>
    <row r="19899" spans="103:104" x14ac:dyDescent="0.3">
      <c r="CY19899" s="34" t="s">
        <v>20826</v>
      </c>
      <c r="CZ19899" s="35">
        <v>0.38008900000000001</v>
      </c>
    </row>
    <row r="19900" spans="103:104" x14ac:dyDescent="0.3">
      <c r="CY19900" s="34" t="s">
        <v>20827</v>
      </c>
      <c r="CZ19900" s="35">
        <v>0.38242899999999996</v>
      </c>
    </row>
    <row r="19901" spans="103:104" x14ac:dyDescent="0.3">
      <c r="CY19901" s="34" t="s">
        <v>20828</v>
      </c>
      <c r="CZ19901" s="35">
        <v>0.10624117</v>
      </c>
    </row>
    <row r="19902" spans="103:104" x14ac:dyDescent="0.3">
      <c r="CY19902" s="34" t="s">
        <v>20829</v>
      </c>
      <c r="CZ19902" s="35">
        <v>9.8951813333333333E-2</v>
      </c>
    </row>
    <row r="19903" spans="103:104" x14ac:dyDescent="0.3">
      <c r="CY19903" s="34" t="s">
        <v>20830</v>
      </c>
      <c r="CZ19903" s="35">
        <v>9.1778853333333341E-2</v>
      </c>
    </row>
    <row r="19904" spans="103:104" x14ac:dyDescent="0.3">
      <c r="CY19904" s="34" t="s">
        <v>20831</v>
      </c>
      <c r="CZ19904" s="35">
        <v>5.4790038000000006E-2</v>
      </c>
    </row>
    <row r="19905" spans="103:104" x14ac:dyDescent="0.3">
      <c r="CY19905" s="34" t="s">
        <v>20832</v>
      </c>
      <c r="CZ19905" s="35">
        <v>0.18792132399999997</v>
      </c>
    </row>
    <row r="19906" spans="103:104" x14ac:dyDescent="0.3">
      <c r="CY19906" s="34" t="s">
        <v>20833</v>
      </c>
      <c r="CZ19906" s="35">
        <v>2.9672240000000003E-2</v>
      </c>
    </row>
    <row r="19907" spans="103:104" x14ac:dyDescent="0.3">
      <c r="CY19907" s="34" t="s">
        <v>20834</v>
      </c>
      <c r="CZ19907" s="35">
        <v>2.2220314666666668E-2</v>
      </c>
    </row>
    <row r="19908" spans="103:104" x14ac:dyDescent="0.3">
      <c r="CY19908" s="34" t="s">
        <v>20835</v>
      </c>
      <c r="CZ19908" s="35">
        <v>7.8308642857142854E-3</v>
      </c>
    </row>
    <row r="19909" spans="103:104" x14ac:dyDescent="0.3">
      <c r="CY19909" s="34" t="s">
        <v>20836</v>
      </c>
      <c r="CZ19909" s="35">
        <v>4.9870799999999994E-4</v>
      </c>
    </row>
    <row r="19910" spans="103:104" x14ac:dyDescent="0.3">
      <c r="CY19910" s="34" t="s">
        <v>20837</v>
      </c>
      <c r="CZ19910" s="35">
        <v>6.3989792000000004E-2</v>
      </c>
    </row>
    <row r="19911" spans="103:104" x14ac:dyDescent="0.3">
      <c r="CY19911" s="34" t="s">
        <v>20838</v>
      </c>
      <c r="CZ19911" s="35">
        <v>0.14757504670000002</v>
      </c>
    </row>
    <row r="19912" spans="103:104" x14ac:dyDescent="0.3">
      <c r="CY19912" s="34" t="s">
        <v>20839</v>
      </c>
      <c r="CZ19912" s="35">
        <v>0.14703470000000002</v>
      </c>
    </row>
    <row r="19913" spans="103:104" x14ac:dyDescent="0.3">
      <c r="CY19913" s="34" t="s">
        <v>20840</v>
      </c>
      <c r="CZ19913" s="35">
        <v>0.1812715</v>
      </c>
    </row>
    <row r="19914" spans="103:104" x14ac:dyDescent="0.3">
      <c r="CY19914" s="34" t="s">
        <v>20841</v>
      </c>
      <c r="CZ19914" s="35">
        <v>9.2796166700000002E-2</v>
      </c>
    </row>
    <row r="19915" spans="103:104" x14ac:dyDescent="0.3">
      <c r="CY19915" s="34" t="s">
        <v>20842</v>
      </c>
      <c r="CZ19915" s="35">
        <v>0.1213571</v>
      </c>
    </row>
    <row r="19916" spans="103:104" x14ac:dyDescent="0.3">
      <c r="CY19916" s="34" t="s">
        <v>20843</v>
      </c>
      <c r="CZ19916" s="35">
        <v>0.16126976670000001</v>
      </c>
    </row>
    <row r="19917" spans="103:104" x14ac:dyDescent="0.3">
      <c r="CY19917" s="34" t="s">
        <v>20844</v>
      </c>
      <c r="CZ19917" s="35">
        <v>6.6308999999999993E-2</v>
      </c>
    </row>
    <row r="19918" spans="103:104" x14ac:dyDescent="0.3">
      <c r="CY19918" s="34" t="s">
        <v>20845</v>
      </c>
      <c r="CZ19918" s="35">
        <v>9.6136899999999977E-3</v>
      </c>
    </row>
    <row r="19919" spans="103:104" x14ac:dyDescent="0.3">
      <c r="CY19919" s="34" t="s">
        <v>20846</v>
      </c>
      <c r="CZ19919" s="35">
        <v>5.9255449999999994E-2</v>
      </c>
    </row>
    <row r="19920" spans="103:104" x14ac:dyDescent="0.3">
      <c r="CY19920" s="34" t="s">
        <v>20847</v>
      </c>
      <c r="CZ19920" s="35">
        <v>3.9082791999999998E-2</v>
      </c>
    </row>
    <row r="19921" spans="103:104" x14ac:dyDescent="0.3">
      <c r="CY19921" s="34" t="s">
        <v>20848</v>
      </c>
      <c r="CZ19921" s="35">
        <v>6.4088528000000006E-2</v>
      </c>
    </row>
    <row r="19922" spans="103:104" x14ac:dyDescent="0.3">
      <c r="CY19922" s="34" t="s">
        <v>20849</v>
      </c>
      <c r="CZ19922" s="35">
        <v>8.9136595333333332E-3</v>
      </c>
    </row>
    <row r="19923" spans="103:104" x14ac:dyDescent="0.3">
      <c r="CY19923" s="34" t="s">
        <v>20850</v>
      </c>
      <c r="CZ19923" s="35">
        <v>8.6704039999999996E-2</v>
      </c>
    </row>
    <row r="19924" spans="103:104" x14ac:dyDescent="0.3">
      <c r="CY19924" s="34" t="s">
        <v>20851</v>
      </c>
      <c r="CZ19924" s="35">
        <v>1.1732459710344827E-2</v>
      </c>
    </row>
    <row r="19925" spans="103:104" x14ac:dyDescent="0.3">
      <c r="CY19925" s="34" t="s">
        <v>20852</v>
      </c>
      <c r="CZ19925" s="35">
        <v>0.16084083999999998</v>
      </c>
    </row>
    <row r="19926" spans="103:104" x14ac:dyDescent="0.3">
      <c r="CY19926" s="34" t="s">
        <v>20853</v>
      </c>
      <c r="CZ19926" s="35">
        <v>0.26522876000000001</v>
      </c>
    </row>
    <row r="19927" spans="103:104" x14ac:dyDescent="0.3">
      <c r="CY19927" s="34" t="s">
        <v>20854</v>
      </c>
      <c r="CZ19927" s="35">
        <v>1.6535296000000001E-3</v>
      </c>
    </row>
    <row r="19928" spans="103:104" x14ac:dyDescent="0.3">
      <c r="CY19928" s="34" t="s">
        <v>20855</v>
      </c>
      <c r="CZ19928" s="35">
        <v>3.869824E-3</v>
      </c>
    </row>
    <row r="19929" spans="103:104" x14ac:dyDescent="0.3">
      <c r="CY19929" s="34" t="s">
        <v>20856</v>
      </c>
      <c r="CZ19929" s="35">
        <v>3.8698239999999996E-3</v>
      </c>
    </row>
    <row r="19930" spans="103:104" x14ac:dyDescent="0.3">
      <c r="CY19930" s="34" t="s">
        <v>20857</v>
      </c>
      <c r="CZ19930" s="35">
        <v>3.2937344E-2</v>
      </c>
    </row>
    <row r="19931" spans="103:104" x14ac:dyDescent="0.3">
      <c r="CY19931" s="34" t="s">
        <v>20858</v>
      </c>
      <c r="CZ19931" s="35">
        <v>2.2284700000000001E-2</v>
      </c>
    </row>
    <row r="19932" spans="103:104" x14ac:dyDescent="0.3">
      <c r="CY19932" s="34" t="s">
        <v>20859</v>
      </c>
      <c r="CZ19932" s="35">
        <v>4.4143760000000002E-3</v>
      </c>
    </row>
    <row r="19933" spans="103:104" x14ac:dyDescent="0.3">
      <c r="CY19933" s="34" t="s">
        <v>20860</v>
      </c>
      <c r="CZ19933" s="35">
        <v>1.0936738666666667E-3</v>
      </c>
    </row>
    <row r="19934" spans="103:104" x14ac:dyDescent="0.3">
      <c r="CY19934" s="34" t="s">
        <v>20861</v>
      </c>
      <c r="CZ19934" s="35">
        <v>9.2840000000000012E-4</v>
      </c>
    </row>
    <row r="19935" spans="103:104" x14ac:dyDescent="0.3">
      <c r="CY19935" s="34" t="s">
        <v>20862</v>
      </c>
      <c r="CZ19935" s="35">
        <v>1.0823287999999999E-2</v>
      </c>
    </row>
    <row r="19936" spans="103:104" x14ac:dyDescent="0.3">
      <c r="CY19936" s="34" t="s">
        <v>20863</v>
      </c>
      <c r="CZ19936" s="35">
        <v>1.0823287999999999E-2</v>
      </c>
    </row>
    <row r="19937" spans="103:104" x14ac:dyDescent="0.3">
      <c r="CY19937" s="34" t="s">
        <v>20864</v>
      </c>
      <c r="CZ19937" s="35">
        <v>1.0823287999999999E-2</v>
      </c>
    </row>
    <row r="19938" spans="103:104" x14ac:dyDescent="0.3">
      <c r="CY19938" s="34" t="s">
        <v>20865</v>
      </c>
      <c r="CZ19938" s="35">
        <v>0.10172383500000001</v>
      </c>
    </row>
    <row r="19939" spans="103:104" x14ac:dyDescent="0.3">
      <c r="CY19939" s="34" t="s">
        <v>20866</v>
      </c>
      <c r="CZ19939" s="35">
        <v>1.0222968000000001E-3</v>
      </c>
    </row>
    <row r="19940" spans="103:104" x14ac:dyDescent="0.3">
      <c r="CY19940" s="34" t="s">
        <v>20867</v>
      </c>
      <c r="CZ19940" s="35">
        <v>0.14316796999999998</v>
      </c>
    </row>
    <row r="19941" spans="103:104" x14ac:dyDescent="0.3">
      <c r="CY19941" s="34" t="s">
        <v>20868</v>
      </c>
      <c r="CZ19941" s="35">
        <v>0.67001460000000002</v>
      </c>
    </row>
    <row r="19942" spans="103:104" x14ac:dyDescent="0.3">
      <c r="CY19942" s="34" t="s">
        <v>20869</v>
      </c>
      <c r="CZ19942" s="35">
        <v>0.85763788000000007</v>
      </c>
    </row>
    <row r="19943" spans="103:104" x14ac:dyDescent="0.3">
      <c r="CY19943" s="34" t="s">
        <v>20870</v>
      </c>
      <c r="CZ19943" s="35">
        <v>0.85763788000000007</v>
      </c>
    </row>
    <row r="19944" spans="103:104" x14ac:dyDescent="0.3">
      <c r="CY19944" s="34" t="s">
        <v>20871</v>
      </c>
      <c r="CZ19944" s="35">
        <v>0.94085764000000005</v>
      </c>
    </row>
    <row r="19945" spans="103:104" x14ac:dyDescent="0.3">
      <c r="CY19945" s="34" t="s">
        <v>20872</v>
      </c>
      <c r="CZ19945" s="35">
        <v>4.5080933333333335E-3</v>
      </c>
    </row>
    <row r="19946" spans="103:104" x14ac:dyDescent="0.3">
      <c r="CY19946" s="34" t="s">
        <v>20873</v>
      </c>
      <c r="CZ19946" s="35">
        <v>4.0091359999999999E-3</v>
      </c>
    </row>
    <row r="19947" spans="103:104" x14ac:dyDescent="0.3">
      <c r="CY19947" s="34" t="s">
        <v>20874</v>
      </c>
      <c r="CZ19947" s="35">
        <v>5.4006800000000006E-3</v>
      </c>
    </row>
    <row r="19948" spans="103:104" x14ac:dyDescent="0.3">
      <c r="CY19948" s="34" t="s">
        <v>20875</v>
      </c>
      <c r="CZ19948" s="35">
        <v>3.6084907999999999E-2</v>
      </c>
    </row>
    <row r="19949" spans="103:104" x14ac:dyDescent="0.3">
      <c r="CY19949" s="34" t="s">
        <v>20876</v>
      </c>
      <c r="CZ19949" s="35">
        <v>9.059999999999999E-4</v>
      </c>
    </row>
    <row r="19950" spans="103:104" x14ac:dyDescent="0.3">
      <c r="CY19950" s="34" t="s">
        <v>20877</v>
      </c>
      <c r="CZ19950" s="35">
        <v>9.059999999999999E-4</v>
      </c>
    </row>
    <row r="19951" spans="103:104" x14ac:dyDescent="0.3">
      <c r="CY19951" s="34" t="s">
        <v>20878</v>
      </c>
      <c r="CZ19951" s="35">
        <v>0.14193947333333334</v>
      </c>
    </row>
    <row r="19952" spans="103:104" x14ac:dyDescent="0.3">
      <c r="CY19952" s="34" t="s">
        <v>20879</v>
      </c>
      <c r="CZ19952" s="35">
        <v>3.9839935999999999E-2</v>
      </c>
    </row>
    <row r="19953" spans="103:104" x14ac:dyDescent="0.3">
      <c r="CY19953" s="34" t="s">
        <v>20880</v>
      </c>
      <c r="CZ19953" s="35">
        <v>4.6944267999999997E-2</v>
      </c>
    </row>
    <row r="19954" spans="103:104" x14ac:dyDescent="0.3">
      <c r="CY19954" s="34" t="s">
        <v>20881</v>
      </c>
      <c r="CZ19954" s="35">
        <v>0.32364520000000002</v>
      </c>
    </row>
    <row r="19955" spans="103:104" x14ac:dyDescent="0.3">
      <c r="CY19955" s="34" t="s">
        <v>20882</v>
      </c>
      <c r="CZ19955" s="35">
        <v>6.7966624000000003E-3</v>
      </c>
    </row>
    <row r="19956" spans="103:104" x14ac:dyDescent="0.3">
      <c r="CY19956" s="34" t="s">
        <v>20883</v>
      </c>
      <c r="CZ19956" s="35">
        <v>3.3980168000000005E-2</v>
      </c>
    </row>
    <row r="19957" spans="103:104" x14ac:dyDescent="0.3">
      <c r="CY19957" s="34" t="s">
        <v>20884</v>
      </c>
      <c r="CZ19957" s="35">
        <v>1.39629448E-2</v>
      </c>
    </row>
    <row r="19958" spans="103:104" x14ac:dyDescent="0.3">
      <c r="CY19958" s="34" t="s">
        <v>20885</v>
      </c>
      <c r="CZ19958" s="35">
        <v>1.2188992000000001E-2</v>
      </c>
    </row>
    <row r="19959" spans="103:104" x14ac:dyDescent="0.3">
      <c r="CY19959" s="34" t="s">
        <v>20886</v>
      </c>
      <c r="CZ19959" s="35">
        <v>2.2140570666666663E-3</v>
      </c>
    </row>
    <row r="19960" spans="103:104" x14ac:dyDescent="0.3">
      <c r="CY19960" s="34" t="s">
        <v>20887</v>
      </c>
      <c r="CZ19960" s="35">
        <v>1.8246896000000002E-3</v>
      </c>
    </row>
    <row r="19961" spans="103:104" x14ac:dyDescent="0.3">
      <c r="CY19961" s="34" t="s">
        <v>20888</v>
      </c>
      <c r="CZ19961" s="35">
        <v>9.6722819999999987E-2</v>
      </c>
    </row>
    <row r="19962" spans="103:104" x14ac:dyDescent="0.3">
      <c r="CY19962" s="34" t="s">
        <v>20889</v>
      </c>
      <c r="CZ19962" s="35">
        <v>2.1687872E-2</v>
      </c>
    </row>
    <row r="19963" spans="103:104" x14ac:dyDescent="0.3">
      <c r="CY19963" s="34" t="s">
        <v>20890</v>
      </c>
      <c r="CZ19963" s="35">
        <v>1.5372972E-2</v>
      </c>
    </row>
    <row r="19964" spans="103:104" x14ac:dyDescent="0.3">
      <c r="CY19964" s="34" t="s">
        <v>20891</v>
      </c>
      <c r="CZ19964" s="35">
        <v>1.54226296E-2</v>
      </c>
    </row>
    <row r="19965" spans="103:104" x14ac:dyDescent="0.3">
      <c r="CY19965" s="34" t="s">
        <v>20892</v>
      </c>
      <c r="CZ19965" s="35">
        <v>1.5372972E-2</v>
      </c>
    </row>
    <row r="19966" spans="103:104" x14ac:dyDescent="0.3">
      <c r="CY19966" s="34" t="s">
        <v>20893</v>
      </c>
      <c r="CZ19966" s="35">
        <v>1.54226296E-2</v>
      </c>
    </row>
    <row r="19967" spans="103:104" x14ac:dyDescent="0.3">
      <c r="CY19967" s="34" t="s">
        <v>20894</v>
      </c>
      <c r="CZ19967" s="35">
        <v>0.53946099999999997</v>
      </c>
    </row>
    <row r="19968" spans="103:104" x14ac:dyDescent="0.3">
      <c r="CY19968" s="34" t="s">
        <v>20895</v>
      </c>
      <c r="CZ19968" s="35">
        <v>0.24956100000000001</v>
      </c>
    </row>
    <row r="19969" spans="103:104" x14ac:dyDescent="0.3">
      <c r="CY19969" s="34" t="s">
        <v>20896</v>
      </c>
      <c r="CZ19969" s="35">
        <v>0.73618563199999998</v>
      </c>
    </row>
    <row r="19970" spans="103:104" x14ac:dyDescent="0.3">
      <c r="CY19970" s="34" t="s">
        <v>20897</v>
      </c>
      <c r="CZ19970" s="35">
        <v>0.44628563200000004</v>
      </c>
    </row>
    <row r="19971" spans="103:104" x14ac:dyDescent="0.3">
      <c r="CY19971" s="34" t="s">
        <v>20898</v>
      </c>
      <c r="CZ19971" s="35">
        <v>0.52925084000000011</v>
      </c>
    </row>
    <row r="19972" spans="103:104" x14ac:dyDescent="0.3">
      <c r="CY19972" s="34" t="s">
        <v>20899</v>
      </c>
      <c r="CZ19972" s="35">
        <v>8.5273919999999989E-2</v>
      </c>
    </row>
    <row r="19973" spans="103:104" x14ac:dyDescent="0.3">
      <c r="CY19973" s="34" t="s">
        <v>20900</v>
      </c>
      <c r="CZ19973" s="35">
        <v>2.5605240000000001E-2</v>
      </c>
    </row>
    <row r="19974" spans="103:104" x14ac:dyDescent="0.3">
      <c r="CY19974" s="34" t="s">
        <v>20901</v>
      </c>
      <c r="CZ19974" s="35">
        <v>3.0432052000000001E-2</v>
      </c>
    </row>
    <row r="19975" spans="103:104" x14ac:dyDescent="0.3">
      <c r="CY19975" s="34" t="s">
        <v>20902</v>
      </c>
      <c r="CZ19975" s="35">
        <v>4.0405291666666662E-2</v>
      </c>
    </row>
    <row r="19976" spans="103:104" x14ac:dyDescent="0.3">
      <c r="CY19976" s="34" t="s">
        <v>20903</v>
      </c>
      <c r="CZ19976" s="35">
        <v>2.0527889725999999E-3</v>
      </c>
    </row>
    <row r="19977" spans="103:104" x14ac:dyDescent="0.3">
      <c r="CY19977" s="34" t="s">
        <v>20904</v>
      </c>
      <c r="CZ19977" s="35">
        <v>2.0527889725999999E-3</v>
      </c>
    </row>
    <row r="19978" spans="103:104" x14ac:dyDescent="0.3">
      <c r="CY19978" s="34" t="s">
        <v>20905</v>
      </c>
      <c r="CZ19978" s="35">
        <v>2.0521510999999999E-3</v>
      </c>
    </row>
    <row r="19979" spans="103:104" x14ac:dyDescent="0.3">
      <c r="CY19979" s="34" t="s">
        <v>20906</v>
      </c>
      <c r="CZ19979" s="35">
        <v>0.13126442000000002</v>
      </c>
    </row>
    <row r="19980" spans="103:104" x14ac:dyDescent="0.3">
      <c r="CY19980" s="34" t="s">
        <v>20907</v>
      </c>
      <c r="CZ19980" s="35">
        <v>0.24190106800000002</v>
      </c>
    </row>
    <row r="19981" spans="103:104" x14ac:dyDescent="0.3">
      <c r="CY19981" s="34" t="s">
        <v>20908</v>
      </c>
      <c r="CZ19981" s="35">
        <v>9.3262135999999995E-2</v>
      </c>
    </row>
    <row r="19982" spans="103:104" x14ac:dyDescent="0.3">
      <c r="CY19982" s="34" t="s">
        <v>20909</v>
      </c>
      <c r="CZ19982" s="35">
        <v>0.33063040000000005</v>
      </c>
    </row>
    <row r="19983" spans="103:104" x14ac:dyDescent="0.3">
      <c r="CY19983" s="34" t="s">
        <v>20910</v>
      </c>
      <c r="CZ19983" s="35">
        <v>0.24972797821874998</v>
      </c>
    </row>
    <row r="19984" spans="103:104" x14ac:dyDescent="0.3">
      <c r="CY19984" s="34" t="s">
        <v>20911</v>
      </c>
      <c r="CZ19984" s="35">
        <v>0.25211194135294118</v>
      </c>
    </row>
    <row r="19985" spans="103:104" x14ac:dyDescent="0.3">
      <c r="CY19985" s="34" t="s">
        <v>20912</v>
      </c>
      <c r="CZ19985" s="35">
        <v>0.27638799999999997</v>
      </c>
    </row>
    <row r="19986" spans="103:104" x14ac:dyDescent="0.3">
      <c r="CY19986" s="34" t="s">
        <v>20913</v>
      </c>
      <c r="CZ19986" s="35">
        <v>0.21469970742857139</v>
      </c>
    </row>
    <row r="19987" spans="103:104" x14ac:dyDescent="0.3">
      <c r="CY19987" s="34" t="s">
        <v>20914</v>
      </c>
      <c r="CZ19987" s="35">
        <v>7.6281799999999997E-2</v>
      </c>
    </row>
    <row r="19988" spans="103:104" x14ac:dyDescent="0.3">
      <c r="CY19988" s="34" t="s">
        <v>20915</v>
      </c>
      <c r="CZ19988" s="35">
        <v>1.6273519999999999E-3</v>
      </c>
    </row>
    <row r="19989" spans="103:104" x14ac:dyDescent="0.3">
      <c r="CY19989" s="34" t="s">
        <v>20916</v>
      </c>
      <c r="CZ19989" s="35">
        <v>0.31277445320000002</v>
      </c>
    </row>
    <row r="19990" spans="103:104" x14ac:dyDescent="0.3">
      <c r="CY19990" s="34" t="s">
        <v>20917</v>
      </c>
      <c r="CZ19990" s="35">
        <v>1.1607175999999999E-2</v>
      </c>
    </row>
    <row r="19991" spans="103:104" x14ac:dyDescent="0.3">
      <c r="CY19991" s="34" t="s">
        <v>20918</v>
      </c>
      <c r="CZ19991" s="35">
        <v>1.380054E-2</v>
      </c>
    </row>
    <row r="19992" spans="103:104" x14ac:dyDescent="0.3">
      <c r="CY19992" s="34" t="s">
        <v>20919</v>
      </c>
      <c r="CZ19992" s="35">
        <v>6.998588E-3</v>
      </c>
    </row>
    <row r="19993" spans="103:104" x14ac:dyDescent="0.3">
      <c r="CY19993" s="34" t="s">
        <v>20920</v>
      </c>
      <c r="CZ19993" s="35">
        <v>0.14094353000000001</v>
      </c>
    </row>
    <row r="19994" spans="103:104" x14ac:dyDescent="0.3">
      <c r="CY19994" s="34" t="s">
        <v>20921</v>
      </c>
      <c r="CZ19994" s="35">
        <v>0.10856072500000001</v>
      </c>
    </row>
    <row r="19995" spans="103:104" x14ac:dyDescent="0.3">
      <c r="CY19995" s="34" t="s">
        <v>20922</v>
      </c>
      <c r="CZ19995" s="35">
        <v>0.13776945000000002</v>
      </c>
    </row>
    <row r="19996" spans="103:104" x14ac:dyDescent="0.3">
      <c r="CY19996" s="34" t="s">
        <v>20923</v>
      </c>
      <c r="CZ19996" s="35">
        <v>0.105386645</v>
      </c>
    </row>
    <row r="19997" spans="103:104" x14ac:dyDescent="0.3">
      <c r="CY19997" s="34" t="s">
        <v>20924</v>
      </c>
      <c r="CZ19997" s="35">
        <v>0.28968557</v>
      </c>
    </row>
    <row r="19998" spans="103:104" x14ac:dyDescent="0.3">
      <c r="CY19998" s="34" t="s">
        <v>20925</v>
      </c>
      <c r="CZ19998" s="35">
        <v>0.2536754</v>
      </c>
    </row>
    <row r="19999" spans="103:104" x14ac:dyDescent="0.3">
      <c r="CY19999" s="34" t="s">
        <v>20926</v>
      </c>
      <c r="CZ19999" s="35">
        <v>0.1339278383838384</v>
      </c>
    </row>
    <row r="20000" spans="103:104" x14ac:dyDescent="0.3">
      <c r="CY20000" s="34" t="s">
        <v>20927</v>
      </c>
      <c r="CZ20000" s="35">
        <v>1.1602706315789475</v>
      </c>
    </row>
    <row r="20001" spans="103:104" x14ac:dyDescent="0.3">
      <c r="CY20001" s="34" t="s">
        <v>20928</v>
      </c>
      <c r="CZ20001" s="35">
        <v>2.6195949999999998E-4</v>
      </c>
    </row>
    <row r="20002" spans="103:104" x14ac:dyDescent="0.3">
      <c r="CY20002" s="34" t="s">
        <v>20929</v>
      </c>
      <c r="CZ20002" s="35">
        <v>0.56381806315789484</v>
      </c>
    </row>
    <row r="20003" spans="103:104" x14ac:dyDescent="0.3">
      <c r="CY20003" s="34" t="s">
        <v>20930</v>
      </c>
      <c r="CZ20003" s="35">
        <v>1.7143079999999999E-3</v>
      </c>
    </row>
    <row r="20004" spans="103:104" x14ac:dyDescent="0.3">
      <c r="CY20004" s="34" t="s">
        <v>20931</v>
      </c>
      <c r="CZ20004" s="35">
        <v>1.0474512000000001E-3</v>
      </c>
    </row>
    <row r="20005" spans="103:104" x14ac:dyDescent="0.3">
      <c r="CY20005" s="34" t="s">
        <v>20932</v>
      </c>
      <c r="CZ20005" s="35">
        <v>2.3783891333333334E-3</v>
      </c>
    </row>
    <row r="20006" spans="103:104" x14ac:dyDescent="0.3">
      <c r="CY20006" s="34" t="s">
        <v>20933</v>
      </c>
      <c r="CZ20006" s="35">
        <v>7.0014853333333332E-3</v>
      </c>
    </row>
    <row r="20007" spans="103:104" x14ac:dyDescent="0.3">
      <c r="CY20007" s="34" t="s">
        <v>20934</v>
      </c>
      <c r="CZ20007" s="35">
        <v>8.7975493333333332E-3</v>
      </c>
    </row>
    <row r="20008" spans="103:104" x14ac:dyDescent="0.3">
      <c r="CY20008" s="34" t="s">
        <v>20935</v>
      </c>
      <c r="CZ20008" s="35">
        <v>8.4988613333333331E-3</v>
      </c>
    </row>
    <row r="20009" spans="103:104" x14ac:dyDescent="0.3">
      <c r="CY20009" s="34" t="s">
        <v>20936</v>
      </c>
      <c r="CZ20009" s="35">
        <v>6.8717160000000008E-3</v>
      </c>
    </row>
    <row r="20010" spans="103:104" x14ac:dyDescent="0.3">
      <c r="CY20010" s="34" t="s">
        <v>20937</v>
      </c>
      <c r="CZ20010" s="35">
        <v>3.9376687999999995E-3</v>
      </c>
    </row>
    <row r="20011" spans="103:104" x14ac:dyDescent="0.3">
      <c r="CY20011" s="34" t="s">
        <v>20938</v>
      </c>
      <c r="CZ20011" s="35">
        <v>3.9048116666666665E-3</v>
      </c>
    </row>
    <row r="20012" spans="103:104" x14ac:dyDescent="0.3">
      <c r="CY20012" s="34" t="s">
        <v>20939</v>
      </c>
      <c r="CZ20012" s="35">
        <v>2.3783891333333334E-3</v>
      </c>
    </row>
    <row r="20013" spans="103:104" x14ac:dyDescent="0.3">
      <c r="CY20013" s="34" t="s">
        <v>20940</v>
      </c>
      <c r="CZ20013" s="35">
        <v>0.4655631288888889</v>
      </c>
    </row>
    <row r="20014" spans="103:104" x14ac:dyDescent="0.3">
      <c r="CY20014" s="34" t="s">
        <v>20941</v>
      </c>
      <c r="CZ20014" s="35">
        <v>0.4163985238095238</v>
      </c>
    </row>
    <row r="20015" spans="103:104" x14ac:dyDescent="0.3">
      <c r="CY20015" s="34" t="s">
        <v>20942</v>
      </c>
      <c r="CZ20015" s="35">
        <v>0.29560570000000003</v>
      </c>
    </row>
    <row r="20016" spans="103:104" x14ac:dyDescent="0.3">
      <c r="CY20016" s="34" t="s">
        <v>20943</v>
      </c>
      <c r="CZ20016" s="35">
        <v>3.3209960999999996E-2</v>
      </c>
    </row>
    <row r="20017" spans="103:104" x14ac:dyDescent="0.3">
      <c r="CY20017" s="34" t="s">
        <v>20944</v>
      </c>
      <c r="CZ20017" s="35">
        <v>1.5260234000000001E-2</v>
      </c>
    </row>
    <row r="20018" spans="103:104" x14ac:dyDescent="0.3">
      <c r="CY20018" s="34" t="s">
        <v>20945</v>
      </c>
      <c r="CZ20018" s="35">
        <v>8.1451749999999989E-2</v>
      </c>
    </row>
    <row r="20019" spans="103:104" x14ac:dyDescent="0.3">
      <c r="CY20019" s="34" t="s">
        <v>20946</v>
      </c>
      <c r="CZ20019" s="35">
        <v>2.4297020833333332E-2</v>
      </c>
    </row>
    <row r="20020" spans="103:104" x14ac:dyDescent="0.3">
      <c r="CY20020" s="34" t="s">
        <v>20947</v>
      </c>
      <c r="CZ20020" s="35">
        <v>2.7370116833333333E-2</v>
      </c>
    </row>
    <row r="20021" spans="103:104" x14ac:dyDescent="0.3">
      <c r="CY20021" s="34" t="s">
        <v>20948</v>
      </c>
      <c r="CZ20021" s="35">
        <v>9.0358528333333351E-3</v>
      </c>
    </row>
    <row r="20022" spans="103:104" x14ac:dyDescent="0.3">
      <c r="CY20022" s="34" t="s">
        <v>20949</v>
      </c>
      <c r="CZ20022" s="35">
        <v>3.5299999999999996E-4</v>
      </c>
    </row>
    <row r="20023" spans="103:104" x14ac:dyDescent="0.3">
      <c r="CY20023" s="34" t="s">
        <v>20950</v>
      </c>
      <c r="CZ20023" s="35">
        <v>1.1073875199999999E-3</v>
      </c>
    </row>
    <row r="20024" spans="103:104" x14ac:dyDescent="0.3">
      <c r="CY20024" s="34" t="s">
        <v>20951</v>
      </c>
      <c r="CZ20024" s="35">
        <v>4.0569871999999996E-4</v>
      </c>
    </row>
    <row r="20025" spans="103:104" x14ac:dyDescent="0.3">
      <c r="CY20025" s="34" t="s">
        <v>20952</v>
      </c>
      <c r="CZ20025" s="35">
        <v>1.1286673599999999E-3</v>
      </c>
    </row>
    <row r="20026" spans="103:104" x14ac:dyDescent="0.3">
      <c r="CY20026" s="34" t="s">
        <v>20953</v>
      </c>
      <c r="CZ20026" s="35">
        <v>1.2514151999999999E-3</v>
      </c>
    </row>
    <row r="20027" spans="103:104" x14ac:dyDescent="0.3">
      <c r="CY20027" s="34" t="s">
        <v>20954</v>
      </c>
      <c r="CZ20027" s="35">
        <v>1.47867734E-3</v>
      </c>
    </row>
    <row r="20028" spans="103:104" x14ac:dyDescent="0.3">
      <c r="CY20028" s="34" t="s">
        <v>20955</v>
      </c>
      <c r="CZ20028" s="35">
        <v>6.3042776000000003E-4</v>
      </c>
    </row>
    <row r="20029" spans="103:104" x14ac:dyDescent="0.3">
      <c r="CY20029" s="34" t="s">
        <v>20956</v>
      </c>
      <c r="CZ20029" s="35">
        <v>5.8042666666666663E-4</v>
      </c>
    </row>
    <row r="20030" spans="103:104" x14ac:dyDescent="0.3">
      <c r="CY20030" s="34" t="s">
        <v>20957</v>
      </c>
      <c r="CZ20030" s="35">
        <v>1.4119323333333334E-3</v>
      </c>
    </row>
    <row r="20031" spans="103:104" x14ac:dyDescent="0.3">
      <c r="CY20031" s="34" t="s">
        <v>20958</v>
      </c>
      <c r="CZ20031" s="35">
        <v>1.0186952000000003E-3</v>
      </c>
    </row>
    <row r="20032" spans="103:104" x14ac:dyDescent="0.3">
      <c r="CY20032" s="34" t="s">
        <v>20959</v>
      </c>
      <c r="CZ20032" s="35">
        <v>7.9127679999999999E-4</v>
      </c>
    </row>
    <row r="20033" spans="103:104" x14ac:dyDescent="0.3">
      <c r="CY20033" s="34" t="s">
        <v>20960</v>
      </c>
      <c r="CZ20033" s="35">
        <v>5.1248720000000005E-2</v>
      </c>
    </row>
    <row r="20034" spans="103:104" x14ac:dyDescent="0.3">
      <c r="CY20034" s="34" t="s">
        <v>20961</v>
      </c>
      <c r="CZ20034" s="35">
        <v>5.375576E-2</v>
      </c>
    </row>
    <row r="20035" spans="103:104" x14ac:dyDescent="0.3">
      <c r="CY20035" s="34" t="s">
        <v>20962</v>
      </c>
      <c r="CZ20035" s="35">
        <v>6.9771269999999996E-2</v>
      </c>
    </row>
    <row r="20036" spans="103:104" x14ac:dyDescent="0.3">
      <c r="CY20036" s="34" t="s">
        <v>20963</v>
      </c>
      <c r="CZ20036" s="35">
        <v>6.773512000000001E-2</v>
      </c>
    </row>
    <row r="20037" spans="103:104" x14ac:dyDescent="0.3">
      <c r="CY20037" s="34" t="s">
        <v>20964</v>
      </c>
      <c r="CZ20037" s="35">
        <v>2.2802744E-2</v>
      </c>
    </row>
    <row r="20038" spans="103:104" x14ac:dyDescent="0.3">
      <c r="CY20038" s="34" t="s">
        <v>20965</v>
      </c>
      <c r="CZ20038" s="35">
        <v>2.1940244000000001E-2</v>
      </c>
    </row>
    <row r="20039" spans="103:104" x14ac:dyDescent="0.3">
      <c r="CY20039" s="34" t="s">
        <v>20966</v>
      </c>
      <c r="CZ20039" s="35">
        <v>3.1476080000000005E-3</v>
      </c>
    </row>
    <row r="20040" spans="103:104" x14ac:dyDescent="0.3">
      <c r="CY20040" s="34" t="s">
        <v>20967</v>
      </c>
      <c r="CZ20040" s="35">
        <v>4.0020720000000006E-3</v>
      </c>
    </row>
    <row r="20041" spans="103:104" x14ac:dyDescent="0.3">
      <c r="CY20041" s="34" t="s">
        <v>20968</v>
      </c>
      <c r="CZ20041" s="35">
        <v>4.9960000000000004E-3</v>
      </c>
    </row>
    <row r="20042" spans="103:104" x14ac:dyDescent="0.3">
      <c r="CY20042" s="34" t="s">
        <v>20969</v>
      </c>
      <c r="CZ20042" s="35">
        <v>9.418812E-2</v>
      </c>
    </row>
    <row r="20043" spans="103:104" x14ac:dyDescent="0.3">
      <c r="CY20043" s="34" t="s">
        <v>20970</v>
      </c>
      <c r="CZ20043" s="35">
        <v>4.5300000000000001E-4</v>
      </c>
    </row>
    <row r="20044" spans="103:104" x14ac:dyDescent="0.3">
      <c r="CY20044" s="34" t="s">
        <v>20971</v>
      </c>
      <c r="CZ20044" s="35">
        <v>7.4999999999999993E-6</v>
      </c>
    </row>
    <row r="20045" spans="103:104" x14ac:dyDescent="0.3">
      <c r="CY20045" s="34" t="s">
        <v>20972</v>
      </c>
      <c r="CZ20045" s="35">
        <v>8.9923582400000007E-2</v>
      </c>
    </row>
    <row r="20046" spans="103:104" x14ac:dyDescent="0.3">
      <c r="CY20046" s="34" t="s">
        <v>20973</v>
      </c>
      <c r="CZ20046" s="35">
        <v>1.7541950000000001E-3</v>
      </c>
    </row>
    <row r="20047" spans="103:104" x14ac:dyDescent="0.3">
      <c r="CY20047" s="34" t="s">
        <v>20974</v>
      </c>
      <c r="CZ20047" s="35">
        <v>6.2930749999999991E-4</v>
      </c>
    </row>
    <row r="20048" spans="103:104" x14ac:dyDescent="0.3">
      <c r="CY20048" s="34" t="s">
        <v>20975</v>
      </c>
      <c r="CZ20048" s="35">
        <v>4.1939294000000002E-2</v>
      </c>
    </row>
    <row r="20049" spans="103:104" x14ac:dyDescent="0.3">
      <c r="CY20049" s="34" t="s">
        <v>20976</v>
      </c>
      <c r="CZ20049" s="35">
        <v>4.1939293999999995E-2</v>
      </c>
    </row>
    <row r="20050" spans="103:104" x14ac:dyDescent="0.3">
      <c r="CY20050" s="34" t="s">
        <v>20977</v>
      </c>
      <c r="CZ20050" s="35">
        <v>3.7275259999999998E-2</v>
      </c>
    </row>
    <row r="20051" spans="103:104" x14ac:dyDescent="0.3">
      <c r="CY20051" s="34" t="s">
        <v>20978</v>
      </c>
      <c r="CZ20051" s="35">
        <v>4.4559766000000001E-2</v>
      </c>
    </row>
    <row r="20052" spans="103:104" x14ac:dyDescent="0.3">
      <c r="CY20052" s="34" t="s">
        <v>20979</v>
      </c>
      <c r="CZ20052" s="35">
        <v>2.111651911111111E-2</v>
      </c>
    </row>
    <row r="20053" spans="103:104" x14ac:dyDescent="0.3">
      <c r="CY20053" s="34" t="s">
        <v>20980</v>
      </c>
      <c r="CZ20053" s="35">
        <v>4.1461296000000002E-2</v>
      </c>
    </row>
    <row r="20054" spans="103:104" x14ac:dyDescent="0.3">
      <c r="CY20054" s="34" t="s">
        <v>20981</v>
      </c>
      <c r="CZ20054" s="35">
        <v>7.2051280000000003E-4</v>
      </c>
    </row>
    <row r="20055" spans="103:104" x14ac:dyDescent="0.3">
      <c r="CY20055" s="34" t="s">
        <v>20982</v>
      </c>
      <c r="CZ20055" s="35">
        <v>1.0207554400000001</v>
      </c>
    </row>
    <row r="20056" spans="103:104" x14ac:dyDescent="0.3">
      <c r="CY20056" s="34" t="s">
        <v>20983</v>
      </c>
      <c r="CZ20056" s="35">
        <v>0.51420801599999999</v>
      </c>
    </row>
    <row r="20057" spans="103:104" x14ac:dyDescent="0.3">
      <c r="CY20057" s="34" t="s">
        <v>20984</v>
      </c>
      <c r="CZ20057" s="35">
        <v>1.0421050600000001</v>
      </c>
    </row>
    <row r="20058" spans="103:104" x14ac:dyDescent="0.3">
      <c r="CY20058" s="34" t="s">
        <v>20985</v>
      </c>
      <c r="CZ20058" s="35">
        <v>6.3729656000000002E-4</v>
      </c>
    </row>
    <row r="20059" spans="103:104" x14ac:dyDescent="0.3">
      <c r="CY20059" s="34" t="s">
        <v>20986</v>
      </c>
      <c r="CZ20059" s="35">
        <v>5.4869699999999999E-3</v>
      </c>
    </row>
    <row r="20060" spans="103:104" x14ac:dyDescent="0.3">
      <c r="CY20060" s="34" t="s">
        <v>20987</v>
      </c>
      <c r="CZ20060" s="35">
        <v>2.0364373500000002E-3</v>
      </c>
    </row>
    <row r="20061" spans="103:104" x14ac:dyDescent="0.3">
      <c r="CY20061" s="34" t="s">
        <v>20988</v>
      </c>
      <c r="CZ20061" s="35">
        <v>7.1477748800000004E-2</v>
      </c>
    </row>
    <row r="20062" spans="103:104" x14ac:dyDescent="0.3">
      <c r="CY20062" s="34" t="s">
        <v>20989</v>
      </c>
      <c r="CZ20062" s="35">
        <v>3.8080478000000001E-2</v>
      </c>
    </row>
    <row r="20063" spans="103:104" x14ac:dyDescent="0.3">
      <c r="CY20063" s="34" t="s">
        <v>20990</v>
      </c>
      <c r="CZ20063" s="35">
        <v>7.9706983999999995E-2</v>
      </c>
    </row>
    <row r="20064" spans="103:104" x14ac:dyDescent="0.3">
      <c r="CY20064" s="34" t="s">
        <v>20991</v>
      </c>
      <c r="CZ20064" s="35">
        <v>4.0797573428571432E-2</v>
      </c>
    </row>
    <row r="20065" spans="103:104" x14ac:dyDescent="0.3">
      <c r="CY20065" s="34" t="s">
        <v>20992</v>
      </c>
      <c r="CZ20065" s="35">
        <v>5.2206880000000004E-2</v>
      </c>
    </row>
    <row r="20066" spans="103:104" x14ac:dyDescent="0.3">
      <c r="CY20066" s="34" t="s">
        <v>20993</v>
      </c>
      <c r="CZ20066" s="35">
        <v>7.3068773200000006E-2</v>
      </c>
    </row>
    <row r="20067" spans="103:104" x14ac:dyDescent="0.3">
      <c r="CY20067" s="34" t="s">
        <v>20994</v>
      </c>
      <c r="CZ20067" s="35">
        <v>8.3041443428571449E-2</v>
      </c>
    </row>
    <row r="20068" spans="103:104" x14ac:dyDescent="0.3">
      <c r="CY20068" s="34" t="s">
        <v>20995</v>
      </c>
      <c r="CZ20068" s="35">
        <v>5.676554625E-2</v>
      </c>
    </row>
    <row r="20069" spans="103:104" x14ac:dyDescent="0.3">
      <c r="CY20069" s="34" t="s">
        <v>20996</v>
      </c>
      <c r="CZ20069" s="35">
        <v>3.9644240000000004E-2</v>
      </c>
    </row>
    <row r="20070" spans="103:104" x14ac:dyDescent="0.3">
      <c r="CY20070" s="34" t="s">
        <v>20997</v>
      </c>
      <c r="CZ20070" s="35">
        <v>5.3341866428571423E-2</v>
      </c>
    </row>
    <row r="20071" spans="103:104" x14ac:dyDescent="0.3">
      <c r="CY20071" s="34" t="s">
        <v>20998</v>
      </c>
      <c r="CZ20071" s="35">
        <v>3.2487746428571433E-2</v>
      </c>
    </row>
    <row r="20072" spans="103:104" x14ac:dyDescent="0.3">
      <c r="CY20072" s="34" t="s">
        <v>20999</v>
      </c>
      <c r="CZ20072" s="35">
        <v>5.6765547499999999E-2</v>
      </c>
    </row>
    <row r="20073" spans="103:104" x14ac:dyDescent="0.3">
      <c r="CY20073" s="34" t="s">
        <v>21000</v>
      </c>
      <c r="CZ20073" s="35">
        <v>3.4313987500000004E-2</v>
      </c>
    </row>
    <row r="20074" spans="103:104" x14ac:dyDescent="0.3">
      <c r="CY20074" s="34" t="s">
        <v>21001</v>
      </c>
      <c r="CZ20074" s="35">
        <v>5.3085200000000006E-2</v>
      </c>
    </row>
    <row r="20075" spans="103:104" x14ac:dyDescent="0.3">
      <c r="CY20075" s="34" t="s">
        <v>21002</v>
      </c>
      <c r="CZ20075" s="35">
        <v>3.3689919999999998E-2</v>
      </c>
    </row>
    <row r="20076" spans="103:104" x14ac:dyDescent="0.3">
      <c r="CY20076" s="34" t="s">
        <v>21003</v>
      </c>
      <c r="CZ20076" s="35">
        <v>5.2547200000000002E-2</v>
      </c>
    </row>
    <row r="20077" spans="103:104" x14ac:dyDescent="0.3">
      <c r="CY20077" s="34" t="s">
        <v>21004</v>
      </c>
      <c r="CZ20077" s="35">
        <v>3.4602320000000006E-2</v>
      </c>
    </row>
    <row r="20078" spans="103:104" x14ac:dyDescent="0.3">
      <c r="CY20078" s="34" t="s">
        <v>21005</v>
      </c>
      <c r="CZ20078" s="35">
        <v>3.4602320000000006E-2</v>
      </c>
    </row>
    <row r="20079" spans="103:104" x14ac:dyDescent="0.3">
      <c r="CY20079" s="34" t="s">
        <v>21006</v>
      </c>
      <c r="CZ20079" s="35">
        <v>3.6428560000000006E-2</v>
      </c>
    </row>
    <row r="20080" spans="103:104" x14ac:dyDescent="0.3">
      <c r="CY20080" s="34" t="s">
        <v>21007</v>
      </c>
      <c r="CZ20080" s="35">
        <v>6.9752535999999983E-3</v>
      </c>
    </row>
    <row r="20081" spans="103:104" x14ac:dyDescent="0.3">
      <c r="CY20081" s="34" t="s">
        <v>21008</v>
      </c>
      <c r="CZ20081" s="35">
        <v>2.9632039999999998E-2</v>
      </c>
    </row>
    <row r="20082" spans="103:104" x14ac:dyDescent="0.3">
      <c r="CY20082" s="34" t="s">
        <v>21009</v>
      </c>
      <c r="CZ20082" s="35">
        <v>2.1883280000000002E-3</v>
      </c>
    </row>
    <row r="20083" spans="103:104" x14ac:dyDescent="0.3">
      <c r="CY20083" s="34" t="s">
        <v>21010</v>
      </c>
      <c r="CZ20083" s="35">
        <v>8.1622619499999993E-3</v>
      </c>
    </row>
    <row r="20084" spans="103:104" x14ac:dyDescent="0.3">
      <c r="CY20084" s="34" t="s">
        <v>21011</v>
      </c>
      <c r="CZ20084" s="35">
        <v>0.21939274999999997</v>
      </c>
    </row>
    <row r="20085" spans="103:104" x14ac:dyDescent="0.3">
      <c r="CY20085" s="34" t="s">
        <v>21012</v>
      </c>
      <c r="CZ20085" s="35">
        <v>0.28352912499999999</v>
      </c>
    </row>
    <row r="20086" spans="103:104" x14ac:dyDescent="0.3">
      <c r="CY20086" s="34" t="s">
        <v>21013</v>
      </c>
      <c r="CZ20086" s="35">
        <v>9.739132000000001E-3</v>
      </c>
    </row>
    <row r="20087" spans="103:104" x14ac:dyDescent="0.3">
      <c r="CY20087" s="34" t="s">
        <v>21014</v>
      </c>
      <c r="CZ20087" s="35">
        <v>1.0026132E-2</v>
      </c>
    </row>
    <row r="20088" spans="103:104" x14ac:dyDescent="0.3">
      <c r="CY20088" s="34" t="s">
        <v>21015</v>
      </c>
      <c r="CZ20088" s="35">
        <v>1.0026199999999999E-2</v>
      </c>
    </row>
    <row r="20089" spans="103:104" x14ac:dyDescent="0.3">
      <c r="CY20089" s="34" t="s">
        <v>21016</v>
      </c>
      <c r="CZ20089" s="35">
        <v>1.6196450000000001E-3</v>
      </c>
    </row>
    <row r="20090" spans="103:104" x14ac:dyDescent="0.3">
      <c r="CY20090" s="34" t="s">
        <v>21017</v>
      </c>
      <c r="CZ20090" s="35">
        <v>5.8833333333333331E-5</v>
      </c>
    </row>
    <row r="20091" spans="103:104" x14ac:dyDescent="0.3">
      <c r="CY20091" s="34" t="s">
        <v>21018</v>
      </c>
      <c r="CZ20091" s="35">
        <v>9.9333333333333326E-5</v>
      </c>
    </row>
    <row r="20092" spans="103:104" x14ac:dyDescent="0.3">
      <c r="CY20092" s="34" t="s">
        <v>21019</v>
      </c>
      <c r="CZ20092" s="35">
        <v>5.0955959999999991E-3</v>
      </c>
    </row>
    <row r="20093" spans="103:104" x14ac:dyDescent="0.3">
      <c r="CY20093" s="34" t="s">
        <v>21020</v>
      </c>
      <c r="CZ20093" s="35">
        <v>2.7399651300000001E-2</v>
      </c>
    </row>
    <row r="20094" spans="103:104" x14ac:dyDescent="0.3">
      <c r="CY20094" s="34" t="s">
        <v>21021</v>
      </c>
      <c r="CZ20094" s="35">
        <v>0.48299999999999998</v>
      </c>
    </row>
    <row r="20095" spans="103:104" x14ac:dyDescent="0.3">
      <c r="CY20095" s="34" t="s">
        <v>21022</v>
      </c>
      <c r="CZ20095" s="35">
        <v>2.2488810666666673E-3</v>
      </c>
    </row>
    <row r="20096" spans="103:104" x14ac:dyDescent="0.3">
      <c r="CY20096" s="34" t="s">
        <v>21023</v>
      </c>
      <c r="CZ20096" s="35">
        <v>0.16501700000000002</v>
      </c>
    </row>
    <row r="20097" spans="103:104" x14ac:dyDescent="0.3">
      <c r="CY20097" s="34" t="s">
        <v>21024</v>
      </c>
      <c r="CZ20097" s="35">
        <v>1.4299483999999999E-2</v>
      </c>
    </row>
    <row r="20098" spans="103:104" x14ac:dyDescent="0.3">
      <c r="CY20098" s="34" t="s">
        <v>21025</v>
      </c>
      <c r="CZ20098" s="35">
        <v>4.5880480000000005E-4</v>
      </c>
    </row>
    <row r="20099" spans="103:104" x14ac:dyDescent="0.3">
      <c r="CY20099" s="34" t="s">
        <v>21026</v>
      </c>
      <c r="CZ20099" s="35">
        <v>5.1365344E-2</v>
      </c>
    </row>
    <row r="20100" spans="103:104" x14ac:dyDescent="0.3">
      <c r="CY20100" s="34" t="s">
        <v>21027</v>
      </c>
      <c r="CZ20100" s="35">
        <v>1.0777472000000001E-3</v>
      </c>
    </row>
    <row r="20101" spans="103:104" x14ac:dyDescent="0.3">
      <c r="CY20101" s="34" t="s">
        <v>21028</v>
      </c>
      <c r="CZ20101" s="35">
        <v>1.2881486400000001E-3</v>
      </c>
    </row>
    <row r="20102" spans="103:104" x14ac:dyDescent="0.3">
      <c r="CY20102" s="34" t="s">
        <v>21029</v>
      </c>
      <c r="CZ20102" s="35">
        <v>1.8669075999999999E-3</v>
      </c>
    </row>
    <row r="20103" spans="103:104" x14ac:dyDescent="0.3">
      <c r="CY20103" s="34" t="s">
        <v>21030</v>
      </c>
      <c r="CZ20103" s="35">
        <v>1.1234096000000001E-2</v>
      </c>
    </row>
    <row r="20104" spans="103:104" x14ac:dyDescent="0.3">
      <c r="CY20104" s="34" t="s">
        <v>21031</v>
      </c>
      <c r="CZ20104" s="35">
        <v>3.8683199999999997E-3</v>
      </c>
    </row>
    <row r="20105" spans="103:104" x14ac:dyDescent="0.3">
      <c r="CY20105" s="34" t="s">
        <v>21032</v>
      </c>
      <c r="CZ20105" s="35">
        <v>2.5798639999999994E-3</v>
      </c>
    </row>
    <row r="20106" spans="103:104" x14ac:dyDescent="0.3">
      <c r="CY20106" s="34" t="s">
        <v>21033</v>
      </c>
      <c r="CZ20106" s="35">
        <v>5.5506879999999998E-3</v>
      </c>
    </row>
    <row r="20107" spans="103:104" x14ac:dyDescent="0.3">
      <c r="CY20107" s="34" t="s">
        <v>21034</v>
      </c>
      <c r="CZ20107" s="35">
        <v>2.6172760000000004E-3</v>
      </c>
    </row>
    <row r="20108" spans="103:104" x14ac:dyDescent="0.3">
      <c r="CY20108" s="34" t="s">
        <v>21035</v>
      </c>
      <c r="CZ20108" s="35">
        <v>9.1293119999999988E-3</v>
      </c>
    </row>
    <row r="20109" spans="103:104" x14ac:dyDescent="0.3">
      <c r="CY20109" s="34" t="s">
        <v>21036</v>
      </c>
      <c r="CZ20109" s="35">
        <v>7.7931240000000011E-3</v>
      </c>
    </row>
    <row r="20110" spans="103:104" x14ac:dyDescent="0.3">
      <c r="CY20110" s="34" t="s">
        <v>21037</v>
      </c>
      <c r="CZ20110" s="35">
        <v>5.4594159999999999E-3</v>
      </c>
    </row>
    <row r="20111" spans="103:104" x14ac:dyDescent="0.3">
      <c r="CY20111" s="34" t="s">
        <v>21038</v>
      </c>
      <c r="CZ20111" s="35">
        <v>5.4212559999999995E-4</v>
      </c>
    </row>
    <row r="20112" spans="103:104" x14ac:dyDescent="0.3">
      <c r="CY20112" s="34" t="s">
        <v>21039</v>
      </c>
      <c r="CZ20112" s="35">
        <v>5.0823999999999997E-4</v>
      </c>
    </row>
    <row r="20113" spans="103:104" x14ac:dyDescent="0.3">
      <c r="CY20113" s="34" t="s">
        <v>21040</v>
      </c>
      <c r="CZ20113" s="35">
        <v>3.4604166666666668E-3</v>
      </c>
    </row>
    <row r="20114" spans="103:104" x14ac:dyDescent="0.3">
      <c r="CY20114" s="34" t="s">
        <v>21041</v>
      </c>
      <c r="CZ20114" s="35">
        <v>3.2005085714285719E-3</v>
      </c>
    </row>
    <row r="20115" spans="103:104" x14ac:dyDescent="0.3">
      <c r="CY20115" s="34" t="s">
        <v>21042</v>
      </c>
      <c r="CZ20115" s="35">
        <v>3.0634772499999997E-2</v>
      </c>
    </row>
    <row r="20116" spans="103:104" x14ac:dyDescent="0.3">
      <c r="CY20116" s="34" t="s">
        <v>21043</v>
      </c>
      <c r="CZ20116" s="35">
        <v>4.7538817860000006E-2</v>
      </c>
    </row>
    <row r="20117" spans="103:104" x14ac:dyDescent="0.3">
      <c r="CY20117" s="34" t="s">
        <v>21044</v>
      </c>
      <c r="CZ20117" s="35">
        <v>6.18977E-2</v>
      </c>
    </row>
    <row r="20118" spans="103:104" x14ac:dyDescent="0.3">
      <c r="CY20118" s="34" t="s">
        <v>21045</v>
      </c>
      <c r="CZ20118" s="35">
        <v>6.2097196000000007E-2</v>
      </c>
    </row>
    <row r="20119" spans="103:104" x14ac:dyDescent="0.3">
      <c r="CY20119" s="34" t="s">
        <v>21046</v>
      </c>
      <c r="CZ20119" s="35">
        <v>7.8233136869999984E-2</v>
      </c>
    </row>
    <row r="20120" spans="103:104" x14ac:dyDescent="0.3">
      <c r="CY20120" s="34" t="s">
        <v>21047</v>
      </c>
      <c r="CZ20120" s="35">
        <v>3.9620473999999996E-2</v>
      </c>
    </row>
    <row r="20121" spans="103:104" x14ac:dyDescent="0.3">
      <c r="CY20121" s="34" t="s">
        <v>21048</v>
      </c>
      <c r="CZ20121" s="35">
        <v>3.4950688000000003E-3</v>
      </c>
    </row>
    <row r="20122" spans="103:104" x14ac:dyDescent="0.3">
      <c r="CY20122" s="34" t="s">
        <v>21049</v>
      </c>
      <c r="CZ20122" s="35">
        <v>1.2758700000000001E-2</v>
      </c>
    </row>
    <row r="20123" spans="103:104" x14ac:dyDescent="0.3">
      <c r="CY20123" s="34" t="s">
        <v>21050</v>
      </c>
      <c r="CZ20123" s="35">
        <v>3.8785520000000004E-3</v>
      </c>
    </row>
    <row r="20124" spans="103:104" x14ac:dyDescent="0.3">
      <c r="CY20124" s="34" t="s">
        <v>21051</v>
      </c>
      <c r="CZ20124" s="35">
        <v>0.10712128</v>
      </c>
    </row>
    <row r="20125" spans="103:104" x14ac:dyDescent="0.3">
      <c r="CY20125" s="34" t="s">
        <v>21052</v>
      </c>
      <c r="CZ20125" s="35">
        <v>5.1284976129032257E-4</v>
      </c>
    </row>
    <row r="20126" spans="103:104" x14ac:dyDescent="0.3">
      <c r="CY20126" s="34" t="s">
        <v>21053</v>
      </c>
      <c r="CZ20126" s="35">
        <v>6.5220506666666676E-4</v>
      </c>
    </row>
    <row r="20127" spans="103:104" x14ac:dyDescent="0.3">
      <c r="CY20127" s="34" t="s">
        <v>21054</v>
      </c>
      <c r="CZ20127" s="35">
        <v>6.9049022760000009E-2</v>
      </c>
    </row>
    <row r="20128" spans="103:104" x14ac:dyDescent="0.3">
      <c r="CY20128" s="34" t="s">
        <v>21055</v>
      </c>
      <c r="CZ20128" s="35">
        <v>4.4203904000000009E-2</v>
      </c>
    </row>
    <row r="20129" spans="103:104" x14ac:dyDescent="0.3">
      <c r="CY20129" s="34" t="s">
        <v>21056</v>
      </c>
      <c r="CZ20129" s="35">
        <v>3.5242015999999994E-2</v>
      </c>
    </row>
    <row r="20130" spans="103:104" x14ac:dyDescent="0.3">
      <c r="CY20130" s="34" t="s">
        <v>21057</v>
      </c>
      <c r="CZ20130" s="35">
        <v>0.15982183</v>
      </c>
    </row>
    <row r="20131" spans="103:104" x14ac:dyDescent="0.3">
      <c r="CY20131" s="34" t="s">
        <v>21058</v>
      </c>
      <c r="CZ20131" s="35">
        <v>0.24463566859999999</v>
      </c>
    </row>
    <row r="20132" spans="103:104" x14ac:dyDescent="0.3">
      <c r="CY20132" s="34" t="s">
        <v>21059</v>
      </c>
      <c r="CZ20132" s="35">
        <v>0.32606656000000001</v>
      </c>
    </row>
    <row r="20133" spans="103:104" x14ac:dyDescent="0.3">
      <c r="CY20133" s="34" t="s">
        <v>21060</v>
      </c>
      <c r="CZ20133" s="35">
        <v>6.6714024000000011E-2</v>
      </c>
    </row>
    <row r="20134" spans="103:104" x14ac:dyDescent="0.3">
      <c r="CY20134" s="34" t="s">
        <v>21061</v>
      </c>
      <c r="CZ20134" s="35">
        <v>2.6634799999999997E-2</v>
      </c>
    </row>
    <row r="20135" spans="103:104" x14ac:dyDescent="0.3">
      <c r="CY20135" s="34" t="s">
        <v>21062</v>
      </c>
      <c r="CZ20135" s="35">
        <v>2.389544E-2</v>
      </c>
    </row>
    <row r="20136" spans="103:104" x14ac:dyDescent="0.3">
      <c r="CY20136" s="34" t="s">
        <v>21063</v>
      </c>
      <c r="CZ20136" s="35">
        <v>8.7713579999999985E-2</v>
      </c>
    </row>
    <row r="20137" spans="103:104" x14ac:dyDescent="0.3">
      <c r="CY20137" s="34" t="s">
        <v>21064</v>
      </c>
      <c r="CZ20137" s="35">
        <v>9.3958639999999996E-2</v>
      </c>
    </row>
    <row r="20138" spans="103:104" x14ac:dyDescent="0.3">
      <c r="CY20138" s="34" t="s">
        <v>21065</v>
      </c>
      <c r="CZ20138" s="35">
        <v>6.4457520000000004E-2</v>
      </c>
    </row>
    <row r="20139" spans="103:104" x14ac:dyDescent="0.3">
      <c r="CY20139" s="34" t="s">
        <v>21066</v>
      </c>
      <c r="CZ20139" s="35">
        <v>4.9772449999999996E-2</v>
      </c>
    </row>
    <row r="20140" spans="103:104" x14ac:dyDescent="0.3">
      <c r="CY20140" s="34" t="s">
        <v>21067</v>
      </c>
      <c r="CZ20140" s="35">
        <v>3.0047539999999997E-3</v>
      </c>
    </row>
    <row r="20141" spans="103:104" x14ac:dyDescent="0.3">
      <c r="CY20141" s="34" t="s">
        <v>21068</v>
      </c>
      <c r="CZ20141" s="35">
        <v>2.5898267556000005E-3</v>
      </c>
    </row>
    <row r="20142" spans="103:104" x14ac:dyDescent="0.3">
      <c r="CY20142" s="34" t="s">
        <v>21069</v>
      </c>
      <c r="CZ20142" s="35">
        <v>6.1635707499999998E-3</v>
      </c>
    </row>
    <row r="20143" spans="103:104" x14ac:dyDescent="0.3">
      <c r="CY20143" s="34" t="s">
        <v>21070</v>
      </c>
      <c r="CZ20143" s="35">
        <v>2.5954579600000003E-3</v>
      </c>
    </row>
    <row r="20144" spans="103:104" x14ac:dyDescent="0.3">
      <c r="CY20144" s="34" t="s">
        <v>21071</v>
      </c>
      <c r="CZ20144" s="35">
        <v>2.589826755E-3</v>
      </c>
    </row>
    <row r="20145" spans="103:104" x14ac:dyDescent="0.3">
      <c r="CY20145" s="34" t="s">
        <v>21072</v>
      </c>
      <c r="CZ20145" s="35">
        <v>7.7141199999999997E-3</v>
      </c>
    </row>
    <row r="20146" spans="103:104" x14ac:dyDescent="0.3">
      <c r="CY20146" s="34" t="s">
        <v>21073</v>
      </c>
      <c r="CZ20146" s="35">
        <v>1.4250000000000001E-3</v>
      </c>
    </row>
    <row r="20147" spans="103:104" x14ac:dyDescent="0.3">
      <c r="CY20147" s="34" t="s">
        <v>21074</v>
      </c>
      <c r="CZ20147" s="35">
        <v>0.17012596666666666</v>
      </c>
    </row>
    <row r="20148" spans="103:104" x14ac:dyDescent="0.3">
      <c r="CY20148" s="34" t="s">
        <v>21075</v>
      </c>
      <c r="CZ20148" s="35">
        <v>1.002948E-3</v>
      </c>
    </row>
    <row r="20149" spans="103:104" x14ac:dyDescent="0.3">
      <c r="CY20149" s="34" t="s">
        <v>21076</v>
      </c>
      <c r="CZ20149" s="35">
        <v>0.14837834999999996</v>
      </c>
    </row>
    <row r="20150" spans="103:104" x14ac:dyDescent="0.3">
      <c r="CY20150" s="34" t="s">
        <v>21077</v>
      </c>
      <c r="CZ20150" s="35">
        <v>7.5663759999999988E-3</v>
      </c>
    </row>
    <row r="20151" spans="103:104" x14ac:dyDescent="0.3">
      <c r="CY20151" s="34" t="s">
        <v>21078</v>
      </c>
      <c r="CZ20151" s="35">
        <v>1.9445232E-2</v>
      </c>
    </row>
    <row r="20152" spans="103:104" x14ac:dyDescent="0.3">
      <c r="CY20152" s="34" t="s">
        <v>21079</v>
      </c>
      <c r="CZ20152" s="35">
        <v>1.9648999999999999E-3</v>
      </c>
    </row>
    <row r="20153" spans="103:104" x14ac:dyDescent="0.3">
      <c r="CY20153" s="34" t="s">
        <v>21080</v>
      </c>
      <c r="CZ20153" s="35">
        <v>6.0286853499999992E-3</v>
      </c>
    </row>
    <row r="20154" spans="103:104" x14ac:dyDescent="0.3">
      <c r="CY20154" s="34" t="s">
        <v>21081</v>
      </c>
      <c r="CZ20154" s="35">
        <v>8.1459762899999982E-2</v>
      </c>
    </row>
    <row r="20155" spans="103:104" x14ac:dyDescent="0.3">
      <c r="CY20155" s="34" t="s">
        <v>21082</v>
      </c>
      <c r="CZ20155" s="35">
        <v>6.7640039999999998E-2</v>
      </c>
    </row>
    <row r="20156" spans="103:104" x14ac:dyDescent="0.3">
      <c r="CY20156" s="34" t="s">
        <v>21083</v>
      </c>
      <c r="CZ20156" s="35">
        <v>2.58596E-2</v>
      </c>
    </row>
    <row r="20157" spans="103:104" x14ac:dyDescent="0.3">
      <c r="CY20157" s="34" t="s">
        <v>21084</v>
      </c>
      <c r="CZ20157" s="35">
        <v>6.7640039999999998E-2</v>
      </c>
    </row>
    <row r="20158" spans="103:104" x14ac:dyDescent="0.3">
      <c r="CY20158" s="34" t="s">
        <v>21085</v>
      </c>
      <c r="CZ20158" s="35">
        <v>2.58596E-2</v>
      </c>
    </row>
    <row r="20159" spans="103:104" x14ac:dyDescent="0.3">
      <c r="CY20159" s="34" t="s">
        <v>21086</v>
      </c>
      <c r="CZ20159" s="35">
        <v>0.54527088000000001</v>
      </c>
    </row>
    <row r="20160" spans="103:104" x14ac:dyDescent="0.3">
      <c r="CY20160" s="34" t="s">
        <v>21087</v>
      </c>
      <c r="CZ20160" s="35">
        <v>0.55993333333749995</v>
      </c>
    </row>
    <row r="20161" spans="103:104" x14ac:dyDescent="0.3">
      <c r="CY20161" s="34" t="s">
        <v>21088</v>
      </c>
      <c r="CZ20161" s="35">
        <v>0.57143333333333335</v>
      </c>
    </row>
    <row r="20162" spans="103:104" x14ac:dyDescent="0.3">
      <c r="CY20162" s="34" t="s">
        <v>21089</v>
      </c>
      <c r="CZ20162" s="35">
        <v>0.81905305000000006</v>
      </c>
    </row>
    <row r="20163" spans="103:104" x14ac:dyDescent="0.3">
      <c r="CY20163" s="34" t="s">
        <v>21090</v>
      </c>
      <c r="CZ20163" s="35">
        <v>0.1143535</v>
      </c>
    </row>
    <row r="20164" spans="103:104" x14ac:dyDescent="0.3">
      <c r="CY20164" s="34" t="s">
        <v>21091</v>
      </c>
      <c r="CZ20164" s="35">
        <v>3.8238500000000002E-2</v>
      </c>
    </row>
    <row r="20165" spans="103:104" x14ac:dyDescent="0.3">
      <c r="CY20165" s="34" t="s">
        <v>21092</v>
      </c>
      <c r="CZ20165" s="35">
        <v>2.9571635066666666E-3</v>
      </c>
    </row>
    <row r="20166" spans="103:104" x14ac:dyDescent="0.3">
      <c r="CY20166" s="34" t="s">
        <v>21093</v>
      </c>
      <c r="CZ20166" s="35">
        <v>9.3643600000000004E-3</v>
      </c>
    </row>
    <row r="20167" spans="103:104" x14ac:dyDescent="0.3">
      <c r="CY20167" s="34" t="s">
        <v>21094</v>
      </c>
      <c r="CZ20167" s="35">
        <v>1.6330000000000001E-3</v>
      </c>
    </row>
    <row r="20168" spans="103:104" x14ac:dyDescent="0.3">
      <c r="CY20168" s="34" t="s">
        <v>21095</v>
      </c>
      <c r="CZ20168" s="35">
        <v>4.8135986666666658E-2</v>
      </c>
    </row>
    <row r="20169" spans="103:104" x14ac:dyDescent="0.3">
      <c r="CY20169" s="34" t="s">
        <v>21096</v>
      </c>
      <c r="CZ20169" s="35">
        <v>3.0566666666666667E-3</v>
      </c>
    </row>
    <row r="20170" spans="103:104" x14ac:dyDescent="0.3">
      <c r="CY20170" s="34" t="s">
        <v>21097</v>
      </c>
      <c r="CZ20170" s="35">
        <v>3.4455501999999999E-2</v>
      </c>
    </row>
    <row r="20171" spans="103:104" x14ac:dyDescent="0.3">
      <c r="CY20171" s="34" t="s">
        <v>21098</v>
      </c>
      <c r="CZ20171" s="35">
        <v>1.9437500000000002E-3</v>
      </c>
    </row>
    <row r="20172" spans="103:104" x14ac:dyDescent="0.3">
      <c r="CY20172" s="34" t="s">
        <v>21099</v>
      </c>
      <c r="CZ20172" s="35">
        <v>6.8147463999999991E-2</v>
      </c>
    </row>
    <row r="20173" spans="103:104" x14ac:dyDescent="0.3">
      <c r="CY20173" s="34" t="s">
        <v>21100</v>
      </c>
      <c r="CZ20173" s="35">
        <v>4.4900000000000009E-3</v>
      </c>
    </row>
    <row r="20174" spans="103:104" x14ac:dyDescent="0.3">
      <c r="CY20174" s="34" t="s">
        <v>21101</v>
      </c>
      <c r="CZ20174" s="35">
        <v>4.0145500000000001E-2</v>
      </c>
    </row>
    <row r="20175" spans="103:104" x14ac:dyDescent="0.3">
      <c r="CY20175" s="34" t="s">
        <v>21102</v>
      </c>
      <c r="CZ20175" s="35">
        <v>1.7824999999999998E-3</v>
      </c>
    </row>
    <row r="20176" spans="103:104" x14ac:dyDescent="0.3">
      <c r="CY20176" s="34" t="s">
        <v>21103</v>
      </c>
      <c r="CZ20176" s="35">
        <v>4.5375133800000002E-2</v>
      </c>
    </row>
    <row r="20177" spans="103:104" x14ac:dyDescent="0.3">
      <c r="CY20177" s="34" t="s">
        <v>21104</v>
      </c>
      <c r="CZ20177" s="35">
        <v>1.6064968000000001E-3</v>
      </c>
    </row>
    <row r="20178" spans="103:104" x14ac:dyDescent="0.3">
      <c r="CY20178" s="34" t="s">
        <v>21105</v>
      </c>
      <c r="CZ20178" s="35">
        <v>5.9107919999999994E-2</v>
      </c>
    </row>
    <row r="20179" spans="103:104" x14ac:dyDescent="0.3">
      <c r="CY20179" s="34" t="s">
        <v>21106</v>
      </c>
      <c r="CZ20179" s="35">
        <v>3.8430724E-3</v>
      </c>
    </row>
    <row r="20180" spans="103:104" x14ac:dyDescent="0.3">
      <c r="CY20180" s="34" t="s">
        <v>21107</v>
      </c>
      <c r="CZ20180" s="35">
        <v>8.0574884000000002E-4</v>
      </c>
    </row>
    <row r="20181" spans="103:104" x14ac:dyDescent="0.3">
      <c r="CY20181" s="34" t="s">
        <v>21108</v>
      </c>
      <c r="CZ20181" s="35">
        <v>1.1008228000000001E-3</v>
      </c>
    </row>
    <row r="20182" spans="103:104" x14ac:dyDescent="0.3">
      <c r="CY20182" s="34" t="s">
        <v>21109</v>
      </c>
      <c r="CZ20182" s="35">
        <v>8.3886418000000008E-4</v>
      </c>
    </row>
    <row r="20183" spans="103:104" x14ac:dyDescent="0.3">
      <c r="CY20183" s="34" t="s">
        <v>21110</v>
      </c>
      <c r="CZ20183" s="35">
        <v>1.6657632000000003E-3</v>
      </c>
    </row>
    <row r="20184" spans="103:104" x14ac:dyDescent="0.3">
      <c r="CY20184" s="34" t="s">
        <v>21111</v>
      </c>
      <c r="CZ20184" s="35">
        <v>1.5475595599999999E-3</v>
      </c>
    </row>
    <row r="20185" spans="103:104" x14ac:dyDescent="0.3">
      <c r="CY20185" s="34" t="s">
        <v>21112</v>
      </c>
      <c r="CZ20185" s="35">
        <v>7.6201000000000003E-3</v>
      </c>
    </row>
    <row r="20186" spans="103:104" x14ac:dyDescent="0.3">
      <c r="CY20186" s="34" t="s">
        <v>21113</v>
      </c>
      <c r="CZ20186" s="35">
        <v>7.0322375999999992E-2</v>
      </c>
    </row>
    <row r="20187" spans="103:104" x14ac:dyDescent="0.3">
      <c r="CY20187" s="34" t="s">
        <v>21114</v>
      </c>
      <c r="CZ20187" s="35">
        <v>2.8400000000000001E-3</v>
      </c>
    </row>
    <row r="20188" spans="103:104" x14ac:dyDescent="0.3">
      <c r="CY20188" s="34" t="s">
        <v>21115</v>
      </c>
      <c r="CZ20188" s="35">
        <v>0.63028157119999995</v>
      </c>
    </row>
    <row r="20189" spans="103:104" x14ac:dyDescent="0.3">
      <c r="CY20189" s="34" t="s">
        <v>21116</v>
      </c>
      <c r="CZ20189" s="35">
        <v>6.9404917894736837E-2</v>
      </c>
    </row>
    <row r="20190" spans="103:104" x14ac:dyDescent="0.3">
      <c r="CY20190" s="34" t="s">
        <v>21117</v>
      </c>
      <c r="CZ20190" s="35">
        <v>5.0539125000000004E-2</v>
      </c>
    </row>
    <row r="20191" spans="103:104" x14ac:dyDescent="0.3">
      <c r="CY20191" s="34" t="s">
        <v>21118</v>
      </c>
      <c r="CZ20191" s="35">
        <v>3.9269552000000006E-2</v>
      </c>
    </row>
    <row r="20192" spans="103:104" x14ac:dyDescent="0.3">
      <c r="CY20192" s="34" t="s">
        <v>21119</v>
      </c>
      <c r="CZ20192" s="35">
        <v>6.1371765000000002E-2</v>
      </c>
    </row>
    <row r="20193" spans="103:104" x14ac:dyDescent="0.3">
      <c r="CY20193" s="34" t="s">
        <v>21120</v>
      </c>
      <c r="CZ20193" s="35">
        <v>9.8235683999999979E-3</v>
      </c>
    </row>
    <row r="20194" spans="103:104" x14ac:dyDescent="0.3">
      <c r="CY20194" s="34" t="s">
        <v>21121</v>
      </c>
      <c r="CZ20194" s="35">
        <v>6.9772555000000014E-2</v>
      </c>
    </row>
    <row r="20195" spans="103:104" x14ac:dyDescent="0.3">
      <c r="CY20195" s="34" t="s">
        <v>21122</v>
      </c>
      <c r="CZ20195" s="35">
        <v>3.7068023342857151E-2</v>
      </c>
    </row>
    <row r="20196" spans="103:104" x14ac:dyDescent="0.3">
      <c r="CY20196" s="34" t="s">
        <v>21123</v>
      </c>
      <c r="CZ20196" s="35">
        <v>1.5361050666666667E-2</v>
      </c>
    </row>
    <row r="20197" spans="103:104" x14ac:dyDescent="0.3">
      <c r="CY20197" s="34" t="s">
        <v>21124</v>
      </c>
      <c r="CZ20197" s="35">
        <v>6.4478303999999991E-3</v>
      </c>
    </row>
    <row r="20198" spans="103:104" x14ac:dyDescent="0.3">
      <c r="CY20198" s="34" t="s">
        <v>21125</v>
      </c>
      <c r="CZ20198" s="35">
        <v>8.3579252571428578E-3</v>
      </c>
    </row>
    <row r="20199" spans="103:104" x14ac:dyDescent="0.3">
      <c r="CY20199" s="34" t="s">
        <v>21126</v>
      </c>
      <c r="CZ20199" s="35">
        <v>1.3075279999999998E-2</v>
      </c>
    </row>
    <row r="20200" spans="103:104" x14ac:dyDescent="0.3">
      <c r="CY20200" s="34" t="s">
        <v>21127</v>
      </c>
      <c r="CZ20200" s="35">
        <v>3.0995443199999997E-2</v>
      </c>
    </row>
    <row r="20201" spans="103:104" x14ac:dyDescent="0.3">
      <c r="CY20201" s="34" t="s">
        <v>21128</v>
      </c>
      <c r="CZ20201" s="35">
        <v>0.15457470370370369</v>
      </c>
    </row>
    <row r="20202" spans="103:104" x14ac:dyDescent="0.3">
      <c r="CY20202" s="34" t="s">
        <v>21129</v>
      </c>
      <c r="CZ20202" s="35">
        <v>4.9238749999999991E-2</v>
      </c>
    </row>
    <row r="20203" spans="103:104" x14ac:dyDescent="0.3">
      <c r="CY20203" s="34" t="s">
        <v>21130</v>
      </c>
      <c r="CZ20203" s="35">
        <v>2.1654722769230767E-2</v>
      </c>
    </row>
    <row r="20204" spans="103:104" x14ac:dyDescent="0.3">
      <c r="CY20204" s="34" t="s">
        <v>21131</v>
      </c>
      <c r="CZ20204" s="35">
        <v>2.2880383569230771E-2</v>
      </c>
    </row>
    <row r="20205" spans="103:104" x14ac:dyDescent="0.3">
      <c r="CY20205" s="34" t="s">
        <v>21132</v>
      </c>
      <c r="CZ20205" s="35">
        <v>9.939445999999999E-2</v>
      </c>
    </row>
    <row r="20206" spans="103:104" x14ac:dyDescent="0.3">
      <c r="CY20206" s="34" t="s">
        <v>21133</v>
      </c>
      <c r="CZ20206" s="35">
        <v>0.13540988166666665</v>
      </c>
    </row>
    <row r="20207" spans="103:104" x14ac:dyDescent="0.3">
      <c r="CY20207" s="34" t="s">
        <v>21134</v>
      </c>
      <c r="CZ20207" s="35">
        <v>8.5239705000000013E-2</v>
      </c>
    </row>
    <row r="20208" spans="103:104" x14ac:dyDescent="0.3">
      <c r="CY20208" s="34" t="s">
        <v>21135</v>
      </c>
      <c r="CZ20208" s="35">
        <v>4.187624E-3</v>
      </c>
    </row>
    <row r="20209" spans="103:104" x14ac:dyDescent="0.3">
      <c r="CY20209" s="34" t="s">
        <v>21136</v>
      </c>
      <c r="CZ20209" s="35">
        <v>3.0642428000000003E-2</v>
      </c>
    </row>
    <row r="20210" spans="103:104" x14ac:dyDescent="0.3">
      <c r="CY20210" s="34" t="s">
        <v>21137</v>
      </c>
      <c r="CZ20210" s="35">
        <v>7.2435939999999999E-3</v>
      </c>
    </row>
    <row r="20211" spans="103:104" x14ac:dyDescent="0.3">
      <c r="CY20211" s="34" t="s">
        <v>21138</v>
      </c>
      <c r="CZ20211" s="35">
        <v>7.7876920000000006E-3</v>
      </c>
    </row>
    <row r="20212" spans="103:104" x14ac:dyDescent="0.3">
      <c r="CY20212" s="34" t="s">
        <v>21139</v>
      </c>
      <c r="CZ20212" s="35">
        <v>8.0517379999999993E-3</v>
      </c>
    </row>
    <row r="20213" spans="103:104" x14ac:dyDescent="0.3">
      <c r="CY20213" s="34" t="s">
        <v>21140</v>
      </c>
      <c r="CZ20213" s="35">
        <v>7.5466479999999996E-3</v>
      </c>
    </row>
    <row r="20214" spans="103:104" x14ac:dyDescent="0.3">
      <c r="CY20214" s="34" t="s">
        <v>21141</v>
      </c>
      <c r="CZ20214" s="35">
        <v>8.3143848000000013E-3</v>
      </c>
    </row>
    <row r="20215" spans="103:104" x14ac:dyDescent="0.3">
      <c r="CY20215" s="34" t="s">
        <v>21142</v>
      </c>
      <c r="CZ20215" s="35">
        <v>1.89056275E-3</v>
      </c>
    </row>
    <row r="20216" spans="103:104" x14ac:dyDescent="0.3">
      <c r="CY20216" s="34" t="s">
        <v>21143</v>
      </c>
      <c r="CZ20216" s="35">
        <v>6.9798645333333329E-3</v>
      </c>
    </row>
    <row r="20217" spans="103:104" x14ac:dyDescent="0.3">
      <c r="CY20217" s="34" t="s">
        <v>21144</v>
      </c>
      <c r="CZ20217" s="35">
        <v>2.1289349333333332E-2</v>
      </c>
    </row>
    <row r="20218" spans="103:104" x14ac:dyDescent="0.3">
      <c r="CY20218" s="34" t="s">
        <v>21145</v>
      </c>
      <c r="CZ20218" s="35">
        <v>2.020816533333333E-2</v>
      </c>
    </row>
    <row r="20219" spans="103:104" x14ac:dyDescent="0.3">
      <c r="CY20219" s="34" t="s">
        <v>21146</v>
      </c>
      <c r="CZ20219" s="35">
        <v>1.8512164000000001E-2</v>
      </c>
    </row>
    <row r="20220" spans="103:104" x14ac:dyDescent="0.3">
      <c r="CY20220" s="34" t="s">
        <v>21147</v>
      </c>
      <c r="CZ20220" s="35">
        <v>0.12060048</v>
      </c>
    </row>
    <row r="20221" spans="103:104" x14ac:dyDescent="0.3">
      <c r="CY20221" s="34" t="s">
        <v>21148</v>
      </c>
      <c r="CZ20221" s="35">
        <v>9.8887195120000004E-3</v>
      </c>
    </row>
    <row r="20222" spans="103:104" x14ac:dyDescent="0.3">
      <c r="CY20222" s="34" t="s">
        <v>21149</v>
      </c>
      <c r="CZ20222" s="35">
        <v>2.6569991999999998E-3</v>
      </c>
    </row>
    <row r="20223" spans="103:104" x14ac:dyDescent="0.3">
      <c r="CY20223" s="34" t="s">
        <v>21150</v>
      </c>
      <c r="CZ20223" s="35">
        <v>3.8380239999999998E-3</v>
      </c>
    </row>
    <row r="20224" spans="103:104" x14ac:dyDescent="0.3">
      <c r="CY20224" s="34" t="s">
        <v>21151</v>
      </c>
      <c r="CZ20224" s="35">
        <v>3.8380239999999998E-3</v>
      </c>
    </row>
    <row r="20225" spans="103:104" x14ac:dyDescent="0.3">
      <c r="CY20225" s="34" t="s">
        <v>21152</v>
      </c>
      <c r="CZ20225" s="35">
        <v>6.5059699999999998E-3</v>
      </c>
    </row>
    <row r="20226" spans="103:104" x14ac:dyDescent="0.3">
      <c r="CY20226" s="34" t="s">
        <v>21153</v>
      </c>
      <c r="CZ20226" s="35">
        <v>6.5059700000000007E-3</v>
      </c>
    </row>
    <row r="20227" spans="103:104" x14ac:dyDescent="0.3">
      <c r="CY20227" s="34" t="s">
        <v>21154</v>
      </c>
      <c r="CZ20227" s="35">
        <v>6.7647200000000001E-3</v>
      </c>
    </row>
    <row r="20228" spans="103:104" x14ac:dyDescent="0.3">
      <c r="CY20228" s="34" t="s">
        <v>21155</v>
      </c>
      <c r="CZ20228" s="35">
        <v>6.5059700000000007E-3</v>
      </c>
    </row>
    <row r="20229" spans="103:104" x14ac:dyDescent="0.3">
      <c r="CY20229" s="34" t="s">
        <v>21156</v>
      </c>
      <c r="CZ20229" s="35">
        <v>3.5461920000000005E-3</v>
      </c>
    </row>
    <row r="20230" spans="103:104" x14ac:dyDescent="0.3">
      <c r="CY20230" s="34" t="s">
        <v>21157</v>
      </c>
      <c r="CZ20230" s="35">
        <v>9.2331569999999988E-3</v>
      </c>
    </row>
    <row r="20231" spans="103:104" x14ac:dyDescent="0.3">
      <c r="CY20231" s="34" t="s">
        <v>21158</v>
      </c>
      <c r="CZ20231" s="35">
        <v>6.837175999999999E-2</v>
      </c>
    </row>
    <row r="20232" spans="103:104" x14ac:dyDescent="0.3">
      <c r="CY20232" s="34" t="s">
        <v>21159</v>
      </c>
      <c r="CZ20232" s="35">
        <v>1.8866569216000002E-2</v>
      </c>
    </row>
    <row r="20233" spans="103:104" x14ac:dyDescent="0.3">
      <c r="CY20233" s="34" t="s">
        <v>21160</v>
      </c>
      <c r="CZ20233" s="35">
        <v>1.9602618600000001E-3</v>
      </c>
    </row>
    <row r="20234" spans="103:104" x14ac:dyDescent="0.3">
      <c r="CY20234" s="34" t="s">
        <v>21161</v>
      </c>
      <c r="CZ20234" s="35">
        <v>3.6693752941176471E-4</v>
      </c>
    </row>
    <row r="20235" spans="103:104" x14ac:dyDescent="0.3">
      <c r="CY20235" s="34" t="s">
        <v>21162</v>
      </c>
      <c r="CZ20235" s="35">
        <v>1.2759411294117646E-3</v>
      </c>
    </row>
    <row r="20236" spans="103:104" x14ac:dyDescent="0.3">
      <c r="CY20236" s="34" t="s">
        <v>21163</v>
      </c>
      <c r="CZ20236" s="35">
        <v>8.3100800000000009E-3</v>
      </c>
    </row>
    <row r="20237" spans="103:104" x14ac:dyDescent="0.3">
      <c r="CY20237" s="34" t="s">
        <v>21164</v>
      </c>
      <c r="CZ20237" s="35">
        <v>6.0295080000000008E-2</v>
      </c>
    </row>
    <row r="20238" spans="103:104" x14ac:dyDescent="0.3">
      <c r="CY20238" s="34" t="s">
        <v>21165</v>
      </c>
      <c r="CZ20238" s="35">
        <v>1.27192E-3</v>
      </c>
    </row>
    <row r="20239" spans="103:104" x14ac:dyDescent="0.3">
      <c r="CY20239" s="34" t="s">
        <v>21166</v>
      </c>
      <c r="CZ20239" s="35">
        <v>2.2445280000000004E-3</v>
      </c>
    </row>
    <row r="20240" spans="103:104" x14ac:dyDescent="0.3">
      <c r="CY20240" s="34" t="s">
        <v>21167</v>
      </c>
      <c r="CZ20240" s="35">
        <v>2.3104256E-2</v>
      </c>
    </row>
    <row r="20241" spans="103:104" x14ac:dyDescent="0.3">
      <c r="CY20241" s="34" t="s">
        <v>21168</v>
      </c>
      <c r="CZ20241" s="35">
        <v>0.45937371666666665</v>
      </c>
    </row>
    <row r="20242" spans="103:104" x14ac:dyDescent="0.3">
      <c r="CY20242" s="34" t="s">
        <v>21169</v>
      </c>
      <c r="CZ20242" s="35">
        <v>4.4647156000000004E-3</v>
      </c>
    </row>
    <row r="20243" spans="103:104" x14ac:dyDescent="0.3">
      <c r="CY20243" s="34" t="s">
        <v>21170</v>
      </c>
      <c r="CZ20243" s="35">
        <v>1.1411498989898988E-2</v>
      </c>
    </row>
    <row r="20244" spans="103:104" x14ac:dyDescent="0.3">
      <c r="CY20244" s="34" t="s">
        <v>21171</v>
      </c>
      <c r="CZ20244" s="35">
        <v>1.410788E-2</v>
      </c>
    </row>
    <row r="20245" spans="103:104" x14ac:dyDescent="0.3">
      <c r="CY20245" s="34" t="s">
        <v>21172</v>
      </c>
      <c r="CZ20245" s="35">
        <v>1.410788E-2</v>
      </c>
    </row>
    <row r="20246" spans="103:104" x14ac:dyDescent="0.3">
      <c r="CY20246" s="34" t="s">
        <v>21173</v>
      </c>
      <c r="CZ20246" s="35">
        <v>1.572109090909091E-2</v>
      </c>
    </row>
    <row r="20247" spans="103:104" x14ac:dyDescent="0.3">
      <c r="CY20247" s="34" t="s">
        <v>21174</v>
      </c>
      <c r="CZ20247" s="35">
        <v>6.3066800000000003E-3</v>
      </c>
    </row>
    <row r="20248" spans="103:104" x14ac:dyDescent="0.3">
      <c r="CY20248" s="34" t="s">
        <v>21175</v>
      </c>
      <c r="CZ20248" s="35">
        <v>4.360855555555555E-3</v>
      </c>
    </row>
    <row r="20249" spans="103:104" x14ac:dyDescent="0.3">
      <c r="CY20249" s="34" t="s">
        <v>21176</v>
      </c>
      <c r="CZ20249" s="35">
        <v>8.4181319999999992E-4</v>
      </c>
    </row>
    <row r="20250" spans="103:104" x14ac:dyDescent="0.3">
      <c r="CY20250" s="34" t="s">
        <v>21177</v>
      </c>
      <c r="CZ20250" s="35">
        <v>8.4181319999999992E-4</v>
      </c>
    </row>
    <row r="20251" spans="103:104" x14ac:dyDescent="0.3">
      <c r="CY20251" s="34" t="s">
        <v>21178</v>
      </c>
      <c r="CZ20251" s="35">
        <v>0.105066032</v>
      </c>
    </row>
    <row r="20252" spans="103:104" x14ac:dyDescent="0.3">
      <c r="CY20252" s="34" t="s">
        <v>21179</v>
      </c>
      <c r="CZ20252" s="35">
        <v>9.7497616000000009E-2</v>
      </c>
    </row>
    <row r="20253" spans="103:104" x14ac:dyDescent="0.3">
      <c r="CY20253" s="34" t="s">
        <v>21180</v>
      </c>
      <c r="CZ20253" s="35">
        <v>9.2335056000000013E-2</v>
      </c>
    </row>
    <row r="20254" spans="103:104" x14ac:dyDescent="0.3">
      <c r="CY20254" s="34" t="s">
        <v>21181</v>
      </c>
      <c r="CZ20254" s="35">
        <v>0.10162766400000001</v>
      </c>
    </row>
    <row r="20255" spans="103:104" x14ac:dyDescent="0.3">
      <c r="CY20255" s="34" t="s">
        <v>21182</v>
      </c>
      <c r="CZ20255" s="35">
        <v>0.15012488000000002</v>
      </c>
    </row>
    <row r="20256" spans="103:104" x14ac:dyDescent="0.3">
      <c r="CY20256" s="34" t="s">
        <v>21183</v>
      </c>
      <c r="CZ20256" s="35">
        <v>9.5633399999999993E-2</v>
      </c>
    </row>
    <row r="20257" spans="103:104" x14ac:dyDescent="0.3">
      <c r="CY20257" s="34" t="s">
        <v>21184</v>
      </c>
      <c r="CZ20257" s="35">
        <v>4.3850000000000003E-4</v>
      </c>
    </row>
    <row r="20258" spans="103:104" x14ac:dyDescent="0.3">
      <c r="CY20258" s="34" t="s">
        <v>21185</v>
      </c>
      <c r="CZ20258" s="35">
        <v>7.3947460000000015E-3</v>
      </c>
    </row>
    <row r="20259" spans="103:104" x14ac:dyDescent="0.3">
      <c r="CY20259" s="34" t="s">
        <v>21186</v>
      </c>
      <c r="CZ20259" s="35">
        <v>5.624839999999999E-3</v>
      </c>
    </row>
    <row r="20260" spans="103:104" x14ac:dyDescent="0.3">
      <c r="CY20260" s="34" t="s">
        <v>21187</v>
      </c>
      <c r="CZ20260" s="35">
        <v>4.9156840000000007E-2</v>
      </c>
    </row>
    <row r="20261" spans="103:104" x14ac:dyDescent="0.3">
      <c r="CY20261" s="34" t="s">
        <v>21188</v>
      </c>
      <c r="CZ20261" s="35">
        <v>7.8407700000000004E-3</v>
      </c>
    </row>
    <row r="20262" spans="103:104" x14ac:dyDescent="0.3">
      <c r="CY20262" s="34" t="s">
        <v>21189</v>
      </c>
      <c r="CZ20262" s="35">
        <v>5.0959680000000002E-3</v>
      </c>
    </row>
    <row r="20263" spans="103:104" x14ac:dyDescent="0.3">
      <c r="CY20263" s="34" t="s">
        <v>21190</v>
      </c>
      <c r="CZ20263" s="35">
        <v>6.1683911999999994E-2</v>
      </c>
    </row>
    <row r="20264" spans="103:104" x14ac:dyDescent="0.3">
      <c r="CY20264" s="34" t="s">
        <v>21191</v>
      </c>
      <c r="CZ20264" s="35">
        <v>0.72527750000000002</v>
      </c>
    </row>
    <row r="20265" spans="103:104" x14ac:dyDescent="0.3">
      <c r="CY20265" s="34" t="s">
        <v>21192</v>
      </c>
      <c r="CZ20265" s="35">
        <v>0.64538299999999993</v>
      </c>
    </row>
    <row r="20266" spans="103:104" x14ac:dyDescent="0.3">
      <c r="CY20266" s="34" t="s">
        <v>21193</v>
      </c>
      <c r="CZ20266" s="35">
        <v>0.57347795000000001</v>
      </c>
    </row>
    <row r="20267" spans="103:104" x14ac:dyDescent="0.3">
      <c r="CY20267" s="34" t="s">
        <v>21194</v>
      </c>
      <c r="CZ20267" s="35">
        <v>0.49358344999999998</v>
      </c>
    </row>
    <row r="20268" spans="103:104" x14ac:dyDescent="0.3">
      <c r="CY20268" s="34" t="s">
        <v>21195</v>
      </c>
      <c r="CZ20268" s="35">
        <v>0.32546900000000001</v>
      </c>
    </row>
    <row r="20269" spans="103:104" x14ac:dyDescent="0.3">
      <c r="CY20269" s="34" t="s">
        <v>21196</v>
      </c>
      <c r="CZ20269" s="35">
        <v>0.29334320000000003</v>
      </c>
    </row>
    <row r="20270" spans="103:104" x14ac:dyDescent="0.3">
      <c r="CY20270" s="34" t="s">
        <v>21197</v>
      </c>
      <c r="CZ20270" s="35">
        <v>0.25720167500000002</v>
      </c>
    </row>
    <row r="20271" spans="103:104" x14ac:dyDescent="0.3">
      <c r="CY20271" s="34" t="s">
        <v>21198</v>
      </c>
      <c r="CZ20271" s="35">
        <v>0.22030415</v>
      </c>
    </row>
    <row r="20272" spans="103:104" x14ac:dyDescent="0.3">
      <c r="CY20272" s="34" t="s">
        <v>21199</v>
      </c>
      <c r="CZ20272" s="35">
        <v>0.14871410000000002</v>
      </c>
    </row>
    <row r="20273" spans="103:104" x14ac:dyDescent="0.3">
      <c r="CY20273" s="34" t="s">
        <v>21200</v>
      </c>
      <c r="CZ20273" s="35">
        <v>0.1325462</v>
      </c>
    </row>
    <row r="20274" spans="103:104" x14ac:dyDescent="0.3">
      <c r="CY20274" s="34" t="s">
        <v>21201</v>
      </c>
      <c r="CZ20274" s="35">
        <v>0.1163783</v>
      </c>
    </row>
    <row r="20275" spans="103:104" x14ac:dyDescent="0.3">
      <c r="CY20275" s="34" t="s">
        <v>21202</v>
      </c>
      <c r="CZ20275" s="35">
        <v>0.10021039999999999</v>
      </c>
    </row>
    <row r="20276" spans="103:104" x14ac:dyDescent="0.3">
      <c r="CY20276" s="34" t="s">
        <v>21203</v>
      </c>
      <c r="CZ20276" s="35">
        <v>2.7635839999999998E-2</v>
      </c>
    </row>
    <row r="20277" spans="103:104" x14ac:dyDescent="0.3">
      <c r="CY20277" s="34" t="s">
        <v>21204</v>
      </c>
      <c r="CZ20277" s="35">
        <v>6.4397600000000001E-3</v>
      </c>
    </row>
    <row r="20278" spans="103:104" x14ac:dyDescent="0.3">
      <c r="CY20278" s="34" t="s">
        <v>21205</v>
      </c>
      <c r="CZ20278" s="35">
        <v>0.50946292000000004</v>
      </c>
    </row>
    <row r="20279" spans="103:104" x14ac:dyDescent="0.3">
      <c r="CY20279" s="34" t="s">
        <v>21206</v>
      </c>
      <c r="CZ20279" s="35">
        <v>4.6821142533333329E-3</v>
      </c>
    </row>
    <row r="20280" spans="103:104" x14ac:dyDescent="0.3">
      <c r="CY20280" s="34" t="s">
        <v>21207</v>
      </c>
      <c r="CZ20280" s="35">
        <v>4.0712474453333336E-3</v>
      </c>
    </row>
    <row r="20281" spans="103:104" x14ac:dyDescent="0.3">
      <c r="CY20281" s="34" t="s">
        <v>21208</v>
      </c>
      <c r="CZ20281" s="35">
        <v>7.112816000000001E-3</v>
      </c>
    </row>
    <row r="20282" spans="103:104" x14ac:dyDescent="0.3">
      <c r="CY20282" s="34" t="s">
        <v>21209</v>
      </c>
      <c r="CZ20282" s="35">
        <v>9.3692671999999998E-3</v>
      </c>
    </row>
    <row r="20283" spans="103:104" x14ac:dyDescent="0.3">
      <c r="CY20283" s="34" t="s">
        <v>21210</v>
      </c>
      <c r="CZ20283" s="35">
        <v>4.584912E-3</v>
      </c>
    </row>
    <row r="20284" spans="103:104" x14ac:dyDescent="0.3">
      <c r="CY20284" s="34" t="s">
        <v>21211</v>
      </c>
      <c r="CZ20284" s="35">
        <v>7.6529493333333337E-2</v>
      </c>
    </row>
    <row r="20285" spans="103:104" x14ac:dyDescent="0.3">
      <c r="CY20285" s="34" t="s">
        <v>21212</v>
      </c>
      <c r="CZ20285" s="35">
        <v>4.7878560000000001E-3</v>
      </c>
    </row>
    <row r="20286" spans="103:104" x14ac:dyDescent="0.3">
      <c r="CY20286" s="34" t="s">
        <v>21213</v>
      </c>
      <c r="CZ20286" s="35">
        <v>5.2701440000000002E-2</v>
      </c>
    </row>
    <row r="20287" spans="103:104" x14ac:dyDescent="0.3">
      <c r="CY20287" s="34" t="s">
        <v>21214</v>
      </c>
      <c r="CZ20287" s="35">
        <v>1.6157806315789475E-2</v>
      </c>
    </row>
    <row r="20288" spans="103:104" x14ac:dyDescent="0.3">
      <c r="CY20288" s="34" t="s">
        <v>21215</v>
      </c>
      <c r="CZ20288" s="35">
        <v>0.120371925</v>
      </c>
    </row>
    <row r="20289" spans="103:104" x14ac:dyDescent="0.3">
      <c r="CY20289" s="34" t="s">
        <v>21216</v>
      </c>
      <c r="CZ20289" s="35">
        <v>4.4731943852631573E-2</v>
      </c>
    </row>
    <row r="20290" spans="103:104" x14ac:dyDescent="0.3">
      <c r="CY20290" s="34" t="s">
        <v>21217</v>
      </c>
      <c r="CZ20290" s="35">
        <v>0.15635677334</v>
      </c>
    </row>
    <row r="20291" spans="103:104" x14ac:dyDescent="0.3">
      <c r="CY20291" s="34" t="s">
        <v>21218</v>
      </c>
      <c r="CZ20291" s="35">
        <v>6.4075950622222211E-2</v>
      </c>
    </row>
    <row r="20292" spans="103:104" x14ac:dyDescent="0.3">
      <c r="CY20292" s="34" t="s">
        <v>21219</v>
      </c>
      <c r="CZ20292" s="35">
        <v>0.21053530000000001</v>
      </c>
    </row>
    <row r="20293" spans="103:104" x14ac:dyDescent="0.3">
      <c r="CY20293" s="34" t="s">
        <v>21220</v>
      </c>
      <c r="CZ20293" s="35">
        <v>0.11480496</v>
      </c>
    </row>
    <row r="20294" spans="103:104" x14ac:dyDescent="0.3">
      <c r="CY20294" s="34" t="s">
        <v>21221</v>
      </c>
      <c r="CZ20294" s="35">
        <v>0.11480496000000001</v>
      </c>
    </row>
    <row r="20295" spans="103:104" x14ac:dyDescent="0.3">
      <c r="CY20295" s="34" t="s">
        <v>21222</v>
      </c>
      <c r="CZ20295" s="35">
        <v>6.0693368421052635E-2</v>
      </c>
    </row>
    <row r="20296" spans="103:104" x14ac:dyDescent="0.3">
      <c r="CY20296" s="34" t="s">
        <v>21223</v>
      </c>
      <c r="CZ20296" s="35">
        <v>0.21053530000000001</v>
      </c>
    </row>
    <row r="20297" spans="103:104" x14ac:dyDescent="0.3">
      <c r="CY20297" s="34" t="s">
        <v>21224</v>
      </c>
      <c r="CZ20297" s="35">
        <v>6.9559538888888883E-2</v>
      </c>
    </row>
    <row r="20298" spans="103:104" x14ac:dyDescent="0.3">
      <c r="CY20298" s="34" t="s">
        <v>21225</v>
      </c>
      <c r="CZ20298" s="35">
        <v>0.26762646400000001</v>
      </c>
    </row>
    <row r="20299" spans="103:104" x14ac:dyDescent="0.3">
      <c r="CY20299" s="34" t="s">
        <v>21226</v>
      </c>
      <c r="CZ20299" s="35">
        <v>1.0243016E-3</v>
      </c>
    </row>
    <row r="20300" spans="103:104" x14ac:dyDescent="0.3">
      <c r="CY20300" s="34" t="s">
        <v>21227</v>
      </c>
      <c r="CZ20300" s="35">
        <v>0.21414560500000002</v>
      </c>
    </row>
    <row r="20301" spans="103:104" x14ac:dyDescent="0.3">
      <c r="CY20301" s="34" t="s">
        <v>21228</v>
      </c>
      <c r="CZ20301" s="35">
        <v>4.5506926000000003E-2</v>
      </c>
    </row>
    <row r="20302" spans="103:104" x14ac:dyDescent="0.3">
      <c r="CY20302" s="34" t="s">
        <v>21229</v>
      </c>
      <c r="CZ20302" s="35">
        <v>4.5506926000000003E-2</v>
      </c>
    </row>
    <row r="20303" spans="103:104" x14ac:dyDescent="0.3">
      <c r="CY20303" s="34" t="s">
        <v>21230</v>
      </c>
      <c r="CZ20303" s="35">
        <v>4.4356963500399998E-2</v>
      </c>
    </row>
    <row r="20304" spans="103:104" x14ac:dyDescent="0.3">
      <c r="CY20304" s="34" t="s">
        <v>21231</v>
      </c>
      <c r="CZ20304" s="35">
        <v>1.8999392000000004E-2</v>
      </c>
    </row>
    <row r="20305" spans="103:104" x14ac:dyDescent="0.3">
      <c r="CY20305" s="34" t="s">
        <v>21232</v>
      </c>
      <c r="CZ20305" s="35">
        <v>6.2727167939000003E-2</v>
      </c>
    </row>
    <row r="20306" spans="103:104" x14ac:dyDescent="0.3">
      <c r="CY20306" s="34" t="s">
        <v>21233</v>
      </c>
      <c r="CZ20306" s="35">
        <v>6.2727167939000003E-2</v>
      </c>
    </row>
    <row r="20307" spans="103:104" x14ac:dyDescent="0.3">
      <c r="CY20307" s="34" t="s">
        <v>21234</v>
      </c>
      <c r="CZ20307" s="35">
        <v>0.64027487999999999</v>
      </c>
    </row>
    <row r="20308" spans="103:104" x14ac:dyDescent="0.3">
      <c r="CY20308" s="34" t="s">
        <v>21235</v>
      </c>
      <c r="CZ20308" s="35">
        <v>0.64027487999999988</v>
      </c>
    </row>
    <row r="20309" spans="103:104" x14ac:dyDescent="0.3">
      <c r="CY20309" s="34" t="s">
        <v>21236</v>
      </c>
      <c r="CZ20309" s="35">
        <v>2.6721269999999998E-2</v>
      </c>
    </row>
    <row r="20310" spans="103:104" x14ac:dyDescent="0.3">
      <c r="CY20310" s="34" t="s">
        <v>21237</v>
      </c>
      <c r="CZ20310" s="35">
        <v>4.270489E-4</v>
      </c>
    </row>
    <row r="20311" spans="103:104" x14ac:dyDescent="0.3">
      <c r="CY20311" s="34" t="s">
        <v>21238</v>
      </c>
      <c r="CZ20311" s="35">
        <v>0.15589762285714287</v>
      </c>
    </row>
    <row r="20312" spans="103:104" x14ac:dyDescent="0.3">
      <c r="CY20312" s="34" t="s">
        <v>21239</v>
      </c>
      <c r="CZ20312" s="35">
        <v>5.0574349999999999E-3</v>
      </c>
    </row>
    <row r="20313" spans="103:104" x14ac:dyDescent="0.3">
      <c r="CY20313" s="34" t="s">
        <v>21240</v>
      </c>
      <c r="CZ20313" s="35">
        <v>1.6561391999999999E-3</v>
      </c>
    </row>
    <row r="20314" spans="103:104" x14ac:dyDescent="0.3">
      <c r="CY20314" s="34" t="s">
        <v>21241</v>
      </c>
      <c r="CZ20314" s="35">
        <v>6.7945191999999998E-3</v>
      </c>
    </row>
    <row r="20315" spans="103:104" x14ac:dyDescent="0.3">
      <c r="CY20315" s="34" t="s">
        <v>21242</v>
      </c>
      <c r="CZ20315" s="35">
        <v>0.21674446</v>
      </c>
    </row>
    <row r="20316" spans="103:104" x14ac:dyDescent="0.3">
      <c r="CY20316" s="34" t="s">
        <v>21243</v>
      </c>
      <c r="CZ20316" s="35">
        <v>9.0651557999999986E-3</v>
      </c>
    </row>
    <row r="20317" spans="103:104" x14ac:dyDescent="0.3">
      <c r="CY20317" s="34" t="s">
        <v>21244</v>
      </c>
      <c r="CZ20317" s="35">
        <v>0.23278090000000001</v>
      </c>
    </row>
    <row r="20318" spans="103:104" x14ac:dyDescent="0.3">
      <c r="CY20318" s="34" t="s">
        <v>21245</v>
      </c>
      <c r="CZ20318" s="35">
        <v>1.2779776000000001E-2</v>
      </c>
    </row>
    <row r="20319" spans="103:104" x14ac:dyDescent="0.3">
      <c r="CY20319" s="34" t="s">
        <v>21246</v>
      </c>
      <c r="CZ20319" s="35">
        <v>1.1204936E-2</v>
      </c>
    </row>
    <row r="20320" spans="103:104" x14ac:dyDescent="0.3">
      <c r="CY20320" s="34" t="s">
        <v>21247</v>
      </c>
      <c r="CZ20320" s="35">
        <v>1.4036208E-2</v>
      </c>
    </row>
    <row r="20321" spans="103:104" x14ac:dyDescent="0.3">
      <c r="CY20321" s="34" t="s">
        <v>21248</v>
      </c>
      <c r="CZ20321" s="35">
        <v>6.8022359999999997E-3</v>
      </c>
    </row>
    <row r="20322" spans="103:104" x14ac:dyDescent="0.3">
      <c r="CY20322" s="34" t="s">
        <v>21249</v>
      </c>
      <c r="CZ20322" s="35">
        <v>0.67444806000000002</v>
      </c>
    </row>
    <row r="20323" spans="103:104" x14ac:dyDescent="0.3">
      <c r="CY20323" s="34" t="s">
        <v>21250</v>
      </c>
      <c r="CZ20323" s="35">
        <v>0.59181174000000003</v>
      </c>
    </row>
    <row r="20324" spans="103:104" x14ac:dyDescent="0.3">
      <c r="CY20324" s="34" t="s">
        <v>21251</v>
      </c>
      <c r="CZ20324" s="35">
        <v>0.58746246000000002</v>
      </c>
    </row>
    <row r="20325" spans="103:104" x14ac:dyDescent="0.3">
      <c r="CY20325" s="34" t="s">
        <v>21252</v>
      </c>
      <c r="CZ20325" s="35">
        <v>0.58963710000000003</v>
      </c>
    </row>
    <row r="20326" spans="103:104" x14ac:dyDescent="0.3">
      <c r="CY20326" s="34" t="s">
        <v>21253</v>
      </c>
      <c r="CZ20326" s="35">
        <v>0.46955350000000007</v>
      </c>
    </row>
    <row r="20327" spans="103:104" x14ac:dyDescent="0.3">
      <c r="CY20327" s="34" t="s">
        <v>21254</v>
      </c>
      <c r="CZ20327" s="35">
        <v>1.5409943577500002E-2</v>
      </c>
    </row>
    <row r="20328" spans="103:104" x14ac:dyDescent="0.3">
      <c r="CY20328" s="34" t="s">
        <v>21255</v>
      </c>
      <c r="CZ20328" s="35">
        <v>3.8843735144E-3</v>
      </c>
    </row>
    <row r="20329" spans="103:104" x14ac:dyDescent="0.3">
      <c r="CY20329" s="34" t="s">
        <v>21256</v>
      </c>
      <c r="CZ20329" s="35">
        <v>6.9251191999999989E-2</v>
      </c>
    </row>
    <row r="20330" spans="103:104" x14ac:dyDescent="0.3">
      <c r="CY20330" s="34" t="s">
        <v>21257</v>
      </c>
      <c r="CZ20330" s="35">
        <v>2.0396040000000004E-3</v>
      </c>
    </row>
    <row r="20331" spans="103:104" x14ac:dyDescent="0.3">
      <c r="CY20331" s="34" t="s">
        <v>21258</v>
      </c>
      <c r="CZ20331" s="35">
        <v>3.4186599999999998E-2</v>
      </c>
    </row>
    <row r="20332" spans="103:104" x14ac:dyDescent="0.3">
      <c r="CY20332" s="34" t="s">
        <v>21259</v>
      </c>
      <c r="CZ20332" s="35">
        <v>3.4186599999999998E-2</v>
      </c>
    </row>
    <row r="20333" spans="103:104" x14ac:dyDescent="0.3">
      <c r="CY20333" s="34" t="s">
        <v>21260</v>
      </c>
      <c r="CZ20333" s="35">
        <v>3.127035294117647E-4</v>
      </c>
    </row>
    <row r="20334" spans="103:104" x14ac:dyDescent="0.3">
      <c r="CY20334" s="34" t="s">
        <v>21261</v>
      </c>
      <c r="CZ20334" s="35">
        <v>4.1444834760000007E-3</v>
      </c>
    </row>
    <row r="20335" spans="103:104" x14ac:dyDescent="0.3">
      <c r="CY20335" s="34" t="s">
        <v>21262</v>
      </c>
      <c r="CZ20335" s="35">
        <v>0.35071292040000002</v>
      </c>
    </row>
    <row r="20336" spans="103:104" x14ac:dyDescent="0.3">
      <c r="CY20336" s="34" t="s">
        <v>21263</v>
      </c>
      <c r="CZ20336" s="35">
        <v>1.8796666666666666E-3</v>
      </c>
    </row>
    <row r="20337" spans="103:104" x14ac:dyDescent="0.3">
      <c r="CY20337" s="34" t="s">
        <v>21264</v>
      </c>
      <c r="CZ20337" s="35">
        <v>2.6398135999999997E-3</v>
      </c>
    </row>
    <row r="20338" spans="103:104" x14ac:dyDescent="0.3">
      <c r="CY20338" s="34" t="s">
        <v>21265</v>
      </c>
      <c r="CZ20338" s="35">
        <v>3.1683458400000003E-2</v>
      </c>
    </row>
    <row r="20339" spans="103:104" x14ac:dyDescent="0.3">
      <c r="CY20339" s="34" t="s">
        <v>21266</v>
      </c>
      <c r="CZ20339" s="35">
        <v>2.4561823666999997E-4</v>
      </c>
    </row>
    <row r="20340" spans="103:104" x14ac:dyDescent="0.3">
      <c r="CY20340" s="34" t="s">
        <v>21267</v>
      </c>
      <c r="CZ20340" s="35">
        <v>5.7744936842105264E-2</v>
      </c>
    </row>
    <row r="20341" spans="103:104" x14ac:dyDescent="0.3">
      <c r="CY20341" s="34" t="s">
        <v>21268</v>
      </c>
      <c r="CZ20341" s="35">
        <v>0.28687073599999996</v>
      </c>
    </row>
    <row r="20342" spans="103:104" x14ac:dyDescent="0.3">
      <c r="CY20342" s="34" t="s">
        <v>21269</v>
      </c>
      <c r="CZ20342" s="35">
        <v>8.1569960000000011E-2</v>
      </c>
    </row>
    <row r="20343" spans="103:104" x14ac:dyDescent="0.3">
      <c r="CY20343" s="34" t="s">
        <v>21270</v>
      </c>
      <c r="CZ20343" s="35">
        <v>2.8183073520000001E-2</v>
      </c>
    </row>
    <row r="20344" spans="103:104" x14ac:dyDescent="0.3">
      <c r="CY20344" s="34" t="s">
        <v>21271</v>
      </c>
      <c r="CZ20344" s="35">
        <v>5.1972814399999998E-2</v>
      </c>
    </row>
    <row r="20345" spans="103:104" x14ac:dyDescent="0.3">
      <c r="CY20345" s="34" t="s">
        <v>21272</v>
      </c>
      <c r="CZ20345" s="35">
        <v>0.22401598244999998</v>
      </c>
    </row>
    <row r="20346" spans="103:104" x14ac:dyDescent="0.3">
      <c r="CY20346" s="34" t="s">
        <v>21273</v>
      </c>
      <c r="CZ20346" s="35">
        <v>5.2539320000000002E-3</v>
      </c>
    </row>
    <row r="20347" spans="103:104" x14ac:dyDescent="0.3">
      <c r="CY20347" s="34" t="s">
        <v>21274</v>
      </c>
      <c r="CZ20347" s="35">
        <v>3.0530742857142862E-3</v>
      </c>
    </row>
    <row r="20348" spans="103:104" x14ac:dyDescent="0.3">
      <c r="CY20348" s="34" t="s">
        <v>21275</v>
      </c>
      <c r="CZ20348" s="35">
        <v>0.10094076</v>
      </c>
    </row>
    <row r="20349" spans="103:104" x14ac:dyDescent="0.3">
      <c r="CY20349" s="34" t="s">
        <v>21276</v>
      </c>
      <c r="CZ20349" s="35">
        <v>3.3252008E-2</v>
      </c>
    </row>
    <row r="20350" spans="103:104" x14ac:dyDescent="0.3">
      <c r="CY20350" s="34" t="s">
        <v>21277</v>
      </c>
      <c r="CZ20350" s="35">
        <v>4.3601475014285705E-3</v>
      </c>
    </row>
    <row r="20351" spans="103:104" x14ac:dyDescent="0.3">
      <c r="CY20351" s="34" t="s">
        <v>21278</v>
      </c>
      <c r="CZ20351" s="35">
        <v>4.1440344000000004E-2</v>
      </c>
    </row>
    <row r="20352" spans="103:104" x14ac:dyDescent="0.3">
      <c r="CY20352" s="34" t="s">
        <v>21279</v>
      </c>
      <c r="CZ20352" s="35">
        <v>3.4414312000000002E-2</v>
      </c>
    </row>
    <row r="20353" spans="103:104" x14ac:dyDescent="0.3">
      <c r="CY20353" s="34" t="s">
        <v>21280</v>
      </c>
      <c r="CZ20353" s="35">
        <v>2.0862879999999999E-3</v>
      </c>
    </row>
    <row r="20354" spans="103:104" x14ac:dyDescent="0.3">
      <c r="CY20354" s="34" t="s">
        <v>21281</v>
      </c>
      <c r="CZ20354" s="35">
        <v>3.9966640000000005E-3</v>
      </c>
    </row>
    <row r="20355" spans="103:104" x14ac:dyDescent="0.3">
      <c r="CY20355" s="34" t="s">
        <v>21282</v>
      </c>
      <c r="CZ20355" s="35">
        <v>7.2835E-3</v>
      </c>
    </row>
    <row r="20356" spans="103:104" x14ac:dyDescent="0.3">
      <c r="CY20356" s="34" t="s">
        <v>21283</v>
      </c>
      <c r="CZ20356" s="35">
        <v>1.1544658E-3</v>
      </c>
    </row>
    <row r="20357" spans="103:104" x14ac:dyDescent="0.3">
      <c r="CY20357" s="34" t="s">
        <v>21284</v>
      </c>
      <c r="CZ20357" s="35">
        <v>1.2918994999999999E-2</v>
      </c>
    </row>
    <row r="20358" spans="103:104" x14ac:dyDescent="0.3">
      <c r="CY20358" s="34" t="s">
        <v>21285</v>
      </c>
      <c r="CZ20358" s="35">
        <v>1.0162368000000001E-3</v>
      </c>
    </row>
    <row r="20359" spans="103:104" x14ac:dyDescent="0.3">
      <c r="CY20359" s="34" t="s">
        <v>21286</v>
      </c>
      <c r="CZ20359" s="35">
        <v>0.18710019999999999</v>
      </c>
    </row>
    <row r="20360" spans="103:104" x14ac:dyDescent="0.3">
      <c r="CY20360" s="34" t="s">
        <v>21287</v>
      </c>
      <c r="CZ20360" s="35">
        <v>2.5483032000000001E-3</v>
      </c>
    </row>
    <row r="20361" spans="103:104" x14ac:dyDescent="0.3">
      <c r="CY20361" s="34" t="s">
        <v>21288</v>
      </c>
      <c r="CZ20361" s="35">
        <v>4.6737756571428573E-3</v>
      </c>
    </row>
    <row r="20362" spans="103:104" x14ac:dyDescent="0.3">
      <c r="CY20362" s="34" t="s">
        <v>21289</v>
      </c>
      <c r="CZ20362" s="35">
        <v>5.4023950000000008E-3</v>
      </c>
    </row>
    <row r="20363" spans="103:104" x14ac:dyDescent="0.3">
      <c r="CY20363" s="34" t="s">
        <v>21290</v>
      </c>
      <c r="CZ20363" s="35">
        <v>3.7078879999999995E-3</v>
      </c>
    </row>
    <row r="20364" spans="103:104" x14ac:dyDescent="0.3">
      <c r="CY20364" s="34" t="s">
        <v>21291</v>
      </c>
      <c r="CZ20364" s="35">
        <v>3.1962930000000002E-3</v>
      </c>
    </row>
    <row r="20365" spans="103:104" x14ac:dyDescent="0.3">
      <c r="CY20365" s="34" t="s">
        <v>21292</v>
      </c>
      <c r="CZ20365" s="35">
        <v>1.5958945820000001E-2</v>
      </c>
    </row>
    <row r="20366" spans="103:104" x14ac:dyDescent="0.3">
      <c r="CY20366" s="34" t="s">
        <v>21293</v>
      </c>
      <c r="CZ20366" s="35">
        <v>1.3444356333333334E-2</v>
      </c>
    </row>
    <row r="20367" spans="103:104" x14ac:dyDescent="0.3">
      <c r="CY20367" s="34" t="s">
        <v>21294</v>
      </c>
      <c r="CZ20367" s="35">
        <v>1.6089717647058823E-2</v>
      </c>
    </row>
    <row r="20368" spans="103:104" x14ac:dyDescent="0.3">
      <c r="CY20368" s="34" t="s">
        <v>21295</v>
      </c>
      <c r="CZ20368" s="35">
        <v>2.5620979999999998E-2</v>
      </c>
    </row>
    <row r="20369" spans="103:104" x14ac:dyDescent="0.3">
      <c r="CY20369" s="34" t="s">
        <v>21296</v>
      </c>
      <c r="CZ20369" s="35">
        <v>2.116171E-2</v>
      </c>
    </row>
    <row r="20370" spans="103:104" x14ac:dyDescent="0.3">
      <c r="CY20370" s="34" t="s">
        <v>21297</v>
      </c>
      <c r="CZ20370" s="35">
        <v>2.3304469000000001E-2</v>
      </c>
    </row>
    <row r="20371" spans="103:104" x14ac:dyDescent="0.3">
      <c r="CY20371" s="34" t="s">
        <v>21298</v>
      </c>
      <c r="CZ20371" s="35">
        <v>3.6664394000000003E-2</v>
      </c>
    </row>
    <row r="20372" spans="103:104" x14ac:dyDescent="0.3">
      <c r="CY20372" s="34" t="s">
        <v>21299</v>
      </c>
      <c r="CZ20372" s="35">
        <v>3.8297641999999993E-2</v>
      </c>
    </row>
    <row r="20373" spans="103:104" x14ac:dyDescent="0.3">
      <c r="CY20373" s="34" t="s">
        <v>21300</v>
      </c>
      <c r="CZ20373" s="35">
        <v>7.141125000000001E-4</v>
      </c>
    </row>
    <row r="20374" spans="103:104" x14ac:dyDescent="0.3">
      <c r="CY20374" s="34" t="s">
        <v>21301</v>
      </c>
      <c r="CZ20374" s="35">
        <v>1.6571714526315787E-3</v>
      </c>
    </row>
    <row r="20375" spans="103:104" x14ac:dyDescent="0.3">
      <c r="CY20375" s="34" t="s">
        <v>21302</v>
      </c>
      <c r="CZ20375" s="35">
        <v>3.4563200000000001E-4</v>
      </c>
    </row>
    <row r="20376" spans="103:104" x14ac:dyDescent="0.3">
      <c r="CY20376" s="34" t="s">
        <v>21303</v>
      </c>
      <c r="CZ20376" s="35">
        <v>8.1348799999999988E-3</v>
      </c>
    </row>
    <row r="20377" spans="103:104" x14ac:dyDescent="0.3">
      <c r="CY20377" s="34" t="s">
        <v>21304</v>
      </c>
      <c r="CZ20377" s="35">
        <v>2.7214054199999997E-2</v>
      </c>
    </row>
    <row r="20378" spans="103:104" x14ac:dyDescent="0.3">
      <c r="CY20378" s="34" t="s">
        <v>21305</v>
      </c>
      <c r="CZ20378" s="35">
        <v>2.7214054200000001E-2</v>
      </c>
    </row>
    <row r="20379" spans="103:104" x14ac:dyDescent="0.3">
      <c r="CY20379" s="34" t="s">
        <v>21306</v>
      </c>
      <c r="CZ20379" s="35">
        <v>7.5322049999999988E-2</v>
      </c>
    </row>
    <row r="20380" spans="103:104" x14ac:dyDescent="0.3">
      <c r="CY20380" s="34" t="s">
        <v>21307</v>
      </c>
      <c r="CZ20380" s="35">
        <v>1.580376E-2</v>
      </c>
    </row>
    <row r="20381" spans="103:104" x14ac:dyDescent="0.3">
      <c r="CY20381" s="34" t="s">
        <v>21308</v>
      </c>
      <c r="CZ20381" s="35">
        <v>3.0794709201388888E-2</v>
      </c>
    </row>
    <row r="20382" spans="103:104" x14ac:dyDescent="0.3">
      <c r="CY20382" s="34" t="s">
        <v>21309</v>
      </c>
      <c r="CZ20382" s="35">
        <v>3.8325841666666666E-2</v>
      </c>
    </row>
    <row r="20383" spans="103:104" x14ac:dyDescent="0.3">
      <c r="CY20383" s="34" t="s">
        <v>21310</v>
      </c>
      <c r="CZ20383" s="35">
        <v>0.20761919422</v>
      </c>
    </row>
    <row r="20384" spans="103:104" x14ac:dyDescent="0.3">
      <c r="CY20384" s="34" t="s">
        <v>21311</v>
      </c>
      <c r="CZ20384" s="35">
        <v>0.21797679219999999</v>
      </c>
    </row>
    <row r="20385" spans="103:104" x14ac:dyDescent="0.3">
      <c r="CY20385" s="34" t="s">
        <v>21312</v>
      </c>
      <c r="CZ20385" s="35">
        <v>2.6740000000000002E-3</v>
      </c>
    </row>
    <row r="20386" spans="103:104" x14ac:dyDescent="0.3">
      <c r="CY20386" s="34" t="s">
        <v>21313</v>
      </c>
      <c r="CZ20386" s="35">
        <v>3.0859292E-2</v>
      </c>
    </row>
    <row r="20387" spans="103:104" x14ac:dyDescent="0.3">
      <c r="CY20387" s="34" t="s">
        <v>21314</v>
      </c>
      <c r="CZ20387" s="35">
        <v>3.0859292E-2</v>
      </c>
    </row>
    <row r="20388" spans="103:104" x14ac:dyDescent="0.3">
      <c r="CY20388" s="34" t="s">
        <v>21315</v>
      </c>
      <c r="CZ20388" s="35">
        <v>3.7150447999999992E-3</v>
      </c>
    </row>
    <row r="20389" spans="103:104" x14ac:dyDescent="0.3">
      <c r="CY20389" s="34" t="s">
        <v>21316</v>
      </c>
      <c r="CZ20389" s="35">
        <v>5.1105866666666675E-3</v>
      </c>
    </row>
    <row r="20390" spans="103:104" x14ac:dyDescent="0.3">
      <c r="CY20390" s="34" t="s">
        <v>21317</v>
      </c>
      <c r="CZ20390" s="35">
        <v>3.6650725333333328E-2</v>
      </c>
    </row>
    <row r="20391" spans="103:104" x14ac:dyDescent="0.3">
      <c r="CY20391" s="34" t="s">
        <v>21318</v>
      </c>
      <c r="CZ20391" s="35">
        <v>2.3317628E-2</v>
      </c>
    </row>
    <row r="20392" spans="103:104" x14ac:dyDescent="0.3">
      <c r="CY20392" s="34" t="s">
        <v>21319</v>
      </c>
      <c r="CZ20392" s="35">
        <v>1.7685682666666664E-2</v>
      </c>
    </row>
    <row r="20393" spans="103:104" x14ac:dyDescent="0.3">
      <c r="CY20393" s="34" t="s">
        <v>21320</v>
      </c>
      <c r="CZ20393" s="35">
        <v>4.2788529999999998E-2</v>
      </c>
    </row>
    <row r="20394" spans="103:104" x14ac:dyDescent="0.3">
      <c r="CY20394" s="34" t="s">
        <v>21321</v>
      </c>
      <c r="CZ20394" s="35">
        <v>1.9171904E-2</v>
      </c>
    </row>
    <row r="20395" spans="103:104" x14ac:dyDescent="0.3">
      <c r="CY20395" s="34" t="s">
        <v>21322</v>
      </c>
      <c r="CZ20395" s="35">
        <v>1.9171904E-2</v>
      </c>
    </row>
    <row r="20396" spans="103:104" x14ac:dyDescent="0.3">
      <c r="CY20396" s="34" t="s">
        <v>21323</v>
      </c>
      <c r="CZ20396" s="35">
        <v>1.9171904E-2</v>
      </c>
    </row>
    <row r="20397" spans="103:104" x14ac:dyDescent="0.3">
      <c r="CY20397" s="34" t="s">
        <v>21324</v>
      </c>
      <c r="CZ20397" s="35">
        <v>9.5559499999999988E-3</v>
      </c>
    </row>
    <row r="20398" spans="103:104" x14ac:dyDescent="0.3">
      <c r="CY20398" s="34" t="s">
        <v>21325</v>
      </c>
      <c r="CZ20398" s="35">
        <v>9.5559499999999988E-3</v>
      </c>
    </row>
    <row r="20399" spans="103:104" x14ac:dyDescent="0.3">
      <c r="CY20399" s="34" t="s">
        <v>21326</v>
      </c>
      <c r="CZ20399" s="35">
        <v>9.5559499999999988E-3</v>
      </c>
    </row>
    <row r="20400" spans="103:104" x14ac:dyDescent="0.3">
      <c r="CY20400" s="34" t="s">
        <v>21327</v>
      </c>
      <c r="CZ20400" s="35">
        <v>9.9697699999999993E-3</v>
      </c>
    </row>
    <row r="20401" spans="103:104" x14ac:dyDescent="0.3">
      <c r="CY20401" s="34" t="s">
        <v>21328</v>
      </c>
      <c r="CZ20401" s="35">
        <v>1.5025427692307691E-2</v>
      </c>
    </row>
    <row r="20402" spans="103:104" x14ac:dyDescent="0.3">
      <c r="CY20402" s="34" t="s">
        <v>21329</v>
      </c>
      <c r="CZ20402" s="35">
        <v>1.9533056E-2</v>
      </c>
    </row>
    <row r="20403" spans="103:104" x14ac:dyDescent="0.3">
      <c r="CY20403" s="34" t="s">
        <v>21330</v>
      </c>
      <c r="CZ20403" s="35">
        <v>4.9735519999999998E-2</v>
      </c>
    </row>
    <row r="20404" spans="103:104" x14ac:dyDescent="0.3">
      <c r="CY20404" s="34" t="s">
        <v>21331</v>
      </c>
      <c r="CZ20404" s="35">
        <v>1.5647445333333333E-2</v>
      </c>
    </row>
    <row r="20405" spans="103:104" x14ac:dyDescent="0.3">
      <c r="CY20405" s="34" t="s">
        <v>21332</v>
      </c>
      <c r="CZ20405" s="35">
        <v>6.0811519999999994E-2</v>
      </c>
    </row>
    <row r="20406" spans="103:104" x14ac:dyDescent="0.3">
      <c r="CY20406" s="34" t="s">
        <v>21333</v>
      </c>
      <c r="CZ20406" s="35">
        <v>5.0741599999999991E-2</v>
      </c>
    </row>
    <row r="20407" spans="103:104" x14ac:dyDescent="0.3">
      <c r="CY20407" s="34" t="s">
        <v>21334</v>
      </c>
      <c r="CZ20407" s="35">
        <v>1.6977688533333334E-2</v>
      </c>
    </row>
    <row r="20408" spans="103:104" x14ac:dyDescent="0.3">
      <c r="CY20408" s="34" t="s">
        <v>21335</v>
      </c>
      <c r="CZ20408" s="35">
        <v>5.6731832000000003E-2</v>
      </c>
    </row>
    <row r="20409" spans="103:104" x14ac:dyDescent="0.3">
      <c r="CY20409" s="34" t="s">
        <v>21336</v>
      </c>
      <c r="CZ20409" s="35">
        <v>6.1385340000000004E-2</v>
      </c>
    </row>
    <row r="20410" spans="103:104" x14ac:dyDescent="0.3">
      <c r="CY20410" s="34" t="s">
        <v>21337</v>
      </c>
      <c r="CZ20410" s="35">
        <v>6.9888800000000001E-2</v>
      </c>
    </row>
    <row r="20411" spans="103:104" x14ac:dyDescent="0.3">
      <c r="CY20411" s="34" t="s">
        <v>21338</v>
      </c>
      <c r="CZ20411" s="35">
        <v>0.10466552800000001</v>
      </c>
    </row>
    <row r="20412" spans="103:104" x14ac:dyDescent="0.3">
      <c r="CY20412" s="34" t="s">
        <v>21339</v>
      </c>
      <c r="CZ20412" s="35">
        <v>3.318063492063492E-3</v>
      </c>
    </row>
    <row r="20413" spans="103:104" x14ac:dyDescent="0.3">
      <c r="CY20413" s="34" t="s">
        <v>21340</v>
      </c>
      <c r="CZ20413" s="35">
        <v>6.9247897999999988E-2</v>
      </c>
    </row>
    <row r="20414" spans="103:104" x14ac:dyDescent="0.3">
      <c r="CY20414" s="34" t="s">
        <v>21341</v>
      </c>
      <c r="CZ20414" s="35">
        <v>9.1698329999999988E-3</v>
      </c>
    </row>
    <row r="20415" spans="103:104" x14ac:dyDescent="0.3">
      <c r="CY20415" s="34" t="s">
        <v>21342</v>
      </c>
      <c r="CZ20415" s="35">
        <v>2.279568E-3</v>
      </c>
    </row>
    <row r="20416" spans="103:104" x14ac:dyDescent="0.3">
      <c r="CY20416" s="34" t="s">
        <v>21343</v>
      </c>
      <c r="CZ20416" s="35">
        <v>8.4211279999999999E-2</v>
      </c>
    </row>
    <row r="20417" spans="103:104" x14ac:dyDescent="0.3">
      <c r="CY20417" s="34" t="s">
        <v>21344</v>
      </c>
      <c r="CZ20417" s="35">
        <v>5.6497604800000004E-2</v>
      </c>
    </row>
    <row r="20418" spans="103:104" x14ac:dyDescent="0.3">
      <c r="CY20418" s="34" t="s">
        <v>21345</v>
      </c>
      <c r="CZ20418" s="35">
        <v>8.9697452800000008E-2</v>
      </c>
    </row>
    <row r="20419" spans="103:104" x14ac:dyDescent="0.3">
      <c r="CY20419" s="34" t="s">
        <v>21346</v>
      </c>
      <c r="CZ20419" s="35">
        <v>0.27463499199999997</v>
      </c>
    </row>
    <row r="20420" spans="103:104" x14ac:dyDescent="0.3">
      <c r="CY20420" s="34" t="s">
        <v>21347</v>
      </c>
      <c r="CZ20420" s="35">
        <v>4.2160640888888878E-3</v>
      </c>
    </row>
    <row r="20421" spans="103:104" x14ac:dyDescent="0.3">
      <c r="CY20421" s="34" t="s">
        <v>21348</v>
      </c>
      <c r="CZ20421" s="35">
        <v>9.5376349999999999E-2</v>
      </c>
    </row>
    <row r="20422" spans="103:104" x14ac:dyDescent="0.3">
      <c r="CY20422" s="34" t="s">
        <v>21349</v>
      </c>
      <c r="CZ20422" s="35">
        <v>4.8340000000000001E-2</v>
      </c>
    </row>
    <row r="20423" spans="103:104" x14ac:dyDescent="0.3">
      <c r="CY20423" s="34" t="s">
        <v>21350</v>
      </c>
      <c r="CZ20423" s="35">
        <v>4.2683799999999994E-2</v>
      </c>
    </row>
    <row r="20424" spans="103:104" x14ac:dyDescent="0.3">
      <c r="CY20424" s="34" t="s">
        <v>21351</v>
      </c>
      <c r="CZ20424" s="35">
        <v>4.1645599999999998E-2</v>
      </c>
    </row>
    <row r="20425" spans="103:104" x14ac:dyDescent="0.3">
      <c r="CY20425" s="34" t="s">
        <v>21352</v>
      </c>
      <c r="CZ20425" s="35">
        <v>0.10431968</v>
      </c>
    </row>
    <row r="20426" spans="103:104" x14ac:dyDescent="0.3">
      <c r="CY20426" s="34" t="s">
        <v>21353</v>
      </c>
      <c r="CZ20426" s="35">
        <v>9.641878999999999E-2</v>
      </c>
    </row>
    <row r="20427" spans="103:104" x14ac:dyDescent="0.3">
      <c r="CY20427" s="34" t="s">
        <v>21354</v>
      </c>
      <c r="CZ20427" s="35">
        <v>4.8340000000000001E-2</v>
      </c>
    </row>
    <row r="20428" spans="103:104" x14ac:dyDescent="0.3">
      <c r="CY20428" s="34" t="s">
        <v>21355</v>
      </c>
      <c r="CZ20428" s="35">
        <v>4.2683799999999994E-2</v>
      </c>
    </row>
    <row r="20429" spans="103:104" x14ac:dyDescent="0.3">
      <c r="CY20429" s="34" t="s">
        <v>21356</v>
      </c>
      <c r="CZ20429" s="35">
        <v>4.1645599999999998E-2</v>
      </c>
    </row>
    <row r="20430" spans="103:104" x14ac:dyDescent="0.3">
      <c r="CY20430" s="34" t="s">
        <v>21357</v>
      </c>
      <c r="CZ20430" s="35">
        <v>0.10536212</v>
      </c>
    </row>
    <row r="20431" spans="103:104" x14ac:dyDescent="0.3">
      <c r="CY20431" s="34" t="s">
        <v>21358</v>
      </c>
      <c r="CZ20431" s="35">
        <v>8.7366079999999999E-2</v>
      </c>
    </row>
    <row r="20432" spans="103:104" x14ac:dyDescent="0.3">
      <c r="CY20432" s="34" t="s">
        <v>21359</v>
      </c>
      <c r="CZ20432" s="35">
        <v>4.5999083333333329E-2</v>
      </c>
    </row>
    <row r="20433" spans="103:104" x14ac:dyDescent="0.3">
      <c r="CY20433" s="34" t="s">
        <v>21360</v>
      </c>
      <c r="CZ20433" s="35">
        <v>4.0127000000000003E-2</v>
      </c>
    </row>
    <row r="20434" spans="103:104" x14ac:dyDescent="0.3">
      <c r="CY20434" s="34" t="s">
        <v>21361</v>
      </c>
      <c r="CZ20434" s="35">
        <v>9.1700279999999995E-2</v>
      </c>
    </row>
    <row r="20435" spans="103:104" x14ac:dyDescent="0.3">
      <c r="CY20435" s="34" t="s">
        <v>21362</v>
      </c>
      <c r="CZ20435" s="35">
        <v>2.9420010000000003E-4</v>
      </c>
    </row>
    <row r="20436" spans="103:104" x14ac:dyDescent="0.3">
      <c r="CY20436" s="34" t="s">
        <v>21363</v>
      </c>
      <c r="CZ20436" s="35">
        <v>0.10884583999999999</v>
      </c>
    </row>
    <row r="20437" spans="103:104" x14ac:dyDescent="0.3">
      <c r="CY20437" s="34" t="s">
        <v>21364</v>
      </c>
      <c r="CZ20437" s="35">
        <v>5.1978800000000006E-2</v>
      </c>
    </row>
    <row r="20438" spans="103:104" x14ac:dyDescent="0.3">
      <c r="CY20438" s="34" t="s">
        <v>21365</v>
      </c>
      <c r="CZ20438" s="35">
        <v>5.0953999999999999E-2</v>
      </c>
    </row>
    <row r="20439" spans="103:104" x14ac:dyDescent="0.3">
      <c r="CY20439" s="34" t="s">
        <v>21366</v>
      </c>
      <c r="CZ20439" s="35">
        <v>4.1997520000000003E-2</v>
      </c>
    </row>
    <row r="20440" spans="103:104" x14ac:dyDescent="0.3">
      <c r="CY20440" s="34" t="s">
        <v>21367</v>
      </c>
      <c r="CZ20440" s="35">
        <v>2.191908E-4</v>
      </c>
    </row>
    <row r="20441" spans="103:104" x14ac:dyDescent="0.3">
      <c r="CY20441" s="34" t="s">
        <v>21368</v>
      </c>
      <c r="CZ20441" s="35">
        <v>1.8560999999999996E-3</v>
      </c>
    </row>
    <row r="20442" spans="103:104" x14ac:dyDescent="0.3">
      <c r="CY20442" s="34" t="s">
        <v>21369</v>
      </c>
      <c r="CZ20442" s="35">
        <v>3.9956072000000002E-2</v>
      </c>
    </row>
    <row r="20443" spans="103:104" x14ac:dyDescent="0.3">
      <c r="CY20443" s="34" t="s">
        <v>21370</v>
      </c>
      <c r="CZ20443" s="35">
        <v>4.4141263157894744E-3</v>
      </c>
    </row>
    <row r="20444" spans="103:104" x14ac:dyDescent="0.3">
      <c r="CY20444" s="34" t="s">
        <v>21371</v>
      </c>
      <c r="CZ20444" s="35">
        <v>5.9785168E-3</v>
      </c>
    </row>
    <row r="20445" spans="103:104" x14ac:dyDescent="0.3">
      <c r="CY20445" s="34" t="s">
        <v>21372</v>
      </c>
      <c r="CZ20445" s="35">
        <v>6.5425239999999992E-3</v>
      </c>
    </row>
    <row r="20446" spans="103:104" x14ac:dyDescent="0.3">
      <c r="CY20446" s="34" t="s">
        <v>21373</v>
      </c>
      <c r="CZ20446" s="35">
        <v>4.1173999999999994E-3</v>
      </c>
    </row>
    <row r="20447" spans="103:104" x14ac:dyDescent="0.3">
      <c r="CY20447" s="34" t="s">
        <v>21374</v>
      </c>
      <c r="CZ20447" s="35">
        <v>6.5425239999999992E-3</v>
      </c>
    </row>
    <row r="20448" spans="103:104" x14ac:dyDescent="0.3">
      <c r="CY20448" s="34" t="s">
        <v>21375</v>
      </c>
      <c r="CZ20448" s="35">
        <v>6.2512100000000001E-3</v>
      </c>
    </row>
    <row r="20449" spans="103:104" x14ac:dyDescent="0.3">
      <c r="CY20449" s="34" t="s">
        <v>21376</v>
      </c>
      <c r="CZ20449" s="35">
        <v>5.5741946666666665E-4</v>
      </c>
    </row>
    <row r="20450" spans="103:104" x14ac:dyDescent="0.3">
      <c r="CY20450" s="34" t="s">
        <v>21377</v>
      </c>
      <c r="CZ20450" s="35">
        <v>5.5741946666666665E-4</v>
      </c>
    </row>
    <row r="20451" spans="103:104" x14ac:dyDescent="0.3">
      <c r="CY20451" s="34" t="s">
        <v>21378</v>
      </c>
      <c r="CZ20451" s="35">
        <v>4.9460232000000008E-3</v>
      </c>
    </row>
    <row r="20452" spans="103:104" x14ac:dyDescent="0.3">
      <c r="CY20452" s="34" t="s">
        <v>21379</v>
      </c>
      <c r="CZ20452" s="35">
        <v>1.657136E-2</v>
      </c>
    </row>
    <row r="20453" spans="103:104" x14ac:dyDescent="0.3">
      <c r="CY20453" s="34" t="s">
        <v>21380</v>
      </c>
      <c r="CZ20453" s="35">
        <v>3.6672000000000002E-3</v>
      </c>
    </row>
    <row r="20454" spans="103:104" x14ac:dyDescent="0.3">
      <c r="CY20454" s="34" t="s">
        <v>21381</v>
      </c>
      <c r="CZ20454" s="35">
        <v>7.3435079999999995E-3</v>
      </c>
    </row>
    <row r="20455" spans="103:104" x14ac:dyDescent="0.3">
      <c r="CY20455" s="34" t="s">
        <v>21382</v>
      </c>
      <c r="CZ20455" s="35">
        <v>7.5519000000000003E-3</v>
      </c>
    </row>
    <row r="20456" spans="103:104" x14ac:dyDescent="0.3">
      <c r="CY20456" s="34" t="s">
        <v>21383</v>
      </c>
      <c r="CZ20456" s="35">
        <v>5.9347700000000007E-3</v>
      </c>
    </row>
    <row r="20457" spans="103:104" x14ac:dyDescent="0.3">
      <c r="CY20457" s="34" t="s">
        <v>21384</v>
      </c>
      <c r="CZ20457" s="35">
        <v>5.4669519999999989E-3</v>
      </c>
    </row>
    <row r="20458" spans="103:104" x14ac:dyDescent="0.3">
      <c r="CY20458" s="34" t="s">
        <v>21385</v>
      </c>
      <c r="CZ20458" s="35">
        <v>4.3465200000000004E-3</v>
      </c>
    </row>
    <row r="20459" spans="103:104" x14ac:dyDescent="0.3">
      <c r="CY20459" s="34" t="s">
        <v>21386</v>
      </c>
      <c r="CZ20459" s="35">
        <v>5.5952859999999997E-3</v>
      </c>
    </row>
    <row r="20460" spans="103:104" x14ac:dyDescent="0.3">
      <c r="CY20460" s="34" t="s">
        <v>21387</v>
      </c>
      <c r="CZ20460" s="35">
        <v>3.5376399999999999E-3</v>
      </c>
    </row>
    <row r="20461" spans="103:104" x14ac:dyDescent="0.3">
      <c r="CY20461" s="34" t="s">
        <v>21388</v>
      </c>
      <c r="CZ20461" s="35">
        <v>6.8523249999999994E-3</v>
      </c>
    </row>
    <row r="20462" spans="103:104" x14ac:dyDescent="0.3">
      <c r="CY20462" s="34" t="s">
        <v>21389</v>
      </c>
      <c r="CZ20462" s="35">
        <v>3.4431508000000001E-3</v>
      </c>
    </row>
    <row r="20463" spans="103:104" x14ac:dyDescent="0.3">
      <c r="CY20463" s="34" t="s">
        <v>21390</v>
      </c>
      <c r="CZ20463" s="35">
        <v>1.4341395555555554</v>
      </c>
    </row>
    <row r="20464" spans="103:104" x14ac:dyDescent="0.3">
      <c r="CY20464" s="34" t="s">
        <v>21391</v>
      </c>
      <c r="CZ20464" s="35">
        <v>2.7563653333333338E-3</v>
      </c>
    </row>
    <row r="20465" spans="103:104" x14ac:dyDescent="0.3">
      <c r="CY20465" s="34" t="s">
        <v>21392</v>
      </c>
      <c r="CZ20465" s="35">
        <v>4.0705463550000003E-3</v>
      </c>
    </row>
    <row r="20466" spans="103:104" x14ac:dyDescent="0.3">
      <c r="CY20466" s="34" t="s">
        <v>21393</v>
      </c>
      <c r="CZ20466" s="35">
        <v>6.4683839999999998E-3</v>
      </c>
    </row>
    <row r="20467" spans="103:104" x14ac:dyDescent="0.3">
      <c r="CY20467" s="34" t="s">
        <v>21394</v>
      </c>
      <c r="CZ20467" s="35">
        <v>1.5297865000000001E-2</v>
      </c>
    </row>
    <row r="20468" spans="103:104" x14ac:dyDescent="0.3">
      <c r="CY20468" s="34" t="s">
        <v>21395</v>
      </c>
      <c r="CZ20468" s="35">
        <v>1.5297865000000001E-2</v>
      </c>
    </row>
    <row r="20469" spans="103:104" x14ac:dyDescent="0.3">
      <c r="CY20469" s="34" t="s">
        <v>21396</v>
      </c>
      <c r="CZ20469" s="35">
        <v>0.27490062499999995</v>
      </c>
    </row>
    <row r="20470" spans="103:104" x14ac:dyDescent="0.3">
      <c r="CY20470" s="34" t="s">
        <v>21397</v>
      </c>
      <c r="CZ20470" s="35">
        <v>0.265900625</v>
      </c>
    </row>
    <row r="20471" spans="103:104" x14ac:dyDescent="0.3">
      <c r="CY20471" s="34" t="s">
        <v>21398</v>
      </c>
      <c r="CZ20471" s="35">
        <v>1.4692144999999998E-2</v>
      </c>
    </row>
    <row r="20472" spans="103:104" x14ac:dyDescent="0.3">
      <c r="CY20472" s="34" t="s">
        <v>21399</v>
      </c>
      <c r="CZ20472" s="35">
        <v>1.4692145E-2</v>
      </c>
    </row>
    <row r="20473" spans="103:104" x14ac:dyDescent="0.3">
      <c r="CY20473" s="34" t="s">
        <v>21400</v>
      </c>
      <c r="CZ20473" s="35">
        <v>0.30334663333333328</v>
      </c>
    </row>
    <row r="20474" spans="103:104" x14ac:dyDescent="0.3">
      <c r="CY20474" s="34" t="s">
        <v>21401</v>
      </c>
      <c r="CZ20474" s="35">
        <v>1.6760776799999998E-2</v>
      </c>
    </row>
    <row r="20475" spans="103:104" x14ac:dyDescent="0.3">
      <c r="CY20475" s="34" t="s">
        <v>21402</v>
      </c>
      <c r="CZ20475" s="35">
        <v>0.16949705600000003</v>
      </c>
    </row>
    <row r="20476" spans="103:104" x14ac:dyDescent="0.3">
      <c r="CY20476" s="34" t="s">
        <v>21403</v>
      </c>
      <c r="CZ20476" s="35">
        <v>8.6627000000000006E-3</v>
      </c>
    </row>
    <row r="20477" spans="103:104" x14ac:dyDescent="0.3">
      <c r="CY20477" s="34" t="s">
        <v>21404</v>
      </c>
      <c r="CZ20477" s="35">
        <v>1.5072139999999998E-2</v>
      </c>
    </row>
    <row r="20478" spans="103:104" x14ac:dyDescent="0.3">
      <c r="CY20478" s="34" t="s">
        <v>21405</v>
      </c>
      <c r="CZ20478" s="35">
        <v>2.4589312499999998E-2</v>
      </c>
    </row>
    <row r="20479" spans="103:104" x14ac:dyDescent="0.3">
      <c r="CY20479" s="34" t="s">
        <v>21406</v>
      </c>
      <c r="CZ20479" s="35">
        <v>2.098678E-2</v>
      </c>
    </row>
    <row r="20480" spans="103:104" x14ac:dyDescent="0.3">
      <c r="CY20480" s="34" t="s">
        <v>21407</v>
      </c>
      <c r="CZ20480" s="35">
        <v>2.098678E-2</v>
      </c>
    </row>
    <row r="20481" spans="103:104" x14ac:dyDescent="0.3">
      <c r="CY20481" s="34" t="s">
        <v>21408</v>
      </c>
      <c r="CZ20481" s="35">
        <v>4.1525920000000003E-4</v>
      </c>
    </row>
    <row r="20482" spans="103:104" x14ac:dyDescent="0.3">
      <c r="CY20482" s="34" t="s">
        <v>21409</v>
      </c>
      <c r="CZ20482" s="35">
        <v>4.1077920000000007E-4</v>
      </c>
    </row>
    <row r="20483" spans="103:104" x14ac:dyDescent="0.3">
      <c r="CY20483" s="34" t="s">
        <v>21410</v>
      </c>
      <c r="CZ20483" s="35">
        <v>6.2246106666666665E-3</v>
      </c>
    </row>
    <row r="20484" spans="103:104" x14ac:dyDescent="0.3">
      <c r="CY20484" s="34" t="s">
        <v>21411</v>
      </c>
      <c r="CZ20484" s="35">
        <v>6.5163584E-3</v>
      </c>
    </row>
    <row r="20485" spans="103:104" x14ac:dyDescent="0.3">
      <c r="CY20485" s="34" t="s">
        <v>21412</v>
      </c>
      <c r="CZ20485" s="35">
        <v>4.1237564000000003E-3</v>
      </c>
    </row>
    <row r="20486" spans="103:104" x14ac:dyDescent="0.3">
      <c r="CY20486" s="34" t="s">
        <v>21413</v>
      </c>
      <c r="CZ20486" s="35">
        <v>3.3599436E-3</v>
      </c>
    </row>
    <row r="20487" spans="103:104" x14ac:dyDescent="0.3">
      <c r="CY20487" s="34" t="s">
        <v>21414</v>
      </c>
      <c r="CZ20487" s="35">
        <v>0.11324576</v>
      </c>
    </row>
    <row r="20488" spans="103:104" x14ac:dyDescent="0.3">
      <c r="CY20488" s="34" t="s">
        <v>21415</v>
      </c>
      <c r="CZ20488" s="35">
        <v>4.1700000000000005E-4</v>
      </c>
    </row>
    <row r="20489" spans="103:104" x14ac:dyDescent="0.3">
      <c r="CY20489" s="34" t="s">
        <v>21416</v>
      </c>
      <c r="CZ20489" s="35">
        <v>4.1700000000000005E-4</v>
      </c>
    </row>
    <row r="20490" spans="103:104" x14ac:dyDescent="0.3">
      <c r="CY20490" s="34" t="s">
        <v>21417</v>
      </c>
      <c r="CZ20490" s="35">
        <v>1.2682866659999999E-3</v>
      </c>
    </row>
    <row r="20491" spans="103:104" x14ac:dyDescent="0.3">
      <c r="CY20491" s="34" t="s">
        <v>21418</v>
      </c>
      <c r="CZ20491" s="35">
        <v>6.9166666666666676E-5</v>
      </c>
    </row>
    <row r="20492" spans="103:104" x14ac:dyDescent="0.3">
      <c r="CY20492" s="34" t="s">
        <v>21419</v>
      </c>
      <c r="CZ20492" s="35">
        <v>0.53181224999999999</v>
      </c>
    </row>
    <row r="20493" spans="103:104" x14ac:dyDescent="0.3">
      <c r="CY20493" s="34" t="s">
        <v>21420</v>
      </c>
      <c r="CZ20493" s="35">
        <v>0.38126558000000005</v>
      </c>
    </row>
    <row r="20494" spans="103:104" x14ac:dyDescent="0.3">
      <c r="CY20494" s="34" t="s">
        <v>21421</v>
      </c>
      <c r="CZ20494" s="35">
        <v>0.54101624999999987</v>
      </c>
    </row>
    <row r="20495" spans="103:104" x14ac:dyDescent="0.3">
      <c r="CY20495" s="34" t="s">
        <v>21422</v>
      </c>
      <c r="CZ20495" s="35">
        <v>0.38126558000000005</v>
      </c>
    </row>
    <row r="20496" spans="103:104" x14ac:dyDescent="0.3">
      <c r="CY20496" s="34" t="s">
        <v>21423</v>
      </c>
      <c r="CZ20496" s="35">
        <v>1.1125905125</v>
      </c>
    </row>
    <row r="20497" spans="103:104" x14ac:dyDescent="0.3">
      <c r="CY20497" s="34" t="s">
        <v>21424</v>
      </c>
      <c r="CZ20497" s="35">
        <v>1.1144514500000002</v>
      </c>
    </row>
    <row r="20498" spans="103:104" x14ac:dyDescent="0.3">
      <c r="CY20498" s="34" t="s">
        <v>21425</v>
      </c>
      <c r="CZ20498" s="35">
        <v>0.33574374000000007</v>
      </c>
    </row>
    <row r="20499" spans="103:104" x14ac:dyDescent="0.3">
      <c r="CY20499" s="34" t="s">
        <v>21426</v>
      </c>
      <c r="CZ20499" s="35">
        <v>1.0213409125000001</v>
      </c>
    </row>
    <row r="20500" spans="103:104" x14ac:dyDescent="0.3">
      <c r="CY20500" s="34" t="s">
        <v>21427</v>
      </c>
      <c r="CZ20500" s="35">
        <v>1.0232018500000002</v>
      </c>
    </row>
    <row r="20501" spans="103:104" x14ac:dyDescent="0.3">
      <c r="CY20501" s="34" t="s">
        <v>21428</v>
      </c>
      <c r="CZ20501" s="35">
        <v>1.0043361111111109E-2</v>
      </c>
    </row>
    <row r="20502" spans="103:104" x14ac:dyDescent="0.3">
      <c r="CY20502" s="34" t="s">
        <v>21429</v>
      </c>
      <c r="CZ20502" s="35">
        <v>7.0915250000000004E-3</v>
      </c>
    </row>
    <row r="20503" spans="103:104" x14ac:dyDescent="0.3">
      <c r="CY20503" s="34" t="s">
        <v>21430</v>
      </c>
      <c r="CZ20503" s="35">
        <v>1.4769212777777778E-2</v>
      </c>
    </row>
    <row r="20504" spans="103:104" x14ac:dyDescent="0.3">
      <c r="CY20504" s="34" t="s">
        <v>21431</v>
      </c>
      <c r="CZ20504" s="35">
        <v>6.4681519999999996E-3</v>
      </c>
    </row>
    <row r="20505" spans="103:104" x14ac:dyDescent="0.3">
      <c r="CY20505" s="34" t="s">
        <v>21432</v>
      </c>
      <c r="CZ20505" s="35">
        <v>9.6500800000000019E-3</v>
      </c>
    </row>
    <row r="20506" spans="103:104" x14ac:dyDescent="0.3">
      <c r="CY20506" s="34" t="s">
        <v>21433</v>
      </c>
      <c r="CZ20506" s="35">
        <v>4.5299999999999995E-4</v>
      </c>
    </row>
    <row r="20507" spans="103:104" x14ac:dyDescent="0.3">
      <c r="CY20507" s="34" t="s">
        <v>21434</v>
      </c>
      <c r="CZ20507" s="35">
        <v>0.59418852</v>
      </c>
    </row>
    <row r="20508" spans="103:104" x14ac:dyDescent="0.3">
      <c r="CY20508" s="34" t="s">
        <v>21435</v>
      </c>
      <c r="CZ20508" s="35">
        <v>1.1385000000000001E-2</v>
      </c>
    </row>
    <row r="20509" spans="103:104" x14ac:dyDescent="0.3">
      <c r="CY20509" s="34" t="s">
        <v>21436</v>
      </c>
      <c r="CZ20509" s="35">
        <v>0.26696621333333331</v>
      </c>
    </row>
    <row r="20510" spans="103:104" x14ac:dyDescent="0.3">
      <c r="CY20510" s="34" t="s">
        <v>21437</v>
      </c>
      <c r="CZ20510" s="35">
        <v>5.3342440000000001E-3</v>
      </c>
    </row>
    <row r="20511" spans="103:104" x14ac:dyDescent="0.3">
      <c r="CY20511" s="34" t="s">
        <v>21438</v>
      </c>
      <c r="CZ20511" s="35">
        <v>9.6574984000000016E-2</v>
      </c>
    </row>
    <row r="20512" spans="103:104" x14ac:dyDescent="0.3">
      <c r="CY20512" s="34" t="s">
        <v>21439</v>
      </c>
      <c r="CZ20512" s="35">
        <v>5.4263559999999995E-2</v>
      </c>
    </row>
    <row r="20513" spans="103:104" x14ac:dyDescent="0.3">
      <c r="CY20513" s="34" t="s">
        <v>21440</v>
      </c>
      <c r="CZ20513" s="35">
        <v>7.9016448000000003E-2</v>
      </c>
    </row>
    <row r="20514" spans="103:104" x14ac:dyDescent="0.3">
      <c r="CY20514" s="34" t="s">
        <v>21441</v>
      </c>
      <c r="CZ20514" s="35">
        <v>0.10356177940000003</v>
      </c>
    </row>
    <row r="20515" spans="103:104" x14ac:dyDescent="0.3">
      <c r="CY20515" s="34" t="s">
        <v>21442</v>
      </c>
      <c r="CZ20515" s="35">
        <v>0.1156031005</v>
      </c>
    </row>
    <row r="20516" spans="103:104" x14ac:dyDescent="0.3">
      <c r="CY20516" s="34" t="s">
        <v>21443</v>
      </c>
      <c r="CZ20516" s="35">
        <v>0.111494859899</v>
      </c>
    </row>
    <row r="20517" spans="103:104" x14ac:dyDescent="0.3">
      <c r="CY20517" s="34" t="s">
        <v>21444</v>
      </c>
      <c r="CZ20517" s="35">
        <v>1.6285955555555558E-2</v>
      </c>
    </row>
    <row r="20518" spans="103:104" x14ac:dyDescent="0.3">
      <c r="CY20518" s="34" t="s">
        <v>21445</v>
      </c>
      <c r="CZ20518" s="35">
        <v>0.11941846419999999</v>
      </c>
    </row>
    <row r="20519" spans="103:104" x14ac:dyDescent="0.3">
      <c r="CY20519" s="34" t="s">
        <v>21446</v>
      </c>
      <c r="CZ20519" s="35">
        <v>0.13494704019999998</v>
      </c>
    </row>
    <row r="20520" spans="103:104" x14ac:dyDescent="0.3">
      <c r="CY20520" s="34" t="s">
        <v>21447</v>
      </c>
      <c r="CZ20520" s="35">
        <v>9.8908160000000002E-3</v>
      </c>
    </row>
    <row r="20521" spans="103:104" x14ac:dyDescent="0.3">
      <c r="CY20521" s="34" t="s">
        <v>21448</v>
      </c>
      <c r="CZ20521" s="35">
        <v>1.7377662222222222E-2</v>
      </c>
    </row>
    <row r="20522" spans="103:104" x14ac:dyDescent="0.3">
      <c r="CY20522" s="34" t="s">
        <v>21449</v>
      </c>
      <c r="CZ20522" s="35">
        <v>1.3593267200000002E-2</v>
      </c>
    </row>
    <row r="20523" spans="103:104" x14ac:dyDescent="0.3">
      <c r="CY20523" s="34" t="s">
        <v>21450</v>
      </c>
      <c r="CZ20523" s="35">
        <v>9.5883969999999999E-2</v>
      </c>
    </row>
    <row r="20524" spans="103:104" x14ac:dyDescent="0.3">
      <c r="CY20524" s="34" t="s">
        <v>21451</v>
      </c>
      <c r="CZ20524" s="35">
        <v>6.6252559999999988E-2</v>
      </c>
    </row>
    <row r="20525" spans="103:104" x14ac:dyDescent="0.3">
      <c r="CY20525" s="34" t="s">
        <v>21452</v>
      </c>
      <c r="CZ20525" s="35">
        <v>8.411768E-2</v>
      </c>
    </row>
    <row r="20526" spans="103:104" x14ac:dyDescent="0.3">
      <c r="CY20526" s="34" t="s">
        <v>21453</v>
      </c>
      <c r="CZ20526" s="35">
        <v>1.0429623999999998E-3</v>
      </c>
    </row>
    <row r="20527" spans="103:104" x14ac:dyDescent="0.3">
      <c r="CY20527" s="34" t="s">
        <v>21454</v>
      </c>
      <c r="CZ20527" s="35">
        <v>0.10802172800000001</v>
      </c>
    </row>
    <row r="20528" spans="103:104" x14ac:dyDescent="0.3">
      <c r="CY20528" s="34" t="s">
        <v>21455</v>
      </c>
      <c r="CZ20528" s="35">
        <v>0.10469918199999999</v>
      </c>
    </row>
    <row r="20529" spans="103:104" x14ac:dyDescent="0.3">
      <c r="CY20529" s="34" t="s">
        <v>21456</v>
      </c>
      <c r="CZ20529" s="35">
        <v>1.7912309333333331E-2</v>
      </c>
    </row>
    <row r="20530" spans="103:104" x14ac:dyDescent="0.3">
      <c r="CY20530" s="34" t="s">
        <v>21457</v>
      </c>
      <c r="CZ20530" s="35">
        <v>7.6612799999999986E-3</v>
      </c>
    </row>
    <row r="20531" spans="103:104" x14ac:dyDescent="0.3">
      <c r="CY20531" s="34" t="s">
        <v>21458</v>
      </c>
      <c r="CZ20531" s="35">
        <v>7.4506199999999998E-3</v>
      </c>
    </row>
    <row r="20532" spans="103:104" x14ac:dyDescent="0.3">
      <c r="CY20532" s="34" t="s">
        <v>21459</v>
      </c>
      <c r="CZ20532" s="35">
        <v>6.6567095999999996E-3</v>
      </c>
    </row>
    <row r="20533" spans="103:104" x14ac:dyDescent="0.3">
      <c r="CY20533" s="34" t="s">
        <v>21460</v>
      </c>
      <c r="CZ20533" s="35">
        <v>8.768999999999999E-3</v>
      </c>
    </row>
    <row r="20534" spans="103:104" x14ac:dyDescent="0.3">
      <c r="CY20534" s="34" t="s">
        <v>21461</v>
      </c>
      <c r="CZ20534" s="35">
        <v>6.4231831578947379E-3</v>
      </c>
    </row>
    <row r="20535" spans="103:104" x14ac:dyDescent="0.3">
      <c r="CY20535" s="34" t="s">
        <v>21462</v>
      </c>
      <c r="CZ20535" s="35">
        <v>9.0321600000000009E-3</v>
      </c>
    </row>
    <row r="20536" spans="103:104" x14ac:dyDescent="0.3">
      <c r="CY20536" s="34" t="s">
        <v>21463</v>
      </c>
      <c r="CZ20536" s="35">
        <v>2.313168E-3</v>
      </c>
    </row>
    <row r="20537" spans="103:104" x14ac:dyDescent="0.3">
      <c r="CY20537" s="34" t="s">
        <v>21464</v>
      </c>
      <c r="CZ20537" s="35">
        <v>1.2066999999999998E-3</v>
      </c>
    </row>
    <row r="20538" spans="103:104" x14ac:dyDescent="0.3">
      <c r="CY20538" s="34" t="s">
        <v>21465</v>
      </c>
      <c r="CZ20538" s="35">
        <v>1.2148981E-2</v>
      </c>
    </row>
    <row r="20539" spans="103:104" x14ac:dyDescent="0.3">
      <c r="CY20539" s="34" t="s">
        <v>21466</v>
      </c>
      <c r="CZ20539" s="35">
        <v>5.1919740000000006E-2</v>
      </c>
    </row>
    <row r="20540" spans="103:104" x14ac:dyDescent="0.3">
      <c r="CY20540" s="34" t="s">
        <v>21467</v>
      </c>
      <c r="CZ20540" s="35">
        <v>5.276921066666667E-2</v>
      </c>
    </row>
    <row r="20541" spans="103:104" x14ac:dyDescent="0.3">
      <c r="CY20541" s="34" t="s">
        <v>21468</v>
      </c>
      <c r="CZ20541" s="35">
        <v>2.1331329999999997E-3</v>
      </c>
    </row>
    <row r="20542" spans="103:104" x14ac:dyDescent="0.3">
      <c r="CY20542" s="34" t="s">
        <v>21469</v>
      </c>
      <c r="CZ20542" s="35">
        <v>7.1856071999999993E-2</v>
      </c>
    </row>
    <row r="20543" spans="103:104" x14ac:dyDescent="0.3">
      <c r="CY20543" s="34" t="s">
        <v>21470</v>
      </c>
      <c r="CZ20543" s="35">
        <v>4.6417333333333335E-3</v>
      </c>
    </row>
    <row r="20544" spans="103:104" x14ac:dyDescent="0.3">
      <c r="CY20544" s="34" t="s">
        <v>21471</v>
      </c>
      <c r="CZ20544" s="35">
        <v>2.5840933333333336E-3</v>
      </c>
    </row>
    <row r="20545" spans="103:104" x14ac:dyDescent="0.3">
      <c r="CY20545" s="34" t="s">
        <v>21472</v>
      </c>
      <c r="CZ20545" s="35">
        <v>9.3514087999999988E-3</v>
      </c>
    </row>
    <row r="20546" spans="103:104" x14ac:dyDescent="0.3">
      <c r="CY20546" s="34" t="s">
        <v>21473</v>
      </c>
      <c r="CZ20546" s="35">
        <v>9.3514087999999988E-3</v>
      </c>
    </row>
    <row r="20547" spans="103:104" x14ac:dyDescent="0.3">
      <c r="CY20547" s="34" t="s">
        <v>21474</v>
      </c>
      <c r="CZ20547" s="35">
        <v>1.0113632000000001E-2</v>
      </c>
    </row>
    <row r="20548" spans="103:104" x14ac:dyDescent="0.3">
      <c r="CY20548" s="34" t="s">
        <v>21475</v>
      </c>
      <c r="CZ20548" s="35">
        <v>1.6510800000000001E-3</v>
      </c>
    </row>
    <row r="20549" spans="103:104" x14ac:dyDescent="0.3">
      <c r="CY20549" s="34" t="s">
        <v>21476</v>
      </c>
      <c r="CZ20549" s="35">
        <v>5.6629247999999991E-3</v>
      </c>
    </row>
    <row r="20550" spans="103:104" x14ac:dyDescent="0.3">
      <c r="CY20550" s="34" t="s">
        <v>21477</v>
      </c>
      <c r="CZ20550" s="35">
        <v>5.6629247999999991E-3</v>
      </c>
    </row>
    <row r="20551" spans="103:104" x14ac:dyDescent="0.3">
      <c r="CY20551" s="34" t="s">
        <v>21478</v>
      </c>
      <c r="CZ20551" s="35">
        <v>0.10345600000000001</v>
      </c>
    </row>
    <row r="20552" spans="103:104" x14ac:dyDescent="0.3">
      <c r="CY20552" s="34" t="s">
        <v>21479</v>
      </c>
      <c r="CZ20552" s="35">
        <v>2.3134879999999998E-3</v>
      </c>
    </row>
    <row r="20553" spans="103:104" x14ac:dyDescent="0.3">
      <c r="CY20553" s="34" t="s">
        <v>21480</v>
      </c>
      <c r="CZ20553" s="35">
        <v>2.8407250000000002E-2</v>
      </c>
    </row>
    <row r="20554" spans="103:104" x14ac:dyDescent="0.3">
      <c r="CY20554" s="34" t="s">
        <v>21481</v>
      </c>
      <c r="CZ20554" s="35">
        <v>7.9865360000000007E-3</v>
      </c>
    </row>
    <row r="20555" spans="103:104" x14ac:dyDescent="0.3">
      <c r="CY20555" s="34" t="s">
        <v>21482</v>
      </c>
      <c r="CZ20555" s="35">
        <v>3.9436799999999994E-2</v>
      </c>
    </row>
    <row r="20556" spans="103:104" x14ac:dyDescent="0.3">
      <c r="CY20556" s="34" t="s">
        <v>21483</v>
      </c>
      <c r="CZ20556" s="35">
        <v>7.1927599999999994E-3</v>
      </c>
    </row>
    <row r="20557" spans="103:104" x14ac:dyDescent="0.3">
      <c r="CY20557" s="34" t="s">
        <v>21484</v>
      </c>
      <c r="CZ20557" s="35">
        <v>9.3797333333333326E-3</v>
      </c>
    </row>
    <row r="20558" spans="103:104" x14ac:dyDescent="0.3">
      <c r="CY20558" s="34" t="s">
        <v>21485</v>
      </c>
      <c r="CZ20558" s="35">
        <v>2.4947519999999997E-2</v>
      </c>
    </row>
    <row r="20559" spans="103:104" x14ac:dyDescent="0.3">
      <c r="CY20559" s="34" t="s">
        <v>21486</v>
      </c>
      <c r="CZ20559" s="35">
        <v>1.3447616000000003E-2</v>
      </c>
    </row>
    <row r="20560" spans="103:104" x14ac:dyDescent="0.3">
      <c r="CY20560" s="34" t="s">
        <v>21487</v>
      </c>
      <c r="CZ20560" s="35">
        <v>0.12514761999999999</v>
      </c>
    </row>
    <row r="20561" spans="103:104" x14ac:dyDescent="0.3">
      <c r="CY20561" s="34" t="s">
        <v>21488</v>
      </c>
      <c r="CZ20561" s="35">
        <v>1.3357480000000001E-2</v>
      </c>
    </row>
    <row r="20562" spans="103:104" x14ac:dyDescent="0.3">
      <c r="CY20562" s="34" t="s">
        <v>21489</v>
      </c>
      <c r="CZ20562" s="35">
        <v>4.6502193066666666E-3</v>
      </c>
    </row>
    <row r="20563" spans="103:104" x14ac:dyDescent="0.3">
      <c r="CY20563" s="34" t="s">
        <v>21490</v>
      </c>
      <c r="CZ20563" s="35">
        <v>4.2278079999999996E-3</v>
      </c>
    </row>
    <row r="20564" spans="103:104" x14ac:dyDescent="0.3">
      <c r="CY20564" s="34" t="s">
        <v>21491</v>
      </c>
      <c r="CZ20564" s="35">
        <v>4.6394386666666664E-3</v>
      </c>
    </row>
    <row r="20565" spans="103:104" x14ac:dyDescent="0.3">
      <c r="CY20565" s="34" t="s">
        <v>21492</v>
      </c>
      <c r="CZ20565" s="35">
        <v>0.62379896111111111</v>
      </c>
    </row>
    <row r="20566" spans="103:104" x14ac:dyDescent="0.3">
      <c r="CY20566" s="34" t="s">
        <v>21493</v>
      </c>
      <c r="CZ20566" s="35">
        <v>1.9807718399999998E-3</v>
      </c>
    </row>
    <row r="20567" spans="103:104" x14ac:dyDescent="0.3">
      <c r="CY20567" s="34" t="s">
        <v>21494</v>
      </c>
      <c r="CZ20567" s="35">
        <v>1.5156814399999999E-2</v>
      </c>
    </row>
    <row r="20568" spans="103:104" x14ac:dyDescent="0.3">
      <c r="CY20568" s="34" t="s">
        <v>21495</v>
      </c>
      <c r="CZ20568" s="35">
        <v>0.53930078500000012</v>
      </c>
    </row>
    <row r="20569" spans="103:104" x14ac:dyDescent="0.3">
      <c r="CY20569" s="34" t="s">
        <v>21496</v>
      </c>
      <c r="CZ20569" s="35">
        <v>5.2133706666666656E-3</v>
      </c>
    </row>
    <row r="20570" spans="103:104" x14ac:dyDescent="0.3">
      <c r="CY20570" s="34" t="s">
        <v>21497</v>
      </c>
      <c r="CZ20570" s="35">
        <v>3.1366666666666663E-4</v>
      </c>
    </row>
    <row r="20571" spans="103:104" x14ac:dyDescent="0.3">
      <c r="CY20571" s="34" t="s">
        <v>21498</v>
      </c>
      <c r="CZ20571" s="35">
        <v>1.8046092399999999E-3</v>
      </c>
    </row>
    <row r="20572" spans="103:104" x14ac:dyDescent="0.3">
      <c r="CY20572" s="34" t="s">
        <v>21499</v>
      </c>
      <c r="CZ20572" s="35">
        <v>1.018414E-3</v>
      </c>
    </row>
    <row r="20573" spans="103:104" x14ac:dyDescent="0.3">
      <c r="CY20573" s="34" t="s">
        <v>21500</v>
      </c>
      <c r="CZ20573" s="35">
        <v>0.46198612499999997</v>
      </c>
    </row>
    <row r="20574" spans="103:104" x14ac:dyDescent="0.3">
      <c r="CY20574" s="34" t="s">
        <v>21501</v>
      </c>
      <c r="CZ20574" s="35">
        <v>0.39199412500000003</v>
      </c>
    </row>
    <row r="20575" spans="103:104" x14ac:dyDescent="0.3">
      <c r="CY20575" s="34" t="s">
        <v>21502</v>
      </c>
      <c r="CZ20575" s="35">
        <v>0.342434725</v>
      </c>
    </row>
    <row r="20576" spans="103:104" x14ac:dyDescent="0.3">
      <c r="CY20576" s="34" t="s">
        <v>21503</v>
      </c>
      <c r="CZ20576" s="35">
        <v>0.40669244500000001</v>
      </c>
    </row>
    <row r="20577" spans="103:104" x14ac:dyDescent="0.3">
      <c r="CY20577" s="34" t="s">
        <v>21504</v>
      </c>
      <c r="CZ20577" s="35">
        <v>0.45148732500000005</v>
      </c>
    </row>
    <row r="20578" spans="103:104" x14ac:dyDescent="0.3">
      <c r="CY20578" s="34" t="s">
        <v>21505</v>
      </c>
      <c r="CZ20578" s="35">
        <v>8.1932000000000005E-2</v>
      </c>
    </row>
    <row r="20579" spans="103:104" x14ac:dyDescent="0.3">
      <c r="CY20579" s="34" t="s">
        <v>21506</v>
      </c>
      <c r="CZ20579" s="35">
        <v>0.12043904000000002</v>
      </c>
    </row>
    <row r="20580" spans="103:104" x14ac:dyDescent="0.3">
      <c r="CY20580" s="34" t="s">
        <v>21507</v>
      </c>
      <c r="CZ20580" s="35">
        <v>8.254976E-2</v>
      </c>
    </row>
    <row r="20581" spans="103:104" x14ac:dyDescent="0.3">
      <c r="CY20581" s="34" t="s">
        <v>21508</v>
      </c>
      <c r="CZ20581" s="35">
        <v>0.10048213333333332</v>
      </c>
    </row>
    <row r="20582" spans="103:104" x14ac:dyDescent="0.3">
      <c r="CY20582" s="34" t="s">
        <v>21509</v>
      </c>
      <c r="CZ20582" s="35">
        <v>7.8621239999999998E-3</v>
      </c>
    </row>
    <row r="20583" spans="103:104" x14ac:dyDescent="0.3">
      <c r="CY20583" s="34" t="s">
        <v>21510</v>
      </c>
      <c r="CZ20583" s="35">
        <v>7.8621239999999998E-3</v>
      </c>
    </row>
    <row r="20584" spans="103:104" x14ac:dyDescent="0.3">
      <c r="CY20584" s="34" t="s">
        <v>21511</v>
      </c>
      <c r="CZ20584" s="35">
        <v>5.2011206071428564</v>
      </c>
    </row>
    <row r="20585" spans="103:104" x14ac:dyDescent="0.3">
      <c r="CY20585" s="34" t="s">
        <v>21512</v>
      </c>
      <c r="CZ20585" s="35">
        <v>2.1734449750000001E-3</v>
      </c>
    </row>
    <row r="20586" spans="103:104" x14ac:dyDescent="0.3">
      <c r="CY20586" s="34" t="s">
        <v>21513</v>
      </c>
      <c r="CZ20586" s="35">
        <v>5.6426423999999999E-3</v>
      </c>
    </row>
    <row r="20587" spans="103:104" x14ac:dyDescent="0.3">
      <c r="CY20587" s="34" t="s">
        <v>21514</v>
      </c>
      <c r="CZ20587" s="35">
        <v>7.360723555555556E-3</v>
      </c>
    </row>
    <row r="20588" spans="103:104" x14ac:dyDescent="0.3">
      <c r="CY20588" s="34" t="s">
        <v>21515</v>
      </c>
      <c r="CZ20588" s="35">
        <v>0.1044936266</v>
      </c>
    </row>
    <row r="20589" spans="103:104" x14ac:dyDescent="0.3">
      <c r="CY20589" s="34" t="s">
        <v>21516</v>
      </c>
      <c r="CZ20589" s="35">
        <v>0.4309166666</v>
      </c>
    </row>
    <row r="20590" spans="103:104" x14ac:dyDescent="0.3">
      <c r="CY20590" s="34" t="s">
        <v>21517</v>
      </c>
      <c r="CZ20590" s="35">
        <v>1.4001768000000001E-2</v>
      </c>
    </row>
    <row r="20591" spans="103:104" x14ac:dyDescent="0.3">
      <c r="CY20591" s="34" t="s">
        <v>21518</v>
      </c>
      <c r="CZ20591" s="35">
        <v>1.5058137600000002E-2</v>
      </c>
    </row>
    <row r="20592" spans="103:104" x14ac:dyDescent="0.3">
      <c r="CY20592" s="34" t="s">
        <v>21519</v>
      </c>
      <c r="CZ20592" s="35">
        <v>0.20530824</v>
      </c>
    </row>
    <row r="20593" spans="103:104" x14ac:dyDescent="0.3">
      <c r="CY20593" s="34" t="s">
        <v>21520</v>
      </c>
      <c r="CZ20593" s="35">
        <v>0.20214768000000002</v>
      </c>
    </row>
    <row r="20594" spans="103:104" x14ac:dyDescent="0.3">
      <c r="CY20594" s="34" t="s">
        <v>21521</v>
      </c>
      <c r="CZ20594" s="35">
        <v>0.11791414000000001</v>
      </c>
    </row>
    <row r="20595" spans="103:104" x14ac:dyDescent="0.3">
      <c r="CY20595" s="34" t="s">
        <v>21522</v>
      </c>
      <c r="CZ20595" s="35">
        <v>0.17364848399999999</v>
      </c>
    </row>
    <row r="20596" spans="103:104" x14ac:dyDescent="0.3">
      <c r="CY20596" s="34" t="s">
        <v>21523</v>
      </c>
      <c r="CZ20596" s="35">
        <v>0.14524806400000001</v>
      </c>
    </row>
    <row r="20597" spans="103:104" x14ac:dyDescent="0.3">
      <c r="CY20597" s="34" t="s">
        <v>21524</v>
      </c>
      <c r="CZ20597" s="35">
        <v>1.0788960000000002E-2</v>
      </c>
    </row>
    <row r="20598" spans="103:104" x14ac:dyDescent="0.3">
      <c r="CY20598" s="34" t="s">
        <v>21525</v>
      </c>
      <c r="CZ20598" s="35">
        <v>0.31257999999999997</v>
      </c>
    </row>
    <row r="20599" spans="103:104" x14ac:dyDescent="0.3">
      <c r="CY20599" s="34" t="s">
        <v>21526</v>
      </c>
      <c r="CZ20599" s="35">
        <v>0.14327872</v>
      </c>
    </row>
    <row r="20600" spans="103:104" x14ac:dyDescent="0.3">
      <c r="CY20600" s="34" t="s">
        <v>21527</v>
      </c>
      <c r="CZ20600" s="35">
        <v>0.14327872</v>
      </c>
    </row>
    <row r="20601" spans="103:104" x14ac:dyDescent="0.3">
      <c r="CY20601" s="34" t="s">
        <v>21528</v>
      </c>
      <c r="CZ20601" s="35">
        <v>1.8682560000000001E-2</v>
      </c>
    </row>
    <row r="20602" spans="103:104" x14ac:dyDescent="0.3">
      <c r="CY20602" s="34" t="s">
        <v>21529</v>
      </c>
      <c r="CZ20602" s="35">
        <v>6.1971103333749999E-2</v>
      </c>
    </row>
    <row r="20603" spans="103:104" x14ac:dyDescent="0.3">
      <c r="CY20603" s="34" t="s">
        <v>21530</v>
      </c>
      <c r="CZ20603" s="35">
        <v>6.4260756000000002E-2</v>
      </c>
    </row>
    <row r="20604" spans="103:104" x14ac:dyDescent="0.3">
      <c r="CY20604" s="34" t="s">
        <v>21531</v>
      </c>
      <c r="CZ20604" s="35">
        <v>2.7090879999999998E-2</v>
      </c>
    </row>
    <row r="20605" spans="103:104" x14ac:dyDescent="0.3">
      <c r="CY20605" s="34" t="s">
        <v>21532</v>
      </c>
      <c r="CZ20605" s="35">
        <v>1.7542296428571427E-2</v>
      </c>
    </row>
    <row r="20606" spans="103:104" x14ac:dyDescent="0.3">
      <c r="CY20606" s="34" t="s">
        <v>21533</v>
      </c>
      <c r="CZ20606" s="35">
        <v>7.7405999999999994E-3</v>
      </c>
    </row>
    <row r="20607" spans="103:104" x14ac:dyDescent="0.3">
      <c r="CY20607" s="34" t="s">
        <v>21534</v>
      </c>
      <c r="CZ20607" s="35">
        <v>3.2749250000000001E-2</v>
      </c>
    </row>
    <row r="20608" spans="103:104" x14ac:dyDescent="0.3">
      <c r="CY20608" s="34" t="s">
        <v>21535</v>
      </c>
      <c r="CZ20608" s="35">
        <v>3.5677271578947366E-2</v>
      </c>
    </row>
    <row r="20609" spans="103:104" x14ac:dyDescent="0.3">
      <c r="CY20609" s="34" t="s">
        <v>21536</v>
      </c>
      <c r="CZ20609" s="35">
        <v>3.4590568421052632E-2</v>
      </c>
    </row>
    <row r="20610" spans="103:104" x14ac:dyDescent="0.3">
      <c r="CY20610" s="34" t="s">
        <v>21537</v>
      </c>
      <c r="CZ20610" s="35">
        <v>2.7412747500000001E-2</v>
      </c>
    </row>
    <row r="20611" spans="103:104" x14ac:dyDescent="0.3">
      <c r="CY20611" s="34" t="s">
        <v>21538</v>
      </c>
      <c r="CZ20611" s="35">
        <v>1.3231440000000001E-2</v>
      </c>
    </row>
    <row r="20612" spans="103:104" x14ac:dyDescent="0.3">
      <c r="CY20612" s="34" t="s">
        <v>21539</v>
      </c>
      <c r="CZ20612" s="35">
        <v>3.8144623999999995E-2</v>
      </c>
    </row>
    <row r="20613" spans="103:104" x14ac:dyDescent="0.3">
      <c r="CY20613" s="34" t="s">
        <v>21540</v>
      </c>
      <c r="CZ20613" s="35">
        <v>0.15582684719101123</v>
      </c>
    </row>
    <row r="20614" spans="103:104" x14ac:dyDescent="0.3">
      <c r="CY20614" s="34" t="s">
        <v>21541</v>
      </c>
      <c r="CZ20614" s="35">
        <v>0.42037837600000005</v>
      </c>
    </row>
    <row r="20615" spans="103:104" x14ac:dyDescent="0.3">
      <c r="CY20615" s="34" t="s">
        <v>21542</v>
      </c>
      <c r="CZ20615" s="35">
        <v>1.9853632941176473E-3</v>
      </c>
    </row>
    <row r="20616" spans="103:104" x14ac:dyDescent="0.3">
      <c r="CY20616" s="34" t="s">
        <v>21543</v>
      </c>
      <c r="CZ20616" s="35">
        <v>1.2167173000000003E-3</v>
      </c>
    </row>
    <row r="20617" spans="103:104" x14ac:dyDescent="0.3">
      <c r="CY20617" s="34" t="s">
        <v>21544</v>
      </c>
      <c r="CZ20617" s="35">
        <v>1.5900978E-3</v>
      </c>
    </row>
    <row r="20618" spans="103:104" x14ac:dyDescent="0.3">
      <c r="CY20618" s="34" t="s">
        <v>21545</v>
      </c>
      <c r="CZ20618" s="35">
        <v>3.5204359999999997E-2</v>
      </c>
    </row>
    <row r="20619" spans="103:104" x14ac:dyDescent="0.3">
      <c r="CY20619" s="34" t="s">
        <v>21546</v>
      </c>
      <c r="CZ20619" s="35">
        <v>1.7879388235294118E-4</v>
      </c>
    </row>
    <row r="20620" spans="103:104" x14ac:dyDescent="0.3">
      <c r="CY20620" s="34" t="s">
        <v>21547</v>
      </c>
      <c r="CZ20620" s="35">
        <v>2.3784956862745097E-4</v>
      </c>
    </row>
    <row r="20621" spans="103:104" x14ac:dyDescent="0.3">
      <c r="CY20621" s="34" t="s">
        <v>21548</v>
      </c>
      <c r="CZ20621" s="35">
        <v>4.9086155999999992E-2</v>
      </c>
    </row>
    <row r="20622" spans="103:104" x14ac:dyDescent="0.3">
      <c r="CY20622" s="34" t="s">
        <v>21549</v>
      </c>
      <c r="CZ20622" s="35">
        <v>2.2427283999999995E-3</v>
      </c>
    </row>
    <row r="20623" spans="103:104" x14ac:dyDescent="0.3">
      <c r="CY20623" s="34" t="s">
        <v>21550</v>
      </c>
      <c r="CZ20623" s="35">
        <v>2.3103037600000001E-3</v>
      </c>
    </row>
    <row r="20624" spans="103:104" x14ac:dyDescent="0.3">
      <c r="CY20624" s="34" t="s">
        <v>21551</v>
      </c>
      <c r="CZ20624" s="35">
        <v>6.0819480000000011E-3</v>
      </c>
    </row>
    <row r="20625" spans="103:104" x14ac:dyDescent="0.3">
      <c r="CY20625" s="34" t="s">
        <v>21552</v>
      </c>
      <c r="CZ20625" s="35">
        <v>2.7442521333333339E-3</v>
      </c>
    </row>
    <row r="20626" spans="103:104" x14ac:dyDescent="0.3">
      <c r="CY20626" s="34" t="s">
        <v>21553</v>
      </c>
      <c r="CZ20626" s="35">
        <v>9.7279300000000001E-4</v>
      </c>
    </row>
    <row r="20627" spans="103:104" x14ac:dyDescent="0.3">
      <c r="CY20627" s="34" t="s">
        <v>21554</v>
      </c>
      <c r="CZ20627" s="35">
        <v>2.1956452E-3</v>
      </c>
    </row>
    <row r="20628" spans="103:104" x14ac:dyDescent="0.3">
      <c r="CY20628" s="34" t="s">
        <v>21555</v>
      </c>
      <c r="CZ20628" s="35">
        <v>5.9802375000000005E-2</v>
      </c>
    </row>
    <row r="20629" spans="103:104" x14ac:dyDescent="0.3">
      <c r="CY20629" s="34" t="s">
        <v>21556</v>
      </c>
      <c r="CZ20629" s="35">
        <v>1.519556E-2</v>
      </c>
    </row>
    <row r="20630" spans="103:104" x14ac:dyDescent="0.3">
      <c r="CY20630" s="34" t="s">
        <v>21557</v>
      </c>
      <c r="CZ20630" s="35">
        <v>0.6246872</v>
      </c>
    </row>
    <row r="20631" spans="103:104" x14ac:dyDescent="0.3">
      <c r="CY20631" s="34" t="s">
        <v>21558</v>
      </c>
      <c r="CZ20631" s="35">
        <v>0.71378450000000004</v>
      </c>
    </row>
    <row r="20632" spans="103:104" x14ac:dyDescent="0.3">
      <c r="CY20632" s="34" t="s">
        <v>21559</v>
      </c>
      <c r="CZ20632" s="35">
        <v>0.60209859999999993</v>
      </c>
    </row>
    <row r="20633" spans="103:104" x14ac:dyDescent="0.3">
      <c r="CY20633" s="34" t="s">
        <v>21560</v>
      </c>
      <c r="CZ20633" s="35">
        <v>0.6883667</v>
      </c>
    </row>
    <row r="20634" spans="103:104" x14ac:dyDescent="0.3">
      <c r="CY20634" s="34" t="s">
        <v>21561</v>
      </c>
      <c r="CZ20634" s="35">
        <v>8.8375212000000002E-3</v>
      </c>
    </row>
    <row r="20635" spans="103:104" x14ac:dyDescent="0.3">
      <c r="CY20635" s="34" t="s">
        <v>21562</v>
      </c>
      <c r="CZ20635" s="35">
        <v>1.5916551764705883E-2</v>
      </c>
    </row>
    <row r="20636" spans="103:104" x14ac:dyDescent="0.3">
      <c r="CY20636" s="34" t="s">
        <v>21563</v>
      </c>
      <c r="CZ20636" s="35">
        <v>1.9106293490196082E-2</v>
      </c>
    </row>
    <row r="20637" spans="103:104" x14ac:dyDescent="0.3">
      <c r="CY20637" s="34" t="s">
        <v>21564</v>
      </c>
      <c r="CZ20637" s="35">
        <v>1.3496991799999997E-2</v>
      </c>
    </row>
    <row r="20638" spans="103:104" x14ac:dyDescent="0.3">
      <c r="CY20638" s="34" t="s">
        <v>21565</v>
      </c>
      <c r="CZ20638" s="35">
        <v>2.066452E-4</v>
      </c>
    </row>
    <row r="20639" spans="103:104" x14ac:dyDescent="0.3">
      <c r="CY20639" s="34" t="s">
        <v>21566</v>
      </c>
      <c r="CZ20639" s="35">
        <v>1.6636392599999997E-2</v>
      </c>
    </row>
    <row r="20640" spans="103:104" x14ac:dyDescent="0.3">
      <c r="CY20640" s="34" t="s">
        <v>21567</v>
      </c>
      <c r="CZ20640" s="35">
        <v>1.0635883949999999E-2</v>
      </c>
    </row>
    <row r="20641" spans="103:104" x14ac:dyDescent="0.3">
      <c r="CY20641" s="34" t="s">
        <v>21568</v>
      </c>
      <c r="CZ20641" s="35">
        <v>9.8738176050000001E-2</v>
      </c>
    </row>
    <row r="20642" spans="103:104" x14ac:dyDescent="0.3">
      <c r="CY20642" s="34" t="s">
        <v>21569</v>
      </c>
      <c r="CZ20642" s="35">
        <v>1.1796956833333332E-2</v>
      </c>
    </row>
    <row r="20643" spans="103:104" x14ac:dyDescent="0.3">
      <c r="CY20643" s="34" t="s">
        <v>21570</v>
      </c>
      <c r="CZ20643" s="35">
        <v>2.0869923999999995E-2</v>
      </c>
    </row>
    <row r="20644" spans="103:104" x14ac:dyDescent="0.3">
      <c r="CY20644" s="34" t="s">
        <v>21571</v>
      </c>
      <c r="CZ20644" s="35">
        <v>9.5527320000000013E-3</v>
      </c>
    </row>
    <row r="20645" spans="103:104" x14ac:dyDescent="0.3">
      <c r="CY20645" s="34" t="s">
        <v>21572</v>
      </c>
      <c r="CZ20645" s="35">
        <v>3.2480999999999999E-3</v>
      </c>
    </row>
    <row r="20646" spans="103:104" x14ac:dyDescent="0.3">
      <c r="CY20646" s="34" t="s">
        <v>21573</v>
      </c>
      <c r="CZ20646" s="35">
        <v>1.02320185</v>
      </c>
    </row>
    <row r="20647" spans="103:104" x14ac:dyDescent="0.3">
      <c r="CY20647" s="34" t="s">
        <v>21574</v>
      </c>
      <c r="CZ20647" s="35">
        <v>0.15146549333333331</v>
      </c>
    </row>
    <row r="20648" spans="103:104" x14ac:dyDescent="0.3">
      <c r="CY20648" s="34" t="s">
        <v>21575</v>
      </c>
      <c r="CZ20648" s="35">
        <v>2.2169287999999998E-3</v>
      </c>
    </row>
    <row r="20649" spans="103:104" x14ac:dyDescent="0.3">
      <c r="CY20649" s="34" t="s">
        <v>21576</v>
      </c>
      <c r="CZ20649" s="35">
        <v>1.3316951999999998E-3</v>
      </c>
    </row>
    <row r="20650" spans="103:104" x14ac:dyDescent="0.3">
      <c r="CY20650" s="34" t="s">
        <v>21577</v>
      </c>
      <c r="CZ20650" s="35">
        <v>6.2943120000000003E-4</v>
      </c>
    </row>
    <row r="20651" spans="103:104" x14ac:dyDescent="0.3">
      <c r="CY20651" s="34" t="s">
        <v>21578</v>
      </c>
      <c r="CZ20651" s="35">
        <v>7.505639999999999E-4</v>
      </c>
    </row>
    <row r="20652" spans="103:104" x14ac:dyDescent="0.3">
      <c r="CY20652" s="34" t="s">
        <v>21579</v>
      </c>
      <c r="CZ20652" s="35">
        <v>1.6941143999999998E-2</v>
      </c>
    </row>
    <row r="20653" spans="103:104" x14ac:dyDescent="0.3">
      <c r="CY20653" s="34" t="s">
        <v>21580</v>
      </c>
      <c r="CZ20653" s="35">
        <v>1.6423952000000002E-2</v>
      </c>
    </row>
    <row r="20654" spans="103:104" x14ac:dyDescent="0.3">
      <c r="CY20654" s="34" t="s">
        <v>21581</v>
      </c>
      <c r="CZ20654" s="35">
        <v>3.1746855999999998E-3</v>
      </c>
    </row>
    <row r="20655" spans="103:104" x14ac:dyDescent="0.3">
      <c r="CY20655" s="34" t="s">
        <v>21582</v>
      </c>
      <c r="CZ20655" s="35">
        <v>5.0002400000000004E-3</v>
      </c>
    </row>
    <row r="20656" spans="103:104" x14ac:dyDescent="0.3">
      <c r="CY20656" s="34" t="s">
        <v>21583</v>
      </c>
      <c r="CZ20656" s="35">
        <v>9.7705120000000003E-3</v>
      </c>
    </row>
    <row r="20657" spans="103:104" x14ac:dyDescent="0.3">
      <c r="CY20657" s="34" t="s">
        <v>21584</v>
      </c>
      <c r="CZ20657" s="35">
        <v>5.0002400000000013E-3</v>
      </c>
    </row>
    <row r="20658" spans="103:104" x14ac:dyDescent="0.3">
      <c r="CY20658" s="34" t="s">
        <v>21585</v>
      </c>
      <c r="CZ20658" s="35">
        <v>9.7705120000000003E-3</v>
      </c>
    </row>
    <row r="20659" spans="103:104" x14ac:dyDescent="0.3">
      <c r="CY20659" s="34" t="s">
        <v>21586</v>
      </c>
      <c r="CZ20659" s="35">
        <v>6.2264000000000009E-3</v>
      </c>
    </row>
    <row r="20660" spans="103:104" x14ac:dyDescent="0.3">
      <c r="CY20660" s="34" t="s">
        <v>21587</v>
      </c>
      <c r="CZ20660" s="35">
        <v>4.5731599999999997E-3</v>
      </c>
    </row>
    <row r="20661" spans="103:104" x14ac:dyDescent="0.3">
      <c r="CY20661" s="34" t="s">
        <v>21588</v>
      </c>
      <c r="CZ20661" s="35">
        <v>1.4324603999999999E-3</v>
      </c>
    </row>
    <row r="20662" spans="103:104" x14ac:dyDescent="0.3">
      <c r="CY20662" s="34" t="s">
        <v>21589</v>
      </c>
      <c r="CZ20662" s="35">
        <v>3.3762009999999995E-2</v>
      </c>
    </row>
    <row r="20663" spans="103:104" x14ac:dyDescent="0.3">
      <c r="CY20663" s="34" t="s">
        <v>21590</v>
      </c>
      <c r="CZ20663" s="35">
        <v>1.4897845333333332E-4</v>
      </c>
    </row>
    <row r="20664" spans="103:104" x14ac:dyDescent="0.3">
      <c r="CY20664" s="34" t="s">
        <v>21591</v>
      </c>
      <c r="CZ20664" s="35">
        <v>0.17542080800000001</v>
      </c>
    </row>
    <row r="20665" spans="103:104" x14ac:dyDescent="0.3">
      <c r="CY20665" s="34" t="s">
        <v>21592</v>
      </c>
      <c r="CZ20665" s="35">
        <v>0.16388928799999999</v>
      </c>
    </row>
    <row r="20666" spans="103:104" x14ac:dyDescent="0.3">
      <c r="CY20666" s="34" t="s">
        <v>21593</v>
      </c>
      <c r="CZ20666" s="35">
        <v>0.14351693600000001</v>
      </c>
    </row>
    <row r="20667" spans="103:104" x14ac:dyDescent="0.3">
      <c r="CY20667" s="34" t="s">
        <v>21594</v>
      </c>
      <c r="CZ20667" s="35">
        <v>2.8056864000000001E-3</v>
      </c>
    </row>
    <row r="20668" spans="103:104" x14ac:dyDescent="0.3">
      <c r="CY20668" s="34" t="s">
        <v>21595</v>
      </c>
      <c r="CZ20668" s="35">
        <v>1.4631408E-2</v>
      </c>
    </row>
    <row r="20669" spans="103:104" x14ac:dyDescent="0.3">
      <c r="CY20669" s="34" t="s">
        <v>21596</v>
      </c>
      <c r="CZ20669" s="35">
        <v>2.9681136E-2</v>
      </c>
    </row>
    <row r="20670" spans="103:104" x14ac:dyDescent="0.3">
      <c r="CY20670" s="34" t="s">
        <v>21597</v>
      </c>
      <c r="CZ20670" s="35">
        <v>1.3351768000000002E-2</v>
      </c>
    </row>
    <row r="20671" spans="103:104" x14ac:dyDescent="0.3">
      <c r="CY20671" s="34" t="s">
        <v>21598</v>
      </c>
      <c r="CZ20671" s="35">
        <v>1.644375357142857E-2</v>
      </c>
    </row>
    <row r="20672" spans="103:104" x14ac:dyDescent="0.3">
      <c r="CY20672" s="34" t="s">
        <v>21599</v>
      </c>
      <c r="CZ20672" s="35">
        <v>4.9496800000000006E-3</v>
      </c>
    </row>
    <row r="20673" spans="103:104" x14ac:dyDescent="0.3">
      <c r="CY20673" s="34" t="s">
        <v>21600</v>
      </c>
      <c r="CZ20673" s="35">
        <v>4.9496800000000006E-3</v>
      </c>
    </row>
    <row r="20674" spans="103:104" x14ac:dyDescent="0.3">
      <c r="CY20674" s="34" t="s">
        <v>21601</v>
      </c>
      <c r="CZ20674" s="35">
        <v>6.9664880000000007E-4</v>
      </c>
    </row>
    <row r="20675" spans="103:104" x14ac:dyDescent="0.3">
      <c r="CY20675" s="34" t="s">
        <v>21602</v>
      </c>
      <c r="CZ20675" s="35">
        <v>0.73296366000000002</v>
      </c>
    </row>
    <row r="20676" spans="103:104" x14ac:dyDescent="0.3">
      <c r="CY20676" s="34" t="s">
        <v>21603</v>
      </c>
      <c r="CZ20676" s="35">
        <v>0.17100045999999999</v>
      </c>
    </row>
    <row r="20677" spans="103:104" x14ac:dyDescent="0.3">
      <c r="CY20677" s="34" t="s">
        <v>21604</v>
      </c>
      <c r="CZ20677" s="35">
        <v>0.17528006000000004</v>
      </c>
    </row>
    <row r="20678" spans="103:104" x14ac:dyDescent="0.3">
      <c r="CY20678" s="34" t="s">
        <v>21605</v>
      </c>
      <c r="CZ20678" s="35">
        <v>0.16158533999999999</v>
      </c>
    </row>
    <row r="20679" spans="103:104" x14ac:dyDescent="0.3">
      <c r="CY20679" s="34" t="s">
        <v>21606</v>
      </c>
      <c r="CZ20679" s="35">
        <v>0.29442391599999995</v>
      </c>
    </row>
    <row r="20680" spans="103:104" x14ac:dyDescent="0.3">
      <c r="CY20680" s="34" t="s">
        <v>21607</v>
      </c>
      <c r="CZ20680" s="35">
        <v>6.8684635999999993E-3</v>
      </c>
    </row>
    <row r="20681" spans="103:104" x14ac:dyDescent="0.3">
      <c r="CY20681" s="34" t="s">
        <v>21608</v>
      </c>
      <c r="CZ20681" s="35">
        <v>6.0311520000000006E-3</v>
      </c>
    </row>
    <row r="20682" spans="103:104" x14ac:dyDescent="0.3">
      <c r="CY20682" s="34" t="s">
        <v>21609</v>
      </c>
      <c r="CZ20682" s="35">
        <v>0.16875512666</v>
      </c>
    </row>
    <row r="20683" spans="103:104" x14ac:dyDescent="0.3">
      <c r="CY20683" s="34" t="s">
        <v>21610</v>
      </c>
      <c r="CZ20683" s="35">
        <v>6.0553519999999991E-3</v>
      </c>
    </row>
    <row r="20684" spans="103:104" x14ac:dyDescent="0.3">
      <c r="CY20684" s="34" t="s">
        <v>21611</v>
      </c>
      <c r="CZ20684" s="35">
        <v>2.6423622300000001E-2</v>
      </c>
    </row>
    <row r="20685" spans="103:104" x14ac:dyDescent="0.3">
      <c r="CY20685" s="34" t="s">
        <v>21612</v>
      </c>
      <c r="CZ20685" s="35">
        <v>5.9050494999999995E-2</v>
      </c>
    </row>
    <row r="20686" spans="103:104" x14ac:dyDescent="0.3">
      <c r="CY20686" s="34" t="s">
        <v>21613</v>
      </c>
      <c r="CZ20686" s="35">
        <v>0.1100768</v>
      </c>
    </row>
    <row r="20687" spans="103:104" x14ac:dyDescent="0.3">
      <c r="CY20687" s="34" t="s">
        <v>21614</v>
      </c>
      <c r="CZ20687" s="35">
        <v>8.2483619999999998E-4</v>
      </c>
    </row>
    <row r="20688" spans="103:104" x14ac:dyDescent="0.3">
      <c r="CY20688" s="34" t="s">
        <v>21615</v>
      </c>
      <c r="CZ20688" s="35">
        <v>2.5513232199999999E-2</v>
      </c>
    </row>
    <row r="20689" spans="103:104" x14ac:dyDescent="0.3">
      <c r="CY20689" s="34" t="s">
        <v>21616</v>
      </c>
      <c r="CZ20689" s="35">
        <v>2.5669209929411765E-2</v>
      </c>
    </row>
    <row r="20690" spans="103:104" x14ac:dyDescent="0.3">
      <c r="CY20690" s="34" t="s">
        <v>21617</v>
      </c>
      <c r="CZ20690" s="35">
        <v>2.5664776E-2</v>
      </c>
    </row>
    <row r="20691" spans="103:104" x14ac:dyDescent="0.3">
      <c r="CY20691" s="34" t="s">
        <v>21618</v>
      </c>
      <c r="CZ20691" s="35">
        <v>8.0905759999999986E-3</v>
      </c>
    </row>
    <row r="20692" spans="103:104" x14ac:dyDescent="0.3">
      <c r="CY20692" s="34" t="s">
        <v>21619</v>
      </c>
      <c r="CZ20692" s="35">
        <v>8.9674279999999995E-3</v>
      </c>
    </row>
    <row r="20693" spans="103:104" x14ac:dyDescent="0.3">
      <c r="CY20693" s="34" t="s">
        <v>21620</v>
      </c>
      <c r="CZ20693" s="35">
        <v>1.1758304000000001E-2</v>
      </c>
    </row>
    <row r="20694" spans="103:104" x14ac:dyDescent="0.3">
      <c r="CY20694" s="34" t="s">
        <v>21621</v>
      </c>
      <c r="CZ20694" s="35">
        <v>1.6026104000000003E-2</v>
      </c>
    </row>
    <row r="20695" spans="103:104" x14ac:dyDescent="0.3">
      <c r="CY20695" s="34" t="s">
        <v>21622</v>
      </c>
      <c r="CZ20695" s="35">
        <v>2.6114440000000003E-2</v>
      </c>
    </row>
    <row r="20696" spans="103:104" x14ac:dyDescent="0.3">
      <c r="CY20696" s="34" t="s">
        <v>21623</v>
      </c>
      <c r="CZ20696" s="35">
        <v>8.7379199999999997E-3</v>
      </c>
    </row>
    <row r="20697" spans="103:104" x14ac:dyDescent="0.3">
      <c r="CY20697" s="34" t="s">
        <v>21624</v>
      </c>
      <c r="CZ20697" s="35">
        <v>1.0389999999999998E-2</v>
      </c>
    </row>
    <row r="20698" spans="103:104" x14ac:dyDescent="0.3">
      <c r="CY20698" s="34" t="s">
        <v>21625</v>
      </c>
      <c r="CZ20698" s="35">
        <v>5.4189400000000006E-3</v>
      </c>
    </row>
    <row r="20699" spans="103:104" x14ac:dyDescent="0.3">
      <c r="CY20699" s="34" t="s">
        <v>21626</v>
      </c>
      <c r="CZ20699" s="35">
        <v>1.86768E-4</v>
      </c>
    </row>
    <row r="20700" spans="103:104" x14ac:dyDescent="0.3">
      <c r="CY20700" s="34" t="s">
        <v>21627</v>
      </c>
      <c r="CZ20700" s="35">
        <v>4.6239975000000003E-2</v>
      </c>
    </row>
    <row r="20701" spans="103:104" x14ac:dyDescent="0.3">
      <c r="CY20701" s="34" t="s">
        <v>21628</v>
      </c>
      <c r="CZ20701" s="35">
        <v>2.82562137733142E-2</v>
      </c>
    </row>
    <row r="20702" spans="103:104" x14ac:dyDescent="0.3">
      <c r="CY20702" s="34" t="s">
        <v>21629</v>
      </c>
      <c r="CZ20702" s="35">
        <v>1.5233622400000001E-2</v>
      </c>
    </row>
    <row r="20703" spans="103:104" x14ac:dyDescent="0.3">
      <c r="CY20703" s="34" t="s">
        <v>21630</v>
      </c>
      <c r="CZ20703" s="35">
        <v>5.4116975999999997E-2</v>
      </c>
    </row>
    <row r="20704" spans="103:104" x14ac:dyDescent="0.3">
      <c r="CY20704" s="34" t="s">
        <v>21631</v>
      </c>
      <c r="CZ20704" s="35">
        <v>5.310985E-2</v>
      </c>
    </row>
    <row r="20705" spans="103:104" x14ac:dyDescent="0.3">
      <c r="CY20705" s="34" t="s">
        <v>21632</v>
      </c>
      <c r="CZ20705" s="35">
        <v>1.9409987000000004E-2</v>
      </c>
    </row>
    <row r="20706" spans="103:104" x14ac:dyDescent="0.3">
      <c r="CY20706" s="34" t="s">
        <v>21633</v>
      </c>
      <c r="CZ20706" s="35">
        <v>3.2456271999999994E-2</v>
      </c>
    </row>
    <row r="20707" spans="103:104" x14ac:dyDescent="0.3">
      <c r="CY20707" s="34" t="s">
        <v>21634</v>
      </c>
      <c r="CZ20707" s="35">
        <v>1.0576607999999999E-2</v>
      </c>
    </row>
    <row r="20708" spans="103:104" x14ac:dyDescent="0.3">
      <c r="CY20708" s="34" t="s">
        <v>21635</v>
      </c>
      <c r="CZ20708" s="35">
        <v>2.5275512E-2</v>
      </c>
    </row>
    <row r="20709" spans="103:104" x14ac:dyDescent="0.3">
      <c r="CY20709" s="34" t="s">
        <v>21636</v>
      </c>
      <c r="CZ20709" s="35">
        <v>7.4083400000000002E-3</v>
      </c>
    </row>
    <row r="20710" spans="103:104" x14ac:dyDescent="0.3">
      <c r="CY20710" s="34" t="s">
        <v>21637</v>
      </c>
      <c r="CZ20710" s="35">
        <v>2.0294119999999999E-2</v>
      </c>
    </row>
    <row r="20711" spans="103:104" x14ac:dyDescent="0.3">
      <c r="CY20711" s="34" t="s">
        <v>21638</v>
      </c>
      <c r="CZ20711" s="35">
        <v>2.7294119999999998E-2</v>
      </c>
    </row>
    <row r="20712" spans="103:104" x14ac:dyDescent="0.3">
      <c r="CY20712" s="34" t="s">
        <v>21639</v>
      </c>
      <c r="CZ20712" s="35">
        <v>4.0588239999999998E-2</v>
      </c>
    </row>
    <row r="20713" spans="103:104" x14ac:dyDescent="0.3">
      <c r="CY20713" s="34" t="s">
        <v>21640</v>
      </c>
      <c r="CZ20713" s="35">
        <v>2.495812E-2</v>
      </c>
    </row>
    <row r="20714" spans="103:104" x14ac:dyDescent="0.3">
      <c r="CY20714" s="34" t="s">
        <v>21641</v>
      </c>
      <c r="CZ20714" s="35">
        <v>2.1945199999999998E-2</v>
      </c>
    </row>
    <row r="20715" spans="103:104" x14ac:dyDescent="0.3">
      <c r="CY20715" s="34" t="s">
        <v>21642</v>
      </c>
      <c r="CZ20715" s="35">
        <v>1.7553199999999998E-2</v>
      </c>
    </row>
    <row r="20716" spans="103:104" x14ac:dyDescent="0.3">
      <c r="CY20716" s="34" t="s">
        <v>21643</v>
      </c>
      <c r="CZ20716" s="35">
        <v>2.16457E-2</v>
      </c>
    </row>
    <row r="20717" spans="103:104" x14ac:dyDescent="0.3">
      <c r="CY20717" s="34" t="s">
        <v>21644</v>
      </c>
      <c r="CZ20717" s="35">
        <v>2.0109339999999996E-2</v>
      </c>
    </row>
    <row r="20718" spans="103:104" x14ac:dyDescent="0.3">
      <c r="CY20718" s="34" t="s">
        <v>21645</v>
      </c>
      <c r="CZ20718" s="35">
        <v>1.7188544E-3</v>
      </c>
    </row>
    <row r="20719" spans="103:104" x14ac:dyDescent="0.3">
      <c r="CY20719" s="34" t="s">
        <v>21646</v>
      </c>
      <c r="CZ20719" s="35">
        <v>0.18955397333333332</v>
      </c>
    </row>
    <row r="20720" spans="103:104" x14ac:dyDescent="0.3">
      <c r="CY20720" s="34" t="s">
        <v>21647</v>
      </c>
      <c r="CZ20720" s="35">
        <v>0.18662766222222221</v>
      </c>
    </row>
    <row r="20721" spans="103:104" x14ac:dyDescent="0.3">
      <c r="CY20721" s="34" t="s">
        <v>21648</v>
      </c>
      <c r="CZ20721" s="35">
        <v>0.18370135111111111</v>
      </c>
    </row>
    <row r="20722" spans="103:104" x14ac:dyDescent="0.3">
      <c r="CY20722" s="34" t="s">
        <v>21649</v>
      </c>
      <c r="CZ20722" s="35">
        <v>0.149934388</v>
      </c>
    </row>
    <row r="20723" spans="103:104" x14ac:dyDescent="0.3">
      <c r="CY20723" s="34" t="s">
        <v>21650</v>
      </c>
      <c r="CZ20723" s="35">
        <v>1.3209255999999999E-2</v>
      </c>
    </row>
    <row r="20724" spans="103:104" x14ac:dyDescent="0.3">
      <c r="CY20724" s="34" t="s">
        <v>21651</v>
      </c>
      <c r="CZ20724" s="35">
        <v>5.3962027250000003E-2</v>
      </c>
    </row>
    <row r="20725" spans="103:104" x14ac:dyDescent="0.3">
      <c r="CY20725" s="34" t="s">
        <v>21652</v>
      </c>
      <c r="CZ20725" s="35">
        <v>3.3704047999999993E-2</v>
      </c>
    </row>
    <row r="20726" spans="103:104" x14ac:dyDescent="0.3">
      <c r="CY20726" s="34" t="s">
        <v>21653</v>
      </c>
      <c r="CZ20726" s="35">
        <v>9.7721176646249994E-3</v>
      </c>
    </row>
    <row r="20727" spans="103:104" x14ac:dyDescent="0.3">
      <c r="CY20727" s="34" t="s">
        <v>21654</v>
      </c>
      <c r="CZ20727" s="35">
        <v>0.30199812800000014</v>
      </c>
    </row>
    <row r="20728" spans="103:104" x14ac:dyDescent="0.3">
      <c r="CY20728" s="34" t="s">
        <v>21655</v>
      </c>
      <c r="CZ20728" s="35">
        <v>0.58481152343749998</v>
      </c>
    </row>
    <row r="20729" spans="103:104" x14ac:dyDescent="0.3">
      <c r="CY20729" s="34" t="s">
        <v>21656</v>
      </c>
      <c r="CZ20729" s="35">
        <v>0.47844340277777769</v>
      </c>
    </row>
    <row r="20730" spans="103:104" x14ac:dyDescent="0.3">
      <c r="CY20730" s="34" t="s">
        <v>21657</v>
      </c>
      <c r="CZ20730" s="35">
        <v>0.62379895833333332</v>
      </c>
    </row>
    <row r="20731" spans="103:104" x14ac:dyDescent="0.3">
      <c r="CY20731" s="34" t="s">
        <v>21658</v>
      </c>
      <c r="CZ20731" s="35">
        <v>0.60842295777777777</v>
      </c>
    </row>
    <row r="20732" spans="103:104" x14ac:dyDescent="0.3">
      <c r="CY20732" s="34" t="s">
        <v>21659</v>
      </c>
      <c r="CZ20732" s="35">
        <v>0.58680419058823541</v>
      </c>
    </row>
    <row r="20733" spans="103:104" x14ac:dyDescent="0.3">
      <c r="CY20733" s="34" t="s">
        <v>21660</v>
      </c>
      <c r="CZ20733" s="35">
        <v>0.56617982749999984</v>
      </c>
    </row>
    <row r="20734" spans="103:104" x14ac:dyDescent="0.3">
      <c r="CY20734" s="34" t="s">
        <v>21661</v>
      </c>
      <c r="CZ20734" s="35">
        <v>0.60842295777777788</v>
      </c>
    </row>
    <row r="20735" spans="103:104" x14ac:dyDescent="0.3">
      <c r="CY20735" s="34" t="s">
        <v>21662</v>
      </c>
      <c r="CZ20735" s="35">
        <v>0.5868041905882353</v>
      </c>
    </row>
    <row r="20736" spans="103:104" x14ac:dyDescent="0.3">
      <c r="CY20736" s="34" t="s">
        <v>21663</v>
      </c>
      <c r="CZ20736" s="35">
        <v>0.56617982749999984</v>
      </c>
    </row>
    <row r="20737" spans="103:104" x14ac:dyDescent="0.3">
      <c r="CY20737" s="34" t="s">
        <v>21664</v>
      </c>
      <c r="CZ20737" s="35">
        <v>0.60842295777777777</v>
      </c>
    </row>
    <row r="20738" spans="103:104" x14ac:dyDescent="0.3">
      <c r="CY20738" s="34" t="s">
        <v>21665</v>
      </c>
      <c r="CZ20738" s="35">
        <v>0.58680419058823541</v>
      </c>
    </row>
    <row r="20739" spans="103:104" x14ac:dyDescent="0.3">
      <c r="CY20739" s="34" t="s">
        <v>21666</v>
      </c>
      <c r="CZ20739" s="35">
        <v>0.56617982749999984</v>
      </c>
    </row>
    <row r="20740" spans="103:104" x14ac:dyDescent="0.3">
      <c r="CY20740" s="34" t="s">
        <v>21667</v>
      </c>
      <c r="CZ20740" s="35">
        <v>0.60842295777777788</v>
      </c>
    </row>
    <row r="20741" spans="103:104" x14ac:dyDescent="0.3">
      <c r="CY20741" s="34" t="s">
        <v>21668</v>
      </c>
      <c r="CZ20741" s="35">
        <v>0.5868041905882353</v>
      </c>
    </row>
    <row r="20742" spans="103:104" x14ac:dyDescent="0.3">
      <c r="CY20742" s="34" t="s">
        <v>21669</v>
      </c>
      <c r="CZ20742" s="35">
        <v>0.56617982749999984</v>
      </c>
    </row>
    <row r="20743" spans="103:104" x14ac:dyDescent="0.3">
      <c r="CY20743" s="34" t="s">
        <v>21670</v>
      </c>
      <c r="CZ20743" s="35">
        <v>0.60842295777777777</v>
      </c>
    </row>
    <row r="20744" spans="103:104" x14ac:dyDescent="0.3">
      <c r="CY20744" s="34" t="s">
        <v>21671</v>
      </c>
      <c r="CZ20744" s="35">
        <v>0.58680419058823541</v>
      </c>
    </row>
    <row r="20745" spans="103:104" x14ac:dyDescent="0.3">
      <c r="CY20745" s="34" t="s">
        <v>21672</v>
      </c>
      <c r="CZ20745" s="35">
        <v>0.56617982749999984</v>
      </c>
    </row>
    <row r="20746" spans="103:104" x14ac:dyDescent="0.3">
      <c r="CY20746" s="34" t="s">
        <v>21673</v>
      </c>
      <c r="CZ20746" s="35">
        <v>8.8493419999999996E-3</v>
      </c>
    </row>
    <row r="20747" spans="103:104" x14ac:dyDescent="0.3">
      <c r="CY20747" s="34" t="s">
        <v>21674</v>
      </c>
      <c r="CZ20747" s="35">
        <v>2.98581604E-2</v>
      </c>
    </row>
    <row r="20748" spans="103:104" x14ac:dyDescent="0.3">
      <c r="CY20748" s="34" t="s">
        <v>21675</v>
      </c>
      <c r="CZ20748" s="35">
        <v>3.1432423999999998E-3</v>
      </c>
    </row>
    <row r="20749" spans="103:104" x14ac:dyDescent="0.3">
      <c r="CY20749" s="34" t="s">
        <v>21676</v>
      </c>
      <c r="CZ20749" s="35">
        <v>1.8389368000000003E-2</v>
      </c>
    </row>
    <row r="20750" spans="103:104" x14ac:dyDescent="0.3">
      <c r="CY20750" s="34" t="s">
        <v>21677</v>
      </c>
      <c r="CZ20750" s="35">
        <v>7.5186680000000001E-3</v>
      </c>
    </row>
    <row r="20751" spans="103:104" x14ac:dyDescent="0.3">
      <c r="CY20751" s="34" t="s">
        <v>21678</v>
      </c>
      <c r="CZ20751" s="35">
        <v>0.12688858659999999</v>
      </c>
    </row>
    <row r="20752" spans="103:104" x14ac:dyDescent="0.3">
      <c r="CY20752" s="34" t="s">
        <v>21679</v>
      </c>
      <c r="CZ20752" s="35">
        <v>5.1128936E-2</v>
      </c>
    </row>
    <row r="20753" spans="103:104" x14ac:dyDescent="0.3">
      <c r="CY20753" s="34" t="s">
        <v>21680</v>
      </c>
      <c r="CZ20753" s="35">
        <v>5.1128936000000007E-2</v>
      </c>
    </row>
    <row r="20754" spans="103:104" x14ac:dyDescent="0.3">
      <c r="CY20754" s="34" t="s">
        <v>21681</v>
      </c>
      <c r="CZ20754" s="35">
        <v>3.5731428000000003E-2</v>
      </c>
    </row>
    <row r="20755" spans="103:104" x14ac:dyDescent="0.3">
      <c r="CY20755" s="34" t="s">
        <v>21682</v>
      </c>
      <c r="CZ20755" s="35">
        <v>3.5731428000000003E-2</v>
      </c>
    </row>
    <row r="20756" spans="103:104" x14ac:dyDescent="0.3">
      <c r="CY20756" s="34" t="s">
        <v>21683</v>
      </c>
      <c r="CZ20756" s="35">
        <v>1.8095545999999997E-2</v>
      </c>
    </row>
    <row r="20757" spans="103:104" x14ac:dyDescent="0.3">
      <c r="CY20757" s="34" t="s">
        <v>21684</v>
      </c>
      <c r="CZ20757" s="35">
        <v>1.2315480000000001E-3</v>
      </c>
    </row>
    <row r="20758" spans="103:104" x14ac:dyDescent="0.3">
      <c r="CY20758" s="34" t="s">
        <v>21685</v>
      </c>
      <c r="CZ20758" s="35">
        <v>1.8095545999999997E-2</v>
      </c>
    </row>
    <row r="20759" spans="103:104" x14ac:dyDescent="0.3">
      <c r="CY20759" s="34" t="s">
        <v>21686</v>
      </c>
      <c r="CZ20759" s="35">
        <v>1.4510804999999999E-3</v>
      </c>
    </row>
    <row r="20760" spans="103:104" x14ac:dyDescent="0.3">
      <c r="CY20760" s="34" t="s">
        <v>21687</v>
      </c>
      <c r="CZ20760" s="35">
        <v>1.1104246000000002E-2</v>
      </c>
    </row>
    <row r="20761" spans="103:104" x14ac:dyDescent="0.3">
      <c r="CY20761" s="34" t="s">
        <v>21688</v>
      </c>
      <c r="CZ20761" s="35">
        <v>1.143689666E-3</v>
      </c>
    </row>
    <row r="20762" spans="103:104" x14ac:dyDescent="0.3">
      <c r="CY20762" s="34" t="s">
        <v>21689</v>
      </c>
      <c r="CZ20762" s="35">
        <v>0.58523269999999983</v>
      </c>
    </row>
    <row r="20763" spans="103:104" x14ac:dyDescent="0.3">
      <c r="CY20763" s="34" t="s">
        <v>21690</v>
      </c>
      <c r="CZ20763" s="35">
        <v>0.24371631200000002</v>
      </c>
    </row>
    <row r="20764" spans="103:104" x14ac:dyDescent="0.3">
      <c r="CY20764" s="34" t="s">
        <v>21691</v>
      </c>
      <c r="CZ20764" s="35">
        <v>0.10411181799999999</v>
      </c>
    </row>
    <row r="20765" spans="103:104" x14ac:dyDescent="0.3">
      <c r="CY20765" s="34" t="s">
        <v>21692</v>
      </c>
      <c r="CZ20765" s="35">
        <v>9.8779945999999993E-2</v>
      </c>
    </row>
    <row r="20766" spans="103:104" x14ac:dyDescent="0.3">
      <c r="CY20766" s="34" t="s">
        <v>21693</v>
      </c>
      <c r="CZ20766" s="35">
        <v>0.10182673</v>
      </c>
    </row>
    <row r="20767" spans="103:104" x14ac:dyDescent="0.3">
      <c r="CY20767" s="34" t="s">
        <v>21694</v>
      </c>
      <c r="CZ20767" s="35">
        <v>0.13304468799999999</v>
      </c>
    </row>
    <row r="20768" spans="103:104" x14ac:dyDescent="0.3">
      <c r="CY20768" s="34" t="s">
        <v>21695</v>
      </c>
      <c r="CZ20768" s="35">
        <v>0.26417021000000002</v>
      </c>
    </row>
    <row r="20769" spans="103:104" x14ac:dyDescent="0.3">
      <c r="CY20769" s="34" t="s">
        <v>21696</v>
      </c>
      <c r="CZ20769" s="35">
        <v>6.4819389519999993E-2</v>
      </c>
    </row>
    <row r="20770" spans="103:104" x14ac:dyDescent="0.3">
      <c r="CY20770" s="34" t="s">
        <v>21697</v>
      </c>
      <c r="CZ20770" s="35">
        <v>5.3909438596491235E-2</v>
      </c>
    </row>
    <row r="20771" spans="103:104" x14ac:dyDescent="0.3">
      <c r="CY20771" s="34" t="s">
        <v>21698</v>
      </c>
      <c r="CZ20771" s="35">
        <v>2.0784947999999998E-2</v>
      </c>
    </row>
    <row r="20772" spans="103:104" x14ac:dyDescent="0.3">
      <c r="CY20772" s="34" t="s">
        <v>21699</v>
      </c>
      <c r="CZ20772" s="35">
        <v>3.4988440000000003E-2</v>
      </c>
    </row>
    <row r="20773" spans="103:104" x14ac:dyDescent="0.3">
      <c r="CY20773" s="34" t="s">
        <v>21700</v>
      </c>
      <c r="CZ20773" s="35">
        <v>2.5998520000000002E-3</v>
      </c>
    </row>
    <row r="20774" spans="103:104" x14ac:dyDescent="0.3">
      <c r="CY20774" s="34" t="s">
        <v>21701</v>
      </c>
      <c r="CZ20774" s="35">
        <v>2.7954720000000002E-3</v>
      </c>
    </row>
    <row r="20775" spans="103:104" x14ac:dyDescent="0.3">
      <c r="CY20775" s="34" t="s">
        <v>21702</v>
      </c>
      <c r="CZ20775" s="35">
        <v>2.3307495000000002E-3</v>
      </c>
    </row>
    <row r="20776" spans="103:104" x14ac:dyDescent="0.3">
      <c r="CY20776" s="34" t="s">
        <v>21703</v>
      </c>
      <c r="CZ20776" s="35">
        <v>5.9694000000000004E-2</v>
      </c>
    </row>
    <row r="20777" spans="103:104" x14ac:dyDescent="0.3">
      <c r="CY20777" s="34" t="s">
        <v>21704</v>
      </c>
      <c r="CZ20777" s="35">
        <v>0.82863638332000011</v>
      </c>
    </row>
    <row r="20778" spans="103:104" x14ac:dyDescent="0.3">
      <c r="CY20778" s="34" t="s">
        <v>21705</v>
      </c>
      <c r="CZ20778" s="35">
        <v>1.2438288E-2</v>
      </c>
    </row>
    <row r="20779" spans="103:104" x14ac:dyDescent="0.3">
      <c r="CY20779" s="34" t="s">
        <v>21706</v>
      </c>
      <c r="CZ20779" s="35">
        <v>0.10593082872928176</v>
      </c>
    </row>
    <row r="20780" spans="103:104" x14ac:dyDescent="0.3">
      <c r="CY20780" s="34" t="s">
        <v>21707</v>
      </c>
      <c r="CZ20780" s="35">
        <v>3.8002220000000007E-3</v>
      </c>
    </row>
    <row r="20781" spans="103:104" x14ac:dyDescent="0.3">
      <c r="CY20781" s="34" t="s">
        <v>21708</v>
      </c>
      <c r="CZ20781" s="35">
        <v>3.8002220000000007E-3</v>
      </c>
    </row>
    <row r="20782" spans="103:104" x14ac:dyDescent="0.3">
      <c r="CY20782" s="34" t="s">
        <v>21709</v>
      </c>
      <c r="CZ20782" s="35">
        <v>3.8002220000000007E-3</v>
      </c>
    </row>
    <row r="20783" spans="103:104" x14ac:dyDescent="0.3">
      <c r="CY20783" s="34" t="s">
        <v>21710</v>
      </c>
      <c r="CZ20783" s="35">
        <v>4.7462060000000002E-3</v>
      </c>
    </row>
    <row r="20784" spans="103:104" x14ac:dyDescent="0.3">
      <c r="CY20784" s="34" t="s">
        <v>21711</v>
      </c>
      <c r="CZ20784" s="35">
        <v>4.7462060000000002E-3</v>
      </c>
    </row>
    <row r="20785" spans="103:104" x14ac:dyDescent="0.3">
      <c r="CY20785" s="34" t="s">
        <v>21712</v>
      </c>
      <c r="CZ20785" s="35">
        <v>4.7462060000000002E-3</v>
      </c>
    </row>
    <row r="20786" spans="103:104" x14ac:dyDescent="0.3">
      <c r="CY20786" s="34" t="s">
        <v>21713</v>
      </c>
      <c r="CZ20786" s="35">
        <v>4.7462060000000002E-3</v>
      </c>
    </row>
    <row r="20787" spans="103:104" x14ac:dyDescent="0.3">
      <c r="CY20787" s="34" t="s">
        <v>21714</v>
      </c>
      <c r="CZ20787" s="35">
        <v>4.7462060000000002E-3</v>
      </c>
    </row>
    <row r="20788" spans="103:104" x14ac:dyDescent="0.3">
      <c r="CY20788" s="34" t="s">
        <v>21715</v>
      </c>
      <c r="CZ20788" s="35">
        <v>2.7499120000000002E-3</v>
      </c>
    </row>
    <row r="20789" spans="103:104" x14ac:dyDescent="0.3">
      <c r="CY20789" s="34" t="s">
        <v>21716</v>
      </c>
      <c r="CZ20789" s="35">
        <v>2.7499120000000002E-3</v>
      </c>
    </row>
    <row r="20790" spans="103:104" x14ac:dyDescent="0.3">
      <c r="CY20790" s="34" t="s">
        <v>21717</v>
      </c>
      <c r="CZ20790" s="35">
        <v>2.9044560000000001E-3</v>
      </c>
    </row>
    <row r="20791" spans="103:104" x14ac:dyDescent="0.3">
      <c r="CY20791" s="34" t="s">
        <v>21718</v>
      </c>
      <c r="CZ20791" s="35">
        <v>2.9044560000000001E-3</v>
      </c>
    </row>
    <row r="20792" spans="103:104" x14ac:dyDescent="0.3">
      <c r="CY20792" s="34" t="s">
        <v>21719</v>
      </c>
      <c r="CZ20792" s="35">
        <v>2.9044560000000001E-3</v>
      </c>
    </row>
    <row r="20793" spans="103:104" x14ac:dyDescent="0.3">
      <c r="CY20793" s="34" t="s">
        <v>21720</v>
      </c>
      <c r="CZ20793" s="35">
        <v>3.144904E-3</v>
      </c>
    </row>
    <row r="20794" spans="103:104" x14ac:dyDescent="0.3">
      <c r="CY20794" s="34" t="s">
        <v>21721</v>
      </c>
      <c r="CZ20794" s="35">
        <v>3.144904E-3</v>
      </c>
    </row>
    <row r="20795" spans="103:104" x14ac:dyDescent="0.3">
      <c r="CY20795" s="34" t="s">
        <v>21722</v>
      </c>
      <c r="CZ20795" s="35">
        <v>3.0608590000000004E-3</v>
      </c>
    </row>
    <row r="20796" spans="103:104" x14ac:dyDescent="0.3">
      <c r="CY20796" s="34" t="s">
        <v>21723</v>
      </c>
      <c r="CZ20796" s="35">
        <v>1.0635466000000001E-3</v>
      </c>
    </row>
    <row r="20797" spans="103:104" x14ac:dyDescent="0.3">
      <c r="CY20797" s="34" t="s">
        <v>21724</v>
      </c>
      <c r="CZ20797" s="35">
        <v>1.2040479999999999E-3</v>
      </c>
    </row>
    <row r="20798" spans="103:104" x14ac:dyDescent="0.3">
      <c r="CY20798" s="34" t="s">
        <v>21725</v>
      </c>
      <c r="CZ20798" s="35">
        <v>9.4453277600000003E-3</v>
      </c>
    </row>
    <row r="20799" spans="103:104" x14ac:dyDescent="0.3">
      <c r="CY20799" s="34" t="s">
        <v>21726</v>
      </c>
      <c r="CZ20799" s="35">
        <v>9.4453277600000003E-3</v>
      </c>
    </row>
    <row r="20800" spans="103:104" x14ac:dyDescent="0.3">
      <c r="CY20800" s="34" t="s">
        <v>21727</v>
      </c>
      <c r="CZ20800" s="35">
        <v>8.2993544999999998E-3</v>
      </c>
    </row>
    <row r="20801" spans="103:104" x14ac:dyDescent="0.3">
      <c r="CY20801" s="34" t="s">
        <v>21728</v>
      </c>
      <c r="CZ20801" s="35">
        <v>8.4122832000000005E-3</v>
      </c>
    </row>
    <row r="20802" spans="103:104" x14ac:dyDescent="0.3">
      <c r="CY20802" s="34" t="s">
        <v>21729</v>
      </c>
      <c r="CZ20802" s="35">
        <v>5.5472800000000003E-2</v>
      </c>
    </row>
    <row r="20803" spans="103:104" x14ac:dyDescent="0.3">
      <c r="CY20803" s="34" t="s">
        <v>21730</v>
      </c>
      <c r="CZ20803" s="35">
        <v>9.3902297200000005E-3</v>
      </c>
    </row>
    <row r="20804" spans="103:104" x14ac:dyDescent="0.3">
      <c r="CY20804" s="34" t="s">
        <v>21731</v>
      </c>
      <c r="CZ20804" s="35">
        <v>1.4492540000000001E-3</v>
      </c>
    </row>
    <row r="20805" spans="103:104" x14ac:dyDescent="0.3">
      <c r="CY20805" s="34" t="s">
        <v>21732</v>
      </c>
      <c r="CZ20805" s="35">
        <v>1.5417336E-3</v>
      </c>
    </row>
    <row r="20806" spans="103:104" x14ac:dyDescent="0.3">
      <c r="CY20806" s="34" t="s">
        <v>21733</v>
      </c>
      <c r="CZ20806" s="35">
        <v>1.0155097726666666E-2</v>
      </c>
    </row>
    <row r="20807" spans="103:104" x14ac:dyDescent="0.3">
      <c r="CY20807" s="34" t="s">
        <v>21734</v>
      </c>
      <c r="CZ20807" s="35">
        <v>1.1096274200000001E-2</v>
      </c>
    </row>
    <row r="20808" spans="103:104" x14ac:dyDescent="0.3">
      <c r="CY20808" s="34" t="s">
        <v>21735</v>
      </c>
      <c r="CZ20808" s="35">
        <v>4.1048959999999994E-3</v>
      </c>
    </row>
    <row r="20809" spans="103:104" x14ac:dyDescent="0.3">
      <c r="CY20809" s="34" t="s">
        <v>21736</v>
      </c>
      <c r="CZ20809" s="35">
        <v>4.5366525499999998E-2</v>
      </c>
    </row>
    <row r="20810" spans="103:104" x14ac:dyDescent="0.3">
      <c r="CY20810" s="34" t="s">
        <v>21737</v>
      </c>
      <c r="CZ20810" s="35">
        <v>2.9992870000000001E-2</v>
      </c>
    </row>
    <row r="20811" spans="103:104" x14ac:dyDescent="0.3">
      <c r="CY20811" s="34" t="s">
        <v>21738</v>
      </c>
      <c r="CZ20811" s="35">
        <v>5.0079624999999996E-2</v>
      </c>
    </row>
    <row r="20812" spans="103:104" x14ac:dyDescent="0.3">
      <c r="CY20812" s="34" t="s">
        <v>21739</v>
      </c>
      <c r="CZ20812" s="35">
        <v>1.7774065E-3</v>
      </c>
    </row>
    <row r="20813" spans="103:104" x14ac:dyDescent="0.3">
      <c r="CY20813" s="34" t="s">
        <v>21740</v>
      </c>
      <c r="CZ20813" s="35">
        <v>3.7472139999999996E-3</v>
      </c>
    </row>
    <row r="20814" spans="103:104" x14ac:dyDescent="0.3">
      <c r="CY20814" s="34" t="s">
        <v>21741</v>
      </c>
      <c r="CZ20814" s="35">
        <v>3.5259659999999993E-3</v>
      </c>
    </row>
    <row r="20815" spans="103:104" x14ac:dyDescent="0.3">
      <c r="CY20815" s="34" t="s">
        <v>21742</v>
      </c>
      <c r="CZ20815" s="35">
        <v>1.1599116</v>
      </c>
    </row>
    <row r="20816" spans="103:104" x14ac:dyDescent="0.3">
      <c r="CY20816" s="34" t="s">
        <v>21743</v>
      </c>
      <c r="CZ20816" s="35">
        <v>2.6997920000000002E-2</v>
      </c>
    </row>
    <row r="20817" spans="103:104" x14ac:dyDescent="0.3">
      <c r="CY20817" s="34" t="s">
        <v>21744</v>
      </c>
      <c r="CZ20817" s="35">
        <v>7.0548E-2</v>
      </c>
    </row>
    <row r="20818" spans="103:104" x14ac:dyDescent="0.3">
      <c r="CY20818" s="34" t="s">
        <v>21745</v>
      </c>
      <c r="CZ20818" s="35">
        <v>8.3121200000000006E-2</v>
      </c>
    </row>
    <row r="20819" spans="103:104" x14ac:dyDescent="0.3">
      <c r="CY20819" s="34" t="s">
        <v>21746</v>
      </c>
      <c r="CZ20819" s="35">
        <v>7.9700725199999996E-3</v>
      </c>
    </row>
    <row r="20820" spans="103:104" x14ac:dyDescent="0.3">
      <c r="CY20820" s="34" t="s">
        <v>21747</v>
      </c>
      <c r="CZ20820" s="35">
        <v>2.3170047200000003E-3</v>
      </c>
    </row>
    <row r="20821" spans="103:104" x14ac:dyDescent="0.3">
      <c r="CY20821" s="34" t="s">
        <v>21748</v>
      </c>
      <c r="CZ20821" s="35">
        <v>2.449924E-3</v>
      </c>
    </row>
    <row r="20822" spans="103:104" x14ac:dyDescent="0.3">
      <c r="CY20822" s="34" t="s">
        <v>21749</v>
      </c>
      <c r="CZ20822" s="35">
        <v>7.3736948649999995E-2</v>
      </c>
    </row>
    <row r="20823" spans="103:104" x14ac:dyDescent="0.3">
      <c r="CY20823" s="34" t="s">
        <v>21750</v>
      </c>
      <c r="CZ20823" s="35">
        <v>3.6540226000000002E-2</v>
      </c>
    </row>
    <row r="20824" spans="103:104" x14ac:dyDescent="0.3">
      <c r="CY20824" s="34" t="s">
        <v>21751</v>
      </c>
      <c r="CZ20824" s="35">
        <v>0.10475422136842105</v>
      </c>
    </row>
    <row r="20825" spans="103:104" x14ac:dyDescent="0.3">
      <c r="CY20825" s="34" t="s">
        <v>21752</v>
      </c>
      <c r="CZ20825" s="35">
        <v>1.1036533333333332E-3</v>
      </c>
    </row>
    <row r="20826" spans="103:104" x14ac:dyDescent="0.3">
      <c r="CY20826" s="34" t="s">
        <v>21753</v>
      </c>
      <c r="CZ20826" s="35">
        <v>3.0902560000000003E-4</v>
      </c>
    </row>
    <row r="20827" spans="103:104" x14ac:dyDescent="0.3">
      <c r="CY20827" s="34" t="s">
        <v>21754</v>
      </c>
      <c r="CZ20827" s="35">
        <v>1.3485776000000001E-2</v>
      </c>
    </row>
    <row r="20828" spans="103:104" x14ac:dyDescent="0.3">
      <c r="CY20828" s="34" t="s">
        <v>21755</v>
      </c>
      <c r="CZ20828" s="35">
        <v>9.776479999999998E-4</v>
      </c>
    </row>
    <row r="20829" spans="103:104" x14ac:dyDescent="0.3">
      <c r="CY20829" s="34" t="s">
        <v>21756</v>
      </c>
      <c r="CZ20829" s="35">
        <v>1.036702E-3</v>
      </c>
    </row>
    <row r="20830" spans="103:104" x14ac:dyDescent="0.3">
      <c r="CY20830" s="34" t="s">
        <v>21757</v>
      </c>
      <c r="CZ20830" s="35">
        <v>0.32461699999999999</v>
      </c>
    </row>
    <row r="20831" spans="103:104" x14ac:dyDescent="0.3">
      <c r="CY20831" s="34" t="s">
        <v>21758</v>
      </c>
      <c r="CZ20831" s="35">
        <v>8.1187200000000005E-4</v>
      </c>
    </row>
    <row r="20832" spans="103:104" x14ac:dyDescent="0.3">
      <c r="CY20832" s="34" t="s">
        <v>21759</v>
      </c>
      <c r="CZ20832" s="35">
        <v>0.21366125</v>
      </c>
    </row>
    <row r="20833" spans="103:104" x14ac:dyDescent="0.3">
      <c r="CY20833" s="34" t="s">
        <v>21760</v>
      </c>
      <c r="CZ20833" s="35">
        <v>8.9521679999999995E-4</v>
      </c>
    </row>
    <row r="20834" spans="103:104" x14ac:dyDescent="0.3">
      <c r="CY20834" s="34" t="s">
        <v>21761</v>
      </c>
      <c r="CZ20834" s="35">
        <v>5.9085200000000004E-3</v>
      </c>
    </row>
    <row r="20835" spans="103:104" x14ac:dyDescent="0.3">
      <c r="CY20835" s="34" t="s">
        <v>21762</v>
      </c>
      <c r="CZ20835" s="35">
        <v>6.6135199999999993E-4</v>
      </c>
    </row>
    <row r="20836" spans="103:104" x14ac:dyDescent="0.3">
      <c r="CY20836" s="34" t="s">
        <v>21763</v>
      </c>
      <c r="CZ20836" s="35">
        <v>1.8000893E-3</v>
      </c>
    </row>
    <row r="20837" spans="103:104" x14ac:dyDescent="0.3">
      <c r="CY20837" s="34" t="s">
        <v>21764</v>
      </c>
      <c r="CZ20837" s="35">
        <v>1.7089346000000003E-3</v>
      </c>
    </row>
    <row r="20838" spans="103:104" x14ac:dyDescent="0.3">
      <c r="CY20838" s="34" t="s">
        <v>21765</v>
      </c>
      <c r="CZ20838" s="35">
        <v>2.381008E-3</v>
      </c>
    </row>
    <row r="20839" spans="103:104" x14ac:dyDescent="0.3">
      <c r="CY20839" s="34" t="s">
        <v>21766</v>
      </c>
      <c r="CZ20839" s="35">
        <v>0.24018406</v>
      </c>
    </row>
    <row r="20840" spans="103:104" x14ac:dyDescent="0.3">
      <c r="CY20840" s="34" t="s">
        <v>21767</v>
      </c>
      <c r="CZ20840" s="35">
        <v>1.8018099999999999E-2</v>
      </c>
    </row>
    <row r="20841" spans="103:104" x14ac:dyDescent="0.3">
      <c r="CY20841" s="34" t="s">
        <v>21768</v>
      </c>
      <c r="CZ20841" s="35">
        <v>4.0121603999999998E-2</v>
      </c>
    </row>
    <row r="20842" spans="103:104" x14ac:dyDescent="0.3">
      <c r="CY20842" s="34" t="s">
        <v>21769</v>
      </c>
      <c r="CZ20842" s="35">
        <v>2.1649298000000001E-2</v>
      </c>
    </row>
    <row r="20843" spans="103:104" x14ac:dyDescent="0.3">
      <c r="CY20843" s="34" t="s">
        <v>21770</v>
      </c>
      <c r="CZ20843" s="35">
        <v>7.5109171713330009E-2</v>
      </c>
    </row>
    <row r="20844" spans="103:104" x14ac:dyDescent="0.3">
      <c r="CY20844" s="34" t="s">
        <v>21771</v>
      </c>
      <c r="CZ20844" s="35">
        <v>6.6209397975959997E-2</v>
      </c>
    </row>
    <row r="20845" spans="103:104" x14ac:dyDescent="0.3">
      <c r="CY20845" s="34" t="s">
        <v>21772</v>
      </c>
      <c r="CZ20845" s="35">
        <v>1.0445651200000001E-2</v>
      </c>
    </row>
    <row r="20846" spans="103:104" x14ac:dyDescent="0.3">
      <c r="CY20846" s="34" t="s">
        <v>21773</v>
      </c>
      <c r="CZ20846" s="35">
        <v>2.0389565999999998E-2</v>
      </c>
    </row>
    <row r="20847" spans="103:104" x14ac:dyDescent="0.3">
      <c r="CY20847" s="34" t="s">
        <v>21774</v>
      </c>
      <c r="CZ20847" s="35">
        <v>2.8727000000000001E-4</v>
      </c>
    </row>
    <row r="20848" spans="103:104" x14ac:dyDescent="0.3">
      <c r="CY20848" s="34" t="s">
        <v>21775</v>
      </c>
      <c r="CZ20848" s="35">
        <v>2.7147344E-2</v>
      </c>
    </row>
    <row r="20849" spans="103:104" x14ac:dyDescent="0.3">
      <c r="CY20849" s="34" t="s">
        <v>21776</v>
      </c>
      <c r="CZ20849" s="35">
        <v>5.2000128000000007E-2</v>
      </c>
    </row>
    <row r="20850" spans="103:104" x14ac:dyDescent="0.3">
      <c r="CY20850" s="34" t="s">
        <v>21777</v>
      </c>
      <c r="CZ20850" s="35">
        <v>0.207541216</v>
      </c>
    </row>
    <row r="20851" spans="103:104" x14ac:dyDescent="0.3">
      <c r="CY20851" s="34" t="s">
        <v>21778</v>
      </c>
      <c r="CZ20851" s="35">
        <v>3.4601344300000003E-2</v>
      </c>
    </row>
    <row r="20852" spans="103:104" x14ac:dyDescent="0.3">
      <c r="CY20852" s="34" t="s">
        <v>21779</v>
      </c>
      <c r="CZ20852" s="35">
        <v>1.2976871999999999E-3</v>
      </c>
    </row>
    <row r="20853" spans="103:104" x14ac:dyDescent="0.3">
      <c r="CY20853" s="34" t="s">
        <v>21780</v>
      </c>
      <c r="CZ20853" s="35">
        <v>8.1844622222222215E-3</v>
      </c>
    </row>
    <row r="20854" spans="103:104" x14ac:dyDescent="0.3">
      <c r="CY20854" s="34" t="s">
        <v>21781</v>
      </c>
      <c r="CZ20854" s="35">
        <v>2.3335828000000006E-3</v>
      </c>
    </row>
    <row r="20855" spans="103:104" x14ac:dyDescent="0.3">
      <c r="CY20855" s="34" t="s">
        <v>21782</v>
      </c>
      <c r="CZ20855" s="35">
        <v>9.2454215999999995E-3</v>
      </c>
    </row>
    <row r="20856" spans="103:104" x14ac:dyDescent="0.3">
      <c r="CY20856" s="34" t="s">
        <v>21783</v>
      </c>
      <c r="CZ20856" s="35">
        <v>8.7234488000000002E-3</v>
      </c>
    </row>
    <row r="20857" spans="103:104" x14ac:dyDescent="0.3">
      <c r="CY20857" s="34" t="s">
        <v>21784</v>
      </c>
      <c r="CZ20857" s="35">
        <v>1.0009064000000002E-2</v>
      </c>
    </row>
    <row r="20858" spans="103:104" x14ac:dyDescent="0.3">
      <c r="CY20858" s="34" t="s">
        <v>21785</v>
      </c>
      <c r="CZ20858" s="35">
        <v>1.1112093600000001E-2</v>
      </c>
    </row>
    <row r="20859" spans="103:104" x14ac:dyDescent="0.3">
      <c r="CY20859" s="34" t="s">
        <v>21786</v>
      </c>
      <c r="CZ20859" s="35">
        <v>1.1522566400000002E-2</v>
      </c>
    </row>
    <row r="20860" spans="103:104" x14ac:dyDescent="0.3">
      <c r="CY20860" s="34" t="s">
        <v>21787</v>
      </c>
      <c r="CZ20860" s="35">
        <v>2.8177732041185184E-2</v>
      </c>
    </row>
    <row r="20861" spans="103:104" x14ac:dyDescent="0.3">
      <c r="CY20861" s="34" t="s">
        <v>21788</v>
      </c>
      <c r="CZ20861" s="35">
        <v>9.2023059999999995E-4</v>
      </c>
    </row>
    <row r="20862" spans="103:104" x14ac:dyDescent="0.3">
      <c r="CY20862" s="34" t="s">
        <v>21789</v>
      </c>
      <c r="CZ20862" s="35">
        <v>1.4739273333333334E-2</v>
      </c>
    </row>
    <row r="20863" spans="103:104" x14ac:dyDescent="0.3">
      <c r="CY20863" s="34" t="s">
        <v>21790</v>
      </c>
      <c r="CZ20863" s="35">
        <v>0.49090480000000003</v>
      </c>
    </row>
    <row r="20864" spans="103:104" x14ac:dyDescent="0.3">
      <c r="CY20864" s="34" t="s">
        <v>21791</v>
      </c>
      <c r="CZ20864" s="35">
        <v>3.59356E-3</v>
      </c>
    </row>
    <row r="20865" spans="103:104" x14ac:dyDescent="0.3">
      <c r="CY20865" s="34" t="s">
        <v>21792</v>
      </c>
      <c r="CZ20865" s="35">
        <v>5.9566829181842862E-2</v>
      </c>
    </row>
    <row r="20866" spans="103:104" x14ac:dyDescent="0.3">
      <c r="CY20866" s="34" t="s">
        <v>21793</v>
      </c>
      <c r="CZ20866" s="35">
        <v>2.9633692800000007E-2</v>
      </c>
    </row>
    <row r="20867" spans="103:104" x14ac:dyDescent="0.3">
      <c r="CY20867" s="34" t="s">
        <v>21794</v>
      </c>
      <c r="CZ20867" s="35">
        <v>1.0851548799999999E-2</v>
      </c>
    </row>
    <row r="20868" spans="103:104" x14ac:dyDescent="0.3">
      <c r="CY20868" s="34" t="s">
        <v>21795</v>
      </c>
      <c r="CZ20868" s="35">
        <v>1.2749902666666667E-2</v>
      </c>
    </row>
    <row r="20869" spans="103:104" x14ac:dyDescent="0.3">
      <c r="CY20869" s="34" t="s">
        <v>21796</v>
      </c>
      <c r="CZ20869" s="35">
        <v>1.7804895999999997E-3</v>
      </c>
    </row>
    <row r="20870" spans="103:104" x14ac:dyDescent="0.3">
      <c r="CY20870" s="34" t="s">
        <v>21797</v>
      </c>
      <c r="CZ20870" s="35">
        <v>1.50282E-3</v>
      </c>
    </row>
    <row r="20871" spans="103:104" x14ac:dyDescent="0.3">
      <c r="CY20871" s="34" t="s">
        <v>21798</v>
      </c>
      <c r="CZ20871" s="35">
        <v>3.1525552000000005E-2</v>
      </c>
    </row>
    <row r="20872" spans="103:104" x14ac:dyDescent="0.3">
      <c r="CY20872" s="34" t="s">
        <v>21799</v>
      </c>
      <c r="CZ20872" s="35">
        <v>4.4304144000000004E-2</v>
      </c>
    </row>
    <row r="20873" spans="103:104" x14ac:dyDescent="0.3">
      <c r="CY20873" s="34" t="s">
        <v>21800</v>
      </c>
      <c r="CZ20873" s="35">
        <v>5.3409776000000006E-2</v>
      </c>
    </row>
    <row r="20874" spans="103:104" x14ac:dyDescent="0.3">
      <c r="CY20874" s="34" t="s">
        <v>21801</v>
      </c>
      <c r="CZ20874" s="35">
        <v>2.5111888000000002E-2</v>
      </c>
    </row>
    <row r="20875" spans="103:104" x14ac:dyDescent="0.3">
      <c r="CY20875" s="34" t="s">
        <v>21802</v>
      </c>
      <c r="CZ20875" s="35">
        <v>5.8082720000000004E-2</v>
      </c>
    </row>
    <row r="20876" spans="103:104" x14ac:dyDescent="0.3">
      <c r="CY20876" s="34" t="s">
        <v>21803</v>
      </c>
      <c r="CZ20876" s="35">
        <v>3.3698975999999999E-2</v>
      </c>
    </row>
    <row r="20877" spans="103:104" x14ac:dyDescent="0.3">
      <c r="CY20877" s="34" t="s">
        <v>21804</v>
      </c>
      <c r="CZ20877" s="35">
        <v>5.7471928571428575E-3</v>
      </c>
    </row>
    <row r="20878" spans="103:104" x14ac:dyDescent="0.3">
      <c r="CY20878" s="34" t="s">
        <v>21805</v>
      </c>
      <c r="CZ20878" s="35">
        <v>4.6119942857142854E-2</v>
      </c>
    </row>
    <row r="20879" spans="103:104" x14ac:dyDescent="0.3">
      <c r="CY20879" s="34" t="s">
        <v>21806</v>
      </c>
      <c r="CZ20879" s="35">
        <v>7.5235880000000005E-2</v>
      </c>
    </row>
    <row r="20880" spans="103:104" x14ac:dyDescent="0.3">
      <c r="CY20880" s="34" t="s">
        <v>21807</v>
      </c>
      <c r="CZ20880" s="35">
        <v>0.16624944000000003</v>
      </c>
    </row>
    <row r="20881" spans="103:104" x14ac:dyDescent="0.3">
      <c r="CY20881" s="34" t="s">
        <v>21808</v>
      </c>
      <c r="CZ20881" s="35">
        <v>0.15754492</v>
      </c>
    </row>
    <row r="20882" spans="103:104" x14ac:dyDescent="0.3">
      <c r="CY20882" s="34" t="s">
        <v>21809</v>
      </c>
      <c r="CZ20882" s="35">
        <v>5.3070000000000001E-3</v>
      </c>
    </row>
    <row r="20883" spans="103:104" x14ac:dyDescent="0.3">
      <c r="CY20883" s="34" t="s">
        <v>21810</v>
      </c>
      <c r="CZ20883" s="35">
        <v>0.12930773333333334</v>
      </c>
    </row>
    <row r="20884" spans="103:104" x14ac:dyDescent="0.3">
      <c r="CY20884" s="34" t="s">
        <v>21811</v>
      </c>
      <c r="CZ20884" s="35">
        <v>2.3654462500000001E-3</v>
      </c>
    </row>
    <row r="20885" spans="103:104" x14ac:dyDescent="0.3">
      <c r="CY20885" s="34" t="s">
        <v>21812</v>
      </c>
      <c r="CZ20885" s="35">
        <v>2.3966071447368417E-3</v>
      </c>
    </row>
    <row r="20886" spans="103:104" x14ac:dyDescent="0.3">
      <c r="CY20886" s="34" t="s">
        <v>21813</v>
      </c>
      <c r="CZ20886" s="35">
        <v>4.7911999999999998E-3</v>
      </c>
    </row>
    <row r="20887" spans="103:104" x14ac:dyDescent="0.3">
      <c r="CY20887" s="34" t="s">
        <v>21814</v>
      </c>
      <c r="CZ20887" s="35">
        <v>3.3370107999999999E-3</v>
      </c>
    </row>
    <row r="20888" spans="103:104" x14ac:dyDescent="0.3">
      <c r="CY20888" s="34" t="s">
        <v>21815</v>
      </c>
      <c r="CZ20888" s="35">
        <v>4.3356180000000001E-4</v>
      </c>
    </row>
    <row r="20889" spans="103:104" x14ac:dyDescent="0.3">
      <c r="CY20889" s="34" t="s">
        <v>21816</v>
      </c>
      <c r="CZ20889" s="35">
        <v>6.6919046000000005E-3</v>
      </c>
    </row>
    <row r="20890" spans="103:104" x14ac:dyDescent="0.3">
      <c r="CY20890" s="34" t="s">
        <v>21817</v>
      </c>
      <c r="CZ20890" s="35">
        <v>7.1187745882352951E-2</v>
      </c>
    </row>
    <row r="20891" spans="103:104" x14ac:dyDescent="0.3">
      <c r="CY20891" s="34" t="s">
        <v>21818</v>
      </c>
      <c r="CZ20891" s="35">
        <v>1.719998784E-2</v>
      </c>
    </row>
    <row r="20892" spans="103:104" x14ac:dyDescent="0.3">
      <c r="CY20892" s="34" t="s">
        <v>21819</v>
      </c>
      <c r="CZ20892" s="35">
        <v>7.7241680000000009E-3</v>
      </c>
    </row>
    <row r="20893" spans="103:104" x14ac:dyDescent="0.3">
      <c r="CY20893" s="34" t="s">
        <v>21820</v>
      </c>
      <c r="CZ20893" s="35">
        <v>1.1504152E-2</v>
      </c>
    </row>
    <row r="20894" spans="103:104" x14ac:dyDescent="0.3">
      <c r="CY20894" s="34" t="s">
        <v>21821</v>
      </c>
      <c r="CZ20894" s="35">
        <v>1.2660578000000002E-2</v>
      </c>
    </row>
    <row r="20895" spans="103:104" x14ac:dyDescent="0.3">
      <c r="CY20895" s="34" t="s">
        <v>21822</v>
      </c>
      <c r="CZ20895" s="35">
        <v>4.3554373333333334E-2</v>
      </c>
    </row>
    <row r="20896" spans="103:104" x14ac:dyDescent="0.3">
      <c r="CY20896" s="34" t="s">
        <v>21823</v>
      </c>
      <c r="CZ20896" s="35">
        <v>1.4367184E-2</v>
      </c>
    </row>
    <row r="20897" spans="103:104" x14ac:dyDescent="0.3">
      <c r="CY20897" s="34" t="s">
        <v>21824</v>
      </c>
      <c r="CZ20897" s="35">
        <v>2.6233283999999999E-2</v>
      </c>
    </row>
    <row r="20898" spans="103:104" x14ac:dyDescent="0.3">
      <c r="CY20898" s="34" t="s">
        <v>21825</v>
      </c>
      <c r="CZ20898" s="35">
        <v>1.1730758000000001E-2</v>
      </c>
    </row>
    <row r="20899" spans="103:104" x14ac:dyDescent="0.3">
      <c r="CY20899" s="34" t="s">
        <v>21826</v>
      </c>
      <c r="CZ20899" s="35">
        <v>8.4401079000000004E-2</v>
      </c>
    </row>
    <row r="20900" spans="103:104" x14ac:dyDescent="0.3">
      <c r="CY20900" s="34" t="s">
        <v>21827</v>
      </c>
      <c r="CZ20900" s="35">
        <v>4.9511759999999998E-3</v>
      </c>
    </row>
    <row r="20901" spans="103:104" x14ac:dyDescent="0.3">
      <c r="CY20901" s="34" t="s">
        <v>21828</v>
      </c>
      <c r="CZ20901" s="35">
        <v>4.1069919999999994E-3</v>
      </c>
    </row>
    <row r="20902" spans="103:104" x14ac:dyDescent="0.3">
      <c r="CY20902" s="34" t="s">
        <v>21829</v>
      </c>
      <c r="CZ20902" s="35">
        <v>7.2095920000000008E-3</v>
      </c>
    </row>
    <row r="20903" spans="103:104" x14ac:dyDescent="0.3">
      <c r="CY20903" s="34" t="s">
        <v>21830</v>
      </c>
      <c r="CZ20903" s="35">
        <v>5.9209660000000006E-3</v>
      </c>
    </row>
    <row r="20904" spans="103:104" x14ac:dyDescent="0.3">
      <c r="CY20904" s="34" t="s">
        <v>21831</v>
      </c>
      <c r="CZ20904" s="35">
        <v>6.5212600000000001E-3</v>
      </c>
    </row>
    <row r="20905" spans="103:104" x14ac:dyDescent="0.3">
      <c r="CY20905" s="34" t="s">
        <v>21832</v>
      </c>
      <c r="CZ20905" s="35">
        <v>1.5692571428571427E-2</v>
      </c>
    </row>
    <row r="20906" spans="103:104" x14ac:dyDescent="0.3">
      <c r="CY20906" s="34" t="s">
        <v>21833</v>
      </c>
      <c r="CZ20906" s="35">
        <v>1.7069476599999998E-2</v>
      </c>
    </row>
    <row r="20907" spans="103:104" x14ac:dyDescent="0.3">
      <c r="CY20907" s="34" t="s">
        <v>21834</v>
      </c>
      <c r="CZ20907" s="35">
        <v>4.8963938E-3</v>
      </c>
    </row>
    <row r="20908" spans="103:104" x14ac:dyDescent="0.3">
      <c r="CY20908" s="34" t="s">
        <v>21835</v>
      </c>
      <c r="CZ20908" s="35">
        <v>4.4097154000000008E-3</v>
      </c>
    </row>
    <row r="20909" spans="103:104" x14ac:dyDescent="0.3">
      <c r="CY20909" s="34" t="s">
        <v>21836</v>
      </c>
      <c r="CZ20909" s="35">
        <v>4.6051804999999993E-3</v>
      </c>
    </row>
    <row r="20910" spans="103:104" x14ac:dyDescent="0.3">
      <c r="CY20910" s="34" t="s">
        <v>21837</v>
      </c>
      <c r="CZ20910" s="35">
        <v>3.8595860000000004E-3</v>
      </c>
    </row>
    <row r="20911" spans="103:104" x14ac:dyDescent="0.3">
      <c r="CY20911" s="34" t="s">
        <v>21838</v>
      </c>
      <c r="CZ20911" s="35">
        <v>1.46201654E-3</v>
      </c>
    </row>
    <row r="20912" spans="103:104" x14ac:dyDescent="0.3">
      <c r="CY20912" s="34" t="s">
        <v>21839</v>
      </c>
      <c r="CZ20912" s="35">
        <v>1.9960533339999999E-2</v>
      </c>
    </row>
    <row r="20913" spans="103:104" x14ac:dyDescent="0.3">
      <c r="CY20913" s="34" t="s">
        <v>21840</v>
      </c>
      <c r="CZ20913" s="35">
        <v>5.3992866663157897E-2</v>
      </c>
    </row>
    <row r="20914" spans="103:104" x14ac:dyDescent="0.3">
      <c r="CY20914" s="34" t="s">
        <v>21841</v>
      </c>
      <c r="CZ20914" s="35">
        <v>7.4242025000000001E-3</v>
      </c>
    </row>
    <row r="20915" spans="103:104" x14ac:dyDescent="0.3">
      <c r="CY20915" s="34" t="s">
        <v>21842</v>
      </c>
      <c r="CZ20915" s="35">
        <v>4.5768773330000005E-2</v>
      </c>
    </row>
    <row r="20916" spans="103:104" x14ac:dyDescent="0.3">
      <c r="CY20916" s="34" t="s">
        <v>21843</v>
      </c>
      <c r="CZ20916" s="35">
        <v>4.5768773330000005E-2</v>
      </c>
    </row>
    <row r="20917" spans="103:104" x14ac:dyDescent="0.3">
      <c r="CY20917" s="34" t="s">
        <v>21844</v>
      </c>
      <c r="CZ20917" s="35">
        <v>5.5692399999999996E-2</v>
      </c>
    </row>
    <row r="20918" spans="103:104" x14ac:dyDescent="0.3">
      <c r="CY20918" s="34" t="s">
        <v>21845</v>
      </c>
      <c r="CZ20918" s="35">
        <v>0.79316999999999993</v>
      </c>
    </row>
    <row r="20919" spans="103:104" x14ac:dyDescent="0.3">
      <c r="CY20919" s="34" t="s">
        <v>21846</v>
      </c>
      <c r="CZ20919" s="35">
        <v>1.2512499999999999E-2</v>
      </c>
    </row>
    <row r="20920" spans="103:104" x14ac:dyDescent="0.3">
      <c r="CY20920" s="34" t="s">
        <v>21847</v>
      </c>
      <c r="CZ20920" s="35">
        <v>4.2808499999999999E-2</v>
      </c>
    </row>
    <row r="20921" spans="103:104" x14ac:dyDescent="0.3">
      <c r="CY20921" s="34" t="s">
        <v>21848</v>
      </c>
      <c r="CZ20921" s="35">
        <v>6.4000000000000003E-3</v>
      </c>
    </row>
    <row r="20922" spans="103:104" x14ac:dyDescent="0.3">
      <c r="CY20922" s="34" t="s">
        <v>21849</v>
      </c>
      <c r="CZ20922" s="35">
        <v>3.1107999999999997E-2</v>
      </c>
    </row>
    <row r="20923" spans="103:104" x14ac:dyDescent="0.3">
      <c r="CY20923" s="34" t="s">
        <v>21850</v>
      </c>
      <c r="CZ20923" s="35">
        <v>1.0568385542168677E-4</v>
      </c>
    </row>
    <row r="20924" spans="103:104" x14ac:dyDescent="0.3">
      <c r="CY20924" s="34" t="s">
        <v>21851</v>
      </c>
      <c r="CZ20924" s="35">
        <v>3.1727391999999993E-2</v>
      </c>
    </row>
    <row r="20925" spans="103:104" x14ac:dyDescent="0.3">
      <c r="CY20925" s="34" t="s">
        <v>21852</v>
      </c>
      <c r="CZ20925" s="35">
        <v>2.6599704000000005E-2</v>
      </c>
    </row>
    <row r="20926" spans="103:104" x14ac:dyDescent="0.3">
      <c r="CY20926" s="34" t="s">
        <v>21853</v>
      </c>
      <c r="CZ20926" s="35">
        <v>6.0325999999999999E-3</v>
      </c>
    </row>
    <row r="20927" spans="103:104" x14ac:dyDescent="0.3">
      <c r="CY20927" s="34" t="s">
        <v>21854</v>
      </c>
      <c r="CZ20927" s="35">
        <v>4.98541E-3</v>
      </c>
    </row>
    <row r="20928" spans="103:104" x14ac:dyDescent="0.3">
      <c r="CY20928" s="34" t="s">
        <v>21855</v>
      </c>
      <c r="CZ20928" s="35">
        <v>1.6822912000000001E-3</v>
      </c>
    </row>
    <row r="20929" spans="103:104" x14ac:dyDescent="0.3">
      <c r="CY20929" s="34" t="s">
        <v>21856</v>
      </c>
      <c r="CZ20929" s="35">
        <v>7.5358400000000002E-3</v>
      </c>
    </row>
    <row r="20930" spans="103:104" x14ac:dyDescent="0.3">
      <c r="CY20930" s="34" t="s">
        <v>21857</v>
      </c>
      <c r="CZ20930" s="35">
        <v>3.4297599999999998E-2</v>
      </c>
    </row>
    <row r="20931" spans="103:104" x14ac:dyDescent="0.3">
      <c r="CY20931" s="34" t="s">
        <v>21858</v>
      </c>
      <c r="CZ20931" s="35">
        <v>0.71908099999999997</v>
      </c>
    </row>
    <row r="20932" spans="103:104" x14ac:dyDescent="0.3">
      <c r="CY20932" s="34" t="s">
        <v>21859</v>
      </c>
      <c r="CZ20932" s="35">
        <v>0.57038880000000003</v>
      </c>
    </row>
    <row r="20933" spans="103:104" x14ac:dyDescent="0.3">
      <c r="CY20933" s="34" t="s">
        <v>21860</v>
      </c>
      <c r="CZ20933" s="35">
        <v>0.25638359999999999</v>
      </c>
    </row>
    <row r="20934" spans="103:104" x14ac:dyDescent="0.3">
      <c r="CY20934" s="34" t="s">
        <v>21861</v>
      </c>
      <c r="CZ20934" s="35">
        <v>8.8182999999999997E-2</v>
      </c>
    </row>
    <row r="20935" spans="103:104" x14ac:dyDescent="0.3">
      <c r="CY20935" s="34" t="s">
        <v>21862</v>
      </c>
      <c r="CZ20935" s="35">
        <v>4.151488914285714E-3</v>
      </c>
    </row>
    <row r="20936" spans="103:104" x14ac:dyDescent="0.3">
      <c r="CY20936" s="34" t="s">
        <v>21863</v>
      </c>
      <c r="CZ20936" s="35">
        <v>1.1731078666666667E-2</v>
      </c>
    </row>
    <row r="20937" spans="103:104" x14ac:dyDescent="0.3">
      <c r="CY20937" s="34" t="s">
        <v>21864</v>
      </c>
      <c r="CZ20937" s="35">
        <v>1.4328808E-2</v>
      </c>
    </row>
    <row r="20938" spans="103:104" x14ac:dyDescent="0.3">
      <c r="CY20938" s="34" t="s">
        <v>21865</v>
      </c>
      <c r="CZ20938" s="35">
        <v>2.6399487999999999E-3</v>
      </c>
    </row>
    <row r="20939" spans="103:104" x14ac:dyDescent="0.3">
      <c r="CY20939" s="34" t="s">
        <v>21866</v>
      </c>
      <c r="CZ20939" s="35">
        <v>1.3892912533333334E-2</v>
      </c>
    </row>
    <row r="20940" spans="103:104" x14ac:dyDescent="0.3">
      <c r="CY20940" s="34" t="s">
        <v>21867</v>
      </c>
      <c r="CZ20940" s="35">
        <v>6.6751750000000002E-3</v>
      </c>
    </row>
    <row r="20941" spans="103:104" x14ac:dyDescent="0.3">
      <c r="CY20941" s="34" t="s">
        <v>21868</v>
      </c>
      <c r="CZ20941" s="35">
        <v>2.5846239999999998E-3</v>
      </c>
    </row>
    <row r="20942" spans="103:104" x14ac:dyDescent="0.3">
      <c r="CY20942" s="34" t="s">
        <v>21869</v>
      </c>
      <c r="CZ20942" s="35">
        <v>9.386515199999999E-3</v>
      </c>
    </row>
    <row r="20943" spans="103:104" x14ac:dyDescent="0.3">
      <c r="CY20943" s="34" t="s">
        <v>21870</v>
      </c>
      <c r="CZ20943" s="35">
        <v>5.9628E-2</v>
      </c>
    </row>
    <row r="20944" spans="103:104" x14ac:dyDescent="0.3">
      <c r="CY20944" s="34" t="s">
        <v>21871</v>
      </c>
      <c r="CZ20944" s="35">
        <v>5.9950720000000006E-2</v>
      </c>
    </row>
    <row r="20945" spans="103:104" x14ac:dyDescent="0.3">
      <c r="CY20945" s="34" t="s">
        <v>21872</v>
      </c>
      <c r="CZ20945" s="35">
        <v>1.8527263999999998E-2</v>
      </c>
    </row>
    <row r="20946" spans="103:104" x14ac:dyDescent="0.3">
      <c r="CY20946" s="34" t="s">
        <v>21873</v>
      </c>
      <c r="CZ20946" s="35">
        <v>1.2129970666666669E-3</v>
      </c>
    </row>
    <row r="20947" spans="103:104" x14ac:dyDescent="0.3">
      <c r="CY20947" s="34" t="s">
        <v>21874</v>
      </c>
      <c r="CZ20947" s="35">
        <v>1.4327126666666667E-2</v>
      </c>
    </row>
    <row r="20948" spans="103:104" x14ac:dyDescent="0.3">
      <c r="CY20948" s="34" t="s">
        <v>21875</v>
      </c>
      <c r="CZ20948" s="35">
        <v>1.3226034666666668E-3</v>
      </c>
    </row>
    <row r="20949" spans="103:104" x14ac:dyDescent="0.3">
      <c r="CY20949" s="34" t="s">
        <v>21876</v>
      </c>
      <c r="CZ20949" s="35">
        <v>1.4628926666666667E-2</v>
      </c>
    </row>
    <row r="20950" spans="103:104" x14ac:dyDescent="0.3">
      <c r="CY20950" s="34" t="s">
        <v>21877</v>
      </c>
      <c r="CZ20950" s="35">
        <v>1.4304098666666665E-3</v>
      </c>
    </row>
    <row r="20951" spans="103:104" x14ac:dyDescent="0.3">
      <c r="CY20951" s="34" t="s">
        <v>21878</v>
      </c>
      <c r="CZ20951" s="35">
        <v>1.4728926666666666E-2</v>
      </c>
    </row>
    <row r="20952" spans="103:104" x14ac:dyDescent="0.3">
      <c r="CY20952" s="34" t="s">
        <v>21879</v>
      </c>
      <c r="CZ20952" s="35">
        <v>3.3462446666666671E-3</v>
      </c>
    </row>
    <row r="20953" spans="103:104" x14ac:dyDescent="0.3">
      <c r="CY20953" s="34" t="s">
        <v>21880</v>
      </c>
      <c r="CZ20953" s="35">
        <v>1.6331816666666665E-2</v>
      </c>
    </row>
    <row r="20954" spans="103:104" x14ac:dyDescent="0.3">
      <c r="CY20954" s="34" t="s">
        <v>21881</v>
      </c>
      <c r="CZ20954" s="35">
        <v>9.8984426666666675E-4</v>
      </c>
    </row>
    <row r="20955" spans="103:104" x14ac:dyDescent="0.3">
      <c r="CY20955" s="34" t="s">
        <v>21882</v>
      </c>
      <c r="CZ20955" s="35">
        <v>1.3619586666666666E-2</v>
      </c>
    </row>
    <row r="20956" spans="103:104" x14ac:dyDescent="0.3">
      <c r="CY20956" s="34" t="s">
        <v>21883</v>
      </c>
      <c r="CZ20956" s="35">
        <v>4.0126735999999996E-2</v>
      </c>
    </row>
    <row r="20957" spans="103:104" x14ac:dyDescent="0.3">
      <c r="CY20957" s="34" t="s">
        <v>21884</v>
      </c>
      <c r="CZ20957" s="35">
        <v>8.0175531260000002E-2</v>
      </c>
    </row>
    <row r="20958" spans="103:104" x14ac:dyDescent="0.3">
      <c r="CY20958" s="34" t="s">
        <v>21885</v>
      </c>
      <c r="CZ20958" s="35">
        <v>0.12341247999999999</v>
      </c>
    </row>
    <row r="20959" spans="103:104" x14ac:dyDescent="0.3">
      <c r="CY20959" s="34" t="s">
        <v>21886</v>
      </c>
      <c r="CZ20959" s="35">
        <v>0.18605068</v>
      </c>
    </row>
    <row r="20960" spans="103:104" x14ac:dyDescent="0.3">
      <c r="CY20960" s="34" t="s">
        <v>21887</v>
      </c>
      <c r="CZ20960" s="35">
        <v>0.12007101000000001</v>
      </c>
    </row>
    <row r="20961" spans="103:104" x14ac:dyDescent="0.3">
      <c r="CY20961" s="34" t="s">
        <v>21888</v>
      </c>
      <c r="CZ20961" s="35">
        <v>8.9053935099999995E-2</v>
      </c>
    </row>
    <row r="20962" spans="103:104" x14ac:dyDescent="0.3">
      <c r="CY20962" s="34" t="s">
        <v>21889</v>
      </c>
      <c r="CZ20962" s="35">
        <v>1.4979530666666665E-3</v>
      </c>
    </row>
    <row r="20963" spans="103:104" x14ac:dyDescent="0.3">
      <c r="CY20963" s="34" t="s">
        <v>21890</v>
      </c>
      <c r="CZ20963" s="35">
        <v>9.6872800000000019E-4</v>
      </c>
    </row>
    <row r="20964" spans="103:104" x14ac:dyDescent="0.3">
      <c r="CY20964" s="34" t="s">
        <v>21891</v>
      </c>
      <c r="CZ20964" s="35">
        <v>0.15982328285999997</v>
      </c>
    </row>
    <row r="20965" spans="103:104" x14ac:dyDescent="0.3">
      <c r="CY20965" s="34" t="s">
        <v>21892</v>
      </c>
      <c r="CZ20965" s="35">
        <v>0.27131139000000004</v>
      </c>
    </row>
    <row r="20966" spans="103:104" x14ac:dyDescent="0.3">
      <c r="CY20966" s="34" t="s">
        <v>21893</v>
      </c>
      <c r="CZ20966" s="35">
        <v>1.1225000000000002E-3</v>
      </c>
    </row>
    <row r="20967" spans="103:104" x14ac:dyDescent="0.3">
      <c r="CY20967" s="34" t="s">
        <v>21894</v>
      </c>
      <c r="CZ20967" s="35">
        <v>9.0404999999999999E-3</v>
      </c>
    </row>
    <row r="20968" spans="103:104" x14ac:dyDescent="0.3">
      <c r="CY20968" s="34" t="s">
        <v>21895</v>
      </c>
      <c r="CZ20968" s="35">
        <v>2.8217300000000001E-2</v>
      </c>
    </row>
    <row r="20969" spans="103:104" x14ac:dyDescent="0.3">
      <c r="CY20969" s="34" t="s">
        <v>21896</v>
      </c>
      <c r="CZ20969" s="35">
        <v>6.6308109401709392E-2</v>
      </c>
    </row>
    <row r="20970" spans="103:104" x14ac:dyDescent="0.3">
      <c r="CY20970" s="34" t="s">
        <v>21897</v>
      </c>
      <c r="CZ20970" s="35">
        <v>3.9152051282051278E-2</v>
      </c>
    </row>
    <row r="20971" spans="103:104" x14ac:dyDescent="0.3">
      <c r="CY20971" s="34" t="s">
        <v>21898</v>
      </c>
      <c r="CZ20971" s="35">
        <v>5.6119760000000003E-3</v>
      </c>
    </row>
    <row r="20972" spans="103:104" x14ac:dyDescent="0.3">
      <c r="CY20972" s="34" t="s">
        <v>21899</v>
      </c>
      <c r="CZ20972" s="35">
        <v>1.2396103999999999E-3</v>
      </c>
    </row>
    <row r="20973" spans="103:104" x14ac:dyDescent="0.3">
      <c r="CY20973" s="34" t="s">
        <v>21900</v>
      </c>
      <c r="CZ20973" s="35">
        <v>4.9872900000000001E-3</v>
      </c>
    </row>
    <row r="20974" spans="103:104" x14ac:dyDescent="0.3">
      <c r="CY20974" s="34" t="s">
        <v>21901</v>
      </c>
      <c r="CZ20974" s="35">
        <v>4.0742216000000012E-2</v>
      </c>
    </row>
    <row r="20975" spans="103:104" x14ac:dyDescent="0.3">
      <c r="CY20975" s="34" t="s">
        <v>21902</v>
      </c>
      <c r="CZ20975" s="35">
        <v>2.015802593333333E-2</v>
      </c>
    </row>
    <row r="20976" spans="103:104" x14ac:dyDescent="0.3">
      <c r="CY20976" s="34" t="s">
        <v>21903</v>
      </c>
      <c r="CZ20976" s="35">
        <v>5.940461000000001E-3</v>
      </c>
    </row>
    <row r="20977" spans="103:104" x14ac:dyDescent="0.3">
      <c r="CY20977" s="34" t="s">
        <v>21904</v>
      </c>
      <c r="CZ20977" s="35">
        <v>5.9404610000000002E-3</v>
      </c>
    </row>
    <row r="20978" spans="103:104" x14ac:dyDescent="0.3">
      <c r="CY20978" s="34" t="s">
        <v>21905</v>
      </c>
      <c r="CZ20978" s="35">
        <v>6.2228520000000001E-3</v>
      </c>
    </row>
    <row r="20979" spans="103:104" x14ac:dyDescent="0.3">
      <c r="CY20979" s="34" t="s">
        <v>21906</v>
      </c>
      <c r="CZ20979" s="35">
        <v>6.2228520000000001E-3</v>
      </c>
    </row>
    <row r="20980" spans="103:104" x14ac:dyDescent="0.3">
      <c r="CY20980" s="34" t="s">
        <v>21907</v>
      </c>
      <c r="CZ20980" s="35">
        <v>3.1044096E-3</v>
      </c>
    </row>
    <row r="20981" spans="103:104" x14ac:dyDescent="0.3">
      <c r="CY20981" s="34" t="s">
        <v>21908</v>
      </c>
      <c r="CZ20981" s="35">
        <v>3.1044096E-3</v>
      </c>
    </row>
    <row r="20982" spans="103:104" x14ac:dyDescent="0.3">
      <c r="CY20982" s="34" t="s">
        <v>21909</v>
      </c>
      <c r="CZ20982" s="35">
        <v>0.14079186315789477</v>
      </c>
    </row>
    <row r="20983" spans="103:104" x14ac:dyDescent="0.3">
      <c r="CY20983" s="34" t="s">
        <v>21910</v>
      </c>
      <c r="CZ20983" s="35">
        <v>1.4154257142857144E-2</v>
      </c>
    </row>
    <row r="20984" spans="103:104" x14ac:dyDescent="0.3">
      <c r="CY20984" s="34" t="s">
        <v>21911</v>
      </c>
      <c r="CZ20984" s="35">
        <v>5.633091668750001E-2</v>
      </c>
    </row>
    <row r="20985" spans="103:104" x14ac:dyDescent="0.3">
      <c r="CY20985" s="34" t="s">
        <v>21912</v>
      </c>
      <c r="CZ20985" s="35">
        <v>0.79677662610526323</v>
      </c>
    </row>
    <row r="20986" spans="103:104" x14ac:dyDescent="0.3">
      <c r="CY20986" s="34" t="s">
        <v>21913</v>
      </c>
      <c r="CZ20986" s="35">
        <v>3.4167789473684208E-3</v>
      </c>
    </row>
    <row r="20987" spans="103:104" x14ac:dyDescent="0.3">
      <c r="CY20987" s="34" t="s">
        <v>21914</v>
      </c>
      <c r="CZ20987" s="35">
        <v>3.3720720000000003E-4</v>
      </c>
    </row>
    <row r="20988" spans="103:104" x14ac:dyDescent="0.3">
      <c r="CY20988" s="34" t="s">
        <v>21915</v>
      </c>
      <c r="CZ20988" s="35">
        <v>3.3274559999999999E-3</v>
      </c>
    </row>
    <row r="20989" spans="103:104" x14ac:dyDescent="0.3">
      <c r="CY20989" s="34" t="s">
        <v>21916</v>
      </c>
      <c r="CZ20989" s="35">
        <v>0.27083278153333329</v>
      </c>
    </row>
    <row r="20990" spans="103:104" x14ac:dyDescent="0.3">
      <c r="CY20990" s="34" t="s">
        <v>21917</v>
      </c>
      <c r="CZ20990" s="35">
        <v>0.10832538429999999</v>
      </c>
    </row>
    <row r="20991" spans="103:104" x14ac:dyDescent="0.3">
      <c r="CY20991" s="34" t="s">
        <v>21918</v>
      </c>
      <c r="CZ20991" s="35">
        <v>6.7426517999999991E-2</v>
      </c>
    </row>
    <row r="20992" spans="103:104" x14ac:dyDescent="0.3">
      <c r="CY20992" s="34" t="s">
        <v>21919</v>
      </c>
      <c r="CZ20992" s="35">
        <v>6.7426518000000005E-2</v>
      </c>
    </row>
    <row r="20993" spans="103:104" x14ac:dyDescent="0.3">
      <c r="CY20993" s="34" t="s">
        <v>21920</v>
      </c>
      <c r="CZ20993" s="35">
        <v>0.18672848</v>
      </c>
    </row>
    <row r="20994" spans="103:104" x14ac:dyDescent="0.3">
      <c r="CY20994" s="34" t="s">
        <v>21921</v>
      </c>
      <c r="CZ20994" s="35">
        <v>0.20514688000000003</v>
      </c>
    </row>
    <row r="20995" spans="103:104" x14ac:dyDescent="0.3">
      <c r="CY20995" s="34" t="s">
        <v>21922</v>
      </c>
      <c r="CZ20995" s="35">
        <v>0.20514688</v>
      </c>
    </row>
    <row r="20996" spans="103:104" x14ac:dyDescent="0.3">
      <c r="CY20996" s="34" t="s">
        <v>21923</v>
      </c>
      <c r="CZ20996" s="35">
        <v>0.10073196500000001</v>
      </c>
    </row>
    <row r="20997" spans="103:104" x14ac:dyDescent="0.3">
      <c r="CY20997" s="34" t="s">
        <v>21924</v>
      </c>
      <c r="CZ20997" s="35">
        <v>0.10073196500000001</v>
      </c>
    </row>
    <row r="20998" spans="103:104" x14ac:dyDescent="0.3">
      <c r="CY20998" s="34" t="s">
        <v>21925</v>
      </c>
      <c r="CZ20998" s="35">
        <v>8.6918165000000006E-2</v>
      </c>
    </row>
    <row r="20999" spans="103:104" x14ac:dyDescent="0.3">
      <c r="CY20999" s="34" t="s">
        <v>21926</v>
      </c>
      <c r="CZ20999" s="35">
        <v>8.6918165000000006E-2</v>
      </c>
    </row>
    <row r="21000" spans="103:104" x14ac:dyDescent="0.3">
      <c r="CY21000" s="34" t="s">
        <v>21927</v>
      </c>
      <c r="CZ21000" s="35">
        <v>8.9427192000000003E-2</v>
      </c>
    </row>
    <row r="21001" spans="103:104" x14ac:dyDescent="0.3">
      <c r="CY21001" s="34" t="s">
        <v>21928</v>
      </c>
      <c r="CZ21001" s="35">
        <v>1.7493612506666663E-3</v>
      </c>
    </row>
    <row r="21002" spans="103:104" x14ac:dyDescent="0.3">
      <c r="CY21002" s="34" t="s">
        <v>21929</v>
      </c>
      <c r="CZ21002" s="35">
        <v>1.1347994666666666E-3</v>
      </c>
    </row>
    <row r="21003" spans="103:104" x14ac:dyDescent="0.3">
      <c r="CY21003" s="34" t="s">
        <v>21930</v>
      </c>
      <c r="CZ21003" s="35">
        <v>2.0314264000000004E-3</v>
      </c>
    </row>
    <row r="21004" spans="103:104" x14ac:dyDescent="0.3">
      <c r="CY21004" s="34" t="s">
        <v>21931</v>
      </c>
      <c r="CZ21004" s="35">
        <v>1.7490384000000002E-3</v>
      </c>
    </row>
    <row r="21005" spans="103:104" x14ac:dyDescent="0.3">
      <c r="CY21005" s="34" t="s">
        <v>21932</v>
      </c>
      <c r="CZ21005" s="35">
        <v>1.1347994666666668E-3</v>
      </c>
    </row>
    <row r="21006" spans="103:104" x14ac:dyDescent="0.3">
      <c r="CY21006" s="34" t="s">
        <v>21933</v>
      </c>
      <c r="CZ21006" s="35">
        <v>1.7490384000000002E-3</v>
      </c>
    </row>
    <row r="21007" spans="103:104" x14ac:dyDescent="0.3">
      <c r="CY21007" s="34" t="s">
        <v>21934</v>
      </c>
      <c r="CZ21007" s="35">
        <v>1.6594726800000001E-2</v>
      </c>
    </row>
    <row r="21008" spans="103:104" x14ac:dyDescent="0.3">
      <c r="CY21008" s="34" t="s">
        <v>21935</v>
      </c>
      <c r="CZ21008" s="35">
        <v>8.9771472000000003E-4</v>
      </c>
    </row>
    <row r="21009" spans="103:104" x14ac:dyDescent="0.3">
      <c r="CY21009" s="34" t="s">
        <v>21936</v>
      </c>
      <c r="CZ21009" s="35">
        <v>7.819999999999999E-5</v>
      </c>
    </row>
    <row r="21010" spans="103:104" x14ac:dyDescent="0.3">
      <c r="CY21010" s="34" t="s">
        <v>21937</v>
      </c>
      <c r="CZ21010" s="35">
        <v>0.40911230000000004</v>
      </c>
    </row>
    <row r="21011" spans="103:104" x14ac:dyDescent="0.3">
      <c r="CY21011" s="34" t="s">
        <v>21938</v>
      </c>
      <c r="CZ21011" s="35">
        <v>0.1402024</v>
      </c>
    </row>
    <row r="21012" spans="103:104" x14ac:dyDescent="0.3">
      <c r="CY21012" s="34" t="s">
        <v>21939</v>
      </c>
      <c r="CZ21012" s="35">
        <v>0.43980284000000003</v>
      </c>
    </row>
    <row r="21013" spans="103:104" x14ac:dyDescent="0.3">
      <c r="CY21013" s="34" t="s">
        <v>21940</v>
      </c>
      <c r="CZ21013" s="35">
        <v>6.5591500799999994E-2</v>
      </c>
    </row>
    <row r="21014" spans="103:104" x14ac:dyDescent="0.3">
      <c r="CY21014" s="34" t="s">
        <v>21941</v>
      </c>
      <c r="CZ21014" s="35">
        <v>0.16666267199999998</v>
      </c>
    </row>
    <row r="21015" spans="103:104" x14ac:dyDescent="0.3">
      <c r="CY21015" s="34" t="s">
        <v>21942</v>
      </c>
      <c r="CZ21015" s="35">
        <v>0.13700911199999999</v>
      </c>
    </row>
    <row r="21016" spans="103:104" x14ac:dyDescent="0.3">
      <c r="CY21016" s="34" t="s">
        <v>21943</v>
      </c>
      <c r="CZ21016" s="35">
        <v>0.14215886399999997</v>
      </c>
    </row>
    <row r="21017" spans="103:104" x14ac:dyDescent="0.3">
      <c r="CY21017" s="34" t="s">
        <v>21944</v>
      </c>
      <c r="CZ21017" s="35">
        <v>0.20122125733333335</v>
      </c>
    </row>
    <row r="21018" spans="103:104" x14ac:dyDescent="0.3">
      <c r="CY21018" s="34" t="s">
        <v>21945</v>
      </c>
      <c r="CZ21018" s="35">
        <v>0.147924634</v>
      </c>
    </row>
    <row r="21019" spans="103:104" x14ac:dyDescent="0.3">
      <c r="CY21019" s="34" t="s">
        <v>21946</v>
      </c>
      <c r="CZ21019" s="35">
        <v>0.11604624999999999</v>
      </c>
    </row>
    <row r="21020" spans="103:104" x14ac:dyDescent="0.3">
      <c r="CY21020" s="34" t="s">
        <v>21947</v>
      </c>
      <c r="CZ21020" s="35">
        <v>0.15694263999999997</v>
      </c>
    </row>
    <row r="21021" spans="103:104" x14ac:dyDescent="0.3">
      <c r="CY21021" s="34" t="s">
        <v>21948</v>
      </c>
      <c r="CZ21021" s="35">
        <v>0.14323047999999999</v>
      </c>
    </row>
    <row r="21022" spans="103:104" x14ac:dyDescent="0.3">
      <c r="CY21022" s="34" t="s">
        <v>21949</v>
      </c>
      <c r="CZ21022" s="35">
        <v>1.1005714285714284E-3</v>
      </c>
    </row>
    <row r="21023" spans="103:104" x14ac:dyDescent="0.3">
      <c r="CY21023" s="34" t="s">
        <v>21950</v>
      </c>
      <c r="CZ21023" s="35">
        <v>0.12052210000000001</v>
      </c>
    </row>
    <row r="21024" spans="103:104" x14ac:dyDescent="0.3">
      <c r="CY21024" s="34" t="s">
        <v>21951</v>
      </c>
      <c r="CZ21024" s="35">
        <v>0.15602125999999997</v>
      </c>
    </row>
    <row r="21025" spans="103:104" x14ac:dyDescent="0.3">
      <c r="CY21025" s="34" t="s">
        <v>21952</v>
      </c>
      <c r="CZ21025" s="35">
        <v>0.19344137800000002</v>
      </c>
    </row>
    <row r="21026" spans="103:104" x14ac:dyDescent="0.3">
      <c r="CY21026" s="34" t="s">
        <v>21953</v>
      </c>
      <c r="CZ21026" s="35">
        <v>7.999537000000001E-2</v>
      </c>
    </row>
    <row r="21027" spans="103:104" x14ac:dyDescent="0.3">
      <c r="CY21027" s="34" t="s">
        <v>21954</v>
      </c>
      <c r="CZ21027" s="35">
        <v>0.11327225</v>
      </c>
    </row>
    <row r="21028" spans="103:104" x14ac:dyDescent="0.3">
      <c r="CY21028" s="34" t="s">
        <v>21955</v>
      </c>
      <c r="CZ21028" s="35">
        <v>0.16573421199999999</v>
      </c>
    </row>
    <row r="21029" spans="103:104" x14ac:dyDescent="0.3">
      <c r="CY21029" s="34" t="s">
        <v>21956</v>
      </c>
      <c r="CZ21029" s="35">
        <v>0.23938809999999996</v>
      </c>
    </row>
    <row r="21030" spans="103:104" x14ac:dyDescent="0.3">
      <c r="CY21030" s="34" t="s">
        <v>21957</v>
      </c>
      <c r="CZ21030" s="35">
        <v>0.23917901800000002</v>
      </c>
    </row>
    <row r="21031" spans="103:104" x14ac:dyDescent="0.3">
      <c r="CY21031" s="34" t="s">
        <v>21958</v>
      </c>
      <c r="CZ21031" s="35">
        <v>0.11843376999999999</v>
      </c>
    </row>
    <row r="21032" spans="103:104" x14ac:dyDescent="0.3">
      <c r="CY21032" s="34" t="s">
        <v>21959</v>
      </c>
      <c r="CZ21032" s="35">
        <v>0.72805068000000006</v>
      </c>
    </row>
    <row r="21033" spans="103:104" x14ac:dyDescent="0.3">
      <c r="CY21033" s="34" t="s">
        <v>21960</v>
      </c>
      <c r="CZ21033" s="35">
        <v>0.29462784000000003</v>
      </c>
    </row>
    <row r="21034" spans="103:104" x14ac:dyDescent="0.3">
      <c r="CY21034" s="34" t="s">
        <v>21961</v>
      </c>
      <c r="CZ21034" s="35">
        <v>0.71397730000000015</v>
      </c>
    </row>
    <row r="21035" spans="103:104" x14ac:dyDescent="0.3">
      <c r="CY21035" s="34" t="s">
        <v>21962</v>
      </c>
      <c r="CZ21035" s="35">
        <v>0.22989435349999995</v>
      </c>
    </row>
    <row r="21036" spans="103:104" x14ac:dyDescent="0.3">
      <c r="CY21036" s="34" t="s">
        <v>21963</v>
      </c>
      <c r="CZ21036" s="35">
        <v>6.1102176111111108E-2</v>
      </c>
    </row>
    <row r="21037" spans="103:104" x14ac:dyDescent="0.3">
      <c r="CY21037" s="34" t="s">
        <v>21964</v>
      </c>
      <c r="CZ21037" s="35">
        <v>7.1468073999999993E-2</v>
      </c>
    </row>
    <row r="21038" spans="103:104" x14ac:dyDescent="0.3">
      <c r="CY21038" s="34" t="s">
        <v>21965</v>
      </c>
      <c r="CZ21038" s="35">
        <v>0.20266950000000003</v>
      </c>
    </row>
    <row r="21039" spans="103:104" x14ac:dyDescent="0.3">
      <c r="CY21039" s="34" t="s">
        <v>21966</v>
      </c>
      <c r="CZ21039" s="35">
        <v>1.5701116000000001E-2</v>
      </c>
    </row>
    <row r="21040" spans="103:104" x14ac:dyDescent="0.3">
      <c r="CY21040" s="34" t="s">
        <v>21967</v>
      </c>
      <c r="CZ21040" s="35">
        <v>2.9121582999999996E-2</v>
      </c>
    </row>
    <row r="21041" spans="103:104" x14ac:dyDescent="0.3">
      <c r="CY21041" s="34" t="s">
        <v>21968</v>
      </c>
      <c r="CZ21041" s="35">
        <v>4.2642739999999998E-2</v>
      </c>
    </row>
    <row r="21042" spans="103:104" x14ac:dyDescent="0.3">
      <c r="CY21042" s="34" t="s">
        <v>21969</v>
      </c>
      <c r="CZ21042" s="35">
        <v>2.7484300400000002E-2</v>
      </c>
    </row>
    <row r="21043" spans="103:104" x14ac:dyDescent="0.3">
      <c r="CY21043" s="34" t="s">
        <v>21970</v>
      </c>
      <c r="CZ21043" s="35">
        <v>6.7595971199999993E-2</v>
      </c>
    </row>
    <row r="21044" spans="103:104" x14ac:dyDescent="0.3">
      <c r="CY21044" s="34" t="s">
        <v>21971</v>
      </c>
      <c r="CZ21044" s="35">
        <v>1.8210200000000001E-4</v>
      </c>
    </row>
    <row r="21045" spans="103:104" x14ac:dyDescent="0.3">
      <c r="CY21045" s="34" t="s">
        <v>21972</v>
      </c>
      <c r="CZ21045" s="35">
        <v>1.5731335999999999E-2</v>
      </c>
    </row>
    <row r="21046" spans="103:104" x14ac:dyDescent="0.3">
      <c r="CY21046" s="34" t="s">
        <v>21973</v>
      </c>
      <c r="CZ21046" s="35">
        <v>0.13675508</v>
      </c>
    </row>
    <row r="21047" spans="103:104" x14ac:dyDescent="0.3">
      <c r="CY21047" s="34" t="s">
        <v>21974</v>
      </c>
      <c r="CZ21047" s="35">
        <v>1.0723508E-2</v>
      </c>
    </row>
    <row r="21048" spans="103:104" x14ac:dyDescent="0.3">
      <c r="CY21048" s="34" t="s">
        <v>21975</v>
      </c>
      <c r="CZ21048" s="35">
        <v>8.7256391111111117E-4</v>
      </c>
    </row>
    <row r="21049" spans="103:104" x14ac:dyDescent="0.3">
      <c r="CY21049" s="34" t="s">
        <v>21976</v>
      </c>
      <c r="CZ21049" s="35">
        <v>1.1154232E-3</v>
      </c>
    </row>
    <row r="21050" spans="103:104" x14ac:dyDescent="0.3">
      <c r="CY21050" s="34" t="s">
        <v>21977</v>
      </c>
      <c r="CZ21050" s="35">
        <v>9.6161359999999991E-3</v>
      </c>
    </row>
    <row r="21051" spans="103:104" x14ac:dyDescent="0.3">
      <c r="CY21051" s="34" t="s">
        <v>21978</v>
      </c>
      <c r="CZ21051" s="35">
        <v>0.16649944999999999</v>
      </c>
    </row>
    <row r="21052" spans="103:104" x14ac:dyDescent="0.3">
      <c r="CY21052" s="34" t="s">
        <v>21979</v>
      </c>
      <c r="CZ21052" s="35">
        <v>6.0163200000000003E-3</v>
      </c>
    </row>
    <row r="21053" spans="103:104" x14ac:dyDescent="0.3">
      <c r="CY21053" s="34" t="s">
        <v>21980</v>
      </c>
      <c r="CZ21053" s="35">
        <v>0.21372127999999999</v>
      </c>
    </row>
    <row r="21054" spans="103:104" x14ac:dyDescent="0.3">
      <c r="CY21054" s="34" t="s">
        <v>21981</v>
      </c>
      <c r="CZ21054" s="35">
        <v>0.12750133891213389</v>
      </c>
    </row>
    <row r="21055" spans="103:104" x14ac:dyDescent="0.3">
      <c r="CY21055" s="34" t="s">
        <v>21982</v>
      </c>
      <c r="CZ21055" s="35">
        <v>7.2134E-3</v>
      </c>
    </row>
    <row r="21056" spans="103:104" x14ac:dyDescent="0.3">
      <c r="CY21056" s="34" t="s">
        <v>21983</v>
      </c>
      <c r="CZ21056" s="35">
        <v>4.1291000000000008E-2</v>
      </c>
    </row>
    <row r="21057" spans="103:104" x14ac:dyDescent="0.3">
      <c r="CY21057" s="34" t="s">
        <v>21984</v>
      </c>
      <c r="CZ21057" s="35">
        <v>1.03287E-2</v>
      </c>
    </row>
    <row r="21058" spans="103:104" x14ac:dyDescent="0.3">
      <c r="CY21058" s="34" t="s">
        <v>21985</v>
      </c>
      <c r="CZ21058" s="35">
        <v>4.7247499999999998E-2</v>
      </c>
    </row>
    <row r="21059" spans="103:104" x14ac:dyDescent="0.3">
      <c r="CY21059" s="34" t="s">
        <v>21986</v>
      </c>
      <c r="CZ21059" s="35">
        <v>6.5422400000000004E-3</v>
      </c>
    </row>
    <row r="21060" spans="103:104" x14ac:dyDescent="0.3">
      <c r="CY21060" s="34" t="s">
        <v>21987</v>
      </c>
      <c r="CZ21060" s="35">
        <v>3.7514400000000003E-2</v>
      </c>
    </row>
    <row r="21061" spans="103:104" x14ac:dyDescent="0.3">
      <c r="CY21061" s="34" t="s">
        <v>21988</v>
      </c>
      <c r="CZ21061" s="35">
        <v>2.7492599999999999E-2</v>
      </c>
    </row>
    <row r="21062" spans="103:104" x14ac:dyDescent="0.3">
      <c r="CY21062" s="34" t="s">
        <v>21989</v>
      </c>
      <c r="CZ21062" s="35">
        <v>0.10883500000000002</v>
      </c>
    </row>
    <row r="21063" spans="103:104" x14ac:dyDescent="0.3">
      <c r="CY21063" s="34" t="s">
        <v>21990</v>
      </c>
      <c r="CZ21063" s="35">
        <v>2.9565199999999998E-3</v>
      </c>
    </row>
    <row r="21064" spans="103:104" x14ac:dyDescent="0.3">
      <c r="CY21064" s="34" t="s">
        <v>21991</v>
      </c>
      <c r="CZ21064" s="35">
        <v>2.4390999999999999E-2</v>
      </c>
    </row>
    <row r="21065" spans="103:104" x14ac:dyDescent="0.3">
      <c r="CY21065" s="34" t="s">
        <v>21992</v>
      </c>
      <c r="CZ21065" s="35">
        <v>4.1077247999999995E-3</v>
      </c>
    </row>
    <row r="21066" spans="103:104" x14ac:dyDescent="0.3">
      <c r="CY21066" s="34" t="s">
        <v>21993</v>
      </c>
      <c r="CZ21066" s="35">
        <v>1.1775399999999998E-2</v>
      </c>
    </row>
    <row r="21067" spans="103:104" x14ac:dyDescent="0.3">
      <c r="CY21067" s="34" t="s">
        <v>21994</v>
      </c>
      <c r="CZ21067" s="35">
        <v>1.7514018440000001</v>
      </c>
    </row>
    <row r="21068" spans="103:104" x14ac:dyDescent="0.3">
      <c r="CY21068" s="34" t="s">
        <v>21995</v>
      </c>
      <c r="CZ21068" s="35">
        <v>0.14283360000000001</v>
      </c>
    </row>
    <row r="21069" spans="103:104" x14ac:dyDescent="0.3">
      <c r="CY21069" s="34" t="s">
        <v>21996</v>
      </c>
      <c r="CZ21069" s="35">
        <v>2.6965493333333335E-3</v>
      </c>
    </row>
    <row r="21070" spans="103:104" x14ac:dyDescent="0.3">
      <c r="CY21070" s="34" t="s">
        <v>21997</v>
      </c>
      <c r="CZ21070" s="35">
        <v>0.28449989175814666</v>
      </c>
    </row>
    <row r="21071" spans="103:104" x14ac:dyDescent="0.3">
      <c r="CY21071" s="34" t="s">
        <v>21998</v>
      </c>
      <c r="CZ21071" s="35">
        <v>0.29353962120000004</v>
      </c>
    </row>
    <row r="21072" spans="103:104" x14ac:dyDescent="0.3">
      <c r="CY21072" s="34" t="s">
        <v>21999</v>
      </c>
      <c r="CZ21072" s="35">
        <v>0.28909050109999995</v>
      </c>
    </row>
    <row r="21073" spans="103:104" x14ac:dyDescent="0.3">
      <c r="CY21073" s="34" t="s">
        <v>22000</v>
      </c>
      <c r="CZ21073" s="35">
        <v>0.30688698111000001</v>
      </c>
    </row>
    <row r="21074" spans="103:104" x14ac:dyDescent="0.3">
      <c r="CY21074" s="34" t="s">
        <v>22001</v>
      </c>
      <c r="CZ21074" s="35">
        <v>0.32616650120000001</v>
      </c>
    </row>
    <row r="21075" spans="103:104" x14ac:dyDescent="0.3">
      <c r="CY21075" s="34" t="s">
        <v>22002</v>
      </c>
      <c r="CZ21075" s="35">
        <v>0.31281914110000003</v>
      </c>
    </row>
    <row r="21076" spans="103:104" x14ac:dyDescent="0.3">
      <c r="CY21076" s="34" t="s">
        <v>22003</v>
      </c>
      <c r="CZ21076" s="35">
        <v>6.0916770000000002E-3</v>
      </c>
    </row>
    <row r="21077" spans="103:104" x14ac:dyDescent="0.3">
      <c r="CY21077" s="34" t="s">
        <v>22004</v>
      </c>
      <c r="CZ21077" s="35">
        <v>6.0916769999999993E-3</v>
      </c>
    </row>
    <row r="21078" spans="103:104" x14ac:dyDescent="0.3">
      <c r="CY21078" s="34" t="s">
        <v>22005</v>
      </c>
      <c r="CZ21078" s="35">
        <v>1.1717889999999997E-3</v>
      </c>
    </row>
    <row r="21079" spans="103:104" x14ac:dyDescent="0.3">
      <c r="CY21079" s="34" t="s">
        <v>22006</v>
      </c>
      <c r="CZ21079" s="35">
        <v>1.078078167E-2</v>
      </c>
    </row>
    <row r="21080" spans="103:104" x14ac:dyDescent="0.3">
      <c r="CY21080" s="34" t="s">
        <v>22007</v>
      </c>
      <c r="CZ21080" s="35">
        <v>1.078078167E-2</v>
      </c>
    </row>
    <row r="21081" spans="103:104" x14ac:dyDescent="0.3">
      <c r="CY21081" s="34" t="s">
        <v>22008</v>
      </c>
      <c r="CZ21081" s="35">
        <v>5.6862199999999996E-3</v>
      </c>
    </row>
    <row r="21082" spans="103:104" x14ac:dyDescent="0.3">
      <c r="CY21082" s="34" t="s">
        <v>22009</v>
      </c>
      <c r="CZ21082" s="35">
        <v>5.6862199999999996E-3</v>
      </c>
    </row>
    <row r="21083" spans="103:104" x14ac:dyDescent="0.3">
      <c r="CY21083" s="34" t="s">
        <v>22010</v>
      </c>
      <c r="CZ21083" s="35">
        <v>3.2844872670000004E-2</v>
      </c>
    </row>
    <row r="21084" spans="103:104" x14ac:dyDescent="0.3">
      <c r="CY21084" s="34" t="s">
        <v>22011</v>
      </c>
      <c r="CZ21084" s="35">
        <v>3.2844872670000004E-2</v>
      </c>
    </row>
    <row r="21085" spans="103:104" x14ac:dyDescent="0.3">
      <c r="CY21085" s="34" t="s">
        <v>22012</v>
      </c>
      <c r="CZ21085" s="35">
        <v>3.3625982500000004E-3</v>
      </c>
    </row>
    <row r="21086" spans="103:104" x14ac:dyDescent="0.3">
      <c r="CY21086" s="34" t="s">
        <v>22013</v>
      </c>
      <c r="CZ21086" s="35">
        <v>9.139154E-3</v>
      </c>
    </row>
    <row r="21087" spans="103:104" x14ac:dyDescent="0.3">
      <c r="CY21087" s="34" t="s">
        <v>22014</v>
      </c>
      <c r="CZ21087" s="35">
        <v>9.139154E-3</v>
      </c>
    </row>
    <row r="21088" spans="103:104" x14ac:dyDescent="0.3">
      <c r="CY21088" s="34" t="s">
        <v>22015</v>
      </c>
      <c r="CZ21088" s="35">
        <v>1.8859022500000001E-3</v>
      </c>
    </row>
    <row r="21089" spans="103:104" x14ac:dyDescent="0.3">
      <c r="CY21089" s="34" t="s">
        <v>22016</v>
      </c>
      <c r="CZ21089" s="35">
        <v>1.8859022500000001E-3</v>
      </c>
    </row>
    <row r="21090" spans="103:104" x14ac:dyDescent="0.3">
      <c r="CY21090" s="34" t="s">
        <v>22017</v>
      </c>
      <c r="CZ21090" s="35">
        <v>1.66748625E-3</v>
      </c>
    </row>
    <row r="21091" spans="103:104" x14ac:dyDescent="0.3">
      <c r="CY21091" s="34" t="s">
        <v>22018</v>
      </c>
      <c r="CZ21091" s="35">
        <v>1.66748625E-3</v>
      </c>
    </row>
    <row r="21092" spans="103:104" x14ac:dyDescent="0.3">
      <c r="CY21092" s="34" t="s">
        <v>22019</v>
      </c>
      <c r="CZ21092" s="35">
        <v>3.9813855300000001E-3</v>
      </c>
    </row>
    <row r="21093" spans="103:104" x14ac:dyDescent="0.3">
      <c r="CY21093" s="34" t="s">
        <v>22020</v>
      </c>
      <c r="CZ21093" s="35">
        <v>3.9813855299999992E-3</v>
      </c>
    </row>
    <row r="21094" spans="103:104" x14ac:dyDescent="0.3">
      <c r="CY21094" s="34" t="s">
        <v>22021</v>
      </c>
      <c r="CZ21094" s="35">
        <v>3.3369170000000004E-3</v>
      </c>
    </row>
    <row r="21095" spans="103:104" x14ac:dyDescent="0.3">
      <c r="CY21095" s="34" t="s">
        <v>22022</v>
      </c>
      <c r="CZ21095" s="35">
        <v>3.3369170000000004E-3</v>
      </c>
    </row>
    <row r="21096" spans="103:104" x14ac:dyDescent="0.3">
      <c r="CY21096" s="34" t="s">
        <v>22023</v>
      </c>
      <c r="CZ21096" s="35">
        <v>2.9810954999999997E-2</v>
      </c>
    </row>
    <row r="21097" spans="103:104" x14ac:dyDescent="0.3">
      <c r="CY21097" s="34" t="s">
        <v>22024</v>
      </c>
      <c r="CZ21097" s="35">
        <v>2.7016095368421054E-2</v>
      </c>
    </row>
    <row r="21098" spans="103:104" x14ac:dyDescent="0.3">
      <c r="CY21098" s="34" t="s">
        <v>22025</v>
      </c>
      <c r="CZ21098" s="35">
        <v>1.1034031999999999E-2</v>
      </c>
    </row>
    <row r="21099" spans="103:104" x14ac:dyDescent="0.3">
      <c r="CY21099" s="34" t="s">
        <v>22026</v>
      </c>
      <c r="CZ21099" s="35">
        <v>1.4137183999999999E-2</v>
      </c>
    </row>
    <row r="21100" spans="103:104" x14ac:dyDescent="0.3">
      <c r="CY21100" s="34" t="s">
        <v>22027</v>
      </c>
      <c r="CZ21100" s="35">
        <v>1.2585608E-2</v>
      </c>
    </row>
    <row r="21101" spans="103:104" x14ac:dyDescent="0.3">
      <c r="CY21101" s="34" t="s">
        <v>22028</v>
      </c>
      <c r="CZ21101" s="35">
        <v>9.9885999999999989E-2</v>
      </c>
    </row>
    <row r="21102" spans="103:104" x14ac:dyDescent="0.3">
      <c r="CY21102" s="34" t="s">
        <v>22029</v>
      </c>
      <c r="CZ21102" s="35">
        <v>5.6756382571428572E-2</v>
      </c>
    </row>
    <row r="21103" spans="103:104" x14ac:dyDescent="0.3">
      <c r="CY21103" s="34" t="s">
        <v>22030</v>
      </c>
      <c r="CZ21103" s="35">
        <v>5.6716824999999998E-2</v>
      </c>
    </row>
    <row r="21104" spans="103:104" x14ac:dyDescent="0.3">
      <c r="CY21104" s="34" t="s">
        <v>22031</v>
      </c>
      <c r="CZ21104" s="35">
        <v>3.3646317777777778E-3</v>
      </c>
    </row>
    <row r="21105" spans="103:104" x14ac:dyDescent="0.3">
      <c r="CY21105" s="34" t="s">
        <v>22032</v>
      </c>
      <c r="CZ21105" s="35">
        <v>6.9029800000000002E-2</v>
      </c>
    </row>
    <row r="21106" spans="103:104" x14ac:dyDescent="0.3">
      <c r="CY21106" s="34" t="s">
        <v>22033</v>
      </c>
      <c r="CZ21106" s="35">
        <v>0.27323401600000002</v>
      </c>
    </row>
    <row r="21107" spans="103:104" x14ac:dyDescent="0.3">
      <c r="CY21107" s="34" t="s">
        <v>22034</v>
      </c>
      <c r="CZ21107" s="35">
        <v>1.151646134E-3</v>
      </c>
    </row>
    <row r="21108" spans="103:104" x14ac:dyDescent="0.3">
      <c r="CY21108" s="34" t="s">
        <v>22035</v>
      </c>
      <c r="CZ21108" s="35">
        <v>0.84840578399999989</v>
      </c>
    </row>
    <row r="21109" spans="103:104" x14ac:dyDescent="0.3">
      <c r="CY21109" s="34" t="s">
        <v>22036</v>
      </c>
      <c r="CZ21109" s="35">
        <v>0.60707800000000012</v>
      </c>
    </row>
    <row r="21110" spans="103:104" x14ac:dyDescent="0.3">
      <c r="CY21110" s="34" t="s">
        <v>22037</v>
      </c>
      <c r="CZ21110" s="35">
        <v>0.75202995899999991</v>
      </c>
    </row>
    <row r="21111" spans="103:104" x14ac:dyDescent="0.3">
      <c r="CY21111" s="34" t="s">
        <v>22038</v>
      </c>
      <c r="CZ21111" s="35">
        <v>0.68167000000000011</v>
      </c>
    </row>
    <row r="21112" spans="103:104" x14ac:dyDescent="0.3">
      <c r="CY21112" s="34" t="s">
        <v>22039</v>
      </c>
      <c r="CZ21112" s="35">
        <v>0.24005204444444445</v>
      </c>
    </row>
    <row r="21113" spans="103:104" x14ac:dyDescent="0.3">
      <c r="CY21113" s="34" t="s">
        <v>22040</v>
      </c>
      <c r="CZ21113" s="35">
        <v>4.2677783999999996E-2</v>
      </c>
    </row>
    <row r="21114" spans="103:104" x14ac:dyDescent="0.3">
      <c r="CY21114" s="34" t="s">
        <v>22041</v>
      </c>
      <c r="CZ21114" s="35">
        <v>4.492398315789474E-2</v>
      </c>
    </row>
    <row r="21115" spans="103:104" x14ac:dyDescent="0.3">
      <c r="CY21115" s="34" t="s">
        <v>22042</v>
      </c>
      <c r="CZ21115" s="35">
        <v>0.16224655999999998</v>
      </c>
    </row>
    <row r="21116" spans="103:104" x14ac:dyDescent="0.3">
      <c r="CY21116" s="34" t="s">
        <v>22043</v>
      </c>
      <c r="CZ21116" s="35">
        <v>1.3180141409999999E-2</v>
      </c>
    </row>
    <row r="21117" spans="103:104" x14ac:dyDescent="0.3">
      <c r="CY21117" s="34" t="s">
        <v>22044</v>
      </c>
      <c r="CZ21117" s="35">
        <v>2.3848560000000003E-3</v>
      </c>
    </row>
    <row r="21118" spans="103:104" x14ac:dyDescent="0.3">
      <c r="CY21118" s="34" t="s">
        <v>22045</v>
      </c>
      <c r="CZ21118" s="35">
        <v>0.58913599999999999</v>
      </c>
    </row>
    <row r="21119" spans="103:104" x14ac:dyDescent="0.3">
      <c r="CY21119" s="34" t="s">
        <v>22046</v>
      </c>
      <c r="CZ21119" s="35">
        <v>0.57096599999999997</v>
      </c>
    </row>
    <row r="21120" spans="103:104" x14ac:dyDescent="0.3">
      <c r="CY21120" s="34" t="s">
        <v>22047</v>
      </c>
      <c r="CZ21120" s="35">
        <v>6.5599804666666654E-3</v>
      </c>
    </row>
    <row r="21121" spans="103:104" x14ac:dyDescent="0.3">
      <c r="CY21121" s="34" t="s">
        <v>22048</v>
      </c>
      <c r="CZ21121" s="35">
        <v>3.9119250000000008E-2</v>
      </c>
    </row>
    <row r="21122" spans="103:104" x14ac:dyDescent="0.3">
      <c r="CY21122" s="34" t="s">
        <v>22049</v>
      </c>
      <c r="CZ21122" s="35">
        <v>3.4003042900000002E-2</v>
      </c>
    </row>
    <row r="21123" spans="103:104" x14ac:dyDescent="0.3">
      <c r="CY21123" s="34" t="s">
        <v>22050</v>
      </c>
      <c r="CZ21123" s="35">
        <v>1.298566E-2</v>
      </c>
    </row>
    <row r="21124" spans="103:104" x14ac:dyDescent="0.3">
      <c r="CY21124" s="34" t="s">
        <v>22051</v>
      </c>
      <c r="CZ21124" s="35">
        <v>1.1002754285714287E-2</v>
      </c>
    </row>
    <row r="21125" spans="103:104" x14ac:dyDescent="0.3">
      <c r="CY21125" s="34" t="s">
        <v>22052</v>
      </c>
      <c r="CZ21125" s="35">
        <v>9.1809520000000009E-3</v>
      </c>
    </row>
    <row r="21126" spans="103:104" x14ac:dyDescent="0.3">
      <c r="CY21126" s="34" t="s">
        <v>22053</v>
      </c>
      <c r="CZ21126" s="35">
        <v>2.3610862222222225E-3</v>
      </c>
    </row>
    <row r="21127" spans="103:104" x14ac:dyDescent="0.3">
      <c r="CY21127" s="34" t="s">
        <v>22054</v>
      </c>
      <c r="CZ21127" s="35">
        <v>2.7754904000000004E-4</v>
      </c>
    </row>
    <row r="21128" spans="103:104" x14ac:dyDescent="0.3">
      <c r="CY21128" s="34" t="s">
        <v>22055</v>
      </c>
      <c r="CZ21128" s="35">
        <v>9.4607636199999998E-2</v>
      </c>
    </row>
    <row r="21129" spans="103:104" x14ac:dyDescent="0.3">
      <c r="CY21129" s="34" t="s">
        <v>22056</v>
      </c>
      <c r="CZ21129" s="35">
        <v>1.3968593299999998E-2</v>
      </c>
    </row>
    <row r="21130" spans="103:104" x14ac:dyDescent="0.3">
      <c r="CY21130" s="34" t="s">
        <v>22057</v>
      </c>
      <c r="CZ21130" s="35">
        <v>2.0332239999999998E-2</v>
      </c>
    </row>
    <row r="21131" spans="103:104" x14ac:dyDescent="0.3">
      <c r="CY21131" s="34" t="s">
        <v>22058</v>
      </c>
      <c r="CZ21131" s="35">
        <v>0.13157168</v>
      </c>
    </row>
    <row r="21132" spans="103:104" x14ac:dyDescent="0.3">
      <c r="CY21132" s="34" t="s">
        <v>22059</v>
      </c>
      <c r="CZ21132" s="35">
        <v>8.1628666666666669E-2</v>
      </c>
    </row>
    <row r="21133" spans="103:104" x14ac:dyDescent="0.3">
      <c r="CY21133" s="34" t="s">
        <v>22060</v>
      </c>
      <c r="CZ21133" s="35">
        <v>0.1287104</v>
      </c>
    </row>
    <row r="21134" spans="103:104" x14ac:dyDescent="0.3">
      <c r="CY21134" s="34" t="s">
        <v>22061</v>
      </c>
      <c r="CZ21134" s="35">
        <v>0.20595541439999998</v>
      </c>
    </row>
    <row r="21135" spans="103:104" x14ac:dyDescent="0.3">
      <c r="CY21135" s="34" t="s">
        <v>22062</v>
      </c>
      <c r="CZ21135" s="35">
        <v>0.142987368</v>
      </c>
    </row>
    <row r="21136" spans="103:104" x14ac:dyDescent="0.3">
      <c r="CY21136" s="34" t="s">
        <v>22063</v>
      </c>
      <c r="CZ21136" s="35">
        <v>0.1377891738</v>
      </c>
    </row>
    <row r="21137" spans="103:104" x14ac:dyDescent="0.3">
      <c r="CY21137" s="34" t="s">
        <v>22064</v>
      </c>
      <c r="CZ21137" s="35">
        <v>4.3944000000000006E-3</v>
      </c>
    </row>
    <row r="21138" spans="103:104" x14ac:dyDescent="0.3">
      <c r="CY21138" s="34" t="s">
        <v>22065</v>
      </c>
      <c r="CZ21138" s="35">
        <v>9.2311400000000002E-2</v>
      </c>
    </row>
    <row r="21139" spans="103:104" x14ac:dyDescent="0.3">
      <c r="CY21139" s="34" t="s">
        <v>22066</v>
      </c>
      <c r="CZ21139" s="35">
        <v>7.8759680000000012E-2</v>
      </c>
    </row>
    <row r="21140" spans="103:104" x14ac:dyDescent="0.3">
      <c r="CY21140" s="34" t="s">
        <v>22067</v>
      </c>
      <c r="CZ21140" s="35">
        <v>1.218924E-2</v>
      </c>
    </row>
    <row r="21141" spans="103:104" x14ac:dyDescent="0.3">
      <c r="CY21141" s="34" t="s">
        <v>22068</v>
      </c>
      <c r="CZ21141" s="35">
        <v>0.30460071799999999</v>
      </c>
    </row>
    <row r="21142" spans="103:104" x14ac:dyDescent="0.3">
      <c r="CY21142" s="34" t="s">
        <v>22069</v>
      </c>
      <c r="CZ21142" s="35">
        <v>7.1343466666666661E-3</v>
      </c>
    </row>
    <row r="21143" spans="103:104" x14ac:dyDescent="0.3">
      <c r="CY21143" s="34" t="s">
        <v>22070</v>
      </c>
      <c r="CZ21143" s="35">
        <v>8.1857700000000002E-3</v>
      </c>
    </row>
    <row r="21144" spans="103:104" x14ac:dyDescent="0.3">
      <c r="CY21144" s="34" t="s">
        <v>22071</v>
      </c>
      <c r="CZ21144" s="35">
        <v>7.8040960000000002E-4</v>
      </c>
    </row>
    <row r="21145" spans="103:104" x14ac:dyDescent="0.3">
      <c r="CY21145" s="34" t="s">
        <v>22072</v>
      </c>
      <c r="CZ21145" s="35">
        <v>7.8858832000000007E-3</v>
      </c>
    </row>
    <row r="21146" spans="103:104" x14ac:dyDescent="0.3">
      <c r="CY21146" s="34" t="s">
        <v>22073</v>
      </c>
      <c r="CZ21146" s="35">
        <v>2.8277946666666665E-3</v>
      </c>
    </row>
    <row r="21147" spans="103:104" x14ac:dyDescent="0.3">
      <c r="CY21147" s="34" t="s">
        <v>22074</v>
      </c>
      <c r="CZ21147" s="35">
        <v>8.2175592380000009E-2</v>
      </c>
    </row>
    <row r="21148" spans="103:104" x14ac:dyDescent="0.3">
      <c r="CY21148" s="34" t="s">
        <v>22075</v>
      </c>
      <c r="CZ21148" s="35">
        <v>0.20496734</v>
      </c>
    </row>
    <row r="21149" spans="103:104" x14ac:dyDescent="0.3">
      <c r="CY21149" s="34" t="s">
        <v>22076</v>
      </c>
      <c r="CZ21149" s="35">
        <v>2.1371510476190479E-3</v>
      </c>
    </row>
    <row r="21150" spans="103:104" x14ac:dyDescent="0.3">
      <c r="CY21150" s="34" t="s">
        <v>22077</v>
      </c>
      <c r="CZ21150" s="35">
        <v>1.0135000000000001E-3</v>
      </c>
    </row>
    <row r="21151" spans="103:104" x14ac:dyDescent="0.3">
      <c r="CY21151" s="34" t="s">
        <v>22078</v>
      </c>
      <c r="CZ21151" s="35">
        <v>1.3370000000000001E-3</v>
      </c>
    </row>
    <row r="21152" spans="103:104" x14ac:dyDescent="0.3">
      <c r="CY21152" s="34" t="s">
        <v>22079</v>
      </c>
      <c r="CZ21152" s="35">
        <v>1.1857266666666666E-2</v>
      </c>
    </row>
    <row r="21153" spans="103:104" x14ac:dyDescent="0.3">
      <c r="CY21153" s="34" t="s">
        <v>22080</v>
      </c>
      <c r="CZ21153" s="35">
        <v>1.1857266666666666E-2</v>
      </c>
    </row>
    <row r="21154" spans="103:104" x14ac:dyDescent="0.3">
      <c r="CY21154" s="34" t="s">
        <v>22081</v>
      </c>
      <c r="CZ21154" s="35">
        <v>1.7029466666666666E-2</v>
      </c>
    </row>
    <row r="21155" spans="103:104" x14ac:dyDescent="0.3">
      <c r="CY21155" s="34" t="s">
        <v>22082</v>
      </c>
      <c r="CZ21155" s="35">
        <v>1.5703120000000004E-2</v>
      </c>
    </row>
    <row r="21156" spans="103:104" x14ac:dyDescent="0.3">
      <c r="CY21156" s="34" t="s">
        <v>22083</v>
      </c>
      <c r="CZ21156" s="35">
        <v>7.6909600000000002E-3</v>
      </c>
    </row>
    <row r="21157" spans="103:104" x14ac:dyDescent="0.3">
      <c r="CY21157" s="34" t="s">
        <v>22084</v>
      </c>
      <c r="CZ21157" s="35">
        <v>0.79111960000000003</v>
      </c>
    </row>
    <row r="21158" spans="103:104" x14ac:dyDescent="0.3">
      <c r="CY21158" s="34" t="s">
        <v>22085</v>
      </c>
      <c r="CZ21158" s="35">
        <v>0.82613639999999999</v>
      </c>
    </row>
    <row r="21159" spans="103:104" x14ac:dyDescent="0.3">
      <c r="CY21159" s="34" t="s">
        <v>22086</v>
      </c>
      <c r="CZ21159" s="35">
        <v>0.31476892499999998</v>
      </c>
    </row>
    <row r="21160" spans="103:104" x14ac:dyDescent="0.3">
      <c r="CY21160" s="34" t="s">
        <v>22087</v>
      </c>
      <c r="CZ21160" s="35">
        <v>0.57791424999999996</v>
      </c>
    </row>
    <row r="21161" spans="103:104" x14ac:dyDescent="0.3">
      <c r="CY21161" s="34" t="s">
        <v>22088</v>
      </c>
      <c r="CZ21161" s="35">
        <v>0.50343799999999994</v>
      </c>
    </row>
    <row r="21162" spans="103:104" x14ac:dyDescent="0.3">
      <c r="CY21162" s="34" t="s">
        <v>22089</v>
      </c>
      <c r="CZ21162" s="35">
        <v>0.72211424999999996</v>
      </c>
    </row>
    <row r="21163" spans="103:104" x14ac:dyDescent="0.3">
      <c r="CY21163" s="34" t="s">
        <v>22090</v>
      </c>
      <c r="CZ21163" s="35">
        <v>0.89442261000000001</v>
      </c>
    </row>
    <row r="21164" spans="103:104" x14ac:dyDescent="0.3">
      <c r="CY21164" s="34" t="s">
        <v>22091</v>
      </c>
      <c r="CZ21164" s="35">
        <v>0.85248662499999994</v>
      </c>
    </row>
    <row r="21165" spans="103:104" x14ac:dyDescent="0.3">
      <c r="CY21165" s="34" t="s">
        <v>22092</v>
      </c>
      <c r="CZ21165" s="35">
        <v>1.9833895999999997E-2</v>
      </c>
    </row>
    <row r="21166" spans="103:104" x14ac:dyDescent="0.3">
      <c r="CY21166" s="34" t="s">
        <v>22093</v>
      </c>
      <c r="CZ21166" s="35">
        <v>8.1830010000000005E-3</v>
      </c>
    </row>
    <row r="21167" spans="103:104" x14ac:dyDescent="0.3">
      <c r="CY21167" s="34" t="s">
        <v>22094</v>
      </c>
      <c r="CZ21167" s="35">
        <v>1.5414873999999999E-2</v>
      </c>
    </row>
    <row r="21168" spans="103:104" x14ac:dyDescent="0.3">
      <c r="CY21168" s="34" t="s">
        <v>22095</v>
      </c>
      <c r="CZ21168" s="35">
        <v>4.1363558199999997E-3</v>
      </c>
    </row>
    <row r="21169" spans="103:104" x14ac:dyDescent="0.3">
      <c r="CY21169" s="34" t="s">
        <v>22096</v>
      </c>
      <c r="CZ21169" s="35">
        <v>9.1806302000000013E-3</v>
      </c>
    </row>
    <row r="21170" spans="103:104" x14ac:dyDescent="0.3">
      <c r="CY21170" s="34" t="s">
        <v>22097</v>
      </c>
      <c r="CZ21170" s="35">
        <v>9.1806302000000013E-3</v>
      </c>
    </row>
    <row r="21171" spans="103:104" x14ac:dyDescent="0.3">
      <c r="CY21171" s="34" t="s">
        <v>22098</v>
      </c>
      <c r="CZ21171" s="35">
        <v>4.0287410666666667E-3</v>
      </c>
    </row>
    <row r="21172" spans="103:104" x14ac:dyDescent="0.3">
      <c r="CY21172" s="34" t="s">
        <v>22099</v>
      </c>
      <c r="CZ21172" s="35">
        <v>5.5850039999999993E-3</v>
      </c>
    </row>
    <row r="21173" spans="103:104" x14ac:dyDescent="0.3">
      <c r="CY21173" s="34" t="s">
        <v>22100</v>
      </c>
      <c r="CZ21173" s="35">
        <v>5.5850039999999993E-3</v>
      </c>
    </row>
    <row r="21174" spans="103:104" x14ac:dyDescent="0.3">
      <c r="CY21174" s="34" t="s">
        <v>22101</v>
      </c>
      <c r="CZ21174" s="35">
        <v>4.7548751999999996E-3</v>
      </c>
    </row>
    <row r="21175" spans="103:104" x14ac:dyDescent="0.3">
      <c r="CY21175" s="34" t="s">
        <v>22102</v>
      </c>
      <c r="CZ21175" s="35">
        <v>4.7548751999999996E-3</v>
      </c>
    </row>
    <row r="21176" spans="103:104" x14ac:dyDescent="0.3">
      <c r="CY21176" s="34" t="s">
        <v>22103</v>
      </c>
      <c r="CZ21176" s="35">
        <v>5.3780039999999996E-3</v>
      </c>
    </row>
    <row r="21177" spans="103:104" x14ac:dyDescent="0.3">
      <c r="CY21177" s="34" t="s">
        <v>22104</v>
      </c>
      <c r="CZ21177" s="35">
        <v>5.3780040000000005E-3</v>
      </c>
    </row>
    <row r="21178" spans="103:104" x14ac:dyDescent="0.3">
      <c r="CY21178" s="34" t="s">
        <v>22105</v>
      </c>
      <c r="CZ21178" s="35">
        <v>1.0288738E-2</v>
      </c>
    </row>
    <row r="21179" spans="103:104" x14ac:dyDescent="0.3">
      <c r="CY21179" s="34" t="s">
        <v>22106</v>
      </c>
      <c r="CZ21179" s="35">
        <v>1.0288738E-2</v>
      </c>
    </row>
    <row r="21180" spans="103:104" x14ac:dyDescent="0.3">
      <c r="CY21180" s="34" t="s">
        <v>22107</v>
      </c>
      <c r="CZ21180" s="35">
        <v>3.5113924999999997E-2</v>
      </c>
    </row>
    <row r="21181" spans="103:104" x14ac:dyDescent="0.3">
      <c r="CY21181" s="34" t="s">
        <v>22108</v>
      </c>
      <c r="CZ21181" s="35">
        <v>3.511392499999999E-2</v>
      </c>
    </row>
    <row r="21182" spans="103:104" x14ac:dyDescent="0.3">
      <c r="CY21182" s="34" t="s">
        <v>22109</v>
      </c>
      <c r="CZ21182" s="35">
        <v>9.5713798000000004E-4</v>
      </c>
    </row>
    <row r="21183" spans="103:104" x14ac:dyDescent="0.3">
      <c r="CY21183" s="34" t="s">
        <v>22110</v>
      </c>
      <c r="CZ21183" s="35">
        <v>1.2274977600000002E-2</v>
      </c>
    </row>
    <row r="21184" spans="103:104" x14ac:dyDescent="0.3">
      <c r="CY21184" s="34" t="s">
        <v>22111</v>
      </c>
      <c r="CZ21184" s="35">
        <v>4.5187585306122449E-2</v>
      </c>
    </row>
    <row r="21185" spans="103:104" x14ac:dyDescent="0.3">
      <c r="CY21185" s="34" t="s">
        <v>22112</v>
      </c>
      <c r="CZ21185" s="35">
        <v>0.126495248</v>
      </c>
    </row>
    <row r="21186" spans="103:104" x14ac:dyDescent="0.3">
      <c r="CY21186" s="34" t="s">
        <v>22113</v>
      </c>
      <c r="CZ21186" s="35">
        <v>2.3314E-3</v>
      </c>
    </row>
    <row r="21187" spans="103:104" x14ac:dyDescent="0.3">
      <c r="CY21187" s="34" t="s">
        <v>22114</v>
      </c>
      <c r="CZ21187" s="35">
        <v>5.9059944000000003E-2</v>
      </c>
    </row>
    <row r="21188" spans="103:104" x14ac:dyDescent="0.3">
      <c r="CY21188" s="34" t="s">
        <v>22115</v>
      </c>
      <c r="CZ21188" s="35">
        <v>5.5633200000000008E-2</v>
      </c>
    </row>
    <row r="21189" spans="103:104" x14ac:dyDescent="0.3">
      <c r="CY21189" s="34" t="s">
        <v>22116</v>
      </c>
      <c r="CZ21189" s="35">
        <v>6.910899999999999E-2</v>
      </c>
    </row>
    <row r="21190" spans="103:104" x14ac:dyDescent="0.3">
      <c r="CY21190" s="34" t="s">
        <v>22117</v>
      </c>
      <c r="CZ21190" s="35">
        <v>6.9397810000000004E-2</v>
      </c>
    </row>
    <row r="21191" spans="103:104" x14ac:dyDescent="0.3">
      <c r="CY21191" s="34" t="s">
        <v>22118</v>
      </c>
      <c r="CZ21191" s="35">
        <v>3.5266651000000003E-2</v>
      </c>
    </row>
    <row r="21192" spans="103:104" x14ac:dyDescent="0.3">
      <c r="CY21192" s="34" t="s">
        <v>22119</v>
      </c>
      <c r="CZ21192" s="35">
        <v>2.0031672E-2</v>
      </c>
    </row>
    <row r="21193" spans="103:104" x14ac:dyDescent="0.3">
      <c r="CY21193" s="34" t="s">
        <v>22120</v>
      </c>
      <c r="CZ21193" s="35">
        <v>1.14691784E-2</v>
      </c>
    </row>
    <row r="21194" spans="103:104" x14ac:dyDescent="0.3">
      <c r="CY21194" s="34" t="s">
        <v>22121</v>
      </c>
      <c r="CZ21194" s="35">
        <v>1.73E-4</v>
      </c>
    </row>
    <row r="21195" spans="103:104" x14ac:dyDescent="0.3">
      <c r="CY21195" s="34" t="s">
        <v>22122</v>
      </c>
      <c r="CZ21195" s="35">
        <v>7.6068368000000016E-3</v>
      </c>
    </row>
    <row r="21196" spans="103:104" x14ac:dyDescent="0.3">
      <c r="CY21196" s="34" t="s">
        <v>22123</v>
      </c>
      <c r="CZ21196" s="35">
        <v>3.4545254413291798E-3</v>
      </c>
    </row>
    <row r="21197" spans="103:104" x14ac:dyDescent="0.3">
      <c r="CY21197" s="34" t="s">
        <v>22124</v>
      </c>
      <c r="CZ21197" s="35">
        <v>6.8195999999999994E-3</v>
      </c>
    </row>
    <row r="21198" spans="103:104" x14ac:dyDescent="0.3">
      <c r="CY21198" s="34" t="s">
        <v>22125</v>
      </c>
      <c r="CZ21198" s="35">
        <v>2.3618193846153848E-2</v>
      </c>
    </row>
    <row r="21199" spans="103:104" x14ac:dyDescent="0.3">
      <c r="CY21199" s="34" t="s">
        <v>22126</v>
      </c>
      <c r="CZ21199" s="35">
        <v>4.0189676340000001E-3</v>
      </c>
    </row>
    <row r="21200" spans="103:104" x14ac:dyDescent="0.3">
      <c r="CY21200" s="34" t="s">
        <v>22127</v>
      </c>
      <c r="CZ21200" s="35">
        <v>1.0543230799999999E-2</v>
      </c>
    </row>
    <row r="21201" spans="103:104" x14ac:dyDescent="0.3">
      <c r="CY21201" s="34" t="s">
        <v>22128</v>
      </c>
      <c r="CZ21201" s="35">
        <v>3.5341500000000002E-3</v>
      </c>
    </row>
    <row r="21202" spans="103:104" x14ac:dyDescent="0.3">
      <c r="CY21202" s="34" t="s">
        <v>22129</v>
      </c>
      <c r="CZ21202" s="35">
        <v>5.4616923090909091E-2</v>
      </c>
    </row>
    <row r="21203" spans="103:104" x14ac:dyDescent="0.3">
      <c r="CY21203" s="34" t="s">
        <v>22130</v>
      </c>
      <c r="CZ21203" s="35">
        <v>4.4286874999999995E-3</v>
      </c>
    </row>
    <row r="21204" spans="103:104" x14ac:dyDescent="0.3">
      <c r="CY21204" s="34" t="s">
        <v>22131</v>
      </c>
      <c r="CZ21204" s="35">
        <v>0.39393243750000001</v>
      </c>
    </row>
    <row r="21205" spans="103:104" x14ac:dyDescent="0.3">
      <c r="CY21205" s="34" t="s">
        <v>22132</v>
      </c>
      <c r="CZ21205" s="35">
        <v>3.1922239999999998E-2</v>
      </c>
    </row>
    <row r="21206" spans="103:104" x14ac:dyDescent="0.3">
      <c r="CY21206" s="34" t="s">
        <v>22133</v>
      </c>
      <c r="CZ21206" s="35">
        <v>1.1237573329999999E-2</v>
      </c>
    </row>
    <row r="21207" spans="103:104" x14ac:dyDescent="0.3">
      <c r="CY21207" s="34" t="s">
        <v>22134</v>
      </c>
      <c r="CZ21207" s="35">
        <v>9.4969680000000004E-4</v>
      </c>
    </row>
    <row r="21208" spans="103:104" x14ac:dyDescent="0.3">
      <c r="CY21208" s="34" t="s">
        <v>22135</v>
      </c>
      <c r="CZ21208" s="35">
        <v>3.9918080000000001E-4</v>
      </c>
    </row>
    <row r="21209" spans="103:104" x14ac:dyDescent="0.3">
      <c r="CY21209" s="34" t="s">
        <v>22136</v>
      </c>
      <c r="CZ21209" s="35">
        <v>5.9289119999999997E-4</v>
      </c>
    </row>
    <row r="21210" spans="103:104" x14ac:dyDescent="0.3">
      <c r="CY21210" s="34" t="s">
        <v>22137</v>
      </c>
      <c r="CZ21210" s="35">
        <v>5.9289119999999997E-4</v>
      </c>
    </row>
    <row r="21211" spans="103:104" x14ac:dyDescent="0.3">
      <c r="CY21211" s="34" t="s">
        <v>22138</v>
      </c>
      <c r="CZ21211" s="35">
        <v>5.9289119999999997E-4</v>
      </c>
    </row>
    <row r="21212" spans="103:104" x14ac:dyDescent="0.3">
      <c r="CY21212" s="34" t="s">
        <v>22139</v>
      </c>
      <c r="CZ21212" s="35">
        <v>1.9824423999999998E-3</v>
      </c>
    </row>
    <row r="21213" spans="103:104" x14ac:dyDescent="0.3">
      <c r="CY21213" s="34" t="s">
        <v>22140</v>
      </c>
      <c r="CZ21213" s="35">
        <v>1.9600681999999998E-2</v>
      </c>
    </row>
    <row r="21214" spans="103:104" x14ac:dyDescent="0.3">
      <c r="CY21214" s="34" t="s">
        <v>22141</v>
      </c>
      <c r="CZ21214" s="35">
        <v>3.9381650000000004E-2</v>
      </c>
    </row>
    <row r="21215" spans="103:104" x14ac:dyDescent="0.3">
      <c r="CY21215" s="34" t="s">
        <v>22142</v>
      </c>
      <c r="CZ21215" s="35">
        <v>3.9381650000000004E-2</v>
      </c>
    </row>
    <row r="21216" spans="103:104" x14ac:dyDescent="0.3">
      <c r="CY21216" s="34" t="s">
        <v>22143</v>
      </c>
      <c r="CZ21216" s="35">
        <v>2.2166627400000003E-2</v>
      </c>
    </row>
    <row r="21217" spans="103:104" x14ac:dyDescent="0.3">
      <c r="CY21217" s="34" t="s">
        <v>22144</v>
      </c>
      <c r="CZ21217" s="35">
        <v>4.2072411999999997E-3</v>
      </c>
    </row>
    <row r="21218" spans="103:104" x14ac:dyDescent="0.3">
      <c r="CY21218" s="34" t="s">
        <v>22145</v>
      </c>
      <c r="CZ21218" s="35">
        <v>2.6496689200000002E-3</v>
      </c>
    </row>
    <row r="21219" spans="103:104" x14ac:dyDescent="0.3">
      <c r="CY21219" s="34" t="s">
        <v>22146</v>
      </c>
      <c r="CZ21219" s="35">
        <v>3.6186771999999995E-3</v>
      </c>
    </row>
    <row r="21220" spans="103:104" x14ac:dyDescent="0.3">
      <c r="CY21220" s="34" t="s">
        <v>22147</v>
      </c>
      <c r="CZ21220" s="35">
        <v>1.0933274666666666E-2</v>
      </c>
    </row>
    <row r="21221" spans="103:104" x14ac:dyDescent="0.3">
      <c r="CY21221" s="34" t="s">
        <v>22148</v>
      </c>
      <c r="CZ21221" s="35">
        <v>5.357658999999999E-3</v>
      </c>
    </row>
    <row r="21222" spans="103:104" x14ac:dyDescent="0.3">
      <c r="CY21222" s="34" t="s">
        <v>22149</v>
      </c>
      <c r="CZ21222" s="35">
        <v>1.8891415600000001</v>
      </c>
    </row>
    <row r="21223" spans="103:104" x14ac:dyDescent="0.3">
      <c r="CY21223" s="34" t="s">
        <v>22150</v>
      </c>
      <c r="CZ21223" s="35">
        <v>0.73602211249999994</v>
      </c>
    </row>
    <row r="21224" spans="103:104" x14ac:dyDescent="0.3">
      <c r="CY21224" s="34" t="s">
        <v>22151</v>
      </c>
      <c r="CZ21224" s="35">
        <v>3.7118125000000003E-3</v>
      </c>
    </row>
    <row r="21225" spans="103:104" x14ac:dyDescent="0.3">
      <c r="CY21225" s="34" t="s">
        <v>22152</v>
      </c>
      <c r="CZ21225" s="35">
        <v>1.0212251568627451E-2</v>
      </c>
    </row>
    <row r="21226" spans="103:104" x14ac:dyDescent="0.3">
      <c r="CY21226" s="34" t="s">
        <v>22153</v>
      </c>
      <c r="CZ21226" s="35">
        <v>1.2723546400000001E-2</v>
      </c>
    </row>
    <row r="21227" spans="103:104" x14ac:dyDescent="0.3">
      <c r="CY21227" s="34" t="s">
        <v>22154</v>
      </c>
      <c r="CZ21227" s="35">
        <v>2.6172408000000001E-2</v>
      </c>
    </row>
    <row r="21228" spans="103:104" x14ac:dyDescent="0.3">
      <c r="CY21228" s="34" t="s">
        <v>22155</v>
      </c>
      <c r="CZ21228" s="35">
        <v>2.6172408000000001E-2</v>
      </c>
    </row>
    <row r="21229" spans="103:104" x14ac:dyDescent="0.3">
      <c r="CY21229" s="34" t="s">
        <v>22156</v>
      </c>
      <c r="CZ21229" s="35">
        <v>1.8938719999999999E-2</v>
      </c>
    </row>
    <row r="21230" spans="103:104" x14ac:dyDescent="0.3">
      <c r="CY21230" s="34" t="s">
        <v>22157</v>
      </c>
      <c r="CZ21230" s="35">
        <v>4.1869109999999998E-3</v>
      </c>
    </row>
    <row r="21231" spans="103:104" x14ac:dyDescent="0.3">
      <c r="CY21231" s="34" t="s">
        <v>22158</v>
      </c>
      <c r="CZ21231" s="35">
        <v>3.5111934274999999E-2</v>
      </c>
    </row>
    <row r="21232" spans="103:104" x14ac:dyDescent="0.3">
      <c r="CY21232" s="34" t="s">
        <v>22159</v>
      </c>
      <c r="CZ21232" s="35">
        <v>5.5286042599999995E-2</v>
      </c>
    </row>
    <row r="21233" spans="103:104" x14ac:dyDescent="0.3">
      <c r="CY21233" s="34" t="s">
        <v>22160</v>
      </c>
      <c r="CZ21233" s="35">
        <v>3.94732166E-2</v>
      </c>
    </row>
    <row r="21234" spans="103:104" x14ac:dyDescent="0.3">
      <c r="CY21234" s="34" t="s">
        <v>22161</v>
      </c>
      <c r="CZ21234" s="35">
        <v>6.9386810087999989E-2</v>
      </c>
    </row>
    <row r="21235" spans="103:104" x14ac:dyDescent="0.3">
      <c r="CY21235" s="34" t="s">
        <v>22162</v>
      </c>
      <c r="CZ21235" s="35">
        <v>2.260856E-2</v>
      </c>
    </row>
    <row r="21236" spans="103:104" x14ac:dyDescent="0.3">
      <c r="CY21236" s="34" t="s">
        <v>22163</v>
      </c>
      <c r="CZ21236" s="35">
        <v>8.2018882199999987E-4</v>
      </c>
    </row>
    <row r="21237" spans="103:104" x14ac:dyDescent="0.3">
      <c r="CY21237" s="34" t="s">
        <v>22164</v>
      </c>
      <c r="CZ21237" s="35">
        <v>4.6078540000000001E-2</v>
      </c>
    </row>
    <row r="21238" spans="103:104" x14ac:dyDescent="0.3">
      <c r="CY21238" s="34" t="s">
        <v>22165</v>
      </c>
      <c r="CZ21238" s="35">
        <v>1.3917882148571429E-2</v>
      </c>
    </row>
    <row r="21239" spans="103:104" x14ac:dyDescent="0.3">
      <c r="CY21239" s="34" t="s">
        <v>22166</v>
      </c>
      <c r="CZ21239" s="35">
        <v>3.2095087100000003E-2</v>
      </c>
    </row>
    <row r="21240" spans="103:104" x14ac:dyDescent="0.3">
      <c r="CY21240" s="34" t="s">
        <v>22167</v>
      </c>
      <c r="CZ21240" s="35">
        <v>1.1095363E-2</v>
      </c>
    </row>
    <row r="21241" spans="103:104" x14ac:dyDescent="0.3">
      <c r="CY21241" s="34" t="s">
        <v>22168</v>
      </c>
      <c r="CZ21241" s="35">
        <v>0.12052210000000001</v>
      </c>
    </row>
    <row r="21242" spans="103:104" x14ac:dyDescent="0.3">
      <c r="CY21242" s="34" t="s">
        <v>22169</v>
      </c>
      <c r="CZ21242" s="35">
        <v>0.14119216666666667</v>
      </c>
    </row>
    <row r="21243" spans="103:104" x14ac:dyDescent="0.3">
      <c r="CY21243" s="34" t="s">
        <v>22170</v>
      </c>
      <c r="CZ21243" s="35">
        <v>0.15694263999999997</v>
      </c>
    </row>
    <row r="21244" spans="103:104" x14ac:dyDescent="0.3">
      <c r="CY21244" s="34" t="s">
        <v>22171</v>
      </c>
      <c r="CZ21244" s="35">
        <v>1.7392358000000001E-3</v>
      </c>
    </row>
    <row r="21245" spans="103:104" x14ac:dyDescent="0.3">
      <c r="CY21245" s="34" t="s">
        <v>22172</v>
      </c>
      <c r="CZ21245" s="35">
        <v>1.2901044999999998E-2</v>
      </c>
    </row>
    <row r="21246" spans="103:104" x14ac:dyDescent="0.3">
      <c r="CY21246" s="34" t="s">
        <v>22173</v>
      </c>
      <c r="CZ21246" s="35">
        <v>2.8422801454545455E-3</v>
      </c>
    </row>
    <row r="21247" spans="103:104" x14ac:dyDescent="0.3">
      <c r="CY21247" s="34" t="s">
        <v>22174</v>
      </c>
      <c r="CZ21247" s="35">
        <v>5.4173800000000003E-3</v>
      </c>
    </row>
    <row r="21248" spans="103:104" x14ac:dyDescent="0.3">
      <c r="CY21248" s="34" t="s">
        <v>22175</v>
      </c>
      <c r="CZ21248" s="35">
        <v>4.9081801333333334E-2</v>
      </c>
    </row>
    <row r="21249" spans="103:104" x14ac:dyDescent="0.3">
      <c r="CY21249" s="34" t="s">
        <v>22176</v>
      </c>
      <c r="CZ21249" s="35">
        <v>0.100146415</v>
      </c>
    </row>
    <row r="21250" spans="103:104" x14ac:dyDescent="0.3">
      <c r="CY21250" s="34" t="s">
        <v>22177</v>
      </c>
      <c r="CZ21250" s="35">
        <v>8.4640000000000003E-5</v>
      </c>
    </row>
    <row r="21251" spans="103:104" x14ac:dyDescent="0.3">
      <c r="CY21251" s="34" t="s">
        <v>22178</v>
      </c>
      <c r="CZ21251" s="35">
        <v>1.0983179999999998E-3</v>
      </c>
    </row>
    <row r="21252" spans="103:104" x14ac:dyDescent="0.3">
      <c r="CY21252" s="34" t="s">
        <v>22179</v>
      </c>
      <c r="CZ21252" s="35">
        <v>1.252691E-2</v>
      </c>
    </row>
    <row r="21253" spans="103:104" x14ac:dyDescent="0.3">
      <c r="CY21253" s="34" t="s">
        <v>22180</v>
      </c>
      <c r="CZ21253" s="35">
        <v>1.9134655543478262E-3</v>
      </c>
    </row>
    <row r="21254" spans="103:104" x14ac:dyDescent="0.3">
      <c r="CY21254" s="34" t="s">
        <v>22181</v>
      </c>
      <c r="CZ21254" s="35">
        <v>0.25587048500000004</v>
      </c>
    </row>
    <row r="21255" spans="103:104" x14ac:dyDescent="0.3">
      <c r="CY21255" s="34" t="s">
        <v>22182</v>
      </c>
      <c r="CZ21255" s="35">
        <v>0.19465531999999999</v>
      </c>
    </row>
    <row r="21256" spans="103:104" x14ac:dyDescent="0.3">
      <c r="CY21256" s="34" t="s">
        <v>22183</v>
      </c>
      <c r="CZ21256" s="35">
        <v>7.3400000000000006E-4</v>
      </c>
    </row>
    <row r="21257" spans="103:104" x14ac:dyDescent="0.3">
      <c r="CY21257" s="34" t="s">
        <v>22184</v>
      </c>
      <c r="CZ21257" s="35">
        <v>4.846352E-3</v>
      </c>
    </row>
    <row r="21258" spans="103:104" x14ac:dyDescent="0.3">
      <c r="CY21258" s="34" t="s">
        <v>22185</v>
      </c>
      <c r="CZ21258" s="35">
        <v>3.9262680412371131E-2</v>
      </c>
    </row>
    <row r="21259" spans="103:104" x14ac:dyDescent="0.3">
      <c r="CY21259" s="34" t="s">
        <v>22186</v>
      </c>
      <c r="CZ21259" s="35">
        <v>5.4406857142857146E-2</v>
      </c>
    </row>
    <row r="21260" spans="103:104" x14ac:dyDescent="0.3">
      <c r="CY21260" s="34" t="s">
        <v>22187</v>
      </c>
      <c r="CZ21260" s="35">
        <v>2.03308E-2</v>
      </c>
    </row>
    <row r="21261" spans="103:104" x14ac:dyDescent="0.3">
      <c r="CY21261" s="34" t="s">
        <v>22188</v>
      </c>
      <c r="CZ21261" s="35">
        <v>6.2165321666666662E-2</v>
      </c>
    </row>
    <row r="21262" spans="103:104" x14ac:dyDescent="0.3">
      <c r="CY21262" s="34" t="s">
        <v>22189</v>
      </c>
      <c r="CZ21262" s="35">
        <v>6.2165321666666662E-2</v>
      </c>
    </row>
    <row r="21263" spans="103:104" x14ac:dyDescent="0.3">
      <c r="CY21263" s="34" t="s">
        <v>22190</v>
      </c>
      <c r="CZ21263" s="35">
        <v>1.6754709999999999E-2</v>
      </c>
    </row>
    <row r="21264" spans="103:104" x14ac:dyDescent="0.3">
      <c r="CY21264" s="34" t="s">
        <v>22191</v>
      </c>
      <c r="CZ21264" s="35">
        <v>4.0459259999999997E-2</v>
      </c>
    </row>
    <row r="21265" spans="103:104" x14ac:dyDescent="0.3">
      <c r="CY21265" s="34" t="s">
        <v>22192</v>
      </c>
      <c r="CZ21265" s="35">
        <v>3.0522576842105263E-2</v>
      </c>
    </row>
    <row r="21266" spans="103:104" x14ac:dyDescent="0.3">
      <c r="CY21266" s="34" t="s">
        <v>22193</v>
      </c>
      <c r="CZ21266" s="35">
        <v>0.25336306666666664</v>
      </c>
    </row>
    <row r="21267" spans="103:104" x14ac:dyDescent="0.3">
      <c r="CY21267" s="34" t="s">
        <v>22194</v>
      </c>
      <c r="CZ21267" s="35">
        <v>5.5334783999999998E-2</v>
      </c>
    </row>
    <row r="21268" spans="103:104" x14ac:dyDescent="0.3">
      <c r="CY21268" s="34" t="s">
        <v>22195</v>
      </c>
      <c r="CZ21268" s="35">
        <v>3.8076488000000001E-3</v>
      </c>
    </row>
    <row r="21269" spans="103:104" x14ac:dyDescent="0.3">
      <c r="CY21269" s="34" t="s">
        <v>22196</v>
      </c>
      <c r="CZ21269" s="35">
        <v>4.389797333333334E-3</v>
      </c>
    </row>
    <row r="21270" spans="103:104" x14ac:dyDescent="0.3">
      <c r="CY21270" s="34" t="s">
        <v>22197</v>
      </c>
      <c r="CZ21270" s="35">
        <v>4.3897973333333331E-3</v>
      </c>
    </row>
    <row r="21271" spans="103:104" x14ac:dyDescent="0.3">
      <c r="CY21271" s="34" t="s">
        <v>22198</v>
      </c>
      <c r="CZ21271" s="35">
        <v>3.8076488000000001E-3</v>
      </c>
    </row>
    <row r="21272" spans="103:104" x14ac:dyDescent="0.3">
      <c r="CY21272" s="34" t="s">
        <v>22199</v>
      </c>
      <c r="CZ21272" s="35">
        <v>4.3144639999999996E-3</v>
      </c>
    </row>
    <row r="21273" spans="103:104" x14ac:dyDescent="0.3">
      <c r="CY21273" s="34" t="s">
        <v>22200</v>
      </c>
      <c r="CZ21273" s="35">
        <v>4.389797333333334E-3</v>
      </c>
    </row>
    <row r="21274" spans="103:104" x14ac:dyDescent="0.3">
      <c r="CY21274" s="34" t="s">
        <v>22201</v>
      </c>
      <c r="CZ21274" s="35">
        <v>3.9242740000000002E-3</v>
      </c>
    </row>
    <row r="21275" spans="103:104" x14ac:dyDescent="0.3">
      <c r="CY21275" s="34" t="s">
        <v>22202</v>
      </c>
      <c r="CZ21275" s="35">
        <v>5.1488800000000001E-2</v>
      </c>
    </row>
    <row r="21276" spans="103:104" x14ac:dyDescent="0.3">
      <c r="CY21276" s="34" t="s">
        <v>22203</v>
      </c>
      <c r="CZ21276" s="35">
        <v>8.1432688000000003E-2</v>
      </c>
    </row>
    <row r="21277" spans="103:104" x14ac:dyDescent="0.3">
      <c r="CY21277" s="34" t="s">
        <v>22204</v>
      </c>
      <c r="CZ21277" s="35">
        <v>8.2956080000000001E-2</v>
      </c>
    </row>
    <row r="21278" spans="103:104" x14ac:dyDescent="0.3">
      <c r="CY21278" s="34" t="s">
        <v>22205</v>
      </c>
      <c r="CZ21278" s="35">
        <v>8.2956080000000001E-2</v>
      </c>
    </row>
    <row r="21279" spans="103:104" x14ac:dyDescent="0.3">
      <c r="CY21279" s="34" t="s">
        <v>22206</v>
      </c>
      <c r="CZ21279" s="35">
        <v>8.2956080000000001E-2</v>
      </c>
    </row>
    <row r="21280" spans="103:104" x14ac:dyDescent="0.3">
      <c r="CY21280" s="34" t="s">
        <v>22207</v>
      </c>
      <c r="CZ21280" s="35">
        <v>8.2956080000000001E-2</v>
      </c>
    </row>
    <row r="21281" spans="103:104" x14ac:dyDescent="0.3">
      <c r="CY21281" s="34" t="s">
        <v>22208</v>
      </c>
      <c r="CZ21281" s="35">
        <v>8.1318080000000001E-2</v>
      </c>
    </row>
    <row r="21282" spans="103:104" x14ac:dyDescent="0.3">
      <c r="CY21282" s="34" t="s">
        <v>22209</v>
      </c>
      <c r="CZ21282" s="35">
        <v>8.2956079999999988E-2</v>
      </c>
    </row>
    <row r="21283" spans="103:104" x14ac:dyDescent="0.3">
      <c r="CY21283" s="34" t="s">
        <v>22210</v>
      </c>
      <c r="CZ21283" s="35">
        <v>0.3967781578947368</v>
      </c>
    </row>
    <row r="21284" spans="103:104" x14ac:dyDescent="0.3">
      <c r="CY21284" s="34" t="s">
        <v>22211</v>
      </c>
      <c r="CZ21284" s="35">
        <v>0.62954657894736843</v>
      </c>
    </row>
    <row r="21285" spans="103:104" x14ac:dyDescent="0.3">
      <c r="CY21285" s="34" t="s">
        <v>22212</v>
      </c>
      <c r="CZ21285" s="35">
        <v>0.59037881578947382</v>
      </c>
    </row>
    <row r="21286" spans="103:104" x14ac:dyDescent="0.3">
      <c r="CY21286" s="34" t="s">
        <v>22213</v>
      </c>
      <c r="CZ21286" s="35">
        <v>0.62954657894736843</v>
      </c>
    </row>
    <row r="21287" spans="103:104" x14ac:dyDescent="0.3">
      <c r="CY21287" s="34" t="s">
        <v>22214</v>
      </c>
      <c r="CZ21287" s="35">
        <v>7.9647999999999997E-2</v>
      </c>
    </row>
    <row r="21288" spans="103:104" x14ac:dyDescent="0.3">
      <c r="CY21288" s="34" t="s">
        <v>22215</v>
      </c>
      <c r="CZ21288" s="35">
        <v>2.783448E-3</v>
      </c>
    </row>
    <row r="21289" spans="103:104" x14ac:dyDescent="0.3">
      <c r="CY21289" s="34" t="s">
        <v>22216</v>
      </c>
      <c r="CZ21289" s="35">
        <v>5.756100000000001E-3</v>
      </c>
    </row>
    <row r="21290" spans="103:104" x14ac:dyDescent="0.3">
      <c r="CY21290" s="34" t="s">
        <v>22217</v>
      </c>
      <c r="CZ21290" s="35">
        <v>4.4642133333333334E-2</v>
      </c>
    </row>
    <row r="21291" spans="103:104" x14ac:dyDescent="0.3">
      <c r="CY21291" s="34" t="s">
        <v>22218</v>
      </c>
      <c r="CZ21291" s="35">
        <v>4.7792688000000007E-2</v>
      </c>
    </row>
    <row r="21292" spans="103:104" x14ac:dyDescent="0.3">
      <c r="CY21292" s="34" t="s">
        <v>22219</v>
      </c>
      <c r="CZ21292" s="35">
        <v>8.2470898000000015E-2</v>
      </c>
    </row>
    <row r="21293" spans="103:104" x14ac:dyDescent="0.3">
      <c r="CY21293" s="34" t="s">
        <v>22220</v>
      </c>
      <c r="CZ21293" s="35">
        <v>6.5053232000000002E-2</v>
      </c>
    </row>
    <row r="21294" spans="103:104" x14ac:dyDescent="0.3">
      <c r="CY21294" s="34" t="s">
        <v>22221</v>
      </c>
      <c r="CZ21294" s="35">
        <v>6.6085744000000002E-2</v>
      </c>
    </row>
    <row r="21295" spans="103:104" x14ac:dyDescent="0.3">
      <c r="CY21295" s="34" t="s">
        <v>22222</v>
      </c>
      <c r="CZ21295" s="35">
        <v>0.32678265000000001</v>
      </c>
    </row>
    <row r="21296" spans="103:104" x14ac:dyDescent="0.3">
      <c r="CY21296" s="34" t="s">
        <v>22223</v>
      </c>
      <c r="CZ21296" s="35">
        <v>1.1040970000000001E-2</v>
      </c>
    </row>
    <row r="21297" spans="103:104" x14ac:dyDescent="0.3">
      <c r="CY21297" s="34" t="s">
        <v>22224</v>
      </c>
      <c r="CZ21297" s="35">
        <v>9.5468520000000015E-3</v>
      </c>
    </row>
    <row r="21298" spans="103:104" x14ac:dyDescent="0.3">
      <c r="CY21298" s="34" t="s">
        <v>22225</v>
      </c>
      <c r="CZ21298" s="35">
        <v>3.6624725670890909E-2</v>
      </c>
    </row>
    <row r="21299" spans="103:104" x14ac:dyDescent="0.3">
      <c r="CY21299" s="34" t="s">
        <v>22226</v>
      </c>
      <c r="CZ21299" s="35">
        <v>2.5500052288343254E-2</v>
      </c>
    </row>
    <row r="21300" spans="103:104" x14ac:dyDescent="0.3">
      <c r="CY21300" s="34" t="s">
        <v>22227</v>
      </c>
      <c r="CZ21300" s="35">
        <v>6.9513731999999995E-3</v>
      </c>
    </row>
    <row r="21301" spans="103:104" x14ac:dyDescent="0.3">
      <c r="CY21301" s="34" t="s">
        <v>22228</v>
      </c>
      <c r="CZ21301" s="35">
        <v>7.9019320000000008E-4</v>
      </c>
    </row>
    <row r="21302" spans="103:104" x14ac:dyDescent="0.3">
      <c r="CY21302" s="34" t="s">
        <v>22229</v>
      </c>
      <c r="CZ21302" s="35">
        <v>2.9604453392600004E-2</v>
      </c>
    </row>
    <row r="21303" spans="103:104" x14ac:dyDescent="0.3">
      <c r="CY21303" s="34" t="s">
        <v>22230</v>
      </c>
      <c r="CZ21303" s="35">
        <v>0.16202437334999997</v>
      </c>
    </row>
    <row r="21304" spans="103:104" x14ac:dyDescent="0.3">
      <c r="CY21304" s="34" t="s">
        <v>22231</v>
      </c>
      <c r="CZ21304" s="35">
        <v>0.13011951999999999</v>
      </c>
    </row>
    <row r="21305" spans="103:104" x14ac:dyDescent="0.3">
      <c r="CY21305" s="34" t="s">
        <v>22232</v>
      </c>
      <c r="CZ21305" s="35">
        <v>0.15669316</v>
      </c>
    </row>
    <row r="21306" spans="103:104" x14ac:dyDescent="0.3">
      <c r="CY21306" s="34" t="s">
        <v>22233</v>
      </c>
      <c r="CZ21306" s="35">
        <v>5.795176E-3</v>
      </c>
    </row>
    <row r="21307" spans="103:104" x14ac:dyDescent="0.3">
      <c r="CY21307" s="34" t="s">
        <v>22234</v>
      </c>
      <c r="CZ21307" s="35">
        <v>2.1731695999999998E-2</v>
      </c>
    </row>
    <row r="21308" spans="103:104" x14ac:dyDescent="0.3">
      <c r="CY21308" s="34" t="s">
        <v>22235</v>
      </c>
      <c r="CZ21308" s="35">
        <v>0.23967255999999998</v>
      </c>
    </row>
    <row r="21309" spans="103:104" x14ac:dyDescent="0.3">
      <c r="CY21309" s="34" t="s">
        <v>22236</v>
      </c>
      <c r="CZ21309" s="35">
        <v>2.431935542857143E-3</v>
      </c>
    </row>
    <row r="21310" spans="103:104" x14ac:dyDescent="0.3">
      <c r="CY21310" s="34" t="s">
        <v>22237</v>
      </c>
      <c r="CZ21310" s="35">
        <v>2.5686981428571433E-2</v>
      </c>
    </row>
    <row r="21311" spans="103:104" x14ac:dyDescent="0.3">
      <c r="CY21311" s="34" t="s">
        <v>22238</v>
      </c>
      <c r="CZ21311" s="35">
        <v>1.3120512499999997E-3</v>
      </c>
    </row>
    <row r="21312" spans="103:104" x14ac:dyDescent="0.3">
      <c r="CY21312" s="34" t="s">
        <v>22239</v>
      </c>
      <c r="CZ21312" s="35">
        <v>1.8598165000000003E-2</v>
      </c>
    </row>
    <row r="21313" spans="103:104" x14ac:dyDescent="0.3">
      <c r="CY21313" s="34" t="s">
        <v>22240</v>
      </c>
      <c r="CZ21313" s="35">
        <v>8.2151023529411765E-4</v>
      </c>
    </row>
    <row r="21314" spans="103:104" x14ac:dyDescent="0.3">
      <c r="CY21314" s="34" t="s">
        <v>22241</v>
      </c>
      <c r="CZ21314" s="35">
        <v>0.13103677624999999</v>
      </c>
    </row>
    <row r="21315" spans="103:104" x14ac:dyDescent="0.3">
      <c r="CY21315" s="34" t="s">
        <v>22242</v>
      </c>
      <c r="CZ21315" s="35">
        <v>4.3554102666666676E-3</v>
      </c>
    </row>
    <row r="21316" spans="103:104" x14ac:dyDescent="0.3">
      <c r="CY21316" s="34" t="s">
        <v>22243</v>
      </c>
      <c r="CZ21316" s="35">
        <v>7.4851400000000004E-4</v>
      </c>
    </row>
    <row r="21317" spans="103:104" x14ac:dyDescent="0.3">
      <c r="CY21317" s="34" t="s">
        <v>22244</v>
      </c>
      <c r="CZ21317" s="35">
        <v>8.1354224000000001E-4</v>
      </c>
    </row>
    <row r="21318" spans="103:104" x14ac:dyDescent="0.3">
      <c r="CY21318" s="34" t="s">
        <v>22245</v>
      </c>
      <c r="CZ21318" s="35">
        <v>4.111328E-3</v>
      </c>
    </row>
    <row r="21319" spans="103:104" x14ac:dyDescent="0.3">
      <c r="CY21319" s="34" t="s">
        <v>22246</v>
      </c>
      <c r="CZ21319" s="35">
        <v>3.745829866666667E-4</v>
      </c>
    </row>
    <row r="21320" spans="103:104" x14ac:dyDescent="0.3">
      <c r="CY21320" s="34" t="s">
        <v>22247</v>
      </c>
      <c r="CZ21320" s="35">
        <v>2.1839822000000002E-3</v>
      </c>
    </row>
    <row r="21321" spans="103:104" x14ac:dyDescent="0.3">
      <c r="CY21321" s="34" t="s">
        <v>22248</v>
      </c>
      <c r="CZ21321" s="35">
        <v>2.4161558799999996E-3</v>
      </c>
    </row>
    <row r="21322" spans="103:104" x14ac:dyDescent="0.3">
      <c r="CY21322" s="34" t="s">
        <v>22249</v>
      </c>
      <c r="CZ21322" s="35">
        <v>1.7125733333333334E-3</v>
      </c>
    </row>
    <row r="21323" spans="103:104" x14ac:dyDescent="0.3">
      <c r="CY21323" s="34" t="s">
        <v>22250</v>
      </c>
      <c r="CZ21323" s="35">
        <v>6.1563637333333335E-4</v>
      </c>
    </row>
    <row r="21324" spans="103:104" x14ac:dyDescent="0.3">
      <c r="CY21324" s="34" t="s">
        <v>22251</v>
      </c>
      <c r="CZ21324" s="35">
        <v>2.5734548E-3</v>
      </c>
    </row>
    <row r="21325" spans="103:104" x14ac:dyDescent="0.3">
      <c r="CY21325" s="34" t="s">
        <v>22252</v>
      </c>
      <c r="CZ21325" s="35">
        <v>1.3756280000000001E-3</v>
      </c>
    </row>
    <row r="21326" spans="103:104" x14ac:dyDescent="0.3">
      <c r="CY21326" s="34" t="s">
        <v>22253</v>
      </c>
      <c r="CZ21326" s="35">
        <v>2.983224E-3</v>
      </c>
    </row>
    <row r="21327" spans="103:104" x14ac:dyDescent="0.3">
      <c r="CY21327" s="34" t="s">
        <v>22254</v>
      </c>
      <c r="CZ21327" s="35">
        <v>3.0454200000000001E-3</v>
      </c>
    </row>
    <row r="21328" spans="103:104" x14ac:dyDescent="0.3">
      <c r="CY21328" s="34" t="s">
        <v>22255</v>
      </c>
      <c r="CZ21328" s="35">
        <v>4.5337199999999998E-3</v>
      </c>
    </row>
    <row r="21329" spans="103:104" x14ac:dyDescent="0.3">
      <c r="CY21329" s="34" t="s">
        <v>22256</v>
      </c>
      <c r="CZ21329" s="35">
        <v>3.2821069000000001E-2</v>
      </c>
    </row>
    <row r="21330" spans="103:104" x14ac:dyDescent="0.3">
      <c r="CY21330" s="34" t="s">
        <v>22257</v>
      </c>
      <c r="CZ21330" s="35">
        <v>0.23729412499999999</v>
      </c>
    </row>
    <row r="21331" spans="103:104" x14ac:dyDescent="0.3">
      <c r="CY21331" s="34" t="s">
        <v>22258</v>
      </c>
      <c r="CZ21331" s="35">
        <v>0.17456788000000001</v>
      </c>
    </row>
    <row r="21332" spans="103:104" x14ac:dyDescent="0.3">
      <c r="CY21332" s="34" t="s">
        <v>22259</v>
      </c>
      <c r="CZ21332" s="35">
        <v>5.4874784000000003E-2</v>
      </c>
    </row>
    <row r="21333" spans="103:104" x14ac:dyDescent="0.3">
      <c r="CY21333" s="34" t="s">
        <v>22260</v>
      </c>
      <c r="CZ21333" s="35">
        <v>0.17456788000000001</v>
      </c>
    </row>
    <row r="21334" spans="103:104" x14ac:dyDescent="0.3">
      <c r="CY21334" s="34" t="s">
        <v>22261</v>
      </c>
      <c r="CZ21334" s="35">
        <v>1.3313279999999999E-2</v>
      </c>
    </row>
    <row r="21335" spans="103:104" x14ac:dyDescent="0.3">
      <c r="CY21335" s="34" t="s">
        <v>22262</v>
      </c>
      <c r="CZ21335" s="35">
        <v>3.8298492000000003E-2</v>
      </c>
    </row>
    <row r="21336" spans="103:104" x14ac:dyDescent="0.3">
      <c r="CY21336" s="34" t="s">
        <v>22263</v>
      </c>
      <c r="CZ21336" s="35">
        <v>2.1433332499999998E-4</v>
      </c>
    </row>
    <row r="21337" spans="103:104" x14ac:dyDescent="0.3">
      <c r="CY21337" s="34" t="s">
        <v>22264</v>
      </c>
      <c r="CZ21337" s="35">
        <v>2.5916667E-4</v>
      </c>
    </row>
    <row r="21338" spans="103:104" x14ac:dyDescent="0.3">
      <c r="CY21338" s="34" t="s">
        <v>22265</v>
      </c>
      <c r="CZ21338" s="35">
        <v>2.1542874599999998E-2</v>
      </c>
    </row>
    <row r="21339" spans="103:104" x14ac:dyDescent="0.3">
      <c r="CY21339" s="34" t="s">
        <v>22266</v>
      </c>
      <c r="CZ21339" s="35">
        <v>6.3999132800000007E-3</v>
      </c>
    </row>
    <row r="21340" spans="103:104" x14ac:dyDescent="0.3">
      <c r="CY21340" s="34" t="s">
        <v>22267</v>
      </c>
      <c r="CZ21340" s="35">
        <v>0.12672161702127657</v>
      </c>
    </row>
    <row r="21341" spans="103:104" x14ac:dyDescent="0.3">
      <c r="CY21341" s="34" t="s">
        <v>22268</v>
      </c>
      <c r="CZ21341" s="35">
        <v>3.7078892200000002E-3</v>
      </c>
    </row>
    <row r="21342" spans="103:104" x14ac:dyDescent="0.3">
      <c r="CY21342" s="34" t="s">
        <v>22269</v>
      </c>
      <c r="CZ21342" s="35">
        <v>6.6201333333333348E-2</v>
      </c>
    </row>
    <row r="21343" spans="103:104" x14ac:dyDescent="0.3">
      <c r="CY21343" s="34" t="s">
        <v>22270</v>
      </c>
      <c r="CZ21343" s="35">
        <v>7.7972978799999995E-2</v>
      </c>
    </row>
    <row r="21344" spans="103:104" x14ac:dyDescent="0.3">
      <c r="CY21344" s="34" t="s">
        <v>22271</v>
      </c>
      <c r="CZ21344" s="35">
        <v>0.44904699999999997</v>
      </c>
    </row>
    <row r="21345" spans="103:104" x14ac:dyDescent="0.3">
      <c r="CY21345" s="34" t="s">
        <v>22272</v>
      </c>
      <c r="CZ21345" s="35">
        <v>0.35487985</v>
      </c>
    </row>
    <row r="21346" spans="103:104" x14ac:dyDescent="0.3">
      <c r="CY21346" s="34" t="s">
        <v>22273</v>
      </c>
      <c r="CZ21346" s="35">
        <v>9.9005330000000013E-3</v>
      </c>
    </row>
    <row r="21347" spans="103:104" x14ac:dyDescent="0.3">
      <c r="CY21347" s="34" t="s">
        <v>22274</v>
      </c>
      <c r="CZ21347" s="35">
        <v>8.0950930000000011E-3</v>
      </c>
    </row>
    <row r="21348" spans="103:104" x14ac:dyDescent="0.3">
      <c r="CY21348" s="34" t="s">
        <v>22275</v>
      </c>
      <c r="CZ21348" s="35">
        <v>9.8019410000000015E-3</v>
      </c>
    </row>
    <row r="21349" spans="103:104" x14ac:dyDescent="0.3">
      <c r="CY21349" s="34" t="s">
        <v>22276</v>
      </c>
      <c r="CZ21349" s="35">
        <v>8.7717170000000001E-3</v>
      </c>
    </row>
    <row r="21350" spans="103:104" x14ac:dyDescent="0.3">
      <c r="CY21350" s="34" t="s">
        <v>22277</v>
      </c>
      <c r="CZ21350" s="35">
        <v>1.2203093E-2</v>
      </c>
    </row>
    <row r="21351" spans="103:104" x14ac:dyDescent="0.3">
      <c r="CY21351" s="34" t="s">
        <v>22278</v>
      </c>
      <c r="CZ21351" s="35">
        <v>1.1041066333E-2</v>
      </c>
    </row>
    <row r="21352" spans="103:104" x14ac:dyDescent="0.3">
      <c r="CY21352" s="34" t="s">
        <v>22279</v>
      </c>
      <c r="CZ21352" s="35">
        <v>1.3074613000000001E-2</v>
      </c>
    </row>
    <row r="21353" spans="103:104" x14ac:dyDescent="0.3">
      <c r="CY21353" s="34" t="s">
        <v>22280</v>
      </c>
      <c r="CZ21353" s="35">
        <v>3.9681224126315792E-2</v>
      </c>
    </row>
    <row r="21354" spans="103:104" x14ac:dyDescent="0.3">
      <c r="CY21354" s="34" t="s">
        <v>22281</v>
      </c>
      <c r="CZ21354" s="35">
        <v>1.0581185824999999E-3</v>
      </c>
    </row>
    <row r="21355" spans="103:104" x14ac:dyDescent="0.3">
      <c r="CY21355" s="34" t="s">
        <v>22282</v>
      </c>
      <c r="CZ21355" s="35">
        <v>1.3707888000000001E-2</v>
      </c>
    </row>
    <row r="21356" spans="103:104" x14ac:dyDescent="0.3">
      <c r="CY21356" s="34" t="s">
        <v>22283</v>
      </c>
      <c r="CZ21356" s="35">
        <v>3.3206920000000001E-3</v>
      </c>
    </row>
    <row r="21357" spans="103:104" x14ac:dyDescent="0.3">
      <c r="CY21357" s="34" t="s">
        <v>22284</v>
      </c>
      <c r="CZ21357" s="35">
        <v>1.8675976000000004E-2</v>
      </c>
    </row>
    <row r="21358" spans="103:104" x14ac:dyDescent="0.3">
      <c r="CY21358" s="34" t="s">
        <v>22285</v>
      </c>
      <c r="CZ21358" s="35">
        <v>1.9862959999999998E-3</v>
      </c>
    </row>
    <row r="21359" spans="103:104" x14ac:dyDescent="0.3">
      <c r="CY21359" s="34" t="s">
        <v>22286</v>
      </c>
      <c r="CZ21359" s="35">
        <v>1.0566765942857144E-2</v>
      </c>
    </row>
    <row r="21360" spans="103:104" x14ac:dyDescent="0.3">
      <c r="CY21360" s="34" t="s">
        <v>22287</v>
      </c>
      <c r="CZ21360" s="35">
        <v>1.2048348533333333E-2</v>
      </c>
    </row>
    <row r="21361" spans="103:104" x14ac:dyDescent="0.3">
      <c r="CY21361" s="34" t="s">
        <v>22288</v>
      </c>
      <c r="CZ21361" s="35">
        <v>3.9917082000000001E-3</v>
      </c>
    </row>
    <row r="21362" spans="103:104" x14ac:dyDescent="0.3">
      <c r="CY21362" s="34" t="s">
        <v>22289</v>
      </c>
      <c r="CZ21362" s="35">
        <v>1.8578080000000001E-3</v>
      </c>
    </row>
    <row r="21363" spans="103:104" x14ac:dyDescent="0.3">
      <c r="CY21363" s="34" t="s">
        <v>22290</v>
      </c>
      <c r="CZ21363" s="35">
        <v>5.7170660000000007E-3</v>
      </c>
    </row>
    <row r="21364" spans="103:104" x14ac:dyDescent="0.3">
      <c r="CY21364" s="34" t="s">
        <v>22291</v>
      </c>
      <c r="CZ21364" s="35">
        <v>1.7608632000000004E-3</v>
      </c>
    </row>
    <row r="21365" spans="103:104" x14ac:dyDescent="0.3">
      <c r="CY21365" s="34" t="s">
        <v>22292</v>
      </c>
      <c r="CZ21365" s="35">
        <v>1.325430084E-2</v>
      </c>
    </row>
    <row r="21366" spans="103:104" x14ac:dyDescent="0.3">
      <c r="CY21366" s="34" t="s">
        <v>22293</v>
      </c>
      <c r="CZ21366" s="35">
        <v>1.1278079999999999E-3</v>
      </c>
    </row>
    <row r="21367" spans="103:104" x14ac:dyDescent="0.3">
      <c r="CY21367" s="34" t="s">
        <v>22294</v>
      </c>
      <c r="CZ21367" s="35">
        <v>3.1311030799999998E-3</v>
      </c>
    </row>
    <row r="21368" spans="103:104" x14ac:dyDescent="0.3">
      <c r="CY21368" s="34" t="s">
        <v>22295</v>
      </c>
      <c r="CZ21368" s="35">
        <v>5.4237342840000001E-2</v>
      </c>
    </row>
    <row r="21369" spans="103:104" x14ac:dyDescent="0.3">
      <c r="CY21369" s="34" t="s">
        <v>22296</v>
      </c>
      <c r="CZ21369" s="35">
        <v>3.8491862285714287E-2</v>
      </c>
    </row>
    <row r="21370" spans="103:104" x14ac:dyDescent="0.3">
      <c r="CY21370" s="34" t="s">
        <v>22297</v>
      </c>
      <c r="CZ21370" s="35">
        <v>0.28363999999999995</v>
      </c>
    </row>
    <row r="21371" spans="103:104" x14ac:dyDescent="0.3">
      <c r="CY21371" s="34" t="s">
        <v>22298</v>
      </c>
      <c r="CZ21371" s="35">
        <v>7.7925399999999988E-3</v>
      </c>
    </row>
    <row r="21372" spans="103:104" x14ac:dyDescent="0.3">
      <c r="CY21372" s="34" t="s">
        <v>22299</v>
      </c>
      <c r="CZ21372" s="35">
        <v>0.30679732500000001</v>
      </c>
    </row>
    <row r="21373" spans="103:104" x14ac:dyDescent="0.3">
      <c r="CY21373" s="34" t="s">
        <v>22300</v>
      </c>
      <c r="CZ21373" s="35">
        <v>0.30679732500000001</v>
      </c>
    </row>
    <row r="21374" spans="103:104" x14ac:dyDescent="0.3">
      <c r="CY21374" s="34" t="s">
        <v>22301</v>
      </c>
      <c r="CZ21374" s="35">
        <v>0.306957325</v>
      </c>
    </row>
    <row r="21375" spans="103:104" x14ac:dyDescent="0.3">
      <c r="CY21375" s="34" t="s">
        <v>22302</v>
      </c>
      <c r="CZ21375" s="35">
        <v>7.4681350000000007E-2</v>
      </c>
    </row>
    <row r="21376" spans="103:104" x14ac:dyDescent="0.3">
      <c r="CY21376" s="34" t="s">
        <v>22303</v>
      </c>
      <c r="CZ21376" s="35">
        <v>0.23729412499999999</v>
      </c>
    </row>
    <row r="21377" spans="103:104" x14ac:dyDescent="0.3">
      <c r="CY21377" s="34" t="s">
        <v>22304</v>
      </c>
      <c r="CZ21377" s="35">
        <v>0.23729412499999999</v>
      </c>
    </row>
    <row r="21378" spans="103:104" x14ac:dyDescent="0.3">
      <c r="CY21378" s="34" t="s">
        <v>22305</v>
      </c>
      <c r="CZ21378" s="35">
        <v>0.23729412499999999</v>
      </c>
    </row>
    <row r="21379" spans="103:104" x14ac:dyDescent="0.3">
      <c r="CY21379" s="34" t="s">
        <v>22306</v>
      </c>
      <c r="CZ21379" s="35">
        <v>0.34948932500000002</v>
      </c>
    </row>
    <row r="21380" spans="103:104" x14ac:dyDescent="0.3">
      <c r="CY21380" s="34" t="s">
        <v>22307</v>
      </c>
      <c r="CZ21380" s="35">
        <v>0.34948932500000002</v>
      </c>
    </row>
    <row r="21381" spans="103:104" x14ac:dyDescent="0.3">
      <c r="CY21381" s="34" t="s">
        <v>22308</v>
      </c>
      <c r="CZ21381" s="35">
        <v>0.34948932500000002</v>
      </c>
    </row>
    <row r="21382" spans="103:104" x14ac:dyDescent="0.3">
      <c r="CY21382" s="34" t="s">
        <v>22309</v>
      </c>
      <c r="CZ21382" s="35">
        <v>0.38393412500000001</v>
      </c>
    </row>
    <row r="21383" spans="103:104" x14ac:dyDescent="0.3">
      <c r="CY21383" s="34" t="s">
        <v>22310</v>
      </c>
      <c r="CZ21383" s="35">
        <v>0.30688699999999997</v>
      </c>
    </row>
    <row r="21384" spans="103:104" x14ac:dyDescent="0.3">
      <c r="CY21384" s="34" t="s">
        <v>22311</v>
      </c>
      <c r="CZ21384" s="35">
        <v>0.39406114999999997</v>
      </c>
    </row>
    <row r="21385" spans="103:104" x14ac:dyDescent="0.3">
      <c r="CY21385" s="34" t="s">
        <v>22312</v>
      </c>
      <c r="CZ21385" s="35">
        <v>0.41247499999999993</v>
      </c>
    </row>
    <row r="21386" spans="103:104" x14ac:dyDescent="0.3">
      <c r="CY21386" s="34" t="s">
        <v>22313</v>
      </c>
      <c r="CZ21386" s="35">
        <v>0.2033855</v>
      </c>
    </row>
    <row r="21387" spans="103:104" x14ac:dyDescent="0.3">
      <c r="CY21387" s="34" t="s">
        <v>22314</v>
      </c>
      <c r="CZ21387" s="35">
        <v>0.2033855</v>
      </c>
    </row>
    <row r="21388" spans="103:104" x14ac:dyDescent="0.3">
      <c r="CY21388" s="34" t="s">
        <v>22315</v>
      </c>
      <c r="CZ21388" s="35">
        <v>0.2033855</v>
      </c>
    </row>
    <row r="21389" spans="103:104" x14ac:dyDescent="0.3">
      <c r="CY21389" s="34" t="s">
        <v>22316</v>
      </c>
      <c r="CZ21389" s="35">
        <v>0.22524649999999999</v>
      </c>
    </row>
    <row r="21390" spans="103:104" x14ac:dyDescent="0.3">
      <c r="CY21390" s="34" t="s">
        <v>22317</v>
      </c>
      <c r="CZ21390" s="35">
        <v>0.22524649999999999</v>
      </c>
    </row>
    <row r="21391" spans="103:104" x14ac:dyDescent="0.3">
      <c r="CY21391" s="34" t="s">
        <v>22318</v>
      </c>
      <c r="CZ21391" s="35">
        <v>0.22524649999999999</v>
      </c>
    </row>
    <row r="21392" spans="103:104" x14ac:dyDescent="0.3">
      <c r="CY21392" s="34" t="s">
        <v>22319</v>
      </c>
      <c r="CZ21392" s="35">
        <v>0.49456663999999995</v>
      </c>
    </row>
    <row r="21393" spans="103:104" x14ac:dyDescent="0.3">
      <c r="CY21393" s="34" t="s">
        <v>22320</v>
      </c>
      <c r="CZ21393" s="35">
        <v>0.33334924999999993</v>
      </c>
    </row>
    <row r="21394" spans="103:104" x14ac:dyDescent="0.3">
      <c r="CY21394" s="34" t="s">
        <v>22321</v>
      </c>
      <c r="CZ21394" s="35">
        <v>0.33334924999999993</v>
      </c>
    </row>
    <row r="21395" spans="103:104" x14ac:dyDescent="0.3">
      <c r="CY21395" s="34" t="s">
        <v>22322</v>
      </c>
      <c r="CZ21395" s="35">
        <v>0.33451999999999998</v>
      </c>
    </row>
    <row r="21396" spans="103:104" x14ac:dyDescent="0.3">
      <c r="CY21396" s="34" t="s">
        <v>22323</v>
      </c>
      <c r="CZ21396" s="35">
        <v>0.33451999999999998</v>
      </c>
    </row>
    <row r="21397" spans="103:104" x14ac:dyDescent="0.3">
      <c r="CY21397" s="34" t="s">
        <v>22324</v>
      </c>
      <c r="CZ21397" s="35">
        <v>0.49405299999999996</v>
      </c>
    </row>
    <row r="21398" spans="103:104" x14ac:dyDescent="0.3">
      <c r="CY21398" s="34" t="s">
        <v>22325</v>
      </c>
      <c r="CZ21398" s="35">
        <v>9.3467792000000008E-2</v>
      </c>
    </row>
    <row r="21399" spans="103:104" x14ac:dyDescent="0.3">
      <c r="CY21399" s="34" t="s">
        <v>22326</v>
      </c>
      <c r="CZ21399" s="35">
        <v>0.10045631202499999</v>
      </c>
    </row>
    <row r="21400" spans="103:104" x14ac:dyDescent="0.3">
      <c r="CY21400" s="34" t="s">
        <v>22327</v>
      </c>
      <c r="CZ21400" s="35">
        <v>9.6186265999999992E-2</v>
      </c>
    </row>
    <row r="21401" spans="103:104" x14ac:dyDescent="0.3">
      <c r="CY21401" s="34" t="s">
        <v>22328</v>
      </c>
      <c r="CZ21401" s="35">
        <v>0.15964712832</v>
      </c>
    </row>
    <row r="21402" spans="103:104" x14ac:dyDescent="0.3">
      <c r="CY21402" s="34" t="s">
        <v>22329</v>
      </c>
      <c r="CZ21402" s="35">
        <v>0.31715304831999991</v>
      </c>
    </row>
    <row r="21403" spans="103:104" x14ac:dyDescent="0.3">
      <c r="CY21403" s="34" t="s">
        <v>22330</v>
      </c>
      <c r="CZ21403" s="35">
        <v>0.75395449999999997</v>
      </c>
    </row>
    <row r="21404" spans="103:104" x14ac:dyDescent="0.3">
      <c r="CY21404" s="34" t="s">
        <v>22331</v>
      </c>
      <c r="CZ21404" s="35">
        <v>1.0464648999999999</v>
      </c>
    </row>
    <row r="21405" spans="103:104" x14ac:dyDescent="0.3">
      <c r="CY21405" s="34" t="s">
        <v>22332</v>
      </c>
      <c r="CZ21405" s="35">
        <v>1.4660899555555556E-2</v>
      </c>
    </row>
    <row r="21406" spans="103:104" x14ac:dyDescent="0.3">
      <c r="CY21406" s="34" t="s">
        <v>22333</v>
      </c>
      <c r="CZ21406" s="35">
        <v>1.45413104E-2</v>
      </c>
    </row>
    <row r="21407" spans="103:104" x14ac:dyDescent="0.3">
      <c r="CY21407" s="34" t="s">
        <v>22334</v>
      </c>
      <c r="CZ21407" s="35">
        <v>1.5394726399999999E-2</v>
      </c>
    </row>
    <row r="21408" spans="103:104" x14ac:dyDescent="0.3">
      <c r="CY21408" s="34" t="s">
        <v>22335</v>
      </c>
      <c r="CZ21408" s="35">
        <v>0.13030731999999998</v>
      </c>
    </row>
    <row r="21409" spans="103:104" x14ac:dyDescent="0.3">
      <c r="CY21409" s="34" t="s">
        <v>22336</v>
      </c>
      <c r="CZ21409" s="35">
        <v>1.5897963253333335E-2</v>
      </c>
    </row>
    <row r="21410" spans="103:104" x14ac:dyDescent="0.3">
      <c r="CY21410" s="34" t="s">
        <v>22337</v>
      </c>
      <c r="CZ21410" s="35">
        <v>2.9275462299999999E-2</v>
      </c>
    </row>
    <row r="21411" spans="103:104" x14ac:dyDescent="0.3">
      <c r="CY21411" s="34" t="s">
        <v>22338</v>
      </c>
      <c r="CZ21411" s="35">
        <v>5.31738E-2</v>
      </c>
    </row>
    <row r="21412" spans="103:104" x14ac:dyDescent="0.3">
      <c r="CY21412" s="34" t="s">
        <v>22339</v>
      </c>
      <c r="CZ21412" s="35">
        <v>1.6179248E-2</v>
      </c>
    </row>
    <row r="21413" spans="103:104" x14ac:dyDescent="0.3">
      <c r="CY21413" s="34" t="s">
        <v>22340</v>
      </c>
      <c r="CZ21413" s="35">
        <v>0.34419696999999999</v>
      </c>
    </row>
    <row r="21414" spans="103:104" x14ac:dyDescent="0.3">
      <c r="CY21414" s="34" t="s">
        <v>22341</v>
      </c>
      <c r="CZ21414" s="35">
        <v>6.9543920000000002E-4</v>
      </c>
    </row>
    <row r="21415" spans="103:104" x14ac:dyDescent="0.3">
      <c r="CY21415" s="34" t="s">
        <v>22342</v>
      </c>
      <c r="CZ21415" s="35">
        <v>5.8142599999999999E-3</v>
      </c>
    </row>
    <row r="21416" spans="103:104" x14ac:dyDescent="0.3">
      <c r="CY21416" s="34" t="s">
        <v>22343</v>
      </c>
      <c r="CZ21416" s="35">
        <v>3.5913944000000001E-3</v>
      </c>
    </row>
    <row r="21417" spans="103:104" x14ac:dyDescent="0.3">
      <c r="CY21417" s="34" t="s">
        <v>22344</v>
      </c>
      <c r="CZ21417" s="35">
        <v>6.0324137E-2</v>
      </c>
    </row>
    <row r="21418" spans="103:104" x14ac:dyDescent="0.3">
      <c r="CY21418" s="34" t="s">
        <v>22345</v>
      </c>
      <c r="CZ21418" s="35">
        <v>7.2202276900000001E-2</v>
      </c>
    </row>
    <row r="21419" spans="103:104" x14ac:dyDescent="0.3">
      <c r="CY21419" s="34" t="s">
        <v>22346</v>
      </c>
      <c r="CZ21419" s="35">
        <v>4.9017549999999998E-3</v>
      </c>
    </row>
    <row r="21420" spans="103:104" x14ac:dyDescent="0.3">
      <c r="CY21420" s="34" t="s">
        <v>22347</v>
      </c>
      <c r="CZ21420" s="35">
        <v>1.1074143999999999E-2</v>
      </c>
    </row>
    <row r="21421" spans="103:104" x14ac:dyDescent="0.3">
      <c r="CY21421" s="34" t="s">
        <v>22348</v>
      </c>
      <c r="CZ21421" s="35">
        <v>1.1875264E-2</v>
      </c>
    </row>
    <row r="21422" spans="103:104" x14ac:dyDescent="0.3">
      <c r="CY21422" s="34" t="s">
        <v>22349</v>
      </c>
      <c r="CZ21422" s="35">
        <v>1.1074143999999999E-2</v>
      </c>
    </row>
    <row r="21423" spans="103:104" x14ac:dyDescent="0.3">
      <c r="CY21423" s="34" t="s">
        <v>22350</v>
      </c>
      <c r="CZ21423" s="35">
        <v>2.2301073142857144E-2</v>
      </c>
    </row>
    <row r="21424" spans="103:104" x14ac:dyDescent="0.3">
      <c r="CY21424" s="34" t="s">
        <v>22351</v>
      </c>
      <c r="CZ21424" s="35">
        <v>1.9960074000000003E-3</v>
      </c>
    </row>
    <row r="21425" spans="103:104" x14ac:dyDescent="0.3">
      <c r="CY21425" s="34" t="s">
        <v>22352</v>
      </c>
      <c r="CZ21425" s="35">
        <v>5.2967320000000002E-3</v>
      </c>
    </row>
    <row r="21426" spans="103:104" x14ac:dyDescent="0.3">
      <c r="CY21426" s="34" t="s">
        <v>22353</v>
      </c>
      <c r="CZ21426" s="35">
        <v>4.2580400000000003E-3</v>
      </c>
    </row>
    <row r="21427" spans="103:104" x14ac:dyDescent="0.3">
      <c r="CY21427" s="34" t="s">
        <v>22354</v>
      </c>
      <c r="CZ21427" s="35">
        <v>4.8462580000000005E-2</v>
      </c>
    </row>
    <row r="21428" spans="103:104" x14ac:dyDescent="0.3">
      <c r="CY21428" s="34" t="s">
        <v>22355</v>
      </c>
      <c r="CZ21428" s="35">
        <v>5.8831075340000004E-2</v>
      </c>
    </row>
    <row r="21429" spans="103:104" x14ac:dyDescent="0.3">
      <c r="CY21429" s="34" t="s">
        <v>22356</v>
      </c>
      <c r="CZ21429" s="35">
        <v>7.6763992000000003E-2</v>
      </c>
    </row>
    <row r="21430" spans="103:104" x14ac:dyDescent="0.3">
      <c r="CY21430" s="34" t="s">
        <v>22357</v>
      </c>
      <c r="CZ21430" s="35">
        <v>6.5633123342857147E-2</v>
      </c>
    </row>
    <row r="21431" spans="103:104" x14ac:dyDescent="0.3">
      <c r="CY21431" s="34" t="s">
        <v>22358</v>
      </c>
      <c r="CZ21431" s="35">
        <v>5.2186800000000007E-3</v>
      </c>
    </row>
    <row r="21432" spans="103:104" x14ac:dyDescent="0.3">
      <c r="CY21432" s="34" t="s">
        <v>22359</v>
      </c>
      <c r="CZ21432" s="35">
        <v>0.12655792500000002</v>
      </c>
    </row>
    <row r="21433" spans="103:104" x14ac:dyDescent="0.3">
      <c r="CY21433" s="34" t="s">
        <v>22360</v>
      </c>
      <c r="CZ21433" s="35">
        <v>3.9997002500000003E-2</v>
      </c>
    </row>
    <row r="21434" spans="103:104" x14ac:dyDescent="0.3">
      <c r="CY21434" s="34" t="s">
        <v>22361</v>
      </c>
      <c r="CZ21434" s="35">
        <v>2.4507712999999997E-3</v>
      </c>
    </row>
    <row r="21435" spans="103:104" x14ac:dyDescent="0.3">
      <c r="CY21435" s="34" t="s">
        <v>22362</v>
      </c>
      <c r="CZ21435" s="35">
        <v>7.4067839999999987E-3</v>
      </c>
    </row>
    <row r="21436" spans="103:104" x14ac:dyDescent="0.3">
      <c r="CY21436" s="34" t="s">
        <v>22363</v>
      </c>
      <c r="CZ21436" s="35">
        <v>0.75112248000000004</v>
      </c>
    </row>
    <row r="21437" spans="103:104" x14ac:dyDescent="0.3">
      <c r="CY21437" s="34" t="s">
        <v>22364</v>
      </c>
      <c r="CZ21437" s="35">
        <v>0.17733961100000001</v>
      </c>
    </row>
    <row r="21438" spans="103:104" x14ac:dyDescent="0.3">
      <c r="CY21438" s="34" t="s">
        <v>22365</v>
      </c>
      <c r="CZ21438" s="35">
        <v>0.51023160000000001</v>
      </c>
    </row>
    <row r="21439" spans="103:104" x14ac:dyDescent="0.3">
      <c r="CY21439" s="34" t="s">
        <v>22366</v>
      </c>
      <c r="CZ21439" s="35">
        <v>1.0771973333333331</v>
      </c>
    </row>
    <row r="21440" spans="103:104" x14ac:dyDescent="0.3">
      <c r="CY21440" s="34" t="s">
        <v>22367</v>
      </c>
      <c r="CZ21440" s="35">
        <v>4.3020799999999998E-3</v>
      </c>
    </row>
    <row r="21441" spans="103:104" x14ac:dyDescent="0.3">
      <c r="CY21441" s="34" t="s">
        <v>22368</v>
      </c>
      <c r="CZ21441" s="35">
        <v>0.12169643555555555</v>
      </c>
    </row>
    <row r="21442" spans="103:104" x14ac:dyDescent="0.3">
      <c r="CY21442" s="34" t="s">
        <v>22369</v>
      </c>
      <c r="CZ21442" s="35">
        <v>3.7285334161299998E-2</v>
      </c>
    </row>
    <row r="21443" spans="103:104" x14ac:dyDescent="0.3">
      <c r="CY21443" s="34" t="s">
        <v>22370</v>
      </c>
      <c r="CZ21443" s="35">
        <v>2.7075216000000003E-2</v>
      </c>
    </row>
    <row r="21444" spans="103:104" x14ac:dyDescent="0.3">
      <c r="CY21444" s="34" t="s">
        <v>22371</v>
      </c>
      <c r="CZ21444" s="35">
        <v>3.3114959999999999E-2</v>
      </c>
    </row>
    <row r="21445" spans="103:104" x14ac:dyDescent="0.3">
      <c r="CY21445" s="34" t="s">
        <v>22372</v>
      </c>
      <c r="CZ21445" s="35">
        <v>1.8854123200000003E-2</v>
      </c>
    </row>
    <row r="21446" spans="103:104" x14ac:dyDescent="0.3">
      <c r="CY21446" s="34" t="s">
        <v>22373</v>
      </c>
      <c r="CZ21446" s="35">
        <v>1.09619968E-2</v>
      </c>
    </row>
    <row r="21447" spans="103:104" x14ac:dyDescent="0.3">
      <c r="CY21447" s="34" t="s">
        <v>22374</v>
      </c>
      <c r="CZ21447" s="35">
        <v>4.2883519999999996E-3</v>
      </c>
    </row>
    <row r="21448" spans="103:104" x14ac:dyDescent="0.3">
      <c r="CY21448" s="34" t="s">
        <v>22375</v>
      </c>
      <c r="CZ21448" s="35">
        <v>3.8274866666666665E-3</v>
      </c>
    </row>
    <row r="21449" spans="103:104" x14ac:dyDescent="0.3">
      <c r="CY21449" s="34" t="s">
        <v>22376</v>
      </c>
      <c r="CZ21449" s="35">
        <v>1.2463306666666667E-2</v>
      </c>
    </row>
    <row r="21450" spans="103:104" x14ac:dyDescent="0.3">
      <c r="CY21450" s="34" t="s">
        <v>22377</v>
      </c>
      <c r="CZ21450" s="35">
        <v>1.4118783157894737E-3</v>
      </c>
    </row>
    <row r="21451" spans="103:104" x14ac:dyDescent="0.3">
      <c r="CY21451" s="34" t="s">
        <v>22378</v>
      </c>
      <c r="CZ21451" s="35">
        <v>2.1382420000000003E-3</v>
      </c>
    </row>
    <row r="21452" spans="103:104" x14ac:dyDescent="0.3">
      <c r="CY21452" s="34" t="s">
        <v>22379</v>
      </c>
      <c r="CZ21452" s="35">
        <v>4.2200079999999999E-3</v>
      </c>
    </row>
    <row r="21453" spans="103:104" x14ac:dyDescent="0.3">
      <c r="CY21453" s="34" t="s">
        <v>22380</v>
      </c>
      <c r="CZ21453" s="35">
        <v>1.8835709999999999E-3</v>
      </c>
    </row>
    <row r="21454" spans="103:104" x14ac:dyDescent="0.3">
      <c r="CY21454" s="34" t="s">
        <v>22381</v>
      </c>
      <c r="CZ21454" s="35">
        <v>3.2453376000000003E-3</v>
      </c>
    </row>
    <row r="21455" spans="103:104" x14ac:dyDescent="0.3">
      <c r="CY21455" s="34" t="s">
        <v>22382</v>
      </c>
      <c r="CZ21455" s="35">
        <v>4.5160000000000009E-3</v>
      </c>
    </row>
    <row r="21456" spans="103:104" x14ac:dyDescent="0.3">
      <c r="CY21456" s="34" t="s">
        <v>22383</v>
      </c>
      <c r="CZ21456" s="35">
        <v>1.3685888E-2</v>
      </c>
    </row>
    <row r="21457" spans="103:104" x14ac:dyDescent="0.3">
      <c r="CY21457" s="34" t="s">
        <v>22384</v>
      </c>
      <c r="CZ21457" s="35">
        <v>1.2765888E-2</v>
      </c>
    </row>
    <row r="21458" spans="103:104" x14ac:dyDescent="0.3">
      <c r="CY21458" s="34" t="s">
        <v>22385</v>
      </c>
      <c r="CZ21458" s="35">
        <v>1.78258E-3</v>
      </c>
    </row>
    <row r="21459" spans="103:104" x14ac:dyDescent="0.3">
      <c r="CY21459" s="34" t="s">
        <v>22386</v>
      </c>
      <c r="CZ21459" s="35">
        <v>9.881946400000001E-3</v>
      </c>
    </row>
    <row r="21460" spans="103:104" x14ac:dyDescent="0.3">
      <c r="CY21460" s="34" t="s">
        <v>22387</v>
      </c>
      <c r="CZ21460" s="35">
        <v>9.6733008288888894E-2</v>
      </c>
    </row>
    <row r="21461" spans="103:104" x14ac:dyDescent="0.3">
      <c r="CY21461" s="34" t="s">
        <v>22388</v>
      </c>
      <c r="CZ21461" s="35">
        <v>7.0256720000000004E-4</v>
      </c>
    </row>
    <row r="21462" spans="103:104" x14ac:dyDescent="0.3">
      <c r="CY21462" s="34" t="s">
        <v>22389</v>
      </c>
      <c r="CZ21462" s="35">
        <v>9.9984326699999997E-3</v>
      </c>
    </row>
    <row r="21463" spans="103:104" x14ac:dyDescent="0.3">
      <c r="CY21463" s="34" t="s">
        <v>22390</v>
      </c>
      <c r="CZ21463" s="35">
        <v>0.14274729329999999</v>
      </c>
    </row>
    <row r="21464" spans="103:104" x14ac:dyDescent="0.3">
      <c r="CY21464" s="34" t="s">
        <v>22391</v>
      </c>
      <c r="CZ21464" s="35">
        <v>5.1176380000000007E-3</v>
      </c>
    </row>
    <row r="21465" spans="103:104" x14ac:dyDescent="0.3">
      <c r="CY21465" s="34" t="s">
        <v>22392</v>
      </c>
      <c r="CZ21465" s="35">
        <v>4.2412932000000002E-3</v>
      </c>
    </row>
    <row r="21466" spans="103:104" x14ac:dyDescent="0.3">
      <c r="CY21466" s="34" t="s">
        <v>22393</v>
      </c>
      <c r="CZ21466" s="35">
        <v>3.5148240000000004E-2</v>
      </c>
    </row>
    <row r="21467" spans="103:104" x14ac:dyDescent="0.3">
      <c r="CY21467" s="34" t="s">
        <v>22394</v>
      </c>
      <c r="CZ21467" s="35">
        <v>7.2734469999999997E-3</v>
      </c>
    </row>
    <row r="21468" spans="103:104" x14ac:dyDescent="0.3">
      <c r="CY21468" s="34" t="s">
        <v>22395</v>
      </c>
      <c r="CZ21468" s="35">
        <v>0.160226544</v>
      </c>
    </row>
    <row r="21469" spans="103:104" x14ac:dyDescent="0.3">
      <c r="CY21469" s="34" t="s">
        <v>22396</v>
      </c>
      <c r="CZ21469" s="35">
        <v>0.25969567319999998</v>
      </c>
    </row>
    <row r="21470" spans="103:104" x14ac:dyDescent="0.3">
      <c r="CY21470" s="34" t="s">
        <v>22397</v>
      </c>
      <c r="CZ21470" s="35">
        <v>0.11724466400000001</v>
      </c>
    </row>
    <row r="21471" spans="103:104" x14ac:dyDescent="0.3">
      <c r="CY21471" s="34" t="s">
        <v>22398</v>
      </c>
      <c r="CZ21471" s="35">
        <v>0.18226225200000001</v>
      </c>
    </row>
    <row r="21472" spans="103:104" x14ac:dyDescent="0.3">
      <c r="CY21472" s="34" t="s">
        <v>22399</v>
      </c>
      <c r="CZ21472" s="35">
        <v>0.11386258599999999</v>
      </c>
    </row>
    <row r="21473" spans="103:104" x14ac:dyDescent="0.3">
      <c r="CY21473" s="34" t="s">
        <v>22400</v>
      </c>
      <c r="CZ21473" s="35">
        <v>0.13225417104000001</v>
      </c>
    </row>
    <row r="21474" spans="103:104" x14ac:dyDescent="0.3">
      <c r="CY21474" s="34" t="s">
        <v>22401</v>
      </c>
      <c r="CZ21474" s="35">
        <v>0.11008538400000001</v>
      </c>
    </row>
    <row r="21475" spans="103:104" x14ac:dyDescent="0.3">
      <c r="CY21475" s="34" t="s">
        <v>22402</v>
      </c>
      <c r="CZ21475" s="35">
        <v>2.5855967999999997E-2</v>
      </c>
    </row>
    <row r="21476" spans="103:104" x14ac:dyDescent="0.3">
      <c r="CY21476" s="34" t="s">
        <v>22403</v>
      </c>
      <c r="CZ21476" s="35">
        <v>7.2105608889999992E-2</v>
      </c>
    </row>
    <row r="21477" spans="103:104" x14ac:dyDescent="0.3">
      <c r="CY21477" s="34" t="s">
        <v>22404</v>
      </c>
      <c r="CZ21477" s="35">
        <v>0.242217737185</v>
      </c>
    </row>
    <row r="21478" spans="103:104" x14ac:dyDescent="0.3">
      <c r="CY21478" s="34" t="s">
        <v>22405</v>
      </c>
      <c r="CZ21478" s="35">
        <v>2.2675680000000002E-3</v>
      </c>
    </row>
    <row r="21479" spans="103:104" x14ac:dyDescent="0.3">
      <c r="CY21479" s="34" t="s">
        <v>22406</v>
      </c>
      <c r="CZ21479" s="35">
        <v>9.2480131999999993E-2</v>
      </c>
    </row>
    <row r="21480" spans="103:104" x14ac:dyDescent="0.3">
      <c r="CY21480" s="34" t="s">
        <v>22407</v>
      </c>
      <c r="CZ21480" s="35">
        <v>2.6484505999999998E-2</v>
      </c>
    </row>
    <row r="21481" spans="103:104" x14ac:dyDescent="0.3">
      <c r="CY21481" s="34" t="s">
        <v>22408</v>
      </c>
      <c r="CZ21481" s="35">
        <v>3.0480468E-2</v>
      </c>
    </row>
    <row r="21482" spans="103:104" x14ac:dyDescent="0.3">
      <c r="CY21482" s="34" t="s">
        <v>22409</v>
      </c>
      <c r="CZ21482" s="35">
        <v>3.1439108E-2</v>
      </c>
    </row>
    <row r="21483" spans="103:104" x14ac:dyDescent="0.3">
      <c r="CY21483" s="34" t="s">
        <v>22410</v>
      </c>
      <c r="CZ21483" s="35">
        <v>2.2517575999999997E-2</v>
      </c>
    </row>
    <row r="21484" spans="103:104" x14ac:dyDescent="0.3">
      <c r="CY21484" s="34" t="s">
        <v>22411</v>
      </c>
      <c r="CZ21484" s="35">
        <v>2.6021244504E-2</v>
      </c>
    </row>
    <row r="21485" spans="103:104" x14ac:dyDescent="0.3">
      <c r="CY21485" s="34" t="s">
        <v>22412</v>
      </c>
      <c r="CZ21485" s="35">
        <v>2.8459272000000001E-2</v>
      </c>
    </row>
    <row r="21486" spans="103:104" x14ac:dyDescent="0.3">
      <c r="CY21486" s="34" t="s">
        <v>22413</v>
      </c>
      <c r="CZ21486" s="35">
        <v>2.7302759999999999E-2</v>
      </c>
    </row>
    <row r="21487" spans="103:104" x14ac:dyDescent="0.3">
      <c r="CY21487" s="34" t="s">
        <v>22414</v>
      </c>
      <c r="CZ21487" s="35">
        <v>2.3246776E-2</v>
      </c>
    </row>
    <row r="21488" spans="103:104" x14ac:dyDescent="0.3">
      <c r="CY21488" s="34" t="s">
        <v>22415</v>
      </c>
      <c r="CZ21488" s="35">
        <v>2.7537820800000001E-2</v>
      </c>
    </row>
    <row r="21489" spans="103:104" x14ac:dyDescent="0.3">
      <c r="CY21489" s="34" t="s">
        <v>22416</v>
      </c>
      <c r="CZ21489" s="35">
        <v>1.4335316000000001E-2</v>
      </c>
    </row>
    <row r="21490" spans="103:104" x14ac:dyDescent="0.3">
      <c r="CY21490" s="34" t="s">
        <v>22417</v>
      </c>
      <c r="CZ21490" s="35">
        <v>2.2567863699999999E-2</v>
      </c>
    </row>
    <row r="21491" spans="103:104" x14ac:dyDescent="0.3">
      <c r="CY21491" s="34" t="s">
        <v>22418</v>
      </c>
      <c r="CZ21491" s="35">
        <v>0.12873466668629413</v>
      </c>
    </row>
    <row r="21492" spans="103:104" x14ac:dyDescent="0.3">
      <c r="CY21492" s="34" t="s">
        <v>22419</v>
      </c>
      <c r="CZ21492" s="35">
        <v>0.21756188999999998</v>
      </c>
    </row>
    <row r="21493" spans="103:104" x14ac:dyDescent="0.3">
      <c r="CY21493" s="34" t="s">
        <v>22420</v>
      </c>
      <c r="CZ21493" s="35">
        <v>4.783104266666667E-2</v>
      </c>
    </row>
    <row r="21494" spans="103:104" x14ac:dyDescent="0.3">
      <c r="CY21494" s="34" t="s">
        <v>22421</v>
      </c>
      <c r="CZ21494" s="35">
        <v>1.9938600000000001E-2</v>
      </c>
    </row>
    <row r="21495" spans="103:104" x14ac:dyDescent="0.3">
      <c r="CY21495" s="34" t="s">
        <v>22422</v>
      </c>
      <c r="CZ21495" s="35">
        <v>1.3657013400000001E-2</v>
      </c>
    </row>
    <row r="21496" spans="103:104" x14ac:dyDescent="0.3">
      <c r="CY21496" s="34" t="s">
        <v>22423</v>
      </c>
      <c r="CZ21496" s="35">
        <v>1.4387509400000002E-2</v>
      </c>
    </row>
    <row r="21497" spans="103:104" x14ac:dyDescent="0.3">
      <c r="CY21497" s="34" t="s">
        <v>22424</v>
      </c>
      <c r="CZ21497" s="35">
        <v>8.8881428999999998E-2</v>
      </c>
    </row>
    <row r="21498" spans="103:104" x14ac:dyDescent="0.3">
      <c r="CY21498" s="34" t="s">
        <v>22425</v>
      </c>
      <c r="CZ21498" s="35">
        <v>0.11793145000000001</v>
      </c>
    </row>
    <row r="21499" spans="103:104" x14ac:dyDescent="0.3">
      <c r="CY21499" s="34" t="s">
        <v>22426</v>
      </c>
      <c r="CZ21499" s="35">
        <v>0.1084152</v>
      </c>
    </row>
    <row r="21500" spans="103:104" x14ac:dyDescent="0.3">
      <c r="CY21500" s="34" t="s">
        <v>22427</v>
      </c>
      <c r="CZ21500" s="35">
        <v>5.8240320000000007E-4</v>
      </c>
    </row>
    <row r="21501" spans="103:104" x14ac:dyDescent="0.3">
      <c r="CY21501" s="34" t="s">
        <v>22428</v>
      </c>
      <c r="CZ21501" s="35">
        <v>4.6725120000000003E-4</v>
      </c>
    </row>
    <row r="21502" spans="103:104" x14ac:dyDescent="0.3">
      <c r="CY21502" s="34" t="s">
        <v>22429</v>
      </c>
      <c r="CZ21502" s="35">
        <v>3.0865317894736848E-3</v>
      </c>
    </row>
    <row r="21503" spans="103:104" x14ac:dyDescent="0.3">
      <c r="CY21503" s="34" t="s">
        <v>22430</v>
      </c>
      <c r="CZ21503" s="35">
        <v>8.142350609066666E-4</v>
      </c>
    </row>
    <row r="21504" spans="103:104" x14ac:dyDescent="0.3">
      <c r="CY21504" s="34" t="s">
        <v>22431</v>
      </c>
      <c r="CZ21504" s="35">
        <v>8.4738741052631575E-4</v>
      </c>
    </row>
    <row r="21505" spans="103:104" x14ac:dyDescent="0.3">
      <c r="CY21505" s="34" t="s">
        <v>22432</v>
      </c>
      <c r="CZ21505" s="35">
        <v>9.6943395555555559E-4</v>
      </c>
    </row>
    <row r="21506" spans="103:104" x14ac:dyDescent="0.3">
      <c r="CY21506" s="34" t="s">
        <v>22433</v>
      </c>
      <c r="CZ21506" s="35">
        <v>4.8358240000000001E-4</v>
      </c>
    </row>
    <row r="21507" spans="103:104" x14ac:dyDescent="0.3">
      <c r="CY21507" s="34" t="s">
        <v>22434</v>
      </c>
      <c r="CZ21507" s="35">
        <v>9.3328250000000012E-3</v>
      </c>
    </row>
    <row r="21508" spans="103:104" x14ac:dyDescent="0.3">
      <c r="CY21508" s="34" t="s">
        <v>22435</v>
      </c>
      <c r="CZ21508" s="35">
        <v>2.731862082758621E-2</v>
      </c>
    </row>
    <row r="21509" spans="103:104" x14ac:dyDescent="0.3">
      <c r="CY21509" s="34" t="s">
        <v>22436</v>
      </c>
      <c r="CZ21509" s="35">
        <v>9.4699679999999987E-3</v>
      </c>
    </row>
    <row r="21510" spans="103:104" x14ac:dyDescent="0.3">
      <c r="CY21510" s="34" t="s">
        <v>22437</v>
      </c>
      <c r="CZ21510" s="35">
        <v>1.4245563333333332E-3</v>
      </c>
    </row>
    <row r="21511" spans="103:104" x14ac:dyDescent="0.3">
      <c r="CY21511" s="34" t="s">
        <v>22438</v>
      </c>
      <c r="CZ21511" s="35">
        <v>1.7783194666666668E-2</v>
      </c>
    </row>
    <row r="21512" spans="103:104" x14ac:dyDescent="0.3">
      <c r="CY21512" s="34" t="s">
        <v>22439</v>
      </c>
      <c r="CZ21512" s="35">
        <v>0.37475985000000001</v>
      </c>
    </row>
    <row r="21513" spans="103:104" x14ac:dyDescent="0.3">
      <c r="CY21513" s="34" t="s">
        <v>22440</v>
      </c>
      <c r="CZ21513" s="35">
        <v>1.7654168334999998E-2</v>
      </c>
    </row>
    <row r="21514" spans="103:104" x14ac:dyDescent="0.3">
      <c r="CY21514" s="34" t="s">
        <v>22441</v>
      </c>
      <c r="CZ21514" s="35">
        <v>2.2334168333333331E-2</v>
      </c>
    </row>
    <row r="21515" spans="103:104" x14ac:dyDescent="0.3">
      <c r="CY21515" s="34" t="s">
        <v>22442</v>
      </c>
      <c r="CZ21515" s="35">
        <v>2.6187541626086958E-2</v>
      </c>
    </row>
    <row r="21516" spans="103:104" x14ac:dyDescent="0.3">
      <c r="CY21516" s="34" t="s">
        <v>22443</v>
      </c>
      <c r="CZ21516" s="35">
        <v>2.2221397625E-2</v>
      </c>
    </row>
    <row r="21517" spans="103:104" x14ac:dyDescent="0.3">
      <c r="CY21517" s="34" t="s">
        <v>22444</v>
      </c>
      <c r="CZ21517" s="35">
        <v>9.4699679999999987E-3</v>
      </c>
    </row>
    <row r="21518" spans="103:104" x14ac:dyDescent="0.3">
      <c r="CY21518" s="34" t="s">
        <v>22445</v>
      </c>
      <c r="CZ21518" s="35">
        <v>6.8274383999999992E-3</v>
      </c>
    </row>
    <row r="21519" spans="103:104" x14ac:dyDescent="0.3">
      <c r="CY21519" s="34" t="s">
        <v>22446</v>
      </c>
      <c r="CZ21519" s="35">
        <v>1.3447000500000001E-3</v>
      </c>
    </row>
    <row r="21520" spans="103:104" x14ac:dyDescent="0.3">
      <c r="CY21520" s="34" t="s">
        <v>22447</v>
      </c>
      <c r="CZ21520" s="35">
        <v>1.5364724E-2</v>
      </c>
    </row>
    <row r="21521" spans="103:104" x14ac:dyDescent="0.3">
      <c r="CY21521" s="34" t="s">
        <v>22448</v>
      </c>
      <c r="CZ21521" s="35">
        <v>4.3582688000000001E-2</v>
      </c>
    </row>
    <row r="21522" spans="103:104" x14ac:dyDescent="0.3">
      <c r="CY21522" s="34" t="s">
        <v>22449</v>
      </c>
      <c r="CZ21522" s="35">
        <v>1.2177640000000001E-3</v>
      </c>
    </row>
    <row r="21523" spans="103:104" x14ac:dyDescent="0.3">
      <c r="CY21523" s="34" t="s">
        <v>22450</v>
      </c>
      <c r="CZ21523" s="35">
        <v>7.9836160000000002E-4</v>
      </c>
    </row>
    <row r="21524" spans="103:104" x14ac:dyDescent="0.3">
      <c r="CY21524" s="34" t="s">
        <v>22451</v>
      </c>
      <c r="CZ21524" s="35">
        <v>3.5155080000000001E-3</v>
      </c>
    </row>
    <row r="21525" spans="103:104" x14ac:dyDescent="0.3">
      <c r="CY21525" s="34" t="s">
        <v>22452</v>
      </c>
      <c r="CZ21525" s="35">
        <v>2.8980800000000004E-3</v>
      </c>
    </row>
    <row r="21526" spans="103:104" x14ac:dyDescent="0.3">
      <c r="CY21526" s="34" t="s">
        <v>22453</v>
      </c>
      <c r="CZ21526" s="35">
        <v>4.4255999999999999E-4</v>
      </c>
    </row>
    <row r="21527" spans="103:104" x14ac:dyDescent="0.3">
      <c r="CY21527" s="34" t="s">
        <v>22454</v>
      </c>
      <c r="CZ21527" s="35">
        <v>3.3745952000000003E-3</v>
      </c>
    </row>
    <row r="21528" spans="103:104" x14ac:dyDescent="0.3">
      <c r="CY21528" s="34" t="s">
        <v>22455</v>
      </c>
      <c r="CZ21528" s="35">
        <v>2.6109279999999998E-3</v>
      </c>
    </row>
    <row r="21529" spans="103:104" x14ac:dyDescent="0.3">
      <c r="CY21529" s="34" t="s">
        <v>22456</v>
      </c>
      <c r="CZ21529" s="35">
        <v>7.4561643900000005E-3</v>
      </c>
    </row>
    <row r="21530" spans="103:104" x14ac:dyDescent="0.3">
      <c r="CY21530" s="34" t="s">
        <v>22457</v>
      </c>
      <c r="CZ21530" s="35">
        <v>4.1955980390000001E-2</v>
      </c>
    </row>
    <row r="21531" spans="103:104" x14ac:dyDescent="0.3">
      <c r="CY21531" s="34" t="s">
        <v>22458</v>
      </c>
      <c r="CZ21531" s="35">
        <v>3.1428099999999998E-3</v>
      </c>
    </row>
    <row r="21532" spans="103:104" x14ac:dyDescent="0.3">
      <c r="CY21532" s="34" t="s">
        <v>22459</v>
      </c>
      <c r="CZ21532" s="35">
        <v>8.6500000000000002E-5</v>
      </c>
    </row>
    <row r="21533" spans="103:104" x14ac:dyDescent="0.3">
      <c r="CY21533" s="34" t="s">
        <v>22460</v>
      </c>
      <c r="CZ21533" s="35">
        <v>1.73E-4</v>
      </c>
    </row>
    <row r="21534" spans="103:104" x14ac:dyDescent="0.3">
      <c r="CY21534" s="34" t="s">
        <v>22461</v>
      </c>
      <c r="CZ21534" s="35">
        <v>5.522810399999999E-4</v>
      </c>
    </row>
    <row r="21535" spans="103:104" x14ac:dyDescent="0.3">
      <c r="CY21535" s="34" t="s">
        <v>22462</v>
      </c>
      <c r="CZ21535" s="35">
        <v>0.28621920000000001</v>
      </c>
    </row>
    <row r="21536" spans="103:104" x14ac:dyDescent="0.3">
      <c r="CY21536" s="34" t="s">
        <v>22463</v>
      </c>
      <c r="CZ21536" s="35">
        <v>0.18761169599999997</v>
      </c>
    </row>
    <row r="21537" spans="103:104" x14ac:dyDescent="0.3">
      <c r="CY21537" s="34" t="s">
        <v>22464</v>
      </c>
      <c r="CZ21537" s="35">
        <v>5.2356975999999993E-2</v>
      </c>
    </row>
    <row r="21538" spans="103:104" x14ac:dyDescent="0.3">
      <c r="CY21538" s="34" t="s">
        <v>22465</v>
      </c>
      <c r="CZ21538" s="35">
        <v>5.9945065599999993E-2</v>
      </c>
    </row>
    <row r="21539" spans="103:104" x14ac:dyDescent="0.3">
      <c r="CY21539" s="34" t="s">
        <v>22466</v>
      </c>
      <c r="CZ21539" s="35">
        <v>2.2005607999999999E-2</v>
      </c>
    </row>
    <row r="21540" spans="103:104" x14ac:dyDescent="0.3">
      <c r="CY21540" s="34" t="s">
        <v>22467</v>
      </c>
      <c r="CZ21540" s="35">
        <v>5.2222734461538453E-2</v>
      </c>
    </row>
    <row r="21541" spans="103:104" x14ac:dyDescent="0.3">
      <c r="CY21541" s="34" t="s">
        <v>22468</v>
      </c>
      <c r="CZ21541" s="35">
        <v>6.9810433346153847E-2</v>
      </c>
    </row>
    <row r="21542" spans="103:104" x14ac:dyDescent="0.3">
      <c r="CY21542" s="34" t="s">
        <v>22469</v>
      </c>
      <c r="CZ21542" s="35">
        <v>1.74638196E-2</v>
      </c>
    </row>
    <row r="21543" spans="103:104" x14ac:dyDescent="0.3">
      <c r="CY21543" s="34" t="s">
        <v>22470</v>
      </c>
      <c r="CZ21543" s="35">
        <v>5.583721199999999E-3</v>
      </c>
    </row>
    <row r="21544" spans="103:104" x14ac:dyDescent="0.3">
      <c r="CY21544" s="34" t="s">
        <v>22471</v>
      </c>
      <c r="CZ21544" s="35">
        <v>0.39893650400000003</v>
      </c>
    </row>
    <row r="21545" spans="103:104" x14ac:dyDescent="0.3">
      <c r="CY21545" s="34" t="s">
        <v>22472</v>
      </c>
      <c r="CZ21545" s="35">
        <v>0.39330600400000004</v>
      </c>
    </row>
    <row r="21546" spans="103:104" x14ac:dyDescent="0.3">
      <c r="CY21546" s="34" t="s">
        <v>22473</v>
      </c>
      <c r="CZ21546" s="35">
        <v>0.20836065666666667</v>
      </c>
    </row>
    <row r="21547" spans="103:104" x14ac:dyDescent="0.3">
      <c r="CY21547" s="34" t="s">
        <v>22474</v>
      </c>
      <c r="CZ21547" s="35">
        <v>0.20144398999999999</v>
      </c>
    </row>
    <row r="21548" spans="103:104" x14ac:dyDescent="0.3">
      <c r="CY21548" s="34" t="s">
        <v>22475</v>
      </c>
      <c r="CZ21548" s="35">
        <v>8.7537950000000017E-3</v>
      </c>
    </row>
    <row r="21549" spans="103:104" x14ac:dyDescent="0.3">
      <c r="CY21549" s="34" t="s">
        <v>22476</v>
      </c>
      <c r="CZ21549" s="35">
        <v>7.1077059999999997E-2</v>
      </c>
    </row>
    <row r="21550" spans="103:104" x14ac:dyDescent="0.3">
      <c r="CY21550" s="34" t="s">
        <v>22477</v>
      </c>
      <c r="CZ21550" s="35">
        <v>0.11070639999999998</v>
      </c>
    </row>
    <row r="21551" spans="103:104" x14ac:dyDescent="0.3">
      <c r="CY21551" s="34" t="s">
        <v>22478</v>
      </c>
      <c r="CZ21551" s="35">
        <v>1.007424E-3</v>
      </c>
    </row>
    <row r="21552" spans="103:104" x14ac:dyDescent="0.3">
      <c r="CY21552" s="34" t="s">
        <v>22479</v>
      </c>
      <c r="CZ21552" s="35">
        <v>0.278011652</v>
      </c>
    </row>
    <row r="21553" spans="103:104" x14ac:dyDescent="0.3">
      <c r="CY21553" s="34" t="s">
        <v>22480</v>
      </c>
      <c r="CZ21553" s="35">
        <v>4.3668559999999997E-3</v>
      </c>
    </row>
    <row r="21554" spans="103:104" x14ac:dyDescent="0.3">
      <c r="CY21554" s="34" t="s">
        <v>22481</v>
      </c>
      <c r="CZ21554" s="35">
        <v>1.3701280000000001E-2</v>
      </c>
    </row>
    <row r="21555" spans="103:104" x14ac:dyDescent="0.3">
      <c r="CY21555" s="34" t="s">
        <v>22482</v>
      </c>
      <c r="CZ21555" s="35">
        <v>0.61169164400000009</v>
      </c>
    </row>
    <row r="21556" spans="103:104" x14ac:dyDescent="0.3">
      <c r="CY21556" s="34" t="s">
        <v>22483</v>
      </c>
      <c r="CZ21556" s="35">
        <v>0.61169164400000009</v>
      </c>
    </row>
    <row r="21557" spans="103:104" x14ac:dyDescent="0.3">
      <c r="CY21557" s="34" t="s">
        <v>22484</v>
      </c>
      <c r="CZ21557" s="35">
        <v>6.2264000000000009E-3</v>
      </c>
    </row>
    <row r="21558" spans="103:104" x14ac:dyDescent="0.3">
      <c r="CY21558" s="34" t="s">
        <v>22485</v>
      </c>
      <c r="CZ21558" s="35">
        <v>3.7220585999999996E-3</v>
      </c>
    </row>
    <row r="21559" spans="103:104" x14ac:dyDescent="0.3">
      <c r="CY21559" s="34" t="s">
        <v>22486</v>
      </c>
      <c r="CZ21559" s="35">
        <v>1.0286312000000002E-3</v>
      </c>
    </row>
    <row r="21560" spans="103:104" x14ac:dyDescent="0.3">
      <c r="CY21560" s="34" t="s">
        <v>22487</v>
      </c>
      <c r="CZ21560" s="35">
        <v>0.42245154160000004</v>
      </c>
    </row>
    <row r="21561" spans="103:104" x14ac:dyDescent="0.3">
      <c r="CY21561" s="34" t="s">
        <v>22488</v>
      </c>
      <c r="CZ21561" s="35">
        <v>0.133425825</v>
      </c>
    </row>
    <row r="21562" spans="103:104" x14ac:dyDescent="0.3">
      <c r="CY21562" s="34" t="s">
        <v>22489</v>
      </c>
      <c r="CZ21562" s="35">
        <v>0.11975093140000002</v>
      </c>
    </row>
    <row r="21563" spans="103:104" x14ac:dyDescent="0.3">
      <c r="CY21563" s="34" t="s">
        <v>22490</v>
      </c>
      <c r="CZ21563" s="35">
        <v>1.6205416E-2</v>
      </c>
    </row>
    <row r="21564" spans="103:104" x14ac:dyDescent="0.3">
      <c r="CY21564" s="34" t="s">
        <v>22491</v>
      </c>
      <c r="CZ21564" s="35">
        <v>2.7295449333333333E-2</v>
      </c>
    </row>
    <row r="21565" spans="103:104" x14ac:dyDescent="0.3">
      <c r="CY21565" s="34" t="s">
        <v>22492</v>
      </c>
      <c r="CZ21565" s="35">
        <v>0.121278368</v>
      </c>
    </row>
    <row r="21566" spans="103:104" x14ac:dyDescent="0.3">
      <c r="CY21566" s="34" t="s">
        <v>22493</v>
      </c>
      <c r="CZ21566" s="35">
        <v>2.0437456E-2</v>
      </c>
    </row>
    <row r="21567" spans="103:104" x14ac:dyDescent="0.3">
      <c r="CY21567" s="34" t="s">
        <v>22494</v>
      </c>
      <c r="CZ21567" s="35">
        <v>6.853479999999999E-4</v>
      </c>
    </row>
    <row r="21568" spans="103:104" x14ac:dyDescent="0.3">
      <c r="CY21568" s="34" t="s">
        <v>22495</v>
      </c>
      <c r="CZ21568" s="35">
        <v>5.1241469999999999E-3</v>
      </c>
    </row>
    <row r="21569" spans="103:104" x14ac:dyDescent="0.3">
      <c r="CY21569" s="34" t="s">
        <v>22496</v>
      </c>
      <c r="CZ21569" s="35">
        <v>1.9390560000000002E-3</v>
      </c>
    </row>
    <row r="21570" spans="103:104" x14ac:dyDescent="0.3">
      <c r="CY21570" s="34" t="s">
        <v>22497</v>
      </c>
      <c r="CZ21570" s="35">
        <v>3.1830131999999997E-2</v>
      </c>
    </row>
    <row r="21571" spans="103:104" x14ac:dyDescent="0.3">
      <c r="CY21571" s="34" t="s">
        <v>22498</v>
      </c>
      <c r="CZ21571" s="35">
        <v>4.1596319999999999E-2</v>
      </c>
    </row>
    <row r="21572" spans="103:104" x14ac:dyDescent="0.3">
      <c r="CY21572" s="34" t="s">
        <v>22499</v>
      </c>
      <c r="CZ21572" s="35">
        <v>4.1048295800000002E-2</v>
      </c>
    </row>
    <row r="21573" spans="103:104" x14ac:dyDescent="0.3">
      <c r="CY21573" s="34" t="s">
        <v>22500</v>
      </c>
      <c r="CZ21573" s="35">
        <v>4.27548975E-2</v>
      </c>
    </row>
    <row r="21574" spans="103:104" x14ac:dyDescent="0.3">
      <c r="CY21574" s="34" t="s">
        <v>22501</v>
      </c>
      <c r="CZ21574" s="35">
        <v>6.8351692000000006E-2</v>
      </c>
    </row>
    <row r="21575" spans="103:104" x14ac:dyDescent="0.3">
      <c r="CY21575" s="34" t="s">
        <v>22502</v>
      </c>
      <c r="CZ21575" s="35">
        <v>6.9990949019999998E-2</v>
      </c>
    </row>
    <row r="21576" spans="103:104" x14ac:dyDescent="0.3">
      <c r="CY21576" s="34" t="s">
        <v>22503</v>
      </c>
      <c r="CZ21576" s="35">
        <v>5.9028137943620003E-2</v>
      </c>
    </row>
    <row r="21577" spans="103:104" x14ac:dyDescent="0.3">
      <c r="CY21577" s="34" t="s">
        <v>22504</v>
      </c>
      <c r="CZ21577" s="35">
        <v>1.5146836E-2</v>
      </c>
    </row>
    <row r="21578" spans="103:104" x14ac:dyDescent="0.3">
      <c r="CY21578" s="34" t="s">
        <v>22505</v>
      </c>
      <c r="CZ21578" s="35">
        <v>0.31990912499999996</v>
      </c>
    </row>
    <row r="21579" spans="103:104" x14ac:dyDescent="0.3">
      <c r="CY21579" s="34" t="s">
        <v>22506</v>
      </c>
      <c r="CZ21579" s="35">
        <v>0.38413562500000004</v>
      </c>
    </row>
    <row r="21580" spans="103:104" x14ac:dyDescent="0.3">
      <c r="CY21580" s="34" t="s">
        <v>22507</v>
      </c>
      <c r="CZ21580" s="35">
        <v>1.9784342000000003E-2</v>
      </c>
    </row>
    <row r="21581" spans="103:104" x14ac:dyDescent="0.3">
      <c r="CY21581" s="34" t="s">
        <v>22508</v>
      </c>
      <c r="CZ21581" s="35">
        <v>2.0155283999999999E-2</v>
      </c>
    </row>
    <row r="21582" spans="103:104" x14ac:dyDescent="0.3">
      <c r="CY21582" s="34" t="s">
        <v>22509</v>
      </c>
      <c r="CZ21582" s="35">
        <v>1.805962682352941E-2</v>
      </c>
    </row>
    <row r="21583" spans="103:104" x14ac:dyDescent="0.3">
      <c r="CY21583" s="34" t="s">
        <v>22510</v>
      </c>
      <c r="CZ21583" s="35">
        <v>0.81463156428666661</v>
      </c>
    </row>
    <row r="21584" spans="103:104" x14ac:dyDescent="0.3">
      <c r="CY21584" s="34" t="s">
        <v>22511</v>
      </c>
      <c r="CZ21584" s="35">
        <v>0.41280486425000001</v>
      </c>
    </row>
    <row r="21585" spans="103:104" x14ac:dyDescent="0.3">
      <c r="CY21585" s="34" t="s">
        <v>22512</v>
      </c>
      <c r="CZ21585" s="35">
        <v>2.155784E-3</v>
      </c>
    </row>
    <row r="21586" spans="103:104" x14ac:dyDescent="0.3">
      <c r="CY21586" s="34" t="s">
        <v>22513</v>
      </c>
      <c r="CZ21586" s="35">
        <v>7.4492679999999985E-3</v>
      </c>
    </row>
    <row r="21587" spans="103:104" x14ac:dyDescent="0.3">
      <c r="CY21587" s="34" t="s">
        <v>22514</v>
      </c>
      <c r="CZ21587" s="35">
        <v>6.9895456000000009E-3</v>
      </c>
    </row>
    <row r="21588" spans="103:104" x14ac:dyDescent="0.3">
      <c r="CY21588" s="34" t="s">
        <v>22515</v>
      </c>
      <c r="CZ21588" s="35">
        <v>1.8402132000000003E-3</v>
      </c>
    </row>
    <row r="21589" spans="103:104" x14ac:dyDescent="0.3">
      <c r="CY21589" s="34" t="s">
        <v>22516</v>
      </c>
      <c r="CZ21589" s="35">
        <v>4.920512000000001E-3</v>
      </c>
    </row>
    <row r="21590" spans="103:104" x14ac:dyDescent="0.3">
      <c r="CY21590" s="34" t="s">
        <v>22517</v>
      </c>
      <c r="CZ21590" s="35">
        <v>5.2966560000000003E-3</v>
      </c>
    </row>
    <row r="21591" spans="103:104" x14ac:dyDescent="0.3">
      <c r="CY21591" s="34" t="s">
        <v>22518</v>
      </c>
      <c r="CZ21591" s="35">
        <v>0.15519864284999998</v>
      </c>
    </row>
    <row r="21592" spans="103:104" x14ac:dyDescent="0.3">
      <c r="CY21592" s="34" t="s">
        <v>22519</v>
      </c>
      <c r="CZ21592" s="35">
        <v>4.5013480000000002E-2</v>
      </c>
    </row>
    <row r="21593" spans="103:104" x14ac:dyDescent="0.3">
      <c r="CY21593" s="34" t="s">
        <v>22520</v>
      </c>
      <c r="CZ21593" s="35">
        <v>1.4981009600000001E-2</v>
      </c>
    </row>
    <row r="21594" spans="103:104" x14ac:dyDescent="0.3">
      <c r="CY21594" s="34" t="s">
        <v>22521</v>
      </c>
      <c r="CZ21594" s="35">
        <v>7.4311841714285717E-2</v>
      </c>
    </row>
    <row r="21595" spans="103:104" x14ac:dyDescent="0.3">
      <c r="CY21595" s="34" t="s">
        <v>22522</v>
      </c>
      <c r="CZ21595" s="35">
        <v>1.8166400000000003E-2</v>
      </c>
    </row>
    <row r="21596" spans="103:104" x14ac:dyDescent="0.3">
      <c r="CY21596" s="34" t="s">
        <v>22523</v>
      </c>
      <c r="CZ21596" s="35">
        <v>2.0672592E-2</v>
      </c>
    </row>
    <row r="21597" spans="103:104" x14ac:dyDescent="0.3">
      <c r="CY21597" s="34" t="s">
        <v>22524</v>
      </c>
      <c r="CZ21597" s="35">
        <v>9.9148159999999999E-3</v>
      </c>
    </row>
    <row r="21598" spans="103:104" x14ac:dyDescent="0.3">
      <c r="CY21598" s="34" t="s">
        <v>22525</v>
      </c>
      <c r="CZ21598" s="35">
        <v>4.0413333333333329E-2</v>
      </c>
    </row>
    <row r="21599" spans="103:104" x14ac:dyDescent="0.3">
      <c r="CY21599" s="34" t="s">
        <v>22526</v>
      </c>
      <c r="CZ21599" s="35">
        <v>8.2546666666666671E-2</v>
      </c>
    </row>
    <row r="21600" spans="103:104" x14ac:dyDescent="0.3">
      <c r="CY21600" s="34" t="s">
        <v>22527</v>
      </c>
      <c r="CZ21600" s="35">
        <v>8.0191111111111116E-2</v>
      </c>
    </row>
    <row r="21601" spans="103:104" x14ac:dyDescent="0.3">
      <c r="CY21601" s="34" t="s">
        <v>22528</v>
      </c>
      <c r="CZ21601" s="35">
        <v>6.1375893333333341E-2</v>
      </c>
    </row>
    <row r="21602" spans="103:104" x14ac:dyDescent="0.3">
      <c r="CY21602" s="34" t="s">
        <v>22529</v>
      </c>
      <c r="CZ21602" s="35">
        <v>5.6327937777777788E-2</v>
      </c>
    </row>
    <row r="21603" spans="103:104" x14ac:dyDescent="0.3">
      <c r="CY21603" s="34" t="s">
        <v>22530</v>
      </c>
      <c r="CZ21603" s="35">
        <v>1.1192750000000001E-3</v>
      </c>
    </row>
    <row r="21604" spans="103:104" x14ac:dyDescent="0.3">
      <c r="CY21604" s="34" t="s">
        <v>22531</v>
      </c>
      <c r="CZ21604" s="35">
        <v>3.9189151999999999E-4</v>
      </c>
    </row>
    <row r="21605" spans="103:104" x14ac:dyDescent="0.3">
      <c r="CY21605" s="34" t="s">
        <v>22532</v>
      </c>
      <c r="CZ21605" s="35">
        <v>4.6884079999999998E-3</v>
      </c>
    </row>
    <row r="21606" spans="103:104" x14ac:dyDescent="0.3">
      <c r="CY21606" s="34" t="s">
        <v>22533</v>
      </c>
      <c r="CZ21606" s="35">
        <v>3.101945E-3</v>
      </c>
    </row>
    <row r="21607" spans="103:104" x14ac:dyDescent="0.3">
      <c r="CY21607" s="34" t="s">
        <v>22534</v>
      </c>
      <c r="CZ21607" s="35">
        <v>0.32119758999999998</v>
      </c>
    </row>
    <row r="21608" spans="103:104" x14ac:dyDescent="0.3">
      <c r="CY21608" s="34" t="s">
        <v>22535</v>
      </c>
      <c r="CZ21608" s="35">
        <v>1.2267770399999999E-2</v>
      </c>
    </row>
    <row r="21609" spans="103:104" x14ac:dyDescent="0.3">
      <c r="CY21609" s="34" t="s">
        <v>22536</v>
      </c>
      <c r="CZ21609" s="35">
        <v>2.1667499999999998E-3</v>
      </c>
    </row>
    <row r="21610" spans="103:104" x14ac:dyDescent="0.3">
      <c r="CY21610" s="34" t="s">
        <v>22537</v>
      </c>
      <c r="CZ21610" s="35">
        <v>4.9964252800000004E-2</v>
      </c>
    </row>
    <row r="21611" spans="103:104" x14ac:dyDescent="0.3">
      <c r="CY21611" s="34" t="s">
        <v>22538</v>
      </c>
      <c r="CZ21611" s="35">
        <v>5.0930252799999999E-2</v>
      </c>
    </row>
    <row r="21612" spans="103:104" x14ac:dyDescent="0.3">
      <c r="CY21612" s="34" t="s">
        <v>22539</v>
      </c>
      <c r="CZ21612" s="35">
        <v>5.0930252799999999E-2</v>
      </c>
    </row>
    <row r="21613" spans="103:104" x14ac:dyDescent="0.3">
      <c r="CY21613" s="34" t="s">
        <v>22540</v>
      </c>
      <c r="CZ21613" s="35">
        <v>5.2388699999999996E-3</v>
      </c>
    </row>
    <row r="21614" spans="103:104" x14ac:dyDescent="0.3">
      <c r="CY21614" s="34" t="s">
        <v>22541</v>
      </c>
      <c r="CZ21614" s="35">
        <v>5.0930252799999999E-2</v>
      </c>
    </row>
    <row r="21615" spans="103:104" x14ac:dyDescent="0.3">
      <c r="CY21615" s="34" t="s">
        <v>22542</v>
      </c>
      <c r="CZ21615" s="35">
        <v>4.2449199999999999E-2</v>
      </c>
    </row>
    <row r="21616" spans="103:104" x14ac:dyDescent="0.3">
      <c r="CY21616" s="34" t="s">
        <v>22543</v>
      </c>
      <c r="CZ21616" s="35">
        <v>6.4733533600000004E-2</v>
      </c>
    </row>
    <row r="21617" spans="103:104" x14ac:dyDescent="0.3">
      <c r="CY21617" s="34" t="s">
        <v>22544</v>
      </c>
      <c r="CZ21617" s="35">
        <v>5.1943199008264468E-2</v>
      </c>
    </row>
    <row r="21618" spans="103:104" x14ac:dyDescent="0.3">
      <c r="CY21618" s="34" t="s">
        <v>22545</v>
      </c>
      <c r="CZ21618" s="35">
        <v>1.2716249999999998E-2</v>
      </c>
    </row>
    <row r="21619" spans="103:104" x14ac:dyDescent="0.3">
      <c r="CY21619" s="34" t="s">
        <v>22546</v>
      </c>
      <c r="CZ21619" s="35">
        <v>1.88065E-2</v>
      </c>
    </row>
    <row r="21620" spans="103:104" x14ac:dyDescent="0.3">
      <c r="CY21620" s="34" t="s">
        <v>22547</v>
      </c>
      <c r="CZ21620" s="35">
        <v>1.0375E-3</v>
      </c>
    </row>
    <row r="21621" spans="103:104" x14ac:dyDescent="0.3">
      <c r="CY21621" s="34" t="s">
        <v>22548</v>
      </c>
      <c r="CZ21621" s="35">
        <v>2.1266471999999998E-2</v>
      </c>
    </row>
    <row r="21622" spans="103:104" x14ac:dyDescent="0.3">
      <c r="CY21622" s="34" t="s">
        <v>22549</v>
      </c>
      <c r="CZ21622" s="35">
        <v>0.24527484600000002</v>
      </c>
    </row>
    <row r="21623" spans="103:104" x14ac:dyDescent="0.3">
      <c r="CY21623" s="34" t="s">
        <v>22550</v>
      </c>
      <c r="CZ21623" s="35">
        <v>3.9189400000000001E-3</v>
      </c>
    </row>
    <row r="21624" spans="103:104" x14ac:dyDescent="0.3">
      <c r="CY21624" s="34" t="s">
        <v>22551</v>
      </c>
      <c r="CZ21624" s="35">
        <v>0.12898594185000001</v>
      </c>
    </row>
    <row r="21625" spans="103:104" x14ac:dyDescent="0.3">
      <c r="CY21625" s="34" t="s">
        <v>22552</v>
      </c>
      <c r="CZ21625" s="35">
        <v>0.81822679999999992</v>
      </c>
    </row>
    <row r="21626" spans="103:104" x14ac:dyDescent="0.3">
      <c r="CY21626" s="34" t="s">
        <v>22553</v>
      </c>
      <c r="CZ21626" s="35">
        <v>0.34646637866666663</v>
      </c>
    </row>
    <row r="21627" spans="103:104" x14ac:dyDescent="0.3">
      <c r="CY21627" s="34" t="s">
        <v>22554</v>
      </c>
      <c r="CZ21627" s="35">
        <v>8.0187839999999993E-3</v>
      </c>
    </row>
    <row r="21628" spans="103:104" x14ac:dyDescent="0.3">
      <c r="CY21628" s="34" t="s">
        <v>22555</v>
      </c>
      <c r="CZ21628" s="35">
        <v>6.368563428571429E-2</v>
      </c>
    </row>
    <row r="21629" spans="103:104" x14ac:dyDescent="0.3">
      <c r="CY21629" s="34" t="s">
        <v>22556</v>
      </c>
      <c r="CZ21629" s="35">
        <v>7.0403363300000008E-2</v>
      </c>
    </row>
    <row r="21630" spans="103:104" x14ac:dyDescent="0.3">
      <c r="CY21630" s="34" t="s">
        <v>22557</v>
      </c>
      <c r="CZ21630" s="35">
        <v>8.9914500000000008E-2</v>
      </c>
    </row>
    <row r="21631" spans="103:104" x14ac:dyDescent="0.3">
      <c r="CY21631" s="34" t="s">
        <v>22558</v>
      </c>
      <c r="CZ21631" s="35">
        <v>8.9914500000000008E-2</v>
      </c>
    </row>
    <row r="21632" spans="103:104" x14ac:dyDescent="0.3">
      <c r="CY21632" s="34" t="s">
        <v>22559</v>
      </c>
      <c r="CZ21632" s="35">
        <v>9.9338700000000002E-2</v>
      </c>
    </row>
    <row r="21633" spans="103:104" x14ac:dyDescent="0.3">
      <c r="CY21633" s="34" t="s">
        <v>22560</v>
      </c>
      <c r="CZ21633" s="35">
        <v>8.0634883300000001E-2</v>
      </c>
    </row>
    <row r="21634" spans="103:104" x14ac:dyDescent="0.3">
      <c r="CY21634" s="34" t="s">
        <v>22561</v>
      </c>
      <c r="CZ21634" s="35">
        <v>5.5662522500000006E-2</v>
      </c>
    </row>
    <row r="21635" spans="103:104" x14ac:dyDescent="0.3">
      <c r="CY21635" s="34" t="s">
        <v>22562</v>
      </c>
      <c r="CZ21635" s="35">
        <v>9.6761860000000005E-2</v>
      </c>
    </row>
    <row r="21636" spans="103:104" x14ac:dyDescent="0.3">
      <c r="CY21636" s="34" t="s">
        <v>22563</v>
      </c>
      <c r="CZ21636" s="35">
        <v>8.9914500000000008E-2</v>
      </c>
    </row>
    <row r="21637" spans="103:104" x14ac:dyDescent="0.3">
      <c r="CY21637" s="34" t="s">
        <v>22564</v>
      </c>
      <c r="CZ21637" s="35">
        <v>8.1355300000000005E-2</v>
      </c>
    </row>
    <row r="21638" spans="103:104" x14ac:dyDescent="0.3">
      <c r="CY21638" s="34" t="s">
        <v>22565</v>
      </c>
      <c r="CZ21638" s="35">
        <v>2.59375E-5</v>
      </c>
    </row>
    <row r="21639" spans="103:104" x14ac:dyDescent="0.3">
      <c r="CY21639" s="34" t="s">
        <v>22566</v>
      </c>
      <c r="CZ21639" s="35">
        <v>5.4385000000000002E-5</v>
      </c>
    </row>
    <row r="21640" spans="103:104" x14ac:dyDescent="0.3">
      <c r="CY21640" s="34" t="s">
        <v>22567</v>
      </c>
      <c r="CZ21640" s="35">
        <v>3.0767000000000003E-2</v>
      </c>
    </row>
    <row r="21641" spans="103:104" x14ac:dyDescent="0.3">
      <c r="CY21641" s="34" t="s">
        <v>22568</v>
      </c>
      <c r="CZ21641" s="35">
        <v>4.585931E-2</v>
      </c>
    </row>
    <row r="21642" spans="103:104" x14ac:dyDescent="0.3">
      <c r="CY21642" s="34" t="s">
        <v>22569</v>
      </c>
      <c r="CZ21642" s="35">
        <v>2.8342329999999999E-2</v>
      </c>
    </row>
    <row r="21643" spans="103:104" x14ac:dyDescent="0.3">
      <c r="CY21643" s="34" t="s">
        <v>22570</v>
      </c>
      <c r="CZ21643" s="35">
        <v>1.7601220000000001E-2</v>
      </c>
    </row>
    <row r="21644" spans="103:104" x14ac:dyDescent="0.3">
      <c r="CY21644" s="34" t="s">
        <v>22571</v>
      </c>
      <c r="CZ21644" s="35">
        <v>3.3184719999999994E-2</v>
      </c>
    </row>
    <row r="21645" spans="103:104" x14ac:dyDescent="0.3">
      <c r="CY21645" s="34" t="s">
        <v>22572</v>
      </c>
      <c r="CZ21645" s="35">
        <v>0.63959959999999993</v>
      </c>
    </row>
    <row r="21646" spans="103:104" x14ac:dyDescent="0.3">
      <c r="CY21646" s="34" t="s">
        <v>22573</v>
      </c>
      <c r="CZ21646" s="35">
        <v>9.5899366000000018E-4</v>
      </c>
    </row>
    <row r="21647" spans="103:104" x14ac:dyDescent="0.3">
      <c r="CY21647" s="34" t="s">
        <v>22574</v>
      </c>
      <c r="CZ21647" s="35">
        <v>0.29523747600000005</v>
      </c>
    </row>
    <row r="21648" spans="103:104" x14ac:dyDescent="0.3">
      <c r="CY21648" s="34" t="s">
        <v>22575</v>
      </c>
      <c r="CZ21648" s="35">
        <v>0.32107275000000002</v>
      </c>
    </row>
    <row r="21649" spans="103:104" x14ac:dyDescent="0.3">
      <c r="CY21649" s="34" t="s">
        <v>22576</v>
      </c>
      <c r="CZ21649" s="35">
        <v>6.0325866666666658E-3</v>
      </c>
    </row>
    <row r="21650" spans="103:104" x14ac:dyDescent="0.3">
      <c r="CY21650" s="34" t="s">
        <v>22577</v>
      </c>
      <c r="CZ21650" s="35">
        <v>3.878091428571429E-3</v>
      </c>
    </row>
    <row r="21651" spans="103:104" x14ac:dyDescent="0.3">
      <c r="CY21651" s="34" t="s">
        <v>22578</v>
      </c>
      <c r="CZ21651" s="35">
        <v>3.4195391999999998E-2</v>
      </c>
    </row>
    <row r="21652" spans="103:104" x14ac:dyDescent="0.3">
      <c r="CY21652" s="34" t="s">
        <v>22579</v>
      </c>
      <c r="CZ21652" s="35">
        <v>3.4195391999999998E-2</v>
      </c>
    </row>
    <row r="21653" spans="103:104" x14ac:dyDescent="0.3">
      <c r="CY21653" s="34" t="s">
        <v>22580</v>
      </c>
      <c r="CZ21653" s="35">
        <v>3.4195391999999998E-2</v>
      </c>
    </row>
    <row r="21654" spans="103:104" x14ac:dyDescent="0.3">
      <c r="CY21654" s="34" t="s">
        <v>22581</v>
      </c>
      <c r="CZ21654" s="35">
        <v>5.2632475200000001E-3</v>
      </c>
    </row>
    <row r="21655" spans="103:104" x14ac:dyDescent="0.3">
      <c r="CY21655" s="34" t="s">
        <v>22582</v>
      </c>
      <c r="CZ21655" s="35">
        <v>0.15695055999999999</v>
      </c>
    </row>
    <row r="21656" spans="103:104" x14ac:dyDescent="0.3">
      <c r="CY21656" s="34" t="s">
        <v>22583</v>
      </c>
      <c r="CZ21656" s="35">
        <v>0.2297607874</v>
      </c>
    </row>
    <row r="21657" spans="103:104" x14ac:dyDescent="0.3">
      <c r="CY21657" s="34" t="s">
        <v>22584</v>
      </c>
      <c r="CZ21657" s="35">
        <v>0.75553125399999999</v>
      </c>
    </row>
    <row r="21658" spans="103:104" x14ac:dyDescent="0.3">
      <c r="CY21658" s="34" t="s">
        <v>22585</v>
      </c>
      <c r="CZ21658" s="35">
        <v>0.77725125400000006</v>
      </c>
    </row>
    <row r="21659" spans="103:104" x14ac:dyDescent="0.3">
      <c r="CY21659" s="34" t="s">
        <v>22586</v>
      </c>
      <c r="CZ21659" s="35">
        <v>0.2988822057142857</v>
      </c>
    </row>
    <row r="21660" spans="103:104" x14ac:dyDescent="0.3">
      <c r="CY21660" s="34" t="s">
        <v>22587</v>
      </c>
      <c r="CZ21660" s="35">
        <v>5.6223719999999987E-3</v>
      </c>
    </row>
    <row r="21661" spans="103:104" x14ac:dyDescent="0.3">
      <c r="CY21661" s="34" t="s">
        <v>22588</v>
      </c>
      <c r="CZ21661" s="35">
        <v>4.8465941620399995E-3</v>
      </c>
    </row>
    <row r="21662" spans="103:104" x14ac:dyDescent="0.3">
      <c r="CY21662" s="34" t="s">
        <v>22589</v>
      </c>
      <c r="CZ21662" s="35">
        <v>4.8465941620400004E-3</v>
      </c>
    </row>
    <row r="21663" spans="103:104" x14ac:dyDescent="0.3">
      <c r="CY21663" s="34" t="s">
        <v>22590</v>
      </c>
      <c r="CZ21663" s="35">
        <v>1.9759999999999999E-3</v>
      </c>
    </row>
    <row r="21664" spans="103:104" x14ac:dyDescent="0.3">
      <c r="CY21664" s="34" t="s">
        <v>22591</v>
      </c>
      <c r="CZ21664" s="35">
        <v>7.6674200000000003E-3</v>
      </c>
    </row>
    <row r="21665" spans="103:104" x14ac:dyDescent="0.3">
      <c r="CY21665" s="34" t="s">
        <v>22592</v>
      </c>
      <c r="CZ21665" s="35">
        <v>9.028383999999999E-2</v>
      </c>
    </row>
    <row r="21666" spans="103:104" x14ac:dyDescent="0.3">
      <c r="CY21666" s="34" t="s">
        <v>22593</v>
      </c>
      <c r="CZ21666" s="35">
        <v>6.1436250000000006E-3</v>
      </c>
    </row>
    <row r="21667" spans="103:104" x14ac:dyDescent="0.3">
      <c r="CY21667" s="34" t="s">
        <v>22594</v>
      </c>
      <c r="CZ21667" s="35">
        <v>2.0007731999999997E-2</v>
      </c>
    </row>
    <row r="21668" spans="103:104" x14ac:dyDescent="0.3">
      <c r="CY21668" s="34" t="s">
        <v>22595</v>
      </c>
      <c r="CZ21668" s="35">
        <v>1.25604944E-2</v>
      </c>
    </row>
    <row r="21669" spans="103:104" x14ac:dyDescent="0.3">
      <c r="CY21669" s="34" t="s">
        <v>22596</v>
      </c>
      <c r="CZ21669" s="35">
        <v>1.6376251999999997E-2</v>
      </c>
    </row>
    <row r="21670" spans="103:104" x14ac:dyDescent="0.3">
      <c r="CY21670" s="34" t="s">
        <v>22597</v>
      </c>
      <c r="CZ21670" s="35">
        <v>1.6376251999999997E-2</v>
      </c>
    </row>
    <row r="21671" spans="103:104" x14ac:dyDescent="0.3">
      <c r="CY21671" s="34" t="s">
        <v>22598</v>
      </c>
      <c r="CZ21671" s="35">
        <v>0.57376933337500002</v>
      </c>
    </row>
    <row r="21672" spans="103:104" x14ac:dyDescent="0.3">
      <c r="CY21672" s="34" t="s">
        <v>22599</v>
      </c>
      <c r="CZ21672" s="35">
        <v>0.76724686900000005</v>
      </c>
    </row>
    <row r="21673" spans="103:104" x14ac:dyDescent="0.3">
      <c r="CY21673" s="34" t="s">
        <v>22600</v>
      </c>
      <c r="CZ21673" s="35">
        <v>0.62186794999999995</v>
      </c>
    </row>
    <row r="21674" spans="103:104" x14ac:dyDescent="0.3">
      <c r="CY21674" s="34" t="s">
        <v>22601</v>
      </c>
      <c r="CZ21674" s="35">
        <v>0.78072399999999997</v>
      </c>
    </row>
    <row r="21675" spans="103:104" x14ac:dyDescent="0.3">
      <c r="CY21675" s="34" t="s">
        <v>22602</v>
      </c>
      <c r="CZ21675" s="35">
        <v>0.62186794999999995</v>
      </c>
    </row>
    <row r="21676" spans="103:104" x14ac:dyDescent="0.3">
      <c r="CY21676" s="34" t="s">
        <v>22603</v>
      </c>
      <c r="CZ21676" s="35">
        <v>0.71129083337499999</v>
      </c>
    </row>
    <row r="21677" spans="103:104" x14ac:dyDescent="0.3">
      <c r="CY21677" s="34" t="s">
        <v>22604</v>
      </c>
      <c r="CZ21677" s="35">
        <v>1.5271000000000002E-3</v>
      </c>
    </row>
    <row r="21678" spans="103:104" x14ac:dyDescent="0.3">
      <c r="CY21678" s="34" t="s">
        <v>22605</v>
      </c>
      <c r="CZ21678" s="35">
        <v>1.1336000000000002E-2</v>
      </c>
    </row>
    <row r="21679" spans="103:104" x14ac:dyDescent="0.3">
      <c r="CY21679" s="34" t="s">
        <v>22606</v>
      </c>
      <c r="CZ21679" s="35">
        <v>9.2941342222222227E-4</v>
      </c>
    </row>
    <row r="21680" spans="103:104" x14ac:dyDescent="0.3">
      <c r="CY21680" s="34" t="s">
        <v>22607</v>
      </c>
      <c r="CZ21680" s="35">
        <v>3.1352286799999998E-3</v>
      </c>
    </row>
    <row r="21681" spans="103:104" x14ac:dyDescent="0.3">
      <c r="CY21681" s="34" t="s">
        <v>22608</v>
      </c>
      <c r="CZ21681" s="35">
        <v>3.7110525E-3</v>
      </c>
    </row>
    <row r="21682" spans="103:104" x14ac:dyDescent="0.3">
      <c r="CY21682" s="34" t="s">
        <v>22609</v>
      </c>
      <c r="CZ21682" s="35">
        <v>5.3575856000000005E-2</v>
      </c>
    </row>
    <row r="21683" spans="103:104" x14ac:dyDescent="0.3">
      <c r="CY21683" s="34" t="s">
        <v>22610</v>
      </c>
      <c r="CZ21683" s="35">
        <v>5.0143856000000007E-2</v>
      </c>
    </row>
    <row r="21684" spans="103:104" x14ac:dyDescent="0.3">
      <c r="CY21684" s="34" t="s">
        <v>22611</v>
      </c>
      <c r="CZ21684" s="35">
        <v>6.9549066500000003E-3</v>
      </c>
    </row>
    <row r="21685" spans="103:104" x14ac:dyDescent="0.3">
      <c r="CY21685" s="34" t="s">
        <v>22612</v>
      </c>
      <c r="CZ21685" s="35">
        <v>1.43375E-4</v>
      </c>
    </row>
    <row r="21686" spans="103:104" x14ac:dyDescent="0.3">
      <c r="CY21686" s="34" t="s">
        <v>22613</v>
      </c>
      <c r="CZ21686" s="35">
        <v>1.5567676666666667E-4</v>
      </c>
    </row>
    <row r="21687" spans="103:104" x14ac:dyDescent="0.3">
      <c r="CY21687" s="34" t="s">
        <v>22614</v>
      </c>
      <c r="CZ21687" s="35">
        <v>1.3635999999999999E-2</v>
      </c>
    </row>
    <row r="21688" spans="103:104" x14ac:dyDescent="0.3">
      <c r="CY21688" s="34" t="s">
        <v>22615</v>
      </c>
      <c r="CZ21688" s="35">
        <v>1.3123505000000001E-2</v>
      </c>
    </row>
    <row r="21689" spans="103:104" x14ac:dyDescent="0.3">
      <c r="CY21689" s="34" t="s">
        <v>22616</v>
      </c>
      <c r="CZ21689" s="35">
        <v>2.0977321333333333E-2</v>
      </c>
    </row>
    <row r="21690" spans="103:104" x14ac:dyDescent="0.3">
      <c r="CY21690" s="34" t="s">
        <v>22617</v>
      </c>
      <c r="CZ21690" s="35">
        <v>2.7668945E-2</v>
      </c>
    </row>
    <row r="21691" spans="103:104" x14ac:dyDescent="0.3">
      <c r="CY21691" s="34" t="s">
        <v>22618</v>
      </c>
      <c r="CZ21691" s="35">
        <v>0.18739999999999998</v>
      </c>
    </row>
    <row r="21692" spans="103:104" x14ac:dyDescent="0.3">
      <c r="CY21692" s="34" t="s">
        <v>22619</v>
      </c>
      <c r="CZ21692" s="35">
        <v>0.433971</v>
      </c>
    </row>
    <row r="21693" spans="103:104" x14ac:dyDescent="0.3">
      <c r="CY21693" s="34" t="s">
        <v>22620</v>
      </c>
      <c r="CZ21693" s="35">
        <v>3.7176259999999996E-2</v>
      </c>
    </row>
    <row r="21694" spans="103:104" x14ac:dyDescent="0.3">
      <c r="CY21694" s="34" t="s">
        <v>22621</v>
      </c>
      <c r="CZ21694" s="35">
        <v>4.0333333333333334E-4</v>
      </c>
    </row>
    <row r="21695" spans="103:104" x14ac:dyDescent="0.3">
      <c r="CY21695" s="34" t="s">
        <v>22622</v>
      </c>
      <c r="CZ21695" s="35">
        <v>0.10016331555555556</v>
      </c>
    </row>
    <row r="21696" spans="103:104" x14ac:dyDescent="0.3">
      <c r="CY21696" s="34" t="s">
        <v>22623</v>
      </c>
      <c r="CZ21696" s="35">
        <v>6.6253500000000003E-3</v>
      </c>
    </row>
    <row r="21697" spans="103:104" x14ac:dyDescent="0.3">
      <c r="CY21697" s="34" t="s">
        <v>22624</v>
      </c>
      <c r="CZ21697" s="35">
        <v>1.9844000000000001E-2</v>
      </c>
    </row>
    <row r="21698" spans="103:104" x14ac:dyDescent="0.3">
      <c r="CY21698" s="34" t="s">
        <v>22625</v>
      </c>
      <c r="CZ21698" s="35">
        <v>0.10831940500000001</v>
      </c>
    </row>
    <row r="21699" spans="103:104" x14ac:dyDescent="0.3">
      <c r="CY21699" s="34" t="s">
        <v>22626</v>
      </c>
      <c r="CZ21699" s="35">
        <v>0.32447589999999998</v>
      </c>
    </row>
    <row r="21700" spans="103:104" x14ac:dyDescent="0.3">
      <c r="CY21700" s="34" t="s">
        <v>22627</v>
      </c>
      <c r="CZ21700" s="35">
        <v>1.0225655499999999</v>
      </c>
    </row>
    <row r="21701" spans="103:104" x14ac:dyDescent="0.3">
      <c r="CY21701" s="34" t="s">
        <v>22628</v>
      </c>
      <c r="CZ21701" s="35">
        <v>0.20572514</v>
      </c>
    </row>
    <row r="21702" spans="103:104" x14ac:dyDescent="0.3">
      <c r="CY21702" s="34" t="s">
        <v>22629</v>
      </c>
      <c r="CZ21702" s="35">
        <v>0.59778513600000005</v>
      </c>
    </row>
    <row r="21703" spans="103:104" x14ac:dyDescent="0.3">
      <c r="CY21703" s="34" t="s">
        <v>22630</v>
      </c>
      <c r="CZ21703" s="35">
        <v>1.4514823999999999E-2</v>
      </c>
    </row>
    <row r="21704" spans="103:104" x14ac:dyDescent="0.3">
      <c r="CY21704" s="34" t="s">
        <v>22631</v>
      </c>
      <c r="CZ21704" s="35">
        <v>1.9866610666666663E-2</v>
      </c>
    </row>
    <row r="21705" spans="103:104" x14ac:dyDescent="0.3">
      <c r="CY21705" s="34" t="s">
        <v>22632</v>
      </c>
      <c r="CZ21705" s="35">
        <v>1.7490002666666671E-2</v>
      </c>
    </row>
    <row r="21706" spans="103:104" x14ac:dyDescent="0.3">
      <c r="CY21706" s="34" t="s">
        <v>22633</v>
      </c>
      <c r="CZ21706" s="35">
        <v>9.522760292566667E-3</v>
      </c>
    </row>
    <row r="21707" spans="103:104" x14ac:dyDescent="0.3">
      <c r="CY21707" s="34" t="s">
        <v>22634</v>
      </c>
      <c r="CZ21707" s="35">
        <v>1.9903866666666669E-2</v>
      </c>
    </row>
    <row r="21708" spans="103:104" x14ac:dyDescent="0.3">
      <c r="CY21708" s="34" t="s">
        <v>22635</v>
      </c>
      <c r="CZ21708" s="35">
        <v>0.1640538</v>
      </c>
    </row>
    <row r="21709" spans="103:104" x14ac:dyDescent="0.3">
      <c r="CY21709" s="34" t="s">
        <v>22636</v>
      </c>
      <c r="CZ21709" s="35">
        <v>1.6617843538282353E-2</v>
      </c>
    </row>
    <row r="21710" spans="103:104" x14ac:dyDescent="0.3">
      <c r="CY21710" s="34" t="s">
        <v>22637</v>
      </c>
      <c r="CZ21710" s="35">
        <v>1.1647112894117649E-2</v>
      </c>
    </row>
    <row r="21711" spans="103:104" x14ac:dyDescent="0.3">
      <c r="CY21711" s="34" t="s">
        <v>22638</v>
      </c>
      <c r="CZ21711" s="35">
        <v>3.2826922541176469E-3</v>
      </c>
    </row>
    <row r="21712" spans="103:104" x14ac:dyDescent="0.3">
      <c r="CY21712" s="34" t="s">
        <v>22639</v>
      </c>
      <c r="CZ21712" s="35">
        <v>0.11755346064705884</v>
      </c>
    </row>
    <row r="21713" spans="103:104" x14ac:dyDescent="0.3">
      <c r="CY21713" s="34" t="s">
        <v>22640</v>
      </c>
      <c r="CZ21713" s="35">
        <v>8.1004039355059999E-3</v>
      </c>
    </row>
    <row r="21714" spans="103:104" x14ac:dyDescent="0.3">
      <c r="CY21714" s="34" t="s">
        <v>22641</v>
      </c>
      <c r="CZ21714" s="35">
        <v>5.6619799999999996E-4</v>
      </c>
    </row>
    <row r="21715" spans="103:104" x14ac:dyDescent="0.3">
      <c r="CY21715" s="34" t="s">
        <v>22642</v>
      </c>
      <c r="CZ21715" s="35">
        <v>1.7602621999999998E-2</v>
      </c>
    </row>
    <row r="21716" spans="103:104" x14ac:dyDescent="0.3">
      <c r="CY21716" s="34" t="s">
        <v>22643</v>
      </c>
      <c r="CZ21716" s="35">
        <v>3.0340044E-3</v>
      </c>
    </row>
    <row r="21717" spans="103:104" x14ac:dyDescent="0.3">
      <c r="CY21717" s="34" t="s">
        <v>22644</v>
      </c>
      <c r="CZ21717" s="35">
        <v>8.7860106999999993E-3</v>
      </c>
    </row>
    <row r="21718" spans="103:104" x14ac:dyDescent="0.3">
      <c r="CY21718" s="34" t="s">
        <v>22645</v>
      </c>
      <c r="CZ21718" s="35">
        <v>2.9162342857142854E-2</v>
      </c>
    </row>
    <row r="21719" spans="103:104" x14ac:dyDescent="0.3">
      <c r="CY21719" s="34" t="s">
        <v>22646</v>
      </c>
      <c r="CZ21719" s="35">
        <v>2.2328478857142859E-2</v>
      </c>
    </row>
    <row r="21720" spans="103:104" x14ac:dyDescent="0.3">
      <c r="CY21720" s="34" t="s">
        <v>22647</v>
      </c>
      <c r="CZ21720" s="35">
        <v>0.22122727999999997</v>
      </c>
    </row>
    <row r="21721" spans="103:104" x14ac:dyDescent="0.3">
      <c r="CY21721" s="34" t="s">
        <v>22648</v>
      </c>
      <c r="CZ21721" s="35">
        <v>0.16107727999999999</v>
      </c>
    </row>
    <row r="21722" spans="103:104" x14ac:dyDescent="0.3">
      <c r="CY21722" s="34" t="s">
        <v>22649</v>
      </c>
      <c r="CZ21722" s="35">
        <v>0.20179703200000002</v>
      </c>
    </row>
    <row r="21723" spans="103:104" x14ac:dyDescent="0.3">
      <c r="CY21723" s="34" t="s">
        <v>22650</v>
      </c>
      <c r="CZ21723" s="35">
        <v>0.14832303200000002</v>
      </c>
    </row>
    <row r="21724" spans="103:104" x14ac:dyDescent="0.3">
      <c r="CY21724" s="34" t="s">
        <v>22651</v>
      </c>
      <c r="CZ21724" s="35">
        <v>0.21275117600000001</v>
      </c>
    </row>
    <row r="21725" spans="103:104" x14ac:dyDescent="0.3">
      <c r="CY21725" s="34" t="s">
        <v>22652</v>
      </c>
      <c r="CZ21725" s="35">
        <v>0.15847717600000003</v>
      </c>
    </row>
    <row r="21726" spans="103:104" x14ac:dyDescent="0.3">
      <c r="CY21726" s="34" t="s">
        <v>22653</v>
      </c>
      <c r="CZ21726" s="35">
        <v>2.0727184E-3</v>
      </c>
    </row>
    <row r="21727" spans="103:104" x14ac:dyDescent="0.3">
      <c r="CY21727" s="34" t="s">
        <v>22654</v>
      </c>
      <c r="CZ21727" s="35">
        <v>0.14372105669999996</v>
      </c>
    </row>
    <row r="21728" spans="103:104" x14ac:dyDescent="0.3">
      <c r="CY21728" s="34" t="s">
        <v>22655</v>
      </c>
      <c r="CZ21728" s="35">
        <v>0.19665024</v>
      </c>
    </row>
    <row r="21729" spans="103:104" x14ac:dyDescent="0.3">
      <c r="CY21729" s="34" t="s">
        <v>22656</v>
      </c>
      <c r="CZ21729" s="35">
        <v>0.13780624</v>
      </c>
    </row>
    <row r="21730" spans="103:104" x14ac:dyDescent="0.3">
      <c r="CY21730" s="34" t="s">
        <v>22657</v>
      </c>
      <c r="CZ21730" s="35">
        <v>0.13158224999999996</v>
      </c>
    </row>
    <row r="21731" spans="103:104" x14ac:dyDescent="0.3">
      <c r="CY21731" s="34" t="s">
        <v>22658</v>
      </c>
      <c r="CZ21731" s="35">
        <v>0.27540135599999999</v>
      </c>
    </row>
    <row r="21732" spans="103:104" x14ac:dyDescent="0.3">
      <c r="CY21732" s="34" t="s">
        <v>22659</v>
      </c>
      <c r="CZ21732" s="35">
        <v>0.21145012200000005</v>
      </c>
    </row>
    <row r="21733" spans="103:104" x14ac:dyDescent="0.3">
      <c r="CY21733" s="34" t="s">
        <v>22660</v>
      </c>
      <c r="CZ21733" s="35">
        <v>9.5863600000000021E-3</v>
      </c>
    </row>
    <row r="21734" spans="103:104" x14ac:dyDescent="0.3">
      <c r="CY21734" s="34" t="s">
        <v>22661</v>
      </c>
      <c r="CZ21734" s="35">
        <v>1.4814419999999999E-3</v>
      </c>
    </row>
    <row r="21735" spans="103:104" x14ac:dyDescent="0.3">
      <c r="CY21735" s="34" t="s">
        <v>22662</v>
      </c>
      <c r="CZ21735" s="35">
        <v>5.9140023999999999E-2</v>
      </c>
    </row>
    <row r="21736" spans="103:104" x14ac:dyDescent="0.3">
      <c r="CY21736" s="34" t="s">
        <v>22663</v>
      </c>
      <c r="CZ21736" s="35">
        <v>0.14136256</v>
      </c>
    </row>
    <row r="21737" spans="103:104" x14ac:dyDescent="0.3">
      <c r="CY21737" s="34" t="s">
        <v>22664</v>
      </c>
      <c r="CZ21737" s="35">
        <v>0.60360381249999995</v>
      </c>
    </row>
    <row r="21738" spans="103:104" x14ac:dyDescent="0.3">
      <c r="CY21738" s="34" t="s">
        <v>22665</v>
      </c>
      <c r="CZ21738" s="35">
        <v>2.426025125E-2</v>
      </c>
    </row>
    <row r="21739" spans="103:104" x14ac:dyDescent="0.3">
      <c r="CY21739" s="34" t="s">
        <v>22666</v>
      </c>
      <c r="CZ21739" s="35">
        <v>2.426025125E-2</v>
      </c>
    </row>
    <row r="21740" spans="103:104" x14ac:dyDescent="0.3">
      <c r="CY21740" s="34" t="s">
        <v>22667</v>
      </c>
      <c r="CZ21740" s="35">
        <v>0.26327099999999998</v>
      </c>
    </row>
    <row r="21741" spans="103:104" x14ac:dyDescent="0.3">
      <c r="CY21741" s="34" t="s">
        <v>22668</v>
      </c>
      <c r="CZ21741" s="35">
        <v>5.0160450000000002E-2</v>
      </c>
    </row>
    <row r="21742" spans="103:104" x14ac:dyDescent="0.3">
      <c r="CY21742" s="34" t="s">
        <v>22669</v>
      </c>
      <c r="CZ21742" s="35">
        <v>0.14756030000000001</v>
      </c>
    </row>
    <row r="21743" spans="103:104" x14ac:dyDescent="0.3">
      <c r="CY21743" s="34" t="s">
        <v>22670</v>
      </c>
      <c r="CZ21743" s="35">
        <v>0.14756030000000001</v>
      </c>
    </row>
    <row r="21744" spans="103:104" x14ac:dyDescent="0.3">
      <c r="CY21744" s="34" t="s">
        <v>22671</v>
      </c>
      <c r="CZ21744" s="35">
        <v>3.0717459999999998E-3</v>
      </c>
    </row>
    <row r="21745" spans="103:104" x14ac:dyDescent="0.3">
      <c r="CY21745" s="34" t="s">
        <v>22672</v>
      </c>
      <c r="CZ21745" s="35">
        <v>5.4133000000000008E-2</v>
      </c>
    </row>
    <row r="21746" spans="103:104" x14ac:dyDescent="0.3">
      <c r="CY21746" s="34" t="s">
        <v>22673</v>
      </c>
      <c r="CZ21746" s="35">
        <v>0.10960315999999999</v>
      </c>
    </row>
    <row r="21747" spans="103:104" x14ac:dyDescent="0.3">
      <c r="CY21747" s="34" t="s">
        <v>22674</v>
      </c>
      <c r="CZ21747" s="35">
        <v>0.48447028000000003</v>
      </c>
    </row>
    <row r="21748" spans="103:104" x14ac:dyDescent="0.3">
      <c r="CY21748" s="34" t="s">
        <v>22675</v>
      </c>
      <c r="CZ21748" s="35">
        <v>0.30662400000000001</v>
      </c>
    </row>
    <row r="21749" spans="103:104" x14ac:dyDescent="0.3">
      <c r="CY21749" s="34" t="s">
        <v>22676</v>
      </c>
      <c r="CZ21749" s="35">
        <v>0.17364816</v>
      </c>
    </row>
    <row r="21750" spans="103:104" x14ac:dyDescent="0.3">
      <c r="CY21750" s="34" t="s">
        <v>22677</v>
      </c>
      <c r="CZ21750" s="35">
        <v>2.17674424E-2</v>
      </c>
    </row>
    <row r="21751" spans="103:104" x14ac:dyDescent="0.3">
      <c r="CY21751" s="34" t="s">
        <v>22678</v>
      </c>
      <c r="CZ21751" s="35">
        <v>0.62557449600000004</v>
      </c>
    </row>
    <row r="21752" spans="103:104" x14ac:dyDescent="0.3">
      <c r="CY21752" s="34" t="s">
        <v>22679</v>
      </c>
      <c r="CZ21752" s="35">
        <v>0.59358534400000007</v>
      </c>
    </row>
    <row r="21753" spans="103:104" x14ac:dyDescent="0.3">
      <c r="CY21753" s="34" t="s">
        <v>22680</v>
      </c>
      <c r="CZ21753" s="35">
        <v>0.26830933499999998</v>
      </c>
    </row>
    <row r="21754" spans="103:104" x14ac:dyDescent="0.3">
      <c r="CY21754" s="34" t="s">
        <v>22681</v>
      </c>
      <c r="CZ21754" s="35">
        <v>0.34554064000000001</v>
      </c>
    </row>
    <row r="21755" spans="103:104" x14ac:dyDescent="0.3">
      <c r="CY21755" s="34" t="s">
        <v>22682</v>
      </c>
      <c r="CZ21755" s="35">
        <v>0.19442798</v>
      </c>
    </row>
    <row r="21756" spans="103:104" x14ac:dyDescent="0.3">
      <c r="CY21756" s="34" t="s">
        <v>22683</v>
      </c>
      <c r="CZ21756" s="35">
        <v>0.31291931000000001</v>
      </c>
    </row>
    <row r="21757" spans="103:104" x14ac:dyDescent="0.3">
      <c r="CY21757" s="34" t="s">
        <v>22684</v>
      </c>
      <c r="CZ21757" s="35">
        <v>9.8580479999999995E-3</v>
      </c>
    </row>
    <row r="21758" spans="103:104" x14ac:dyDescent="0.3">
      <c r="CY21758" s="34" t="s">
        <v>22685</v>
      </c>
      <c r="CZ21758" s="35">
        <v>9.8580479999999995E-3</v>
      </c>
    </row>
    <row r="21759" spans="103:104" x14ac:dyDescent="0.3">
      <c r="CY21759" s="34" t="s">
        <v>22686</v>
      </c>
      <c r="CZ21759" s="35">
        <v>3.0688640000000003E-2</v>
      </c>
    </row>
    <row r="21760" spans="103:104" x14ac:dyDescent="0.3">
      <c r="CY21760" s="34" t="s">
        <v>22687</v>
      </c>
      <c r="CZ21760" s="35">
        <v>0.16090246607476638</v>
      </c>
    </row>
    <row r="21761" spans="103:104" x14ac:dyDescent="0.3">
      <c r="CY21761" s="34" t="s">
        <v>22688</v>
      </c>
      <c r="CZ21761" s="35">
        <v>0.3314549</v>
      </c>
    </row>
    <row r="21762" spans="103:104" x14ac:dyDescent="0.3">
      <c r="CY21762" s="34" t="s">
        <v>22689</v>
      </c>
      <c r="CZ21762" s="35">
        <v>0.72089326000000009</v>
      </c>
    </row>
    <row r="21763" spans="103:104" x14ac:dyDescent="0.3">
      <c r="CY21763" s="34" t="s">
        <v>22690</v>
      </c>
      <c r="CZ21763" s="35">
        <v>0.29703553285714285</v>
      </c>
    </row>
    <row r="21764" spans="103:104" x14ac:dyDescent="0.3">
      <c r="CY21764" s="34" t="s">
        <v>22691</v>
      </c>
      <c r="CZ21764" s="35">
        <v>0.58807189999999998</v>
      </c>
    </row>
    <row r="21765" spans="103:104" x14ac:dyDescent="0.3">
      <c r="CY21765" s="34" t="s">
        <v>22692</v>
      </c>
      <c r="CZ21765" s="35">
        <v>0.32622113428571431</v>
      </c>
    </row>
    <row r="21766" spans="103:104" x14ac:dyDescent="0.3">
      <c r="CY21766" s="34" t="s">
        <v>22693</v>
      </c>
      <c r="CZ21766" s="35">
        <v>0.22074000000000002</v>
      </c>
    </row>
    <row r="21767" spans="103:104" x14ac:dyDescent="0.3">
      <c r="CY21767" s="34" t="s">
        <v>22694</v>
      </c>
      <c r="CZ21767" s="35">
        <v>1.4752530153846153E-2</v>
      </c>
    </row>
    <row r="21768" spans="103:104" x14ac:dyDescent="0.3">
      <c r="CY21768" s="34" t="s">
        <v>22695</v>
      </c>
      <c r="CZ21768" s="35">
        <v>0.32590121000000005</v>
      </c>
    </row>
    <row r="21769" spans="103:104" x14ac:dyDescent="0.3">
      <c r="CY21769" s="34" t="s">
        <v>22696</v>
      </c>
      <c r="CZ21769" s="35">
        <v>1.1995887999999999</v>
      </c>
    </row>
    <row r="21770" spans="103:104" x14ac:dyDescent="0.3">
      <c r="CY21770" s="34" t="s">
        <v>22697</v>
      </c>
      <c r="CZ21770" s="35">
        <v>8.1917551111111101E-3</v>
      </c>
    </row>
    <row r="21771" spans="103:104" x14ac:dyDescent="0.3">
      <c r="CY21771" s="34" t="s">
        <v>22698</v>
      </c>
      <c r="CZ21771" s="35">
        <v>7.1580799999999998E-3</v>
      </c>
    </row>
    <row r="21772" spans="103:104" x14ac:dyDescent="0.3">
      <c r="CY21772" s="34" t="s">
        <v>22699</v>
      </c>
      <c r="CZ21772" s="35">
        <v>0.87967685709999999</v>
      </c>
    </row>
    <row r="21773" spans="103:104" x14ac:dyDescent="0.3">
      <c r="CY21773" s="34" t="s">
        <v>22700</v>
      </c>
      <c r="CZ21773" s="35">
        <v>0.85712014666666658</v>
      </c>
    </row>
    <row r="21774" spans="103:104" x14ac:dyDescent="0.3">
      <c r="CY21774" s="34" t="s">
        <v>22701</v>
      </c>
      <c r="CZ21774" s="35">
        <v>8.6957690220400008E-2</v>
      </c>
    </row>
    <row r="21775" spans="103:104" x14ac:dyDescent="0.3">
      <c r="CY21775" s="34" t="s">
        <v>22702</v>
      </c>
      <c r="CZ21775" s="35">
        <v>7.70465865E-2</v>
      </c>
    </row>
    <row r="21776" spans="103:104" x14ac:dyDescent="0.3">
      <c r="CY21776" s="34" t="s">
        <v>22703</v>
      </c>
      <c r="CZ21776" s="35">
        <v>0.11729833050000001</v>
      </c>
    </row>
    <row r="21777" spans="103:104" x14ac:dyDescent="0.3">
      <c r="CY21777" s="34" t="s">
        <v>22704</v>
      </c>
      <c r="CZ21777" s="35">
        <v>1.3930224000000001E-2</v>
      </c>
    </row>
    <row r="21778" spans="103:104" x14ac:dyDescent="0.3">
      <c r="CY21778" s="34" t="s">
        <v>22705</v>
      </c>
      <c r="CZ21778" s="35">
        <v>9.6702040000000003E-2</v>
      </c>
    </row>
    <row r="21779" spans="103:104" x14ac:dyDescent="0.3">
      <c r="CY21779" s="34" t="s">
        <v>22706</v>
      </c>
      <c r="CZ21779" s="35">
        <v>2.4051609999999998E-2</v>
      </c>
    </row>
    <row r="21780" spans="103:104" x14ac:dyDescent="0.3">
      <c r="CY21780" s="34" t="s">
        <v>22707</v>
      </c>
      <c r="CZ21780" s="35">
        <v>0.31484569000000001</v>
      </c>
    </row>
    <row r="21781" spans="103:104" x14ac:dyDescent="0.3">
      <c r="CY21781" s="34" t="s">
        <v>22708</v>
      </c>
      <c r="CZ21781" s="35">
        <v>1.5186799999999999E-2</v>
      </c>
    </row>
    <row r="21782" spans="103:104" x14ac:dyDescent="0.3">
      <c r="CY21782" s="34" t="s">
        <v>22709</v>
      </c>
      <c r="CZ21782" s="35">
        <v>0.13262574999999999</v>
      </c>
    </row>
    <row r="21783" spans="103:104" x14ac:dyDescent="0.3">
      <c r="CY21783" s="34" t="s">
        <v>22710</v>
      </c>
      <c r="CZ21783" s="35">
        <v>1.5217968E-3</v>
      </c>
    </row>
    <row r="21784" spans="103:104" x14ac:dyDescent="0.3">
      <c r="CY21784" s="34" t="s">
        <v>22711</v>
      </c>
      <c r="CZ21784" s="35">
        <v>0.38924096000000002</v>
      </c>
    </row>
    <row r="21785" spans="103:104" x14ac:dyDescent="0.3">
      <c r="CY21785" s="34" t="s">
        <v>22712</v>
      </c>
      <c r="CZ21785" s="35">
        <v>0.48710599999999998</v>
      </c>
    </row>
    <row r="21786" spans="103:104" x14ac:dyDescent="0.3">
      <c r="CY21786" s="34" t="s">
        <v>22713</v>
      </c>
      <c r="CZ21786" s="35">
        <v>0.48594487999999997</v>
      </c>
    </row>
    <row r="21787" spans="103:104" x14ac:dyDescent="0.3">
      <c r="CY21787" s="34" t="s">
        <v>22714</v>
      </c>
      <c r="CZ21787" s="35">
        <v>0.48594488000000002</v>
      </c>
    </row>
    <row r="21788" spans="103:104" x14ac:dyDescent="0.3">
      <c r="CY21788" s="34" t="s">
        <v>22715</v>
      </c>
      <c r="CZ21788" s="35">
        <v>0.48613321333333331</v>
      </c>
    </row>
    <row r="21789" spans="103:104" x14ac:dyDescent="0.3">
      <c r="CY21789" s="34" t="s">
        <v>22716</v>
      </c>
      <c r="CZ21789" s="35">
        <v>0.48613321333333326</v>
      </c>
    </row>
    <row r="21790" spans="103:104" x14ac:dyDescent="0.3">
      <c r="CY21790" s="34" t="s">
        <v>22717</v>
      </c>
      <c r="CZ21790" s="35">
        <v>0.49786653600000008</v>
      </c>
    </row>
    <row r="21791" spans="103:104" x14ac:dyDescent="0.3">
      <c r="CY21791" s="34" t="s">
        <v>22718</v>
      </c>
      <c r="CZ21791" s="35">
        <v>0.49614153600000005</v>
      </c>
    </row>
    <row r="21792" spans="103:104" x14ac:dyDescent="0.3">
      <c r="CY21792" s="34" t="s">
        <v>22719</v>
      </c>
      <c r="CZ21792" s="35">
        <v>8.3113199999999994E-4</v>
      </c>
    </row>
    <row r="21793" spans="103:104" x14ac:dyDescent="0.3">
      <c r="CY21793" s="34" t="s">
        <v>22720</v>
      </c>
      <c r="CZ21793" s="35">
        <v>7.1394140000000002E-3</v>
      </c>
    </row>
    <row r="21794" spans="103:104" x14ac:dyDescent="0.3">
      <c r="CY21794" s="34" t="s">
        <v>22721</v>
      </c>
      <c r="CZ21794" s="35">
        <v>0.25792591999999998</v>
      </c>
    </row>
    <row r="21795" spans="103:104" x14ac:dyDescent="0.3">
      <c r="CY21795" s="34" t="s">
        <v>22722</v>
      </c>
      <c r="CZ21795" s="35">
        <v>0.31666521600000008</v>
      </c>
    </row>
    <row r="21796" spans="103:104" x14ac:dyDescent="0.3">
      <c r="CY21796" s="34" t="s">
        <v>22723</v>
      </c>
      <c r="CZ21796" s="35">
        <v>6.5782525199999997E-2</v>
      </c>
    </row>
    <row r="21797" spans="103:104" x14ac:dyDescent="0.3">
      <c r="CY21797" s="34" t="s">
        <v>22724</v>
      </c>
      <c r="CZ21797" s="35">
        <v>0.14100252520000001</v>
      </c>
    </row>
    <row r="21798" spans="103:104" x14ac:dyDescent="0.3">
      <c r="CY21798" s="34" t="s">
        <v>22725</v>
      </c>
      <c r="CZ21798" s="35">
        <v>3.2895111204545454E-3</v>
      </c>
    </row>
    <row r="21799" spans="103:104" x14ac:dyDescent="0.3">
      <c r="CY21799" s="34" t="s">
        <v>22726</v>
      </c>
      <c r="CZ21799" s="35">
        <v>1.2746809714285713E-2</v>
      </c>
    </row>
    <row r="21800" spans="103:104" x14ac:dyDescent="0.3">
      <c r="CY21800" s="34" t="s">
        <v>22727</v>
      </c>
      <c r="CZ21800" s="35">
        <v>1.1802183272727274E-2</v>
      </c>
    </row>
    <row r="21801" spans="103:104" x14ac:dyDescent="0.3">
      <c r="CY21801" s="34" t="s">
        <v>22728</v>
      </c>
      <c r="CZ21801" s="35">
        <v>1.2053482857142857E-2</v>
      </c>
    </row>
    <row r="21802" spans="103:104" x14ac:dyDescent="0.3">
      <c r="CY21802" s="34" t="s">
        <v>22729</v>
      </c>
      <c r="CZ21802" s="35">
        <v>3.6208542613636366E-3</v>
      </c>
    </row>
    <row r="21803" spans="103:104" x14ac:dyDescent="0.3">
      <c r="CY21803" s="34" t="s">
        <v>22730</v>
      </c>
      <c r="CZ21803" s="35">
        <v>9.8834461428571434E-3</v>
      </c>
    </row>
    <row r="21804" spans="103:104" x14ac:dyDescent="0.3">
      <c r="CY21804" s="34" t="s">
        <v>22731</v>
      </c>
      <c r="CZ21804" s="35">
        <v>7.6885697160000002E-2</v>
      </c>
    </row>
    <row r="21805" spans="103:104" x14ac:dyDescent="0.3">
      <c r="CY21805" s="34" t="s">
        <v>22732</v>
      </c>
      <c r="CZ21805" s="35">
        <v>3.16929554E-2</v>
      </c>
    </row>
    <row r="21806" spans="103:104" x14ac:dyDescent="0.3">
      <c r="CY21806" s="34" t="s">
        <v>22733</v>
      </c>
      <c r="CZ21806" s="35">
        <v>3.1275410133333334E-2</v>
      </c>
    </row>
    <row r="21807" spans="103:104" x14ac:dyDescent="0.3">
      <c r="CY21807" s="34" t="s">
        <v>22734</v>
      </c>
      <c r="CZ21807" s="35">
        <v>2.0515499999999999E-2</v>
      </c>
    </row>
    <row r="21808" spans="103:104" x14ac:dyDescent="0.3">
      <c r="CY21808" s="34" t="s">
        <v>22735</v>
      </c>
      <c r="CZ21808" s="35">
        <v>2.0515499999999999E-2</v>
      </c>
    </row>
    <row r="21809" spans="103:104" x14ac:dyDescent="0.3">
      <c r="CY21809" s="34" t="s">
        <v>22736</v>
      </c>
      <c r="CZ21809" s="35">
        <v>6.0880000000000005E-3</v>
      </c>
    </row>
    <row r="21810" spans="103:104" x14ac:dyDescent="0.3">
      <c r="CY21810" s="34" t="s">
        <v>22737</v>
      </c>
      <c r="CZ21810" s="35">
        <v>1.5769176000000003E-2</v>
      </c>
    </row>
    <row r="21811" spans="103:104" x14ac:dyDescent="0.3">
      <c r="CY21811" s="34" t="s">
        <v>22738</v>
      </c>
      <c r="CZ21811" s="35">
        <v>1.5769176000000003E-2</v>
      </c>
    </row>
    <row r="21812" spans="103:104" x14ac:dyDescent="0.3">
      <c r="CY21812" s="34" t="s">
        <v>22739</v>
      </c>
      <c r="CZ21812" s="35">
        <v>6.4045266599999998E-3</v>
      </c>
    </row>
    <row r="21813" spans="103:104" x14ac:dyDescent="0.3">
      <c r="CY21813" s="34" t="s">
        <v>22740</v>
      </c>
      <c r="CZ21813" s="35">
        <v>6.7544866600000005E-3</v>
      </c>
    </row>
    <row r="21814" spans="103:104" x14ac:dyDescent="0.3">
      <c r="CY21814" s="34" t="s">
        <v>22741</v>
      </c>
      <c r="CZ21814" s="35">
        <v>6.7544866600000005E-3</v>
      </c>
    </row>
    <row r="21815" spans="103:104" x14ac:dyDescent="0.3">
      <c r="CY21815" s="34" t="s">
        <v>22742</v>
      </c>
      <c r="CZ21815" s="35">
        <v>6.7544866660000005E-3</v>
      </c>
    </row>
    <row r="21816" spans="103:104" x14ac:dyDescent="0.3">
      <c r="CY21816" s="34" t="s">
        <v>22743</v>
      </c>
      <c r="CZ21816" s="35">
        <v>1.3696666600000003E-4</v>
      </c>
    </row>
    <row r="21817" spans="103:104" x14ac:dyDescent="0.3">
      <c r="CY21817" s="34" t="s">
        <v>22744</v>
      </c>
      <c r="CZ21817" s="35">
        <v>6.4045266599999989E-3</v>
      </c>
    </row>
    <row r="21818" spans="103:104" x14ac:dyDescent="0.3">
      <c r="CY21818" s="34" t="s">
        <v>22745</v>
      </c>
      <c r="CZ21818" s="35">
        <v>6.7544866599999996E-3</v>
      </c>
    </row>
    <row r="21819" spans="103:104" x14ac:dyDescent="0.3">
      <c r="CY21819" s="34" t="s">
        <v>22746</v>
      </c>
      <c r="CZ21819" s="35">
        <v>2.1328039999999999E-2</v>
      </c>
    </row>
    <row r="21820" spans="103:104" x14ac:dyDescent="0.3">
      <c r="CY21820" s="34" t="s">
        <v>22747</v>
      </c>
      <c r="CZ21820" s="35">
        <v>0.17041410240000002</v>
      </c>
    </row>
    <row r="21821" spans="103:104" x14ac:dyDescent="0.3">
      <c r="CY21821" s="34" t="s">
        <v>22748</v>
      </c>
      <c r="CZ21821" s="35">
        <v>9.9289279999999994E-2</v>
      </c>
    </row>
    <row r="21822" spans="103:104" x14ac:dyDescent="0.3">
      <c r="CY21822" s="34" t="s">
        <v>22749</v>
      </c>
      <c r="CZ21822" s="35">
        <v>1.471976E-2</v>
      </c>
    </row>
    <row r="21823" spans="103:104" x14ac:dyDescent="0.3">
      <c r="CY21823" s="34" t="s">
        <v>22750</v>
      </c>
      <c r="CZ21823" s="35">
        <v>0.26376559989999998</v>
      </c>
    </row>
    <row r="21824" spans="103:104" x14ac:dyDescent="0.3">
      <c r="CY21824" s="34" t="s">
        <v>22751</v>
      </c>
      <c r="CZ21824" s="35">
        <v>0.24481401999999999</v>
      </c>
    </row>
    <row r="21825" spans="103:104" x14ac:dyDescent="0.3">
      <c r="CY21825" s="34" t="s">
        <v>22752</v>
      </c>
      <c r="CZ21825" s="35">
        <v>2.1328039999999999E-2</v>
      </c>
    </row>
    <row r="21826" spans="103:104" x14ac:dyDescent="0.3">
      <c r="CY21826" s="34" t="s">
        <v>22753</v>
      </c>
      <c r="CZ21826" s="35">
        <v>2.7980319999999998E-4</v>
      </c>
    </row>
    <row r="21827" spans="103:104" x14ac:dyDescent="0.3">
      <c r="CY21827" s="34" t="s">
        <v>22754</v>
      </c>
      <c r="CZ21827" s="35">
        <v>1.8172296470588236E-2</v>
      </c>
    </row>
    <row r="21828" spans="103:104" x14ac:dyDescent="0.3">
      <c r="CY21828" s="34" t="s">
        <v>22755</v>
      </c>
      <c r="CZ21828" s="35">
        <v>1.8294061176470588E-2</v>
      </c>
    </row>
    <row r="21829" spans="103:104" x14ac:dyDescent="0.3">
      <c r="CY21829" s="34" t="s">
        <v>22756</v>
      </c>
      <c r="CZ21829" s="35">
        <v>1.8294061176470588E-2</v>
      </c>
    </row>
    <row r="21830" spans="103:104" x14ac:dyDescent="0.3">
      <c r="CY21830" s="34" t="s">
        <v>22757</v>
      </c>
      <c r="CZ21830" s="35">
        <v>1.8294061176470588E-2</v>
      </c>
    </row>
    <row r="21831" spans="103:104" x14ac:dyDescent="0.3">
      <c r="CY21831" s="34" t="s">
        <v>22758</v>
      </c>
      <c r="CZ21831" s="35">
        <v>1.8159480000000002E-2</v>
      </c>
    </row>
    <row r="21832" spans="103:104" x14ac:dyDescent="0.3">
      <c r="CY21832" s="34" t="s">
        <v>22759</v>
      </c>
      <c r="CZ21832" s="35">
        <v>2.2763376470588233E-2</v>
      </c>
    </row>
    <row r="21833" spans="103:104" x14ac:dyDescent="0.3">
      <c r="CY21833" s="34" t="s">
        <v>22760</v>
      </c>
      <c r="CZ21833" s="35">
        <v>2.2776192941176471E-2</v>
      </c>
    </row>
    <row r="21834" spans="103:104" x14ac:dyDescent="0.3">
      <c r="CY21834" s="34" t="s">
        <v>22761</v>
      </c>
      <c r="CZ21834" s="35">
        <v>2.2776192941176471E-2</v>
      </c>
    </row>
    <row r="21835" spans="103:104" x14ac:dyDescent="0.3">
      <c r="CY21835" s="34" t="s">
        <v>22762</v>
      </c>
      <c r="CZ21835" s="35">
        <v>2.2776192941176471E-2</v>
      </c>
    </row>
    <row r="21836" spans="103:104" x14ac:dyDescent="0.3">
      <c r="CY21836" s="34" t="s">
        <v>22763</v>
      </c>
      <c r="CZ21836" s="35">
        <v>8.746911999999999E-3</v>
      </c>
    </row>
    <row r="21837" spans="103:104" x14ac:dyDescent="0.3">
      <c r="CY21837" s="34" t="s">
        <v>22764</v>
      </c>
      <c r="CZ21837" s="35">
        <v>4.1992550000000007E-3</v>
      </c>
    </row>
    <row r="21838" spans="103:104" x14ac:dyDescent="0.3">
      <c r="CY21838" s="34" t="s">
        <v>22765</v>
      </c>
      <c r="CZ21838" s="35">
        <v>2.0488945559999996E-2</v>
      </c>
    </row>
    <row r="21839" spans="103:104" x14ac:dyDescent="0.3">
      <c r="CY21839" s="34" t="s">
        <v>22766</v>
      </c>
      <c r="CZ21839" s="35">
        <v>0.24173032010000001</v>
      </c>
    </row>
    <row r="21840" spans="103:104" x14ac:dyDescent="0.3">
      <c r="CY21840" s="34" t="s">
        <v>22767</v>
      </c>
      <c r="CZ21840" s="35">
        <v>0.52559706400000006</v>
      </c>
    </row>
    <row r="21841" spans="103:104" x14ac:dyDescent="0.3">
      <c r="CY21841" s="34" t="s">
        <v>22768</v>
      </c>
      <c r="CZ21841" s="35">
        <v>0.52559706400000006</v>
      </c>
    </row>
    <row r="21842" spans="103:104" x14ac:dyDescent="0.3">
      <c r="CY21842" s="34" t="s">
        <v>22769</v>
      </c>
      <c r="CZ21842" s="35">
        <v>0.5372072080000001</v>
      </c>
    </row>
    <row r="21843" spans="103:104" x14ac:dyDescent="0.3">
      <c r="CY21843" s="34" t="s">
        <v>22770</v>
      </c>
      <c r="CZ21843" s="35">
        <v>0.5372072080000001</v>
      </c>
    </row>
    <row r="21844" spans="103:104" x14ac:dyDescent="0.3">
      <c r="CY21844" s="34" t="s">
        <v>22771</v>
      </c>
      <c r="CZ21844" s="35">
        <v>1.3855216620000001E-2</v>
      </c>
    </row>
    <row r="21845" spans="103:104" x14ac:dyDescent="0.3">
      <c r="CY21845" s="34" t="s">
        <v>22772</v>
      </c>
      <c r="CZ21845" s="35">
        <v>9.6572083333333336E-2</v>
      </c>
    </row>
    <row r="21846" spans="103:104" x14ac:dyDescent="0.3">
      <c r="CY21846" s="34" t="s">
        <v>22773</v>
      </c>
      <c r="CZ21846" s="35">
        <v>0.10131348958333333</v>
      </c>
    </row>
    <row r="21847" spans="103:104" x14ac:dyDescent="0.3">
      <c r="CY21847" s="34" t="s">
        <v>22774</v>
      </c>
      <c r="CZ21847" s="35">
        <v>0.11055927333333333</v>
      </c>
    </row>
    <row r="21848" spans="103:104" x14ac:dyDescent="0.3">
      <c r="CY21848" s="34" t="s">
        <v>22775</v>
      </c>
      <c r="CZ21848" s="35">
        <v>3.5453132000000002E-4</v>
      </c>
    </row>
    <row r="21849" spans="103:104" x14ac:dyDescent="0.3">
      <c r="CY21849" s="34" t="s">
        <v>22776</v>
      </c>
      <c r="CZ21849" s="35">
        <v>1.3162830042857141E-3</v>
      </c>
    </row>
    <row r="21850" spans="103:104" x14ac:dyDescent="0.3">
      <c r="CY21850" s="34" t="s">
        <v>22777</v>
      </c>
      <c r="CZ21850" s="35">
        <v>5.1750000000000006E-4</v>
      </c>
    </row>
    <row r="21851" spans="103:104" x14ac:dyDescent="0.3">
      <c r="CY21851" s="34" t="s">
        <v>22778</v>
      </c>
      <c r="CZ21851" s="35">
        <v>3.8820174857142854E-3</v>
      </c>
    </row>
    <row r="21852" spans="103:104" x14ac:dyDescent="0.3">
      <c r="CY21852" s="34" t="s">
        <v>22779</v>
      </c>
      <c r="CZ21852" s="35">
        <v>3.8914E-4</v>
      </c>
    </row>
    <row r="21853" spans="103:104" x14ac:dyDescent="0.3">
      <c r="CY21853" s="34" t="s">
        <v>22780</v>
      </c>
      <c r="CZ21853" s="35">
        <v>1.2485304999999999E-2</v>
      </c>
    </row>
    <row r="21854" spans="103:104" x14ac:dyDescent="0.3">
      <c r="CY21854" s="34" t="s">
        <v>22781</v>
      </c>
      <c r="CZ21854" s="35">
        <v>6.3094626999999999E-3</v>
      </c>
    </row>
    <row r="21855" spans="103:104" x14ac:dyDescent="0.3">
      <c r="CY21855" s="34" t="s">
        <v>22782</v>
      </c>
      <c r="CZ21855" s="35">
        <v>0.23986003999999997</v>
      </c>
    </row>
    <row r="21856" spans="103:104" x14ac:dyDescent="0.3">
      <c r="CY21856" s="34" t="s">
        <v>22783</v>
      </c>
      <c r="CZ21856" s="35">
        <v>0.13120865600000001</v>
      </c>
    </row>
    <row r="21857" spans="103:104" x14ac:dyDescent="0.3">
      <c r="CY21857" s="34" t="s">
        <v>22784</v>
      </c>
      <c r="CZ21857" s="35">
        <v>0.15243204800000001</v>
      </c>
    </row>
    <row r="21858" spans="103:104" x14ac:dyDescent="0.3">
      <c r="CY21858" s="34" t="s">
        <v>22785</v>
      </c>
      <c r="CZ21858" s="35">
        <v>1.2177151665E-2</v>
      </c>
    </row>
    <row r="21859" spans="103:104" x14ac:dyDescent="0.3">
      <c r="CY21859" s="34" t="s">
        <v>22786</v>
      </c>
      <c r="CZ21859" s="35">
        <v>8.8391666665000007E-2</v>
      </c>
    </row>
    <row r="21860" spans="103:104" x14ac:dyDescent="0.3">
      <c r="CY21860" s="34" t="s">
        <v>22787</v>
      </c>
      <c r="CZ21860" s="35">
        <v>1.28302E-2</v>
      </c>
    </row>
    <row r="21861" spans="103:104" x14ac:dyDescent="0.3">
      <c r="CY21861" s="34" t="s">
        <v>22788</v>
      </c>
      <c r="CZ21861" s="35">
        <v>7.8664705882352951E-4</v>
      </c>
    </row>
    <row r="21862" spans="103:104" x14ac:dyDescent="0.3">
      <c r="CY21862" s="34" t="s">
        <v>22789</v>
      </c>
      <c r="CZ21862" s="35">
        <v>8.6634640000000013E-2</v>
      </c>
    </row>
    <row r="21863" spans="103:104" x14ac:dyDescent="0.3">
      <c r="CY21863" s="34" t="s">
        <v>22790</v>
      </c>
      <c r="CZ21863" s="35">
        <v>4.3859300000000006E-3</v>
      </c>
    </row>
    <row r="21864" spans="103:104" x14ac:dyDescent="0.3">
      <c r="CY21864" s="34" t="s">
        <v>22791</v>
      </c>
      <c r="CZ21864" s="35">
        <v>9.6719144077199986E-3</v>
      </c>
    </row>
    <row r="21865" spans="103:104" x14ac:dyDescent="0.3">
      <c r="CY21865" s="34" t="s">
        <v>22792</v>
      </c>
      <c r="CZ21865" s="35">
        <v>7.8494076571428581E-2</v>
      </c>
    </row>
    <row r="21866" spans="103:104" x14ac:dyDescent="0.3">
      <c r="CY21866" s="34" t="s">
        <v>22793</v>
      </c>
      <c r="CZ21866" s="35">
        <v>0.1157234662105263</v>
      </c>
    </row>
    <row r="21867" spans="103:104" x14ac:dyDescent="0.3">
      <c r="CY21867" s="34" t="s">
        <v>22794</v>
      </c>
      <c r="CZ21867" s="35">
        <v>0.20195677999999997</v>
      </c>
    </row>
    <row r="21868" spans="103:104" x14ac:dyDescent="0.3">
      <c r="CY21868" s="34" t="s">
        <v>22795</v>
      </c>
      <c r="CZ21868" s="35">
        <v>6.675110133333334E-2</v>
      </c>
    </row>
    <row r="21869" spans="103:104" x14ac:dyDescent="0.3">
      <c r="CY21869" s="34" t="s">
        <v>22796</v>
      </c>
      <c r="CZ21869" s="35">
        <v>0.14982258800000001</v>
      </c>
    </row>
    <row r="21870" spans="103:104" x14ac:dyDescent="0.3">
      <c r="CY21870" s="34" t="s">
        <v>22797</v>
      </c>
      <c r="CZ21870" s="35">
        <v>9.053177200000001E-2</v>
      </c>
    </row>
    <row r="21871" spans="103:104" x14ac:dyDescent="0.3">
      <c r="CY21871" s="34" t="s">
        <v>22798</v>
      </c>
      <c r="CZ21871" s="35">
        <v>5.5422159999999998E-2</v>
      </c>
    </row>
    <row r="21872" spans="103:104" x14ac:dyDescent="0.3">
      <c r="CY21872" s="34" t="s">
        <v>22799</v>
      </c>
      <c r="CZ21872" s="35">
        <v>5.0756492E-2</v>
      </c>
    </row>
    <row r="21873" spans="103:104" x14ac:dyDescent="0.3">
      <c r="CY21873" s="34" t="s">
        <v>22800</v>
      </c>
      <c r="CZ21873" s="35">
        <v>2.6077840526653816E-2</v>
      </c>
    </row>
    <row r="21874" spans="103:104" x14ac:dyDescent="0.3">
      <c r="CY21874" s="34" t="s">
        <v>22801</v>
      </c>
      <c r="CZ21874" s="35">
        <v>4.6940112947976884E-2</v>
      </c>
    </row>
    <row r="21875" spans="103:104" x14ac:dyDescent="0.3">
      <c r="CY21875" s="34" t="s">
        <v>22802</v>
      </c>
      <c r="CZ21875" s="35">
        <v>4.6940112947976891E-2</v>
      </c>
    </row>
    <row r="21876" spans="103:104" x14ac:dyDescent="0.3">
      <c r="CY21876" s="34" t="s">
        <v>22803</v>
      </c>
      <c r="CZ21876" s="35">
        <v>3.9966640526653822E-2</v>
      </c>
    </row>
    <row r="21877" spans="103:104" x14ac:dyDescent="0.3">
      <c r="CY21877" s="34" t="s">
        <v>22804</v>
      </c>
      <c r="CZ21877" s="35">
        <v>7.1939952947976893E-2</v>
      </c>
    </row>
    <row r="21878" spans="103:104" x14ac:dyDescent="0.3">
      <c r="CY21878" s="34" t="s">
        <v>22805</v>
      </c>
      <c r="CZ21878" s="35">
        <v>7.1939952947976879E-2</v>
      </c>
    </row>
    <row r="21879" spans="103:104" x14ac:dyDescent="0.3">
      <c r="CY21879" s="34" t="s">
        <v>22806</v>
      </c>
      <c r="CZ21879" s="35">
        <v>7.1939952947976893E-2</v>
      </c>
    </row>
    <row r="21880" spans="103:104" x14ac:dyDescent="0.3">
      <c r="CY21880" s="34" t="s">
        <v>22807</v>
      </c>
      <c r="CZ21880" s="35">
        <v>4.7113840526653815E-2</v>
      </c>
    </row>
    <row r="21881" spans="103:104" x14ac:dyDescent="0.3">
      <c r="CY21881" s="34" t="s">
        <v>22808</v>
      </c>
      <c r="CZ21881" s="35">
        <v>8.4804912947976888E-2</v>
      </c>
    </row>
    <row r="21882" spans="103:104" x14ac:dyDescent="0.3">
      <c r="CY21882" s="34" t="s">
        <v>22809</v>
      </c>
      <c r="CZ21882" s="35">
        <v>8.4804912947976874E-2</v>
      </c>
    </row>
    <row r="21883" spans="103:104" x14ac:dyDescent="0.3">
      <c r="CY21883" s="34" t="s">
        <v>22810</v>
      </c>
      <c r="CZ21883" s="35">
        <v>8.4804912947976888E-2</v>
      </c>
    </row>
    <row r="21884" spans="103:104" x14ac:dyDescent="0.3">
      <c r="CY21884" s="34" t="s">
        <v>22811</v>
      </c>
      <c r="CZ21884" s="35">
        <v>9.9950832947976881E-2</v>
      </c>
    </row>
    <row r="21885" spans="103:104" x14ac:dyDescent="0.3">
      <c r="CY21885" s="34" t="s">
        <v>22812</v>
      </c>
      <c r="CZ21885" s="35">
        <v>9.9950832947976881E-2</v>
      </c>
    </row>
    <row r="21886" spans="103:104" x14ac:dyDescent="0.3">
      <c r="CY21886" s="34" t="s">
        <v>22813</v>
      </c>
      <c r="CZ21886" s="35">
        <v>5.5528240526653817E-2</v>
      </c>
    </row>
    <row r="21887" spans="103:104" x14ac:dyDescent="0.3">
      <c r="CY21887" s="34" t="s">
        <v>22814</v>
      </c>
      <c r="CZ21887" s="35">
        <v>9.9950832947976881E-2</v>
      </c>
    </row>
    <row r="21888" spans="103:104" x14ac:dyDescent="0.3">
      <c r="CY21888" s="34" t="s">
        <v>22815</v>
      </c>
      <c r="CZ21888" s="35">
        <v>9.9950832947976881E-2</v>
      </c>
    </row>
    <row r="21889" spans="103:104" x14ac:dyDescent="0.3">
      <c r="CY21889" s="34" t="s">
        <v>22816</v>
      </c>
      <c r="CZ21889" s="35">
        <v>5.6527151637764929E-2</v>
      </c>
    </row>
    <row r="21890" spans="103:104" x14ac:dyDescent="0.3">
      <c r="CY21890" s="34" t="s">
        <v>22817</v>
      </c>
      <c r="CZ21890" s="35">
        <v>0.1017488729479769</v>
      </c>
    </row>
    <row r="21891" spans="103:104" x14ac:dyDescent="0.3">
      <c r="CY21891" s="34" t="s">
        <v>22818</v>
      </c>
      <c r="CZ21891" s="35">
        <v>0.10174887294797688</v>
      </c>
    </row>
    <row r="21892" spans="103:104" x14ac:dyDescent="0.3">
      <c r="CY21892" s="34" t="s">
        <v>22819</v>
      </c>
      <c r="CZ21892" s="35">
        <v>0.1099883129479769</v>
      </c>
    </row>
    <row r="21893" spans="103:104" x14ac:dyDescent="0.3">
      <c r="CY21893" s="34" t="s">
        <v>22820</v>
      </c>
      <c r="CZ21893" s="35">
        <v>6.6358234605009642E-2</v>
      </c>
    </row>
    <row r="21894" spans="103:104" x14ac:dyDescent="0.3">
      <c r="CY21894" s="34" t="s">
        <v>22821</v>
      </c>
      <c r="CZ21894" s="35">
        <v>0.10783419819047618</v>
      </c>
    </row>
    <row r="21895" spans="103:104" x14ac:dyDescent="0.3">
      <c r="CY21895" s="34" t="s">
        <v>22822</v>
      </c>
      <c r="CZ21895" s="35">
        <v>0.11918322599999999</v>
      </c>
    </row>
    <row r="21896" spans="103:104" x14ac:dyDescent="0.3">
      <c r="CY21896" s="34" t="s">
        <v>22823</v>
      </c>
      <c r="CZ21896" s="35">
        <v>0.36187186888888889</v>
      </c>
    </row>
    <row r="21897" spans="103:104" x14ac:dyDescent="0.3">
      <c r="CY21897" s="34" t="s">
        <v>22824</v>
      </c>
      <c r="CZ21897" s="35">
        <v>1.3274266666666666E-3</v>
      </c>
    </row>
    <row r="21898" spans="103:104" x14ac:dyDescent="0.3">
      <c r="CY21898" s="34" t="s">
        <v>22825</v>
      </c>
      <c r="CZ21898" s="35">
        <v>0.15333963</v>
      </c>
    </row>
    <row r="21899" spans="103:104" x14ac:dyDescent="0.3">
      <c r="CY21899" s="34" t="s">
        <v>22826</v>
      </c>
      <c r="CZ21899" s="35">
        <v>7.7757599999999996E-3</v>
      </c>
    </row>
    <row r="21900" spans="103:104" x14ac:dyDescent="0.3">
      <c r="CY21900" s="34" t="s">
        <v>22827</v>
      </c>
      <c r="CZ21900" s="35">
        <v>3.4494480000000002E-4</v>
      </c>
    </row>
    <row r="21901" spans="103:104" x14ac:dyDescent="0.3">
      <c r="CY21901" s="34" t="s">
        <v>22828</v>
      </c>
      <c r="CZ21901" s="35">
        <v>1.597165666E-2</v>
      </c>
    </row>
    <row r="21902" spans="103:104" x14ac:dyDescent="0.3">
      <c r="CY21902" s="34" t="s">
        <v>22829</v>
      </c>
      <c r="CZ21902" s="35">
        <v>1.9717064999999999E-2</v>
      </c>
    </row>
    <row r="21903" spans="103:104" x14ac:dyDescent="0.3">
      <c r="CY21903" s="34" t="s">
        <v>22830</v>
      </c>
      <c r="CZ21903" s="35">
        <v>5.0138200000000001E-2</v>
      </c>
    </row>
    <row r="21904" spans="103:104" x14ac:dyDescent="0.3">
      <c r="CY21904" s="34" t="s">
        <v>22831</v>
      </c>
      <c r="CZ21904" s="35">
        <v>0.23422936000000003</v>
      </c>
    </row>
    <row r="21905" spans="103:104" x14ac:dyDescent="0.3">
      <c r="CY21905" s="34" t="s">
        <v>22832</v>
      </c>
      <c r="CZ21905" s="35">
        <v>0.35271943335294115</v>
      </c>
    </row>
    <row r="21906" spans="103:104" x14ac:dyDescent="0.3">
      <c r="CY21906" s="34" t="s">
        <v>22833</v>
      </c>
      <c r="CZ21906" s="35">
        <v>1.77641E-3</v>
      </c>
    </row>
    <row r="21907" spans="103:104" x14ac:dyDescent="0.3">
      <c r="CY21907" s="34" t="s">
        <v>22834</v>
      </c>
      <c r="CZ21907" s="35">
        <v>0.24571937516675002</v>
      </c>
    </row>
    <row r="21908" spans="103:104" x14ac:dyDescent="0.3">
      <c r="CY21908" s="34" t="s">
        <v>22835</v>
      </c>
      <c r="CZ21908" s="35">
        <v>0.34463929999999998</v>
      </c>
    </row>
    <row r="21909" spans="103:104" x14ac:dyDescent="0.3">
      <c r="CY21909" s="34" t="s">
        <v>22836</v>
      </c>
      <c r="CZ21909" s="35">
        <v>1.152852E-2</v>
      </c>
    </row>
    <row r="21910" spans="103:104" x14ac:dyDescent="0.3">
      <c r="CY21910" s="34" t="s">
        <v>22837</v>
      </c>
      <c r="CZ21910" s="35">
        <v>1.1528520000000002E-2</v>
      </c>
    </row>
    <row r="21911" spans="103:104" x14ac:dyDescent="0.3">
      <c r="CY21911" s="34" t="s">
        <v>22838</v>
      </c>
      <c r="CZ21911" s="35">
        <v>1.3485000000000001E-3</v>
      </c>
    </row>
    <row r="21912" spans="103:104" x14ac:dyDescent="0.3">
      <c r="CY21912" s="34" t="s">
        <v>22839</v>
      </c>
      <c r="CZ21912" s="35">
        <v>1.0471999999999999E-3</v>
      </c>
    </row>
    <row r="21913" spans="103:104" x14ac:dyDescent="0.3">
      <c r="CY21913" s="34" t="s">
        <v>22840</v>
      </c>
      <c r="CZ21913" s="35">
        <v>2.6176872000000001E-3</v>
      </c>
    </row>
    <row r="21914" spans="103:104" x14ac:dyDescent="0.3">
      <c r="CY21914" s="34" t="s">
        <v>22841</v>
      </c>
      <c r="CZ21914" s="35">
        <v>2.6226599999999997E-3</v>
      </c>
    </row>
    <row r="21915" spans="103:104" x14ac:dyDescent="0.3">
      <c r="CY21915" s="34" t="s">
        <v>22842</v>
      </c>
      <c r="CZ21915" s="35">
        <v>3.4509208E-3</v>
      </c>
    </row>
    <row r="21916" spans="103:104" x14ac:dyDescent="0.3">
      <c r="CY21916" s="34" t="s">
        <v>22843</v>
      </c>
      <c r="CZ21916" s="35">
        <v>1.3643599999999999E-2</v>
      </c>
    </row>
    <row r="21917" spans="103:104" x14ac:dyDescent="0.3">
      <c r="CY21917" s="34" t="s">
        <v>22844</v>
      </c>
      <c r="CZ21917" s="35">
        <v>1.355254E-2</v>
      </c>
    </row>
    <row r="21918" spans="103:104" x14ac:dyDescent="0.3">
      <c r="CY21918" s="34" t="s">
        <v>22845</v>
      </c>
      <c r="CZ21918" s="35">
        <v>9.9897999999999983E-3</v>
      </c>
    </row>
    <row r="21919" spans="103:104" x14ac:dyDescent="0.3">
      <c r="CY21919" s="34" t="s">
        <v>22846</v>
      </c>
      <c r="CZ21919" s="35">
        <v>9.4578800000000003E-4</v>
      </c>
    </row>
    <row r="21920" spans="103:104" x14ac:dyDescent="0.3">
      <c r="CY21920" s="34" t="s">
        <v>22847</v>
      </c>
      <c r="CZ21920" s="35">
        <v>2.3839999999999999E-5</v>
      </c>
    </row>
    <row r="21921" spans="103:104" x14ac:dyDescent="0.3">
      <c r="CY21921" s="34" t="s">
        <v>22848</v>
      </c>
      <c r="CZ21921" s="35">
        <v>7.0356399999999995E-4</v>
      </c>
    </row>
    <row r="21922" spans="103:104" x14ac:dyDescent="0.3">
      <c r="CY21922" s="34" t="s">
        <v>22849</v>
      </c>
      <c r="CZ21922" s="35">
        <v>6.2635239999999997E-4</v>
      </c>
    </row>
    <row r="21923" spans="103:104" x14ac:dyDescent="0.3">
      <c r="CY21923" s="34" t="s">
        <v>22850</v>
      </c>
      <c r="CZ21923" s="35">
        <v>7.5461062499999995E-2</v>
      </c>
    </row>
    <row r="21924" spans="103:104" x14ac:dyDescent="0.3">
      <c r="CY21924" s="34" t="s">
        <v>22851</v>
      </c>
      <c r="CZ21924" s="35">
        <v>7.22023111E-2</v>
      </c>
    </row>
    <row r="21925" spans="103:104" x14ac:dyDescent="0.3">
      <c r="CY21925" s="34" t="s">
        <v>22852</v>
      </c>
      <c r="CZ21925" s="35">
        <v>7.22023111E-2</v>
      </c>
    </row>
    <row r="21926" spans="103:104" x14ac:dyDescent="0.3">
      <c r="CY21926" s="34" t="s">
        <v>22853</v>
      </c>
      <c r="CZ21926" s="35">
        <v>2.7182495860000003E-2</v>
      </c>
    </row>
    <row r="21927" spans="103:104" x14ac:dyDescent="0.3">
      <c r="CY21927" s="34" t="s">
        <v>22854</v>
      </c>
      <c r="CZ21927" s="35">
        <v>9.371773600000001E-2</v>
      </c>
    </row>
    <row r="21928" spans="103:104" x14ac:dyDescent="0.3">
      <c r="CY21928" s="34" t="s">
        <v>22855</v>
      </c>
      <c r="CZ21928" s="35">
        <v>2.2620864000000004E-2</v>
      </c>
    </row>
    <row r="21929" spans="103:104" x14ac:dyDescent="0.3">
      <c r="CY21929" s="34" t="s">
        <v>22856</v>
      </c>
      <c r="CZ21929" s="35">
        <v>3.6293060000000001E-3</v>
      </c>
    </row>
    <row r="21930" spans="103:104" x14ac:dyDescent="0.3">
      <c r="CY21930" s="34" t="s">
        <v>22857</v>
      </c>
      <c r="CZ21930" s="35">
        <v>4.5180400000000009E-3</v>
      </c>
    </row>
    <row r="21931" spans="103:104" x14ac:dyDescent="0.3">
      <c r="CY21931" s="34" t="s">
        <v>22858</v>
      </c>
      <c r="CZ21931" s="35">
        <v>4.5025920000000006E-3</v>
      </c>
    </row>
    <row r="21932" spans="103:104" x14ac:dyDescent="0.3">
      <c r="CY21932" s="34" t="s">
        <v>22859</v>
      </c>
      <c r="CZ21932" s="35">
        <v>2.9026688E-3</v>
      </c>
    </row>
    <row r="21933" spans="103:104" x14ac:dyDescent="0.3">
      <c r="CY21933" s="34" t="s">
        <v>22860</v>
      </c>
      <c r="CZ21933" s="35">
        <v>5.4300240000000003E-3</v>
      </c>
    </row>
    <row r="21934" spans="103:104" x14ac:dyDescent="0.3">
      <c r="CY21934" s="34" t="s">
        <v>22861</v>
      </c>
      <c r="CZ21934" s="35">
        <v>4.1443231999999997E-2</v>
      </c>
    </row>
    <row r="21935" spans="103:104" x14ac:dyDescent="0.3">
      <c r="CY21935" s="34" t="s">
        <v>22862</v>
      </c>
      <c r="CZ21935" s="35">
        <v>7.9899359999999996E-3</v>
      </c>
    </row>
    <row r="21936" spans="103:104" x14ac:dyDescent="0.3">
      <c r="CY21936" s="34" t="s">
        <v>22863</v>
      </c>
      <c r="CZ21936" s="35">
        <v>7.8169999999999993E-3</v>
      </c>
    </row>
    <row r="21937" spans="103:104" x14ac:dyDescent="0.3">
      <c r="CY21937" s="34" t="s">
        <v>22864</v>
      </c>
      <c r="CZ21937" s="35">
        <v>4.587716E-4</v>
      </c>
    </row>
    <row r="21938" spans="103:104" x14ac:dyDescent="0.3">
      <c r="CY21938" s="34" t="s">
        <v>22865</v>
      </c>
      <c r="CZ21938" s="35">
        <v>3.5905935999999999E-2</v>
      </c>
    </row>
    <row r="21939" spans="103:104" x14ac:dyDescent="0.3">
      <c r="CY21939" s="34" t="s">
        <v>22866</v>
      </c>
      <c r="CZ21939" s="35">
        <v>0.13781053000000001</v>
      </c>
    </row>
    <row r="21940" spans="103:104" x14ac:dyDescent="0.3">
      <c r="CY21940" s="34" t="s">
        <v>22867</v>
      </c>
      <c r="CZ21940" s="35">
        <v>3.5905935999999999E-2</v>
      </c>
    </row>
    <row r="21941" spans="103:104" x14ac:dyDescent="0.3">
      <c r="CY21941" s="34" t="s">
        <v>22868</v>
      </c>
      <c r="CZ21941" s="35">
        <v>0.13781053000000001</v>
      </c>
    </row>
    <row r="21942" spans="103:104" x14ac:dyDescent="0.3">
      <c r="CY21942" s="34" t="s">
        <v>22869</v>
      </c>
      <c r="CZ21942" s="35">
        <v>1.43750474E-2</v>
      </c>
    </row>
    <row r="21943" spans="103:104" x14ac:dyDescent="0.3">
      <c r="CY21943" s="34" t="s">
        <v>22870</v>
      </c>
      <c r="CZ21943" s="35">
        <v>0.16308364444444445</v>
      </c>
    </row>
    <row r="21944" spans="103:104" x14ac:dyDescent="0.3">
      <c r="CY21944" s="34" t="s">
        <v>22871</v>
      </c>
      <c r="CZ21944" s="35">
        <v>1.0458055999999999E-2</v>
      </c>
    </row>
    <row r="21945" spans="103:104" x14ac:dyDescent="0.3">
      <c r="CY21945" s="34" t="s">
        <v>22872</v>
      </c>
      <c r="CZ21945" s="35">
        <v>0.10449466</v>
      </c>
    </row>
    <row r="21946" spans="103:104" x14ac:dyDescent="0.3">
      <c r="CY21946" s="34" t="s">
        <v>22873</v>
      </c>
      <c r="CZ21946" s="35">
        <v>7.31049E-4</v>
      </c>
    </row>
    <row r="21947" spans="103:104" x14ac:dyDescent="0.3">
      <c r="CY21947" s="34" t="s">
        <v>22874</v>
      </c>
      <c r="CZ21947" s="35">
        <v>2.2311879999999999E-2</v>
      </c>
    </row>
    <row r="21948" spans="103:104" x14ac:dyDescent="0.3">
      <c r="CY21948" s="34" t="s">
        <v>22875</v>
      </c>
      <c r="CZ21948" s="35">
        <v>7.880471999999999E-4</v>
      </c>
    </row>
    <row r="21949" spans="103:104" x14ac:dyDescent="0.3">
      <c r="CY21949" s="34" t="s">
        <v>22876</v>
      </c>
      <c r="CZ21949" s="35">
        <v>9.5907500000000003E-3</v>
      </c>
    </row>
    <row r="21950" spans="103:104" x14ac:dyDescent="0.3">
      <c r="CY21950" s="34" t="s">
        <v>22877</v>
      </c>
      <c r="CZ21950" s="35">
        <v>1.9315699999999998E-2</v>
      </c>
    </row>
    <row r="21951" spans="103:104" x14ac:dyDescent="0.3">
      <c r="CY21951" s="34" t="s">
        <v>22878</v>
      </c>
      <c r="CZ21951" s="35">
        <v>6.3685999999999993E-2</v>
      </c>
    </row>
    <row r="21952" spans="103:104" x14ac:dyDescent="0.3">
      <c r="CY21952" s="34" t="s">
        <v>22879</v>
      </c>
      <c r="CZ21952" s="35">
        <v>5.6643954999999996E-2</v>
      </c>
    </row>
    <row r="21953" spans="103:104" x14ac:dyDescent="0.3">
      <c r="CY21953" s="34" t="s">
        <v>22880</v>
      </c>
      <c r="CZ21953" s="35">
        <v>9.5614500000000005E-2</v>
      </c>
    </row>
    <row r="21954" spans="103:104" x14ac:dyDescent="0.3">
      <c r="CY21954" s="34" t="s">
        <v>22881</v>
      </c>
      <c r="CZ21954" s="35">
        <v>1.7756896000000001E-2</v>
      </c>
    </row>
    <row r="21955" spans="103:104" x14ac:dyDescent="0.3">
      <c r="CY21955" s="34" t="s">
        <v>22882</v>
      </c>
      <c r="CZ21955" s="35">
        <v>9.963971999999998E-3</v>
      </c>
    </row>
    <row r="21956" spans="103:104" x14ac:dyDescent="0.3">
      <c r="CY21956" s="34" t="s">
        <v>22883</v>
      </c>
      <c r="CZ21956" s="35">
        <v>5.0124025000000006E-3</v>
      </c>
    </row>
    <row r="21957" spans="103:104" x14ac:dyDescent="0.3">
      <c r="CY21957" s="34" t="s">
        <v>22884</v>
      </c>
      <c r="CZ21957" s="35">
        <v>5.012402E-3</v>
      </c>
    </row>
    <row r="21958" spans="103:104" x14ac:dyDescent="0.3">
      <c r="CY21958" s="34" t="s">
        <v>22885</v>
      </c>
      <c r="CZ21958" s="35">
        <v>4.9371065000000007E-3</v>
      </c>
    </row>
    <row r="21959" spans="103:104" x14ac:dyDescent="0.3">
      <c r="CY21959" s="34" t="s">
        <v>22886</v>
      </c>
      <c r="CZ21959" s="35">
        <v>4.9405999999999999E-3</v>
      </c>
    </row>
    <row r="21960" spans="103:104" x14ac:dyDescent="0.3">
      <c r="CY21960" s="34" t="s">
        <v>22887</v>
      </c>
      <c r="CZ21960" s="35">
        <v>4.4511759999999994E-3</v>
      </c>
    </row>
    <row r="21961" spans="103:104" x14ac:dyDescent="0.3">
      <c r="CY21961" s="34" t="s">
        <v>22888</v>
      </c>
      <c r="CZ21961" s="35">
        <v>0.37805139999999998</v>
      </c>
    </row>
    <row r="21962" spans="103:104" x14ac:dyDescent="0.3">
      <c r="CY21962" s="34" t="s">
        <v>22889</v>
      </c>
      <c r="CZ21962" s="35">
        <v>3.8189767999999992E-2</v>
      </c>
    </row>
    <row r="21963" spans="103:104" x14ac:dyDescent="0.3">
      <c r="CY21963" s="34" t="s">
        <v>22890</v>
      </c>
      <c r="CZ21963" s="35">
        <v>1.3472944000000001E-2</v>
      </c>
    </row>
    <row r="21964" spans="103:104" x14ac:dyDescent="0.3">
      <c r="CY21964" s="34" t="s">
        <v>22891</v>
      </c>
      <c r="CZ21964" s="35">
        <v>4.8797719999999992E-3</v>
      </c>
    </row>
    <row r="21965" spans="103:104" x14ac:dyDescent="0.3">
      <c r="CY21965" s="34" t="s">
        <v>22892</v>
      </c>
      <c r="CZ21965" s="35">
        <v>1.0072639999999999E-2</v>
      </c>
    </row>
    <row r="21966" spans="103:104" x14ac:dyDescent="0.3">
      <c r="CY21966" s="34" t="s">
        <v>22893</v>
      </c>
      <c r="CZ21966" s="35">
        <v>0.15853676</v>
      </c>
    </row>
    <row r="21967" spans="103:104" x14ac:dyDescent="0.3">
      <c r="CY21967" s="34" t="s">
        <v>22894</v>
      </c>
      <c r="CZ21967" s="35">
        <v>6.9166976040000005E-3</v>
      </c>
    </row>
    <row r="21968" spans="103:104" x14ac:dyDescent="0.3">
      <c r="CY21968" s="34" t="s">
        <v>22895</v>
      </c>
      <c r="CZ21968" s="35">
        <v>5.100074285714286E-3</v>
      </c>
    </row>
    <row r="21969" spans="103:104" x14ac:dyDescent="0.3">
      <c r="CY21969" s="34" t="s">
        <v>22896</v>
      </c>
      <c r="CZ21969" s="35">
        <v>7.5964394999999997E-3</v>
      </c>
    </row>
    <row r="21970" spans="103:104" x14ac:dyDescent="0.3">
      <c r="CY21970" s="34" t="s">
        <v>22897</v>
      </c>
      <c r="CZ21970" s="35">
        <v>4.7067896000000005E-2</v>
      </c>
    </row>
    <row r="21971" spans="103:104" x14ac:dyDescent="0.3">
      <c r="CY21971" s="34" t="s">
        <v>22898</v>
      </c>
      <c r="CZ21971" s="35">
        <v>0.13102748</v>
      </c>
    </row>
    <row r="21972" spans="103:104" x14ac:dyDescent="0.3">
      <c r="CY21972" s="34" t="s">
        <v>22899</v>
      </c>
      <c r="CZ21972" s="35">
        <v>3.8485692631578951E-2</v>
      </c>
    </row>
    <row r="21973" spans="103:104" x14ac:dyDescent="0.3">
      <c r="CY21973" s="34" t="s">
        <v>22900</v>
      </c>
      <c r="CZ21973" s="35">
        <v>1.7162835555555554E-3</v>
      </c>
    </row>
    <row r="21974" spans="103:104" x14ac:dyDescent="0.3">
      <c r="CY21974" s="34" t="s">
        <v>22901</v>
      </c>
      <c r="CZ21974" s="35">
        <v>6.2088020400000003E-4</v>
      </c>
    </row>
    <row r="21975" spans="103:104" x14ac:dyDescent="0.3">
      <c r="CY21975" s="34" t="s">
        <v>22902</v>
      </c>
      <c r="CZ21975" s="35">
        <v>3.1243344E-3</v>
      </c>
    </row>
    <row r="21976" spans="103:104" x14ac:dyDescent="0.3">
      <c r="CY21976" s="34" t="s">
        <v>22903</v>
      </c>
      <c r="CZ21976" s="35">
        <v>0.28315365601020404</v>
      </c>
    </row>
    <row r="21977" spans="103:104" x14ac:dyDescent="0.3">
      <c r="CY21977" s="34" t="s">
        <v>22904</v>
      </c>
      <c r="CZ21977" s="35">
        <v>9.2999999999999999E-2</v>
      </c>
    </row>
    <row r="21978" spans="103:104" x14ac:dyDescent="0.3">
      <c r="CY21978" s="34" t="s">
        <v>22905</v>
      </c>
      <c r="CZ21978" s="35">
        <v>9.4888E-2</v>
      </c>
    </row>
    <row r="21979" spans="103:104" x14ac:dyDescent="0.3">
      <c r="CY21979" s="34" t="s">
        <v>22906</v>
      </c>
      <c r="CZ21979" s="35">
        <v>0.29068193706803064</v>
      </c>
    </row>
    <row r="21980" spans="103:104" x14ac:dyDescent="0.3">
      <c r="CY21980" s="34" t="s">
        <v>22907</v>
      </c>
      <c r="CZ21980" s="35">
        <v>0.28505161519387756</v>
      </c>
    </row>
    <row r="21981" spans="103:104" x14ac:dyDescent="0.3">
      <c r="CY21981" s="34" t="s">
        <v>22908</v>
      </c>
      <c r="CZ21981" s="35">
        <v>0.3024712453741531</v>
      </c>
    </row>
    <row r="21982" spans="103:104" x14ac:dyDescent="0.3">
      <c r="CY21982" s="34" t="s">
        <v>22909</v>
      </c>
      <c r="CZ21982" s="35">
        <v>5.3943524E-2</v>
      </c>
    </row>
    <row r="21983" spans="103:104" x14ac:dyDescent="0.3">
      <c r="CY21983" s="34" t="s">
        <v>22910</v>
      </c>
      <c r="CZ21983" s="35">
        <v>2.4165031578947366E-2</v>
      </c>
    </row>
    <row r="21984" spans="103:104" x14ac:dyDescent="0.3">
      <c r="CY21984" s="34" t="s">
        <v>22911</v>
      </c>
      <c r="CZ21984" s="35">
        <v>2.4872186799999998E-2</v>
      </c>
    </row>
    <row r="21985" spans="103:104" x14ac:dyDescent="0.3">
      <c r="CY21985" s="34" t="s">
        <v>22912</v>
      </c>
      <c r="CZ21985" s="35">
        <v>6.8179794999999998E-3</v>
      </c>
    </row>
    <row r="21986" spans="103:104" x14ac:dyDescent="0.3">
      <c r="CY21986" s="34" t="s">
        <v>22913</v>
      </c>
      <c r="CZ21986" s="35">
        <v>3.1155160000000001E-2</v>
      </c>
    </row>
    <row r="21987" spans="103:104" x14ac:dyDescent="0.3">
      <c r="CY21987" s="34" t="s">
        <v>22914</v>
      </c>
      <c r="CZ21987" s="35">
        <v>3.0209340000000003E-3</v>
      </c>
    </row>
    <row r="21988" spans="103:104" x14ac:dyDescent="0.3">
      <c r="CY21988" s="34" t="s">
        <v>22915</v>
      </c>
      <c r="CZ21988" s="35">
        <v>2.3343159999999999E-3</v>
      </c>
    </row>
    <row r="21989" spans="103:104" x14ac:dyDescent="0.3">
      <c r="CY21989" s="34" t="s">
        <v>22916</v>
      </c>
      <c r="CZ21989" s="35">
        <v>3.6890160000000003E-3</v>
      </c>
    </row>
    <row r="21990" spans="103:104" x14ac:dyDescent="0.3">
      <c r="CY21990" s="34" t="s">
        <v>22917</v>
      </c>
      <c r="CZ21990" s="35">
        <v>6.1329166666666671E-2</v>
      </c>
    </row>
    <row r="21991" spans="103:104" x14ac:dyDescent="0.3">
      <c r="CY21991" s="34" t="s">
        <v>22918</v>
      </c>
      <c r="CZ21991" s="35">
        <v>3.4459999999999998E-2</v>
      </c>
    </row>
    <row r="21992" spans="103:104" x14ac:dyDescent="0.3">
      <c r="CY21992" s="34" t="s">
        <v>22919</v>
      </c>
      <c r="CZ21992" s="35">
        <v>2.4377929999999997E-3</v>
      </c>
    </row>
    <row r="21993" spans="103:104" x14ac:dyDescent="0.3">
      <c r="CY21993" s="34" t="s">
        <v>22920</v>
      </c>
      <c r="CZ21993" s="35">
        <v>1.9024450000000002E-2</v>
      </c>
    </row>
    <row r="21994" spans="103:104" x14ac:dyDescent="0.3">
      <c r="CY21994" s="34" t="s">
        <v>22921</v>
      </c>
      <c r="CZ21994" s="35">
        <v>6.0181253333333332E-3</v>
      </c>
    </row>
    <row r="21995" spans="103:104" x14ac:dyDescent="0.3">
      <c r="CY21995" s="34" t="s">
        <v>22922</v>
      </c>
      <c r="CZ21995" s="35">
        <v>0.15413490662499998</v>
      </c>
    </row>
    <row r="21996" spans="103:104" x14ac:dyDescent="0.3">
      <c r="CY21996" s="34" t="s">
        <v>22923</v>
      </c>
      <c r="CZ21996" s="35">
        <v>0.91999552500000004</v>
      </c>
    </row>
    <row r="21997" spans="103:104" x14ac:dyDescent="0.3">
      <c r="CY21997" s="34" t="s">
        <v>22924</v>
      </c>
      <c r="CZ21997" s="35">
        <v>0.1925924</v>
      </c>
    </row>
    <row r="21998" spans="103:104" x14ac:dyDescent="0.3">
      <c r="CY21998" s="34" t="s">
        <v>22925</v>
      </c>
      <c r="CZ21998" s="35">
        <v>3.3119105105105101E-2</v>
      </c>
    </row>
    <row r="21999" spans="103:104" x14ac:dyDescent="0.3">
      <c r="CY21999" s="34" t="s">
        <v>22926</v>
      </c>
      <c r="CZ21999" s="35">
        <v>3.3275644E-2</v>
      </c>
    </row>
    <row r="22000" spans="103:104" x14ac:dyDescent="0.3">
      <c r="CY22000" s="34" t="s">
        <v>22927</v>
      </c>
      <c r="CZ22000" s="35">
        <v>5.8084635955955949E-2</v>
      </c>
    </row>
    <row r="22001" spans="103:104" x14ac:dyDescent="0.3">
      <c r="CY22001" s="34" t="s">
        <v>22928</v>
      </c>
      <c r="CZ22001" s="35">
        <v>2.5948158762886597E-2</v>
      </c>
    </row>
    <row r="22002" spans="103:104" x14ac:dyDescent="0.3">
      <c r="CY22002" s="34" t="s">
        <v>22929</v>
      </c>
      <c r="CZ22002" s="35">
        <v>5.0193325965965957E-2</v>
      </c>
    </row>
    <row r="22003" spans="103:104" x14ac:dyDescent="0.3">
      <c r="CY22003" s="34" t="s">
        <v>22930</v>
      </c>
      <c r="CZ22003" s="35">
        <v>3.5393101789473684E-2</v>
      </c>
    </row>
    <row r="22004" spans="103:104" x14ac:dyDescent="0.3">
      <c r="CY22004" s="34" t="s">
        <v>22931</v>
      </c>
      <c r="CZ22004" s="35">
        <v>1.578976E-2</v>
      </c>
    </row>
    <row r="22005" spans="103:104" x14ac:dyDescent="0.3">
      <c r="CY22005" s="34" t="s">
        <v>22932</v>
      </c>
      <c r="CZ22005" s="35">
        <v>0.11900898199999999</v>
      </c>
    </row>
    <row r="22006" spans="103:104" x14ac:dyDescent="0.3">
      <c r="CY22006" s="34" t="s">
        <v>22933</v>
      </c>
      <c r="CZ22006" s="35">
        <v>1.0559608E-2</v>
      </c>
    </row>
    <row r="22007" spans="103:104" x14ac:dyDescent="0.3">
      <c r="CY22007" s="34" t="s">
        <v>22934</v>
      </c>
      <c r="CZ22007" s="35">
        <v>4.060412544117647E-3</v>
      </c>
    </row>
    <row r="22008" spans="103:104" x14ac:dyDescent="0.3">
      <c r="CY22008" s="34" t="s">
        <v>22935</v>
      </c>
      <c r="CZ22008" s="35">
        <v>1.5150279783684212E-3</v>
      </c>
    </row>
    <row r="22009" spans="103:104" x14ac:dyDescent="0.3">
      <c r="CY22009" s="34" t="s">
        <v>22936</v>
      </c>
      <c r="CZ22009" s="35">
        <v>6.5214929999999997E-3</v>
      </c>
    </row>
    <row r="22010" spans="103:104" x14ac:dyDescent="0.3">
      <c r="CY22010" s="34" t="s">
        <v>22937</v>
      </c>
      <c r="CZ22010" s="35">
        <v>8.3450222999999994E-3</v>
      </c>
    </row>
    <row r="22011" spans="103:104" x14ac:dyDescent="0.3">
      <c r="CY22011" s="34" t="s">
        <v>22938</v>
      </c>
      <c r="CZ22011" s="35">
        <v>0.24806240000000002</v>
      </c>
    </row>
    <row r="22012" spans="103:104" x14ac:dyDescent="0.3">
      <c r="CY22012" s="34" t="s">
        <v>22939</v>
      </c>
      <c r="CZ22012" s="35">
        <v>5.5375399999999998E-2</v>
      </c>
    </row>
    <row r="22013" spans="103:104" x14ac:dyDescent="0.3">
      <c r="CY22013" s="34" t="s">
        <v>22940</v>
      </c>
      <c r="CZ22013" s="35">
        <v>9.6719554400000005E-2</v>
      </c>
    </row>
    <row r="22014" spans="103:104" x14ac:dyDescent="0.3">
      <c r="CY22014" s="34" t="s">
        <v>22941</v>
      </c>
      <c r="CZ22014" s="35">
        <v>7.3964592222222235E-3</v>
      </c>
    </row>
    <row r="22015" spans="103:104" x14ac:dyDescent="0.3">
      <c r="CY22015" s="34" t="s">
        <v>22942</v>
      </c>
      <c r="CZ22015" s="35">
        <v>1.1120769333333334E-2</v>
      </c>
    </row>
    <row r="22016" spans="103:104" x14ac:dyDescent="0.3">
      <c r="CY22016" s="34" t="s">
        <v>22943</v>
      </c>
      <c r="CZ22016" s="35">
        <v>1.1120769333333334E-2</v>
      </c>
    </row>
    <row r="22017" spans="103:104" x14ac:dyDescent="0.3">
      <c r="CY22017" s="34" t="s">
        <v>22944</v>
      </c>
      <c r="CZ22017" s="35">
        <v>0.12073012</v>
      </c>
    </row>
    <row r="22018" spans="103:104" x14ac:dyDescent="0.3">
      <c r="CY22018" s="34" t="s">
        <v>22945</v>
      </c>
      <c r="CZ22018" s="35">
        <v>0.1056904</v>
      </c>
    </row>
    <row r="22019" spans="103:104" x14ac:dyDescent="0.3">
      <c r="CY22019" s="34" t="s">
        <v>22946</v>
      </c>
      <c r="CZ22019" s="35">
        <v>0.10189988</v>
      </c>
    </row>
    <row r="22020" spans="103:104" x14ac:dyDescent="0.3">
      <c r="CY22020" s="34" t="s">
        <v>22947</v>
      </c>
      <c r="CZ22020" s="35">
        <v>8.2204640000000009E-2</v>
      </c>
    </row>
    <row r="22021" spans="103:104" x14ac:dyDescent="0.3">
      <c r="CY22021" s="34" t="s">
        <v>22948</v>
      </c>
      <c r="CZ22021" s="35">
        <v>1.7967626E-2</v>
      </c>
    </row>
    <row r="22022" spans="103:104" x14ac:dyDescent="0.3">
      <c r="CY22022" s="34" t="s">
        <v>22949</v>
      </c>
      <c r="CZ22022" s="35">
        <v>0.10950666000000001</v>
      </c>
    </row>
    <row r="22023" spans="103:104" x14ac:dyDescent="0.3">
      <c r="CY22023" s="34" t="s">
        <v>22950</v>
      </c>
      <c r="CZ22023" s="35">
        <v>1.1653197000000001E-2</v>
      </c>
    </row>
    <row r="22024" spans="103:104" x14ac:dyDescent="0.3">
      <c r="CY22024" s="34" t="s">
        <v>22951</v>
      </c>
      <c r="CZ22024" s="35">
        <v>4.5383408E-2</v>
      </c>
    </row>
    <row r="22025" spans="103:104" x14ac:dyDescent="0.3">
      <c r="CY22025" s="34" t="s">
        <v>22952</v>
      </c>
      <c r="CZ22025" s="35">
        <v>1.6298484000000002E-2</v>
      </c>
    </row>
    <row r="22026" spans="103:104" x14ac:dyDescent="0.3">
      <c r="CY22026" s="34" t="s">
        <v>22953</v>
      </c>
      <c r="CZ22026" s="35">
        <v>2.2934816E-2</v>
      </c>
    </row>
    <row r="22027" spans="103:104" x14ac:dyDescent="0.3">
      <c r="CY22027" s="34" t="s">
        <v>22954</v>
      </c>
      <c r="CZ22027" s="35">
        <v>4.9832255999999998E-2</v>
      </c>
    </row>
    <row r="22028" spans="103:104" x14ac:dyDescent="0.3">
      <c r="CY22028" s="34" t="s">
        <v>22955</v>
      </c>
      <c r="CZ22028" s="35">
        <v>1.262013356E-2</v>
      </c>
    </row>
    <row r="22029" spans="103:104" x14ac:dyDescent="0.3">
      <c r="CY22029" s="34" t="s">
        <v>22956</v>
      </c>
      <c r="CZ22029" s="35">
        <v>3.4380285714285717E-2</v>
      </c>
    </row>
    <row r="22030" spans="103:104" x14ac:dyDescent="0.3">
      <c r="CY22030" s="34" t="s">
        <v>22957</v>
      </c>
      <c r="CZ22030" s="35">
        <v>1.6980000000000001E-4</v>
      </c>
    </row>
    <row r="22031" spans="103:104" x14ac:dyDescent="0.3">
      <c r="CY22031" s="34" t="s">
        <v>22958</v>
      </c>
      <c r="CZ22031" s="35">
        <v>4.367132E-2</v>
      </c>
    </row>
    <row r="22032" spans="103:104" x14ac:dyDescent="0.3">
      <c r="CY22032" s="34" t="s">
        <v>22959</v>
      </c>
      <c r="CZ22032" s="35">
        <v>5.7221250000000001E-2</v>
      </c>
    </row>
    <row r="22033" spans="103:104" x14ac:dyDescent="0.3">
      <c r="CY22033" s="34" t="s">
        <v>22960</v>
      </c>
      <c r="CZ22033" s="35">
        <v>2.1252372855555552E-2</v>
      </c>
    </row>
    <row r="22034" spans="103:104" x14ac:dyDescent="0.3">
      <c r="CY22034" s="34" t="s">
        <v>22961</v>
      </c>
      <c r="CZ22034" s="35">
        <v>0.1043843</v>
      </c>
    </row>
    <row r="22035" spans="103:104" x14ac:dyDescent="0.3">
      <c r="CY22035" s="34" t="s">
        <v>22962</v>
      </c>
      <c r="CZ22035" s="35">
        <v>1.8654079999999999E-4</v>
      </c>
    </row>
    <row r="22036" spans="103:104" x14ac:dyDescent="0.3">
      <c r="CY22036" s="34" t="s">
        <v>22963</v>
      </c>
      <c r="CZ22036" s="35">
        <v>7.8780960000000011E-2</v>
      </c>
    </row>
    <row r="22037" spans="103:104" x14ac:dyDescent="0.3">
      <c r="CY22037" s="34" t="s">
        <v>22964</v>
      </c>
      <c r="CZ22037" s="35">
        <v>1.8097840000000003E-3</v>
      </c>
    </row>
    <row r="22038" spans="103:104" x14ac:dyDescent="0.3">
      <c r="CY22038" s="34" t="s">
        <v>22965</v>
      </c>
      <c r="CZ22038" s="35">
        <v>3.5914859999999996E-3</v>
      </c>
    </row>
    <row r="22039" spans="103:104" x14ac:dyDescent="0.3">
      <c r="CY22039" s="34" t="s">
        <v>22966</v>
      </c>
      <c r="CZ22039" s="35">
        <v>4.8300000000000003E-6</v>
      </c>
    </row>
    <row r="22040" spans="103:104" x14ac:dyDescent="0.3">
      <c r="CY22040" s="34" t="s">
        <v>22967</v>
      </c>
      <c r="CZ22040" s="35">
        <v>0.13428888890000001</v>
      </c>
    </row>
    <row r="22041" spans="103:104" x14ac:dyDescent="0.3">
      <c r="CY22041" s="34" t="s">
        <v>22968</v>
      </c>
      <c r="CZ22041" s="35">
        <v>0.14396882222222224</v>
      </c>
    </row>
    <row r="22042" spans="103:104" x14ac:dyDescent="0.3">
      <c r="CY22042" s="34" t="s">
        <v>22969</v>
      </c>
      <c r="CZ22042" s="35">
        <v>0</v>
      </c>
    </row>
    <row r="22043" spans="103:104" x14ac:dyDescent="0.3">
      <c r="CY22043" s="34" t="s">
        <v>22970</v>
      </c>
      <c r="CZ22043" s="35">
        <v>3.4058599999999997E-3</v>
      </c>
    </row>
    <row r="22044" spans="103:104" x14ac:dyDescent="0.3">
      <c r="CY22044" s="34" t="s">
        <v>22971</v>
      </c>
      <c r="CZ22044" s="35">
        <v>4.1686825999999993E-3</v>
      </c>
    </row>
    <row r="22045" spans="103:104" x14ac:dyDescent="0.3">
      <c r="CY22045" s="34" t="s">
        <v>22972</v>
      </c>
      <c r="CZ22045" s="35">
        <v>3.61541908E-3</v>
      </c>
    </row>
    <row r="22046" spans="103:104" x14ac:dyDescent="0.3">
      <c r="CY22046" s="34" t="s">
        <v>22973</v>
      </c>
      <c r="CZ22046" s="35">
        <v>5.3648121052631576E-3</v>
      </c>
    </row>
    <row r="22047" spans="103:104" x14ac:dyDescent="0.3">
      <c r="CY22047" s="34" t="s">
        <v>22974</v>
      </c>
      <c r="CZ22047" s="35">
        <v>3.0848418999999999E-3</v>
      </c>
    </row>
    <row r="22048" spans="103:104" x14ac:dyDescent="0.3">
      <c r="CY22048" s="34" t="s">
        <v>22975</v>
      </c>
      <c r="CZ22048" s="35">
        <v>3.4083075000000003E-3</v>
      </c>
    </row>
    <row r="22049" spans="103:104" x14ac:dyDescent="0.3">
      <c r="CY22049" s="34" t="s">
        <v>22976</v>
      </c>
      <c r="CZ22049" s="35">
        <v>3.1717214999999999E-3</v>
      </c>
    </row>
    <row r="22050" spans="103:104" x14ac:dyDescent="0.3">
      <c r="CY22050" s="34" t="s">
        <v>22977</v>
      </c>
      <c r="CZ22050" s="35">
        <v>1.7607995999999999E-3</v>
      </c>
    </row>
    <row r="22051" spans="103:104" x14ac:dyDescent="0.3">
      <c r="CY22051" s="34" t="s">
        <v>22978</v>
      </c>
      <c r="CZ22051" s="35">
        <v>4.3674282399999995E-3</v>
      </c>
    </row>
    <row r="22052" spans="103:104" x14ac:dyDescent="0.3">
      <c r="CY22052" s="34" t="s">
        <v>22979</v>
      </c>
      <c r="CZ22052" s="35">
        <v>3.6470736E-3</v>
      </c>
    </row>
    <row r="22053" spans="103:104" x14ac:dyDescent="0.3">
      <c r="CY22053" s="34" t="s">
        <v>22980</v>
      </c>
      <c r="CZ22053" s="35">
        <v>3.5002432799999999E-3</v>
      </c>
    </row>
    <row r="22054" spans="103:104" x14ac:dyDescent="0.3">
      <c r="CY22054" s="34" t="s">
        <v>22981</v>
      </c>
      <c r="CZ22054" s="35">
        <v>3.4023564000000002E-3</v>
      </c>
    </row>
    <row r="22055" spans="103:104" x14ac:dyDescent="0.3">
      <c r="CY22055" s="34" t="s">
        <v>22982</v>
      </c>
      <c r="CZ22055" s="35">
        <v>3.4023563999999997E-3</v>
      </c>
    </row>
    <row r="22056" spans="103:104" x14ac:dyDescent="0.3">
      <c r="CY22056" s="34" t="s">
        <v>22983</v>
      </c>
      <c r="CZ22056" s="35">
        <v>3.6900792000000003E-3</v>
      </c>
    </row>
    <row r="22057" spans="103:104" x14ac:dyDescent="0.3">
      <c r="CY22057" s="34" t="s">
        <v>22984</v>
      </c>
      <c r="CZ22057" s="35">
        <v>3.4023563999999997E-3</v>
      </c>
    </row>
    <row r="22058" spans="103:104" x14ac:dyDescent="0.3">
      <c r="CY22058" s="34" t="s">
        <v>22985</v>
      </c>
      <c r="CZ22058" s="35">
        <v>3.4023564000000002E-3</v>
      </c>
    </row>
    <row r="22059" spans="103:104" x14ac:dyDescent="0.3">
      <c r="CY22059" s="34" t="s">
        <v>22986</v>
      </c>
      <c r="CZ22059" s="35">
        <v>1.644168E-2</v>
      </c>
    </row>
    <row r="22060" spans="103:104" x14ac:dyDescent="0.3">
      <c r="CY22060" s="34" t="s">
        <v>22987</v>
      </c>
      <c r="CZ22060" s="35">
        <v>1.8548111999999999E-2</v>
      </c>
    </row>
    <row r="22061" spans="103:104" x14ac:dyDescent="0.3">
      <c r="CY22061" s="34" t="s">
        <v>22988</v>
      </c>
      <c r="CZ22061" s="35">
        <v>0.35694120000000001</v>
      </c>
    </row>
    <row r="22062" spans="103:104" x14ac:dyDescent="0.3">
      <c r="CY22062" s="34" t="s">
        <v>22989</v>
      </c>
      <c r="CZ22062" s="35">
        <v>1.2490225599999998E-2</v>
      </c>
    </row>
    <row r="22063" spans="103:104" x14ac:dyDescent="0.3">
      <c r="CY22063" s="34" t="s">
        <v>22990</v>
      </c>
      <c r="CZ22063" s="35">
        <v>0.21892887999999999</v>
      </c>
    </row>
    <row r="22064" spans="103:104" x14ac:dyDescent="0.3">
      <c r="CY22064" s="34" t="s">
        <v>22991</v>
      </c>
      <c r="CZ22064" s="35">
        <v>2.4527973684210531</v>
      </c>
    </row>
    <row r="22065" spans="103:104" x14ac:dyDescent="0.3">
      <c r="CY22065" s="34" t="s">
        <v>22992</v>
      </c>
      <c r="CZ22065" s="35">
        <v>2.459592105263158</v>
      </c>
    </row>
    <row r="22066" spans="103:104" x14ac:dyDescent="0.3">
      <c r="CY22066" s="34" t="s">
        <v>22993</v>
      </c>
      <c r="CZ22066" s="35">
        <v>1.9754380000000002E-2</v>
      </c>
    </row>
    <row r="22067" spans="103:104" x14ac:dyDescent="0.3">
      <c r="CY22067" s="34" t="s">
        <v>22994</v>
      </c>
      <c r="CZ22067" s="35">
        <v>2.3008899999999999E-3</v>
      </c>
    </row>
    <row r="22068" spans="103:104" x14ac:dyDescent="0.3">
      <c r="CY22068" s="34" t="s">
        <v>22995</v>
      </c>
      <c r="CZ22068" s="35">
        <v>2.1420750000000002E-3</v>
      </c>
    </row>
    <row r="22069" spans="103:104" x14ac:dyDescent="0.3">
      <c r="CY22069" s="34" t="s">
        <v>22996</v>
      </c>
      <c r="CZ22069" s="35">
        <v>1.3696685714285714E-3</v>
      </c>
    </row>
    <row r="22070" spans="103:104" x14ac:dyDescent="0.3">
      <c r="CY22070" s="34" t="s">
        <v>22997</v>
      </c>
      <c r="CZ22070" s="35">
        <v>6.6229728000000002E-2</v>
      </c>
    </row>
    <row r="22071" spans="103:104" x14ac:dyDescent="0.3">
      <c r="CY22071" s="34" t="s">
        <v>22998</v>
      </c>
      <c r="CZ22071" s="35">
        <v>4.5130416E-2</v>
      </c>
    </row>
    <row r="22072" spans="103:104" x14ac:dyDescent="0.3">
      <c r="CY22072" s="34" t="s">
        <v>22999</v>
      </c>
      <c r="CZ22072" s="35">
        <v>4.5854247999999997E-3</v>
      </c>
    </row>
    <row r="22073" spans="103:104" x14ac:dyDescent="0.3">
      <c r="CY22073" s="34" t="s">
        <v>23000</v>
      </c>
      <c r="CZ22073" s="35">
        <v>0.17677317713546875</v>
      </c>
    </row>
    <row r="22074" spans="103:104" x14ac:dyDescent="0.3">
      <c r="CY22074" s="34" t="s">
        <v>23001</v>
      </c>
      <c r="CZ22074" s="35">
        <v>0.12504909916666668</v>
      </c>
    </row>
    <row r="22075" spans="103:104" x14ac:dyDescent="0.3">
      <c r="CY22075" s="34" t="s">
        <v>23002</v>
      </c>
      <c r="CZ22075" s="35">
        <v>0.18007291671875</v>
      </c>
    </row>
    <row r="22076" spans="103:104" x14ac:dyDescent="0.3">
      <c r="CY22076" s="34" t="s">
        <v>23003</v>
      </c>
      <c r="CZ22076" s="35">
        <v>3.3016400000000002E-3</v>
      </c>
    </row>
    <row r="22077" spans="103:104" x14ac:dyDescent="0.3">
      <c r="CY22077" s="34" t="s">
        <v>23004</v>
      </c>
      <c r="CZ22077" s="35">
        <v>1.9554534999999998E-2</v>
      </c>
    </row>
    <row r="22078" spans="103:104" x14ac:dyDescent="0.3">
      <c r="CY22078" s="34" t="s">
        <v>23005</v>
      </c>
      <c r="CZ22078" s="35">
        <v>4.1321999999999998E-2</v>
      </c>
    </row>
    <row r="22079" spans="103:104" x14ac:dyDescent="0.3">
      <c r="CY22079" s="34" t="s">
        <v>23006</v>
      </c>
      <c r="CZ22079" s="35">
        <v>5.3216799999999996E-3</v>
      </c>
    </row>
    <row r="22080" spans="103:104" x14ac:dyDescent="0.3">
      <c r="CY22080" s="34" t="s">
        <v>23007</v>
      </c>
      <c r="CZ22080" s="35">
        <v>2.8369200000000001E-2</v>
      </c>
    </row>
    <row r="22081" spans="103:104" x14ac:dyDescent="0.3">
      <c r="CY22081" s="34" t="s">
        <v>23008</v>
      </c>
      <c r="CZ22081" s="35">
        <v>0.22956085415999999</v>
      </c>
    </row>
    <row r="22082" spans="103:104" x14ac:dyDescent="0.3">
      <c r="CY22082" s="34" t="s">
        <v>23009</v>
      </c>
      <c r="CZ22082" s="35">
        <v>0.1228185</v>
      </c>
    </row>
    <row r="22083" spans="103:104" x14ac:dyDescent="0.3">
      <c r="CY22083" s="34" t="s">
        <v>23010</v>
      </c>
      <c r="CZ22083" s="35">
        <v>6.0881700000000004E-2</v>
      </c>
    </row>
    <row r="22084" spans="103:104" x14ac:dyDescent="0.3">
      <c r="CY22084" s="34" t="s">
        <v>23011</v>
      </c>
      <c r="CZ22084" s="35">
        <v>0.1124185</v>
      </c>
    </row>
    <row r="22085" spans="103:104" x14ac:dyDescent="0.3">
      <c r="CY22085" s="34" t="s">
        <v>23012</v>
      </c>
      <c r="CZ22085" s="35">
        <v>1.8341299999999998E-2</v>
      </c>
    </row>
    <row r="22086" spans="103:104" x14ac:dyDescent="0.3">
      <c r="CY22086" s="34" t="s">
        <v>23013</v>
      </c>
      <c r="CZ22086" s="35">
        <v>2.9864480000000002E-2</v>
      </c>
    </row>
    <row r="22087" spans="103:104" x14ac:dyDescent="0.3">
      <c r="CY22087" s="34" t="s">
        <v>23014</v>
      </c>
      <c r="CZ22087" s="35">
        <v>1.5322316000000001E-2</v>
      </c>
    </row>
    <row r="22088" spans="103:104" x14ac:dyDescent="0.3">
      <c r="CY22088" s="34" t="s">
        <v>23015</v>
      </c>
      <c r="CZ22088" s="35">
        <v>7.9656487999999998E-2</v>
      </c>
    </row>
    <row r="22089" spans="103:104" x14ac:dyDescent="0.3">
      <c r="CY22089" s="34" t="s">
        <v>23016</v>
      </c>
      <c r="CZ22089" s="35">
        <v>5.8968800000000002E-2</v>
      </c>
    </row>
    <row r="22090" spans="103:104" x14ac:dyDescent="0.3">
      <c r="CY22090" s="34" t="s">
        <v>23017</v>
      </c>
      <c r="CZ22090" s="35">
        <v>2.1258856E-2</v>
      </c>
    </row>
    <row r="22091" spans="103:104" x14ac:dyDescent="0.3">
      <c r="CY22091" s="34" t="s">
        <v>23018</v>
      </c>
      <c r="CZ22091" s="35">
        <v>3.6774767999999999E-2</v>
      </c>
    </row>
    <row r="22092" spans="103:104" x14ac:dyDescent="0.3">
      <c r="CY22092" s="34" t="s">
        <v>23019</v>
      </c>
      <c r="CZ22092" s="35">
        <v>5.3095572000000008E-2</v>
      </c>
    </row>
    <row r="22093" spans="103:104" x14ac:dyDescent="0.3">
      <c r="CY22093" s="34" t="s">
        <v>23020</v>
      </c>
      <c r="CZ22093" s="35">
        <v>1.3905463999999999E-2</v>
      </c>
    </row>
    <row r="22094" spans="103:104" x14ac:dyDescent="0.3">
      <c r="CY22094" s="34" t="s">
        <v>23021</v>
      </c>
      <c r="CZ22094" s="35">
        <v>7.3278019999999999E-2</v>
      </c>
    </row>
    <row r="22095" spans="103:104" x14ac:dyDescent="0.3">
      <c r="CY22095" s="34" t="s">
        <v>23022</v>
      </c>
      <c r="CZ22095" s="35">
        <v>0.18610153335999999</v>
      </c>
    </row>
    <row r="22096" spans="103:104" x14ac:dyDescent="0.3">
      <c r="CY22096" s="34" t="s">
        <v>23023</v>
      </c>
      <c r="CZ22096" s="35">
        <v>1.0949981240000002E-2</v>
      </c>
    </row>
    <row r="22097" spans="103:104" x14ac:dyDescent="0.3">
      <c r="CY22097" s="34" t="s">
        <v>23024</v>
      </c>
      <c r="CZ22097" s="35">
        <v>1.0896075E-2</v>
      </c>
    </row>
    <row r="22098" spans="103:104" x14ac:dyDescent="0.3">
      <c r="CY22098" s="34" t="s">
        <v>23025</v>
      </c>
      <c r="CZ22098" s="35">
        <v>2.7002200000000001E-2</v>
      </c>
    </row>
    <row r="22099" spans="103:104" x14ac:dyDescent="0.3">
      <c r="CY22099" s="34" t="s">
        <v>23026</v>
      </c>
      <c r="CZ22099" s="35">
        <v>1.094998124E-2</v>
      </c>
    </row>
    <row r="22100" spans="103:104" x14ac:dyDescent="0.3">
      <c r="CY22100" s="34" t="s">
        <v>23027</v>
      </c>
      <c r="CZ22100" s="35">
        <v>4.7073399999999994E-2</v>
      </c>
    </row>
    <row r="22101" spans="103:104" x14ac:dyDescent="0.3">
      <c r="CY22101" s="34" t="s">
        <v>23028</v>
      </c>
      <c r="CZ22101" s="35">
        <v>2.1837074400000004E-3</v>
      </c>
    </row>
    <row r="22102" spans="103:104" x14ac:dyDescent="0.3">
      <c r="CY22102" s="34" t="s">
        <v>23029</v>
      </c>
      <c r="CZ22102" s="35">
        <v>3.053888888888889E-4</v>
      </c>
    </row>
    <row r="22103" spans="103:104" x14ac:dyDescent="0.3">
      <c r="CY22103" s="34" t="s">
        <v>23030</v>
      </c>
      <c r="CZ22103" s="35">
        <v>5.1926100000000003E-3</v>
      </c>
    </row>
    <row r="22104" spans="103:104" x14ac:dyDescent="0.3">
      <c r="CY22104" s="34" t="s">
        <v>23031</v>
      </c>
      <c r="CZ22104" s="35">
        <v>2.4492875000000001E-2</v>
      </c>
    </row>
    <row r="22105" spans="103:104" x14ac:dyDescent="0.3">
      <c r="CY22105" s="34" t="s">
        <v>23032</v>
      </c>
      <c r="CZ22105" s="35">
        <v>6.9610000000000002E-3</v>
      </c>
    </row>
    <row r="22106" spans="103:104" x14ac:dyDescent="0.3">
      <c r="CY22106" s="34" t="s">
        <v>23033</v>
      </c>
      <c r="CZ22106" s="35">
        <v>2.8135300000000002E-2</v>
      </c>
    </row>
    <row r="22107" spans="103:104" x14ac:dyDescent="0.3">
      <c r="CY22107" s="34" t="s">
        <v>23034</v>
      </c>
      <c r="CZ22107" s="35">
        <v>3.6574100000000003E-3</v>
      </c>
    </row>
    <row r="22108" spans="103:104" x14ac:dyDescent="0.3">
      <c r="CY22108" s="34" t="s">
        <v>23035</v>
      </c>
      <c r="CZ22108" s="35">
        <v>1.8434159999999998E-2</v>
      </c>
    </row>
    <row r="22109" spans="103:104" x14ac:dyDescent="0.3">
      <c r="CY22109" s="34" t="s">
        <v>23036</v>
      </c>
      <c r="CZ22109" s="35">
        <v>4.7294800000000003E-3</v>
      </c>
    </row>
    <row r="22110" spans="103:104" x14ac:dyDescent="0.3">
      <c r="CY22110" s="34" t="s">
        <v>23037</v>
      </c>
      <c r="CZ22110" s="35">
        <v>3.0526599999999997E-2</v>
      </c>
    </row>
    <row r="22111" spans="103:104" x14ac:dyDescent="0.3">
      <c r="CY22111" s="34" t="s">
        <v>23038</v>
      </c>
      <c r="CZ22111" s="35">
        <v>8.2888400000000004E-3</v>
      </c>
    </row>
    <row r="22112" spans="103:104" x14ac:dyDescent="0.3">
      <c r="CY22112" s="34" t="s">
        <v>23039</v>
      </c>
      <c r="CZ22112" s="35">
        <v>3.4276999999999995E-2</v>
      </c>
    </row>
    <row r="22113" spans="103:104" x14ac:dyDescent="0.3">
      <c r="CY22113" s="34" t="s">
        <v>23040</v>
      </c>
      <c r="CZ22113" s="35">
        <v>8.3787699999999993E-2</v>
      </c>
    </row>
    <row r="22114" spans="103:104" x14ac:dyDescent="0.3">
      <c r="CY22114" s="34" t="s">
        <v>23041</v>
      </c>
      <c r="CZ22114" s="35">
        <v>0.13281799999999999</v>
      </c>
    </row>
    <row r="22115" spans="103:104" x14ac:dyDescent="0.3">
      <c r="CY22115" s="34" t="s">
        <v>23042</v>
      </c>
      <c r="CZ22115" s="35">
        <v>7.4746999999999999E-3</v>
      </c>
    </row>
    <row r="22116" spans="103:104" x14ac:dyDescent="0.3">
      <c r="CY22116" s="34" t="s">
        <v>23043</v>
      </c>
      <c r="CZ22116" s="35">
        <v>3.3270800000000003E-2</v>
      </c>
    </row>
    <row r="22117" spans="103:104" x14ac:dyDescent="0.3">
      <c r="CY22117" s="34" t="s">
        <v>23044</v>
      </c>
      <c r="CZ22117" s="35">
        <v>3.1562249999999999E-3</v>
      </c>
    </row>
    <row r="22118" spans="103:104" x14ac:dyDescent="0.3">
      <c r="CY22118" s="34" t="s">
        <v>23045</v>
      </c>
      <c r="CZ22118" s="35">
        <v>2.4915E-2</v>
      </c>
    </row>
    <row r="22119" spans="103:104" x14ac:dyDescent="0.3">
      <c r="CY22119" s="34" t="s">
        <v>23046</v>
      </c>
      <c r="CZ22119" s="35">
        <v>2.2132653333333335E-2</v>
      </c>
    </row>
    <row r="22120" spans="103:104" x14ac:dyDescent="0.3">
      <c r="CY22120" s="34" t="s">
        <v>23047</v>
      </c>
      <c r="CZ22120" s="35">
        <v>4.1617911106666669E-2</v>
      </c>
    </row>
    <row r="22121" spans="103:104" x14ac:dyDescent="0.3">
      <c r="CY22121" s="34" t="s">
        <v>23048</v>
      </c>
      <c r="CZ22121" s="35">
        <v>0.1043843</v>
      </c>
    </row>
    <row r="22122" spans="103:104" x14ac:dyDescent="0.3">
      <c r="CY22122" s="34" t="s">
        <v>23049</v>
      </c>
      <c r="CZ22122" s="35">
        <v>1.0985176E-3</v>
      </c>
    </row>
    <row r="22123" spans="103:104" x14ac:dyDescent="0.3">
      <c r="CY22123" s="34" t="s">
        <v>23050</v>
      </c>
      <c r="CZ22123" s="35">
        <v>2.0576055999999999E-3</v>
      </c>
    </row>
    <row r="22124" spans="103:104" x14ac:dyDescent="0.3">
      <c r="CY22124" s="34" t="s">
        <v>23051</v>
      </c>
      <c r="CZ22124" s="35">
        <v>0.464628125</v>
      </c>
    </row>
    <row r="22125" spans="103:104" x14ac:dyDescent="0.3">
      <c r="CY22125" s="34" t="s">
        <v>23052</v>
      </c>
      <c r="CZ22125" s="35">
        <v>4.8463436999999993E-3</v>
      </c>
    </row>
    <row r="22126" spans="103:104" x14ac:dyDescent="0.3">
      <c r="CY22126" s="34" t="s">
        <v>23053</v>
      </c>
      <c r="CZ22126" s="35">
        <v>5.1236432000000007E-3</v>
      </c>
    </row>
    <row r="22127" spans="103:104" x14ac:dyDescent="0.3">
      <c r="CY22127" s="34" t="s">
        <v>23054</v>
      </c>
      <c r="CZ22127" s="35">
        <v>4.485256E-3</v>
      </c>
    </row>
    <row r="22128" spans="103:104" x14ac:dyDescent="0.3">
      <c r="CY22128" s="34" t="s">
        <v>23055</v>
      </c>
      <c r="CZ22128" s="35">
        <v>1.4600699999999999E-2</v>
      </c>
    </row>
    <row r="22129" spans="103:104" x14ac:dyDescent="0.3">
      <c r="CY22129" s="34" t="s">
        <v>23056</v>
      </c>
      <c r="CZ22129" s="35">
        <v>3.8737199999999999E-2</v>
      </c>
    </row>
    <row r="22130" spans="103:104" x14ac:dyDescent="0.3">
      <c r="CY22130" s="34" t="s">
        <v>23057</v>
      </c>
      <c r="CZ22130" s="35">
        <v>7.7672285714285721E-3</v>
      </c>
    </row>
    <row r="22131" spans="103:104" x14ac:dyDescent="0.3">
      <c r="CY22131" s="34" t="s">
        <v>23058</v>
      </c>
      <c r="CZ22131" s="35">
        <v>0.4819727083</v>
      </c>
    </row>
    <row r="22132" spans="103:104" x14ac:dyDescent="0.3">
      <c r="CY22132" s="34" t="s">
        <v>23059</v>
      </c>
      <c r="CZ22132" s="35">
        <v>9.4891799999999998E-2</v>
      </c>
    </row>
    <row r="22133" spans="103:104" x14ac:dyDescent="0.3">
      <c r="CY22133" s="34" t="s">
        <v>23060</v>
      </c>
      <c r="CZ22133" s="35">
        <v>3.6108800000000003E-2</v>
      </c>
    </row>
    <row r="22134" spans="103:104" x14ac:dyDescent="0.3">
      <c r="CY22134" s="34" t="s">
        <v>23061</v>
      </c>
      <c r="CZ22134" s="35">
        <v>5.4344903999999999E-2</v>
      </c>
    </row>
    <row r="22135" spans="103:104" x14ac:dyDescent="0.3">
      <c r="CY22135" s="34" t="s">
        <v>23062</v>
      </c>
      <c r="CZ22135" s="35">
        <v>6.6229728000000002E-2</v>
      </c>
    </row>
    <row r="22136" spans="103:104" x14ac:dyDescent="0.3">
      <c r="CY22136" s="34" t="s">
        <v>23063</v>
      </c>
      <c r="CZ22136" s="35">
        <v>4.5130416E-2</v>
      </c>
    </row>
    <row r="22137" spans="103:104" x14ac:dyDescent="0.3">
      <c r="CY22137" s="34" t="s">
        <v>23064</v>
      </c>
      <c r="CZ22137" s="35">
        <v>2.7408669999999997E-3</v>
      </c>
    </row>
    <row r="22138" spans="103:104" x14ac:dyDescent="0.3">
      <c r="CY22138" s="34" t="s">
        <v>23065</v>
      </c>
      <c r="CZ22138" s="35">
        <v>1.068005077142857E-2</v>
      </c>
    </row>
    <row r="22139" spans="103:104" x14ac:dyDescent="0.3">
      <c r="CY22139" s="34" t="s">
        <v>23066</v>
      </c>
      <c r="CZ22139" s="35">
        <v>2.4275815999999999E-2</v>
      </c>
    </row>
    <row r="22140" spans="103:104" x14ac:dyDescent="0.3">
      <c r="CY22140" s="34" t="s">
        <v>23067</v>
      </c>
      <c r="CZ22140" s="35">
        <v>2.9742640000000001E-2</v>
      </c>
    </row>
    <row r="22141" spans="103:104" x14ac:dyDescent="0.3">
      <c r="CY22141" s="34" t="s">
        <v>23068</v>
      </c>
      <c r="CZ22141" s="35">
        <v>0.16001158736842108</v>
      </c>
    </row>
    <row r="22142" spans="103:104" x14ac:dyDescent="0.3">
      <c r="CY22142" s="34" t="s">
        <v>23069</v>
      </c>
      <c r="CZ22142" s="35">
        <v>0.14973226399999998</v>
      </c>
    </row>
    <row r="22143" spans="103:104" x14ac:dyDescent="0.3">
      <c r="CY22143" s="34" t="s">
        <v>23070</v>
      </c>
      <c r="CZ22143" s="35">
        <v>2.7330660000000003E-2</v>
      </c>
    </row>
    <row r="22144" spans="103:104" x14ac:dyDescent="0.3">
      <c r="CY22144" s="34" t="s">
        <v>23071</v>
      </c>
      <c r="CZ22144" s="35">
        <v>1.7735448E-3</v>
      </c>
    </row>
    <row r="22145" spans="103:104" x14ac:dyDescent="0.3">
      <c r="CY22145" s="34" t="s">
        <v>23072</v>
      </c>
      <c r="CZ22145" s="35">
        <v>0.11437329</v>
      </c>
    </row>
    <row r="22146" spans="103:104" x14ac:dyDescent="0.3">
      <c r="CY22146" s="34" t="s">
        <v>23073</v>
      </c>
      <c r="CZ22146" s="35">
        <v>0.5678151022222222</v>
      </c>
    </row>
    <row r="22147" spans="103:104" x14ac:dyDescent="0.3">
      <c r="CY22147" s="34" t="s">
        <v>23074</v>
      </c>
      <c r="CZ22147" s="35">
        <v>0.67823970222222218</v>
      </c>
    </row>
    <row r="22148" spans="103:104" x14ac:dyDescent="0.3">
      <c r="CY22148" s="34" t="s">
        <v>23075</v>
      </c>
      <c r="CZ22148" s="35">
        <v>0.25698551111111112</v>
      </c>
    </row>
    <row r="22149" spans="103:104" x14ac:dyDescent="0.3">
      <c r="CY22149" s="34" t="s">
        <v>23076</v>
      </c>
      <c r="CZ22149" s="35">
        <v>0.37235351111111109</v>
      </c>
    </row>
    <row r="22150" spans="103:104" x14ac:dyDescent="0.3">
      <c r="CY22150" s="34" t="s">
        <v>23077</v>
      </c>
      <c r="CZ22150" s="35">
        <v>2.1285714285714289E-4</v>
      </c>
    </row>
    <row r="22151" spans="103:104" x14ac:dyDescent="0.3">
      <c r="CY22151" s="34" t="s">
        <v>23078</v>
      </c>
      <c r="CZ22151" s="35">
        <v>3.8461802000000003E-2</v>
      </c>
    </row>
    <row r="22152" spans="103:104" x14ac:dyDescent="0.3">
      <c r="CY22152" s="34" t="s">
        <v>23079</v>
      </c>
      <c r="CZ22152" s="35">
        <v>3.8461802000000003E-2</v>
      </c>
    </row>
    <row r="22153" spans="103:104" x14ac:dyDescent="0.3">
      <c r="CY22153" s="34" t="s">
        <v>23080</v>
      </c>
      <c r="CZ22153" s="35">
        <v>0.55004993332000007</v>
      </c>
    </row>
    <row r="22154" spans="103:104" x14ac:dyDescent="0.3">
      <c r="CY22154" s="34" t="s">
        <v>23081</v>
      </c>
      <c r="CZ22154" s="35">
        <v>0.58220225000000014</v>
      </c>
    </row>
    <row r="22155" spans="103:104" x14ac:dyDescent="0.3">
      <c r="CY22155" s="34" t="s">
        <v>23082</v>
      </c>
      <c r="CZ22155" s="35">
        <v>0.34117200000000003</v>
      </c>
    </row>
    <row r="22156" spans="103:104" x14ac:dyDescent="0.3">
      <c r="CY22156" s="34" t="s">
        <v>23083</v>
      </c>
      <c r="CZ22156" s="35">
        <v>0.11372400000000001</v>
      </c>
    </row>
    <row r="22157" spans="103:104" x14ac:dyDescent="0.3">
      <c r="CY22157" s="34" t="s">
        <v>23084</v>
      </c>
      <c r="CZ22157" s="35">
        <v>6.5193320000000001E-3</v>
      </c>
    </row>
    <row r="22158" spans="103:104" x14ac:dyDescent="0.3">
      <c r="CY22158" s="34" t="s">
        <v>23085</v>
      </c>
      <c r="CZ22158" s="35">
        <v>1.8506928E-3</v>
      </c>
    </row>
    <row r="22159" spans="103:104" x14ac:dyDescent="0.3">
      <c r="CY22159" s="34" t="s">
        <v>23086</v>
      </c>
      <c r="CZ22159" s="35">
        <v>1.3283248000000001E-3</v>
      </c>
    </row>
    <row r="22160" spans="103:104" x14ac:dyDescent="0.3">
      <c r="CY22160" s="34" t="s">
        <v>23087</v>
      </c>
      <c r="CZ22160" s="35">
        <v>1.3269725E-3</v>
      </c>
    </row>
    <row r="22161" spans="103:104" x14ac:dyDescent="0.3">
      <c r="CY22161" s="34" t="s">
        <v>23088</v>
      </c>
      <c r="CZ22161" s="35">
        <v>3.1628302400000001E-3</v>
      </c>
    </row>
    <row r="22162" spans="103:104" x14ac:dyDescent="0.3">
      <c r="CY22162" s="34" t="s">
        <v>23089</v>
      </c>
      <c r="CZ22162" s="35">
        <v>5.9547455999999993E-3</v>
      </c>
    </row>
    <row r="22163" spans="103:104" x14ac:dyDescent="0.3">
      <c r="CY22163" s="34" t="s">
        <v>23090</v>
      </c>
      <c r="CZ22163" s="35">
        <v>0.25968748964999999</v>
      </c>
    </row>
    <row r="22164" spans="103:104" x14ac:dyDescent="0.3">
      <c r="CY22164" s="34" t="s">
        <v>23091</v>
      </c>
      <c r="CZ22164" s="35">
        <v>0.21239810999999997</v>
      </c>
    </row>
    <row r="22165" spans="103:104" x14ac:dyDescent="0.3">
      <c r="CY22165" s="34" t="s">
        <v>23092</v>
      </c>
      <c r="CZ22165" s="35">
        <v>0.21924547000000003</v>
      </c>
    </row>
    <row r="22166" spans="103:104" x14ac:dyDescent="0.3">
      <c r="CY22166" s="34" t="s">
        <v>23093</v>
      </c>
      <c r="CZ22166" s="35">
        <v>5.3368421052631576E-4</v>
      </c>
    </row>
    <row r="22167" spans="103:104" x14ac:dyDescent="0.3">
      <c r="CY22167" s="34" t="s">
        <v>23094</v>
      </c>
      <c r="CZ22167" s="35">
        <v>7.7929896666666665E-3</v>
      </c>
    </row>
    <row r="22168" spans="103:104" x14ac:dyDescent="0.3">
      <c r="CY22168" s="34" t="s">
        <v>23095</v>
      </c>
      <c r="CZ22168" s="35">
        <v>0.87769947368421053</v>
      </c>
    </row>
    <row r="22169" spans="103:104" x14ac:dyDescent="0.3">
      <c r="CY22169" s="34" t="s">
        <v>23096</v>
      </c>
      <c r="CZ22169" s="35">
        <v>0.86373917105263176</v>
      </c>
    </row>
    <row r="22170" spans="103:104" x14ac:dyDescent="0.3">
      <c r="CY22170" s="34" t="s">
        <v>23097</v>
      </c>
      <c r="CZ22170" s="35">
        <v>0.86373917105263165</v>
      </c>
    </row>
    <row r="22171" spans="103:104" x14ac:dyDescent="0.3">
      <c r="CY22171" s="34" t="s">
        <v>23098</v>
      </c>
      <c r="CZ22171" s="35">
        <v>0.87834958333157909</v>
      </c>
    </row>
    <row r="22172" spans="103:104" x14ac:dyDescent="0.3">
      <c r="CY22172" s="34" t="s">
        <v>23099</v>
      </c>
      <c r="CZ22172" s="35">
        <v>0.86373917105263176</v>
      </c>
    </row>
    <row r="22173" spans="103:104" x14ac:dyDescent="0.3">
      <c r="CY22173" s="34" t="s">
        <v>23100</v>
      </c>
      <c r="CZ22173" s="35">
        <v>6501.0742654868418</v>
      </c>
    </row>
    <row r="22174" spans="103:104" x14ac:dyDescent="0.3">
      <c r="CY22174" s="34" t="s">
        <v>23101</v>
      </c>
      <c r="CZ22174" s="35">
        <v>0.87769946842105262</v>
      </c>
    </row>
    <row r="22175" spans="103:104" x14ac:dyDescent="0.3">
      <c r="CY22175" s="34" t="s">
        <v>23102</v>
      </c>
      <c r="CZ22175" s="35">
        <v>0.87769946842105273</v>
      </c>
    </row>
    <row r="22176" spans="103:104" x14ac:dyDescent="0.3">
      <c r="CY22176" s="34" t="s">
        <v>23103</v>
      </c>
      <c r="CZ22176" s="35">
        <v>0.22527842105263157</v>
      </c>
    </row>
    <row r="22177" spans="103:104" x14ac:dyDescent="0.3">
      <c r="CY22177" s="34" t="s">
        <v>23104</v>
      </c>
      <c r="CZ22177" s="35">
        <v>0.44695209999999996</v>
      </c>
    </row>
    <row r="22178" spans="103:104" x14ac:dyDescent="0.3">
      <c r="CY22178" s="34" t="s">
        <v>23105</v>
      </c>
      <c r="CZ22178" s="35">
        <v>4.3101100000000008</v>
      </c>
    </row>
    <row r="22179" spans="103:104" x14ac:dyDescent="0.3">
      <c r="CY22179" s="34" t="s">
        <v>23106</v>
      </c>
      <c r="CZ22179" s="35">
        <v>318.77243623684211</v>
      </c>
    </row>
    <row r="22180" spans="103:104" x14ac:dyDescent="0.3">
      <c r="CY22180" s="34" t="s">
        <v>23107</v>
      </c>
      <c r="CZ22180" s="35">
        <v>0.90744786184946225</v>
      </c>
    </row>
    <row r="22181" spans="103:104" x14ac:dyDescent="0.3">
      <c r="CY22181" s="34" t="s">
        <v>23108</v>
      </c>
      <c r="CZ22181" s="35">
        <v>3.1870290547368421</v>
      </c>
    </row>
    <row r="22182" spans="103:104" x14ac:dyDescent="0.3">
      <c r="CY22182" s="34" t="s">
        <v>23109</v>
      </c>
      <c r="CZ22182" s="35">
        <v>0.24430773684210524</v>
      </c>
    </row>
    <row r="22183" spans="103:104" x14ac:dyDescent="0.3">
      <c r="CY22183" s="34" t="s">
        <v>23110</v>
      </c>
      <c r="CZ22183" s="35">
        <v>0.28023820588235299</v>
      </c>
    </row>
    <row r="22184" spans="103:104" x14ac:dyDescent="0.3">
      <c r="CY22184" s="34" t="s">
        <v>23111</v>
      </c>
      <c r="CZ22184" s="35">
        <v>0.23414355263157899</v>
      </c>
    </row>
    <row r="22185" spans="103:104" x14ac:dyDescent="0.3">
      <c r="CY22185" s="34" t="s">
        <v>23112</v>
      </c>
      <c r="CZ22185" s="35">
        <v>0.43598280303029086</v>
      </c>
    </row>
    <row r="22186" spans="103:104" x14ac:dyDescent="0.3">
      <c r="CY22186" s="34" t="s">
        <v>23113</v>
      </c>
      <c r="CZ22186" s="35">
        <v>0.87773259309751583</v>
      </c>
    </row>
    <row r="22187" spans="103:104" x14ac:dyDescent="0.3">
      <c r="CY22187" s="34" t="s">
        <v>23114</v>
      </c>
      <c r="CZ22187" s="35">
        <v>1.2664878070175439E-2</v>
      </c>
    </row>
    <row r="22188" spans="103:104" x14ac:dyDescent="0.3">
      <c r="CY22188" s="34" t="s">
        <v>23115</v>
      </c>
      <c r="CZ22188" s="35">
        <v>2.7733333333333334E-5</v>
      </c>
    </row>
    <row r="22189" spans="103:104" x14ac:dyDescent="0.3">
      <c r="CY22189" s="34" t="s">
        <v>23116</v>
      </c>
      <c r="CZ22189" s="35">
        <v>1.9977199999999997E-3</v>
      </c>
    </row>
    <row r="22190" spans="103:104" x14ac:dyDescent="0.3">
      <c r="CY22190" s="34" t="s">
        <v>23117</v>
      </c>
      <c r="CZ22190" s="35">
        <v>8.66076E-3</v>
      </c>
    </row>
    <row r="22191" spans="103:104" x14ac:dyDescent="0.3">
      <c r="CY22191" s="34" t="s">
        <v>23118</v>
      </c>
      <c r="CZ22191" s="35">
        <v>2.3316107999999999E-2</v>
      </c>
    </row>
    <row r="22192" spans="103:104" x14ac:dyDescent="0.3">
      <c r="CY22192" s="34" t="s">
        <v>23119</v>
      </c>
      <c r="CZ22192" s="35">
        <v>2.5115030700000002E-2</v>
      </c>
    </row>
    <row r="22193" spans="103:104" x14ac:dyDescent="0.3">
      <c r="CY22193" s="34" t="s">
        <v>23120</v>
      </c>
      <c r="CZ22193" s="35">
        <v>3.5978799199999998E-3</v>
      </c>
    </row>
    <row r="22194" spans="103:104" x14ac:dyDescent="0.3">
      <c r="CY22194" s="34" t="s">
        <v>23121</v>
      </c>
      <c r="CZ22194" s="35">
        <v>3.5978799200000002E-3</v>
      </c>
    </row>
    <row r="22195" spans="103:104" x14ac:dyDescent="0.3">
      <c r="CY22195" s="34" t="s">
        <v>23122</v>
      </c>
      <c r="CZ22195" s="35">
        <v>2.075E-4</v>
      </c>
    </row>
    <row r="22196" spans="103:104" x14ac:dyDescent="0.3">
      <c r="CY22196" s="34" t="s">
        <v>23123</v>
      </c>
      <c r="CZ22196" s="35">
        <v>8.9916999999999997E-2</v>
      </c>
    </row>
    <row r="22197" spans="103:104" x14ac:dyDescent="0.3">
      <c r="CY22197" s="34" t="s">
        <v>23124</v>
      </c>
      <c r="CZ22197" s="35">
        <v>8.9917000000000011E-2</v>
      </c>
    </row>
    <row r="22198" spans="103:104" x14ac:dyDescent="0.3">
      <c r="CY22198" s="34" t="s">
        <v>23125</v>
      </c>
      <c r="CZ22198" s="35">
        <v>9.5133460000000006E-3</v>
      </c>
    </row>
    <row r="22199" spans="103:104" x14ac:dyDescent="0.3">
      <c r="CY22199" s="34" t="s">
        <v>23126</v>
      </c>
      <c r="CZ22199" s="35">
        <v>6.7839160000000001E-3</v>
      </c>
    </row>
    <row r="22200" spans="103:104" x14ac:dyDescent="0.3">
      <c r="CY22200" s="34" t="s">
        <v>23127</v>
      </c>
      <c r="CZ22200" s="35">
        <v>6.7839159999999983E-3</v>
      </c>
    </row>
    <row r="22201" spans="103:104" x14ac:dyDescent="0.3">
      <c r="CY22201" s="34" t="s">
        <v>23128</v>
      </c>
      <c r="CZ22201" s="35">
        <v>6.6390159999999993E-3</v>
      </c>
    </row>
    <row r="22202" spans="103:104" x14ac:dyDescent="0.3">
      <c r="CY22202" s="34" t="s">
        <v>23129</v>
      </c>
      <c r="CZ22202" s="35">
        <v>7.0445374999999998E-3</v>
      </c>
    </row>
    <row r="22203" spans="103:104" x14ac:dyDescent="0.3">
      <c r="CY22203" s="34" t="s">
        <v>23130</v>
      </c>
      <c r="CZ22203" s="35">
        <v>6.7839159999999992E-3</v>
      </c>
    </row>
    <row r="22204" spans="103:104" x14ac:dyDescent="0.3">
      <c r="CY22204" s="34" t="s">
        <v>23131</v>
      </c>
      <c r="CZ22204" s="35">
        <v>6.7839159999999983E-3</v>
      </c>
    </row>
    <row r="22205" spans="103:104" x14ac:dyDescent="0.3">
      <c r="CY22205" s="34" t="s">
        <v>23132</v>
      </c>
      <c r="CZ22205" s="35">
        <v>0.49281987999999999</v>
      </c>
    </row>
    <row r="22206" spans="103:104" x14ac:dyDescent="0.3">
      <c r="CY22206" s="34" t="s">
        <v>23133</v>
      </c>
      <c r="CZ22206" s="35">
        <v>1.957571E-2</v>
      </c>
    </row>
    <row r="22207" spans="103:104" x14ac:dyDescent="0.3">
      <c r="CY22207" s="34" t="s">
        <v>23134</v>
      </c>
      <c r="CZ22207" s="35">
        <v>0.20182016000000003</v>
      </c>
    </row>
    <row r="22208" spans="103:104" x14ac:dyDescent="0.3">
      <c r="CY22208" s="34" t="s">
        <v>23135</v>
      </c>
      <c r="CZ22208" s="35">
        <v>4.1985389999999994E-3</v>
      </c>
    </row>
    <row r="22209" spans="103:104" x14ac:dyDescent="0.3">
      <c r="CY22209" s="34" t="s">
        <v>23136</v>
      </c>
      <c r="CZ22209" s="35">
        <v>3.7079112E-3</v>
      </c>
    </row>
    <row r="22210" spans="103:104" x14ac:dyDescent="0.3">
      <c r="CY22210" s="34" t="s">
        <v>23137</v>
      </c>
      <c r="CZ22210" s="35">
        <v>1.0172481332000001E-2</v>
      </c>
    </row>
    <row r="22211" spans="103:104" x14ac:dyDescent="0.3">
      <c r="CY22211" s="34" t="s">
        <v>23138</v>
      </c>
      <c r="CZ22211" s="35">
        <v>2.6761833331999999E-2</v>
      </c>
    </row>
    <row r="22212" spans="103:104" x14ac:dyDescent="0.3">
      <c r="CY22212" s="34" t="s">
        <v>23139</v>
      </c>
      <c r="CZ22212" s="35">
        <v>5.8484399999999995E-4</v>
      </c>
    </row>
    <row r="22213" spans="103:104" x14ac:dyDescent="0.3">
      <c r="CY22213" s="34" t="s">
        <v>23140</v>
      </c>
      <c r="CZ22213" s="35">
        <v>1.8954992E-2</v>
      </c>
    </row>
    <row r="22214" spans="103:104" x14ac:dyDescent="0.3">
      <c r="CY22214" s="34" t="s">
        <v>23141</v>
      </c>
      <c r="CZ22214" s="35">
        <v>2.8764712000000003E-3</v>
      </c>
    </row>
    <row r="22215" spans="103:104" x14ac:dyDescent="0.3">
      <c r="CY22215" s="34" t="s">
        <v>23142</v>
      </c>
      <c r="CZ22215" s="35">
        <v>2.8052249999999997E-3</v>
      </c>
    </row>
    <row r="22216" spans="103:104" x14ac:dyDescent="0.3">
      <c r="CY22216" s="34" t="s">
        <v>23143</v>
      </c>
      <c r="CZ22216" s="35">
        <v>7.6382240000000007E-4</v>
      </c>
    </row>
    <row r="22217" spans="103:104" x14ac:dyDescent="0.3">
      <c r="CY22217" s="34" t="s">
        <v>23144</v>
      </c>
      <c r="CZ22217" s="35">
        <v>0.275591576</v>
      </c>
    </row>
    <row r="22218" spans="103:104" x14ac:dyDescent="0.3">
      <c r="CY22218" s="34" t="s">
        <v>23145</v>
      </c>
      <c r="CZ22218" s="35">
        <v>4.1476772500000002E-2</v>
      </c>
    </row>
    <row r="22219" spans="103:104" x14ac:dyDescent="0.3">
      <c r="CY22219" s="34" t="s">
        <v>23146</v>
      </c>
      <c r="CZ22219" s="35">
        <v>4.3647618285714285E-2</v>
      </c>
    </row>
    <row r="22220" spans="103:104" x14ac:dyDescent="0.3">
      <c r="CY22220" s="34" t="s">
        <v>23147</v>
      </c>
      <c r="CZ22220" s="35">
        <v>4.3647618285714285E-2</v>
      </c>
    </row>
    <row r="22221" spans="103:104" x14ac:dyDescent="0.3">
      <c r="CY22221" s="34" t="s">
        <v>23148</v>
      </c>
      <c r="CZ22221" s="35">
        <v>1.3776179999999999E-2</v>
      </c>
    </row>
    <row r="22222" spans="103:104" x14ac:dyDescent="0.3">
      <c r="CY22222" s="34" t="s">
        <v>23149</v>
      </c>
      <c r="CZ22222" s="35">
        <v>4.9513499999999995E-2</v>
      </c>
    </row>
    <row r="22223" spans="103:104" x14ac:dyDescent="0.3">
      <c r="CY22223" s="34" t="s">
        <v>23150</v>
      </c>
      <c r="CZ22223" s="35">
        <v>0.72222785</v>
      </c>
    </row>
    <row r="22224" spans="103:104" x14ac:dyDescent="0.3">
      <c r="CY22224" s="34" t="s">
        <v>23151</v>
      </c>
      <c r="CZ22224" s="35">
        <v>0.44619119999999995</v>
      </c>
    </row>
    <row r="22225" spans="103:104" x14ac:dyDescent="0.3">
      <c r="CY22225" s="34" t="s">
        <v>23152</v>
      </c>
      <c r="CZ22225" s="35">
        <v>0.14873040000000001</v>
      </c>
    </row>
    <row r="22226" spans="103:104" x14ac:dyDescent="0.3">
      <c r="CY22226" s="34" t="s">
        <v>23153</v>
      </c>
      <c r="CZ22226" s="35">
        <v>0.35465576666666671</v>
      </c>
    </row>
    <row r="22227" spans="103:104" x14ac:dyDescent="0.3">
      <c r="CY22227" s="34" t="s">
        <v>23154</v>
      </c>
      <c r="CZ22227" s="35">
        <v>1.0014901999999999E-2</v>
      </c>
    </row>
    <row r="22228" spans="103:104" x14ac:dyDescent="0.3">
      <c r="CY22228" s="34" t="s">
        <v>23155</v>
      </c>
      <c r="CZ22228" s="35">
        <v>3.1099999999999997E-4</v>
      </c>
    </row>
    <row r="22229" spans="103:104" x14ac:dyDescent="0.3">
      <c r="CY22229" s="34" t="s">
        <v>23156</v>
      </c>
      <c r="CZ22229" s="35">
        <v>1.1656959999999999E-2</v>
      </c>
    </row>
    <row r="22230" spans="103:104" x14ac:dyDescent="0.3">
      <c r="CY22230" s="34" t="s">
        <v>23157</v>
      </c>
      <c r="CZ22230" s="35">
        <v>1.1068165999999998E-3</v>
      </c>
    </row>
    <row r="22231" spans="103:104" x14ac:dyDescent="0.3">
      <c r="CY22231" s="34" t="s">
        <v>23158</v>
      </c>
      <c r="CZ22231" s="35">
        <v>3.041867411111111E-2</v>
      </c>
    </row>
    <row r="22232" spans="103:104" x14ac:dyDescent="0.3">
      <c r="CY22232" s="34" t="s">
        <v>23159</v>
      </c>
      <c r="CZ22232" s="35">
        <v>0.18591060000000001</v>
      </c>
    </row>
    <row r="22233" spans="103:104" x14ac:dyDescent="0.3">
      <c r="CY22233" s="34" t="s">
        <v>23160</v>
      </c>
      <c r="CZ22233" s="35">
        <v>0.221577</v>
      </c>
    </row>
    <row r="22234" spans="103:104" x14ac:dyDescent="0.3">
      <c r="CY22234" s="34" t="s">
        <v>23161</v>
      </c>
      <c r="CZ22234" s="35">
        <v>0.13472099999999998</v>
      </c>
    </row>
    <row r="22235" spans="103:104" x14ac:dyDescent="0.3">
      <c r="CY22235" s="34" t="s">
        <v>23162</v>
      </c>
      <c r="CZ22235" s="35">
        <v>6.7421520000000004E-3</v>
      </c>
    </row>
    <row r="22236" spans="103:104" x14ac:dyDescent="0.3">
      <c r="CY22236" s="34" t="s">
        <v>23163</v>
      </c>
      <c r="CZ22236" s="35">
        <v>4.7799128000000003E-2</v>
      </c>
    </row>
    <row r="22237" spans="103:104" x14ac:dyDescent="0.3">
      <c r="CY22237" s="34" t="s">
        <v>23164</v>
      </c>
      <c r="CZ22237" s="35">
        <v>1.8199312000000002E-2</v>
      </c>
    </row>
    <row r="22238" spans="103:104" x14ac:dyDescent="0.3">
      <c r="CY22238" s="34" t="s">
        <v>23165</v>
      </c>
      <c r="CZ22238" s="35">
        <v>6.2294694666666671E-2</v>
      </c>
    </row>
    <row r="22239" spans="103:104" x14ac:dyDescent="0.3">
      <c r="CY22239" s="34" t="s">
        <v>23166</v>
      </c>
      <c r="CZ22239" s="35">
        <v>1.0318379999999998E-3</v>
      </c>
    </row>
    <row r="22240" spans="103:104" x14ac:dyDescent="0.3">
      <c r="CY22240" s="34" t="s">
        <v>23167</v>
      </c>
      <c r="CZ22240" s="35">
        <v>3.6501279999999997E-2</v>
      </c>
    </row>
    <row r="22241" spans="103:104" x14ac:dyDescent="0.3">
      <c r="CY22241" s="34" t="s">
        <v>23168</v>
      </c>
      <c r="CZ22241" s="35">
        <v>3.7499690000000002E-2</v>
      </c>
    </row>
    <row r="22242" spans="103:104" x14ac:dyDescent="0.3">
      <c r="CY22242" s="34" t="s">
        <v>23169</v>
      </c>
      <c r="CZ22242" s="35">
        <v>7.3020640000000012E-2</v>
      </c>
    </row>
    <row r="22243" spans="103:104" x14ac:dyDescent="0.3">
      <c r="CY22243" s="34" t="s">
        <v>23170</v>
      </c>
      <c r="CZ22243" s="35">
        <v>9.9465690000000006E-3</v>
      </c>
    </row>
    <row r="22244" spans="103:104" x14ac:dyDescent="0.3">
      <c r="CY22244" s="34" t="s">
        <v>23171</v>
      </c>
      <c r="CZ22244" s="35">
        <v>1.0109692999999999E-2</v>
      </c>
    </row>
    <row r="22245" spans="103:104" x14ac:dyDescent="0.3">
      <c r="CY22245" s="34" t="s">
        <v>23172</v>
      </c>
      <c r="CZ22245" s="35">
        <v>1.2529877E-2</v>
      </c>
    </row>
    <row r="22246" spans="103:104" x14ac:dyDescent="0.3">
      <c r="CY22246" s="34" t="s">
        <v>23173</v>
      </c>
      <c r="CZ22246" s="35">
        <v>2.1379875999999999E-2</v>
      </c>
    </row>
    <row r="22247" spans="103:104" x14ac:dyDescent="0.3">
      <c r="CY22247" s="34" t="s">
        <v>23174</v>
      </c>
      <c r="CZ22247" s="35">
        <v>1.089242E-3</v>
      </c>
    </row>
    <row r="22248" spans="103:104" x14ac:dyDescent="0.3">
      <c r="CY22248" s="34" t="s">
        <v>23175</v>
      </c>
      <c r="CZ22248" s="35">
        <v>9.4052999999999997E-4</v>
      </c>
    </row>
    <row r="22249" spans="103:104" x14ac:dyDescent="0.3">
      <c r="CY22249" s="34" t="s">
        <v>23176</v>
      </c>
      <c r="CZ22249" s="35">
        <v>1.1199596000000001E-2</v>
      </c>
    </row>
    <row r="22250" spans="103:104" x14ac:dyDescent="0.3">
      <c r="CY22250" s="34" t="s">
        <v>23177</v>
      </c>
      <c r="CZ22250" s="35">
        <v>1.1199596000000001E-2</v>
      </c>
    </row>
    <row r="22251" spans="103:104" x14ac:dyDescent="0.3">
      <c r="CY22251" s="34" t="s">
        <v>23178</v>
      </c>
      <c r="CZ22251" s="35">
        <v>6.0621E-3</v>
      </c>
    </row>
    <row r="22252" spans="103:104" x14ac:dyDescent="0.3">
      <c r="CY22252" s="34" t="s">
        <v>23179</v>
      </c>
      <c r="CZ22252" s="35">
        <v>1.0257E-2</v>
      </c>
    </row>
    <row r="22253" spans="103:104" x14ac:dyDescent="0.3">
      <c r="CY22253" s="34" t="s">
        <v>23180</v>
      </c>
      <c r="CZ22253" s="35">
        <v>2.4262499999999999E-2</v>
      </c>
    </row>
    <row r="22254" spans="103:104" x14ac:dyDescent="0.3">
      <c r="CY22254" s="34" t="s">
        <v>23181</v>
      </c>
      <c r="CZ22254" s="35">
        <v>1.0980833333333334E-2</v>
      </c>
    </row>
    <row r="22255" spans="103:104" x14ac:dyDescent="0.3">
      <c r="CY22255" s="34" t="s">
        <v>23182</v>
      </c>
      <c r="CZ22255" s="35">
        <v>1.4481111111111111E-2</v>
      </c>
    </row>
    <row r="22256" spans="103:104" x14ac:dyDescent="0.3">
      <c r="CY22256" s="34" t="s">
        <v>23183</v>
      </c>
      <c r="CZ22256" s="35">
        <v>2.2491666666666667E-2</v>
      </c>
    </row>
    <row r="22257" spans="103:104" x14ac:dyDescent="0.3">
      <c r="CY22257" s="34" t="s">
        <v>23184</v>
      </c>
      <c r="CZ22257" s="35">
        <v>0.43451602000000006</v>
      </c>
    </row>
    <row r="22258" spans="103:104" x14ac:dyDescent="0.3">
      <c r="CY22258" s="34" t="s">
        <v>23185</v>
      </c>
      <c r="CZ22258" s="35">
        <v>0.26787852000000006</v>
      </c>
    </row>
    <row r="22259" spans="103:104" x14ac:dyDescent="0.3">
      <c r="CY22259" s="34" t="s">
        <v>23186</v>
      </c>
      <c r="CZ22259" s="35">
        <v>4.0167500000000004E-3</v>
      </c>
    </row>
    <row r="22260" spans="103:104" x14ac:dyDescent="0.3">
      <c r="CY22260" s="34" t="s">
        <v>23187</v>
      </c>
      <c r="CZ22260" s="35">
        <v>5.6924999999999999E-4</v>
      </c>
    </row>
    <row r="22261" spans="103:104" x14ac:dyDescent="0.3">
      <c r="CY22261" s="34" t="s">
        <v>23188</v>
      </c>
      <c r="CZ22261" s="35">
        <v>2.1814064000000001E-2</v>
      </c>
    </row>
    <row r="22262" spans="103:104" x14ac:dyDescent="0.3">
      <c r="CY22262" s="34" t="s">
        <v>23189</v>
      </c>
      <c r="CZ22262" s="35">
        <v>2.1814064000000001E-2</v>
      </c>
    </row>
    <row r="22263" spans="103:104" x14ac:dyDescent="0.3">
      <c r="CY22263" s="34" t="s">
        <v>23190</v>
      </c>
      <c r="CZ22263" s="35">
        <v>2.2134064000000002E-2</v>
      </c>
    </row>
    <row r="22264" spans="103:104" x14ac:dyDescent="0.3">
      <c r="CY22264" s="34" t="s">
        <v>23191</v>
      </c>
      <c r="CZ22264" s="35">
        <v>2.2134064000000002E-2</v>
      </c>
    </row>
    <row r="22265" spans="103:104" x14ac:dyDescent="0.3">
      <c r="CY22265" s="34" t="s">
        <v>23192</v>
      </c>
      <c r="CZ22265" s="35">
        <v>1.3792992000000002E-2</v>
      </c>
    </row>
    <row r="22266" spans="103:104" x14ac:dyDescent="0.3">
      <c r="CY22266" s="34" t="s">
        <v>23193</v>
      </c>
      <c r="CZ22266" s="35">
        <v>8.7136230443974629E-4</v>
      </c>
    </row>
    <row r="22267" spans="103:104" x14ac:dyDescent="0.3">
      <c r="CY22267" s="34" t="s">
        <v>23194</v>
      </c>
      <c r="CZ22267" s="35">
        <v>0.14718506666666667</v>
      </c>
    </row>
    <row r="22268" spans="103:104" x14ac:dyDescent="0.3">
      <c r="CY22268" s="34" t="s">
        <v>23195</v>
      </c>
      <c r="CZ22268" s="35">
        <v>2.425778E-2</v>
      </c>
    </row>
    <row r="22269" spans="103:104" x14ac:dyDescent="0.3">
      <c r="CY22269" s="34" t="s">
        <v>23196</v>
      </c>
      <c r="CZ22269" s="35">
        <v>1.4886333333333334E-3</v>
      </c>
    </row>
    <row r="22270" spans="103:104" x14ac:dyDescent="0.3">
      <c r="CY22270" s="34" t="s">
        <v>23197</v>
      </c>
      <c r="CZ22270" s="35">
        <v>8.7511100000000012E-3</v>
      </c>
    </row>
    <row r="22271" spans="103:104" x14ac:dyDescent="0.3">
      <c r="CY22271" s="34" t="s">
        <v>23198</v>
      </c>
      <c r="CZ22271" s="35">
        <v>4.2483E-2</v>
      </c>
    </row>
    <row r="22272" spans="103:104" x14ac:dyDescent="0.3">
      <c r="CY22272" s="34" t="s">
        <v>23199</v>
      </c>
      <c r="CZ22272" s="35">
        <v>7.9011893333333339E-4</v>
      </c>
    </row>
    <row r="22273" spans="103:104" x14ac:dyDescent="0.3">
      <c r="CY22273" s="34" t="s">
        <v>23200</v>
      </c>
      <c r="CZ22273" s="35">
        <v>5.8147765000000004E-2</v>
      </c>
    </row>
    <row r="22274" spans="103:104" x14ac:dyDescent="0.3">
      <c r="CY22274" s="34" t="s">
        <v>23201</v>
      </c>
      <c r="CZ22274" s="35">
        <v>8.9332576000000004E-4</v>
      </c>
    </row>
    <row r="22275" spans="103:104" x14ac:dyDescent="0.3">
      <c r="CY22275" s="34" t="s">
        <v>23202</v>
      </c>
      <c r="CZ22275" s="35">
        <v>2.4847364E-2</v>
      </c>
    </row>
    <row r="22276" spans="103:104" x14ac:dyDescent="0.3">
      <c r="CY22276" s="34" t="s">
        <v>23203</v>
      </c>
      <c r="CZ22276" s="35">
        <v>1.664148E-2</v>
      </c>
    </row>
    <row r="22277" spans="103:104" x14ac:dyDescent="0.3">
      <c r="CY22277" s="34" t="s">
        <v>23204</v>
      </c>
      <c r="CZ22277" s="35">
        <v>1.4804532400000001E-2</v>
      </c>
    </row>
    <row r="22278" spans="103:104" x14ac:dyDescent="0.3">
      <c r="CY22278" s="34" t="s">
        <v>23205</v>
      </c>
      <c r="CZ22278" s="35">
        <v>2.3277132000000002E-2</v>
      </c>
    </row>
    <row r="22279" spans="103:104" x14ac:dyDescent="0.3">
      <c r="CY22279" s="34" t="s">
        <v>23206</v>
      </c>
      <c r="CZ22279" s="35">
        <v>5.3228599999999996E-3</v>
      </c>
    </row>
    <row r="22280" spans="103:104" x14ac:dyDescent="0.3">
      <c r="CY22280" s="34" t="s">
        <v>23207</v>
      </c>
      <c r="CZ22280" s="35">
        <v>1.4201561999999999E-2</v>
      </c>
    </row>
    <row r="22281" spans="103:104" x14ac:dyDescent="0.3">
      <c r="CY22281" s="34" t="s">
        <v>23208</v>
      </c>
      <c r="CZ22281" s="35">
        <v>1.7012238799999999E-2</v>
      </c>
    </row>
    <row r="22282" spans="103:104" x14ac:dyDescent="0.3">
      <c r="CY22282" s="34" t="s">
        <v>23209</v>
      </c>
      <c r="CZ22282" s="35">
        <v>1.8960132000000001E-2</v>
      </c>
    </row>
    <row r="22283" spans="103:104" x14ac:dyDescent="0.3">
      <c r="CY22283" s="34" t="s">
        <v>23210</v>
      </c>
      <c r="CZ22283" s="35">
        <v>3.2516020000000002E-4</v>
      </c>
    </row>
    <row r="22284" spans="103:104" x14ac:dyDescent="0.3">
      <c r="CY22284" s="34" t="s">
        <v>23211</v>
      </c>
      <c r="CZ22284" s="35">
        <v>0.15985469176470588</v>
      </c>
    </row>
    <row r="22285" spans="103:104" x14ac:dyDescent="0.3">
      <c r="CY22285" s="34" t="s">
        <v>23212</v>
      </c>
      <c r="CZ22285" s="35">
        <v>1.9589163999999999E-2</v>
      </c>
    </row>
    <row r="22286" spans="103:104" x14ac:dyDescent="0.3">
      <c r="CY22286" s="34" t="s">
        <v>23213</v>
      </c>
      <c r="CZ22286" s="35">
        <v>1.9829164000000003E-2</v>
      </c>
    </row>
    <row r="22287" spans="103:104" x14ac:dyDescent="0.3">
      <c r="CY22287" s="34" t="s">
        <v>23214</v>
      </c>
      <c r="CZ22287" s="35">
        <v>1.9829164E-2</v>
      </c>
    </row>
    <row r="22288" spans="103:104" x14ac:dyDescent="0.3">
      <c r="CY22288" s="34" t="s">
        <v>23215</v>
      </c>
      <c r="CZ22288" s="35">
        <v>0.13639573067499999</v>
      </c>
    </row>
    <row r="22289" spans="103:104" x14ac:dyDescent="0.3">
      <c r="CY22289" s="34" t="s">
        <v>23216</v>
      </c>
      <c r="CZ22289" s="35">
        <v>0.16204306667500001</v>
      </c>
    </row>
    <row r="22290" spans="103:104" x14ac:dyDescent="0.3">
      <c r="CY22290" s="34" t="s">
        <v>23217</v>
      </c>
      <c r="CZ22290" s="35">
        <v>6.7063040000000006E-3</v>
      </c>
    </row>
    <row r="22291" spans="103:104" x14ac:dyDescent="0.3">
      <c r="CY22291" s="34" t="s">
        <v>23218</v>
      </c>
      <c r="CZ22291" s="35">
        <v>5.4587510000000006E-4</v>
      </c>
    </row>
    <row r="22292" spans="103:104" x14ac:dyDescent="0.3">
      <c r="CY22292" s="34" t="s">
        <v>23219</v>
      </c>
      <c r="CZ22292" s="35">
        <v>1.2058479999999998E-3</v>
      </c>
    </row>
    <row r="22293" spans="103:104" x14ac:dyDescent="0.3">
      <c r="CY22293" s="34" t="s">
        <v>23220</v>
      </c>
      <c r="CZ22293" s="35">
        <v>1.385348E-3</v>
      </c>
    </row>
    <row r="22294" spans="103:104" x14ac:dyDescent="0.3">
      <c r="CY22294" s="34" t="s">
        <v>23221</v>
      </c>
      <c r="CZ22294" s="35">
        <v>7.9416799999999996E-2</v>
      </c>
    </row>
    <row r="22295" spans="103:104" x14ac:dyDescent="0.3">
      <c r="CY22295" s="34" t="s">
        <v>23222</v>
      </c>
      <c r="CZ22295" s="35">
        <v>1.0595003999999998E-3</v>
      </c>
    </row>
    <row r="22296" spans="103:104" x14ac:dyDescent="0.3">
      <c r="CY22296" s="34" t="s">
        <v>23223</v>
      </c>
      <c r="CZ22296" s="35">
        <v>9.7554159999999994E-3</v>
      </c>
    </row>
    <row r="22297" spans="103:104" x14ac:dyDescent="0.3">
      <c r="CY22297" s="34" t="s">
        <v>23224</v>
      </c>
      <c r="CZ22297" s="35">
        <v>4.2319999999999999E-4</v>
      </c>
    </row>
    <row r="22298" spans="103:104" x14ac:dyDescent="0.3">
      <c r="CY22298" s="34" t="s">
        <v>23225</v>
      </c>
      <c r="CZ22298" s="35">
        <v>6.2061046666666668E-2</v>
      </c>
    </row>
    <row r="22299" spans="103:104" x14ac:dyDescent="0.3">
      <c r="CY22299" s="34" t="s">
        <v>23226</v>
      </c>
      <c r="CZ22299" s="35">
        <v>0.30336266666666661</v>
      </c>
    </row>
    <row r="22300" spans="103:104" x14ac:dyDescent="0.3">
      <c r="CY22300" s="34" t="s">
        <v>23227</v>
      </c>
      <c r="CZ22300" s="35">
        <v>6.2061046666666668E-2</v>
      </c>
    </row>
    <row r="22301" spans="103:104" x14ac:dyDescent="0.3">
      <c r="CY22301" s="34" t="s">
        <v>23228</v>
      </c>
      <c r="CZ22301" s="35">
        <v>0.30336266666666661</v>
      </c>
    </row>
    <row r="22302" spans="103:104" x14ac:dyDescent="0.3">
      <c r="CY22302" s="34" t="s">
        <v>23229</v>
      </c>
      <c r="CZ22302" s="35">
        <v>6.2061046666666668E-2</v>
      </c>
    </row>
    <row r="22303" spans="103:104" x14ac:dyDescent="0.3">
      <c r="CY22303" s="34" t="s">
        <v>23230</v>
      </c>
      <c r="CZ22303" s="35">
        <v>0.30336266666666661</v>
      </c>
    </row>
    <row r="22304" spans="103:104" x14ac:dyDescent="0.3">
      <c r="CY22304" s="34" t="s">
        <v>23231</v>
      </c>
      <c r="CZ22304" s="35">
        <v>6.2061046666666668E-2</v>
      </c>
    </row>
    <row r="22305" spans="103:104" x14ac:dyDescent="0.3">
      <c r="CY22305" s="34" t="s">
        <v>23232</v>
      </c>
      <c r="CZ22305" s="35">
        <v>0.30336266666666661</v>
      </c>
    </row>
    <row r="22306" spans="103:104" x14ac:dyDescent="0.3">
      <c r="CY22306" s="34" t="s">
        <v>23233</v>
      </c>
      <c r="CZ22306" s="35">
        <v>3.24498462E-2</v>
      </c>
    </row>
    <row r="22307" spans="103:104" x14ac:dyDescent="0.3">
      <c r="CY22307" s="34" t="s">
        <v>23234</v>
      </c>
      <c r="CZ22307" s="35">
        <v>0.11596229600000001</v>
      </c>
    </row>
    <row r="22308" spans="103:104" x14ac:dyDescent="0.3">
      <c r="CY22308" s="34" t="s">
        <v>23235</v>
      </c>
      <c r="CZ22308" s="35">
        <v>1.3364138000000001E-2</v>
      </c>
    </row>
    <row r="22309" spans="103:104" x14ac:dyDescent="0.3">
      <c r="CY22309" s="34" t="s">
        <v>23236</v>
      </c>
      <c r="CZ22309" s="35">
        <v>1.1638950675000001E-2</v>
      </c>
    </row>
    <row r="22310" spans="103:104" x14ac:dyDescent="0.3">
      <c r="CY22310" s="34" t="s">
        <v>23237</v>
      </c>
      <c r="CZ22310" s="35">
        <v>7.5020176000000008E-2</v>
      </c>
    </row>
    <row r="22311" spans="103:104" x14ac:dyDescent="0.3">
      <c r="CY22311" s="34" t="s">
        <v>23238</v>
      </c>
      <c r="CZ22311" s="35">
        <v>7.3650703999999997E-2</v>
      </c>
    </row>
    <row r="22312" spans="103:104" x14ac:dyDescent="0.3">
      <c r="CY22312" s="34" t="s">
        <v>23239</v>
      </c>
      <c r="CZ22312" s="35">
        <v>4.73972E-2</v>
      </c>
    </row>
    <row r="22313" spans="103:104" x14ac:dyDescent="0.3">
      <c r="CY22313" s="34" t="s">
        <v>23240</v>
      </c>
      <c r="CZ22313" s="35">
        <v>3.680916E-2</v>
      </c>
    </row>
    <row r="22314" spans="103:104" x14ac:dyDescent="0.3">
      <c r="CY22314" s="34" t="s">
        <v>23241</v>
      </c>
      <c r="CZ22314" s="35">
        <v>3.2263680000000003E-3</v>
      </c>
    </row>
    <row r="22315" spans="103:104" x14ac:dyDescent="0.3">
      <c r="CY22315" s="34" t="s">
        <v>23242</v>
      </c>
      <c r="CZ22315" s="35">
        <v>9.1894955500000014E-2</v>
      </c>
    </row>
    <row r="22316" spans="103:104" x14ac:dyDescent="0.3">
      <c r="CY22316" s="34" t="s">
        <v>23243</v>
      </c>
      <c r="CZ22316" s="35">
        <v>1.8960132000000001E-2</v>
      </c>
    </row>
    <row r="22317" spans="103:104" x14ac:dyDescent="0.3">
      <c r="CY22317" s="34" t="s">
        <v>23244</v>
      </c>
      <c r="CZ22317" s="35">
        <v>3.2148558222222226E-3</v>
      </c>
    </row>
    <row r="22318" spans="103:104" x14ac:dyDescent="0.3">
      <c r="CY22318" s="34" t="s">
        <v>23245</v>
      </c>
      <c r="CZ22318" s="35">
        <v>3.2473403999999997E-3</v>
      </c>
    </row>
    <row r="22319" spans="103:104" x14ac:dyDescent="0.3">
      <c r="CY22319" s="34" t="s">
        <v>23246</v>
      </c>
      <c r="CZ22319" s="35">
        <v>4.4451648000000009E-3</v>
      </c>
    </row>
    <row r="22320" spans="103:104" x14ac:dyDescent="0.3">
      <c r="CY22320" s="34" t="s">
        <v>23247</v>
      </c>
      <c r="CZ22320" s="35">
        <v>3.2082258000000002E-3</v>
      </c>
    </row>
    <row r="22321" spans="103:104" x14ac:dyDescent="0.3">
      <c r="CY22321" s="34" t="s">
        <v>23248</v>
      </c>
      <c r="CZ22321" s="35">
        <v>1.4164059999999999E-2</v>
      </c>
    </row>
    <row r="22322" spans="103:104" x14ac:dyDescent="0.3">
      <c r="CY22322" s="34" t="s">
        <v>23249</v>
      </c>
      <c r="CZ22322" s="35">
        <v>4.8037399999999994E-2</v>
      </c>
    </row>
    <row r="22323" spans="103:104" x14ac:dyDescent="0.3">
      <c r="CY22323" s="34" t="s">
        <v>23250</v>
      </c>
      <c r="CZ22323" s="35">
        <v>1.5235299999999999E-3</v>
      </c>
    </row>
    <row r="22324" spans="103:104" x14ac:dyDescent="0.3">
      <c r="CY22324" s="34" t="s">
        <v>23251</v>
      </c>
      <c r="CZ22324" s="35">
        <v>2.8049071999999998E-2</v>
      </c>
    </row>
    <row r="22325" spans="103:104" x14ac:dyDescent="0.3">
      <c r="CY22325" s="34" t="s">
        <v>23252</v>
      </c>
      <c r="CZ22325" s="35">
        <v>1.3356228449999999E-2</v>
      </c>
    </row>
    <row r="22326" spans="103:104" x14ac:dyDescent="0.3">
      <c r="CY22326" s="34" t="s">
        <v>23253</v>
      </c>
      <c r="CZ22326" s="35">
        <v>4.3759456000000002E-3</v>
      </c>
    </row>
    <row r="22327" spans="103:104" x14ac:dyDescent="0.3">
      <c r="CY22327" s="34" t="s">
        <v>23254</v>
      </c>
      <c r="CZ22327" s="35">
        <v>4.7996480000000001E-3</v>
      </c>
    </row>
    <row r="22328" spans="103:104" x14ac:dyDescent="0.3">
      <c r="CY22328" s="34" t="s">
        <v>23255</v>
      </c>
      <c r="CZ22328" s="35">
        <v>3.7547552000000003E-3</v>
      </c>
    </row>
    <row r="22329" spans="103:104" x14ac:dyDescent="0.3">
      <c r="CY22329" s="34" t="s">
        <v>23256</v>
      </c>
      <c r="CZ22329" s="35">
        <v>2.9380722222222219E-3</v>
      </c>
    </row>
    <row r="22330" spans="103:104" x14ac:dyDescent="0.3">
      <c r="CY22330" s="34" t="s">
        <v>23257</v>
      </c>
      <c r="CZ22330" s="35">
        <v>8.6419490000000008E-4</v>
      </c>
    </row>
    <row r="22331" spans="103:104" x14ac:dyDescent="0.3">
      <c r="CY22331" s="34" t="s">
        <v>23258</v>
      </c>
      <c r="CZ22331" s="35">
        <v>1.03968752E-3</v>
      </c>
    </row>
    <row r="22332" spans="103:104" x14ac:dyDescent="0.3">
      <c r="CY22332" s="34" t="s">
        <v>23259</v>
      </c>
      <c r="CZ22332" s="35">
        <v>8.9130812499999997E-3</v>
      </c>
    </row>
    <row r="22333" spans="103:104" x14ac:dyDescent="0.3">
      <c r="CY22333" s="34" t="s">
        <v>23260</v>
      </c>
      <c r="CZ22333" s="35">
        <v>5.4076619999999997E-3</v>
      </c>
    </row>
    <row r="22334" spans="103:104" x14ac:dyDescent="0.3">
      <c r="CY22334" s="34" t="s">
        <v>23261</v>
      </c>
      <c r="CZ22334" s="35">
        <v>1.4031080000000001E-3</v>
      </c>
    </row>
    <row r="22335" spans="103:104" x14ac:dyDescent="0.3">
      <c r="CY22335" s="34" t="s">
        <v>23262</v>
      </c>
      <c r="CZ22335" s="35">
        <v>2.9661728000000003E-3</v>
      </c>
    </row>
    <row r="22336" spans="103:104" x14ac:dyDescent="0.3">
      <c r="CY22336" s="34" t="s">
        <v>23263</v>
      </c>
      <c r="CZ22336" s="35">
        <v>1.5792583999999998E-2</v>
      </c>
    </row>
    <row r="22337" spans="103:104" x14ac:dyDescent="0.3">
      <c r="CY22337" s="34" t="s">
        <v>23264</v>
      </c>
      <c r="CZ22337" s="35">
        <v>8.2179319999999998E-4</v>
      </c>
    </row>
    <row r="22338" spans="103:104" x14ac:dyDescent="0.3">
      <c r="CY22338" s="34" t="s">
        <v>23265</v>
      </c>
      <c r="CZ22338" s="35">
        <v>1.2171999999999999E-3</v>
      </c>
    </row>
    <row r="22339" spans="103:104" x14ac:dyDescent="0.3">
      <c r="CY22339" s="34" t="s">
        <v>23266</v>
      </c>
      <c r="CZ22339" s="35">
        <v>7.9406960000000006E-3</v>
      </c>
    </row>
    <row r="22340" spans="103:104" x14ac:dyDescent="0.3">
      <c r="CY22340" s="34" t="s">
        <v>23267</v>
      </c>
      <c r="CZ22340" s="35">
        <v>0.11381155200000001</v>
      </c>
    </row>
    <row r="22341" spans="103:104" x14ac:dyDescent="0.3">
      <c r="CY22341" s="34" t="s">
        <v>23268</v>
      </c>
      <c r="CZ22341" s="35">
        <v>7.0143623111111105E-3</v>
      </c>
    </row>
    <row r="22342" spans="103:104" x14ac:dyDescent="0.3">
      <c r="CY22342" s="34" t="s">
        <v>23269</v>
      </c>
      <c r="CZ22342" s="35">
        <v>3.0783E-3</v>
      </c>
    </row>
    <row r="22343" spans="103:104" x14ac:dyDescent="0.3">
      <c r="CY22343" s="34" t="s">
        <v>23270</v>
      </c>
      <c r="CZ22343" s="35">
        <v>2.6520249999999999E-2</v>
      </c>
    </row>
    <row r="22344" spans="103:104" x14ac:dyDescent="0.3">
      <c r="CY22344" s="34" t="s">
        <v>23271</v>
      </c>
      <c r="CZ22344" s="35">
        <v>1.551548E-3</v>
      </c>
    </row>
    <row r="22345" spans="103:104" x14ac:dyDescent="0.3">
      <c r="CY22345" s="34" t="s">
        <v>23272</v>
      </c>
      <c r="CZ22345" s="35">
        <v>4.1762649999999998E-2</v>
      </c>
    </row>
    <row r="22346" spans="103:104" x14ac:dyDescent="0.3">
      <c r="CY22346" s="34" t="s">
        <v>23273</v>
      </c>
      <c r="CZ22346" s="35">
        <v>0.27948693000000002</v>
      </c>
    </row>
    <row r="22347" spans="103:104" x14ac:dyDescent="0.3">
      <c r="CY22347" s="34" t="s">
        <v>23274</v>
      </c>
      <c r="CZ22347" s="35">
        <v>0.27948693000000002</v>
      </c>
    </row>
    <row r="22348" spans="103:104" x14ac:dyDescent="0.3">
      <c r="CY22348" s="34" t="s">
        <v>23275</v>
      </c>
      <c r="CZ22348" s="35">
        <v>8.0190776000000005E-3</v>
      </c>
    </row>
    <row r="22349" spans="103:104" x14ac:dyDescent="0.3">
      <c r="CY22349" s="34" t="s">
        <v>23276</v>
      </c>
      <c r="CZ22349" s="35">
        <v>1.6120232E-3</v>
      </c>
    </row>
    <row r="22350" spans="103:104" x14ac:dyDescent="0.3">
      <c r="CY22350" s="34" t="s">
        <v>23277</v>
      </c>
      <c r="CZ22350" s="35">
        <v>0.85097801333333334</v>
      </c>
    </row>
    <row r="22351" spans="103:104" x14ac:dyDescent="0.3">
      <c r="CY22351" s="34" t="s">
        <v>23278</v>
      </c>
      <c r="CZ22351" s="35">
        <v>0.56233867999999998</v>
      </c>
    </row>
    <row r="22352" spans="103:104" x14ac:dyDescent="0.3">
      <c r="CY22352" s="34" t="s">
        <v>23279</v>
      </c>
      <c r="CZ22352" s="35">
        <v>0.54071868000000001</v>
      </c>
    </row>
    <row r="22353" spans="103:104" x14ac:dyDescent="0.3">
      <c r="CY22353" s="34" t="s">
        <v>23280</v>
      </c>
      <c r="CZ22353" s="35">
        <v>9.3775000000000004E-3</v>
      </c>
    </row>
    <row r="22354" spans="103:104" x14ac:dyDescent="0.3">
      <c r="CY22354" s="34" t="s">
        <v>23281</v>
      </c>
      <c r="CZ22354" s="35">
        <v>1.1062770978500001E-2</v>
      </c>
    </row>
    <row r="22355" spans="103:104" x14ac:dyDescent="0.3">
      <c r="CY22355" s="34" t="s">
        <v>23282</v>
      </c>
      <c r="CZ22355" s="35">
        <v>8.3291530000000023E-3</v>
      </c>
    </row>
    <row r="22356" spans="103:104" x14ac:dyDescent="0.3">
      <c r="CY22356" s="34" t="s">
        <v>23283</v>
      </c>
      <c r="CZ22356" s="35">
        <v>8.3291530000000006E-3</v>
      </c>
    </row>
    <row r="22357" spans="103:104" x14ac:dyDescent="0.3">
      <c r="CY22357" s="34" t="s">
        <v>23284</v>
      </c>
      <c r="CZ22357" s="35">
        <v>4.2539241999999993E-3</v>
      </c>
    </row>
    <row r="22358" spans="103:104" x14ac:dyDescent="0.3">
      <c r="CY22358" s="34" t="s">
        <v>23285</v>
      </c>
      <c r="CZ22358" s="35">
        <v>9.7972240000000002E-3</v>
      </c>
    </row>
    <row r="22359" spans="103:104" x14ac:dyDescent="0.3">
      <c r="CY22359" s="34" t="s">
        <v>23286</v>
      </c>
      <c r="CZ22359" s="35">
        <v>9.7972240000000002E-3</v>
      </c>
    </row>
    <row r="22360" spans="103:104" x14ac:dyDescent="0.3">
      <c r="CY22360" s="34" t="s">
        <v>23287</v>
      </c>
      <c r="CZ22360" s="35">
        <v>1.530036265E-2</v>
      </c>
    </row>
    <row r="22361" spans="103:104" x14ac:dyDescent="0.3">
      <c r="CY22361" s="34" t="s">
        <v>23288</v>
      </c>
      <c r="CZ22361" s="35">
        <v>1.530036265E-2</v>
      </c>
    </row>
    <row r="22362" spans="103:104" x14ac:dyDescent="0.3">
      <c r="CY22362" s="34" t="s">
        <v>23289</v>
      </c>
      <c r="CZ22362" s="35">
        <v>4.2832919999999993E-3</v>
      </c>
    </row>
    <row r="22363" spans="103:104" x14ac:dyDescent="0.3">
      <c r="CY22363" s="34" t="s">
        <v>23290</v>
      </c>
      <c r="CZ22363" s="35">
        <v>4.2832919999999993E-3</v>
      </c>
    </row>
    <row r="22364" spans="103:104" x14ac:dyDescent="0.3">
      <c r="CY22364" s="34" t="s">
        <v>23291</v>
      </c>
      <c r="CZ22364" s="35">
        <v>3.8922069499999997E-3</v>
      </c>
    </row>
    <row r="22365" spans="103:104" x14ac:dyDescent="0.3">
      <c r="CY22365" s="34" t="s">
        <v>23292</v>
      </c>
      <c r="CZ22365" s="35">
        <v>3.8922069499999997E-3</v>
      </c>
    </row>
    <row r="22366" spans="103:104" x14ac:dyDescent="0.3">
      <c r="CY22366" s="34" t="s">
        <v>23293</v>
      </c>
      <c r="CZ22366" s="35">
        <v>2.2620353535353532E-3</v>
      </c>
    </row>
    <row r="22367" spans="103:104" x14ac:dyDescent="0.3">
      <c r="CY22367" s="34" t="s">
        <v>23294</v>
      </c>
      <c r="CZ22367" s="35">
        <v>2.9799999999999998E-4</v>
      </c>
    </row>
    <row r="22368" spans="103:104" x14ac:dyDescent="0.3">
      <c r="CY22368" s="34" t="s">
        <v>23295</v>
      </c>
      <c r="CZ22368" s="35">
        <v>2.4150000000000002E-4</v>
      </c>
    </row>
    <row r="22369" spans="103:104" x14ac:dyDescent="0.3">
      <c r="CY22369" s="34" t="s">
        <v>23296</v>
      </c>
      <c r="CZ22369" s="35">
        <v>0.18754314999999999</v>
      </c>
    </row>
    <row r="22370" spans="103:104" x14ac:dyDescent="0.3">
      <c r="CY22370" s="34" t="s">
        <v>23297</v>
      </c>
      <c r="CZ22370" s="35">
        <v>0.16726966506666666</v>
      </c>
    </row>
    <row r="22371" spans="103:104" x14ac:dyDescent="0.3">
      <c r="CY22371" s="34" t="s">
        <v>23298</v>
      </c>
      <c r="CZ22371" s="35">
        <v>0.14963070000000001</v>
      </c>
    </row>
    <row r="22372" spans="103:104" x14ac:dyDescent="0.3">
      <c r="CY22372" s="34" t="s">
        <v>23299</v>
      </c>
      <c r="CZ22372" s="35">
        <v>0.10517797806666668</v>
      </c>
    </row>
    <row r="22373" spans="103:104" x14ac:dyDescent="0.3">
      <c r="CY22373" s="34" t="s">
        <v>23300</v>
      </c>
      <c r="CZ22373" s="35">
        <v>2.9873759999999999E-3</v>
      </c>
    </row>
    <row r="22374" spans="103:104" x14ac:dyDescent="0.3">
      <c r="CY22374" s="34" t="s">
        <v>23301</v>
      </c>
      <c r="CZ22374" s="35">
        <v>4.3935600000000001E-4</v>
      </c>
    </row>
    <row r="22375" spans="103:104" x14ac:dyDescent="0.3">
      <c r="CY22375" s="34" t="s">
        <v>23302</v>
      </c>
      <c r="CZ22375" s="35">
        <v>5.0027919999999992E-4</v>
      </c>
    </row>
    <row r="22376" spans="103:104" x14ac:dyDescent="0.3">
      <c r="CY22376" s="34" t="s">
        <v>23303</v>
      </c>
      <c r="CZ22376" s="35">
        <v>5.0027920000000003E-4</v>
      </c>
    </row>
    <row r="22377" spans="103:104" x14ac:dyDescent="0.3">
      <c r="CY22377" s="34" t="s">
        <v>23304</v>
      </c>
      <c r="CZ22377" s="35">
        <v>8.9318559999999989E-4</v>
      </c>
    </row>
    <row r="22378" spans="103:104" x14ac:dyDescent="0.3">
      <c r="CY22378" s="34" t="s">
        <v>23305</v>
      </c>
      <c r="CZ22378" s="35">
        <v>1.4187780000000001E-3</v>
      </c>
    </row>
    <row r="22379" spans="103:104" x14ac:dyDescent="0.3">
      <c r="CY22379" s="34" t="s">
        <v>23306</v>
      </c>
      <c r="CZ22379" s="35">
        <v>2.4944859999999998E-3</v>
      </c>
    </row>
    <row r="22380" spans="103:104" x14ac:dyDescent="0.3">
      <c r="CY22380" s="34" t="s">
        <v>23307</v>
      </c>
      <c r="CZ22380" s="35">
        <v>3.8989400000000009E-3</v>
      </c>
    </row>
    <row r="22381" spans="103:104" x14ac:dyDescent="0.3">
      <c r="CY22381" s="34" t="s">
        <v>23308</v>
      </c>
      <c r="CZ22381" s="35">
        <v>4.6884500000000003E-3</v>
      </c>
    </row>
    <row r="22382" spans="103:104" x14ac:dyDescent="0.3">
      <c r="CY22382" s="34" t="s">
        <v>23309</v>
      </c>
      <c r="CZ22382" s="35">
        <v>3.3117742222222218E-2</v>
      </c>
    </row>
    <row r="22383" spans="103:104" x14ac:dyDescent="0.3">
      <c r="CY22383" s="34" t="s">
        <v>23310</v>
      </c>
      <c r="CZ22383" s="35">
        <v>0.15764910220000003</v>
      </c>
    </row>
    <row r="22384" spans="103:104" x14ac:dyDescent="0.3">
      <c r="CY22384" s="34" t="s">
        <v>23311</v>
      </c>
      <c r="CZ22384" s="35">
        <v>0.14684586220000001</v>
      </c>
    </row>
    <row r="22385" spans="103:104" x14ac:dyDescent="0.3">
      <c r="CY22385" s="34" t="s">
        <v>23312</v>
      </c>
      <c r="CZ22385" s="35">
        <v>0.15139590220000004</v>
      </c>
    </row>
    <row r="22386" spans="103:104" x14ac:dyDescent="0.3">
      <c r="CY22386" s="34" t="s">
        <v>23313</v>
      </c>
      <c r="CZ22386" s="35">
        <v>0.17006305420000001</v>
      </c>
    </row>
    <row r="22387" spans="103:104" x14ac:dyDescent="0.3">
      <c r="CY22387" s="34" t="s">
        <v>23314</v>
      </c>
      <c r="CZ22387" s="35">
        <v>0.15456289420000002</v>
      </c>
    </row>
    <row r="22388" spans="103:104" x14ac:dyDescent="0.3">
      <c r="CY22388" s="34" t="s">
        <v>23315</v>
      </c>
      <c r="CZ22388" s="35">
        <v>0.1004465422</v>
      </c>
    </row>
    <row r="22389" spans="103:104" x14ac:dyDescent="0.3">
      <c r="CY22389" s="34" t="s">
        <v>23316</v>
      </c>
      <c r="CZ22389" s="35">
        <v>0.13032582220000002</v>
      </c>
    </row>
    <row r="22390" spans="103:104" x14ac:dyDescent="0.3">
      <c r="CY22390" s="34" t="s">
        <v>23317</v>
      </c>
      <c r="CZ22390" s="35">
        <v>9.7423952199999997E-2</v>
      </c>
    </row>
    <row r="22391" spans="103:104" x14ac:dyDescent="0.3">
      <c r="CY22391" s="34" t="s">
        <v>23318</v>
      </c>
      <c r="CZ22391" s="35">
        <v>0.10852533221999999</v>
      </c>
    </row>
    <row r="22392" spans="103:104" x14ac:dyDescent="0.3">
      <c r="CY22392" s="34" t="s">
        <v>23319</v>
      </c>
      <c r="CZ22392" s="35">
        <v>6.7407457999999996E-3</v>
      </c>
    </row>
    <row r="22393" spans="103:104" x14ac:dyDescent="0.3">
      <c r="CY22393" s="34" t="s">
        <v>23320</v>
      </c>
      <c r="CZ22393" s="35">
        <v>1.2010567999999998E-2</v>
      </c>
    </row>
    <row r="22394" spans="103:104" x14ac:dyDescent="0.3">
      <c r="CY22394" s="34" t="s">
        <v>23321</v>
      </c>
      <c r="CZ22394" s="35">
        <v>5.7680200000000001E-2</v>
      </c>
    </row>
    <row r="22395" spans="103:104" x14ac:dyDescent="0.3">
      <c r="CY22395" s="34" t="s">
        <v>23322</v>
      </c>
      <c r="CZ22395" s="35">
        <v>1.1555708E-2</v>
      </c>
    </row>
    <row r="22396" spans="103:104" x14ac:dyDescent="0.3">
      <c r="CY22396" s="34" t="s">
        <v>23323</v>
      </c>
      <c r="CZ22396" s="35">
        <v>3.5011630611764703E-2</v>
      </c>
    </row>
    <row r="22397" spans="103:104" x14ac:dyDescent="0.3">
      <c r="CY22397" s="34" t="s">
        <v>23324</v>
      </c>
      <c r="CZ22397" s="35">
        <v>0.16762647999999999</v>
      </c>
    </row>
    <row r="22398" spans="103:104" x14ac:dyDescent="0.3">
      <c r="CY22398" s="34" t="s">
        <v>23325</v>
      </c>
      <c r="CZ22398" s="35">
        <v>7.658683333333334E-2</v>
      </c>
    </row>
    <row r="22399" spans="103:104" x14ac:dyDescent="0.3">
      <c r="CY22399" s="34" t="s">
        <v>23326</v>
      </c>
      <c r="CZ22399" s="35">
        <v>2.9782453333333336E-4</v>
      </c>
    </row>
    <row r="22400" spans="103:104" x14ac:dyDescent="0.3">
      <c r="CY22400" s="34" t="s">
        <v>23327</v>
      </c>
      <c r="CZ22400" s="35">
        <v>7.1593400000000001E-3</v>
      </c>
    </row>
    <row r="22401" spans="103:104" x14ac:dyDescent="0.3">
      <c r="CY22401" s="34" t="s">
        <v>23328</v>
      </c>
      <c r="CZ22401" s="35">
        <v>1.5909998000000002E-2</v>
      </c>
    </row>
    <row r="22402" spans="103:104" x14ac:dyDescent="0.3">
      <c r="CY22402" s="34" t="s">
        <v>23329</v>
      </c>
      <c r="CZ22402" s="35">
        <v>2.7533333333333332E-4</v>
      </c>
    </row>
    <row r="22403" spans="103:104" x14ac:dyDescent="0.3">
      <c r="CY22403" s="34" t="s">
        <v>23330</v>
      </c>
      <c r="CZ22403" s="35">
        <v>5.077334E-2</v>
      </c>
    </row>
    <row r="22404" spans="103:104" x14ac:dyDescent="0.3">
      <c r="CY22404" s="34" t="s">
        <v>23331</v>
      </c>
      <c r="CZ22404" s="35">
        <v>9.8590360000000016E-2</v>
      </c>
    </row>
    <row r="22405" spans="103:104" x14ac:dyDescent="0.3">
      <c r="CY22405" s="34" t="s">
        <v>23332</v>
      </c>
      <c r="CZ22405" s="35">
        <v>6.6016360000000001E-3</v>
      </c>
    </row>
    <row r="22406" spans="103:104" x14ac:dyDescent="0.3">
      <c r="CY22406" s="34" t="s">
        <v>23333</v>
      </c>
      <c r="CZ22406" s="35">
        <v>9.8384648000000005E-2</v>
      </c>
    </row>
    <row r="22407" spans="103:104" x14ac:dyDescent="0.3">
      <c r="CY22407" s="34" t="s">
        <v>23334</v>
      </c>
      <c r="CZ22407" s="35">
        <v>0.1140171</v>
      </c>
    </row>
    <row r="22408" spans="103:104" x14ac:dyDescent="0.3">
      <c r="CY22408" s="34" t="s">
        <v>23335</v>
      </c>
      <c r="CZ22408" s="35">
        <v>9.3157299999999998E-2</v>
      </c>
    </row>
    <row r="22409" spans="103:104" x14ac:dyDescent="0.3">
      <c r="CY22409" s="34" t="s">
        <v>23336</v>
      </c>
      <c r="CZ22409" s="35">
        <v>9.9648340000000002E-2</v>
      </c>
    </row>
    <row r="22410" spans="103:104" x14ac:dyDescent="0.3">
      <c r="CY22410" s="34" t="s">
        <v>23337</v>
      </c>
      <c r="CZ22410" s="35">
        <v>6.0961740000000007E-2</v>
      </c>
    </row>
    <row r="22411" spans="103:104" x14ac:dyDescent="0.3">
      <c r="CY22411" s="34" t="s">
        <v>23338</v>
      </c>
      <c r="CZ22411" s="35">
        <v>3.2363284799999999E-3</v>
      </c>
    </row>
    <row r="22412" spans="103:104" x14ac:dyDescent="0.3">
      <c r="CY22412" s="34" t="s">
        <v>23339</v>
      </c>
      <c r="CZ22412" s="35">
        <v>3.0187000000000002E-2</v>
      </c>
    </row>
    <row r="22413" spans="103:104" x14ac:dyDescent="0.3">
      <c r="CY22413" s="34" t="s">
        <v>23340</v>
      </c>
      <c r="CZ22413" s="35">
        <v>0.23178300000000002</v>
      </c>
    </row>
    <row r="22414" spans="103:104" x14ac:dyDescent="0.3">
      <c r="CY22414" s="34" t="s">
        <v>23341</v>
      </c>
      <c r="CZ22414" s="35">
        <v>3.4004874999999997E-2</v>
      </c>
    </row>
    <row r="22415" spans="103:104" x14ac:dyDescent="0.3">
      <c r="CY22415" s="34" t="s">
        <v>23342</v>
      </c>
      <c r="CZ22415" s="35">
        <v>0.14229687499999999</v>
      </c>
    </row>
    <row r="22416" spans="103:104" x14ac:dyDescent="0.3">
      <c r="CY22416" s="34" t="s">
        <v>23343</v>
      </c>
      <c r="CZ22416" s="35">
        <v>4.5467750000000008E-2</v>
      </c>
    </row>
    <row r="22417" spans="103:104" x14ac:dyDescent="0.3">
      <c r="CY22417" s="34" t="s">
        <v>23344</v>
      </c>
      <c r="CZ22417" s="35">
        <v>0.13459375000000001</v>
      </c>
    </row>
    <row r="22418" spans="103:104" x14ac:dyDescent="0.3">
      <c r="CY22418" s="34" t="s">
        <v>23345</v>
      </c>
      <c r="CZ22418" s="35">
        <v>4.8810860999999997E-2</v>
      </c>
    </row>
    <row r="22419" spans="103:104" x14ac:dyDescent="0.3">
      <c r="CY22419" s="34" t="s">
        <v>23346</v>
      </c>
      <c r="CZ22419" s="35">
        <v>0.37845833333333334</v>
      </c>
    </row>
    <row r="22420" spans="103:104" x14ac:dyDescent="0.3">
      <c r="CY22420" s="34" t="s">
        <v>23347</v>
      </c>
      <c r="CZ22420" s="35">
        <v>3.9918335999999999E-2</v>
      </c>
    </row>
    <row r="22421" spans="103:104" x14ac:dyDescent="0.3">
      <c r="CY22421" s="34" t="s">
        <v>23348</v>
      </c>
      <c r="CZ22421" s="35">
        <v>1.644338E-2</v>
      </c>
    </row>
    <row r="22422" spans="103:104" x14ac:dyDescent="0.3">
      <c r="CY22422" s="34" t="s">
        <v>23349</v>
      </c>
      <c r="CZ22422" s="35">
        <v>1.5375003599999999E-2</v>
      </c>
    </row>
    <row r="22423" spans="103:104" x14ac:dyDescent="0.3">
      <c r="CY22423" s="34" t="s">
        <v>23350</v>
      </c>
      <c r="CZ22423" s="35">
        <v>7.2034224000000003E-3</v>
      </c>
    </row>
    <row r="22424" spans="103:104" x14ac:dyDescent="0.3">
      <c r="CY22424" s="34" t="s">
        <v>23351</v>
      </c>
      <c r="CZ22424" s="35">
        <v>2.47130144E-2</v>
      </c>
    </row>
    <row r="22425" spans="103:104" x14ac:dyDescent="0.3">
      <c r="CY22425" s="34" t="s">
        <v>23352</v>
      </c>
      <c r="CZ22425" s="35">
        <v>1.242E-3</v>
      </c>
    </row>
    <row r="22426" spans="103:104" x14ac:dyDescent="0.3">
      <c r="CY22426" s="34" t="s">
        <v>23353</v>
      </c>
      <c r="CZ22426" s="35">
        <v>1.9761039999999998E-3</v>
      </c>
    </row>
    <row r="22427" spans="103:104" x14ac:dyDescent="0.3">
      <c r="CY22427" s="34" t="s">
        <v>23354</v>
      </c>
      <c r="CZ22427" s="35">
        <v>2.8226655999999996E-3</v>
      </c>
    </row>
    <row r="22428" spans="103:104" x14ac:dyDescent="0.3">
      <c r="CY22428" s="34" t="s">
        <v>23355</v>
      </c>
      <c r="CZ22428" s="35">
        <v>1.5391815999999999E-2</v>
      </c>
    </row>
    <row r="22429" spans="103:104" x14ac:dyDescent="0.3">
      <c r="CY22429" s="34" t="s">
        <v>23356</v>
      </c>
      <c r="CZ22429" s="35">
        <v>6.8302879999999995E-3</v>
      </c>
    </row>
    <row r="22430" spans="103:104" x14ac:dyDescent="0.3">
      <c r="CY22430" s="34" t="s">
        <v>23357</v>
      </c>
      <c r="CZ22430" s="35">
        <v>4.7983392000000007E-2</v>
      </c>
    </row>
    <row r="22431" spans="103:104" x14ac:dyDescent="0.3">
      <c r="CY22431" s="34" t="s">
        <v>23358</v>
      </c>
      <c r="CZ22431" s="35">
        <v>1.0718304000000001E-2</v>
      </c>
    </row>
    <row r="22432" spans="103:104" x14ac:dyDescent="0.3">
      <c r="CY22432" s="34" t="s">
        <v>23359</v>
      </c>
      <c r="CZ22432" s="35">
        <v>2.9432538947368428E-2</v>
      </c>
    </row>
    <row r="22433" spans="103:104" x14ac:dyDescent="0.3">
      <c r="CY22433" s="34" t="s">
        <v>23360</v>
      </c>
      <c r="CZ22433" s="35">
        <v>8.9161771444444451E-3</v>
      </c>
    </row>
    <row r="22434" spans="103:104" x14ac:dyDescent="0.3">
      <c r="CY22434" s="34" t="s">
        <v>23361</v>
      </c>
      <c r="CZ22434" s="35">
        <v>5.1027857141176462E-2</v>
      </c>
    </row>
    <row r="22435" spans="103:104" x14ac:dyDescent="0.3">
      <c r="CY22435" s="34" t="s">
        <v>23362</v>
      </c>
      <c r="CZ22435" s="35">
        <v>0.14894316000000002</v>
      </c>
    </row>
    <row r="22436" spans="103:104" x14ac:dyDescent="0.3">
      <c r="CY22436" s="34" t="s">
        <v>23363</v>
      </c>
      <c r="CZ22436" s="35">
        <v>8.832E-4</v>
      </c>
    </row>
    <row r="22437" spans="103:104" x14ac:dyDescent="0.3">
      <c r="CY22437" s="34" t="s">
        <v>23364</v>
      </c>
      <c r="CZ22437" s="35">
        <v>5.4478059999999995E-2</v>
      </c>
    </row>
    <row r="22438" spans="103:104" x14ac:dyDescent="0.3">
      <c r="CY22438" s="34" t="s">
        <v>23365</v>
      </c>
      <c r="CZ22438" s="35">
        <v>5.4972960000000001E-2</v>
      </c>
    </row>
    <row r="22439" spans="103:104" x14ac:dyDescent="0.3">
      <c r="CY22439" s="34" t="s">
        <v>23366</v>
      </c>
      <c r="CZ22439" s="35">
        <v>1.3198939999999998E-3</v>
      </c>
    </row>
    <row r="22440" spans="103:104" x14ac:dyDescent="0.3">
      <c r="CY22440" s="34" t="s">
        <v>23367</v>
      </c>
      <c r="CZ22440" s="35">
        <v>1.6986099999999999E-3</v>
      </c>
    </row>
    <row r="22441" spans="103:104" x14ac:dyDescent="0.3">
      <c r="CY22441" s="34" t="s">
        <v>23368</v>
      </c>
      <c r="CZ22441" s="35">
        <v>1.8754632800000004E-3</v>
      </c>
    </row>
    <row r="22442" spans="103:104" x14ac:dyDescent="0.3">
      <c r="CY22442" s="34" t="s">
        <v>23369</v>
      </c>
      <c r="CZ22442" s="35">
        <v>1.5881365759999999</v>
      </c>
    </row>
    <row r="22443" spans="103:104" x14ac:dyDescent="0.3">
      <c r="CY22443" s="34" t="s">
        <v>23370</v>
      </c>
      <c r="CZ22443" s="35">
        <v>1.30053872</v>
      </c>
    </row>
    <row r="22444" spans="103:104" x14ac:dyDescent="0.3">
      <c r="CY22444" s="34" t="s">
        <v>23371</v>
      </c>
      <c r="CZ22444" s="35">
        <v>1.30053872</v>
      </c>
    </row>
    <row r="22445" spans="103:104" x14ac:dyDescent="0.3">
      <c r="CY22445" s="34" t="s">
        <v>23372</v>
      </c>
      <c r="CZ22445" s="35">
        <v>0.82591784000000001</v>
      </c>
    </row>
    <row r="22446" spans="103:104" x14ac:dyDescent="0.3">
      <c r="CY22446" s="34" t="s">
        <v>23373</v>
      </c>
      <c r="CZ22446" s="35">
        <v>1.0778081066666667E-2</v>
      </c>
    </row>
    <row r="22447" spans="103:104" x14ac:dyDescent="0.3">
      <c r="CY22447" s="34" t="s">
        <v>23374</v>
      </c>
      <c r="CZ22447" s="35">
        <v>4.5080146649999998E-3</v>
      </c>
    </row>
    <row r="22448" spans="103:104" x14ac:dyDescent="0.3">
      <c r="CY22448" s="34" t="s">
        <v>23375</v>
      </c>
      <c r="CZ22448" s="35">
        <v>3.5913944000000001E-3</v>
      </c>
    </row>
    <row r="22449" spans="103:104" x14ac:dyDescent="0.3">
      <c r="CY22449" s="34" t="s">
        <v>23376</v>
      </c>
      <c r="CZ22449" s="35">
        <v>2.3868686666666665E-4</v>
      </c>
    </row>
    <row r="22450" spans="103:104" x14ac:dyDescent="0.3">
      <c r="CY22450" s="34" t="s">
        <v>23377</v>
      </c>
      <c r="CZ22450" s="35">
        <v>5.0973117333333339E-4</v>
      </c>
    </row>
    <row r="22451" spans="103:104" x14ac:dyDescent="0.3">
      <c r="CY22451" s="34" t="s">
        <v>23378</v>
      </c>
      <c r="CZ22451" s="35">
        <v>7.5589500000000003E-4</v>
      </c>
    </row>
    <row r="22452" spans="103:104" x14ac:dyDescent="0.3">
      <c r="CY22452" s="34" t="s">
        <v>23379</v>
      </c>
      <c r="CZ22452" s="35">
        <v>8.0992800000000002E-4</v>
      </c>
    </row>
    <row r="22453" spans="103:104" x14ac:dyDescent="0.3">
      <c r="CY22453" s="34" t="s">
        <v>23380</v>
      </c>
      <c r="CZ22453" s="35">
        <v>1.3720446599999998E-2</v>
      </c>
    </row>
    <row r="22454" spans="103:104" x14ac:dyDescent="0.3">
      <c r="CY22454" s="34" t="s">
        <v>23381</v>
      </c>
      <c r="CZ22454" s="35">
        <v>1.3720446599999998E-2</v>
      </c>
    </row>
    <row r="22455" spans="103:104" x14ac:dyDescent="0.3">
      <c r="CY22455" s="34" t="s">
        <v>23382</v>
      </c>
      <c r="CZ22455" s="35">
        <v>3.7865183999999996E-2</v>
      </c>
    </row>
    <row r="22456" spans="103:104" x14ac:dyDescent="0.3">
      <c r="CY22456" s="34" t="s">
        <v>23383</v>
      </c>
      <c r="CZ22456" s="35">
        <v>3.6899184000000002E-2</v>
      </c>
    </row>
    <row r="22457" spans="103:104" x14ac:dyDescent="0.3">
      <c r="CY22457" s="34" t="s">
        <v>23384</v>
      </c>
      <c r="CZ22457" s="35">
        <v>1.0256214E-2</v>
      </c>
    </row>
    <row r="22458" spans="103:104" x14ac:dyDescent="0.3">
      <c r="CY22458" s="34" t="s">
        <v>23385</v>
      </c>
      <c r="CZ22458" s="35">
        <v>1.46840014E-2</v>
      </c>
    </row>
    <row r="22459" spans="103:104" x14ac:dyDescent="0.3">
      <c r="CY22459" s="34" t="s">
        <v>23386</v>
      </c>
      <c r="CZ22459" s="35">
        <v>6.7920689699999997E-3</v>
      </c>
    </row>
    <row r="22460" spans="103:104" x14ac:dyDescent="0.3">
      <c r="CY22460" s="34" t="s">
        <v>23387</v>
      </c>
      <c r="CZ22460" s="35">
        <v>3.3904244000000001E-3</v>
      </c>
    </row>
    <row r="22461" spans="103:104" x14ac:dyDescent="0.3">
      <c r="CY22461" s="34" t="s">
        <v>23388</v>
      </c>
      <c r="CZ22461" s="35">
        <v>1.1154739070000001E-2</v>
      </c>
    </row>
    <row r="22462" spans="103:104" x14ac:dyDescent="0.3">
      <c r="CY22462" s="34" t="s">
        <v>23389</v>
      </c>
      <c r="CZ22462" s="35">
        <v>2.5891103999999998E-2</v>
      </c>
    </row>
    <row r="22463" spans="103:104" x14ac:dyDescent="0.3">
      <c r="CY22463" s="34" t="s">
        <v>23390</v>
      </c>
      <c r="CZ22463" s="35">
        <v>6.8113039999999998E-4</v>
      </c>
    </row>
    <row r="22464" spans="103:104" x14ac:dyDescent="0.3">
      <c r="CY22464" s="34" t="s">
        <v>23391</v>
      </c>
      <c r="CZ22464" s="35">
        <v>9.1423597499999995E-2</v>
      </c>
    </row>
    <row r="22465" spans="103:104" x14ac:dyDescent="0.3">
      <c r="CY22465" s="34" t="s">
        <v>23392</v>
      </c>
      <c r="CZ22465" s="35">
        <v>0.35193129999999995</v>
      </c>
    </row>
    <row r="22466" spans="103:104" x14ac:dyDescent="0.3">
      <c r="CY22466" s="34" t="s">
        <v>23393</v>
      </c>
      <c r="CZ22466" s="35">
        <v>6.0085625499999996E-2</v>
      </c>
    </row>
    <row r="22467" spans="103:104" x14ac:dyDescent="0.3">
      <c r="CY22467" s="34" t="s">
        <v>23394</v>
      </c>
      <c r="CZ22467" s="35">
        <v>6.8224999999999991E-4</v>
      </c>
    </row>
    <row r="22468" spans="103:104" x14ac:dyDescent="0.3">
      <c r="CY22468" s="34" t="s">
        <v>23395</v>
      </c>
      <c r="CZ22468" s="35">
        <v>1.1927760000000001E-2</v>
      </c>
    </row>
    <row r="22469" spans="103:104" x14ac:dyDescent="0.3">
      <c r="CY22469" s="34" t="s">
        <v>23396</v>
      </c>
      <c r="CZ22469" s="35">
        <v>1.1754186999999999E-2</v>
      </c>
    </row>
    <row r="22470" spans="103:104" x14ac:dyDescent="0.3">
      <c r="CY22470" s="34" t="s">
        <v>23397</v>
      </c>
      <c r="CZ22470" s="35">
        <v>1.3574544000000001E-2</v>
      </c>
    </row>
    <row r="22471" spans="103:104" x14ac:dyDescent="0.3">
      <c r="CY22471" s="34" t="s">
        <v>23398</v>
      </c>
      <c r="CZ22471" s="35">
        <v>0.1579064</v>
      </c>
    </row>
    <row r="22472" spans="103:104" x14ac:dyDescent="0.3">
      <c r="CY22472" s="34" t="s">
        <v>23399</v>
      </c>
      <c r="CZ22472" s="35">
        <v>6.9410556E-3</v>
      </c>
    </row>
    <row r="22473" spans="103:104" x14ac:dyDescent="0.3">
      <c r="CY22473" s="34" t="s">
        <v>23400</v>
      </c>
      <c r="CZ22473" s="35">
        <v>1.1004321799999999E-2</v>
      </c>
    </row>
    <row r="22474" spans="103:104" x14ac:dyDescent="0.3">
      <c r="CY22474" s="34" t="s">
        <v>23401</v>
      </c>
      <c r="CZ22474" s="35">
        <v>2.7516799999999998E-3</v>
      </c>
    </row>
    <row r="22475" spans="103:104" x14ac:dyDescent="0.3">
      <c r="CY22475" s="34" t="s">
        <v>23402</v>
      </c>
      <c r="CZ22475" s="35">
        <v>7.81863E-2</v>
      </c>
    </row>
    <row r="22476" spans="103:104" x14ac:dyDescent="0.3">
      <c r="CY22476" s="34" t="s">
        <v>23403</v>
      </c>
      <c r="CZ22476" s="35">
        <v>1.9501124400000003E-2</v>
      </c>
    </row>
    <row r="22477" spans="103:104" x14ac:dyDescent="0.3">
      <c r="CY22477" s="34" t="s">
        <v>23404</v>
      </c>
      <c r="CZ22477" s="35">
        <v>1.2976705599999999E-2</v>
      </c>
    </row>
    <row r="22478" spans="103:104" x14ac:dyDescent="0.3">
      <c r="CY22478" s="34" t="s">
        <v>23405</v>
      </c>
      <c r="CZ22478" s="35">
        <v>0.13117825</v>
      </c>
    </row>
    <row r="22479" spans="103:104" x14ac:dyDescent="0.3">
      <c r="CY22479" s="34" t="s">
        <v>23406</v>
      </c>
      <c r="CZ22479" s="35">
        <v>2.0226574000000004E-2</v>
      </c>
    </row>
    <row r="22480" spans="103:104" x14ac:dyDescent="0.3">
      <c r="CY22480" s="34" t="s">
        <v>23407</v>
      </c>
      <c r="CZ22480" s="35">
        <v>0.12852258999999996</v>
      </c>
    </row>
    <row r="22481" spans="103:104" x14ac:dyDescent="0.3">
      <c r="CY22481" s="34" t="s">
        <v>23408</v>
      </c>
      <c r="CZ22481" s="35">
        <v>0.20272166668</v>
      </c>
    </row>
    <row r="22482" spans="103:104" x14ac:dyDescent="0.3">
      <c r="CY22482" s="34" t="s">
        <v>23409</v>
      </c>
      <c r="CZ22482" s="35">
        <v>0.23540650000000002</v>
      </c>
    </row>
    <row r="22483" spans="103:104" x14ac:dyDescent="0.3">
      <c r="CY22483" s="34" t="s">
        <v>23410</v>
      </c>
      <c r="CZ22483" s="35">
        <v>0.42032275000000002</v>
      </c>
    </row>
    <row r="22484" spans="103:104" x14ac:dyDescent="0.3">
      <c r="CY22484" s="34" t="s">
        <v>23411</v>
      </c>
      <c r="CZ22484" s="35">
        <v>0.19884583336</v>
      </c>
    </row>
    <row r="22485" spans="103:104" x14ac:dyDescent="0.3">
      <c r="CY22485" s="34" t="s">
        <v>23412</v>
      </c>
      <c r="CZ22485" s="35">
        <v>3.8479213999999998E-2</v>
      </c>
    </row>
    <row r="22486" spans="103:104" x14ac:dyDescent="0.3">
      <c r="CY22486" s="34" t="s">
        <v>23413</v>
      </c>
      <c r="CZ22486" s="35">
        <v>0.10508106666666665</v>
      </c>
    </row>
    <row r="22487" spans="103:104" x14ac:dyDescent="0.3">
      <c r="CY22487" s="34" t="s">
        <v>23414</v>
      </c>
      <c r="CZ22487" s="35">
        <v>0</v>
      </c>
    </row>
    <row r="22488" spans="103:104" x14ac:dyDescent="0.3">
      <c r="CY22488" s="34" t="s">
        <v>23415</v>
      </c>
      <c r="CZ22488" s="35">
        <v>0.15766600000000003</v>
      </c>
    </row>
    <row r="22489" spans="103:104" x14ac:dyDescent="0.3">
      <c r="CY22489" s="34" t="s">
        <v>23416</v>
      </c>
      <c r="CZ22489" s="35">
        <v>1.5193800000000001E-3</v>
      </c>
    </row>
    <row r="22490" spans="103:104" x14ac:dyDescent="0.3">
      <c r="CY22490" s="34" t="s">
        <v>23417</v>
      </c>
      <c r="CZ22490" s="35">
        <v>1.2277919999999999E-3</v>
      </c>
    </row>
    <row r="22491" spans="103:104" x14ac:dyDescent="0.3">
      <c r="CY22491" s="34" t="s">
        <v>23418</v>
      </c>
      <c r="CZ22491" s="35">
        <v>2.5966504000000001E-2</v>
      </c>
    </row>
    <row r="22492" spans="103:104" x14ac:dyDescent="0.3">
      <c r="CY22492" s="34" t="s">
        <v>23419</v>
      </c>
      <c r="CZ22492" s="35">
        <v>6.6576013333333331E-3</v>
      </c>
    </row>
    <row r="22493" spans="103:104" x14ac:dyDescent="0.3">
      <c r="CY22493" s="34" t="s">
        <v>23420</v>
      </c>
      <c r="CZ22493" s="35">
        <v>6.7496013333333341E-3</v>
      </c>
    </row>
    <row r="22494" spans="103:104" x14ac:dyDescent="0.3">
      <c r="CY22494" s="34" t="s">
        <v>23421</v>
      </c>
      <c r="CZ22494" s="35">
        <v>1.9413250100000001E-2</v>
      </c>
    </row>
    <row r="22495" spans="103:104" x14ac:dyDescent="0.3">
      <c r="CY22495" s="34" t="s">
        <v>23422</v>
      </c>
      <c r="CZ22495" s="35">
        <v>5.4430920000000001E-3</v>
      </c>
    </row>
    <row r="22496" spans="103:104" x14ac:dyDescent="0.3">
      <c r="CY22496" s="34" t="s">
        <v>23423</v>
      </c>
      <c r="CZ22496" s="35">
        <v>2.6926312499999999E-3</v>
      </c>
    </row>
    <row r="22497" spans="103:104" x14ac:dyDescent="0.3">
      <c r="CY22497" s="34" t="s">
        <v>23424</v>
      </c>
      <c r="CZ22497" s="35">
        <v>2.6220000000000003E-4</v>
      </c>
    </row>
    <row r="22498" spans="103:104" x14ac:dyDescent="0.3">
      <c r="CY22498" s="34" t="s">
        <v>23425</v>
      </c>
      <c r="CZ22498" s="35">
        <v>2.0429716000000001E-2</v>
      </c>
    </row>
    <row r="22499" spans="103:104" x14ac:dyDescent="0.3">
      <c r="CY22499" s="34" t="s">
        <v>23426</v>
      </c>
      <c r="CZ22499" s="35">
        <v>1.2395205499999999E-2</v>
      </c>
    </row>
    <row r="22500" spans="103:104" x14ac:dyDescent="0.3">
      <c r="CY22500" s="34" t="s">
        <v>23427</v>
      </c>
      <c r="CZ22500" s="35">
        <v>8.3837599999999998E-2</v>
      </c>
    </row>
    <row r="22501" spans="103:104" x14ac:dyDescent="0.3">
      <c r="CY22501" s="34" t="s">
        <v>23428</v>
      </c>
      <c r="CZ22501" s="35">
        <v>0.25752205510000004</v>
      </c>
    </row>
    <row r="22502" spans="103:104" x14ac:dyDescent="0.3">
      <c r="CY22502" s="34" t="s">
        <v>23429</v>
      </c>
      <c r="CZ22502" s="35">
        <v>0.68766755069999985</v>
      </c>
    </row>
    <row r="22503" spans="103:104" x14ac:dyDescent="0.3">
      <c r="CY22503" s="34" t="s">
        <v>23430</v>
      </c>
      <c r="CZ22503" s="35">
        <v>4.3598864000000008E-2</v>
      </c>
    </row>
    <row r="22504" spans="103:104" x14ac:dyDescent="0.3">
      <c r="CY22504" s="34" t="s">
        <v>23431</v>
      </c>
      <c r="CZ22504" s="35">
        <v>3.3101015999999997E-2</v>
      </c>
    </row>
    <row r="22505" spans="103:104" x14ac:dyDescent="0.3">
      <c r="CY22505" s="34" t="s">
        <v>23432</v>
      </c>
      <c r="CZ22505" s="35">
        <v>1.4695599599999999E-2</v>
      </c>
    </row>
    <row r="22506" spans="103:104" x14ac:dyDescent="0.3">
      <c r="CY22506" s="34" t="s">
        <v>23433</v>
      </c>
      <c r="CZ22506" s="35">
        <v>2.6958439999999993E-3</v>
      </c>
    </row>
    <row r="22507" spans="103:104" x14ac:dyDescent="0.3">
      <c r="CY22507" s="34" t="s">
        <v>23434</v>
      </c>
      <c r="CZ22507" s="35">
        <v>1.838325E-2</v>
      </c>
    </row>
    <row r="22508" spans="103:104" x14ac:dyDescent="0.3">
      <c r="CY22508" s="34" t="s">
        <v>23435</v>
      </c>
      <c r="CZ22508" s="35">
        <v>5.4897299999999991E-3</v>
      </c>
    </row>
    <row r="22509" spans="103:104" x14ac:dyDescent="0.3">
      <c r="CY22509" s="34" t="s">
        <v>23436</v>
      </c>
      <c r="CZ22509" s="35">
        <v>7.5331219999999997E-3</v>
      </c>
    </row>
    <row r="22510" spans="103:104" x14ac:dyDescent="0.3">
      <c r="CY22510" s="34" t="s">
        <v>23437</v>
      </c>
      <c r="CZ22510" s="35">
        <v>7.3400259999999995E-3</v>
      </c>
    </row>
    <row r="22511" spans="103:104" x14ac:dyDescent="0.3">
      <c r="CY22511" s="34" t="s">
        <v>23438</v>
      </c>
      <c r="CZ22511" s="35">
        <v>1.7861680000000001E-3</v>
      </c>
    </row>
    <row r="22512" spans="103:104" x14ac:dyDescent="0.3">
      <c r="CY22512" s="34" t="s">
        <v>23439</v>
      </c>
      <c r="CZ22512" s="35">
        <v>1.1300000000000001E-4</v>
      </c>
    </row>
    <row r="22513" spans="103:104" x14ac:dyDescent="0.3">
      <c r="CY22513" s="34" t="s">
        <v>23440</v>
      </c>
      <c r="CZ22513" s="35">
        <v>2.8508579999999999E-2</v>
      </c>
    </row>
    <row r="22514" spans="103:104" x14ac:dyDescent="0.3">
      <c r="CY22514" s="34" t="s">
        <v>23441</v>
      </c>
      <c r="CZ22514" s="35">
        <v>2.8079999999999999E-4</v>
      </c>
    </row>
    <row r="22515" spans="103:104" x14ac:dyDescent="0.3">
      <c r="CY22515" s="34" t="s">
        <v>23442</v>
      </c>
      <c r="CZ22515" s="35">
        <v>7.3400260000000004E-3</v>
      </c>
    </row>
    <row r="22516" spans="103:104" x14ac:dyDescent="0.3">
      <c r="CY22516" s="34" t="s">
        <v>23443</v>
      </c>
      <c r="CZ22516" s="35">
        <v>1.0862019999999999E-3</v>
      </c>
    </row>
    <row r="22517" spans="103:104" x14ac:dyDescent="0.3">
      <c r="CY22517" s="34" t="s">
        <v>23444</v>
      </c>
      <c r="CZ22517" s="35">
        <v>1.9934825999999999E-2</v>
      </c>
    </row>
    <row r="22518" spans="103:104" x14ac:dyDescent="0.3">
      <c r="CY22518" s="34" t="s">
        <v>23445</v>
      </c>
      <c r="CZ22518" s="35">
        <v>2.1096123999999997E-2</v>
      </c>
    </row>
    <row r="22519" spans="103:104" x14ac:dyDescent="0.3">
      <c r="CY22519" s="34" t="s">
        <v>23446</v>
      </c>
      <c r="CZ22519" s="35">
        <v>8.6685200000000007E-3</v>
      </c>
    </row>
    <row r="22520" spans="103:104" x14ac:dyDescent="0.3">
      <c r="CY22520" s="34" t="s">
        <v>23447</v>
      </c>
      <c r="CZ22520" s="35">
        <v>9.5433332727272728E-4</v>
      </c>
    </row>
    <row r="22521" spans="103:104" x14ac:dyDescent="0.3">
      <c r="CY22521" s="34" t="s">
        <v>23448</v>
      </c>
      <c r="CZ22521" s="35">
        <v>9.7698888880000008E-3</v>
      </c>
    </row>
    <row r="22522" spans="103:104" x14ac:dyDescent="0.3">
      <c r="CY22522" s="34" t="s">
        <v>23449</v>
      </c>
      <c r="CZ22522" s="35">
        <v>1.2331499999999999E-2</v>
      </c>
    </row>
    <row r="22523" spans="103:104" x14ac:dyDescent="0.3">
      <c r="CY22523" s="34" t="s">
        <v>23450</v>
      </c>
      <c r="CZ22523" s="35">
        <v>1.2045199999999999E-2</v>
      </c>
    </row>
    <row r="22524" spans="103:104" x14ac:dyDescent="0.3">
      <c r="CY22524" s="34" t="s">
        <v>23451</v>
      </c>
      <c r="CZ22524" s="35">
        <v>1.4276555555000001E-2</v>
      </c>
    </row>
    <row r="22525" spans="103:104" x14ac:dyDescent="0.3">
      <c r="CY22525" s="34" t="s">
        <v>23452</v>
      </c>
      <c r="CZ22525" s="35">
        <v>1.50565E-2</v>
      </c>
    </row>
    <row r="22526" spans="103:104" x14ac:dyDescent="0.3">
      <c r="CY22526" s="34" t="s">
        <v>23453</v>
      </c>
      <c r="CZ22526" s="35">
        <v>8.6037142800000008E-3</v>
      </c>
    </row>
    <row r="22527" spans="103:104" x14ac:dyDescent="0.3">
      <c r="CY22527" s="34" t="s">
        <v>23454</v>
      </c>
      <c r="CZ22527" s="35">
        <v>2.338E-5</v>
      </c>
    </row>
    <row r="22528" spans="103:104" x14ac:dyDescent="0.3">
      <c r="CY22528" s="34" t="s">
        <v>23455</v>
      </c>
      <c r="CZ22528" s="35">
        <v>4.7741939999999998E-3</v>
      </c>
    </row>
    <row r="22529" spans="103:104" x14ac:dyDescent="0.3">
      <c r="CY22529" s="34" t="s">
        <v>23456</v>
      </c>
      <c r="CZ22529" s="35">
        <v>8.9610201830065371E-3</v>
      </c>
    </row>
    <row r="22530" spans="103:104" x14ac:dyDescent="0.3">
      <c r="CY22530" s="34" t="s">
        <v>23457</v>
      </c>
      <c r="CZ22530" s="35">
        <v>6.5327222233333331E-3</v>
      </c>
    </row>
    <row r="22531" spans="103:104" x14ac:dyDescent="0.3">
      <c r="CY22531" s="34" t="s">
        <v>23458</v>
      </c>
      <c r="CZ22531" s="35">
        <v>1.7176940000000001E-3</v>
      </c>
    </row>
    <row r="22532" spans="103:104" x14ac:dyDescent="0.3">
      <c r="CY22532" s="34" t="s">
        <v>23459</v>
      </c>
      <c r="CZ22532" s="35">
        <v>0.29599945</v>
      </c>
    </row>
    <row r="22533" spans="103:104" x14ac:dyDescent="0.3">
      <c r="CY22533" s="34" t="s">
        <v>23460</v>
      </c>
      <c r="CZ22533" s="35">
        <v>0.32868496660000002</v>
      </c>
    </row>
    <row r="22534" spans="103:104" x14ac:dyDescent="0.3">
      <c r="CY22534" s="34" t="s">
        <v>23461</v>
      </c>
      <c r="CZ22534" s="35">
        <v>0.11647745407999999</v>
      </c>
    </row>
    <row r="22535" spans="103:104" x14ac:dyDescent="0.3">
      <c r="CY22535" s="34" t="s">
        <v>23462</v>
      </c>
      <c r="CZ22535" s="35">
        <v>7.4590879999999998E-2</v>
      </c>
    </row>
    <row r="22536" spans="103:104" x14ac:dyDescent="0.3">
      <c r="CY22536" s="34" t="s">
        <v>23463</v>
      </c>
      <c r="CZ22536" s="35">
        <v>2.9056000000000004E-3</v>
      </c>
    </row>
    <row r="22537" spans="103:104" x14ac:dyDescent="0.3">
      <c r="CY22537" s="34" t="s">
        <v>23464</v>
      </c>
      <c r="CZ22537" s="35">
        <v>1.4983599999999998E-3</v>
      </c>
    </row>
    <row r="22538" spans="103:104" x14ac:dyDescent="0.3">
      <c r="CY22538" s="34" t="s">
        <v>23465</v>
      </c>
      <c r="CZ22538" s="35">
        <v>3.1641875555555557E-3</v>
      </c>
    </row>
    <row r="22539" spans="103:104" x14ac:dyDescent="0.3">
      <c r="CY22539" s="34" t="s">
        <v>23466</v>
      </c>
      <c r="CZ22539" s="35">
        <v>0.59213440000000006</v>
      </c>
    </row>
    <row r="22540" spans="103:104" x14ac:dyDescent="0.3">
      <c r="CY22540" s="34" t="s">
        <v>23467</v>
      </c>
      <c r="CZ22540" s="35">
        <v>8.8305324000000004E-2</v>
      </c>
    </row>
    <row r="22541" spans="103:104" x14ac:dyDescent="0.3">
      <c r="CY22541" s="34" t="s">
        <v>23468</v>
      </c>
      <c r="CZ22541" s="35">
        <v>4.6681171375000004E-3</v>
      </c>
    </row>
    <row r="22542" spans="103:104" x14ac:dyDescent="0.3">
      <c r="CY22542" s="34" t="s">
        <v>23469</v>
      </c>
      <c r="CZ22542" s="35">
        <v>5.73601111111111E-3</v>
      </c>
    </row>
    <row r="22543" spans="103:104" x14ac:dyDescent="0.3">
      <c r="CY22543" s="34" t="s">
        <v>23470</v>
      </c>
      <c r="CZ22543" s="35">
        <v>3.6087080000000007E-2</v>
      </c>
    </row>
    <row r="22544" spans="103:104" x14ac:dyDescent="0.3">
      <c r="CY22544" s="34" t="s">
        <v>23471</v>
      </c>
      <c r="CZ22544" s="35">
        <v>4.3112798400000006E-2</v>
      </c>
    </row>
    <row r="22545" spans="103:104" x14ac:dyDescent="0.3">
      <c r="CY22545" s="34" t="s">
        <v>23472</v>
      </c>
      <c r="CZ22545" s="35">
        <v>0.19673053999999998</v>
      </c>
    </row>
    <row r="22546" spans="103:104" x14ac:dyDescent="0.3">
      <c r="CY22546" s="34" t="s">
        <v>23473</v>
      </c>
      <c r="CZ22546" s="35">
        <v>0.40058424800000003</v>
      </c>
    </row>
    <row r="22547" spans="103:104" x14ac:dyDescent="0.3">
      <c r="CY22547" s="34" t="s">
        <v>23474</v>
      </c>
      <c r="CZ22547" s="35">
        <v>2.3116000000000001E-2</v>
      </c>
    </row>
    <row r="22548" spans="103:104" x14ac:dyDescent="0.3">
      <c r="CY22548" s="34" t="s">
        <v>23475</v>
      </c>
      <c r="CZ22548" s="35">
        <v>1.8275400000000001E-2</v>
      </c>
    </row>
    <row r="22549" spans="103:104" x14ac:dyDescent="0.3">
      <c r="CY22549" s="34" t="s">
        <v>23476</v>
      </c>
      <c r="CZ22549" s="35">
        <v>2.1787999999999998E-3</v>
      </c>
    </row>
    <row r="22550" spans="103:104" x14ac:dyDescent="0.3">
      <c r="CY22550" s="34" t="s">
        <v>23477</v>
      </c>
      <c r="CZ22550" s="35">
        <v>0.49683375999999996</v>
      </c>
    </row>
    <row r="22551" spans="103:104" x14ac:dyDescent="0.3">
      <c r="CY22551" s="34" t="s">
        <v>23478</v>
      </c>
      <c r="CZ22551" s="35">
        <v>0.5472130999999999</v>
      </c>
    </row>
    <row r="22552" spans="103:104" x14ac:dyDescent="0.3">
      <c r="CY22552" s="34" t="s">
        <v>23479</v>
      </c>
      <c r="CZ22552" s="35">
        <v>0.48656042666666666</v>
      </c>
    </row>
    <row r="22553" spans="103:104" x14ac:dyDescent="0.3">
      <c r="CY22553" s="34" t="s">
        <v>23480</v>
      </c>
      <c r="CZ22553" s="35">
        <v>0.4970470933333333</v>
      </c>
    </row>
    <row r="22554" spans="103:104" x14ac:dyDescent="0.3">
      <c r="CY22554" s="34" t="s">
        <v>23481</v>
      </c>
      <c r="CZ22554" s="35">
        <v>4.2426271999999998E-3</v>
      </c>
    </row>
    <row r="22555" spans="103:104" x14ac:dyDescent="0.3">
      <c r="CY22555" s="34" t="s">
        <v>23482</v>
      </c>
      <c r="CZ22555" s="35">
        <v>0.26051511999999999</v>
      </c>
    </row>
    <row r="22556" spans="103:104" x14ac:dyDescent="0.3">
      <c r="CY22556" s="34" t="s">
        <v>23483</v>
      </c>
      <c r="CZ22556" s="35">
        <v>0.27284515199999998</v>
      </c>
    </row>
    <row r="22557" spans="103:104" x14ac:dyDescent="0.3">
      <c r="CY22557" s="34" t="s">
        <v>23484</v>
      </c>
      <c r="CZ22557" s="35">
        <v>0.24492125599999998</v>
      </c>
    </row>
    <row r="22558" spans="103:104" x14ac:dyDescent="0.3">
      <c r="CY22558" s="34" t="s">
        <v>23485</v>
      </c>
      <c r="CZ22558" s="35">
        <v>0.36367251072000001</v>
      </c>
    </row>
    <row r="22559" spans="103:104" x14ac:dyDescent="0.3">
      <c r="CY22559" s="34" t="s">
        <v>23486</v>
      </c>
      <c r="CZ22559" s="35">
        <v>0.36891102400000009</v>
      </c>
    </row>
    <row r="22560" spans="103:104" x14ac:dyDescent="0.3">
      <c r="CY22560" s="34" t="s">
        <v>23487</v>
      </c>
      <c r="CZ22560" s="35">
        <v>0.32069080000000005</v>
      </c>
    </row>
    <row r="22561" spans="103:104" x14ac:dyDescent="0.3">
      <c r="CY22561" s="34" t="s">
        <v>23488</v>
      </c>
      <c r="CZ22561" s="35">
        <v>8.6580223999999997E-3</v>
      </c>
    </row>
    <row r="22562" spans="103:104" x14ac:dyDescent="0.3">
      <c r="CY22562" s="34" t="s">
        <v>23489</v>
      </c>
      <c r="CZ22562" s="35">
        <v>1.1347104057142857E-2</v>
      </c>
    </row>
    <row r="22563" spans="103:104" x14ac:dyDescent="0.3">
      <c r="CY22563" s="34" t="s">
        <v>23490</v>
      </c>
      <c r="CZ22563" s="35">
        <v>5.9047600000000002E-3</v>
      </c>
    </row>
    <row r="22564" spans="103:104" x14ac:dyDescent="0.3">
      <c r="CY22564" s="34" t="s">
        <v>23491</v>
      </c>
      <c r="CZ22564" s="35">
        <v>9.0324000000000012E-3</v>
      </c>
    </row>
    <row r="22565" spans="103:104" x14ac:dyDescent="0.3">
      <c r="CY22565" s="34" t="s">
        <v>23492</v>
      </c>
      <c r="CZ22565" s="35">
        <v>6.6095999999999988E-2</v>
      </c>
    </row>
    <row r="22566" spans="103:104" x14ac:dyDescent="0.3">
      <c r="CY22566" s="34" t="s">
        <v>23493</v>
      </c>
      <c r="CZ22566" s="35">
        <v>2.6218567999999995E-3</v>
      </c>
    </row>
    <row r="22567" spans="103:104" x14ac:dyDescent="0.3">
      <c r="CY22567" s="34" t="s">
        <v>23494</v>
      </c>
      <c r="CZ22567" s="35">
        <v>4.4645000000000006E-3</v>
      </c>
    </row>
    <row r="22568" spans="103:104" x14ac:dyDescent="0.3">
      <c r="CY22568" s="34" t="s">
        <v>23495</v>
      </c>
      <c r="CZ22568" s="35">
        <v>3.501704E-3</v>
      </c>
    </row>
    <row r="22569" spans="103:104" x14ac:dyDescent="0.3">
      <c r="CY22569" s="34" t="s">
        <v>23496</v>
      </c>
      <c r="CZ22569" s="35">
        <v>2.9460460210526318E-3</v>
      </c>
    </row>
    <row r="22570" spans="103:104" x14ac:dyDescent="0.3">
      <c r="CY22570" s="34" t="s">
        <v>23497</v>
      </c>
      <c r="CZ22570" s="35">
        <v>2.4302613333333336E-3</v>
      </c>
    </row>
    <row r="22571" spans="103:104" x14ac:dyDescent="0.3">
      <c r="CY22571" s="34" t="s">
        <v>23498</v>
      </c>
      <c r="CZ22571" s="35">
        <v>2.4302613333333336E-3</v>
      </c>
    </row>
    <row r="22572" spans="103:104" x14ac:dyDescent="0.3">
      <c r="CY22572" s="34" t="s">
        <v>23499</v>
      </c>
      <c r="CZ22572" s="35">
        <v>2.4302613333333336E-3</v>
      </c>
    </row>
    <row r="22573" spans="103:104" x14ac:dyDescent="0.3">
      <c r="CY22573" s="34" t="s">
        <v>23500</v>
      </c>
      <c r="CZ22573" s="35">
        <v>2.6131649999999998E-3</v>
      </c>
    </row>
    <row r="22574" spans="103:104" x14ac:dyDescent="0.3">
      <c r="CY22574" s="34" t="s">
        <v>23501</v>
      </c>
      <c r="CZ22574" s="35">
        <v>0.16577934714285714</v>
      </c>
    </row>
    <row r="22575" spans="103:104" x14ac:dyDescent="0.3">
      <c r="CY22575" s="34" t="s">
        <v>23502</v>
      </c>
      <c r="CZ22575" s="35">
        <v>0.15565257339999999</v>
      </c>
    </row>
    <row r="22576" spans="103:104" x14ac:dyDescent="0.3">
      <c r="CY22576" s="34" t="s">
        <v>23503</v>
      </c>
      <c r="CZ22576" s="35">
        <v>7.2417083599999987E-2</v>
      </c>
    </row>
    <row r="22577" spans="103:104" x14ac:dyDescent="0.3">
      <c r="CY22577" s="34" t="s">
        <v>23504</v>
      </c>
      <c r="CZ22577" s="35">
        <v>6.0897512666666667E-2</v>
      </c>
    </row>
    <row r="22578" spans="103:104" x14ac:dyDescent="0.3">
      <c r="CY22578" s="34" t="s">
        <v>23505</v>
      </c>
      <c r="CZ22578" s="35">
        <v>2.6964016E-3</v>
      </c>
    </row>
    <row r="22579" spans="103:104" x14ac:dyDescent="0.3">
      <c r="CY22579" s="34" t="s">
        <v>23506</v>
      </c>
      <c r="CZ22579" s="35">
        <v>5.4777928800000007E-2</v>
      </c>
    </row>
    <row r="22580" spans="103:104" x14ac:dyDescent="0.3">
      <c r="CY22580" s="34" t="s">
        <v>23507</v>
      </c>
      <c r="CZ22580" s="35">
        <v>4.0569376000000002E-3</v>
      </c>
    </row>
    <row r="22581" spans="103:104" x14ac:dyDescent="0.3">
      <c r="CY22581" s="34" t="s">
        <v>23508</v>
      </c>
      <c r="CZ22581" s="35">
        <v>0.17225308</v>
      </c>
    </row>
    <row r="22582" spans="103:104" x14ac:dyDescent="0.3">
      <c r="CY22582" s="34" t="s">
        <v>23509</v>
      </c>
      <c r="CZ22582" s="35">
        <v>6.4764820000000004E-3</v>
      </c>
    </row>
    <row r="22583" spans="103:104" x14ac:dyDescent="0.3">
      <c r="CY22583" s="34" t="s">
        <v>23510</v>
      </c>
      <c r="CZ22583" s="35">
        <v>3.8532100000000007E-2</v>
      </c>
    </row>
    <row r="22584" spans="103:104" x14ac:dyDescent="0.3">
      <c r="CY22584" s="34" t="s">
        <v>23511</v>
      </c>
      <c r="CZ22584" s="35">
        <v>1.3831780000000002E-2</v>
      </c>
    </row>
    <row r="22585" spans="103:104" x14ac:dyDescent="0.3">
      <c r="CY22585" s="34" t="s">
        <v>23512</v>
      </c>
      <c r="CZ22585" s="35">
        <v>0.154160824</v>
      </c>
    </row>
    <row r="22586" spans="103:104" x14ac:dyDescent="0.3">
      <c r="CY22586" s="34" t="s">
        <v>23513</v>
      </c>
      <c r="CZ22586" s="35">
        <v>7.4153535999999992E-2</v>
      </c>
    </row>
    <row r="22587" spans="103:104" x14ac:dyDescent="0.3">
      <c r="CY22587" s="34" t="s">
        <v>23514</v>
      </c>
      <c r="CZ22587" s="35">
        <v>0.72297999999999996</v>
      </c>
    </row>
    <row r="22588" spans="103:104" x14ac:dyDescent="0.3">
      <c r="CY22588" s="34" t="s">
        <v>23515</v>
      </c>
      <c r="CZ22588" s="35">
        <v>4.5621472E-3</v>
      </c>
    </row>
    <row r="22589" spans="103:104" x14ac:dyDescent="0.3">
      <c r="CY22589" s="34" t="s">
        <v>23516</v>
      </c>
      <c r="CZ22589" s="35">
        <v>7.4153750000000001E-3</v>
      </c>
    </row>
    <row r="22590" spans="103:104" x14ac:dyDescent="0.3">
      <c r="CY22590" s="34" t="s">
        <v>23517</v>
      </c>
      <c r="CZ22590" s="35">
        <v>5.7699199999999999E-2</v>
      </c>
    </row>
    <row r="22591" spans="103:104" x14ac:dyDescent="0.3">
      <c r="CY22591" s="34" t="s">
        <v>23518</v>
      </c>
      <c r="CZ22591" s="35">
        <v>5.044503288888889E-3</v>
      </c>
    </row>
    <row r="22592" spans="103:104" x14ac:dyDescent="0.3">
      <c r="CY22592" s="34" t="s">
        <v>23519</v>
      </c>
      <c r="CZ22592" s="35">
        <v>6.1060274666666662E-3</v>
      </c>
    </row>
    <row r="22593" spans="103:104" x14ac:dyDescent="0.3">
      <c r="CY22593" s="34" t="s">
        <v>23520</v>
      </c>
      <c r="CZ22593" s="35">
        <v>1.1803434E-2</v>
      </c>
    </row>
    <row r="22594" spans="103:104" x14ac:dyDescent="0.3">
      <c r="CY22594" s="34" t="s">
        <v>23521</v>
      </c>
      <c r="CZ22594" s="35">
        <v>6.3765699999999995E-2</v>
      </c>
    </row>
    <row r="22595" spans="103:104" x14ac:dyDescent="0.3">
      <c r="CY22595" s="34" t="s">
        <v>23522</v>
      </c>
      <c r="CZ22595" s="35">
        <v>1.5495138E-3</v>
      </c>
    </row>
    <row r="22596" spans="103:104" x14ac:dyDescent="0.3">
      <c r="CY22596" s="34" t="s">
        <v>23523</v>
      </c>
      <c r="CZ22596" s="35">
        <v>1.6500941999999998E-3</v>
      </c>
    </row>
    <row r="22597" spans="103:104" x14ac:dyDescent="0.3">
      <c r="CY22597" s="34" t="s">
        <v>23524</v>
      </c>
      <c r="CZ22597" s="35">
        <v>1.8009647999999998E-3</v>
      </c>
    </row>
    <row r="22598" spans="103:104" x14ac:dyDescent="0.3">
      <c r="CY22598" s="34" t="s">
        <v>23525</v>
      </c>
      <c r="CZ22598" s="35">
        <v>1.7003843999999998E-3</v>
      </c>
    </row>
    <row r="22599" spans="103:104" x14ac:dyDescent="0.3">
      <c r="CY22599" s="34" t="s">
        <v>23526</v>
      </c>
      <c r="CZ22599" s="35">
        <v>1.599804E-3</v>
      </c>
    </row>
    <row r="22600" spans="103:104" x14ac:dyDescent="0.3">
      <c r="CY22600" s="34" t="s">
        <v>23527</v>
      </c>
      <c r="CZ22600" s="35">
        <v>1.2219278400000002E-2</v>
      </c>
    </row>
    <row r="22601" spans="103:104" x14ac:dyDescent="0.3">
      <c r="CY22601" s="34" t="s">
        <v>23528</v>
      </c>
      <c r="CZ22601" s="35">
        <v>1.9994620000000001E-2</v>
      </c>
    </row>
    <row r="22602" spans="103:104" x14ac:dyDescent="0.3">
      <c r="CY22602" s="34" t="s">
        <v>23529</v>
      </c>
      <c r="CZ22602" s="35">
        <v>0.16633616000000001</v>
      </c>
    </row>
    <row r="22603" spans="103:104" x14ac:dyDescent="0.3">
      <c r="CY22603" s="34" t="s">
        <v>23530</v>
      </c>
      <c r="CZ22603" s="35">
        <v>0.18789886499999997</v>
      </c>
    </row>
    <row r="22604" spans="103:104" x14ac:dyDescent="0.3">
      <c r="CY22604" s="34" t="s">
        <v>23531</v>
      </c>
      <c r="CZ22604" s="35">
        <v>0.18697802105263156</v>
      </c>
    </row>
    <row r="22605" spans="103:104" x14ac:dyDescent="0.3">
      <c r="CY22605" s="34" t="s">
        <v>23532</v>
      </c>
      <c r="CZ22605" s="35">
        <v>0.11429473999999998</v>
      </c>
    </row>
    <row r="22606" spans="103:104" x14ac:dyDescent="0.3">
      <c r="CY22606" s="34" t="s">
        <v>23533</v>
      </c>
      <c r="CZ22606" s="35">
        <v>0.18697802105263159</v>
      </c>
    </row>
    <row r="22607" spans="103:104" x14ac:dyDescent="0.3">
      <c r="CY22607" s="34" t="s">
        <v>23534</v>
      </c>
      <c r="CZ22607" s="35">
        <v>0.18697802105263159</v>
      </c>
    </row>
    <row r="22608" spans="103:104" x14ac:dyDescent="0.3">
      <c r="CY22608" s="34" t="s">
        <v>23535</v>
      </c>
      <c r="CZ22608" s="35">
        <v>0.18697802105263159</v>
      </c>
    </row>
    <row r="22609" spans="103:104" x14ac:dyDescent="0.3">
      <c r="CY22609" s="34" t="s">
        <v>23536</v>
      </c>
      <c r="CZ22609" s="35">
        <v>0.24691400727272728</v>
      </c>
    </row>
    <row r="22610" spans="103:104" x14ac:dyDescent="0.3">
      <c r="CY22610" s="34" t="s">
        <v>23537</v>
      </c>
      <c r="CZ22610" s="35">
        <v>0.16886362105263156</v>
      </c>
    </row>
    <row r="22611" spans="103:104" x14ac:dyDescent="0.3">
      <c r="CY22611" s="34" t="s">
        <v>23538</v>
      </c>
      <c r="CZ22611" s="35">
        <v>0.14745554285714291</v>
      </c>
    </row>
    <row r="22612" spans="103:104" x14ac:dyDescent="0.3">
      <c r="CY22612" s="34" t="s">
        <v>23539</v>
      </c>
      <c r="CZ22612" s="35">
        <v>3.1911800000000001E-3</v>
      </c>
    </row>
    <row r="22613" spans="103:104" x14ac:dyDescent="0.3">
      <c r="CY22613" s="34" t="s">
        <v>23540</v>
      </c>
      <c r="CZ22613" s="35">
        <v>1.1462251466666667E-2</v>
      </c>
    </row>
    <row r="22614" spans="103:104" x14ac:dyDescent="0.3">
      <c r="CY22614" s="34" t="s">
        <v>23541</v>
      </c>
      <c r="CZ22614" s="35">
        <v>1.2530198666666666E-2</v>
      </c>
    </row>
    <row r="22615" spans="103:104" x14ac:dyDescent="0.3">
      <c r="CY22615" s="34" t="s">
        <v>23542</v>
      </c>
      <c r="CZ22615" s="35">
        <v>1.4378372E-2</v>
      </c>
    </row>
    <row r="22616" spans="103:104" x14ac:dyDescent="0.3">
      <c r="CY22616" s="34" t="s">
        <v>23543</v>
      </c>
      <c r="CZ22616" s="35">
        <v>1.9115562518518519E-2</v>
      </c>
    </row>
    <row r="22617" spans="103:104" x14ac:dyDescent="0.3">
      <c r="CY22617" s="34" t="s">
        <v>23544</v>
      </c>
      <c r="CZ22617" s="35">
        <v>1.2515277108451218E-2</v>
      </c>
    </row>
    <row r="22618" spans="103:104" x14ac:dyDescent="0.3">
      <c r="CY22618" s="34" t="s">
        <v>23545</v>
      </c>
      <c r="CZ22618" s="35">
        <v>3.6480260444444447E-2</v>
      </c>
    </row>
    <row r="22619" spans="103:104" x14ac:dyDescent="0.3">
      <c r="CY22619" s="34" t="s">
        <v>23546</v>
      </c>
      <c r="CZ22619" s="35">
        <v>4.0713061333333335E-2</v>
      </c>
    </row>
    <row r="22620" spans="103:104" x14ac:dyDescent="0.3">
      <c r="CY22620" s="34" t="s">
        <v>23547</v>
      </c>
      <c r="CZ22620" s="35">
        <v>2.4601924266666665E-2</v>
      </c>
    </row>
    <row r="22621" spans="103:104" x14ac:dyDescent="0.3">
      <c r="CY22621" s="34" t="s">
        <v>23548</v>
      </c>
      <c r="CZ22621" s="35">
        <v>0.12429720180000002</v>
      </c>
    </row>
    <row r="22622" spans="103:104" x14ac:dyDescent="0.3">
      <c r="CY22622" s="34" t="s">
        <v>23549</v>
      </c>
      <c r="CZ22622" s="35">
        <v>0.16762648191666668</v>
      </c>
    </row>
    <row r="22623" spans="103:104" x14ac:dyDescent="0.3">
      <c r="CY22623" s="34" t="s">
        <v>23550</v>
      </c>
      <c r="CZ22623" s="35">
        <v>0.16762648193333332</v>
      </c>
    </row>
    <row r="22624" spans="103:104" x14ac:dyDescent="0.3">
      <c r="CY22624" s="34" t="s">
        <v>23551</v>
      </c>
      <c r="CZ22624" s="35">
        <v>157.37524977780001</v>
      </c>
    </row>
    <row r="22625" spans="103:104" x14ac:dyDescent="0.3">
      <c r="CY22625" s="34" t="s">
        <v>23552</v>
      </c>
      <c r="CZ22625" s="35">
        <v>0.15944234760000001</v>
      </c>
    </row>
    <row r="22626" spans="103:104" x14ac:dyDescent="0.3">
      <c r="CY22626" s="34" t="s">
        <v>23553</v>
      </c>
      <c r="CZ22626" s="35">
        <v>0.15944234760000001</v>
      </c>
    </row>
    <row r="22627" spans="103:104" x14ac:dyDescent="0.3">
      <c r="CY22627" s="34" t="s">
        <v>23554</v>
      </c>
      <c r="CZ22627" s="35">
        <v>9.9259813333333335E-2</v>
      </c>
    </row>
    <row r="22628" spans="103:104" x14ac:dyDescent="0.3">
      <c r="CY22628" s="34" t="s">
        <v>23555</v>
      </c>
      <c r="CZ22628" s="35">
        <v>0.10945913339999999</v>
      </c>
    </row>
    <row r="22629" spans="103:104" x14ac:dyDescent="0.3">
      <c r="CY22629" s="34" t="s">
        <v>23556</v>
      </c>
      <c r="CZ22629" s="35">
        <v>8.0378033330000001E-2</v>
      </c>
    </row>
    <row r="22630" spans="103:104" x14ac:dyDescent="0.3">
      <c r="CY22630" s="34" t="s">
        <v>23557</v>
      </c>
      <c r="CZ22630" s="35">
        <v>9.8668333300000008E-2</v>
      </c>
    </row>
    <row r="22631" spans="103:104" x14ac:dyDescent="0.3">
      <c r="CY22631" s="34" t="s">
        <v>23558</v>
      </c>
      <c r="CZ22631" s="35">
        <v>0.12018633340000001</v>
      </c>
    </row>
    <row r="22632" spans="103:104" x14ac:dyDescent="0.3">
      <c r="CY22632" s="34" t="s">
        <v>23559</v>
      </c>
      <c r="CZ22632" s="35">
        <v>9.8639713399999995E-2</v>
      </c>
    </row>
    <row r="22633" spans="103:104" x14ac:dyDescent="0.3">
      <c r="CY22633" s="34" t="s">
        <v>23560</v>
      </c>
      <c r="CZ22633" s="35">
        <v>6.4704617142857142E-3</v>
      </c>
    </row>
    <row r="22634" spans="103:104" x14ac:dyDescent="0.3">
      <c r="CY22634" s="34" t="s">
        <v>23561</v>
      </c>
      <c r="CZ22634" s="35">
        <v>0.30664799999999998</v>
      </c>
    </row>
    <row r="22635" spans="103:104" x14ac:dyDescent="0.3">
      <c r="CY22635" s="34" t="s">
        <v>23562</v>
      </c>
      <c r="CZ22635" s="35">
        <v>0.763208</v>
      </c>
    </row>
    <row r="22636" spans="103:104" x14ac:dyDescent="0.3">
      <c r="CY22636" s="34" t="s">
        <v>23563</v>
      </c>
      <c r="CZ22636" s="35">
        <v>0.763208</v>
      </c>
    </row>
    <row r="22637" spans="103:104" x14ac:dyDescent="0.3">
      <c r="CY22637" s="34" t="s">
        <v>23564</v>
      </c>
      <c r="CZ22637" s="35">
        <v>0.763208</v>
      </c>
    </row>
    <row r="22638" spans="103:104" x14ac:dyDescent="0.3">
      <c r="CY22638" s="34" t="s">
        <v>23565</v>
      </c>
      <c r="CZ22638" s="35">
        <v>0.30446530000000005</v>
      </c>
    </row>
    <row r="22639" spans="103:104" x14ac:dyDescent="0.3">
      <c r="CY22639" s="34" t="s">
        <v>23566</v>
      </c>
      <c r="CZ22639" s="35">
        <v>2.0328111999999999E-2</v>
      </c>
    </row>
    <row r="22640" spans="103:104" x14ac:dyDescent="0.3">
      <c r="CY22640" s="34" t="s">
        <v>23567</v>
      </c>
      <c r="CZ22640" s="35">
        <v>1.9635454E-2</v>
      </c>
    </row>
    <row r="22641" spans="103:104" x14ac:dyDescent="0.3">
      <c r="CY22641" s="34" t="s">
        <v>23568</v>
      </c>
      <c r="CZ22641" s="35">
        <v>2.3831687999999997E-2</v>
      </c>
    </row>
    <row r="22642" spans="103:104" x14ac:dyDescent="0.3">
      <c r="CY22642" s="34" t="s">
        <v>23569</v>
      </c>
      <c r="CZ22642" s="35">
        <v>9.4069780000000006E-2</v>
      </c>
    </row>
    <row r="22643" spans="103:104" x14ac:dyDescent="0.3">
      <c r="CY22643" s="34" t="s">
        <v>23570</v>
      </c>
      <c r="CZ22643" s="35">
        <v>9.4109053333333323E-4</v>
      </c>
    </row>
    <row r="22644" spans="103:104" x14ac:dyDescent="0.3">
      <c r="CY22644" s="34" t="s">
        <v>23571</v>
      </c>
      <c r="CZ22644" s="35">
        <v>4.2172332000000001E-4</v>
      </c>
    </row>
    <row r="22645" spans="103:104" x14ac:dyDescent="0.3">
      <c r="CY22645" s="34" t="s">
        <v>23572</v>
      </c>
      <c r="CZ22645" s="35">
        <v>2.9223285600000003E-2</v>
      </c>
    </row>
    <row r="22646" spans="103:104" x14ac:dyDescent="0.3">
      <c r="CY22646" s="34" t="s">
        <v>23573</v>
      </c>
      <c r="CZ22646" s="35">
        <v>8.6205000000000006E-4</v>
      </c>
    </row>
    <row r="22647" spans="103:104" x14ac:dyDescent="0.3">
      <c r="CY22647" s="34" t="s">
        <v>23574</v>
      </c>
      <c r="CZ22647" s="35">
        <v>1.82478864E-2</v>
      </c>
    </row>
    <row r="22648" spans="103:104" x14ac:dyDescent="0.3">
      <c r="CY22648" s="34" t="s">
        <v>23575</v>
      </c>
      <c r="CZ22648" s="35">
        <v>7.2592871999999998E-3</v>
      </c>
    </row>
    <row r="22649" spans="103:104" x14ac:dyDescent="0.3">
      <c r="CY22649" s="34" t="s">
        <v>23576</v>
      </c>
      <c r="CZ22649" s="35">
        <v>1.0977984E-3</v>
      </c>
    </row>
    <row r="22650" spans="103:104" x14ac:dyDescent="0.3">
      <c r="CY22650" s="34" t="s">
        <v>23577</v>
      </c>
      <c r="CZ22650" s="35">
        <v>5.8250767199999999E-3</v>
      </c>
    </row>
    <row r="22651" spans="103:104" x14ac:dyDescent="0.3">
      <c r="CY22651" s="34" t="s">
        <v>23578</v>
      </c>
      <c r="CZ22651" s="35">
        <v>1.7118926800000001E-3</v>
      </c>
    </row>
    <row r="22652" spans="103:104" x14ac:dyDescent="0.3">
      <c r="CY22652" s="34" t="s">
        <v>23579</v>
      </c>
      <c r="CZ22652" s="35">
        <v>5.75524E-3</v>
      </c>
    </row>
    <row r="22653" spans="103:104" x14ac:dyDescent="0.3">
      <c r="CY22653" s="34" t="s">
        <v>23580</v>
      </c>
      <c r="CZ22653" s="35">
        <v>2.6466097600000002E-2</v>
      </c>
    </row>
    <row r="22654" spans="103:104" x14ac:dyDescent="0.3">
      <c r="CY22654" s="34" t="s">
        <v>23581</v>
      </c>
      <c r="CZ22654" s="35">
        <v>4.0723839999999995E-4</v>
      </c>
    </row>
    <row r="22655" spans="103:104" x14ac:dyDescent="0.3">
      <c r="CY22655" s="34" t="s">
        <v>23582</v>
      </c>
      <c r="CZ22655" s="35">
        <v>4.3456992E-4</v>
      </c>
    </row>
    <row r="22656" spans="103:104" x14ac:dyDescent="0.3">
      <c r="CY22656" s="34" t="s">
        <v>23583</v>
      </c>
      <c r="CZ22656" s="35">
        <v>1.5912086E-3</v>
      </c>
    </row>
    <row r="22657" spans="103:104" x14ac:dyDescent="0.3">
      <c r="CY22657" s="34" t="s">
        <v>23584</v>
      </c>
      <c r="CZ22657" s="35">
        <v>1.6299443199999997E-3</v>
      </c>
    </row>
    <row r="22658" spans="103:104" x14ac:dyDescent="0.3">
      <c r="CY22658" s="34" t="s">
        <v>23585</v>
      </c>
      <c r="CZ22658" s="35">
        <v>2.7833494400000002E-2</v>
      </c>
    </row>
    <row r="22659" spans="103:104" x14ac:dyDescent="0.3">
      <c r="CY22659" s="34" t="s">
        <v>23586</v>
      </c>
      <c r="CZ22659" s="35">
        <v>0.31026894000000005</v>
      </c>
    </row>
    <row r="22660" spans="103:104" x14ac:dyDescent="0.3">
      <c r="CY22660" s="34" t="s">
        <v>23587</v>
      </c>
      <c r="CZ22660" s="35">
        <v>1.1931199999999999E-2</v>
      </c>
    </row>
    <row r="22661" spans="103:104" x14ac:dyDescent="0.3">
      <c r="CY22661" s="34" t="s">
        <v>23588</v>
      </c>
      <c r="CZ22661" s="35">
        <v>1.8542858333333333E-5</v>
      </c>
    </row>
    <row r="22662" spans="103:104" x14ac:dyDescent="0.3">
      <c r="CY22662" s="34" t="s">
        <v>23589</v>
      </c>
      <c r="CZ22662" s="35">
        <v>8.5168429999999996E-3</v>
      </c>
    </row>
    <row r="22663" spans="103:104" x14ac:dyDescent="0.3">
      <c r="CY22663" s="34" t="s">
        <v>23590</v>
      </c>
      <c r="CZ22663" s="35">
        <v>3.2907500000000003E-3</v>
      </c>
    </row>
    <row r="22664" spans="103:104" x14ac:dyDescent="0.3">
      <c r="CY22664" s="34" t="s">
        <v>23591</v>
      </c>
      <c r="CZ22664" s="35">
        <v>0.123551572</v>
      </c>
    </row>
    <row r="22665" spans="103:104" x14ac:dyDescent="0.3">
      <c r="CY22665" s="34" t="s">
        <v>23592</v>
      </c>
      <c r="CZ22665" s="35">
        <v>0.53466775000000011</v>
      </c>
    </row>
    <row r="22666" spans="103:104" x14ac:dyDescent="0.3">
      <c r="CY22666" s="34" t="s">
        <v>23593</v>
      </c>
      <c r="CZ22666" s="35">
        <v>2.6176872000000001E-3</v>
      </c>
    </row>
    <row r="22667" spans="103:104" x14ac:dyDescent="0.3">
      <c r="CY22667" s="34" t="s">
        <v>23594</v>
      </c>
      <c r="CZ22667" s="35">
        <v>8.4783591999999987E-3</v>
      </c>
    </row>
    <row r="22668" spans="103:104" x14ac:dyDescent="0.3">
      <c r="CY22668" s="34" t="s">
        <v>23595</v>
      </c>
      <c r="CZ22668" s="35">
        <v>1.0925960000000001E-3</v>
      </c>
    </row>
    <row r="22669" spans="103:104" x14ac:dyDescent="0.3">
      <c r="CY22669" s="34" t="s">
        <v>23596</v>
      </c>
      <c r="CZ22669" s="35">
        <v>1.330464E-3</v>
      </c>
    </row>
    <row r="22670" spans="103:104" x14ac:dyDescent="0.3">
      <c r="CY22670" s="34" t="s">
        <v>23597</v>
      </c>
      <c r="CZ22670" s="35">
        <v>5.8501599999999994E-4</v>
      </c>
    </row>
    <row r="22671" spans="103:104" x14ac:dyDescent="0.3">
      <c r="CY22671" s="34" t="s">
        <v>23598</v>
      </c>
      <c r="CZ22671" s="35">
        <v>1.3435399999999998E-3</v>
      </c>
    </row>
    <row r="22672" spans="103:104" x14ac:dyDescent="0.3">
      <c r="CY22672" s="34" t="s">
        <v>23599</v>
      </c>
      <c r="CZ22672" s="35">
        <v>2.5720099999999998E-4</v>
      </c>
    </row>
    <row r="22673" spans="103:104" x14ac:dyDescent="0.3">
      <c r="CY22673" s="34" t="s">
        <v>23600</v>
      </c>
      <c r="CZ22673" s="35">
        <v>5.9572E-4</v>
      </c>
    </row>
    <row r="22674" spans="103:104" x14ac:dyDescent="0.3">
      <c r="CY22674" s="34" t="s">
        <v>23601</v>
      </c>
      <c r="CZ22674" s="35">
        <v>6.539212E-3</v>
      </c>
    </row>
    <row r="22675" spans="103:104" x14ac:dyDescent="0.3">
      <c r="CY22675" s="34" t="s">
        <v>23602</v>
      </c>
      <c r="CZ22675" s="35">
        <v>1.2193624000000002E-3</v>
      </c>
    </row>
    <row r="22676" spans="103:104" x14ac:dyDescent="0.3">
      <c r="CY22676" s="34" t="s">
        <v>23603</v>
      </c>
      <c r="CZ22676" s="35">
        <v>1.6458966399999998E-3</v>
      </c>
    </row>
    <row r="22677" spans="103:104" x14ac:dyDescent="0.3">
      <c r="CY22677" s="34" t="s">
        <v>23604</v>
      </c>
      <c r="CZ22677" s="35">
        <v>2.4620016000000003E-3</v>
      </c>
    </row>
    <row r="22678" spans="103:104" x14ac:dyDescent="0.3">
      <c r="CY22678" s="34" t="s">
        <v>23605</v>
      </c>
      <c r="CZ22678" s="35">
        <v>2.7463649000000003E-4</v>
      </c>
    </row>
    <row r="22679" spans="103:104" x14ac:dyDescent="0.3">
      <c r="CY22679" s="34" t="s">
        <v>23606</v>
      </c>
      <c r="CZ22679" s="35">
        <v>4.4881843999999995E-4</v>
      </c>
    </row>
    <row r="22680" spans="103:104" x14ac:dyDescent="0.3">
      <c r="CY22680" s="34" t="s">
        <v>23607</v>
      </c>
      <c r="CZ22680" s="35">
        <v>4.9496800000000006E-3</v>
      </c>
    </row>
    <row r="22681" spans="103:104" x14ac:dyDescent="0.3">
      <c r="CY22681" s="34" t="s">
        <v>23608</v>
      </c>
      <c r="CZ22681" s="35">
        <v>3.4611984000000001E-3</v>
      </c>
    </row>
    <row r="22682" spans="103:104" x14ac:dyDescent="0.3">
      <c r="CY22682" s="34" t="s">
        <v>23609</v>
      </c>
      <c r="CZ22682" s="35">
        <v>1.6330870000000001E-3</v>
      </c>
    </row>
    <row r="22683" spans="103:104" x14ac:dyDescent="0.3">
      <c r="CY22683" s="34" t="s">
        <v>23610</v>
      </c>
      <c r="CZ22683" s="35">
        <v>8.5641199999999997E-4</v>
      </c>
    </row>
    <row r="22684" spans="103:104" x14ac:dyDescent="0.3">
      <c r="CY22684" s="34" t="s">
        <v>23611</v>
      </c>
      <c r="CZ22684" s="35">
        <v>1.5099279999999998E-3</v>
      </c>
    </row>
    <row r="22685" spans="103:104" x14ac:dyDescent="0.3">
      <c r="CY22685" s="34" t="s">
        <v>23612</v>
      </c>
      <c r="CZ22685" s="35">
        <v>8.3302720000000003E-4</v>
      </c>
    </row>
    <row r="22686" spans="103:104" x14ac:dyDescent="0.3">
      <c r="CY22686" s="34" t="s">
        <v>23613</v>
      </c>
      <c r="CZ22686" s="35">
        <v>4.2556240000000004E-3</v>
      </c>
    </row>
    <row r="22687" spans="103:104" x14ac:dyDescent="0.3">
      <c r="CY22687" s="34" t="s">
        <v>23614</v>
      </c>
      <c r="CZ22687" s="35">
        <v>1.9398919999999999E-3</v>
      </c>
    </row>
    <row r="22688" spans="103:104" x14ac:dyDescent="0.3">
      <c r="CY22688" s="34" t="s">
        <v>23615</v>
      </c>
      <c r="CZ22688" s="35">
        <v>3.6352500000000001E-4</v>
      </c>
    </row>
    <row r="22689" spans="103:104" x14ac:dyDescent="0.3">
      <c r="CY22689" s="34" t="s">
        <v>23616</v>
      </c>
      <c r="CZ22689" s="35">
        <v>4.7702080000000004E-4</v>
      </c>
    </row>
    <row r="22690" spans="103:104" x14ac:dyDescent="0.3">
      <c r="CY22690" s="34" t="s">
        <v>23617</v>
      </c>
      <c r="CZ22690" s="35">
        <v>7.4530800000000008E-4</v>
      </c>
    </row>
    <row r="22691" spans="103:104" x14ac:dyDescent="0.3">
      <c r="CY22691" s="34" t="s">
        <v>23618</v>
      </c>
      <c r="CZ22691" s="35">
        <v>4.0625000000000004E-4</v>
      </c>
    </row>
    <row r="22692" spans="103:104" x14ac:dyDescent="0.3">
      <c r="CY22692" s="34" t="s">
        <v>23619</v>
      </c>
      <c r="CZ22692" s="35">
        <v>1.5353035999999998E-3</v>
      </c>
    </row>
    <row r="22693" spans="103:104" x14ac:dyDescent="0.3">
      <c r="CY22693" s="34" t="s">
        <v>23620</v>
      </c>
      <c r="CZ22693" s="35">
        <v>9.1303266665000004E-3</v>
      </c>
    </row>
    <row r="22694" spans="103:104" x14ac:dyDescent="0.3">
      <c r="CY22694" s="34" t="s">
        <v>23621</v>
      </c>
      <c r="CZ22694" s="35">
        <v>1.5093150400000001E-3</v>
      </c>
    </row>
    <row r="22695" spans="103:104" x14ac:dyDescent="0.3">
      <c r="CY22695" s="34" t="s">
        <v>23622</v>
      </c>
      <c r="CZ22695" s="35">
        <v>0.17504957333333332</v>
      </c>
    </row>
    <row r="22696" spans="103:104" x14ac:dyDescent="0.3">
      <c r="CY22696" s="34" t="s">
        <v>23623</v>
      </c>
      <c r="CZ22696" s="35">
        <v>0.10386246400000002</v>
      </c>
    </row>
    <row r="22697" spans="103:104" x14ac:dyDescent="0.3">
      <c r="CY22697" s="34" t="s">
        <v>23624</v>
      </c>
      <c r="CZ22697" s="35">
        <v>8.0270917324999996E-2</v>
      </c>
    </row>
    <row r="22698" spans="103:104" x14ac:dyDescent="0.3">
      <c r="CY22698" s="34" t="s">
        <v>23625</v>
      </c>
      <c r="CZ22698" s="35">
        <v>3.3948605000000001E-3</v>
      </c>
    </row>
    <row r="22699" spans="103:104" x14ac:dyDescent="0.3">
      <c r="CY22699" s="34" t="s">
        <v>23626</v>
      </c>
      <c r="CZ22699" s="35">
        <v>0.24063390804597701</v>
      </c>
    </row>
    <row r="22700" spans="103:104" x14ac:dyDescent="0.3">
      <c r="CY22700" s="34" t="s">
        <v>23627</v>
      </c>
      <c r="CZ22700" s="35">
        <v>3.7949999999999998E-3</v>
      </c>
    </row>
    <row r="22701" spans="103:104" x14ac:dyDescent="0.3">
      <c r="CY22701" s="34" t="s">
        <v>23628</v>
      </c>
      <c r="CZ22701" s="35">
        <v>5.3100271999999998E-4</v>
      </c>
    </row>
    <row r="22702" spans="103:104" x14ac:dyDescent="0.3">
      <c r="CY22702" s="34" t="s">
        <v>23629</v>
      </c>
      <c r="CZ22702" s="35">
        <v>1.3969801866666666E-3</v>
      </c>
    </row>
    <row r="22703" spans="103:104" x14ac:dyDescent="0.3">
      <c r="CY22703" s="34" t="s">
        <v>23630</v>
      </c>
      <c r="CZ22703" s="35">
        <v>3.5651279999999997E-4</v>
      </c>
    </row>
    <row r="22704" spans="103:104" x14ac:dyDescent="0.3">
      <c r="CY22704" s="34" t="s">
        <v>23631</v>
      </c>
      <c r="CZ22704" s="35">
        <v>3.615205925925926E-2</v>
      </c>
    </row>
    <row r="22705" spans="103:104" x14ac:dyDescent="0.3">
      <c r="CY22705" s="34" t="s">
        <v>23632</v>
      </c>
      <c r="CZ22705" s="35">
        <v>4.7350785555555558E-3</v>
      </c>
    </row>
    <row r="22706" spans="103:104" x14ac:dyDescent="0.3">
      <c r="CY22706" s="34" t="s">
        <v>23633</v>
      </c>
      <c r="CZ22706" s="35">
        <v>1.0152688000000001</v>
      </c>
    </row>
    <row r="22707" spans="103:104" x14ac:dyDescent="0.3">
      <c r="CY22707" s="34" t="s">
        <v>23634</v>
      </c>
      <c r="CZ22707" s="35">
        <v>2.5800320000000001</v>
      </c>
    </row>
    <row r="22708" spans="103:104" x14ac:dyDescent="0.3">
      <c r="CY22708" s="34" t="s">
        <v>23635</v>
      </c>
      <c r="CZ22708" s="35">
        <v>0.4648042</v>
      </c>
    </row>
    <row r="22709" spans="103:104" x14ac:dyDescent="0.3">
      <c r="CY22709" s="34" t="s">
        <v>23636</v>
      </c>
      <c r="CZ22709" s="35">
        <v>0.32063565500000002</v>
      </c>
    </row>
    <row r="22710" spans="103:104" x14ac:dyDescent="0.3">
      <c r="CY22710" s="34" t="s">
        <v>23637</v>
      </c>
      <c r="CZ22710" s="35">
        <v>0.78058159999999999</v>
      </c>
    </row>
    <row r="22711" spans="103:104" x14ac:dyDescent="0.3">
      <c r="CY22711" s="34" t="s">
        <v>23638</v>
      </c>
      <c r="CZ22711" s="35">
        <v>1.0020421000000001E-3</v>
      </c>
    </row>
    <row r="22712" spans="103:104" x14ac:dyDescent="0.3">
      <c r="CY22712" s="34" t="s">
        <v>23639</v>
      </c>
      <c r="CZ22712" s="35">
        <v>6.6218400000000001E-4</v>
      </c>
    </row>
    <row r="22713" spans="103:104" x14ac:dyDescent="0.3">
      <c r="CY22713" s="34" t="s">
        <v>23640</v>
      </c>
      <c r="CZ22713" s="35">
        <v>3.9800000000000002E-4</v>
      </c>
    </row>
    <row r="22714" spans="103:104" x14ac:dyDescent="0.3">
      <c r="CY22714" s="34" t="s">
        <v>23641</v>
      </c>
      <c r="CZ22714" s="35">
        <v>3.3413696213333332E-3</v>
      </c>
    </row>
    <row r="22715" spans="103:104" x14ac:dyDescent="0.3">
      <c r="CY22715" s="34" t="s">
        <v>23642</v>
      </c>
      <c r="CZ22715" s="35">
        <v>1.7678986666666667E-2</v>
      </c>
    </row>
    <row r="22716" spans="103:104" x14ac:dyDescent="0.3">
      <c r="CY22716" s="34" t="s">
        <v>23643</v>
      </c>
      <c r="CZ22716" s="35">
        <v>0.17227666666666666</v>
      </c>
    </row>
    <row r="22717" spans="103:104" x14ac:dyDescent="0.3">
      <c r="CY22717" s="34" t="s">
        <v>23644</v>
      </c>
      <c r="CZ22717" s="35">
        <v>7.1485307499999998E-3</v>
      </c>
    </row>
    <row r="22718" spans="103:104" x14ac:dyDescent="0.3">
      <c r="CY22718" s="34" t="s">
        <v>23645</v>
      </c>
      <c r="CZ22718" s="35">
        <v>4.4784000000000011E-2</v>
      </c>
    </row>
    <row r="22719" spans="103:104" x14ac:dyDescent="0.3">
      <c r="CY22719" s="34" t="s">
        <v>23646</v>
      </c>
      <c r="CZ22719" s="35">
        <v>3.4824015999999998E-3</v>
      </c>
    </row>
    <row r="22720" spans="103:104" x14ac:dyDescent="0.3">
      <c r="CY22720" s="34" t="s">
        <v>23647</v>
      </c>
      <c r="CZ22720" s="35">
        <v>6.3926440000000003E-3</v>
      </c>
    </row>
    <row r="22721" spans="103:104" x14ac:dyDescent="0.3">
      <c r="CY22721" s="34" t="s">
        <v>23648</v>
      </c>
      <c r="CZ22721" s="35">
        <v>3.9947080000000002E-4</v>
      </c>
    </row>
    <row r="22722" spans="103:104" x14ac:dyDescent="0.3">
      <c r="CY22722" s="34" t="s">
        <v>23649</v>
      </c>
      <c r="CZ22722" s="35">
        <v>3.1050792000000002E-3</v>
      </c>
    </row>
    <row r="22723" spans="103:104" x14ac:dyDescent="0.3">
      <c r="CY22723" s="34" t="s">
        <v>23650</v>
      </c>
      <c r="CZ22723" s="35">
        <v>1.7206960000000001E-3</v>
      </c>
    </row>
    <row r="22724" spans="103:104" x14ac:dyDescent="0.3">
      <c r="CY22724" s="34" t="s">
        <v>23651</v>
      </c>
      <c r="CZ22724" s="35">
        <v>7.2150744000000001E-4</v>
      </c>
    </row>
    <row r="22725" spans="103:104" x14ac:dyDescent="0.3">
      <c r="CY22725" s="34" t="s">
        <v>23652</v>
      </c>
      <c r="CZ22725" s="35">
        <v>1.0651223999999999E-3</v>
      </c>
    </row>
    <row r="22726" spans="103:104" x14ac:dyDescent="0.3">
      <c r="CY22726" s="34" t="s">
        <v>23653</v>
      </c>
      <c r="CZ22726" s="35">
        <v>7.5644000000000004E-4</v>
      </c>
    </row>
    <row r="22727" spans="103:104" x14ac:dyDescent="0.3">
      <c r="CY22727" s="34" t="s">
        <v>23654</v>
      </c>
      <c r="CZ22727" s="35">
        <v>5.3690951999999978E-4</v>
      </c>
    </row>
    <row r="22728" spans="103:104" x14ac:dyDescent="0.3">
      <c r="CY22728" s="34" t="s">
        <v>23655</v>
      </c>
      <c r="CZ22728" s="35">
        <v>5.8866715800000007E-3</v>
      </c>
    </row>
    <row r="22729" spans="103:104" x14ac:dyDescent="0.3">
      <c r="CY22729" s="34" t="s">
        <v>23656</v>
      </c>
      <c r="CZ22729" s="35">
        <v>5.1856903999999999E-3</v>
      </c>
    </row>
    <row r="22730" spans="103:104" x14ac:dyDescent="0.3">
      <c r="CY22730" s="34" t="s">
        <v>23657</v>
      </c>
      <c r="CZ22730" s="35">
        <v>5.0425903999999997E-3</v>
      </c>
    </row>
    <row r="22731" spans="103:104" x14ac:dyDescent="0.3">
      <c r="CY22731" s="34" t="s">
        <v>23658</v>
      </c>
      <c r="CZ22731" s="35">
        <v>2.3274343999999999E-3</v>
      </c>
    </row>
    <row r="22732" spans="103:104" x14ac:dyDescent="0.3">
      <c r="CY22732" s="34" t="s">
        <v>23659</v>
      </c>
      <c r="CZ22732" s="35">
        <v>3.4856040000000002E-3</v>
      </c>
    </row>
    <row r="22733" spans="103:104" x14ac:dyDescent="0.3">
      <c r="CY22733" s="34" t="s">
        <v>23660</v>
      </c>
      <c r="CZ22733" s="35">
        <v>3.114936E-3</v>
      </c>
    </row>
    <row r="22734" spans="103:104" x14ac:dyDescent="0.3">
      <c r="CY22734" s="34" t="s">
        <v>23661</v>
      </c>
      <c r="CZ22734" s="35">
        <v>2.9083340000000003E-3</v>
      </c>
    </row>
    <row r="22735" spans="103:104" x14ac:dyDescent="0.3">
      <c r="CY22735" s="34" t="s">
        <v>23662</v>
      </c>
      <c r="CZ22735" s="35">
        <v>2.2144277466666668E-2</v>
      </c>
    </row>
    <row r="22736" spans="103:104" x14ac:dyDescent="0.3">
      <c r="CY22736" s="34" t="s">
        <v>23663</v>
      </c>
      <c r="CZ22736" s="35">
        <v>2.3731154666666665E-3</v>
      </c>
    </row>
    <row r="22737" spans="103:104" x14ac:dyDescent="0.3">
      <c r="CY22737" s="34" t="s">
        <v>23664</v>
      </c>
      <c r="CZ22737" s="35">
        <v>6.6064927999999999E-4</v>
      </c>
    </row>
    <row r="22738" spans="103:104" x14ac:dyDescent="0.3">
      <c r="CY22738" s="34" t="s">
        <v>23665</v>
      </c>
      <c r="CZ22738" s="35">
        <v>2.2265352E-3</v>
      </c>
    </row>
    <row r="22739" spans="103:104" x14ac:dyDescent="0.3">
      <c r="CY22739" s="34" t="s">
        <v>23666</v>
      </c>
      <c r="CZ22739" s="35">
        <v>7.5636266666666676E-3</v>
      </c>
    </row>
    <row r="22740" spans="103:104" x14ac:dyDescent="0.3">
      <c r="CY22740" s="34" t="s">
        <v>23667</v>
      </c>
      <c r="CZ22740" s="35">
        <v>5.777E-4</v>
      </c>
    </row>
    <row r="22741" spans="103:104" x14ac:dyDescent="0.3">
      <c r="CY22741" s="34" t="s">
        <v>23668</v>
      </c>
      <c r="CZ22741" s="35">
        <v>2.5942979999999997E-2</v>
      </c>
    </row>
    <row r="22742" spans="103:104" x14ac:dyDescent="0.3">
      <c r="CY22742" s="34" t="s">
        <v>23669</v>
      </c>
      <c r="CZ22742" s="35">
        <v>1.8329895999999998E-2</v>
      </c>
    </row>
    <row r="22743" spans="103:104" x14ac:dyDescent="0.3">
      <c r="CY22743" s="34" t="s">
        <v>23670</v>
      </c>
      <c r="CZ22743" s="35">
        <v>1.6753360000000002E-2</v>
      </c>
    </row>
    <row r="22744" spans="103:104" x14ac:dyDescent="0.3">
      <c r="CY22744" s="34" t="s">
        <v>23671</v>
      </c>
      <c r="CZ22744" s="35">
        <v>4.6775026666666655E-3</v>
      </c>
    </row>
    <row r="22745" spans="103:104" x14ac:dyDescent="0.3">
      <c r="CY22745" s="34" t="s">
        <v>23672</v>
      </c>
      <c r="CZ22745" s="35">
        <v>7.5200879999999994E-3</v>
      </c>
    </row>
    <row r="22746" spans="103:104" x14ac:dyDescent="0.3">
      <c r="CY22746" s="34" t="s">
        <v>23673</v>
      </c>
      <c r="CZ22746" s="35">
        <v>7.9166515500000006E-3</v>
      </c>
    </row>
    <row r="22747" spans="103:104" x14ac:dyDescent="0.3">
      <c r="CY22747" s="34" t="s">
        <v>23674</v>
      </c>
      <c r="CZ22747" s="35">
        <v>8.1222110000000007E-3</v>
      </c>
    </row>
    <row r="22748" spans="103:104" x14ac:dyDescent="0.3">
      <c r="CY22748" s="34" t="s">
        <v>23675</v>
      </c>
      <c r="CZ22748" s="35">
        <v>7.9166459999999994E-3</v>
      </c>
    </row>
    <row r="22749" spans="103:104" x14ac:dyDescent="0.3">
      <c r="CY22749" s="34" t="s">
        <v>23676</v>
      </c>
      <c r="CZ22749" s="35">
        <v>7.1892800000000001E-3</v>
      </c>
    </row>
    <row r="22750" spans="103:104" x14ac:dyDescent="0.3">
      <c r="CY22750" s="34" t="s">
        <v>23677</v>
      </c>
      <c r="CZ22750" s="35">
        <v>8.6197470000000005E-3</v>
      </c>
    </row>
    <row r="22751" spans="103:104" x14ac:dyDescent="0.3">
      <c r="CY22751" s="34" t="s">
        <v>23678</v>
      </c>
      <c r="CZ22751" s="35">
        <v>8.4141819999999992E-3</v>
      </c>
    </row>
    <row r="22752" spans="103:104" x14ac:dyDescent="0.3">
      <c r="CY22752" s="34" t="s">
        <v>23679</v>
      </c>
      <c r="CZ22752" s="35">
        <v>7.6293980000000008E-3</v>
      </c>
    </row>
    <row r="22753" spans="103:104" x14ac:dyDescent="0.3">
      <c r="CY22753" s="34" t="s">
        <v>23680</v>
      </c>
      <c r="CZ22753" s="35">
        <v>5.4931705600000012E-2</v>
      </c>
    </row>
    <row r="22754" spans="103:104" x14ac:dyDescent="0.3">
      <c r="CY22754" s="34" t="s">
        <v>23681</v>
      </c>
      <c r="CZ22754" s="35">
        <v>1.1599971000000001E-2</v>
      </c>
    </row>
    <row r="22755" spans="103:104" x14ac:dyDescent="0.3">
      <c r="CY22755" s="34" t="s">
        <v>23682</v>
      </c>
      <c r="CZ22755" s="35">
        <v>1.1599971000000001E-2</v>
      </c>
    </row>
    <row r="22756" spans="103:104" x14ac:dyDescent="0.3">
      <c r="CY22756" s="34" t="s">
        <v>23683</v>
      </c>
      <c r="CZ22756" s="35">
        <v>1.1986829948717949E-2</v>
      </c>
    </row>
    <row r="22757" spans="103:104" x14ac:dyDescent="0.3">
      <c r="CY22757" s="34" t="s">
        <v>23684</v>
      </c>
      <c r="CZ22757" s="35">
        <v>3.3303099900000008E-2</v>
      </c>
    </row>
    <row r="22758" spans="103:104" x14ac:dyDescent="0.3">
      <c r="CY22758" s="34" t="s">
        <v>23685</v>
      </c>
      <c r="CZ22758" s="35">
        <v>9.585182544000001E-2</v>
      </c>
    </row>
    <row r="22759" spans="103:104" x14ac:dyDescent="0.3">
      <c r="CY22759" s="34" t="s">
        <v>23686</v>
      </c>
      <c r="CZ22759" s="35">
        <v>1.1883618559999998E-2</v>
      </c>
    </row>
    <row r="22760" spans="103:104" x14ac:dyDescent="0.3">
      <c r="CY22760" s="34" t="s">
        <v>23687</v>
      </c>
      <c r="CZ22760" s="35">
        <v>1.6605031999999999E-2</v>
      </c>
    </row>
    <row r="22761" spans="103:104" x14ac:dyDescent="0.3">
      <c r="CY22761" s="34" t="s">
        <v>23688</v>
      </c>
      <c r="CZ22761" s="35">
        <v>9.8626600000000005E-3</v>
      </c>
    </row>
    <row r="22762" spans="103:104" x14ac:dyDescent="0.3">
      <c r="CY22762" s="34" t="s">
        <v>23689</v>
      </c>
      <c r="CZ22762" s="35">
        <v>1.3675915E-2</v>
      </c>
    </row>
    <row r="22763" spans="103:104" x14ac:dyDescent="0.3">
      <c r="CY22763" s="34" t="s">
        <v>23690</v>
      </c>
      <c r="CZ22763" s="35">
        <v>1.3675915E-2</v>
      </c>
    </row>
    <row r="22764" spans="103:104" x14ac:dyDescent="0.3">
      <c r="CY22764" s="34" t="s">
        <v>23691</v>
      </c>
      <c r="CZ22764" s="35">
        <v>9.3254164571428579E-3</v>
      </c>
    </row>
    <row r="22765" spans="103:104" x14ac:dyDescent="0.3">
      <c r="CY22765" s="34" t="s">
        <v>23692</v>
      </c>
      <c r="CZ22765" s="35">
        <v>0.12507916888888887</v>
      </c>
    </row>
    <row r="22766" spans="103:104" x14ac:dyDescent="0.3">
      <c r="CY22766" s="34" t="s">
        <v>23693</v>
      </c>
      <c r="CZ22766" s="35">
        <v>1.5857976542857144E-2</v>
      </c>
    </row>
    <row r="22767" spans="103:104" x14ac:dyDescent="0.3">
      <c r="CY22767" s="34" t="s">
        <v>23694</v>
      </c>
      <c r="CZ22767" s="35">
        <v>9.6600000000000003E-5</v>
      </c>
    </row>
    <row r="22768" spans="103:104" x14ac:dyDescent="0.3">
      <c r="CY22768" s="34" t="s">
        <v>23695</v>
      </c>
      <c r="CZ22768" s="35">
        <v>9.6600000000000003E-5</v>
      </c>
    </row>
    <row r="22769" spans="103:104" x14ac:dyDescent="0.3">
      <c r="CY22769" s="34" t="s">
        <v>23696</v>
      </c>
      <c r="CZ22769" s="35">
        <v>5.6924999999999999E-4</v>
      </c>
    </row>
    <row r="22770" spans="103:104" x14ac:dyDescent="0.3">
      <c r="CY22770" s="34" t="s">
        <v>23697</v>
      </c>
      <c r="CZ22770" s="35">
        <v>4.8299999999999998E-4</v>
      </c>
    </row>
    <row r="22771" spans="103:104" x14ac:dyDescent="0.3">
      <c r="CY22771" s="34" t="s">
        <v>23698</v>
      </c>
      <c r="CZ22771" s="35">
        <v>7.2383917104761899E-4</v>
      </c>
    </row>
    <row r="22772" spans="103:104" x14ac:dyDescent="0.3">
      <c r="CY22772" s="34" t="s">
        <v>23699</v>
      </c>
      <c r="CZ22772" s="35">
        <v>3.2275208E-2</v>
      </c>
    </row>
    <row r="22773" spans="103:104" x14ac:dyDescent="0.3">
      <c r="CY22773" s="34" t="s">
        <v>23700</v>
      </c>
      <c r="CZ22773" s="35">
        <v>9.053177200000001E-2</v>
      </c>
    </row>
    <row r="22774" spans="103:104" x14ac:dyDescent="0.3">
      <c r="CY22774" s="34" t="s">
        <v>23701</v>
      </c>
      <c r="CZ22774" s="35">
        <v>5.0756491999999993E-2</v>
      </c>
    </row>
    <row r="22775" spans="103:104" x14ac:dyDescent="0.3">
      <c r="CY22775" s="34" t="s">
        <v>23702</v>
      </c>
      <c r="CZ22775" s="35">
        <v>0.63691001899999988</v>
      </c>
    </row>
    <row r="22776" spans="103:104" x14ac:dyDescent="0.3">
      <c r="CY22776" s="34" t="s">
        <v>23703</v>
      </c>
      <c r="CZ22776" s="35">
        <v>1.189162888</v>
      </c>
    </row>
    <row r="22777" spans="103:104" x14ac:dyDescent="0.3">
      <c r="CY22777" s="34" t="s">
        <v>23704</v>
      </c>
      <c r="CZ22777" s="35">
        <v>0.71760090600000004</v>
      </c>
    </row>
    <row r="22778" spans="103:104" x14ac:dyDescent="0.3">
      <c r="CY22778" s="34" t="s">
        <v>23705</v>
      </c>
      <c r="CZ22778" s="35">
        <v>1.870688272</v>
      </c>
    </row>
    <row r="22779" spans="103:104" x14ac:dyDescent="0.3">
      <c r="CY22779" s="34" t="s">
        <v>23706</v>
      </c>
      <c r="CZ22779" s="35">
        <v>0.89924960799999998</v>
      </c>
    </row>
    <row r="22780" spans="103:104" x14ac:dyDescent="0.3">
      <c r="CY22780" s="34" t="s">
        <v>23707</v>
      </c>
      <c r="CZ22780" s="35">
        <v>3.1029545600000001</v>
      </c>
    </row>
    <row r="22781" spans="103:104" x14ac:dyDescent="0.3">
      <c r="CY22781" s="34" t="s">
        <v>23708</v>
      </c>
      <c r="CZ22781" s="35">
        <v>1.1791077220000001</v>
      </c>
    </row>
    <row r="22782" spans="103:104" x14ac:dyDescent="0.3">
      <c r="CY22782" s="34" t="s">
        <v>23709</v>
      </c>
      <c r="CZ22782" s="35">
        <v>8.3900816000000003E-2</v>
      </c>
    </row>
    <row r="22783" spans="103:104" x14ac:dyDescent="0.3">
      <c r="CY22783" s="34" t="s">
        <v>23710</v>
      </c>
      <c r="CZ22783" s="35">
        <v>0.37595918</v>
      </c>
    </row>
    <row r="22784" spans="103:104" x14ac:dyDescent="0.3">
      <c r="CY22784" s="34" t="s">
        <v>23711</v>
      </c>
      <c r="CZ22784" s="35">
        <v>6.5479447999999996E-2</v>
      </c>
    </row>
    <row r="22785" spans="103:104" x14ac:dyDescent="0.3">
      <c r="CY22785" s="34" t="s">
        <v>23712</v>
      </c>
      <c r="CZ22785" s="35">
        <v>0.460560896</v>
      </c>
    </row>
    <row r="22786" spans="103:104" x14ac:dyDescent="0.3">
      <c r="CY22786" s="34" t="s">
        <v>23713</v>
      </c>
      <c r="CZ22786" s="35">
        <v>0.20540246400000003</v>
      </c>
    </row>
    <row r="22787" spans="103:104" x14ac:dyDescent="0.3">
      <c r="CY22787" s="34" t="s">
        <v>23714</v>
      </c>
      <c r="CZ22787" s="35">
        <v>0.25491856000000002</v>
      </c>
    </row>
    <row r="22788" spans="103:104" x14ac:dyDescent="0.3">
      <c r="CY22788" s="34" t="s">
        <v>23715</v>
      </c>
      <c r="CZ22788" s="35">
        <v>0.69309831999999993</v>
      </c>
    </row>
    <row r="22789" spans="103:104" x14ac:dyDescent="0.3">
      <c r="CY22789" s="34" t="s">
        <v>23716</v>
      </c>
      <c r="CZ22789" s="35">
        <v>2.2172870000000001E-2</v>
      </c>
    </row>
    <row r="22790" spans="103:104" x14ac:dyDescent="0.3">
      <c r="CY22790" s="34" t="s">
        <v>23717</v>
      </c>
      <c r="CZ22790" s="35">
        <v>2.5878540000000002E-2</v>
      </c>
    </row>
    <row r="22791" spans="103:104" x14ac:dyDescent="0.3">
      <c r="CY22791" s="34" t="s">
        <v>23718</v>
      </c>
      <c r="CZ22791" s="35">
        <v>1.1751730000000001E-3</v>
      </c>
    </row>
    <row r="22792" spans="103:104" x14ac:dyDescent="0.3">
      <c r="CY22792" s="34" t="s">
        <v>23719</v>
      </c>
      <c r="CZ22792" s="35">
        <v>1.1170866000000002E-2</v>
      </c>
    </row>
    <row r="22793" spans="103:104" x14ac:dyDescent="0.3">
      <c r="CY22793" s="34" t="s">
        <v>23720</v>
      </c>
      <c r="CZ22793" s="35">
        <v>7.5249047999999999E-2</v>
      </c>
    </row>
    <row r="22794" spans="103:104" x14ac:dyDescent="0.3">
      <c r="CY22794" s="34" t="s">
        <v>23721</v>
      </c>
      <c r="CZ22794" s="35">
        <v>3.1234399999999999E-3</v>
      </c>
    </row>
    <row r="22795" spans="103:104" x14ac:dyDescent="0.3">
      <c r="CY22795" s="34" t="s">
        <v>23722</v>
      </c>
      <c r="CZ22795" s="35">
        <v>0.63400416000000004</v>
      </c>
    </row>
    <row r="22796" spans="103:104" x14ac:dyDescent="0.3">
      <c r="CY22796" s="34" t="s">
        <v>23723</v>
      </c>
      <c r="CZ22796" s="35">
        <v>7.8830751999999995</v>
      </c>
    </row>
    <row r="22797" spans="103:104" x14ac:dyDescent="0.3">
      <c r="CY22797" s="34" t="s">
        <v>23724</v>
      </c>
      <c r="CZ22797" s="35">
        <v>5.7684767999999997E-2</v>
      </c>
    </row>
    <row r="22798" spans="103:104" x14ac:dyDescent="0.3">
      <c r="CY22798" s="34" t="s">
        <v>23725</v>
      </c>
      <c r="CZ22798" s="35">
        <v>1.4733114000000002E-2</v>
      </c>
    </row>
    <row r="22799" spans="103:104" x14ac:dyDescent="0.3">
      <c r="CY22799" s="34" t="s">
        <v>23726</v>
      </c>
      <c r="CZ22799" s="35">
        <v>6.7072034700000019E-2</v>
      </c>
    </row>
    <row r="22800" spans="103:104" x14ac:dyDescent="0.3">
      <c r="CY22800" s="34" t="s">
        <v>23727</v>
      </c>
      <c r="CZ22800" s="35">
        <v>1.0624082468750001E-2</v>
      </c>
    </row>
    <row r="22801" spans="103:104" x14ac:dyDescent="0.3">
      <c r="CY22801" s="34" t="s">
        <v>23728</v>
      </c>
      <c r="CZ22801" s="35">
        <v>2.2488080000000001E-2</v>
      </c>
    </row>
    <row r="22802" spans="103:104" x14ac:dyDescent="0.3">
      <c r="CY22802" s="34" t="s">
        <v>23729</v>
      </c>
      <c r="CZ22802" s="35">
        <v>1.5025428E-2</v>
      </c>
    </row>
    <row r="22803" spans="103:104" x14ac:dyDescent="0.3">
      <c r="CY22803" s="34" t="s">
        <v>23730</v>
      </c>
      <c r="CZ22803" s="35">
        <v>1.3038146666E-2</v>
      </c>
    </row>
    <row r="22804" spans="103:104" x14ac:dyDescent="0.3">
      <c r="CY22804" s="34" t="s">
        <v>23731</v>
      </c>
      <c r="CZ22804" s="35">
        <v>7.0592744000000009E-3</v>
      </c>
    </row>
    <row r="22805" spans="103:104" x14ac:dyDescent="0.3">
      <c r="CY22805" s="34" t="s">
        <v>23732</v>
      </c>
      <c r="CZ22805" s="35">
        <v>1.8143793999999998E-2</v>
      </c>
    </row>
    <row r="22806" spans="103:104" x14ac:dyDescent="0.3">
      <c r="CY22806" s="34" t="s">
        <v>23733</v>
      </c>
      <c r="CZ22806" s="35">
        <v>9.3496483333333335E-3</v>
      </c>
    </row>
    <row r="22807" spans="103:104" x14ac:dyDescent="0.3">
      <c r="CY22807" s="34" t="s">
        <v>23734</v>
      </c>
      <c r="CZ22807" s="35">
        <v>3.2314874E-2</v>
      </c>
    </row>
    <row r="22808" spans="103:104" x14ac:dyDescent="0.3">
      <c r="CY22808" s="34" t="s">
        <v>23735</v>
      </c>
      <c r="CZ22808" s="35">
        <v>5.6980251322086952E-3</v>
      </c>
    </row>
    <row r="22809" spans="103:104" x14ac:dyDescent="0.3">
      <c r="CY22809" s="34" t="s">
        <v>23736</v>
      </c>
      <c r="CZ22809" s="35">
        <v>2.8286610000000004E-2</v>
      </c>
    </row>
    <row r="22810" spans="103:104" x14ac:dyDescent="0.3">
      <c r="CY22810" s="34" t="s">
        <v>23737</v>
      </c>
      <c r="CZ22810" s="35">
        <v>9.0682245250000015E-3</v>
      </c>
    </row>
    <row r="22811" spans="103:104" x14ac:dyDescent="0.3">
      <c r="CY22811" s="34" t="s">
        <v>23738</v>
      </c>
      <c r="CZ22811" s="35">
        <v>9.6224103500000008E-3</v>
      </c>
    </row>
    <row r="22812" spans="103:104" x14ac:dyDescent="0.3">
      <c r="CY22812" s="34" t="s">
        <v>23739</v>
      </c>
      <c r="CZ22812" s="35">
        <v>6.930775942499999E-2</v>
      </c>
    </row>
    <row r="22813" spans="103:104" x14ac:dyDescent="0.3">
      <c r="CY22813" s="34" t="s">
        <v>23740</v>
      </c>
      <c r="CZ22813" s="35">
        <v>4.2691259999999998E-3</v>
      </c>
    </row>
    <row r="22814" spans="103:104" x14ac:dyDescent="0.3">
      <c r="CY22814" s="34" t="s">
        <v>23741</v>
      </c>
      <c r="CZ22814" s="35">
        <v>1.8191579899999998E-2</v>
      </c>
    </row>
    <row r="22815" spans="103:104" x14ac:dyDescent="0.3">
      <c r="CY22815" s="34" t="s">
        <v>23742</v>
      </c>
      <c r="CZ22815" s="35">
        <v>3.6937870657142856E-3</v>
      </c>
    </row>
    <row r="22816" spans="103:104" x14ac:dyDescent="0.3">
      <c r="CY22816" s="34" t="s">
        <v>23743</v>
      </c>
      <c r="CZ22816" s="35">
        <v>1.9080342578947369E-2</v>
      </c>
    </row>
    <row r="22817" spans="103:104" x14ac:dyDescent="0.3">
      <c r="CY22817" s="34" t="s">
        <v>23744</v>
      </c>
      <c r="CZ22817" s="35">
        <v>2.2415569222222223E-2</v>
      </c>
    </row>
    <row r="22818" spans="103:104" x14ac:dyDescent="0.3">
      <c r="CY22818" s="34" t="s">
        <v>23745</v>
      </c>
      <c r="CZ22818" s="35">
        <v>4.5976964166666665E-3</v>
      </c>
    </row>
    <row r="22819" spans="103:104" x14ac:dyDescent="0.3">
      <c r="CY22819" s="34" t="s">
        <v>23746</v>
      </c>
      <c r="CZ22819" s="35">
        <v>4.5853316230769232E-3</v>
      </c>
    </row>
    <row r="22820" spans="103:104" x14ac:dyDescent="0.3">
      <c r="CY22820" s="34" t="s">
        <v>23747</v>
      </c>
      <c r="CZ22820" s="35">
        <v>8.6975469999999999E-2</v>
      </c>
    </row>
    <row r="22821" spans="103:104" x14ac:dyDescent="0.3">
      <c r="CY22821" s="34" t="s">
        <v>23748</v>
      </c>
      <c r="CZ22821" s="35">
        <v>1.3768929669230767E-2</v>
      </c>
    </row>
    <row r="22822" spans="103:104" x14ac:dyDescent="0.3">
      <c r="CY22822" s="34" t="s">
        <v>23749</v>
      </c>
      <c r="CZ22822" s="35">
        <v>0.16869591999999997</v>
      </c>
    </row>
    <row r="22823" spans="103:104" x14ac:dyDescent="0.3">
      <c r="CY22823" s="34" t="s">
        <v>23750</v>
      </c>
      <c r="CZ22823" s="35">
        <v>0.68851580000000012</v>
      </c>
    </row>
    <row r="22824" spans="103:104" x14ac:dyDescent="0.3">
      <c r="CY22824" s="34" t="s">
        <v>23751</v>
      </c>
      <c r="CZ22824" s="35">
        <v>0.82664979266666661</v>
      </c>
    </row>
    <row r="22825" spans="103:104" x14ac:dyDescent="0.3">
      <c r="CY22825" s="34" t="s">
        <v>23752</v>
      </c>
      <c r="CZ22825" s="35">
        <v>0.82664979250000004</v>
      </c>
    </row>
    <row r="22826" spans="103:104" x14ac:dyDescent="0.3">
      <c r="CY22826" s="34" t="s">
        <v>23753</v>
      </c>
      <c r="CZ22826" s="35">
        <v>0.29409926000000003</v>
      </c>
    </row>
    <row r="22827" spans="103:104" x14ac:dyDescent="0.3">
      <c r="CY22827" s="34" t="s">
        <v>23754</v>
      </c>
      <c r="CZ22827" s="35">
        <v>0.25668738666666668</v>
      </c>
    </row>
    <row r="22828" spans="103:104" x14ac:dyDescent="0.3">
      <c r="CY22828" s="34" t="s">
        <v>23755</v>
      </c>
      <c r="CZ22828" s="35">
        <v>0.14572408529999997</v>
      </c>
    </row>
    <row r="22829" spans="103:104" x14ac:dyDescent="0.3">
      <c r="CY22829" s="34" t="s">
        <v>23756</v>
      </c>
      <c r="CZ22829" s="35">
        <v>0.47101941999999997</v>
      </c>
    </row>
    <row r="22830" spans="103:104" x14ac:dyDescent="0.3">
      <c r="CY22830" s="34" t="s">
        <v>23757</v>
      </c>
      <c r="CZ22830" s="35">
        <v>0.47546386000000002</v>
      </c>
    </row>
    <row r="22831" spans="103:104" x14ac:dyDescent="0.3">
      <c r="CY22831" s="34" t="s">
        <v>23758</v>
      </c>
      <c r="CZ22831" s="35">
        <v>2.1461775502392342E-2</v>
      </c>
    </row>
    <row r="22832" spans="103:104" x14ac:dyDescent="0.3">
      <c r="CY22832" s="34" t="s">
        <v>23759</v>
      </c>
      <c r="CZ22832" s="35">
        <v>0.44772586499999995</v>
      </c>
    </row>
    <row r="22833" spans="103:104" x14ac:dyDescent="0.3">
      <c r="CY22833" s="34" t="s">
        <v>23760</v>
      </c>
      <c r="CZ22833" s="35">
        <v>0.34894225000000001</v>
      </c>
    </row>
    <row r="22834" spans="103:104" x14ac:dyDescent="0.3">
      <c r="CY22834" s="34" t="s">
        <v>23761</v>
      </c>
      <c r="CZ22834" s="35">
        <v>0.37286125000000003</v>
      </c>
    </row>
    <row r="22835" spans="103:104" x14ac:dyDescent="0.3">
      <c r="CY22835" s="34" t="s">
        <v>23762</v>
      </c>
      <c r="CZ22835" s="35">
        <v>0.32406649000000004</v>
      </c>
    </row>
    <row r="22836" spans="103:104" x14ac:dyDescent="0.3">
      <c r="CY22836" s="34" t="s">
        <v>23763</v>
      </c>
      <c r="CZ22836" s="35">
        <v>0.33441289000000002</v>
      </c>
    </row>
    <row r="22837" spans="103:104" x14ac:dyDescent="0.3">
      <c r="CY22837" s="34" t="s">
        <v>23764</v>
      </c>
      <c r="CZ22837" s="35">
        <v>2.2862140000000004E-3</v>
      </c>
    </row>
    <row r="22838" spans="103:104" x14ac:dyDescent="0.3">
      <c r="CY22838" s="34" t="s">
        <v>23765</v>
      </c>
      <c r="CZ22838" s="35">
        <v>5.3032499999999996E-2</v>
      </c>
    </row>
    <row r="22839" spans="103:104" x14ac:dyDescent="0.3">
      <c r="CY22839" s="34" t="s">
        <v>23766</v>
      </c>
      <c r="CZ22839" s="35">
        <v>0.38922200000000007</v>
      </c>
    </row>
    <row r="22840" spans="103:104" x14ac:dyDescent="0.3">
      <c r="CY22840" s="34" t="s">
        <v>23767</v>
      </c>
      <c r="CZ22840" s="35">
        <v>4.1863600000000001E-3</v>
      </c>
    </row>
    <row r="22841" spans="103:104" x14ac:dyDescent="0.3">
      <c r="CY22841" s="34" t="s">
        <v>23768</v>
      </c>
      <c r="CZ22841" s="35">
        <v>0.10631560329999999</v>
      </c>
    </row>
    <row r="22842" spans="103:104" x14ac:dyDescent="0.3">
      <c r="CY22842" s="34" t="s">
        <v>23769</v>
      </c>
      <c r="CZ22842" s="35">
        <v>1.220831051851852E-2</v>
      </c>
    </row>
    <row r="22843" spans="103:104" x14ac:dyDescent="0.3">
      <c r="CY22843" s="34" t="s">
        <v>23770</v>
      </c>
      <c r="CZ22843" s="35">
        <v>4.7523500000000003E-2</v>
      </c>
    </row>
    <row r="22844" spans="103:104" x14ac:dyDescent="0.3">
      <c r="CY22844" s="34" t="s">
        <v>23771</v>
      </c>
      <c r="CZ22844" s="35">
        <v>0.69806955000000004</v>
      </c>
    </row>
    <row r="22845" spans="103:104" x14ac:dyDescent="0.3">
      <c r="CY22845" s="34" t="s">
        <v>23772</v>
      </c>
      <c r="CZ22845" s="35">
        <v>0.27392665599999999</v>
      </c>
    </row>
    <row r="22846" spans="103:104" x14ac:dyDescent="0.3">
      <c r="CY22846" s="34" t="s">
        <v>23773</v>
      </c>
      <c r="CZ22846" s="35">
        <v>0.293312776</v>
      </c>
    </row>
    <row r="22847" spans="103:104" x14ac:dyDescent="0.3">
      <c r="CY22847" s="34" t="s">
        <v>23774</v>
      </c>
      <c r="CZ22847" s="35">
        <v>2.3056825E-2</v>
      </c>
    </row>
    <row r="22848" spans="103:104" x14ac:dyDescent="0.3">
      <c r="CY22848" s="34" t="s">
        <v>23775</v>
      </c>
      <c r="CZ22848" s="35">
        <v>2.4205999999999998E-2</v>
      </c>
    </row>
    <row r="22849" spans="103:104" x14ac:dyDescent="0.3">
      <c r="CY22849" s="34" t="s">
        <v>23776</v>
      </c>
      <c r="CZ22849" s="35">
        <v>1.4817106133333334E-2</v>
      </c>
    </row>
    <row r="22850" spans="103:104" x14ac:dyDescent="0.3">
      <c r="CY22850" s="34" t="s">
        <v>23777</v>
      </c>
      <c r="CZ22850" s="35">
        <v>2.9800000000000003E-4</v>
      </c>
    </row>
    <row r="22851" spans="103:104" x14ac:dyDescent="0.3">
      <c r="CY22851" s="34" t="s">
        <v>23778</v>
      </c>
      <c r="CZ22851" s="35">
        <v>2.6853473860000001E-2</v>
      </c>
    </row>
    <row r="22852" spans="103:104" x14ac:dyDescent="0.3">
      <c r="CY22852" s="34" t="s">
        <v>23779</v>
      </c>
      <c r="CZ22852" s="35">
        <v>4.1264725333333335E-2</v>
      </c>
    </row>
    <row r="22853" spans="103:104" x14ac:dyDescent="0.3">
      <c r="CY22853" s="34" t="s">
        <v>23780</v>
      </c>
      <c r="CZ22853" s="35">
        <v>1.2260997899999997E-3</v>
      </c>
    </row>
    <row r="22854" spans="103:104" x14ac:dyDescent="0.3">
      <c r="CY22854" s="34" t="s">
        <v>23781</v>
      </c>
      <c r="CZ22854" s="35">
        <v>2.6616944999999999E-2</v>
      </c>
    </row>
    <row r="22855" spans="103:104" x14ac:dyDescent="0.3">
      <c r="CY22855" s="34" t="s">
        <v>23782</v>
      </c>
      <c r="CZ22855" s="35">
        <v>2.4786208000000001E-2</v>
      </c>
    </row>
    <row r="22856" spans="103:104" x14ac:dyDescent="0.3">
      <c r="CY22856" s="34" t="s">
        <v>23783</v>
      </c>
      <c r="CZ22856" s="35">
        <v>3.22593246E-2</v>
      </c>
    </row>
    <row r="22857" spans="103:104" x14ac:dyDescent="0.3">
      <c r="CY22857" s="34" t="s">
        <v>23784</v>
      </c>
      <c r="CZ22857" s="35">
        <v>1.0298425299999999E-2</v>
      </c>
    </row>
    <row r="22858" spans="103:104" x14ac:dyDescent="0.3">
      <c r="CY22858" s="34" t="s">
        <v>23785</v>
      </c>
      <c r="CZ22858" s="35">
        <v>1.02984253E-2</v>
      </c>
    </row>
    <row r="22859" spans="103:104" x14ac:dyDescent="0.3">
      <c r="CY22859" s="34" t="s">
        <v>23786</v>
      </c>
      <c r="CZ22859" s="35">
        <v>6.1131980000000002E-3</v>
      </c>
    </row>
    <row r="22860" spans="103:104" x14ac:dyDescent="0.3">
      <c r="CY22860" s="34" t="s">
        <v>23787</v>
      </c>
      <c r="CZ22860" s="35">
        <v>6.1131980000000002E-3</v>
      </c>
    </row>
    <row r="22861" spans="103:104" x14ac:dyDescent="0.3">
      <c r="CY22861" s="34" t="s">
        <v>23788</v>
      </c>
      <c r="CZ22861" s="35">
        <v>4.8543052999999994E-3</v>
      </c>
    </row>
    <row r="22862" spans="103:104" x14ac:dyDescent="0.3">
      <c r="CY22862" s="34" t="s">
        <v>23789</v>
      </c>
      <c r="CZ22862" s="35">
        <v>4.8543052999999994E-3</v>
      </c>
    </row>
    <row r="22863" spans="103:104" x14ac:dyDescent="0.3">
      <c r="CY22863" s="34" t="s">
        <v>23790</v>
      </c>
      <c r="CZ22863" s="35">
        <v>3.7214412999999999E-3</v>
      </c>
    </row>
    <row r="22864" spans="103:104" x14ac:dyDescent="0.3">
      <c r="CY22864" s="34" t="s">
        <v>23791</v>
      </c>
      <c r="CZ22864" s="35">
        <v>3.7214412999999999E-3</v>
      </c>
    </row>
    <row r="22865" spans="103:104" x14ac:dyDescent="0.3">
      <c r="CY22865" s="34" t="s">
        <v>23792</v>
      </c>
      <c r="CZ22865" s="35">
        <v>2.1535772899999996E-2</v>
      </c>
    </row>
    <row r="22866" spans="103:104" x14ac:dyDescent="0.3">
      <c r="CY22866" s="34" t="s">
        <v>23793</v>
      </c>
      <c r="CZ22866" s="35">
        <v>2.1535772899999996E-2</v>
      </c>
    </row>
    <row r="22867" spans="103:104" x14ac:dyDescent="0.3">
      <c r="CY22867" s="34" t="s">
        <v>23794</v>
      </c>
      <c r="CZ22867" s="35">
        <v>4.7201463244000005E-3</v>
      </c>
    </row>
    <row r="22868" spans="103:104" x14ac:dyDescent="0.3">
      <c r="CY22868" s="34" t="s">
        <v>23795</v>
      </c>
      <c r="CZ22868" s="35">
        <v>4.6975462244000007E-3</v>
      </c>
    </row>
    <row r="22869" spans="103:104" x14ac:dyDescent="0.3">
      <c r="CY22869" s="34" t="s">
        <v>23796</v>
      </c>
      <c r="CZ22869" s="35">
        <v>1.4285686799999997E-3</v>
      </c>
    </row>
    <row r="22870" spans="103:104" x14ac:dyDescent="0.3">
      <c r="CY22870" s="34" t="s">
        <v>23797</v>
      </c>
      <c r="CZ22870" s="35">
        <v>7.0250262899999999E-2</v>
      </c>
    </row>
    <row r="22871" spans="103:104" x14ac:dyDescent="0.3">
      <c r="CY22871" s="34" t="s">
        <v>23798</v>
      </c>
      <c r="CZ22871" s="35">
        <v>0.15916173459999999</v>
      </c>
    </row>
    <row r="22872" spans="103:104" x14ac:dyDescent="0.3">
      <c r="CY22872" s="34" t="s">
        <v>23799</v>
      </c>
      <c r="CZ22872" s="35">
        <v>3.1095401599999998E-3</v>
      </c>
    </row>
    <row r="22873" spans="103:104" x14ac:dyDescent="0.3">
      <c r="CY22873" s="34" t="s">
        <v>23800</v>
      </c>
      <c r="CZ22873" s="35">
        <v>1.0288780000000001E-2</v>
      </c>
    </row>
    <row r="22874" spans="103:104" x14ac:dyDescent="0.3">
      <c r="CY22874" s="34" t="s">
        <v>23801</v>
      </c>
      <c r="CZ22874" s="35">
        <v>7.8493999999999994E-2</v>
      </c>
    </row>
    <row r="22875" spans="103:104" x14ac:dyDescent="0.3">
      <c r="CY22875" s="34" t="s">
        <v>23802</v>
      </c>
      <c r="CZ22875" s="35">
        <v>1.526790921E-2</v>
      </c>
    </row>
    <row r="22876" spans="103:104" x14ac:dyDescent="0.3">
      <c r="CY22876" s="34" t="s">
        <v>23803</v>
      </c>
      <c r="CZ22876" s="35">
        <v>1.5267909210000001E-2</v>
      </c>
    </row>
    <row r="22877" spans="103:104" x14ac:dyDescent="0.3">
      <c r="CY22877" s="34" t="s">
        <v>23804</v>
      </c>
      <c r="CZ22877" s="35">
        <v>7.9904351499999991E-3</v>
      </c>
    </row>
    <row r="22878" spans="103:104" x14ac:dyDescent="0.3">
      <c r="CY22878" s="34" t="s">
        <v>23805</v>
      </c>
      <c r="CZ22878" s="35">
        <v>7.9904351500000009E-3</v>
      </c>
    </row>
    <row r="22879" spans="103:104" x14ac:dyDescent="0.3">
      <c r="CY22879" s="34" t="s">
        <v>23806</v>
      </c>
      <c r="CZ22879" s="35">
        <v>1.5333072389999999E-2</v>
      </c>
    </row>
    <row r="22880" spans="103:104" x14ac:dyDescent="0.3">
      <c r="CY22880" s="34" t="s">
        <v>23807</v>
      </c>
      <c r="CZ22880" s="35">
        <v>1.5333072389999999E-2</v>
      </c>
    </row>
    <row r="22881" spans="103:104" x14ac:dyDescent="0.3">
      <c r="CY22881" s="34" t="s">
        <v>23808</v>
      </c>
      <c r="CZ22881" s="35">
        <v>2.7813767999999997E-3</v>
      </c>
    </row>
    <row r="22882" spans="103:104" x14ac:dyDescent="0.3">
      <c r="CY22882" s="34" t="s">
        <v>23809</v>
      </c>
      <c r="CZ22882" s="35">
        <v>2.7813768000000002E-3</v>
      </c>
    </row>
    <row r="22883" spans="103:104" x14ac:dyDescent="0.3">
      <c r="CY22883" s="34" t="s">
        <v>23810</v>
      </c>
      <c r="CZ22883" s="35">
        <v>2.6479187999999994E-3</v>
      </c>
    </row>
    <row r="22884" spans="103:104" x14ac:dyDescent="0.3">
      <c r="CY22884" s="34" t="s">
        <v>23811</v>
      </c>
      <c r="CZ22884" s="35">
        <v>2.6479187999999998E-3</v>
      </c>
    </row>
    <row r="22885" spans="103:104" x14ac:dyDescent="0.3">
      <c r="CY22885" s="34" t="s">
        <v>23812</v>
      </c>
      <c r="CZ22885" s="35">
        <v>1.5555206400000002E-3</v>
      </c>
    </row>
    <row r="22886" spans="103:104" x14ac:dyDescent="0.3">
      <c r="CY22886" s="34" t="s">
        <v>23813</v>
      </c>
      <c r="CZ22886" s="35">
        <v>1.6631530400000002E-3</v>
      </c>
    </row>
    <row r="22887" spans="103:104" x14ac:dyDescent="0.3">
      <c r="CY22887" s="34" t="s">
        <v>23814</v>
      </c>
      <c r="CZ22887" s="35">
        <v>2.0721561599999997E-3</v>
      </c>
    </row>
    <row r="22888" spans="103:104" x14ac:dyDescent="0.3">
      <c r="CY22888" s="34" t="s">
        <v>23815</v>
      </c>
      <c r="CZ22888" s="35">
        <v>9.659511999999999E-4</v>
      </c>
    </row>
    <row r="22889" spans="103:104" x14ac:dyDescent="0.3">
      <c r="CY22889" s="34" t="s">
        <v>23816</v>
      </c>
      <c r="CZ22889" s="35">
        <v>5.1205143999999994E-2</v>
      </c>
    </row>
    <row r="22890" spans="103:104" x14ac:dyDescent="0.3">
      <c r="CY22890" s="34" t="s">
        <v>23817</v>
      </c>
      <c r="CZ22890" s="35">
        <v>5.7676999999999997E-3</v>
      </c>
    </row>
    <row r="22891" spans="103:104" x14ac:dyDescent="0.3">
      <c r="CY22891" s="34" t="s">
        <v>23818</v>
      </c>
      <c r="CZ22891" s="35">
        <v>7.977838000000001E-2</v>
      </c>
    </row>
    <row r="22892" spans="103:104" x14ac:dyDescent="0.3">
      <c r="CY22892" s="34" t="s">
        <v>23819</v>
      </c>
      <c r="CZ22892" s="35">
        <v>1.0296980859999999E-2</v>
      </c>
    </row>
    <row r="22893" spans="103:104" x14ac:dyDescent="0.3">
      <c r="CY22893" s="34" t="s">
        <v>23820</v>
      </c>
      <c r="CZ22893" s="35">
        <v>1.8168855477785711E-2</v>
      </c>
    </row>
    <row r="22894" spans="103:104" x14ac:dyDescent="0.3">
      <c r="CY22894" s="34" t="s">
        <v>23821</v>
      </c>
      <c r="CZ22894" s="35">
        <v>6.6661736000000003E-3</v>
      </c>
    </row>
    <row r="22895" spans="103:104" x14ac:dyDescent="0.3">
      <c r="CY22895" s="34" t="s">
        <v>23822</v>
      </c>
      <c r="CZ22895" s="35">
        <v>2.1056939019999998E-2</v>
      </c>
    </row>
    <row r="22896" spans="103:104" x14ac:dyDescent="0.3">
      <c r="CY22896" s="34" t="s">
        <v>23823</v>
      </c>
      <c r="CZ22896" s="35">
        <v>3.6326559999999994E-2</v>
      </c>
    </row>
    <row r="22897" spans="103:104" x14ac:dyDescent="0.3">
      <c r="CY22897" s="34" t="s">
        <v>23824</v>
      </c>
      <c r="CZ22897" s="35">
        <v>1.7420775199999999E-2</v>
      </c>
    </row>
    <row r="22898" spans="103:104" x14ac:dyDescent="0.3">
      <c r="CY22898" s="34" t="s">
        <v>23825</v>
      </c>
      <c r="CZ22898" s="35">
        <v>0.27682171792422222</v>
      </c>
    </row>
    <row r="22899" spans="103:104" x14ac:dyDescent="0.3">
      <c r="CY22899" s="34" t="s">
        <v>23826</v>
      </c>
      <c r="CZ22899" s="35">
        <v>9.6881880000000004E-3</v>
      </c>
    </row>
    <row r="22900" spans="103:104" x14ac:dyDescent="0.3">
      <c r="CY22900" s="34" t="s">
        <v>23827</v>
      </c>
      <c r="CZ22900" s="35">
        <v>5.9372599999999998E-2</v>
      </c>
    </row>
    <row r="22901" spans="103:104" x14ac:dyDescent="0.3">
      <c r="CY22901" s="34" t="s">
        <v>23828</v>
      </c>
      <c r="CZ22901" s="35">
        <v>2.3583225263157894E-2</v>
      </c>
    </row>
    <row r="22902" spans="103:104" x14ac:dyDescent="0.3">
      <c r="CY22902" s="34" t="s">
        <v>23829</v>
      </c>
      <c r="CZ22902" s="35">
        <v>1.1665E-3</v>
      </c>
    </row>
    <row r="22903" spans="103:104" x14ac:dyDescent="0.3">
      <c r="CY22903" s="34" t="s">
        <v>23830</v>
      </c>
      <c r="CZ22903" s="35">
        <v>3.8334279999999991E-2</v>
      </c>
    </row>
    <row r="22904" spans="103:104" x14ac:dyDescent="0.3">
      <c r="CY22904" s="34" t="s">
        <v>23831</v>
      </c>
      <c r="CZ22904" s="35">
        <v>7.5950000000000008E-4</v>
      </c>
    </row>
    <row r="22905" spans="103:104" x14ac:dyDescent="0.3">
      <c r="CY22905" s="34" t="s">
        <v>23832</v>
      </c>
      <c r="CZ22905" s="35">
        <v>2.7959315999999998E-2</v>
      </c>
    </row>
    <row r="22906" spans="103:104" x14ac:dyDescent="0.3">
      <c r="CY22906" s="34" t="s">
        <v>23833</v>
      </c>
      <c r="CZ22906" s="35">
        <v>1.4960311999999999E-3</v>
      </c>
    </row>
    <row r="22907" spans="103:104" x14ac:dyDescent="0.3">
      <c r="CY22907" s="34" t="s">
        <v>23834</v>
      </c>
      <c r="CZ22907" s="35">
        <v>1.6056899999999997E-4</v>
      </c>
    </row>
    <row r="22908" spans="103:104" x14ac:dyDescent="0.3">
      <c r="CY22908" s="34" t="s">
        <v>23835</v>
      </c>
      <c r="CZ22908" s="35">
        <v>7.4501999999999999E-5</v>
      </c>
    </row>
    <row r="22909" spans="103:104" x14ac:dyDescent="0.3">
      <c r="CY22909" s="34" t="s">
        <v>23836</v>
      </c>
      <c r="CZ22909" s="35">
        <v>8.1144999999999996E-5</v>
      </c>
    </row>
    <row r="22910" spans="103:104" x14ac:dyDescent="0.3">
      <c r="CY22910" s="34" t="s">
        <v>23837</v>
      </c>
      <c r="CZ22910" s="35">
        <v>3.67598795E-3</v>
      </c>
    </row>
    <row r="22911" spans="103:104" x14ac:dyDescent="0.3">
      <c r="CY22911" s="34" t="s">
        <v>23838</v>
      </c>
      <c r="CZ22911" s="35">
        <v>8.8320000000000008E-5</v>
      </c>
    </row>
    <row r="22912" spans="103:104" x14ac:dyDescent="0.3">
      <c r="CY22912" s="34" t="s">
        <v>23839</v>
      </c>
      <c r="CZ22912" s="35">
        <v>6.3415355999999992E-2</v>
      </c>
    </row>
    <row r="22913" spans="103:104" x14ac:dyDescent="0.3">
      <c r="CY22913" s="34" t="s">
        <v>23840</v>
      </c>
      <c r="CZ22913" s="35">
        <v>4.1287380000000005E-2</v>
      </c>
    </row>
    <row r="22914" spans="103:104" x14ac:dyDescent="0.3">
      <c r="CY22914" s="34" t="s">
        <v>23841</v>
      </c>
      <c r="CZ22914" s="35">
        <v>3.1785212E-2</v>
      </c>
    </row>
    <row r="22915" spans="103:104" x14ac:dyDescent="0.3">
      <c r="CY22915" s="34" t="s">
        <v>23842</v>
      </c>
      <c r="CZ22915" s="35">
        <v>1.0933542E-3</v>
      </c>
    </row>
    <row r="22916" spans="103:104" x14ac:dyDescent="0.3">
      <c r="CY22916" s="34" t="s">
        <v>23843</v>
      </c>
      <c r="CZ22916" s="35">
        <v>6.2061046666666668E-2</v>
      </c>
    </row>
    <row r="22917" spans="103:104" x14ac:dyDescent="0.3">
      <c r="CY22917" s="34" t="s">
        <v>23844</v>
      </c>
      <c r="CZ22917" s="35">
        <v>0.2924826667</v>
      </c>
    </row>
    <row r="22918" spans="103:104" x14ac:dyDescent="0.3">
      <c r="CY22918" s="34" t="s">
        <v>23845</v>
      </c>
      <c r="CZ22918" s="35">
        <v>2.6144520000000002E-3</v>
      </c>
    </row>
    <row r="22919" spans="103:104" x14ac:dyDescent="0.3">
      <c r="CY22919" s="34" t="s">
        <v>23846</v>
      </c>
      <c r="CZ22919" s="35">
        <v>1.9987698399999997E-2</v>
      </c>
    </row>
    <row r="22920" spans="103:104" x14ac:dyDescent="0.3">
      <c r="CY22920" s="34" t="s">
        <v>23847</v>
      </c>
      <c r="CZ22920" s="35">
        <v>1.0172608000000001E-3</v>
      </c>
    </row>
    <row r="22921" spans="103:104" x14ac:dyDescent="0.3">
      <c r="CY22921" s="34" t="s">
        <v>23848</v>
      </c>
      <c r="CZ22921" s="35">
        <v>5.0492945600000005E-2</v>
      </c>
    </row>
    <row r="22922" spans="103:104" x14ac:dyDescent="0.3">
      <c r="CY22922" s="34" t="s">
        <v>23849</v>
      </c>
      <c r="CZ22922" s="35">
        <v>5.063067200000001E-3</v>
      </c>
    </row>
    <row r="22923" spans="103:104" x14ac:dyDescent="0.3">
      <c r="CY22923" s="34" t="s">
        <v>23850</v>
      </c>
      <c r="CZ22923" s="35">
        <v>7.9949904000000002E-2</v>
      </c>
    </row>
    <row r="22924" spans="103:104" x14ac:dyDescent="0.3">
      <c r="CY22924" s="34" t="s">
        <v>23851</v>
      </c>
      <c r="CZ22924" s="35">
        <v>0.10693166400000001</v>
      </c>
    </row>
    <row r="22925" spans="103:104" x14ac:dyDescent="0.3">
      <c r="CY22925" s="34" t="s">
        <v>23852</v>
      </c>
      <c r="CZ22925" s="35">
        <v>0.24245272000000004</v>
      </c>
    </row>
    <row r="22926" spans="103:104" x14ac:dyDescent="0.3">
      <c r="CY22926" s="34" t="s">
        <v>23853</v>
      </c>
      <c r="CZ22926" s="35">
        <v>0.33368152000000001</v>
      </c>
    </row>
    <row r="22927" spans="103:104" x14ac:dyDescent="0.3">
      <c r="CY22927" s="34" t="s">
        <v>23854</v>
      </c>
      <c r="CZ22927" s="35">
        <v>0.37245376000000002</v>
      </c>
    </row>
    <row r="22928" spans="103:104" x14ac:dyDescent="0.3">
      <c r="CY22928" s="34" t="s">
        <v>23855</v>
      </c>
      <c r="CZ22928" s="35">
        <v>0.94263675999999996</v>
      </c>
    </row>
    <row r="22929" spans="103:104" x14ac:dyDescent="0.3">
      <c r="CY22929" s="34" t="s">
        <v>23856</v>
      </c>
      <c r="CZ22929" s="35">
        <v>3.6014304000000004E-2</v>
      </c>
    </row>
    <row r="22930" spans="103:104" x14ac:dyDescent="0.3">
      <c r="CY22930" s="34" t="s">
        <v>23857</v>
      </c>
      <c r="CZ22930" s="35">
        <v>0.11598700000000001</v>
      </c>
    </row>
    <row r="22931" spans="103:104" x14ac:dyDescent="0.3">
      <c r="CY22931" s="34" t="s">
        <v>23858</v>
      </c>
      <c r="CZ22931" s="35">
        <v>8.5570079999999996E-3</v>
      </c>
    </row>
    <row r="22932" spans="103:104" x14ac:dyDescent="0.3">
      <c r="CY22932" s="34" t="s">
        <v>23859</v>
      </c>
      <c r="CZ22932" s="35">
        <v>5.9060636666666676E-3</v>
      </c>
    </row>
    <row r="22933" spans="103:104" x14ac:dyDescent="0.3">
      <c r="CY22933" s="34" t="s">
        <v>23860</v>
      </c>
      <c r="CZ22933" s="35">
        <v>0.34010093433333338</v>
      </c>
    </row>
    <row r="22934" spans="103:104" x14ac:dyDescent="0.3">
      <c r="CY22934" s="34" t="s">
        <v>23861</v>
      </c>
      <c r="CZ22934" s="35">
        <v>0.2931127</v>
      </c>
    </row>
    <row r="22935" spans="103:104" x14ac:dyDescent="0.3">
      <c r="CY22935" s="34" t="s">
        <v>23862</v>
      </c>
      <c r="CZ22935" s="35">
        <v>5.3225779999999993E-2</v>
      </c>
    </row>
    <row r="22936" spans="103:104" x14ac:dyDescent="0.3">
      <c r="CY22936" s="34" t="s">
        <v>23863</v>
      </c>
      <c r="CZ22936" s="35">
        <v>5.476033333333334E-3</v>
      </c>
    </row>
    <row r="22937" spans="103:104" x14ac:dyDescent="0.3">
      <c r="CY22937" s="34" t="s">
        <v>23864</v>
      </c>
      <c r="CZ22937" s="35">
        <v>3.9626911250000008E-2</v>
      </c>
    </row>
    <row r="22938" spans="103:104" x14ac:dyDescent="0.3">
      <c r="CY22938" s="34" t="s">
        <v>23865</v>
      </c>
      <c r="CZ22938" s="35">
        <v>7.5196211764705881E-2</v>
      </c>
    </row>
    <row r="22939" spans="103:104" x14ac:dyDescent="0.3">
      <c r="CY22939" s="34" t="s">
        <v>23866</v>
      </c>
      <c r="CZ22939" s="35">
        <v>0.31953769999999998</v>
      </c>
    </row>
    <row r="22940" spans="103:104" x14ac:dyDescent="0.3">
      <c r="CY22940" s="34" t="s">
        <v>23867</v>
      </c>
      <c r="CZ22940" s="35">
        <v>0.17662947000000001</v>
      </c>
    </row>
    <row r="22941" spans="103:104" x14ac:dyDescent="0.3">
      <c r="CY22941" s="34" t="s">
        <v>23868</v>
      </c>
      <c r="CZ22941" s="35">
        <v>0.11781754000000001</v>
      </c>
    </row>
    <row r="22942" spans="103:104" x14ac:dyDescent="0.3">
      <c r="CY22942" s="34" t="s">
        <v>23869</v>
      </c>
      <c r="CZ22942" s="35">
        <v>1.2662776000000001E-2</v>
      </c>
    </row>
    <row r="22943" spans="103:104" x14ac:dyDescent="0.3">
      <c r="CY22943" s="34" t="s">
        <v>23870</v>
      </c>
      <c r="CZ22943" s="35">
        <v>2.1567817999999999E-2</v>
      </c>
    </row>
    <row r="22944" spans="103:104" x14ac:dyDescent="0.3">
      <c r="CY22944" s="34" t="s">
        <v>23871</v>
      </c>
      <c r="CZ22944" s="35">
        <v>4.7665379571428572E-2</v>
      </c>
    </row>
    <row r="22945" spans="103:104" x14ac:dyDescent="0.3">
      <c r="CY22945" s="34" t="s">
        <v>23872</v>
      </c>
      <c r="CZ22945" s="35">
        <v>0.1048786111111111</v>
      </c>
    </row>
    <row r="22946" spans="103:104" x14ac:dyDescent="0.3">
      <c r="CY22946" s="34" t="s">
        <v>23873</v>
      </c>
      <c r="CZ22946" s="35">
        <v>0.16648198665</v>
      </c>
    </row>
    <row r="22947" spans="103:104" x14ac:dyDescent="0.3">
      <c r="CY22947" s="34" t="s">
        <v>23874</v>
      </c>
      <c r="CZ22947" s="35">
        <v>0.48810336000000004</v>
      </c>
    </row>
    <row r="22948" spans="103:104" x14ac:dyDescent="0.3">
      <c r="CY22948" s="34" t="s">
        <v>23875</v>
      </c>
      <c r="CZ22948" s="35">
        <v>0.51485007999999999</v>
      </c>
    </row>
    <row r="22949" spans="103:104" x14ac:dyDescent="0.3">
      <c r="CY22949" s="34" t="s">
        <v>23876</v>
      </c>
      <c r="CZ22949" s="35">
        <v>0.70773160000000013</v>
      </c>
    </row>
    <row r="22950" spans="103:104" x14ac:dyDescent="0.3">
      <c r="CY22950" s="34" t="s">
        <v>23877</v>
      </c>
      <c r="CZ22950" s="35">
        <v>7.5744799999999989E-3</v>
      </c>
    </row>
    <row r="22951" spans="103:104" x14ac:dyDescent="0.3">
      <c r="CY22951" s="34" t="s">
        <v>23878</v>
      </c>
      <c r="CZ22951" s="35">
        <v>7.5744799999999998E-3</v>
      </c>
    </row>
    <row r="22952" spans="103:104" x14ac:dyDescent="0.3">
      <c r="CY22952" s="34" t="s">
        <v>23879</v>
      </c>
      <c r="CZ22952" s="35">
        <v>1.0440668666666666E-2</v>
      </c>
    </row>
    <row r="22953" spans="103:104" x14ac:dyDescent="0.3">
      <c r="CY22953" s="34" t="s">
        <v>23880</v>
      </c>
      <c r="CZ22953" s="35">
        <v>6.2324141199999999E-3</v>
      </c>
    </row>
    <row r="22954" spans="103:104" x14ac:dyDescent="0.3">
      <c r="CY22954" s="34" t="s">
        <v>23881</v>
      </c>
      <c r="CZ22954" s="35">
        <v>1.1805867592444441</v>
      </c>
    </row>
    <row r="22955" spans="103:104" x14ac:dyDescent="0.3">
      <c r="CY22955" s="34" t="s">
        <v>23882</v>
      </c>
      <c r="CZ22955" s="35">
        <v>4.0995239999999997E-4</v>
      </c>
    </row>
    <row r="22956" spans="103:104" x14ac:dyDescent="0.3">
      <c r="CY22956" s="34" t="s">
        <v>23883</v>
      </c>
      <c r="CZ22956" s="35">
        <v>1.6142533333333333E-3</v>
      </c>
    </row>
    <row r="22957" spans="103:104" x14ac:dyDescent="0.3">
      <c r="CY22957" s="34" t="s">
        <v>23884</v>
      </c>
      <c r="CZ22957" s="35">
        <v>4.1621839999999998E-5</v>
      </c>
    </row>
    <row r="22958" spans="103:104" x14ac:dyDescent="0.3">
      <c r="CY22958" s="34" t="s">
        <v>23885</v>
      </c>
      <c r="CZ22958" s="35">
        <v>9.6855200000000002E-4</v>
      </c>
    </row>
    <row r="22959" spans="103:104" x14ac:dyDescent="0.3">
      <c r="CY22959" s="34" t="s">
        <v>23886</v>
      </c>
      <c r="CZ22959" s="35">
        <v>1.8152393000000001E-3</v>
      </c>
    </row>
    <row r="22960" spans="103:104" x14ac:dyDescent="0.3">
      <c r="CY22960" s="34" t="s">
        <v>23887</v>
      </c>
      <c r="CZ22960" s="35">
        <v>2.3378595800000001E-3</v>
      </c>
    </row>
    <row r="22961" spans="103:104" x14ac:dyDescent="0.3">
      <c r="CY22961" s="34" t="s">
        <v>23888</v>
      </c>
      <c r="CZ22961" s="35">
        <v>2.4837071E-3</v>
      </c>
    </row>
    <row r="22962" spans="103:104" x14ac:dyDescent="0.3">
      <c r="CY22962" s="34" t="s">
        <v>23889</v>
      </c>
      <c r="CZ22962" s="35">
        <v>1.7240846000000001E-3</v>
      </c>
    </row>
    <row r="22963" spans="103:104" x14ac:dyDescent="0.3">
      <c r="CY22963" s="34" t="s">
        <v>23890</v>
      </c>
      <c r="CZ22963" s="35">
        <v>1.4810106999999999E-3</v>
      </c>
    </row>
    <row r="22964" spans="103:104" x14ac:dyDescent="0.3">
      <c r="CY22964" s="34" t="s">
        <v>23891</v>
      </c>
      <c r="CZ22964" s="35">
        <v>1.5135156E-3</v>
      </c>
    </row>
    <row r="22965" spans="103:104" x14ac:dyDescent="0.3">
      <c r="CY22965" s="34" t="s">
        <v>23892</v>
      </c>
      <c r="CZ22965" s="35">
        <v>1.6110302999999999E-3</v>
      </c>
    </row>
    <row r="22966" spans="103:104" x14ac:dyDescent="0.3">
      <c r="CY22966" s="34" t="s">
        <v>23893</v>
      </c>
      <c r="CZ22966" s="35">
        <v>1.1559616999999999E-3</v>
      </c>
    </row>
    <row r="22967" spans="103:104" x14ac:dyDescent="0.3">
      <c r="CY22967" s="34" t="s">
        <v>23894</v>
      </c>
      <c r="CZ22967" s="35">
        <v>2.5818641E-2</v>
      </c>
    </row>
    <row r="22968" spans="103:104" x14ac:dyDescent="0.3">
      <c r="CY22968" s="34" t="s">
        <v>23895</v>
      </c>
      <c r="CZ22968" s="35">
        <v>0.91893279000000005</v>
      </c>
    </row>
    <row r="22969" spans="103:104" x14ac:dyDescent="0.3">
      <c r="CY22969" s="34" t="s">
        <v>23896</v>
      </c>
      <c r="CZ22969" s="35">
        <v>0.81023904000000002</v>
      </c>
    </row>
    <row r="22970" spans="103:104" x14ac:dyDescent="0.3">
      <c r="CY22970" s="34" t="s">
        <v>23897</v>
      </c>
      <c r="CZ22970" s="35">
        <v>0.41932047999999994</v>
      </c>
    </row>
    <row r="22971" spans="103:104" x14ac:dyDescent="0.3">
      <c r="CY22971" s="34" t="s">
        <v>23898</v>
      </c>
      <c r="CZ22971" s="35">
        <v>0.32294547999999995</v>
      </c>
    </row>
    <row r="22972" spans="103:104" x14ac:dyDescent="0.3">
      <c r="CY22972" s="34" t="s">
        <v>23899</v>
      </c>
      <c r="CZ22972" s="35">
        <v>1.2852360000000001E-3</v>
      </c>
    </row>
    <row r="22973" spans="103:104" x14ac:dyDescent="0.3">
      <c r="CY22973" s="34" t="s">
        <v>23900</v>
      </c>
      <c r="CZ22973" s="35">
        <v>0.28779998293333331</v>
      </c>
    </row>
    <row r="22974" spans="103:104" x14ac:dyDescent="0.3">
      <c r="CY22974" s="34" t="s">
        <v>23901</v>
      </c>
      <c r="CZ22974" s="35">
        <v>0.30354891093333325</v>
      </c>
    </row>
    <row r="22975" spans="103:104" x14ac:dyDescent="0.3">
      <c r="CY22975" s="34" t="s">
        <v>23902</v>
      </c>
      <c r="CZ22975" s="35">
        <v>0.44905303679999997</v>
      </c>
    </row>
    <row r="22976" spans="103:104" x14ac:dyDescent="0.3">
      <c r="CY22976" s="34" t="s">
        <v>23903</v>
      </c>
      <c r="CZ22976" s="35">
        <v>6.0445200000000003E-3</v>
      </c>
    </row>
    <row r="22977" spans="103:104" x14ac:dyDescent="0.3">
      <c r="CY22977" s="34" t="s">
        <v>23904</v>
      </c>
      <c r="CZ22977" s="35">
        <v>0.763208</v>
      </c>
    </row>
    <row r="22978" spans="103:104" x14ac:dyDescent="0.3">
      <c r="CY22978" s="34" t="s">
        <v>23905</v>
      </c>
      <c r="CZ22978" s="35">
        <v>1.26147728E-2</v>
      </c>
    </row>
    <row r="22979" spans="103:104" x14ac:dyDescent="0.3">
      <c r="CY22979" s="34" t="s">
        <v>23906</v>
      </c>
      <c r="CZ22979" s="35">
        <v>3.2982533999999987E-2</v>
      </c>
    </row>
    <row r="22980" spans="103:104" x14ac:dyDescent="0.3">
      <c r="CY22980" s="34" t="s">
        <v>23907</v>
      </c>
      <c r="CZ22980" s="35">
        <v>2.8087639999999996E-3</v>
      </c>
    </row>
    <row r="22981" spans="103:104" x14ac:dyDescent="0.3">
      <c r="CY22981" s="34" t="s">
        <v>23908</v>
      </c>
      <c r="CZ22981" s="35">
        <v>7.6801424000000002E-3</v>
      </c>
    </row>
    <row r="22982" spans="103:104" x14ac:dyDescent="0.3">
      <c r="CY22982" s="34" t="s">
        <v>23909</v>
      </c>
      <c r="CZ22982" s="35">
        <v>3.0724952000000002E-3</v>
      </c>
    </row>
    <row r="22983" spans="103:104" x14ac:dyDescent="0.3">
      <c r="CY22983" s="34" t="s">
        <v>23910</v>
      </c>
      <c r="CZ22983" s="35">
        <v>3.9871039999999996E-2</v>
      </c>
    </row>
    <row r="22984" spans="103:104" x14ac:dyDescent="0.3">
      <c r="CY22984" s="34" t="s">
        <v>23911</v>
      </c>
      <c r="CZ22984" s="35">
        <v>4.7410320000000001E-3</v>
      </c>
    </row>
    <row r="22985" spans="103:104" x14ac:dyDescent="0.3">
      <c r="CY22985" s="34" t="s">
        <v>23912</v>
      </c>
      <c r="CZ22985" s="35">
        <v>4.9303071000000004E-2</v>
      </c>
    </row>
    <row r="22986" spans="103:104" x14ac:dyDescent="0.3">
      <c r="CY22986" s="34" t="s">
        <v>23913</v>
      </c>
      <c r="CZ22986" s="35">
        <v>3.4924548E-2</v>
      </c>
    </row>
    <row r="22987" spans="103:104" x14ac:dyDescent="0.3">
      <c r="CY22987" s="34" t="s">
        <v>23914</v>
      </c>
      <c r="CZ22987" s="35">
        <v>8.3091172000000005E-3</v>
      </c>
    </row>
    <row r="22988" spans="103:104" x14ac:dyDescent="0.3">
      <c r="CY22988" s="34" t="s">
        <v>23915</v>
      </c>
      <c r="CZ22988" s="35">
        <v>8.3091172000000005E-3</v>
      </c>
    </row>
    <row r="22989" spans="103:104" x14ac:dyDescent="0.3">
      <c r="CY22989" s="34" t="s">
        <v>23916</v>
      </c>
      <c r="CZ22989" s="35">
        <v>7.1674000000000009E-3</v>
      </c>
    </row>
    <row r="22990" spans="103:104" x14ac:dyDescent="0.3">
      <c r="CY22990" s="34" t="s">
        <v>23917</v>
      </c>
      <c r="CZ22990" s="35">
        <v>5.746685025E-3</v>
      </c>
    </row>
    <row r="22991" spans="103:104" x14ac:dyDescent="0.3">
      <c r="CY22991" s="34" t="s">
        <v>23918</v>
      </c>
      <c r="CZ22991" s="35">
        <v>2.6932995025E-2</v>
      </c>
    </row>
    <row r="22992" spans="103:104" x14ac:dyDescent="0.3">
      <c r="CY22992" s="34" t="s">
        <v>23919</v>
      </c>
      <c r="CZ22992" s="35">
        <v>9.1752800000000009E-3</v>
      </c>
    </row>
    <row r="22993" spans="103:104" x14ac:dyDescent="0.3">
      <c r="CY22993" s="34" t="s">
        <v>23920</v>
      </c>
      <c r="CZ22993" s="35">
        <v>2.3681109339999999E-2</v>
      </c>
    </row>
    <row r="22994" spans="103:104" x14ac:dyDescent="0.3">
      <c r="CY22994" s="34" t="s">
        <v>23921</v>
      </c>
      <c r="CZ22994" s="35">
        <v>0.15341442666666666</v>
      </c>
    </row>
    <row r="22995" spans="103:104" x14ac:dyDescent="0.3">
      <c r="CY22995" s="34" t="s">
        <v>23922</v>
      </c>
      <c r="CZ22995" s="35">
        <v>0.18932874666666669</v>
      </c>
    </row>
    <row r="22996" spans="103:104" x14ac:dyDescent="0.3">
      <c r="CY22996" s="34" t="s">
        <v>23923</v>
      </c>
      <c r="CZ22996" s="35">
        <v>0.15341442666666666</v>
      </c>
    </row>
    <row r="22997" spans="103:104" x14ac:dyDescent="0.3">
      <c r="CY22997" s="34" t="s">
        <v>23924</v>
      </c>
      <c r="CZ22997" s="35">
        <v>0.15341442666666666</v>
      </c>
    </row>
    <row r="22998" spans="103:104" x14ac:dyDescent="0.3">
      <c r="CY22998" s="34" t="s">
        <v>23925</v>
      </c>
      <c r="CZ22998" s="35">
        <v>1.3354578999999998E-2</v>
      </c>
    </row>
    <row r="22999" spans="103:104" x14ac:dyDescent="0.3">
      <c r="CY22999" s="34" t="s">
        <v>23926</v>
      </c>
      <c r="CZ22999" s="35">
        <v>1.3596719499999998E-2</v>
      </c>
    </row>
    <row r="23000" spans="103:104" x14ac:dyDescent="0.3">
      <c r="CY23000" s="34" t="s">
        <v>23927</v>
      </c>
      <c r="CZ23000" s="35">
        <v>1.3465206599999998E-2</v>
      </c>
    </row>
    <row r="23001" spans="103:104" x14ac:dyDescent="0.3">
      <c r="CY23001" s="34" t="s">
        <v>23928</v>
      </c>
      <c r="CZ23001" s="35">
        <v>1.0588853333333335E-3</v>
      </c>
    </row>
    <row r="23002" spans="103:104" x14ac:dyDescent="0.3">
      <c r="CY23002" s="34" t="s">
        <v>23929</v>
      </c>
      <c r="CZ23002" s="35">
        <v>9.4265909333333335E-4</v>
      </c>
    </row>
    <row r="23003" spans="103:104" x14ac:dyDescent="0.3">
      <c r="CY23003" s="34" t="s">
        <v>23930</v>
      </c>
      <c r="CZ23003" s="35">
        <v>3.5670984000000005E-3</v>
      </c>
    </row>
    <row r="23004" spans="103:104" x14ac:dyDescent="0.3">
      <c r="CY23004" s="34" t="s">
        <v>23931</v>
      </c>
      <c r="CZ23004" s="35">
        <v>7.8013840000000006E-3</v>
      </c>
    </row>
    <row r="23005" spans="103:104" x14ac:dyDescent="0.3">
      <c r="CY23005" s="34" t="s">
        <v>23932</v>
      </c>
      <c r="CZ23005" s="35">
        <v>2.7230566600000002E-2</v>
      </c>
    </row>
    <row r="23006" spans="103:104" x14ac:dyDescent="0.3">
      <c r="CY23006" s="34" t="s">
        <v>23933</v>
      </c>
      <c r="CZ23006" s="35">
        <v>2.9442777400000002E-2</v>
      </c>
    </row>
    <row r="23007" spans="103:104" x14ac:dyDescent="0.3">
      <c r="CY23007" s="34" t="s">
        <v>23934</v>
      </c>
      <c r="CZ23007" s="35">
        <v>4.7734079999999998E-3</v>
      </c>
    </row>
    <row r="23008" spans="103:104" x14ac:dyDescent="0.3">
      <c r="CY23008" s="34" t="s">
        <v>23935</v>
      </c>
      <c r="CZ23008" s="35">
        <v>2.9091061333333328E-2</v>
      </c>
    </row>
    <row r="23009" spans="103:104" x14ac:dyDescent="0.3">
      <c r="CY23009" s="34" t="s">
        <v>23936</v>
      </c>
      <c r="CZ23009" s="35">
        <v>2.0341439999999999E-2</v>
      </c>
    </row>
    <row r="23010" spans="103:104" x14ac:dyDescent="0.3">
      <c r="CY23010" s="34" t="s">
        <v>23937</v>
      </c>
      <c r="CZ23010" s="35">
        <v>2.473306666666667E-3</v>
      </c>
    </row>
    <row r="23011" spans="103:104" x14ac:dyDescent="0.3">
      <c r="CY23011" s="34" t="s">
        <v>23938</v>
      </c>
      <c r="CZ23011" s="35">
        <v>3.9014066666666664E-3</v>
      </c>
    </row>
    <row r="23012" spans="103:104" x14ac:dyDescent="0.3">
      <c r="CY23012" s="34" t="s">
        <v>23939</v>
      </c>
      <c r="CZ23012" s="35">
        <v>6.3147400000000001E-3</v>
      </c>
    </row>
    <row r="23013" spans="103:104" x14ac:dyDescent="0.3">
      <c r="CY23013" s="34" t="s">
        <v>23940</v>
      </c>
      <c r="CZ23013" s="35">
        <v>1.0065173333333333E-2</v>
      </c>
    </row>
    <row r="23014" spans="103:104" x14ac:dyDescent="0.3">
      <c r="CY23014" s="34" t="s">
        <v>23941</v>
      </c>
      <c r="CZ23014" s="35">
        <v>1.9161000000000001E-2</v>
      </c>
    </row>
    <row r="23015" spans="103:104" x14ac:dyDescent="0.3">
      <c r="CY23015" s="34" t="s">
        <v>23942</v>
      </c>
      <c r="CZ23015" s="35">
        <v>1.3347126797385619E-3</v>
      </c>
    </row>
    <row r="23016" spans="103:104" x14ac:dyDescent="0.3">
      <c r="CY23016" s="34" t="s">
        <v>23943</v>
      </c>
      <c r="CZ23016" s="35">
        <v>1.9847080000000003E-2</v>
      </c>
    </row>
    <row r="23017" spans="103:104" x14ac:dyDescent="0.3">
      <c r="CY23017" s="34" t="s">
        <v>23944</v>
      </c>
      <c r="CZ23017" s="35">
        <v>2.2031080000000001E-2</v>
      </c>
    </row>
    <row r="23018" spans="103:104" x14ac:dyDescent="0.3">
      <c r="CY23018" s="34" t="s">
        <v>23945</v>
      </c>
      <c r="CZ23018" s="35">
        <v>1.2516751999999999E-2</v>
      </c>
    </row>
    <row r="23019" spans="103:104" x14ac:dyDescent="0.3">
      <c r="CY23019" s="34" t="s">
        <v>23946</v>
      </c>
      <c r="CZ23019" s="35">
        <v>3.7996639999999998E-2</v>
      </c>
    </row>
    <row r="23020" spans="103:104" x14ac:dyDescent="0.3">
      <c r="CY23020" s="34" t="s">
        <v>23947</v>
      </c>
      <c r="CZ23020" s="35">
        <v>2.9168107142857145E-3</v>
      </c>
    </row>
    <row r="23021" spans="103:104" x14ac:dyDescent="0.3">
      <c r="CY23021" s="34" t="s">
        <v>23948</v>
      </c>
      <c r="CZ23021" s="35">
        <v>2.9578000000000004E-3</v>
      </c>
    </row>
    <row r="23022" spans="103:104" x14ac:dyDescent="0.3">
      <c r="CY23022" s="34" t="s">
        <v>23949</v>
      </c>
      <c r="CZ23022" s="35">
        <v>1.6722267500000002E-3</v>
      </c>
    </row>
    <row r="23023" spans="103:104" x14ac:dyDescent="0.3">
      <c r="CY23023" s="34" t="s">
        <v>23950</v>
      </c>
      <c r="CZ23023" s="35">
        <v>4.4739539999999994E-2</v>
      </c>
    </row>
    <row r="23024" spans="103:104" x14ac:dyDescent="0.3">
      <c r="CY23024" s="34" t="s">
        <v>23951</v>
      </c>
      <c r="CZ23024" s="35">
        <v>1.4346676210526318E-3</v>
      </c>
    </row>
    <row r="23025" spans="103:104" x14ac:dyDescent="0.3">
      <c r="CY23025" s="34" t="s">
        <v>23952</v>
      </c>
      <c r="CZ23025" s="35">
        <v>1.4101879999999997E-3</v>
      </c>
    </row>
    <row r="23026" spans="103:104" x14ac:dyDescent="0.3">
      <c r="CY23026" s="34" t="s">
        <v>23953</v>
      </c>
      <c r="CZ23026" s="35">
        <v>6.8301322666666662E-3</v>
      </c>
    </row>
    <row r="23027" spans="103:104" x14ac:dyDescent="0.3">
      <c r="CY23027" s="34" t="s">
        <v>23954</v>
      </c>
      <c r="CZ23027" s="35">
        <v>2.2444570399999995E-2</v>
      </c>
    </row>
    <row r="23028" spans="103:104" x14ac:dyDescent="0.3">
      <c r="CY23028" s="34" t="s">
        <v>23955</v>
      </c>
      <c r="CZ23028" s="35">
        <v>3.1397856666666668E-2</v>
      </c>
    </row>
    <row r="23029" spans="103:104" x14ac:dyDescent="0.3">
      <c r="CY23029" s="34" t="s">
        <v>23956</v>
      </c>
      <c r="CZ23029" s="35">
        <v>2.8382136666666669E-2</v>
      </c>
    </row>
    <row r="23030" spans="103:104" x14ac:dyDescent="0.3">
      <c r="CY23030" s="34" t="s">
        <v>23957</v>
      </c>
      <c r="CZ23030" s="35">
        <v>7.1271333333333339E-3</v>
      </c>
    </row>
    <row r="23031" spans="103:104" x14ac:dyDescent="0.3">
      <c r="CY23031" s="34" t="s">
        <v>23958</v>
      </c>
      <c r="CZ23031" s="35">
        <v>3.0649056666666667E-2</v>
      </c>
    </row>
    <row r="23032" spans="103:104" x14ac:dyDescent="0.3">
      <c r="CY23032" s="34" t="s">
        <v>23959</v>
      </c>
      <c r="CZ23032" s="35">
        <v>2.8382136666666669E-2</v>
      </c>
    </row>
    <row r="23033" spans="103:104" x14ac:dyDescent="0.3">
      <c r="CY23033" s="34" t="s">
        <v>23960</v>
      </c>
      <c r="CZ23033" s="35">
        <v>3.8854466666666664E-2</v>
      </c>
    </row>
    <row r="23034" spans="103:104" x14ac:dyDescent="0.3">
      <c r="CY23034" s="34" t="s">
        <v>23961</v>
      </c>
      <c r="CZ23034" s="35">
        <v>2.4662719999999999E-2</v>
      </c>
    </row>
    <row r="23035" spans="103:104" x14ac:dyDescent="0.3">
      <c r="CY23035" s="34" t="s">
        <v>23962</v>
      </c>
      <c r="CZ23035" s="35">
        <v>2.2026585349999999E-2</v>
      </c>
    </row>
    <row r="23036" spans="103:104" x14ac:dyDescent="0.3">
      <c r="CY23036" s="34" t="s">
        <v>23963</v>
      </c>
      <c r="CZ23036" s="35">
        <v>2.4271688E-2</v>
      </c>
    </row>
    <row r="23037" spans="103:104" x14ac:dyDescent="0.3">
      <c r="CY23037" s="34" t="s">
        <v>23964</v>
      </c>
      <c r="CZ23037" s="35">
        <v>3.1758271999999997E-2</v>
      </c>
    </row>
    <row r="23038" spans="103:104" x14ac:dyDescent="0.3">
      <c r="CY23038" s="34" t="s">
        <v>23965</v>
      </c>
      <c r="CZ23038" s="35">
        <v>4.0918018666666674E-2</v>
      </c>
    </row>
    <row r="23039" spans="103:104" x14ac:dyDescent="0.3">
      <c r="CY23039" s="34" t="s">
        <v>23966</v>
      </c>
      <c r="CZ23039" s="35">
        <v>5.0372816000000001E-2</v>
      </c>
    </row>
    <row r="23040" spans="103:104" x14ac:dyDescent="0.3">
      <c r="CY23040" s="34" t="s">
        <v>23967</v>
      </c>
      <c r="CZ23040" s="35">
        <v>2.0548862000000005E-2</v>
      </c>
    </row>
    <row r="23041" spans="103:104" x14ac:dyDescent="0.3">
      <c r="CY23041" s="34" t="s">
        <v>23968</v>
      </c>
      <c r="CZ23041" s="35">
        <v>2.1202994666666666E-2</v>
      </c>
    </row>
    <row r="23042" spans="103:104" x14ac:dyDescent="0.3">
      <c r="CY23042" s="34" t="s">
        <v>23969</v>
      </c>
      <c r="CZ23042" s="35">
        <v>2.2519679700000007E-2</v>
      </c>
    </row>
    <row r="23043" spans="103:104" x14ac:dyDescent="0.3">
      <c r="CY23043" s="34" t="s">
        <v>23970</v>
      </c>
      <c r="CZ23043" s="35">
        <v>2.8572136000000001E-2</v>
      </c>
    </row>
    <row r="23044" spans="103:104" x14ac:dyDescent="0.3">
      <c r="CY23044" s="34" t="s">
        <v>23971</v>
      </c>
      <c r="CZ23044" s="35">
        <v>2.2919203999999999E-2</v>
      </c>
    </row>
    <row r="23045" spans="103:104" x14ac:dyDescent="0.3">
      <c r="CY23045" s="34" t="s">
        <v>23972</v>
      </c>
      <c r="CZ23045" s="35">
        <v>2.7976681999999999E-2</v>
      </c>
    </row>
    <row r="23046" spans="103:104" x14ac:dyDescent="0.3">
      <c r="CY23046" s="34" t="s">
        <v>23973</v>
      </c>
      <c r="CZ23046" s="35">
        <v>2.5218063999999998E-2</v>
      </c>
    </row>
    <row r="23047" spans="103:104" x14ac:dyDescent="0.3">
      <c r="CY23047" s="34" t="s">
        <v>23974</v>
      </c>
      <c r="CZ23047" s="35">
        <v>2.7177395566666665E-2</v>
      </c>
    </row>
    <row r="23048" spans="103:104" x14ac:dyDescent="0.3">
      <c r="CY23048" s="34" t="s">
        <v>23975</v>
      </c>
      <c r="CZ23048" s="35">
        <v>2.5106935999999996E-2</v>
      </c>
    </row>
    <row r="23049" spans="103:104" x14ac:dyDescent="0.3">
      <c r="CY23049" s="34" t="s">
        <v>23976</v>
      </c>
      <c r="CZ23049" s="35">
        <v>2.1023880000000002E-2</v>
      </c>
    </row>
    <row r="23050" spans="103:104" x14ac:dyDescent="0.3">
      <c r="CY23050" s="34" t="s">
        <v>23977</v>
      </c>
      <c r="CZ23050" s="35">
        <v>2.8589151999999996E-2</v>
      </c>
    </row>
    <row r="23051" spans="103:104" x14ac:dyDescent="0.3">
      <c r="CY23051" s="34" t="s">
        <v>23978</v>
      </c>
      <c r="CZ23051" s="35">
        <v>3.7888927999999995E-2</v>
      </c>
    </row>
    <row r="23052" spans="103:104" x14ac:dyDescent="0.3">
      <c r="CY23052" s="34" t="s">
        <v>23979</v>
      </c>
      <c r="CZ23052" s="35">
        <v>6.5636512000000008E-2</v>
      </c>
    </row>
    <row r="23053" spans="103:104" x14ac:dyDescent="0.3">
      <c r="CY23053" s="34" t="s">
        <v>23980</v>
      </c>
      <c r="CZ23053" s="35">
        <v>6.2509658666666671E-3</v>
      </c>
    </row>
    <row r="23054" spans="103:104" x14ac:dyDescent="0.3">
      <c r="CY23054" s="34" t="s">
        <v>23981</v>
      </c>
      <c r="CZ23054" s="35">
        <v>6.5215880000000009E-3</v>
      </c>
    </row>
    <row r="23055" spans="103:104" x14ac:dyDescent="0.3">
      <c r="CY23055" s="34" t="s">
        <v>23982</v>
      </c>
      <c r="CZ23055" s="35">
        <v>5.3042760000000001E-3</v>
      </c>
    </row>
    <row r="23056" spans="103:104" x14ac:dyDescent="0.3">
      <c r="CY23056" s="34" t="s">
        <v>23983</v>
      </c>
      <c r="CZ23056" s="35">
        <v>4.6816999999999996E-3</v>
      </c>
    </row>
    <row r="23057" spans="103:104" x14ac:dyDescent="0.3">
      <c r="CY23057" s="34" t="s">
        <v>23984</v>
      </c>
      <c r="CZ23057" s="35">
        <v>6.03172E-3</v>
      </c>
    </row>
    <row r="23058" spans="103:104" x14ac:dyDescent="0.3">
      <c r="CY23058" s="34" t="s">
        <v>23985</v>
      </c>
      <c r="CZ23058" s="35">
        <v>4.6681439999999999E-3</v>
      </c>
    </row>
    <row r="23059" spans="103:104" x14ac:dyDescent="0.3">
      <c r="CY23059" s="34" t="s">
        <v>23986</v>
      </c>
      <c r="CZ23059" s="35">
        <v>1.3071654400000001E-3</v>
      </c>
    </row>
    <row r="23060" spans="103:104" x14ac:dyDescent="0.3">
      <c r="CY23060" s="34" t="s">
        <v>23987</v>
      </c>
      <c r="CZ23060" s="35">
        <v>8.2462311999999989E-3</v>
      </c>
    </row>
    <row r="23061" spans="103:104" x14ac:dyDescent="0.3">
      <c r="CY23061" s="34" t="s">
        <v>23988</v>
      </c>
      <c r="CZ23061" s="35">
        <v>1.2607980799999998E-2</v>
      </c>
    </row>
    <row r="23062" spans="103:104" x14ac:dyDescent="0.3">
      <c r="CY23062" s="34" t="s">
        <v>23989</v>
      </c>
      <c r="CZ23062" s="35">
        <v>1.2607980799999998E-2</v>
      </c>
    </row>
    <row r="23063" spans="103:104" x14ac:dyDescent="0.3">
      <c r="CY23063" s="34" t="s">
        <v>23990</v>
      </c>
      <c r="CZ23063" s="35">
        <v>3.8627151999999998E-2</v>
      </c>
    </row>
    <row r="23064" spans="103:104" x14ac:dyDescent="0.3">
      <c r="CY23064" s="34" t="s">
        <v>23991</v>
      </c>
      <c r="CZ23064" s="35">
        <v>7.641938400000001E-3</v>
      </c>
    </row>
    <row r="23065" spans="103:104" x14ac:dyDescent="0.3">
      <c r="CY23065" s="34" t="s">
        <v>23992</v>
      </c>
      <c r="CZ23065" s="35">
        <v>7.641938400000001E-3</v>
      </c>
    </row>
    <row r="23066" spans="103:104" x14ac:dyDescent="0.3">
      <c r="CY23066" s="34" t="s">
        <v>23993</v>
      </c>
      <c r="CZ23066" s="35">
        <v>6.6177776000000002E-3</v>
      </c>
    </row>
    <row r="23067" spans="103:104" x14ac:dyDescent="0.3">
      <c r="CY23067" s="34" t="s">
        <v>23994</v>
      </c>
      <c r="CZ23067" s="35">
        <v>6.6177776000000002E-3</v>
      </c>
    </row>
    <row r="23068" spans="103:104" x14ac:dyDescent="0.3">
      <c r="CY23068" s="34" t="s">
        <v>23995</v>
      </c>
      <c r="CZ23068" s="35">
        <v>3.8687143999999998E-3</v>
      </c>
    </row>
    <row r="23069" spans="103:104" x14ac:dyDescent="0.3">
      <c r="CY23069" s="34" t="s">
        <v>23996</v>
      </c>
      <c r="CZ23069" s="35">
        <v>3.8687143999999998E-3</v>
      </c>
    </row>
    <row r="23070" spans="103:104" x14ac:dyDescent="0.3">
      <c r="CY23070" s="34" t="s">
        <v>23997</v>
      </c>
      <c r="CZ23070" s="35">
        <v>2.3395605600000001E-2</v>
      </c>
    </row>
    <row r="23071" spans="103:104" x14ac:dyDescent="0.3">
      <c r="CY23071" s="34" t="s">
        <v>23998</v>
      </c>
      <c r="CZ23071" s="35">
        <v>2.3395605600000001E-2</v>
      </c>
    </row>
    <row r="23072" spans="103:104" x14ac:dyDescent="0.3">
      <c r="CY23072" s="34" t="s">
        <v>23999</v>
      </c>
      <c r="CZ23072" s="35">
        <v>8.1876499999999994E-3</v>
      </c>
    </row>
    <row r="23073" spans="103:104" x14ac:dyDescent="0.3">
      <c r="CY23073" s="34" t="s">
        <v>24000</v>
      </c>
      <c r="CZ23073" s="35">
        <v>8.1876499999999994E-3</v>
      </c>
    </row>
    <row r="23074" spans="103:104" x14ac:dyDescent="0.3">
      <c r="CY23074" s="34" t="s">
        <v>24001</v>
      </c>
      <c r="CZ23074" s="35">
        <v>6.1746664E-2</v>
      </c>
    </row>
    <row r="23075" spans="103:104" x14ac:dyDescent="0.3">
      <c r="CY23075" s="34" t="s">
        <v>24002</v>
      </c>
      <c r="CZ23075" s="35">
        <v>5.9846992000000002E-2</v>
      </c>
    </row>
    <row r="23076" spans="103:104" x14ac:dyDescent="0.3">
      <c r="CY23076" s="34" t="s">
        <v>24003</v>
      </c>
      <c r="CZ23076" s="35">
        <v>5.6423207999999996E-2</v>
      </c>
    </row>
    <row r="23077" spans="103:104" x14ac:dyDescent="0.3">
      <c r="CY23077" s="34" t="s">
        <v>24004</v>
      </c>
      <c r="CZ23077" s="35">
        <v>7.4031239999999984E-2</v>
      </c>
    </row>
    <row r="23078" spans="103:104" x14ac:dyDescent="0.3">
      <c r="CY23078" s="34" t="s">
        <v>24005</v>
      </c>
      <c r="CZ23078" s="35">
        <v>1.3445511339870589E-2</v>
      </c>
    </row>
    <row r="23079" spans="103:104" x14ac:dyDescent="0.3">
      <c r="CY23079" s="34" t="s">
        <v>24006</v>
      </c>
      <c r="CZ23079" s="35">
        <v>0.29646155555555559</v>
      </c>
    </row>
    <row r="23080" spans="103:104" x14ac:dyDescent="0.3">
      <c r="CY23080" s="34" t="s">
        <v>24007</v>
      </c>
      <c r="CZ23080" s="35">
        <v>7.8347813333333339E-3</v>
      </c>
    </row>
    <row r="23081" spans="103:104" x14ac:dyDescent="0.3">
      <c r="CY23081" s="34" t="s">
        <v>24008</v>
      </c>
      <c r="CZ23081" s="35">
        <v>1.2649340000000001E-3</v>
      </c>
    </row>
    <row r="23082" spans="103:104" x14ac:dyDescent="0.3">
      <c r="CY23082" s="34" t="s">
        <v>24009</v>
      </c>
      <c r="CZ23082" s="35">
        <v>3.0505366666666671E-3</v>
      </c>
    </row>
    <row r="23083" spans="103:104" x14ac:dyDescent="0.3">
      <c r="CY23083" s="34" t="s">
        <v>24010</v>
      </c>
      <c r="CZ23083" s="35">
        <v>5.0263252E-3</v>
      </c>
    </row>
    <row r="23084" spans="103:104" x14ac:dyDescent="0.3">
      <c r="CY23084" s="34" t="s">
        <v>24011</v>
      </c>
      <c r="CZ23084" s="35">
        <v>4.8389840000000005E-4</v>
      </c>
    </row>
    <row r="23085" spans="103:104" x14ac:dyDescent="0.3">
      <c r="CY23085" s="34" t="s">
        <v>24012</v>
      </c>
      <c r="CZ23085" s="35">
        <v>2.7681508000000003E-3</v>
      </c>
    </row>
    <row r="23086" spans="103:104" x14ac:dyDescent="0.3">
      <c r="CY23086" s="34" t="s">
        <v>24013</v>
      </c>
      <c r="CZ23086" s="35">
        <v>4.8707650666666661E-3</v>
      </c>
    </row>
    <row r="23087" spans="103:104" x14ac:dyDescent="0.3">
      <c r="CY23087" s="34" t="s">
        <v>24014</v>
      </c>
      <c r="CZ23087" s="35">
        <v>3.0698116000000002E-4</v>
      </c>
    </row>
    <row r="23088" spans="103:104" x14ac:dyDescent="0.3">
      <c r="CY23088" s="34" t="s">
        <v>24015</v>
      </c>
      <c r="CZ23088" s="35">
        <v>6.8612191999999992E-3</v>
      </c>
    </row>
    <row r="23089" spans="103:104" x14ac:dyDescent="0.3">
      <c r="CY23089" s="34" t="s">
        <v>24016</v>
      </c>
      <c r="CZ23089" s="35">
        <v>8.9271239999999998E-3</v>
      </c>
    </row>
    <row r="23090" spans="103:104" x14ac:dyDescent="0.3">
      <c r="CY23090" s="34" t="s">
        <v>24017</v>
      </c>
      <c r="CZ23090" s="35">
        <v>1.0724767999999999E-2</v>
      </c>
    </row>
    <row r="23091" spans="103:104" x14ac:dyDescent="0.3">
      <c r="CY23091" s="34" t="s">
        <v>24018</v>
      </c>
      <c r="CZ23091" s="35">
        <v>1.1728082352941177E-2</v>
      </c>
    </row>
    <row r="23092" spans="103:104" x14ac:dyDescent="0.3">
      <c r="CY23092" s="34" t="s">
        <v>24019</v>
      </c>
      <c r="CZ23092" s="35">
        <v>1.4417697599999998E-2</v>
      </c>
    </row>
    <row r="23093" spans="103:104" x14ac:dyDescent="0.3">
      <c r="CY23093" s="34" t="s">
        <v>24020</v>
      </c>
      <c r="CZ23093" s="35">
        <v>2.7247405882352943E-2</v>
      </c>
    </row>
    <row r="23094" spans="103:104" x14ac:dyDescent="0.3">
      <c r="CY23094" s="34" t="s">
        <v>24021</v>
      </c>
      <c r="CZ23094" s="35">
        <v>1.7097232E-2</v>
      </c>
    </row>
    <row r="23095" spans="103:104" x14ac:dyDescent="0.3">
      <c r="CY23095" s="34" t="s">
        <v>24022</v>
      </c>
      <c r="CZ23095" s="35">
        <v>2.2077728000000001E-2</v>
      </c>
    </row>
    <row r="23096" spans="103:104" x14ac:dyDescent="0.3">
      <c r="CY23096" s="34" t="s">
        <v>24023</v>
      </c>
      <c r="CZ23096" s="35">
        <v>3.3092746666666673E-2</v>
      </c>
    </row>
    <row r="23097" spans="103:104" x14ac:dyDescent="0.3">
      <c r="CY23097" s="34" t="s">
        <v>24024</v>
      </c>
      <c r="CZ23097" s="35">
        <v>3.8069799800000005E-2</v>
      </c>
    </row>
    <row r="23098" spans="103:104" x14ac:dyDescent="0.3">
      <c r="CY23098" s="34" t="s">
        <v>24025</v>
      </c>
      <c r="CZ23098" s="35">
        <v>4.0928630800000004E-2</v>
      </c>
    </row>
    <row r="23099" spans="103:104" x14ac:dyDescent="0.3">
      <c r="CY23099" s="34" t="s">
        <v>24026</v>
      </c>
      <c r="CZ23099" s="35">
        <v>7.8771306666666666E-2</v>
      </c>
    </row>
    <row r="23100" spans="103:104" x14ac:dyDescent="0.3">
      <c r="CY23100" s="34" t="s">
        <v>24027</v>
      </c>
      <c r="CZ23100" s="35">
        <v>4.9371760000000001E-2</v>
      </c>
    </row>
    <row r="23101" spans="103:104" x14ac:dyDescent="0.3">
      <c r="CY23101" s="34" t="s">
        <v>24028</v>
      </c>
      <c r="CZ23101" s="35">
        <v>4.7861290000000001E-3</v>
      </c>
    </row>
    <row r="23102" spans="103:104" x14ac:dyDescent="0.3">
      <c r="CY23102" s="34" t="s">
        <v>24029</v>
      </c>
      <c r="CZ23102" s="35">
        <v>0.14937551509803926</v>
      </c>
    </row>
    <row r="23103" spans="103:104" x14ac:dyDescent="0.3">
      <c r="CY23103" s="34" t="s">
        <v>24030</v>
      </c>
      <c r="CZ23103" s="35">
        <v>0.17922971999999998</v>
      </c>
    </row>
    <row r="23104" spans="103:104" x14ac:dyDescent="0.3">
      <c r="CY23104" s="34" t="s">
        <v>24031</v>
      </c>
      <c r="CZ23104" s="35">
        <v>1.1018506400000001E-2</v>
      </c>
    </row>
    <row r="23105" spans="103:104" x14ac:dyDescent="0.3">
      <c r="CY23105" s="34" t="s">
        <v>24032</v>
      </c>
      <c r="CZ23105" s="35">
        <v>3.0965742399999999E-2</v>
      </c>
    </row>
    <row r="23106" spans="103:104" x14ac:dyDescent="0.3">
      <c r="CY23106" s="34" t="s">
        <v>24033</v>
      </c>
      <c r="CZ23106" s="35">
        <v>3.2757568000000001E-2</v>
      </c>
    </row>
    <row r="23107" spans="103:104" x14ac:dyDescent="0.3">
      <c r="CY23107" s="34" t="s">
        <v>24034</v>
      </c>
      <c r="CZ23107" s="35">
        <v>2.5828326E-3</v>
      </c>
    </row>
    <row r="23108" spans="103:104" x14ac:dyDescent="0.3">
      <c r="CY23108" s="34" t="s">
        <v>24035</v>
      </c>
      <c r="CZ23108" s="35">
        <v>3.5201687999999996E-3</v>
      </c>
    </row>
    <row r="23109" spans="103:104" x14ac:dyDescent="0.3">
      <c r="CY23109" s="34" t="s">
        <v>24036</v>
      </c>
      <c r="CZ23109" s="35">
        <v>2.2453318400000005E-2</v>
      </c>
    </row>
    <row r="23110" spans="103:104" x14ac:dyDescent="0.3">
      <c r="CY23110" s="34" t="s">
        <v>24037</v>
      </c>
      <c r="CZ23110" s="35">
        <v>1.4133823999999998E-2</v>
      </c>
    </row>
    <row r="23111" spans="103:104" x14ac:dyDescent="0.3">
      <c r="CY23111" s="34" t="s">
        <v>24038</v>
      </c>
      <c r="CZ23111" s="35">
        <v>1.4156682800000001E-2</v>
      </c>
    </row>
    <row r="23112" spans="103:104" x14ac:dyDescent="0.3">
      <c r="CY23112" s="34" t="s">
        <v>24039</v>
      </c>
      <c r="CZ23112" s="35">
        <v>1.00040184E-2</v>
      </c>
    </row>
    <row r="23113" spans="103:104" x14ac:dyDescent="0.3">
      <c r="CY23113" s="34" t="s">
        <v>24040</v>
      </c>
      <c r="CZ23113" s="35">
        <v>2.0589744E-2</v>
      </c>
    </row>
    <row r="23114" spans="103:104" x14ac:dyDescent="0.3">
      <c r="CY23114" s="34" t="s">
        <v>24041</v>
      </c>
      <c r="CZ23114" s="35">
        <v>1.7369774000000001E-3</v>
      </c>
    </row>
    <row r="23115" spans="103:104" x14ac:dyDescent="0.3">
      <c r="CY23115" s="34" t="s">
        <v>24042</v>
      </c>
      <c r="CZ23115" s="35">
        <v>1.3635382200000001E-2</v>
      </c>
    </row>
    <row r="23116" spans="103:104" x14ac:dyDescent="0.3">
      <c r="CY23116" s="34" t="s">
        <v>24043</v>
      </c>
      <c r="CZ23116" s="35">
        <v>1.3778281225000001E-2</v>
      </c>
    </row>
    <row r="23117" spans="103:104" x14ac:dyDescent="0.3">
      <c r="CY23117" s="34" t="s">
        <v>24044</v>
      </c>
      <c r="CZ23117" s="35">
        <v>1.4075029374999999E-2</v>
      </c>
    </row>
    <row r="23118" spans="103:104" x14ac:dyDescent="0.3">
      <c r="CY23118" s="34" t="s">
        <v>24045</v>
      </c>
      <c r="CZ23118" s="35">
        <v>4.700074185E-2</v>
      </c>
    </row>
    <row r="23119" spans="103:104" x14ac:dyDescent="0.3">
      <c r="CY23119" s="34" t="s">
        <v>24046</v>
      </c>
      <c r="CZ23119" s="35">
        <v>4.3812667999999992E-2</v>
      </c>
    </row>
    <row r="23120" spans="103:104" x14ac:dyDescent="0.3">
      <c r="CY23120" s="34" t="s">
        <v>24047</v>
      </c>
      <c r="CZ23120" s="35">
        <v>4.2979628000000006E-2</v>
      </c>
    </row>
    <row r="23121" spans="103:104" x14ac:dyDescent="0.3">
      <c r="CY23121" s="34" t="s">
        <v>24048</v>
      </c>
      <c r="CZ23121" s="35">
        <v>4.700074185E-2</v>
      </c>
    </row>
    <row r="23122" spans="103:104" x14ac:dyDescent="0.3">
      <c r="CY23122" s="34" t="s">
        <v>24049</v>
      </c>
      <c r="CZ23122" s="35">
        <v>4.3812667999999999E-2</v>
      </c>
    </row>
    <row r="23123" spans="103:104" x14ac:dyDescent="0.3">
      <c r="CY23123" s="34" t="s">
        <v>24050</v>
      </c>
      <c r="CZ23123" s="35">
        <v>4.2979627999999999E-2</v>
      </c>
    </row>
    <row r="23124" spans="103:104" x14ac:dyDescent="0.3">
      <c r="CY23124" s="34" t="s">
        <v>24051</v>
      </c>
      <c r="CZ23124" s="35">
        <v>1.5635751600000001E-2</v>
      </c>
    </row>
    <row r="23125" spans="103:104" x14ac:dyDescent="0.3">
      <c r="CY23125" s="34" t="s">
        <v>24052</v>
      </c>
      <c r="CZ23125" s="35">
        <v>2.8883993599999998E-2</v>
      </c>
    </row>
    <row r="23126" spans="103:104" x14ac:dyDescent="0.3">
      <c r="CY23126" s="34" t="s">
        <v>24053</v>
      </c>
      <c r="CZ23126" s="35">
        <v>2.8961210562500003E-2</v>
      </c>
    </row>
    <row r="23127" spans="103:104" x14ac:dyDescent="0.3">
      <c r="CY23127" s="34" t="s">
        <v>24054</v>
      </c>
      <c r="CZ23127" s="35">
        <v>1.5635751600000001E-2</v>
      </c>
    </row>
    <row r="23128" spans="103:104" x14ac:dyDescent="0.3">
      <c r="CY23128" s="34" t="s">
        <v>24055</v>
      </c>
      <c r="CZ23128" s="35">
        <v>2.8883993600000001E-2</v>
      </c>
    </row>
    <row r="23129" spans="103:104" x14ac:dyDescent="0.3">
      <c r="CY23129" s="34" t="s">
        <v>24056</v>
      </c>
      <c r="CZ23129" s="35">
        <v>2.8961210625000001E-2</v>
      </c>
    </row>
    <row r="23130" spans="103:104" x14ac:dyDescent="0.3">
      <c r="CY23130" s="34" t="s">
        <v>24057</v>
      </c>
      <c r="CZ23130" s="35">
        <v>7.1349221600000004E-3</v>
      </c>
    </row>
    <row r="23131" spans="103:104" x14ac:dyDescent="0.3">
      <c r="CY23131" s="34" t="s">
        <v>24058</v>
      </c>
      <c r="CZ23131" s="35">
        <v>3.9000248800000002E-3</v>
      </c>
    </row>
    <row r="23132" spans="103:104" x14ac:dyDescent="0.3">
      <c r="CY23132" s="34" t="s">
        <v>24059</v>
      </c>
      <c r="CZ23132" s="35">
        <v>4.0616836000000002E-3</v>
      </c>
    </row>
    <row r="23133" spans="103:104" x14ac:dyDescent="0.3">
      <c r="CY23133" s="34" t="s">
        <v>24060</v>
      </c>
      <c r="CZ23133" s="35">
        <v>2.1770679999999999E-3</v>
      </c>
    </row>
    <row r="23134" spans="103:104" x14ac:dyDescent="0.3">
      <c r="CY23134" s="34" t="s">
        <v>24061</v>
      </c>
      <c r="CZ23134" s="35">
        <v>5.6812713850000002E-2</v>
      </c>
    </row>
    <row r="23135" spans="103:104" x14ac:dyDescent="0.3">
      <c r="CY23135" s="34" t="s">
        <v>24062</v>
      </c>
      <c r="CZ23135" s="35">
        <v>1.5548920000000001E-2</v>
      </c>
    </row>
    <row r="23136" spans="103:104" x14ac:dyDescent="0.3">
      <c r="CY23136" s="34" t="s">
        <v>24063</v>
      </c>
      <c r="CZ23136" s="35">
        <v>3.6356800000000005E-3</v>
      </c>
    </row>
    <row r="23137" spans="103:104" x14ac:dyDescent="0.3">
      <c r="CY23137" s="34" t="s">
        <v>24064</v>
      </c>
      <c r="CZ23137" s="35">
        <v>4.6267639999999994E-3</v>
      </c>
    </row>
    <row r="23138" spans="103:104" x14ac:dyDescent="0.3">
      <c r="CY23138" s="34" t="s">
        <v>24065</v>
      </c>
      <c r="CZ23138" s="35">
        <v>1.5964752999999998E-2</v>
      </c>
    </row>
    <row r="23139" spans="103:104" x14ac:dyDescent="0.3">
      <c r="CY23139" s="34" t="s">
        <v>24066</v>
      </c>
      <c r="CZ23139" s="35">
        <v>1.5964753000000002E-2</v>
      </c>
    </row>
    <row r="23140" spans="103:104" x14ac:dyDescent="0.3">
      <c r="CY23140" s="34" t="s">
        <v>24067</v>
      </c>
      <c r="CZ23140" s="35">
        <v>8.321404000000001E-3</v>
      </c>
    </row>
    <row r="23141" spans="103:104" x14ac:dyDescent="0.3">
      <c r="CY23141" s="34" t="s">
        <v>24068</v>
      </c>
      <c r="CZ23141" s="35">
        <v>1.4463337200000001E-2</v>
      </c>
    </row>
    <row r="23142" spans="103:104" x14ac:dyDescent="0.3">
      <c r="CY23142" s="34" t="s">
        <v>24069</v>
      </c>
      <c r="CZ23142" s="35">
        <v>6.7271365124999998E-3</v>
      </c>
    </row>
    <row r="23143" spans="103:104" x14ac:dyDescent="0.3">
      <c r="CY23143" s="34" t="s">
        <v>24070</v>
      </c>
      <c r="CZ23143" s="35">
        <v>7.0415430999999995E-3</v>
      </c>
    </row>
    <row r="23144" spans="103:104" x14ac:dyDescent="0.3">
      <c r="CY23144" s="34" t="s">
        <v>24071</v>
      </c>
      <c r="CZ23144" s="35">
        <v>1.1197664E-3</v>
      </c>
    </row>
    <row r="23145" spans="103:104" x14ac:dyDescent="0.3">
      <c r="CY23145" s="34" t="s">
        <v>24072</v>
      </c>
      <c r="CZ23145" s="35">
        <v>1.3313664E-3</v>
      </c>
    </row>
    <row r="23146" spans="103:104" x14ac:dyDescent="0.3">
      <c r="CY23146" s="34" t="s">
        <v>24073</v>
      </c>
      <c r="CZ23146" s="35">
        <v>0.2182452</v>
      </c>
    </row>
    <row r="23147" spans="103:104" x14ac:dyDescent="0.3">
      <c r="CY23147" s="34" t="s">
        <v>24074</v>
      </c>
      <c r="CZ23147" s="35">
        <v>0.32595745000000004</v>
      </c>
    </row>
    <row r="23148" spans="103:104" x14ac:dyDescent="0.3">
      <c r="CY23148" s="34" t="s">
        <v>24075</v>
      </c>
      <c r="CZ23148" s="35">
        <v>2.1155589999999998E-2</v>
      </c>
    </row>
    <row r="23149" spans="103:104" x14ac:dyDescent="0.3">
      <c r="CY23149" s="34" t="s">
        <v>24076</v>
      </c>
      <c r="CZ23149" s="35">
        <v>2.1155589999999998E-2</v>
      </c>
    </row>
    <row r="23150" spans="103:104" x14ac:dyDescent="0.3">
      <c r="CY23150" s="34" t="s">
        <v>24077</v>
      </c>
      <c r="CZ23150" s="35">
        <v>2.2693750000000002E-2</v>
      </c>
    </row>
    <row r="23151" spans="103:104" x14ac:dyDescent="0.3">
      <c r="CY23151" s="34" t="s">
        <v>24078</v>
      </c>
      <c r="CZ23151" s="35">
        <v>2.79556875E-2</v>
      </c>
    </row>
    <row r="23152" spans="103:104" x14ac:dyDescent="0.3">
      <c r="CY23152" s="34" t="s">
        <v>24079</v>
      </c>
      <c r="CZ23152" s="35">
        <v>0.29665244800000001</v>
      </c>
    </row>
    <row r="23153" spans="103:104" x14ac:dyDescent="0.3">
      <c r="CY23153" s="34" t="s">
        <v>24080</v>
      </c>
      <c r="CZ23153" s="35">
        <v>0.18931244799999999</v>
      </c>
    </row>
    <row r="23154" spans="103:104" x14ac:dyDescent="0.3">
      <c r="CY23154" s="34" t="s">
        <v>24081</v>
      </c>
      <c r="CZ23154" s="35">
        <v>9.5888617999999995E-2</v>
      </c>
    </row>
    <row r="23155" spans="103:104" x14ac:dyDescent="0.3">
      <c r="CY23155" s="34" t="s">
        <v>24082</v>
      </c>
      <c r="CZ23155" s="35">
        <v>0.27406908000000002</v>
      </c>
    </row>
    <row r="23156" spans="103:104" x14ac:dyDescent="0.3">
      <c r="CY23156" s="34" t="s">
        <v>24083</v>
      </c>
      <c r="CZ23156" s="35">
        <v>0.31004937779999997</v>
      </c>
    </row>
    <row r="23157" spans="103:104" x14ac:dyDescent="0.3">
      <c r="CY23157" s="34" t="s">
        <v>24084</v>
      </c>
      <c r="CZ23157" s="35">
        <v>0.44721584669999997</v>
      </c>
    </row>
    <row r="23158" spans="103:104" x14ac:dyDescent="0.3">
      <c r="CY23158" s="34" t="s">
        <v>24085</v>
      </c>
      <c r="CZ23158" s="35">
        <v>0.43228976669999997</v>
      </c>
    </row>
    <row r="23159" spans="103:104" x14ac:dyDescent="0.3">
      <c r="CY23159" s="34" t="s">
        <v>24086</v>
      </c>
      <c r="CZ23159" s="35">
        <v>0.49895611329999995</v>
      </c>
    </row>
    <row r="23160" spans="103:104" x14ac:dyDescent="0.3">
      <c r="CY23160" s="34" t="s">
        <v>24087</v>
      </c>
      <c r="CZ23160" s="35">
        <v>0.49895611329999995</v>
      </c>
    </row>
    <row r="23161" spans="103:104" x14ac:dyDescent="0.3">
      <c r="CY23161" s="34" t="s">
        <v>24088</v>
      </c>
      <c r="CZ23161" s="35">
        <v>5.5440746666666667E-3</v>
      </c>
    </row>
    <row r="23162" spans="103:104" x14ac:dyDescent="0.3">
      <c r="CY23162" s="34" t="s">
        <v>24089</v>
      </c>
      <c r="CZ23162" s="35">
        <v>1.2015E-2</v>
      </c>
    </row>
    <row r="23163" spans="103:104" x14ac:dyDescent="0.3">
      <c r="CY23163" s="34" t="s">
        <v>24090</v>
      </c>
      <c r="CZ23163" s="35">
        <v>1.111115E-2</v>
      </c>
    </row>
    <row r="23164" spans="103:104" x14ac:dyDescent="0.3">
      <c r="CY23164" s="34" t="s">
        <v>24091</v>
      </c>
      <c r="CZ23164" s="35">
        <v>1.1438749999999999E-2</v>
      </c>
    </row>
    <row r="23165" spans="103:104" x14ac:dyDescent="0.3">
      <c r="CY23165" s="34" t="s">
        <v>24092</v>
      </c>
      <c r="CZ23165" s="35">
        <v>1.1365950000000001E-2</v>
      </c>
    </row>
    <row r="23166" spans="103:104" x14ac:dyDescent="0.3">
      <c r="CY23166" s="34" t="s">
        <v>24093</v>
      </c>
      <c r="CZ23166" s="35">
        <v>9.1430120000000007E-3</v>
      </c>
    </row>
    <row r="23167" spans="103:104" x14ac:dyDescent="0.3">
      <c r="CY23167" s="34" t="s">
        <v>24094</v>
      </c>
      <c r="CZ23167" s="35">
        <v>2.7016112000000005E-3</v>
      </c>
    </row>
    <row r="23168" spans="103:104" x14ac:dyDescent="0.3">
      <c r="CY23168" s="34" t="s">
        <v>24095</v>
      </c>
      <c r="CZ23168" s="35">
        <v>8.3105279999999993E-4</v>
      </c>
    </row>
    <row r="23169" spans="103:104" x14ac:dyDescent="0.3">
      <c r="CY23169" s="34" t="s">
        <v>24096</v>
      </c>
      <c r="CZ23169" s="35">
        <v>4.0570519999999992E-2</v>
      </c>
    </row>
    <row r="23170" spans="103:104" x14ac:dyDescent="0.3">
      <c r="CY23170" s="34" t="s">
        <v>24097</v>
      </c>
      <c r="CZ23170" s="35">
        <v>1.6385047999999999E-2</v>
      </c>
    </row>
    <row r="23171" spans="103:104" x14ac:dyDescent="0.3">
      <c r="CY23171" s="34" t="s">
        <v>24098</v>
      </c>
      <c r="CZ23171" s="35">
        <v>0.5836312079999999</v>
      </c>
    </row>
    <row r="23172" spans="103:104" x14ac:dyDescent="0.3">
      <c r="CY23172" s="34" t="s">
        <v>24099</v>
      </c>
      <c r="CZ23172" s="35">
        <v>0.22288366402000001</v>
      </c>
    </row>
    <row r="23173" spans="103:104" x14ac:dyDescent="0.3">
      <c r="CY23173" s="34" t="s">
        <v>24100</v>
      </c>
      <c r="CZ23173" s="35">
        <v>3.0724952000000002E-3</v>
      </c>
    </row>
    <row r="23174" spans="103:104" x14ac:dyDescent="0.3">
      <c r="CY23174" s="34" t="s">
        <v>24101</v>
      </c>
      <c r="CZ23174" s="35">
        <v>2.6719019260000001E-2</v>
      </c>
    </row>
    <row r="23175" spans="103:104" x14ac:dyDescent="0.3">
      <c r="CY23175" s="34" t="s">
        <v>24102</v>
      </c>
      <c r="CZ23175" s="35">
        <v>6.4914326999999999E-3</v>
      </c>
    </row>
    <row r="23176" spans="103:104" x14ac:dyDescent="0.3">
      <c r="CY23176" s="34" t="s">
        <v>24103</v>
      </c>
      <c r="CZ23176" s="35">
        <v>0.10359760000000001</v>
      </c>
    </row>
    <row r="23177" spans="103:104" x14ac:dyDescent="0.3">
      <c r="CY23177" s="34" t="s">
        <v>24104</v>
      </c>
      <c r="CZ23177" s="35">
        <v>0.1390662</v>
      </c>
    </row>
    <row r="23178" spans="103:104" x14ac:dyDescent="0.3">
      <c r="CY23178" s="34" t="s">
        <v>24105</v>
      </c>
      <c r="CZ23178" s="35">
        <v>5.6924999999999999E-4</v>
      </c>
    </row>
    <row r="23179" spans="103:104" x14ac:dyDescent="0.3">
      <c r="CY23179" s="34" t="s">
        <v>24106</v>
      </c>
      <c r="CZ23179" s="35">
        <v>3.721322224446667E-3</v>
      </c>
    </row>
    <row r="23180" spans="103:104" x14ac:dyDescent="0.3">
      <c r="CY23180" s="34" t="s">
        <v>24107</v>
      </c>
      <c r="CZ23180" s="35">
        <v>5.6300175000000001E-2</v>
      </c>
    </row>
    <row r="23181" spans="103:104" x14ac:dyDescent="0.3">
      <c r="CY23181" s="34" t="s">
        <v>24108</v>
      </c>
      <c r="CZ23181" s="35">
        <v>5.6300175000000008E-2</v>
      </c>
    </row>
    <row r="23182" spans="103:104" x14ac:dyDescent="0.3">
      <c r="CY23182" s="34" t="s">
        <v>24109</v>
      </c>
      <c r="CZ23182" s="35">
        <v>9.13828E-2</v>
      </c>
    </row>
    <row r="23183" spans="103:104" x14ac:dyDescent="0.3">
      <c r="CY23183" s="34" t="s">
        <v>24110</v>
      </c>
      <c r="CZ23183" s="35">
        <v>2.3253434000000003E-3</v>
      </c>
    </row>
    <row r="23184" spans="103:104" x14ac:dyDescent="0.3">
      <c r="CY23184" s="34" t="s">
        <v>24111</v>
      </c>
      <c r="CZ23184" s="35">
        <v>3.105865E-2</v>
      </c>
    </row>
    <row r="23185" spans="103:104" x14ac:dyDescent="0.3">
      <c r="CY23185" s="34" t="s">
        <v>24112</v>
      </c>
      <c r="CZ23185" s="35">
        <v>5.3399048000000006E-4</v>
      </c>
    </row>
    <row r="23186" spans="103:104" x14ac:dyDescent="0.3">
      <c r="CY23186" s="34" t="s">
        <v>24113</v>
      </c>
      <c r="CZ23186" s="35">
        <v>5.3399048000000006E-4</v>
      </c>
    </row>
    <row r="23187" spans="103:104" x14ac:dyDescent="0.3">
      <c r="CY23187" s="34" t="s">
        <v>24114</v>
      </c>
      <c r="CZ23187" s="35">
        <v>5.3399048000000006E-4</v>
      </c>
    </row>
    <row r="23188" spans="103:104" x14ac:dyDescent="0.3">
      <c r="CY23188" s="34" t="s">
        <v>24115</v>
      </c>
      <c r="CZ23188" s="35">
        <v>6.7368576000000004E-4</v>
      </c>
    </row>
    <row r="23189" spans="103:104" x14ac:dyDescent="0.3">
      <c r="CY23189" s="34" t="s">
        <v>24116</v>
      </c>
      <c r="CZ23189" s="35">
        <v>2.1116875999999999E-3</v>
      </c>
    </row>
    <row r="23190" spans="103:104" x14ac:dyDescent="0.3">
      <c r="CY23190" s="34" t="s">
        <v>24117</v>
      </c>
      <c r="CZ23190" s="35">
        <v>2.5796299999999999E-3</v>
      </c>
    </row>
    <row r="23191" spans="103:104" x14ac:dyDescent="0.3">
      <c r="CY23191" s="34" t="s">
        <v>24118</v>
      </c>
      <c r="CZ23191" s="35">
        <v>1.7710037599999999E-3</v>
      </c>
    </row>
    <row r="23192" spans="103:104" x14ac:dyDescent="0.3">
      <c r="CY23192" s="34" t="s">
        <v>24119</v>
      </c>
      <c r="CZ23192" s="35">
        <v>1.7710037599999999E-3</v>
      </c>
    </row>
    <row r="23193" spans="103:104" x14ac:dyDescent="0.3">
      <c r="CY23193" s="34" t="s">
        <v>24120</v>
      </c>
      <c r="CZ23193" s="35">
        <v>9.5142084000000003E-4</v>
      </c>
    </row>
    <row r="23194" spans="103:104" x14ac:dyDescent="0.3">
      <c r="CY23194" s="34" t="s">
        <v>24121</v>
      </c>
      <c r="CZ23194" s="35">
        <v>1.7384263999999999E-3</v>
      </c>
    </row>
    <row r="23195" spans="103:104" x14ac:dyDescent="0.3">
      <c r="CY23195" s="34" t="s">
        <v>24122</v>
      </c>
      <c r="CZ23195" s="35">
        <v>2.203712E-3</v>
      </c>
    </row>
    <row r="23196" spans="103:104" x14ac:dyDescent="0.3">
      <c r="CY23196" s="34" t="s">
        <v>24123</v>
      </c>
      <c r="CZ23196" s="35">
        <v>1.23760476E-3</v>
      </c>
    </row>
    <row r="23197" spans="103:104" x14ac:dyDescent="0.3">
      <c r="CY23197" s="34" t="s">
        <v>24124</v>
      </c>
      <c r="CZ23197" s="35">
        <v>1.3444604760000001E-2</v>
      </c>
    </row>
    <row r="23198" spans="103:104" x14ac:dyDescent="0.3">
      <c r="CY23198" s="34" t="s">
        <v>24125</v>
      </c>
      <c r="CZ23198" s="35">
        <v>1.244088E-3</v>
      </c>
    </row>
    <row r="23199" spans="103:104" x14ac:dyDescent="0.3">
      <c r="CY23199" s="34" t="s">
        <v>24126</v>
      </c>
      <c r="CZ23199" s="35">
        <v>7.7258867999999994E-4</v>
      </c>
    </row>
    <row r="23200" spans="103:104" x14ac:dyDescent="0.3">
      <c r="CY23200" s="34" t="s">
        <v>24127</v>
      </c>
      <c r="CZ23200" s="35">
        <v>3.9293424999999993E-2</v>
      </c>
    </row>
    <row r="23201" spans="103:104" x14ac:dyDescent="0.3">
      <c r="CY23201" s="34" t="s">
        <v>24128</v>
      </c>
      <c r="CZ23201" s="35">
        <v>3.8227990000000003E-2</v>
      </c>
    </row>
    <row r="23202" spans="103:104" x14ac:dyDescent="0.3">
      <c r="CY23202" s="34" t="s">
        <v>24129</v>
      </c>
      <c r="CZ23202" s="35">
        <v>1.8801072592592595E-3</v>
      </c>
    </row>
    <row r="23203" spans="103:104" x14ac:dyDescent="0.3">
      <c r="CY23203" s="34" t="s">
        <v>24130</v>
      </c>
      <c r="CZ23203" s="35">
        <v>8.8572243333333342E-2</v>
      </c>
    </row>
    <row r="23204" spans="103:104" x14ac:dyDescent="0.3">
      <c r="CY23204" s="34" t="s">
        <v>24131</v>
      </c>
      <c r="CZ23204" s="35">
        <v>4.7944794999999991E-2</v>
      </c>
    </row>
    <row r="23205" spans="103:104" x14ac:dyDescent="0.3">
      <c r="CY23205" s="34" t="s">
        <v>24132</v>
      </c>
      <c r="CZ23205" s="35">
        <v>4.7944794999999998E-2</v>
      </c>
    </row>
    <row r="23206" spans="103:104" x14ac:dyDescent="0.3">
      <c r="CY23206" s="34" t="s">
        <v>24133</v>
      </c>
      <c r="CZ23206" s="35">
        <v>6.0862115000000001E-2</v>
      </c>
    </row>
    <row r="23207" spans="103:104" x14ac:dyDescent="0.3">
      <c r="CY23207" s="34" t="s">
        <v>24134</v>
      </c>
      <c r="CZ23207" s="35">
        <v>6.0862115000000001E-2</v>
      </c>
    </row>
    <row r="23208" spans="103:104" x14ac:dyDescent="0.3">
      <c r="CY23208" s="34" t="s">
        <v>24135</v>
      </c>
      <c r="CZ23208" s="35">
        <v>6.937771999999999E-2</v>
      </c>
    </row>
    <row r="23209" spans="103:104" x14ac:dyDescent="0.3">
      <c r="CY23209" s="34" t="s">
        <v>24136</v>
      </c>
      <c r="CZ23209" s="35">
        <v>6.937771999999999E-2</v>
      </c>
    </row>
    <row r="23210" spans="103:104" x14ac:dyDescent="0.3">
      <c r="CY23210" s="34" t="s">
        <v>24137</v>
      </c>
      <c r="CZ23210" s="35">
        <v>7.7644560000000001E-2</v>
      </c>
    </row>
    <row r="23211" spans="103:104" x14ac:dyDescent="0.3">
      <c r="CY23211" s="34" t="s">
        <v>24138</v>
      </c>
      <c r="CZ23211" s="35">
        <v>8.0844559999999996E-2</v>
      </c>
    </row>
    <row r="23212" spans="103:104" x14ac:dyDescent="0.3">
      <c r="CY23212" s="34" t="s">
        <v>24139</v>
      </c>
      <c r="CZ23212" s="35">
        <v>2.6945001533333333E-3</v>
      </c>
    </row>
    <row r="23213" spans="103:104" x14ac:dyDescent="0.3">
      <c r="CY23213" s="34" t="s">
        <v>24140</v>
      </c>
      <c r="CZ23213" s="35">
        <v>5.6111596999999999E-2</v>
      </c>
    </row>
    <row r="23214" spans="103:104" x14ac:dyDescent="0.3">
      <c r="CY23214" s="34" t="s">
        <v>24141</v>
      </c>
      <c r="CZ23214" s="35">
        <v>4.1904596000000002E-2</v>
      </c>
    </row>
    <row r="23215" spans="103:104" x14ac:dyDescent="0.3">
      <c r="CY23215" s="34" t="s">
        <v>24142</v>
      </c>
      <c r="CZ23215" s="35">
        <v>4.3780652000000003E-2</v>
      </c>
    </row>
    <row r="23216" spans="103:104" x14ac:dyDescent="0.3">
      <c r="CY23216" s="34" t="s">
        <v>24143</v>
      </c>
      <c r="CZ23216" s="35">
        <v>0.12601848900000001</v>
      </c>
    </row>
    <row r="23217" spans="103:104" x14ac:dyDescent="0.3">
      <c r="CY23217" s="34" t="s">
        <v>24144</v>
      </c>
      <c r="CZ23217" s="35">
        <v>2.8377587999999999E-2</v>
      </c>
    </row>
    <row r="23218" spans="103:104" x14ac:dyDescent="0.3">
      <c r="CY23218" s="34" t="s">
        <v>24145</v>
      </c>
      <c r="CZ23218" s="35">
        <v>1.2814589333333333E-2</v>
      </c>
    </row>
    <row r="23219" spans="103:104" x14ac:dyDescent="0.3">
      <c r="CY23219" s="34" t="s">
        <v>24146</v>
      </c>
      <c r="CZ23219" s="35">
        <v>0.24049580000000004</v>
      </c>
    </row>
    <row r="23220" spans="103:104" x14ac:dyDescent="0.3">
      <c r="CY23220" s="34" t="s">
        <v>24147</v>
      </c>
      <c r="CZ23220" s="35">
        <v>5.7409652000000005E-2</v>
      </c>
    </row>
    <row r="23221" spans="103:104" x14ac:dyDescent="0.3">
      <c r="CY23221" s="34" t="s">
        <v>24148</v>
      </c>
      <c r="CZ23221" s="35">
        <v>6.1576640000000002E-3</v>
      </c>
    </row>
    <row r="23222" spans="103:104" x14ac:dyDescent="0.3">
      <c r="CY23222" s="34" t="s">
        <v>24149</v>
      </c>
      <c r="CZ23222" s="35">
        <v>7.2105600000000004E-3</v>
      </c>
    </row>
    <row r="23223" spans="103:104" x14ac:dyDescent="0.3">
      <c r="CY23223" s="34" t="s">
        <v>24150</v>
      </c>
      <c r="CZ23223" s="35">
        <v>4.4745119999999999E-3</v>
      </c>
    </row>
    <row r="23224" spans="103:104" x14ac:dyDescent="0.3">
      <c r="CY23224" s="34" t="s">
        <v>24151</v>
      </c>
      <c r="CZ23224" s="35">
        <v>4.3909120000000003E-3</v>
      </c>
    </row>
    <row r="23225" spans="103:104" x14ac:dyDescent="0.3">
      <c r="CY23225" s="34" t="s">
        <v>24152</v>
      </c>
      <c r="CZ23225" s="35">
        <v>2.2312485000000001E-3</v>
      </c>
    </row>
    <row r="23226" spans="103:104" x14ac:dyDescent="0.3">
      <c r="CY23226" s="34" t="s">
        <v>24153</v>
      </c>
      <c r="CZ23226" s="35">
        <v>2.309178857142857E-3</v>
      </c>
    </row>
    <row r="23227" spans="103:104" x14ac:dyDescent="0.3">
      <c r="CY23227" s="34" t="s">
        <v>24154</v>
      </c>
      <c r="CZ23227" s="35">
        <v>0.44191040000000004</v>
      </c>
    </row>
    <row r="23228" spans="103:104" x14ac:dyDescent="0.3">
      <c r="CY23228" s="34" t="s">
        <v>24155</v>
      </c>
      <c r="CZ23228" s="35">
        <v>2.7006160000000005E-2</v>
      </c>
    </row>
    <row r="23229" spans="103:104" x14ac:dyDescent="0.3">
      <c r="CY23229" s="34" t="s">
        <v>24156</v>
      </c>
      <c r="CZ23229" s="35">
        <v>2.7006160000000005E-2</v>
      </c>
    </row>
    <row r="23230" spans="103:104" x14ac:dyDescent="0.3">
      <c r="CY23230" s="34" t="s">
        <v>24157</v>
      </c>
      <c r="CZ23230" s="35">
        <v>6.2776287999999998E-4</v>
      </c>
    </row>
    <row r="23231" spans="103:104" x14ac:dyDescent="0.3">
      <c r="CY23231" s="34" t="s">
        <v>24158</v>
      </c>
      <c r="CZ23231" s="35">
        <v>9.1870597999999994E-3</v>
      </c>
    </row>
    <row r="23232" spans="103:104" x14ac:dyDescent="0.3">
      <c r="CY23232" s="34" t="s">
        <v>24159</v>
      </c>
      <c r="CZ23232" s="35">
        <v>1.2151718799999999E-2</v>
      </c>
    </row>
    <row r="23233" spans="103:104" x14ac:dyDescent="0.3">
      <c r="CY23233" s="34" t="s">
        <v>24160</v>
      </c>
      <c r="CZ23233" s="35">
        <v>1.2151718799999999E-2</v>
      </c>
    </row>
    <row r="23234" spans="103:104" x14ac:dyDescent="0.3">
      <c r="CY23234" s="34" t="s">
        <v>24161</v>
      </c>
      <c r="CZ23234" s="35">
        <v>3.1928305600000005E-2</v>
      </c>
    </row>
    <row r="23235" spans="103:104" x14ac:dyDescent="0.3">
      <c r="CY23235" s="34" t="s">
        <v>24162</v>
      </c>
      <c r="CZ23235" s="35">
        <v>1.7849379200000001E-2</v>
      </c>
    </row>
    <row r="23236" spans="103:104" x14ac:dyDescent="0.3">
      <c r="CY23236" s="34" t="s">
        <v>24163</v>
      </c>
      <c r="CZ23236" s="35">
        <v>6.1580594000000002E-2</v>
      </c>
    </row>
    <row r="23237" spans="103:104" x14ac:dyDescent="0.3">
      <c r="CY23237" s="34" t="s">
        <v>24164</v>
      </c>
      <c r="CZ23237" s="35">
        <v>6.1580594000000009E-2</v>
      </c>
    </row>
    <row r="23238" spans="103:104" x14ac:dyDescent="0.3">
      <c r="CY23238" s="34" t="s">
        <v>24165</v>
      </c>
      <c r="CZ23238" s="35">
        <v>6.0811514000000004E-2</v>
      </c>
    </row>
    <row r="23239" spans="103:104" x14ac:dyDescent="0.3">
      <c r="CY23239" s="34" t="s">
        <v>24166</v>
      </c>
      <c r="CZ23239" s="35">
        <v>5.6325474E-2</v>
      </c>
    </row>
    <row r="23240" spans="103:104" x14ac:dyDescent="0.3">
      <c r="CY23240" s="34" t="s">
        <v>24167</v>
      </c>
      <c r="CZ23240" s="35">
        <v>5.6325474E-2</v>
      </c>
    </row>
    <row r="23241" spans="103:104" x14ac:dyDescent="0.3">
      <c r="CY23241" s="34" t="s">
        <v>24168</v>
      </c>
      <c r="CZ23241" s="35">
        <v>5.6325474E-2</v>
      </c>
    </row>
    <row r="23242" spans="103:104" x14ac:dyDescent="0.3">
      <c r="CY23242" s="34" t="s">
        <v>24169</v>
      </c>
      <c r="CZ23242" s="35">
        <v>1.504432E-2</v>
      </c>
    </row>
    <row r="23243" spans="103:104" x14ac:dyDescent="0.3">
      <c r="CY23243" s="34" t="s">
        <v>24170</v>
      </c>
      <c r="CZ23243" s="35">
        <v>1.504432E-2</v>
      </c>
    </row>
    <row r="23244" spans="103:104" x14ac:dyDescent="0.3">
      <c r="CY23244" s="34" t="s">
        <v>24171</v>
      </c>
      <c r="CZ23244" s="35">
        <v>3.0934527999999999E-2</v>
      </c>
    </row>
    <row r="23245" spans="103:104" x14ac:dyDescent="0.3">
      <c r="CY23245" s="34" t="s">
        <v>24172</v>
      </c>
      <c r="CZ23245" s="35">
        <v>4.0519449999999992E-2</v>
      </c>
    </row>
    <row r="23246" spans="103:104" x14ac:dyDescent="0.3">
      <c r="CY23246" s="34" t="s">
        <v>24173</v>
      </c>
      <c r="CZ23246" s="35">
        <v>5.3297545000000002E-2</v>
      </c>
    </row>
    <row r="23247" spans="103:104" x14ac:dyDescent="0.3">
      <c r="CY23247" s="34" t="s">
        <v>24174</v>
      </c>
      <c r="CZ23247" s="35">
        <v>6.5540742999999999E-2</v>
      </c>
    </row>
    <row r="23248" spans="103:104" x14ac:dyDescent="0.3">
      <c r="CY23248" s="34" t="s">
        <v>24175</v>
      </c>
      <c r="CZ23248" s="35">
        <v>6.1578195999999995E-3</v>
      </c>
    </row>
    <row r="23249" spans="103:104" x14ac:dyDescent="0.3">
      <c r="CY23249" s="34" t="s">
        <v>24176</v>
      </c>
      <c r="CZ23249" s="35">
        <v>2.1471454000000001E-2</v>
      </c>
    </row>
    <row r="23250" spans="103:104" x14ac:dyDescent="0.3">
      <c r="CY23250" s="34" t="s">
        <v>24177</v>
      </c>
      <c r="CZ23250" s="35">
        <v>7.6347999999999999E-2</v>
      </c>
    </row>
    <row r="23251" spans="103:104" x14ac:dyDescent="0.3">
      <c r="CY23251" s="34" t="s">
        <v>24178</v>
      </c>
      <c r="CZ23251" s="35">
        <v>2.7937688888888888E-2</v>
      </c>
    </row>
    <row r="23252" spans="103:104" x14ac:dyDescent="0.3">
      <c r="CY23252" s="34" t="s">
        <v>24179</v>
      </c>
      <c r="CZ23252" s="35">
        <v>8.3744320000000007E-4</v>
      </c>
    </row>
    <row r="23253" spans="103:104" x14ac:dyDescent="0.3">
      <c r="CY23253" s="34" t="s">
        <v>24180</v>
      </c>
      <c r="CZ23253" s="35">
        <v>3.5477992E-3</v>
      </c>
    </row>
    <row r="23254" spans="103:104" x14ac:dyDescent="0.3">
      <c r="CY23254" s="34" t="s">
        <v>24181</v>
      </c>
      <c r="CZ23254" s="35">
        <v>3.2238544000000001E-3</v>
      </c>
    </row>
    <row r="23255" spans="103:104" x14ac:dyDescent="0.3">
      <c r="CY23255" s="34" t="s">
        <v>24182</v>
      </c>
      <c r="CZ23255" s="35">
        <v>0.20282635840000002</v>
      </c>
    </row>
    <row r="23256" spans="103:104" x14ac:dyDescent="0.3">
      <c r="CY23256" s="34" t="s">
        <v>24183</v>
      </c>
      <c r="CZ23256" s="35">
        <v>9.9040643999999997E-2</v>
      </c>
    </row>
    <row r="23257" spans="103:104" x14ac:dyDescent="0.3">
      <c r="CY23257" s="34" t="s">
        <v>24184</v>
      </c>
      <c r="CZ23257" s="35">
        <v>7.810176000000002E-2</v>
      </c>
    </row>
    <row r="23258" spans="103:104" x14ac:dyDescent="0.3">
      <c r="CY23258" s="34" t="s">
        <v>24185</v>
      </c>
      <c r="CZ23258" s="35">
        <v>7.810176000000002E-2</v>
      </c>
    </row>
    <row r="23259" spans="103:104" x14ac:dyDescent="0.3">
      <c r="CY23259" s="34" t="s">
        <v>24186</v>
      </c>
      <c r="CZ23259" s="35">
        <v>0.18278202999999998</v>
      </c>
    </row>
    <row r="23260" spans="103:104" x14ac:dyDescent="0.3">
      <c r="CY23260" s="34" t="s">
        <v>24187</v>
      </c>
      <c r="CZ23260" s="35">
        <v>2.1233986800000002E-3</v>
      </c>
    </row>
    <row r="23261" spans="103:104" x14ac:dyDescent="0.3">
      <c r="CY23261" s="34" t="s">
        <v>24188</v>
      </c>
      <c r="CZ23261" s="35">
        <v>0.1914266</v>
      </c>
    </row>
    <row r="23262" spans="103:104" x14ac:dyDescent="0.3">
      <c r="CY23262" s="34" t="s">
        <v>24189</v>
      </c>
      <c r="CZ23262" s="35">
        <v>4.1430044444444446E-2</v>
      </c>
    </row>
    <row r="23263" spans="103:104" x14ac:dyDescent="0.3">
      <c r="CY23263" s="34" t="s">
        <v>24190</v>
      </c>
      <c r="CZ23263" s="35">
        <v>1.4910879999999998E-3</v>
      </c>
    </row>
    <row r="23264" spans="103:104" x14ac:dyDescent="0.3">
      <c r="CY23264" s="34" t="s">
        <v>24191</v>
      </c>
      <c r="CZ23264" s="35">
        <v>9.3471559377777791E-2</v>
      </c>
    </row>
    <row r="23265" spans="103:104" x14ac:dyDescent="0.3">
      <c r="CY23265" s="34" t="s">
        <v>24192</v>
      </c>
      <c r="CZ23265" s="35">
        <v>5.1053008000000004E-2</v>
      </c>
    </row>
    <row r="23266" spans="103:104" x14ac:dyDescent="0.3">
      <c r="CY23266" s="34" t="s">
        <v>24193</v>
      </c>
      <c r="CZ23266" s="35">
        <v>2.2071504000000002E-2</v>
      </c>
    </row>
    <row r="23267" spans="103:104" x14ac:dyDescent="0.3">
      <c r="CY23267" s="34" t="s">
        <v>24194</v>
      </c>
      <c r="CZ23267" s="35">
        <v>8.5668068666666666E-2</v>
      </c>
    </row>
    <row r="23268" spans="103:104" x14ac:dyDescent="0.3">
      <c r="CY23268" s="34" t="s">
        <v>24195</v>
      </c>
      <c r="CZ23268" s="35">
        <v>4.5981936000000001E-2</v>
      </c>
    </row>
    <row r="23269" spans="103:104" x14ac:dyDescent="0.3">
      <c r="CY23269" s="34" t="s">
        <v>24196</v>
      </c>
      <c r="CZ23269" s="35">
        <v>2.0494967999999999E-2</v>
      </c>
    </row>
    <row r="23270" spans="103:104" x14ac:dyDescent="0.3">
      <c r="CY23270" s="34" t="s">
        <v>24197</v>
      </c>
      <c r="CZ23270" s="35">
        <v>3.4361079000000003E-2</v>
      </c>
    </row>
    <row r="23271" spans="103:104" x14ac:dyDescent="0.3">
      <c r="CY23271" s="34" t="s">
        <v>24198</v>
      </c>
      <c r="CZ23271" s="35">
        <v>2.1739749400000001E-2</v>
      </c>
    </row>
    <row r="23272" spans="103:104" x14ac:dyDescent="0.3">
      <c r="CY23272" s="34" t="s">
        <v>24199</v>
      </c>
      <c r="CZ23272" s="35">
        <v>0.68534542222222228</v>
      </c>
    </row>
    <row r="23273" spans="103:104" x14ac:dyDescent="0.3">
      <c r="CY23273" s="34" t="s">
        <v>24200</v>
      </c>
      <c r="CZ23273" s="35">
        <v>3.4083491999999998E-3</v>
      </c>
    </row>
    <row r="23274" spans="103:104" x14ac:dyDescent="0.3">
      <c r="CY23274" s="34" t="s">
        <v>24201</v>
      </c>
      <c r="CZ23274" s="35">
        <v>9.8951813333333333E-2</v>
      </c>
    </row>
    <row r="23275" spans="103:104" x14ac:dyDescent="0.3">
      <c r="CY23275" s="34" t="s">
        <v>24202</v>
      </c>
      <c r="CZ23275" s="35">
        <v>9.8951780000000017E-2</v>
      </c>
    </row>
    <row r="23276" spans="103:104" x14ac:dyDescent="0.3">
      <c r="CY23276" s="34" t="s">
        <v>24203</v>
      </c>
      <c r="CZ23276" s="35">
        <v>9.8951780000000003E-2</v>
      </c>
    </row>
    <row r="23277" spans="103:104" x14ac:dyDescent="0.3">
      <c r="CY23277" s="34" t="s">
        <v>24204</v>
      </c>
      <c r="CZ23277" s="35">
        <v>0.14721320599999999</v>
      </c>
    </row>
    <row r="23278" spans="103:104" x14ac:dyDescent="0.3">
      <c r="CY23278" s="34" t="s">
        <v>24205</v>
      </c>
      <c r="CZ23278" s="35">
        <v>0.10213290398947369</v>
      </c>
    </row>
    <row r="23279" spans="103:104" x14ac:dyDescent="0.3">
      <c r="CY23279" s="34" t="s">
        <v>24206</v>
      </c>
      <c r="CZ23279" s="35">
        <v>0.10267755500000002</v>
      </c>
    </row>
    <row r="23280" spans="103:104" x14ac:dyDescent="0.3">
      <c r="CY23280" s="34" t="s">
        <v>24207</v>
      </c>
      <c r="CZ23280" s="35">
        <v>0.10120249250000002</v>
      </c>
    </row>
    <row r="23281" spans="103:104" x14ac:dyDescent="0.3">
      <c r="CY23281" s="34" t="s">
        <v>24208</v>
      </c>
      <c r="CZ23281" s="35">
        <v>4.0503984999999992E-2</v>
      </c>
    </row>
    <row r="23282" spans="103:104" x14ac:dyDescent="0.3">
      <c r="CY23282" s="34" t="s">
        <v>24209</v>
      </c>
      <c r="CZ23282" s="35">
        <v>1.6613043999999999E-3</v>
      </c>
    </row>
    <row r="23283" spans="103:104" x14ac:dyDescent="0.3">
      <c r="CY23283" s="34" t="s">
        <v>24210</v>
      </c>
      <c r="CZ23283" s="35">
        <v>3.3613728000000002E-2</v>
      </c>
    </row>
    <row r="23284" spans="103:104" x14ac:dyDescent="0.3">
      <c r="CY23284" s="34" t="s">
        <v>24211</v>
      </c>
      <c r="CZ23284" s="35">
        <v>2.3561662857142861E-2</v>
      </c>
    </row>
    <row r="23285" spans="103:104" x14ac:dyDescent="0.3">
      <c r="CY23285" s="34" t="s">
        <v>24212</v>
      </c>
      <c r="CZ23285" s="35">
        <v>0.17260039999999999</v>
      </c>
    </row>
    <row r="23286" spans="103:104" x14ac:dyDescent="0.3">
      <c r="CY23286" s="34" t="s">
        <v>24213</v>
      </c>
      <c r="CZ23286" s="35">
        <v>9.1587290000000007E-4</v>
      </c>
    </row>
    <row r="23287" spans="103:104" x14ac:dyDescent="0.3">
      <c r="CY23287" s="34" t="s">
        <v>24214</v>
      </c>
      <c r="CZ23287" s="35">
        <v>9.7632189999999994E-2</v>
      </c>
    </row>
    <row r="23288" spans="103:104" x14ac:dyDescent="0.3">
      <c r="CY23288" s="34" t="s">
        <v>24215</v>
      </c>
      <c r="CZ23288" s="35">
        <v>2.7270799999999998E-3</v>
      </c>
    </row>
    <row r="23289" spans="103:104" x14ac:dyDescent="0.3">
      <c r="CY23289" s="34" t="s">
        <v>24216</v>
      </c>
      <c r="CZ23289" s="35">
        <v>2.5896919999999998E-3</v>
      </c>
    </row>
    <row r="23290" spans="103:104" x14ac:dyDescent="0.3">
      <c r="CY23290" s="34" t="s">
        <v>24217</v>
      </c>
      <c r="CZ23290" s="35">
        <v>2.2660793333333334E-3</v>
      </c>
    </row>
    <row r="23291" spans="103:104" x14ac:dyDescent="0.3">
      <c r="CY23291" s="34" t="s">
        <v>24218</v>
      </c>
      <c r="CZ23291" s="35">
        <v>2.5032783333333336E-2</v>
      </c>
    </row>
    <row r="23292" spans="103:104" x14ac:dyDescent="0.3">
      <c r="CY23292" s="34" t="s">
        <v>24219</v>
      </c>
      <c r="CZ23292" s="35">
        <v>3.2719799999999999E-3</v>
      </c>
    </row>
    <row r="23293" spans="103:104" x14ac:dyDescent="0.3">
      <c r="CY23293" s="34" t="s">
        <v>24220</v>
      </c>
      <c r="CZ23293" s="35">
        <v>2.6186299999999999E-2</v>
      </c>
    </row>
    <row r="23294" spans="103:104" x14ac:dyDescent="0.3">
      <c r="CY23294" s="34" t="s">
        <v>24221</v>
      </c>
      <c r="CZ23294" s="35">
        <v>4.7589210000000002E-3</v>
      </c>
    </row>
    <row r="23295" spans="103:104" x14ac:dyDescent="0.3">
      <c r="CY23295" s="34" t="s">
        <v>24222</v>
      </c>
      <c r="CZ23295" s="35">
        <v>3.5399335999999997E-3</v>
      </c>
    </row>
    <row r="23296" spans="103:104" x14ac:dyDescent="0.3">
      <c r="CY23296" s="34" t="s">
        <v>24223</v>
      </c>
      <c r="CZ23296" s="35">
        <v>2.5726876571428572E-3</v>
      </c>
    </row>
    <row r="23297" spans="103:104" x14ac:dyDescent="0.3">
      <c r="CY23297" s="34" t="s">
        <v>24224</v>
      </c>
      <c r="CZ23297" s="35">
        <v>2.8622005333333333E-3</v>
      </c>
    </row>
    <row r="23298" spans="103:104" x14ac:dyDescent="0.3">
      <c r="CY23298" s="34" t="s">
        <v>24225</v>
      </c>
      <c r="CZ23298" s="35">
        <v>4.0935659999999999E-3</v>
      </c>
    </row>
    <row r="23299" spans="103:104" x14ac:dyDescent="0.3">
      <c r="CY23299" s="34" t="s">
        <v>24226</v>
      </c>
      <c r="CZ23299" s="35">
        <v>4.7309960000000003E-3</v>
      </c>
    </row>
    <row r="23300" spans="103:104" x14ac:dyDescent="0.3">
      <c r="CY23300" s="34" t="s">
        <v>24227</v>
      </c>
      <c r="CZ23300" s="35">
        <v>3.9549277174515231E-3</v>
      </c>
    </row>
    <row r="23301" spans="103:104" x14ac:dyDescent="0.3">
      <c r="CY23301" s="34" t="s">
        <v>24228</v>
      </c>
      <c r="CZ23301" s="35">
        <v>1.1310356000000001E-2</v>
      </c>
    </row>
    <row r="23302" spans="103:104" x14ac:dyDescent="0.3">
      <c r="CY23302" s="34" t="s">
        <v>24229</v>
      </c>
      <c r="CZ23302" s="35">
        <v>1.1310356000000001E-2</v>
      </c>
    </row>
    <row r="23303" spans="103:104" x14ac:dyDescent="0.3">
      <c r="CY23303" s="34" t="s">
        <v>24230</v>
      </c>
      <c r="CZ23303" s="35">
        <v>0.36788137333333332</v>
      </c>
    </row>
    <row r="23304" spans="103:104" x14ac:dyDescent="0.3">
      <c r="CY23304" s="34" t="s">
        <v>24231</v>
      </c>
      <c r="CZ23304" s="35">
        <v>0.35601375000000002</v>
      </c>
    </row>
    <row r="23305" spans="103:104" x14ac:dyDescent="0.3">
      <c r="CY23305" s="34" t="s">
        <v>24232</v>
      </c>
      <c r="CZ23305" s="35">
        <v>0.38829799999999998</v>
      </c>
    </row>
    <row r="23306" spans="103:104" x14ac:dyDescent="0.3">
      <c r="CY23306" s="34" t="s">
        <v>24233</v>
      </c>
      <c r="CZ23306" s="35">
        <v>2.973342952E-2</v>
      </c>
    </row>
    <row r="23307" spans="103:104" x14ac:dyDescent="0.3">
      <c r="CY23307" s="34" t="s">
        <v>24234</v>
      </c>
      <c r="CZ23307" s="35">
        <v>5.3038090000000003E-2</v>
      </c>
    </row>
    <row r="23308" spans="103:104" x14ac:dyDescent="0.3">
      <c r="CY23308" s="34" t="s">
        <v>24235</v>
      </c>
      <c r="CZ23308" s="35">
        <v>2.1248340566666666E-2</v>
      </c>
    </row>
    <row r="23309" spans="103:104" x14ac:dyDescent="0.3">
      <c r="CY23309" s="34" t="s">
        <v>24236</v>
      </c>
      <c r="CZ23309" s="35">
        <v>3.8053034652173919E-2</v>
      </c>
    </row>
    <row r="23310" spans="103:104" x14ac:dyDescent="0.3">
      <c r="CY23310" s="34" t="s">
        <v>24237</v>
      </c>
      <c r="CZ23310" s="35">
        <v>3.9646943999999996E-2</v>
      </c>
    </row>
    <row r="23311" spans="103:104" x14ac:dyDescent="0.3">
      <c r="CY23311" s="34" t="s">
        <v>24238</v>
      </c>
      <c r="CZ23311" s="35">
        <v>5.0840544000000001E-2</v>
      </c>
    </row>
    <row r="23312" spans="103:104" x14ac:dyDescent="0.3">
      <c r="CY23312" s="34" t="s">
        <v>24239</v>
      </c>
      <c r="CZ23312" s="35">
        <v>3.9747743999999995E-2</v>
      </c>
    </row>
    <row r="23313" spans="103:104" x14ac:dyDescent="0.3">
      <c r="CY23313" s="34" t="s">
        <v>24240</v>
      </c>
      <c r="CZ23313" s="35">
        <v>5.0941344E-2</v>
      </c>
    </row>
    <row r="23314" spans="103:104" x14ac:dyDescent="0.3">
      <c r="CY23314" s="34" t="s">
        <v>24241</v>
      </c>
      <c r="CZ23314" s="35">
        <v>1.3596249999999999E-2</v>
      </c>
    </row>
    <row r="23315" spans="103:104" x14ac:dyDescent="0.3">
      <c r="CY23315" s="34" t="s">
        <v>24242</v>
      </c>
      <c r="CZ23315" s="35">
        <v>3.5499999999999998E-3</v>
      </c>
    </row>
    <row r="23316" spans="103:104" x14ac:dyDescent="0.3">
      <c r="CY23316" s="34" t="s">
        <v>24243</v>
      </c>
      <c r="CZ23316" s="35">
        <v>5.7173503000000001E-2</v>
      </c>
    </row>
    <row r="23317" spans="103:104" x14ac:dyDescent="0.3">
      <c r="CY23317" s="34" t="s">
        <v>24244</v>
      </c>
      <c r="CZ23317" s="35">
        <v>4.8270144000000001E-2</v>
      </c>
    </row>
    <row r="23318" spans="103:104" x14ac:dyDescent="0.3">
      <c r="CY23318" s="34" t="s">
        <v>24245</v>
      </c>
      <c r="CZ23318" s="35">
        <v>5.4513800000000001E-2</v>
      </c>
    </row>
    <row r="23319" spans="103:104" x14ac:dyDescent="0.3">
      <c r="CY23319" s="34" t="s">
        <v>24246</v>
      </c>
      <c r="CZ23319" s="35">
        <v>3.6569369400000003E-2</v>
      </c>
    </row>
    <row r="23320" spans="103:104" x14ac:dyDescent="0.3">
      <c r="CY23320" s="34" t="s">
        <v>24247</v>
      </c>
      <c r="CZ23320" s="35">
        <v>1.1554642E-2</v>
      </c>
    </row>
    <row r="23321" spans="103:104" x14ac:dyDescent="0.3">
      <c r="CY23321" s="34" t="s">
        <v>24248</v>
      </c>
      <c r="CZ23321" s="35">
        <v>0.11338858400000001</v>
      </c>
    </row>
    <row r="23322" spans="103:104" x14ac:dyDescent="0.3">
      <c r="CY23322" s="34" t="s">
        <v>24249</v>
      </c>
      <c r="CZ23322" s="35">
        <v>0.11338858400000001</v>
      </c>
    </row>
    <row r="23323" spans="103:104" x14ac:dyDescent="0.3">
      <c r="CY23323" s="34" t="s">
        <v>24250</v>
      </c>
      <c r="CZ23323" s="35">
        <v>6.3980031999999992E-2</v>
      </c>
    </row>
    <row r="23324" spans="103:104" x14ac:dyDescent="0.3">
      <c r="CY23324" s="34" t="s">
        <v>24251</v>
      </c>
      <c r="CZ23324" s="35">
        <v>2.0921926000000004E-2</v>
      </c>
    </row>
    <row r="23325" spans="103:104" x14ac:dyDescent="0.3">
      <c r="CY23325" s="34" t="s">
        <v>24252</v>
      </c>
      <c r="CZ23325" s="35">
        <v>2.3204240000000006E-3</v>
      </c>
    </row>
    <row r="23326" spans="103:104" x14ac:dyDescent="0.3">
      <c r="CY23326" s="34" t="s">
        <v>24253</v>
      </c>
      <c r="CZ23326" s="35">
        <v>4.1608333333333332E-3</v>
      </c>
    </row>
    <row r="23327" spans="103:104" x14ac:dyDescent="0.3">
      <c r="CY23327" s="34" t="s">
        <v>24254</v>
      </c>
      <c r="CZ23327" s="35">
        <v>1.2932642399999998E-3</v>
      </c>
    </row>
    <row r="23328" spans="103:104" x14ac:dyDescent="0.3">
      <c r="CY23328" s="34" t="s">
        <v>24255</v>
      </c>
      <c r="CZ23328" s="35">
        <v>2.3936249999999999E-2</v>
      </c>
    </row>
    <row r="23329" spans="103:104" x14ac:dyDescent="0.3">
      <c r="CY23329" s="34" t="s">
        <v>24256</v>
      </c>
      <c r="CZ23329" s="35">
        <v>2.7101895000000001E-2</v>
      </c>
    </row>
    <row r="23330" spans="103:104" x14ac:dyDescent="0.3">
      <c r="CY23330" s="34" t="s">
        <v>24257</v>
      </c>
      <c r="CZ23330" s="35">
        <v>0.24602891112</v>
      </c>
    </row>
    <row r="23331" spans="103:104" x14ac:dyDescent="0.3">
      <c r="CY23331" s="34" t="s">
        <v>24258</v>
      </c>
      <c r="CZ23331" s="35">
        <v>0.3882796</v>
      </c>
    </row>
    <row r="23332" spans="103:104" x14ac:dyDescent="0.3">
      <c r="CY23332" s="34" t="s">
        <v>24259</v>
      </c>
      <c r="CZ23332" s="35">
        <v>0.40828920000000002</v>
      </c>
    </row>
    <row r="23333" spans="103:104" x14ac:dyDescent="0.3">
      <c r="CY23333" s="34" t="s">
        <v>24260</v>
      </c>
      <c r="CZ23333" s="35">
        <v>0.56508083331250003</v>
      </c>
    </row>
    <row r="23334" spans="103:104" x14ac:dyDescent="0.3">
      <c r="CY23334" s="34" t="s">
        <v>24261</v>
      </c>
      <c r="CZ23334" s="35">
        <v>0.5007053333125</v>
      </c>
    </row>
    <row r="23335" spans="103:104" x14ac:dyDescent="0.3">
      <c r="CY23335" s="34" t="s">
        <v>24262</v>
      </c>
      <c r="CZ23335" s="35">
        <v>0.56508083331250003</v>
      </c>
    </row>
    <row r="23336" spans="103:104" x14ac:dyDescent="0.3">
      <c r="CY23336" s="34" t="s">
        <v>24263</v>
      </c>
      <c r="CZ23336" s="35">
        <v>0.5007053333125</v>
      </c>
    </row>
    <row r="23337" spans="103:104" x14ac:dyDescent="0.3">
      <c r="CY23337" s="34" t="s">
        <v>24264</v>
      </c>
      <c r="CZ23337" s="35">
        <v>0.56508083331250003</v>
      </c>
    </row>
    <row r="23338" spans="103:104" x14ac:dyDescent="0.3">
      <c r="CY23338" s="34" t="s">
        <v>24265</v>
      </c>
      <c r="CZ23338" s="35">
        <v>0.5007053333125</v>
      </c>
    </row>
    <row r="23339" spans="103:104" x14ac:dyDescent="0.3">
      <c r="CY23339" s="34" t="s">
        <v>24266</v>
      </c>
      <c r="CZ23339" s="35">
        <v>0.53072483331250009</v>
      </c>
    </row>
    <row r="23340" spans="103:104" x14ac:dyDescent="0.3">
      <c r="CY23340" s="34" t="s">
        <v>24267</v>
      </c>
      <c r="CZ23340" s="35">
        <v>0.94750133331249997</v>
      </c>
    </row>
    <row r="23341" spans="103:104" x14ac:dyDescent="0.3">
      <c r="CY23341" s="34" t="s">
        <v>24268</v>
      </c>
      <c r="CZ23341" s="35">
        <v>3.194232E-3</v>
      </c>
    </row>
    <row r="23342" spans="103:104" x14ac:dyDescent="0.3">
      <c r="CY23342" s="34" t="s">
        <v>24269</v>
      </c>
      <c r="CZ23342" s="35">
        <v>5.1434349999999997E-2</v>
      </c>
    </row>
    <row r="23343" spans="103:104" x14ac:dyDescent="0.3">
      <c r="CY23343" s="34" t="s">
        <v>24270</v>
      </c>
      <c r="CZ23343" s="35">
        <v>3.2857999999999997E-4</v>
      </c>
    </row>
    <row r="23344" spans="103:104" x14ac:dyDescent="0.3">
      <c r="CY23344" s="34" t="s">
        <v>24271</v>
      </c>
      <c r="CZ23344" s="35">
        <v>1.2218680520000002E-2</v>
      </c>
    </row>
    <row r="23345" spans="103:104" x14ac:dyDescent="0.3">
      <c r="CY23345" s="34" t="s">
        <v>24272</v>
      </c>
      <c r="CZ23345" s="35">
        <v>4.3432499999999999E-2</v>
      </c>
    </row>
    <row r="23346" spans="103:104" x14ac:dyDescent="0.3">
      <c r="CY23346" s="34" t="s">
        <v>24273</v>
      </c>
      <c r="CZ23346" s="35">
        <v>2.4925640000000002E-2</v>
      </c>
    </row>
    <row r="23347" spans="103:104" x14ac:dyDescent="0.3">
      <c r="CY23347" s="34" t="s">
        <v>24274</v>
      </c>
      <c r="CZ23347" s="35">
        <v>2.432964E-2</v>
      </c>
    </row>
    <row r="23348" spans="103:104" x14ac:dyDescent="0.3">
      <c r="CY23348" s="34" t="s">
        <v>24275</v>
      </c>
      <c r="CZ23348" s="35">
        <v>2.472836E-3</v>
      </c>
    </row>
    <row r="23349" spans="103:104" x14ac:dyDescent="0.3">
      <c r="CY23349" s="34" t="s">
        <v>24276</v>
      </c>
      <c r="CZ23349" s="35">
        <v>1.3942835999999998E-3</v>
      </c>
    </row>
    <row r="23350" spans="103:104" x14ac:dyDescent="0.3">
      <c r="CY23350" s="34" t="s">
        <v>24277</v>
      </c>
      <c r="CZ23350" s="35">
        <v>2.4283856000000001E-3</v>
      </c>
    </row>
    <row r="23351" spans="103:104" x14ac:dyDescent="0.3">
      <c r="CY23351" s="34" t="s">
        <v>24278</v>
      </c>
      <c r="CZ23351" s="35">
        <v>8.6113453714285713E-3</v>
      </c>
    </row>
    <row r="23352" spans="103:104" x14ac:dyDescent="0.3">
      <c r="CY23352" s="34" t="s">
        <v>24279</v>
      </c>
      <c r="CZ23352" s="35">
        <v>1.1276226657142856E-2</v>
      </c>
    </row>
    <row r="23353" spans="103:104" x14ac:dyDescent="0.3">
      <c r="CY23353" s="34" t="s">
        <v>24280</v>
      </c>
      <c r="CZ23353" s="35">
        <v>6.2366447999999994E-4</v>
      </c>
    </row>
    <row r="23354" spans="103:104" x14ac:dyDescent="0.3">
      <c r="CY23354" s="34" t="s">
        <v>24281</v>
      </c>
      <c r="CZ23354" s="35">
        <v>1.0337120000000002E-3</v>
      </c>
    </row>
    <row r="23355" spans="103:104" x14ac:dyDescent="0.3">
      <c r="CY23355" s="34" t="s">
        <v>24282</v>
      </c>
      <c r="CZ23355" s="35">
        <v>2.6986899999999998E-2</v>
      </c>
    </row>
    <row r="23356" spans="103:104" x14ac:dyDescent="0.3">
      <c r="CY23356" s="34" t="s">
        <v>24283</v>
      </c>
      <c r="CZ23356" s="35">
        <v>2.4170568E-2</v>
      </c>
    </row>
    <row r="23357" spans="103:104" x14ac:dyDescent="0.3">
      <c r="CY23357" s="34" t="s">
        <v>24284</v>
      </c>
      <c r="CZ23357" s="35">
        <v>0.30127825000000003</v>
      </c>
    </row>
    <row r="23358" spans="103:104" x14ac:dyDescent="0.3">
      <c r="CY23358" s="34" t="s">
        <v>24285</v>
      </c>
      <c r="CZ23358" s="35">
        <v>0.25009075000000003</v>
      </c>
    </row>
    <row r="23359" spans="103:104" x14ac:dyDescent="0.3">
      <c r="CY23359" s="34" t="s">
        <v>24286</v>
      </c>
      <c r="CZ23359" s="35">
        <v>4.2963850526315787E-2</v>
      </c>
    </row>
    <row r="23360" spans="103:104" x14ac:dyDescent="0.3">
      <c r="CY23360" s="34" t="s">
        <v>24287</v>
      </c>
      <c r="CZ23360" s="35">
        <v>5.5242768888888891E-2</v>
      </c>
    </row>
    <row r="23361" spans="103:104" x14ac:dyDescent="0.3">
      <c r="CY23361" s="34" t="s">
        <v>24288</v>
      </c>
      <c r="CZ23361" s="35">
        <v>6.0229362222222221E-2</v>
      </c>
    </row>
    <row r="23362" spans="103:104" x14ac:dyDescent="0.3">
      <c r="CY23362" s="34" t="s">
        <v>24289</v>
      </c>
      <c r="CZ23362" s="35">
        <v>1.6509054117647061E-2</v>
      </c>
    </row>
    <row r="23363" spans="103:104" x14ac:dyDescent="0.3">
      <c r="CY23363" s="34" t="s">
        <v>24290</v>
      </c>
      <c r="CZ23363" s="35">
        <v>1.6509054117647061E-2</v>
      </c>
    </row>
    <row r="23364" spans="103:104" x14ac:dyDescent="0.3">
      <c r="CY23364" s="34" t="s">
        <v>24291</v>
      </c>
      <c r="CZ23364" s="35">
        <v>1.6509054117647061E-2</v>
      </c>
    </row>
    <row r="23365" spans="103:104" x14ac:dyDescent="0.3">
      <c r="CY23365" s="34" t="s">
        <v>24292</v>
      </c>
      <c r="CZ23365" s="35">
        <v>1.6509054117647061E-2</v>
      </c>
    </row>
    <row r="23366" spans="103:104" x14ac:dyDescent="0.3">
      <c r="CY23366" s="34" t="s">
        <v>24293</v>
      </c>
      <c r="CZ23366" s="35">
        <v>1.6509054117647061E-2</v>
      </c>
    </row>
    <row r="23367" spans="103:104" x14ac:dyDescent="0.3">
      <c r="CY23367" s="34" t="s">
        <v>24294</v>
      </c>
      <c r="CZ23367" s="35">
        <v>1.6501760000000001E-2</v>
      </c>
    </row>
    <row r="23368" spans="103:104" x14ac:dyDescent="0.3">
      <c r="CY23368" s="34" t="s">
        <v>24295</v>
      </c>
      <c r="CZ23368" s="35">
        <v>1.6501760000000004E-2</v>
      </c>
    </row>
    <row r="23369" spans="103:104" x14ac:dyDescent="0.3">
      <c r="CY23369" s="34" t="s">
        <v>24296</v>
      </c>
      <c r="CZ23369" s="35">
        <v>1.6501760000000001E-2</v>
      </c>
    </row>
    <row r="23370" spans="103:104" x14ac:dyDescent="0.3">
      <c r="CY23370" s="34" t="s">
        <v>24297</v>
      </c>
      <c r="CZ23370" s="35">
        <v>1.6501760000000004E-2</v>
      </c>
    </row>
    <row r="23371" spans="103:104" x14ac:dyDescent="0.3">
      <c r="CY23371" s="34" t="s">
        <v>24298</v>
      </c>
      <c r="CZ23371" s="35">
        <v>1.6501760000000004E-2</v>
      </c>
    </row>
    <row r="23372" spans="103:104" x14ac:dyDescent="0.3">
      <c r="CY23372" s="34" t="s">
        <v>24299</v>
      </c>
      <c r="CZ23372" s="35">
        <v>5.9529292929292932E-2</v>
      </c>
    </row>
    <row r="23373" spans="103:104" x14ac:dyDescent="0.3">
      <c r="CY23373" s="34" t="s">
        <v>24300</v>
      </c>
      <c r="CZ23373" s="35">
        <v>4.3823359999999999E-2</v>
      </c>
    </row>
    <row r="23374" spans="103:104" x14ac:dyDescent="0.3">
      <c r="CY23374" s="34" t="s">
        <v>24301</v>
      </c>
      <c r="CZ23374" s="35">
        <v>6.5478960000000001E-4</v>
      </c>
    </row>
    <row r="23375" spans="103:104" x14ac:dyDescent="0.3">
      <c r="CY23375" s="34" t="s">
        <v>24302</v>
      </c>
      <c r="CZ23375" s="35">
        <v>3.821099733333333E-3</v>
      </c>
    </row>
    <row r="23376" spans="103:104" x14ac:dyDescent="0.3">
      <c r="CY23376" s="34" t="s">
        <v>24303</v>
      </c>
      <c r="CZ23376" s="35">
        <v>3.310853333333333E-3</v>
      </c>
    </row>
    <row r="23377" spans="103:104" x14ac:dyDescent="0.3">
      <c r="CY23377" s="34" t="s">
        <v>24304</v>
      </c>
      <c r="CZ23377" s="35">
        <v>1.3874391999999999E-3</v>
      </c>
    </row>
    <row r="23378" spans="103:104" x14ac:dyDescent="0.3">
      <c r="CY23378" s="34" t="s">
        <v>24305</v>
      </c>
      <c r="CZ23378" s="35">
        <v>0.28820062799999996</v>
      </c>
    </row>
    <row r="23379" spans="103:104" x14ac:dyDescent="0.3">
      <c r="CY23379" s="34" t="s">
        <v>24306</v>
      </c>
      <c r="CZ23379" s="35">
        <v>1.1184546666666666E-2</v>
      </c>
    </row>
    <row r="23380" spans="103:104" x14ac:dyDescent="0.3">
      <c r="CY23380" s="34" t="s">
        <v>24307</v>
      </c>
      <c r="CZ23380" s="35">
        <v>2.6111773333333333E-3</v>
      </c>
    </row>
    <row r="23381" spans="103:104" x14ac:dyDescent="0.3">
      <c r="CY23381" s="34" t="s">
        <v>24308</v>
      </c>
      <c r="CZ23381" s="35">
        <v>3.6178336000000004E-4</v>
      </c>
    </row>
    <row r="23382" spans="103:104" x14ac:dyDescent="0.3">
      <c r="CY23382" s="34" t="s">
        <v>24309</v>
      </c>
      <c r="CZ23382" s="35">
        <v>7.1529104000000012E-3</v>
      </c>
    </row>
    <row r="23383" spans="103:104" x14ac:dyDescent="0.3">
      <c r="CY23383" s="34" t="s">
        <v>24310</v>
      </c>
      <c r="CZ23383" s="35">
        <v>6.9753003999999993E-2</v>
      </c>
    </row>
    <row r="23384" spans="103:104" x14ac:dyDescent="0.3">
      <c r="CY23384" s="34" t="s">
        <v>24311</v>
      </c>
      <c r="CZ23384" s="35">
        <v>7.9639208374999992E-2</v>
      </c>
    </row>
    <row r="23385" spans="103:104" x14ac:dyDescent="0.3">
      <c r="CY23385" s="34" t="s">
        <v>24312</v>
      </c>
      <c r="CZ23385" s="35">
        <v>1.9861948000000004E-2</v>
      </c>
    </row>
    <row r="23386" spans="103:104" x14ac:dyDescent="0.3">
      <c r="CY23386" s="34" t="s">
        <v>24313</v>
      </c>
      <c r="CZ23386" s="35">
        <v>1.9212239999999998E-2</v>
      </c>
    </row>
    <row r="23387" spans="103:104" x14ac:dyDescent="0.3">
      <c r="CY23387" s="34" t="s">
        <v>24314</v>
      </c>
      <c r="CZ23387" s="35">
        <v>2.3314409333333331E-2</v>
      </c>
    </row>
    <row r="23388" spans="103:104" x14ac:dyDescent="0.3">
      <c r="CY23388" s="34" t="s">
        <v>24315</v>
      </c>
      <c r="CZ23388" s="35">
        <v>3.8315600000000005E-2</v>
      </c>
    </row>
    <row r="23389" spans="103:104" x14ac:dyDescent="0.3">
      <c r="CY23389" s="34" t="s">
        <v>24316</v>
      </c>
      <c r="CZ23389" s="35">
        <v>9.5132512000000016E-2</v>
      </c>
    </row>
    <row r="23390" spans="103:104" x14ac:dyDescent="0.3">
      <c r="CY23390" s="34" t="s">
        <v>24317</v>
      </c>
      <c r="CZ23390" s="35">
        <v>5.1326814999999998E-3</v>
      </c>
    </row>
    <row r="23391" spans="103:104" x14ac:dyDescent="0.3">
      <c r="CY23391" s="34" t="s">
        <v>24318</v>
      </c>
      <c r="CZ23391" s="35">
        <v>3.4979079999999996E-2</v>
      </c>
    </row>
    <row r="23392" spans="103:104" x14ac:dyDescent="0.3">
      <c r="CY23392" s="34" t="s">
        <v>24319</v>
      </c>
      <c r="CZ23392" s="35">
        <v>2.2886740000000003E-2</v>
      </c>
    </row>
    <row r="23393" spans="103:104" x14ac:dyDescent="0.3">
      <c r="CY23393" s="34" t="s">
        <v>24320</v>
      </c>
      <c r="CZ23393" s="35">
        <v>2.8475128000000002E-2</v>
      </c>
    </row>
    <row r="23394" spans="103:104" x14ac:dyDescent="0.3">
      <c r="CY23394" s="34" t="s">
        <v>24321</v>
      </c>
      <c r="CZ23394" s="35">
        <v>4.6043427999999998E-4</v>
      </c>
    </row>
    <row r="23395" spans="103:104" x14ac:dyDescent="0.3">
      <c r="CY23395" s="34" t="s">
        <v>24322</v>
      </c>
      <c r="CZ23395" s="35">
        <v>1.902661428E-2</v>
      </c>
    </row>
    <row r="23396" spans="103:104" x14ac:dyDescent="0.3">
      <c r="CY23396" s="34" t="s">
        <v>24323</v>
      </c>
      <c r="CZ23396" s="35">
        <v>1.3703617066666667E-4</v>
      </c>
    </row>
    <row r="23397" spans="103:104" x14ac:dyDescent="0.3">
      <c r="CY23397" s="34" t="s">
        <v>24324</v>
      </c>
      <c r="CZ23397" s="35">
        <v>1.7485023999999996E-3</v>
      </c>
    </row>
    <row r="23398" spans="103:104" x14ac:dyDescent="0.3">
      <c r="CY23398" s="34" t="s">
        <v>24325</v>
      </c>
      <c r="CZ23398" s="35">
        <v>3.7880266666666662E-3</v>
      </c>
    </row>
    <row r="23399" spans="103:104" x14ac:dyDescent="0.3">
      <c r="CY23399" s="34" t="s">
        <v>24326</v>
      </c>
      <c r="CZ23399" s="35">
        <v>5.2319473599999999E-2</v>
      </c>
    </row>
    <row r="23400" spans="103:104" x14ac:dyDescent="0.3">
      <c r="CY23400" s="34" t="s">
        <v>24327</v>
      </c>
      <c r="CZ23400" s="35">
        <v>3.7582499999999998E-2</v>
      </c>
    </row>
    <row r="23401" spans="103:104" x14ac:dyDescent="0.3">
      <c r="CY23401" s="34" t="s">
        <v>24328</v>
      </c>
      <c r="CZ23401" s="35">
        <v>1.9605892000000003E-2</v>
      </c>
    </row>
    <row r="23402" spans="103:104" x14ac:dyDescent="0.3">
      <c r="CY23402" s="34" t="s">
        <v>24329</v>
      </c>
      <c r="CZ23402" s="35">
        <v>2.0570388000000002E-2</v>
      </c>
    </row>
    <row r="23403" spans="103:104" x14ac:dyDescent="0.3">
      <c r="CY23403" s="34" t="s">
        <v>24330</v>
      </c>
      <c r="CZ23403" s="35">
        <v>2.0260009320000005E-2</v>
      </c>
    </row>
    <row r="23404" spans="103:104" x14ac:dyDescent="0.3">
      <c r="CY23404" s="34" t="s">
        <v>24331</v>
      </c>
      <c r="CZ23404" s="35">
        <v>8.5860549999999994E-2</v>
      </c>
    </row>
    <row r="23405" spans="103:104" x14ac:dyDescent="0.3">
      <c r="CY23405" s="34" t="s">
        <v>24332</v>
      </c>
      <c r="CZ23405" s="35">
        <v>0.172298865</v>
      </c>
    </row>
    <row r="23406" spans="103:104" x14ac:dyDescent="0.3">
      <c r="CY23406" s="34" t="s">
        <v>24333</v>
      </c>
      <c r="CZ23406" s="35">
        <v>1.0458240000000001E-2</v>
      </c>
    </row>
    <row r="23407" spans="103:104" x14ac:dyDescent="0.3">
      <c r="CY23407" s="34" t="s">
        <v>24334</v>
      </c>
      <c r="CZ23407" s="35">
        <v>1.4743447999999999E-2</v>
      </c>
    </row>
    <row r="23408" spans="103:104" x14ac:dyDescent="0.3">
      <c r="CY23408" s="34" t="s">
        <v>24335</v>
      </c>
      <c r="CZ23408" s="35">
        <v>3.5712171428571429E-2</v>
      </c>
    </row>
    <row r="23409" spans="103:104" x14ac:dyDescent="0.3">
      <c r="CY23409" s="34" t="s">
        <v>24336</v>
      </c>
      <c r="CZ23409" s="35">
        <v>2.7875199157894742E-3</v>
      </c>
    </row>
    <row r="23410" spans="103:104" x14ac:dyDescent="0.3">
      <c r="CY23410" s="34" t="s">
        <v>24337</v>
      </c>
      <c r="CZ23410" s="35">
        <v>3.3870720000000001E-4</v>
      </c>
    </row>
    <row r="23411" spans="103:104" x14ac:dyDescent="0.3">
      <c r="CY23411" s="34" t="s">
        <v>24338</v>
      </c>
      <c r="CZ23411" s="35">
        <v>1.26956768E-2</v>
      </c>
    </row>
    <row r="23412" spans="103:104" x14ac:dyDescent="0.3">
      <c r="CY23412" s="34" t="s">
        <v>24339</v>
      </c>
      <c r="CZ23412" s="35">
        <v>4.71946398E-2</v>
      </c>
    </row>
    <row r="23413" spans="103:104" x14ac:dyDescent="0.3">
      <c r="CY23413" s="34" t="s">
        <v>24340</v>
      </c>
      <c r="CZ23413" s="35">
        <v>2.7720172999999997E-2</v>
      </c>
    </row>
    <row r="23414" spans="103:104" x14ac:dyDescent="0.3">
      <c r="CY23414" s="34" t="s">
        <v>24341</v>
      </c>
      <c r="CZ23414" s="35">
        <v>2.2016962375000001E-3</v>
      </c>
    </row>
    <row r="23415" spans="103:104" x14ac:dyDescent="0.3">
      <c r="CY23415" s="34" t="s">
        <v>24342</v>
      </c>
      <c r="CZ23415" s="35">
        <v>8.7424500000000006E-4</v>
      </c>
    </row>
    <row r="23416" spans="103:104" x14ac:dyDescent="0.3">
      <c r="CY23416" s="34" t="s">
        <v>24343</v>
      </c>
      <c r="CZ23416" s="35">
        <v>1.0720949999999999E-3</v>
      </c>
    </row>
    <row r="23417" spans="103:104" x14ac:dyDescent="0.3">
      <c r="CY23417" s="34" t="s">
        <v>24344</v>
      </c>
      <c r="CZ23417" s="35">
        <v>2.2883712500000003E-3</v>
      </c>
    </row>
    <row r="23418" spans="103:104" x14ac:dyDescent="0.3">
      <c r="CY23418" s="34" t="s">
        <v>24345</v>
      </c>
      <c r="CZ23418" s="35">
        <v>4.03168E-2</v>
      </c>
    </row>
    <row r="23419" spans="103:104" x14ac:dyDescent="0.3">
      <c r="CY23419" s="34" t="s">
        <v>24346</v>
      </c>
      <c r="CZ23419" s="35">
        <v>5.479484536082474E-2</v>
      </c>
    </row>
    <row r="23420" spans="103:104" x14ac:dyDescent="0.3">
      <c r="CY23420" s="34" t="s">
        <v>24347</v>
      </c>
      <c r="CZ23420" s="35">
        <v>6.0570506666666669E-2</v>
      </c>
    </row>
    <row r="23421" spans="103:104" x14ac:dyDescent="0.3">
      <c r="CY23421" s="34" t="s">
        <v>24348</v>
      </c>
      <c r="CZ23421" s="35">
        <v>4.6599999999999992E-3</v>
      </c>
    </row>
    <row r="23422" spans="103:104" x14ac:dyDescent="0.3">
      <c r="CY23422" s="34" t="s">
        <v>24349</v>
      </c>
      <c r="CZ23422" s="35">
        <v>4.6599999999999992E-3</v>
      </c>
    </row>
    <row r="23423" spans="103:104" x14ac:dyDescent="0.3">
      <c r="CY23423" s="34" t="s">
        <v>24350</v>
      </c>
      <c r="CZ23423" s="35">
        <v>1.5314893200000002E-2</v>
      </c>
    </row>
    <row r="23424" spans="103:104" x14ac:dyDescent="0.3">
      <c r="CY23424" s="34" t="s">
        <v>24351</v>
      </c>
      <c r="CZ23424" s="35">
        <v>1.53148932E-2</v>
      </c>
    </row>
    <row r="23425" spans="103:104" x14ac:dyDescent="0.3">
      <c r="CY23425" s="34" t="s">
        <v>24352</v>
      </c>
      <c r="CZ23425" s="35">
        <v>7.7108302999999998E-3</v>
      </c>
    </row>
    <row r="23426" spans="103:104" x14ac:dyDescent="0.3">
      <c r="CY23426" s="34" t="s">
        <v>24353</v>
      </c>
      <c r="CZ23426" s="35">
        <v>7.7108302999999998E-3</v>
      </c>
    </row>
    <row r="23427" spans="103:104" x14ac:dyDescent="0.3">
      <c r="CY23427" s="34" t="s">
        <v>24354</v>
      </c>
      <c r="CZ23427" s="35">
        <v>6.4240902999999992E-3</v>
      </c>
    </row>
    <row r="23428" spans="103:104" x14ac:dyDescent="0.3">
      <c r="CY23428" s="34" t="s">
        <v>24355</v>
      </c>
      <c r="CZ23428" s="35">
        <v>6.4240902999999992E-3</v>
      </c>
    </row>
    <row r="23429" spans="103:104" x14ac:dyDescent="0.3">
      <c r="CY23429" s="34" t="s">
        <v>24356</v>
      </c>
      <c r="CZ23429" s="35">
        <v>3.5289219999999999E-3</v>
      </c>
    </row>
    <row r="23430" spans="103:104" x14ac:dyDescent="0.3">
      <c r="CY23430" s="34" t="s">
        <v>24357</v>
      </c>
      <c r="CZ23430" s="35">
        <v>3.5289220000000003E-3</v>
      </c>
    </row>
    <row r="23431" spans="103:104" x14ac:dyDescent="0.3">
      <c r="CY23431" s="34" t="s">
        <v>24358</v>
      </c>
      <c r="CZ23431" s="35">
        <v>3.8527919999999998E-3</v>
      </c>
    </row>
    <row r="23432" spans="103:104" x14ac:dyDescent="0.3">
      <c r="CY23432" s="34" t="s">
        <v>24359</v>
      </c>
      <c r="CZ23432" s="35">
        <v>3.8527919999999998E-3</v>
      </c>
    </row>
    <row r="23433" spans="103:104" x14ac:dyDescent="0.3">
      <c r="CY23433" s="34" t="s">
        <v>24360</v>
      </c>
      <c r="CZ23433" s="35">
        <v>2.8721632000000006E-3</v>
      </c>
    </row>
    <row r="23434" spans="103:104" x14ac:dyDescent="0.3">
      <c r="CY23434" s="34" t="s">
        <v>24361</v>
      </c>
      <c r="CZ23434" s="35">
        <v>2.8721632000000006E-3</v>
      </c>
    </row>
    <row r="23435" spans="103:104" x14ac:dyDescent="0.3">
      <c r="CY23435" s="34" t="s">
        <v>24362</v>
      </c>
      <c r="CZ23435" s="35">
        <v>9.5385999999999999E-2</v>
      </c>
    </row>
    <row r="23436" spans="103:104" x14ac:dyDescent="0.3">
      <c r="CY23436" s="34" t="s">
        <v>24363</v>
      </c>
      <c r="CZ23436" s="35">
        <v>9.1244500000000006E-2</v>
      </c>
    </row>
    <row r="23437" spans="103:104" x14ac:dyDescent="0.3">
      <c r="CY23437" s="34" t="s">
        <v>24364</v>
      </c>
      <c r="CZ23437" s="35">
        <v>3.0899666666666667E-3</v>
      </c>
    </row>
    <row r="23438" spans="103:104" x14ac:dyDescent="0.3">
      <c r="CY23438" s="34" t="s">
        <v>24365</v>
      </c>
      <c r="CZ23438" s="35">
        <v>1.6466666666666667E-4</v>
      </c>
    </row>
    <row r="23439" spans="103:104" x14ac:dyDescent="0.3">
      <c r="CY23439" s="34" t="s">
        <v>24366</v>
      </c>
      <c r="CZ23439" s="35">
        <v>1.2536380000000001E-2</v>
      </c>
    </row>
    <row r="23440" spans="103:104" x14ac:dyDescent="0.3">
      <c r="CY23440" s="34" t="s">
        <v>24367</v>
      </c>
      <c r="CZ23440" s="35">
        <v>1.0192969999999999E-2</v>
      </c>
    </row>
    <row r="23441" spans="103:104" x14ac:dyDescent="0.3">
      <c r="CY23441" s="34" t="s">
        <v>24368</v>
      </c>
      <c r="CZ23441" s="35">
        <v>2.8887788210526315E-3</v>
      </c>
    </row>
    <row r="23442" spans="103:104" x14ac:dyDescent="0.3">
      <c r="CY23442" s="34" t="s">
        <v>24369</v>
      </c>
      <c r="CZ23442" s="35">
        <v>3.6949800000000001E-3</v>
      </c>
    </row>
    <row r="23443" spans="103:104" x14ac:dyDescent="0.3">
      <c r="CY23443" s="34" t="s">
        <v>24370</v>
      </c>
      <c r="CZ23443" s="35">
        <v>3.6949800000000001E-3</v>
      </c>
    </row>
    <row r="23444" spans="103:104" x14ac:dyDescent="0.3">
      <c r="CY23444" s="34" t="s">
        <v>24371</v>
      </c>
      <c r="CZ23444" s="35">
        <v>7.4493751999999997E-5</v>
      </c>
    </row>
    <row r="23445" spans="103:104" x14ac:dyDescent="0.3">
      <c r="CY23445" s="34" t="s">
        <v>24372</v>
      </c>
      <c r="CZ23445" s="35">
        <v>5.9533391999999994E-3</v>
      </c>
    </row>
    <row r="23446" spans="103:104" x14ac:dyDescent="0.3">
      <c r="CY23446" s="34" t="s">
        <v>24373</v>
      </c>
      <c r="CZ23446" s="35">
        <v>7.0948800000000005E-3</v>
      </c>
    </row>
    <row r="23447" spans="103:104" x14ac:dyDescent="0.3">
      <c r="CY23447" s="34" t="s">
        <v>24374</v>
      </c>
      <c r="CZ23447" s="35">
        <v>0.29706192000000003</v>
      </c>
    </row>
    <row r="23448" spans="103:104" x14ac:dyDescent="0.3">
      <c r="CY23448" s="34" t="s">
        <v>24375</v>
      </c>
      <c r="CZ23448" s="35">
        <v>6.6293599999999999E-3</v>
      </c>
    </row>
    <row r="23449" spans="103:104" x14ac:dyDescent="0.3">
      <c r="CY23449" s="34" t="s">
        <v>24376</v>
      </c>
      <c r="CZ23449" s="35">
        <v>6.3567499999999996E-3</v>
      </c>
    </row>
    <row r="23450" spans="103:104" x14ac:dyDescent="0.3">
      <c r="CY23450" s="34" t="s">
        <v>24377</v>
      </c>
      <c r="CZ23450" s="35">
        <v>6.9240300000000003E-3</v>
      </c>
    </row>
    <row r="23451" spans="103:104" x14ac:dyDescent="0.3">
      <c r="CY23451" s="34" t="s">
        <v>24378</v>
      </c>
      <c r="CZ23451" s="35">
        <v>8.0370800000000003E-3</v>
      </c>
    </row>
    <row r="23452" spans="103:104" x14ac:dyDescent="0.3">
      <c r="CY23452" s="34" t="s">
        <v>24379</v>
      </c>
      <c r="CZ23452" s="35">
        <v>5.0157500000000002E-3</v>
      </c>
    </row>
    <row r="23453" spans="103:104" x14ac:dyDescent="0.3">
      <c r="CY23453" s="34" t="s">
        <v>24380</v>
      </c>
      <c r="CZ23453" s="35">
        <v>1.1613474000000002E-2</v>
      </c>
    </row>
    <row r="23454" spans="103:104" x14ac:dyDescent="0.3">
      <c r="CY23454" s="34" t="s">
        <v>24381</v>
      </c>
      <c r="CZ23454" s="35">
        <v>0.29465244800000001</v>
      </c>
    </row>
    <row r="23455" spans="103:104" x14ac:dyDescent="0.3">
      <c r="CY23455" s="34" t="s">
        <v>24382</v>
      </c>
      <c r="CZ23455" s="35">
        <v>1.0813372E-3</v>
      </c>
    </row>
    <row r="23456" spans="103:104" x14ac:dyDescent="0.3">
      <c r="CY23456" s="34" t="s">
        <v>24383</v>
      </c>
      <c r="CZ23456" s="35">
        <v>1.626907376190476E-2</v>
      </c>
    </row>
    <row r="23457" spans="103:104" x14ac:dyDescent="0.3">
      <c r="CY23457" s="34" t="s">
        <v>24384</v>
      </c>
      <c r="CZ23457" s="35">
        <v>1.2824250000000002E-3</v>
      </c>
    </row>
    <row r="23458" spans="103:104" x14ac:dyDescent="0.3">
      <c r="CY23458" s="34" t="s">
        <v>24385</v>
      </c>
      <c r="CZ23458" s="35">
        <v>5.8456132500000002E-3</v>
      </c>
    </row>
    <row r="23459" spans="103:104" x14ac:dyDescent="0.3">
      <c r="CY23459" s="34" t="s">
        <v>24386</v>
      </c>
      <c r="CZ23459" s="35">
        <v>3.2933324999999999E-4</v>
      </c>
    </row>
    <row r="23460" spans="103:104" x14ac:dyDescent="0.3">
      <c r="CY23460" s="34" t="s">
        <v>24387</v>
      </c>
      <c r="CZ23460" s="35">
        <v>4.26148E-4</v>
      </c>
    </row>
    <row r="23461" spans="103:104" x14ac:dyDescent="0.3">
      <c r="CY23461" s="34" t="s">
        <v>24388</v>
      </c>
      <c r="CZ23461" s="35">
        <v>4.7821944444444446E-4</v>
      </c>
    </row>
    <row r="23462" spans="103:104" x14ac:dyDescent="0.3">
      <c r="CY23462" s="34" t="s">
        <v>24389</v>
      </c>
      <c r="CZ23462" s="35">
        <v>3.5041589999999997E-3</v>
      </c>
    </row>
    <row r="23463" spans="103:104" x14ac:dyDescent="0.3">
      <c r="CY23463" s="34" t="s">
        <v>24390</v>
      </c>
      <c r="CZ23463" s="35">
        <v>3.7961777777777782E-2</v>
      </c>
    </row>
    <row r="23464" spans="103:104" x14ac:dyDescent="0.3">
      <c r="CY23464" s="34" t="s">
        <v>24391</v>
      </c>
      <c r="CZ23464" s="35">
        <v>3.7961777777777775E-2</v>
      </c>
    </row>
    <row r="23465" spans="103:104" x14ac:dyDescent="0.3">
      <c r="CY23465" s="34" t="s">
        <v>24392</v>
      </c>
      <c r="CZ23465" s="35">
        <v>3.5165599999999998E-2</v>
      </c>
    </row>
    <row r="23466" spans="103:104" x14ac:dyDescent="0.3">
      <c r="CY23466" s="34" t="s">
        <v>24393</v>
      </c>
      <c r="CZ23466" s="35">
        <v>1.1372603999999999</v>
      </c>
    </row>
    <row r="23467" spans="103:104" x14ac:dyDescent="0.3">
      <c r="CY23467" s="34" t="s">
        <v>24394</v>
      </c>
      <c r="CZ23467" s="35">
        <v>1.311E-2</v>
      </c>
    </row>
    <row r="23468" spans="103:104" x14ac:dyDescent="0.3">
      <c r="CY23468" s="34" t="s">
        <v>24395</v>
      </c>
      <c r="CZ23468" s="35">
        <v>7.3072600000000003E-3</v>
      </c>
    </row>
    <row r="23469" spans="103:104" x14ac:dyDescent="0.3">
      <c r="CY23469" s="34" t="s">
        <v>24396</v>
      </c>
      <c r="CZ23469" s="35">
        <v>5.3541439899999991E-3</v>
      </c>
    </row>
    <row r="23470" spans="103:104" x14ac:dyDescent="0.3">
      <c r="CY23470" s="34" t="s">
        <v>24397</v>
      </c>
      <c r="CZ23470" s="35">
        <v>5.1170660000000007E-2</v>
      </c>
    </row>
    <row r="23471" spans="103:104" x14ac:dyDescent="0.3">
      <c r="CY23471" s="34" t="s">
        <v>24398</v>
      </c>
      <c r="CZ23471" s="35">
        <v>9.0820232000000008E-3</v>
      </c>
    </row>
    <row r="23472" spans="103:104" x14ac:dyDescent="0.3">
      <c r="CY23472" s="34" t="s">
        <v>24399</v>
      </c>
      <c r="CZ23472" s="35">
        <v>2.5171600000000005E-3</v>
      </c>
    </row>
    <row r="23473" spans="103:104" x14ac:dyDescent="0.3">
      <c r="CY23473" s="34" t="s">
        <v>24400</v>
      </c>
      <c r="CZ23473" s="35">
        <v>3.4479340000000011E-2</v>
      </c>
    </row>
    <row r="23474" spans="103:104" x14ac:dyDescent="0.3">
      <c r="CY23474" s="34" t="s">
        <v>24401</v>
      </c>
      <c r="CZ23474" s="35">
        <v>1.12125E-4</v>
      </c>
    </row>
    <row r="23475" spans="103:104" x14ac:dyDescent="0.3">
      <c r="CY23475" s="34" t="s">
        <v>24402</v>
      </c>
      <c r="CZ23475" s="35">
        <v>1.0677245000000001E-3</v>
      </c>
    </row>
    <row r="23476" spans="103:104" x14ac:dyDescent="0.3">
      <c r="CY23476" s="34" t="s">
        <v>24403</v>
      </c>
      <c r="CZ23476" s="35">
        <v>7.3829999999999989E-5</v>
      </c>
    </row>
    <row r="23477" spans="103:104" x14ac:dyDescent="0.3">
      <c r="CY23477" s="34" t="s">
        <v>24404</v>
      </c>
      <c r="CZ23477" s="35">
        <v>0.51142976799999995</v>
      </c>
    </row>
    <row r="23478" spans="103:104" x14ac:dyDescent="0.3">
      <c r="CY23478" s="34" t="s">
        <v>24405</v>
      </c>
      <c r="CZ23478" s="35">
        <v>1.2501208E-3</v>
      </c>
    </row>
    <row r="23479" spans="103:104" x14ac:dyDescent="0.3">
      <c r="CY23479" s="34" t="s">
        <v>24406</v>
      </c>
      <c r="CZ23479" s="35">
        <v>1.9182655999999999E-3</v>
      </c>
    </row>
    <row r="23480" spans="103:104" x14ac:dyDescent="0.3">
      <c r="CY23480" s="34" t="s">
        <v>24407</v>
      </c>
      <c r="CZ23480" s="35">
        <v>5.6362479999999993E-2</v>
      </c>
    </row>
    <row r="23481" spans="103:104" x14ac:dyDescent="0.3">
      <c r="CY23481" s="34" t="s">
        <v>24408</v>
      </c>
      <c r="CZ23481" s="35">
        <v>4.5414087999999998E-2</v>
      </c>
    </row>
    <row r="23482" spans="103:104" x14ac:dyDescent="0.3">
      <c r="CY23482" s="34" t="s">
        <v>24409</v>
      </c>
      <c r="CZ23482" s="35">
        <v>3.9022426666666665E-2</v>
      </c>
    </row>
    <row r="23483" spans="103:104" x14ac:dyDescent="0.3">
      <c r="CY23483" s="34" t="s">
        <v>24410</v>
      </c>
      <c r="CZ23483" s="35">
        <v>1.0462302179999999E-2</v>
      </c>
    </row>
    <row r="23484" spans="103:104" x14ac:dyDescent="0.3">
      <c r="CY23484" s="34" t="s">
        <v>24411</v>
      </c>
      <c r="CZ23484" s="35">
        <v>5.2978033333333327E-2</v>
      </c>
    </row>
    <row r="23485" spans="103:104" x14ac:dyDescent="0.3">
      <c r="CY23485" s="34" t="s">
        <v>24412</v>
      </c>
      <c r="CZ23485" s="35">
        <v>5.2978033333333327E-2</v>
      </c>
    </row>
    <row r="23486" spans="103:104" x14ac:dyDescent="0.3">
      <c r="CY23486" s="34" t="s">
        <v>24413</v>
      </c>
      <c r="CZ23486" s="35">
        <v>6.4421553333333338E-3</v>
      </c>
    </row>
    <row r="23487" spans="103:104" x14ac:dyDescent="0.3">
      <c r="CY23487" s="34" t="s">
        <v>24414</v>
      </c>
      <c r="CZ23487" s="35">
        <v>0.67054449599999999</v>
      </c>
    </row>
    <row r="23488" spans="103:104" x14ac:dyDescent="0.3">
      <c r="CY23488" s="34" t="s">
        <v>24415</v>
      </c>
      <c r="CZ23488" s="35">
        <v>0.48944183999999996</v>
      </c>
    </row>
    <row r="23489" spans="103:104" x14ac:dyDescent="0.3">
      <c r="CY23489" s="34" t="s">
        <v>24416</v>
      </c>
      <c r="CZ23489" s="35">
        <v>7.7940016000000009E-4</v>
      </c>
    </row>
    <row r="23490" spans="103:104" x14ac:dyDescent="0.3">
      <c r="CY23490" s="34" t="s">
        <v>24417</v>
      </c>
      <c r="CZ23490" s="35">
        <v>1.7795274999999999E-2</v>
      </c>
    </row>
    <row r="23491" spans="103:104" x14ac:dyDescent="0.3">
      <c r="CY23491" s="34" t="s">
        <v>24418</v>
      </c>
      <c r="CZ23491" s="35">
        <v>6.8788999999999989E-2</v>
      </c>
    </row>
    <row r="23492" spans="103:104" x14ac:dyDescent="0.3">
      <c r="CY23492" s="34" t="s">
        <v>24419</v>
      </c>
      <c r="CZ23492" s="35">
        <v>1.0253740000000001E-2</v>
      </c>
    </row>
    <row r="23493" spans="103:104" x14ac:dyDescent="0.3">
      <c r="CY23493" s="34" t="s">
        <v>24420</v>
      </c>
      <c r="CZ23493" s="35">
        <v>1.01025E-2</v>
      </c>
    </row>
    <row r="23494" spans="103:104" x14ac:dyDescent="0.3">
      <c r="CY23494" s="34" t="s">
        <v>24421</v>
      </c>
      <c r="CZ23494" s="35">
        <v>1.1300912E-3</v>
      </c>
    </row>
    <row r="23495" spans="103:104" x14ac:dyDescent="0.3">
      <c r="CY23495" s="34" t="s">
        <v>24422</v>
      </c>
      <c r="CZ23495" s="35">
        <v>6.2337599999999996E-3</v>
      </c>
    </row>
    <row r="23496" spans="103:104" x14ac:dyDescent="0.3">
      <c r="CY23496" s="34" t="s">
        <v>24423</v>
      </c>
      <c r="CZ23496" s="35">
        <v>6.2337599999999996E-3</v>
      </c>
    </row>
    <row r="23497" spans="103:104" x14ac:dyDescent="0.3">
      <c r="CY23497" s="34" t="s">
        <v>24424</v>
      </c>
      <c r="CZ23497" s="35">
        <v>1.6661720000000001E-2</v>
      </c>
    </row>
    <row r="23498" spans="103:104" x14ac:dyDescent="0.3">
      <c r="CY23498" s="34" t="s">
        <v>24425</v>
      </c>
      <c r="CZ23498" s="35">
        <v>2.1520528000000004E-2</v>
      </c>
    </row>
    <row r="23499" spans="103:104" x14ac:dyDescent="0.3">
      <c r="CY23499" s="34" t="s">
        <v>24426</v>
      </c>
      <c r="CZ23499" s="35">
        <v>2.1520528000000004E-2</v>
      </c>
    </row>
    <row r="23500" spans="103:104" x14ac:dyDescent="0.3">
      <c r="CY23500" s="34" t="s">
        <v>24427</v>
      </c>
      <c r="CZ23500" s="35">
        <v>2.1520528000000004E-2</v>
      </c>
    </row>
    <row r="23501" spans="103:104" x14ac:dyDescent="0.3">
      <c r="CY23501" s="34" t="s">
        <v>24428</v>
      </c>
      <c r="CZ23501" s="35">
        <v>9.2238639999999997E-2</v>
      </c>
    </row>
    <row r="23502" spans="103:104" x14ac:dyDescent="0.3">
      <c r="CY23502" s="34" t="s">
        <v>24429</v>
      </c>
      <c r="CZ23502" s="35">
        <v>3.928143444444445E-3</v>
      </c>
    </row>
    <row r="23503" spans="103:104" x14ac:dyDescent="0.3">
      <c r="CY23503" s="34" t="s">
        <v>24430</v>
      </c>
      <c r="CZ23503" s="35">
        <v>3.4318814777777776E-2</v>
      </c>
    </row>
    <row r="23504" spans="103:104" x14ac:dyDescent="0.3">
      <c r="CY23504" s="34" t="s">
        <v>24431</v>
      </c>
      <c r="CZ23504" s="35">
        <v>6.4818176600000013E-2</v>
      </c>
    </row>
    <row r="23505" spans="103:104" x14ac:dyDescent="0.3">
      <c r="CY23505" s="34" t="s">
        <v>24432</v>
      </c>
      <c r="CZ23505" s="35">
        <v>5.8804354099999998E-2</v>
      </c>
    </row>
    <row r="23506" spans="103:104" x14ac:dyDescent="0.3">
      <c r="CY23506" s="34" t="s">
        <v>24433</v>
      </c>
      <c r="CZ23506" s="35">
        <v>8.3788426649999997E-2</v>
      </c>
    </row>
    <row r="23507" spans="103:104" x14ac:dyDescent="0.3">
      <c r="CY23507" s="34" t="s">
        <v>24434</v>
      </c>
      <c r="CZ23507" s="35">
        <v>0.10686364660000001</v>
      </c>
    </row>
    <row r="23508" spans="103:104" x14ac:dyDescent="0.3">
      <c r="CY23508" s="34" t="s">
        <v>24435</v>
      </c>
      <c r="CZ23508" s="35">
        <v>0.13706416660000001</v>
      </c>
    </row>
    <row r="23509" spans="103:104" x14ac:dyDescent="0.3">
      <c r="CY23509" s="34" t="s">
        <v>24436</v>
      </c>
      <c r="CZ23509" s="35">
        <v>0.16132231660000002</v>
      </c>
    </row>
    <row r="23510" spans="103:104" x14ac:dyDescent="0.3">
      <c r="CY23510" s="34" t="s">
        <v>24437</v>
      </c>
      <c r="CZ23510" s="35">
        <v>0.15309514660000001</v>
      </c>
    </row>
    <row r="23511" spans="103:104" x14ac:dyDescent="0.3">
      <c r="CY23511" s="34" t="s">
        <v>24438</v>
      </c>
      <c r="CZ23511" s="35">
        <v>9.4059526600000012E-2</v>
      </c>
    </row>
    <row r="23512" spans="103:104" x14ac:dyDescent="0.3">
      <c r="CY23512" s="34" t="s">
        <v>24439</v>
      </c>
      <c r="CZ23512" s="35">
        <v>6.8781080000000008E-2</v>
      </c>
    </row>
    <row r="23513" spans="103:104" x14ac:dyDescent="0.3">
      <c r="CY23513" s="34" t="s">
        <v>24440</v>
      </c>
      <c r="CZ23513" s="35">
        <v>4.9062268225000011E-2</v>
      </c>
    </row>
    <row r="23514" spans="103:104" x14ac:dyDescent="0.3">
      <c r="CY23514" s="34" t="s">
        <v>24441</v>
      </c>
      <c r="CZ23514" s="35">
        <v>5.9983504000000007E-2</v>
      </c>
    </row>
    <row r="23515" spans="103:104" x14ac:dyDescent="0.3">
      <c r="CY23515" s="34" t="s">
        <v>24442</v>
      </c>
      <c r="CZ23515" s="35">
        <v>7.4797351999999998E-2</v>
      </c>
    </row>
    <row r="23516" spans="103:104" x14ac:dyDescent="0.3">
      <c r="CY23516" s="34" t="s">
        <v>24443</v>
      </c>
      <c r="CZ23516" s="35">
        <v>9.1066100135000008E-2</v>
      </c>
    </row>
    <row r="23517" spans="103:104" x14ac:dyDescent="0.3">
      <c r="CY23517" s="34" t="s">
        <v>24444</v>
      </c>
      <c r="CZ23517" s="35">
        <v>0.12228987999999999</v>
      </c>
    </row>
    <row r="23518" spans="103:104" x14ac:dyDescent="0.3">
      <c r="CY23518" s="34" t="s">
        <v>24445</v>
      </c>
      <c r="CZ23518" s="35">
        <v>0.20084484666666669</v>
      </c>
    </row>
    <row r="23519" spans="103:104" x14ac:dyDescent="0.3">
      <c r="CY23519" s="34" t="s">
        <v>24446</v>
      </c>
      <c r="CZ23519" s="35">
        <v>3.1830316000000004E-2</v>
      </c>
    </row>
    <row r="23520" spans="103:104" x14ac:dyDescent="0.3">
      <c r="CY23520" s="34" t="s">
        <v>24447</v>
      </c>
      <c r="CZ23520" s="35">
        <v>5.5286248000000003E-2</v>
      </c>
    </row>
    <row r="23521" spans="103:104" x14ac:dyDescent="0.3">
      <c r="CY23521" s="34" t="s">
        <v>24448</v>
      </c>
      <c r="CZ23521" s="35">
        <v>7.4208133999999995E-2</v>
      </c>
    </row>
    <row r="23522" spans="103:104" x14ac:dyDescent="0.3">
      <c r="CY23522" s="34" t="s">
        <v>24449</v>
      </c>
      <c r="CZ23522" s="35">
        <v>0.10101993599999999</v>
      </c>
    </row>
    <row r="23523" spans="103:104" x14ac:dyDescent="0.3">
      <c r="CY23523" s="34" t="s">
        <v>24450</v>
      </c>
      <c r="CZ23523" s="35">
        <v>0.34568738666666665</v>
      </c>
    </row>
    <row r="23524" spans="103:104" x14ac:dyDescent="0.3">
      <c r="CY23524" s="34" t="s">
        <v>24451</v>
      </c>
      <c r="CZ23524" s="35">
        <v>0.39409926000000006</v>
      </c>
    </row>
    <row r="23525" spans="103:104" x14ac:dyDescent="0.3">
      <c r="CY23525" s="34" t="s">
        <v>24452</v>
      </c>
      <c r="CZ23525" s="35">
        <v>5.7347760000000007E-4</v>
      </c>
    </row>
    <row r="23526" spans="103:104" x14ac:dyDescent="0.3">
      <c r="CY23526" s="34" t="s">
        <v>24453</v>
      </c>
      <c r="CZ23526" s="35">
        <v>1.2891478000000001E-2</v>
      </c>
    </row>
    <row r="23527" spans="103:104" x14ac:dyDescent="0.3">
      <c r="CY23527" s="34" t="s">
        <v>24454</v>
      </c>
      <c r="CZ23527" s="35">
        <v>1.1044256799999999E-2</v>
      </c>
    </row>
    <row r="23528" spans="103:104" x14ac:dyDescent="0.3">
      <c r="CY23528" s="34" t="s">
        <v>24455</v>
      </c>
      <c r="CZ23528" s="35">
        <v>4.0080751999999999E-3</v>
      </c>
    </row>
    <row r="23529" spans="103:104" x14ac:dyDescent="0.3">
      <c r="CY23529" s="34" t="s">
        <v>24456</v>
      </c>
      <c r="CZ23529" s="35">
        <v>4.5666027999999997E-3</v>
      </c>
    </row>
    <row r="23530" spans="103:104" x14ac:dyDescent="0.3">
      <c r="CY23530" s="34" t="s">
        <v>24457</v>
      </c>
      <c r="CZ23530" s="35">
        <v>5.4993516000000006E-3</v>
      </c>
    </row>
    <row r="23531" spans="103:104" x14ac:dyDescent="0.3">
      <c r="CY23531" s="34" t="s">
        <v>24458</v>
      </c>
      <c r="CZ23531" s="35">
        <v>1.3000666666666666E-2</v>
      </c>
    </row>
    <row r="23532" spans="103:104" x14ac:dyDescent="0.3">
      <c r="CY23532" s="34" t="s">
        <v>24459</v>
      </c>
      <c r="CZ23532" s="35">
        <v>7.4946380000000007E-2</v>
      </c>
    </row>
    <row r="23533" spans="103:104" x14ac:dyDescent="0.3">
      <c r="CY23533" s="34" t="s">
        <v>24460</v>
      </c>
      <c r="CZ23533" s="35">
        <v>4.5086187848466658E-3</v>
      </c>
    </row>
    <row r="23534" spans="103:104" x14ac:dyDescent="0.3">
      <c r="CY23534" s="34" t="s">
        <v>24461</v>
      </c>
      <c r="CZ23534" s="35">
        <v>2.3629433333333335E-2</v>
      </c>
    </row>
    <row r="23535" spans="103:104" x14ac:dyDescent="0.3">
      <c r="CY23535" s="34" t="s">
        <v>24462</v>
      </c>
      <c r="CZ23535" s="35">
        <v>2.5374761333333332E-2</v>
      </c>
    </row>
    <row r="23536" spans="103:104" x14ac:dyDescent="0.3">
      <c r="CY23536" s="34" t="s">
        <v>24463</v>
      </c>
      <c r="CZ23536" s="35">
        <v>5.3899200000000007E-4</v>
      </c>
    </row>
    <row r="23537" spans="103:104" x14ac:dyDescent="0.3">
      <c r="CY23537" s="34" t="s">
        <v>24464</v>
      </c>
      <c r="CZ23537" s="35">
        <v>9.7826673684210542E-3</v>
      </c>
    </row>
    <row r="23538" spans="103:104" x14ac:dyDescent="0.3">
      <c r="CY23538" s="34" t="s">
        <v>24465</v>
      </c>
      <c r="CZ23538" s="35">
        <v>9.2395519999999998E-3</v>
      </c>
    </row>
    <row r="23539" spans="103:104" x14ac:dyDescent="0.3">
      <c r="CY23539" s="34" t="s">
        <v>24466</v>
      </c>
      <c r="CZ23539" s="35">
        <v>9.2792120000000002E-3</v>
      </c>
    </row>
    <row r="23540" spans="103:104" x14ac:dyDescent="0.3">
      <c r="CY23540" s="34" t="s">
        <v>24467</v>
      </c>
      <c r="CZ23540" s="35">
        <v>1.134724E-2</v>
      </c>
    </row>
    <row r="23541" spans="103:104" x14ac:dyDescent="0.3">
      <c r="CY23541" s="34" t="s">
        <v>24468</v>
      </c>
      <c r="CZ23541" s="35">
        <v>1.1363940000000001E-2</v>
      </c>
    </row>
    <row r="23542" spans="103:104" x14ac:dyDescent="0.3">
      <c r="CY23542" s="34" t="s">
        <v>24469</v>
      </c>
      <c r="CZ23542" s="35">
        <v>7.6589999999999991E-3</v>
      </c>
    </row>
    <row r="23543" spans="103:104" x14ac:dyDescent="0.3">
      <c r="CY23543" s="34" t="s">
        <v>24470</v>
      </c>
      <c r="CZ23543" s="35">
        <v>1.0930014117647059E-2</v>
      </c>
    </row>
    <row r="23544" spans="103:104" x14ac:dyDescent="0.3">
      <c r="CY23544" s="34" t="s">
        <v>24471</v>
      </c>
      <c r="CZ23544" s="35">
        <v>9.290511999999999E-3</v>
      </c>
    </row>
    <row r="23545" spans="103:104" x14ac:dyDescent="0.3">
      <c r="CY23545" s="34" t="s">
        <v>24472</v>
      </c>
      <c r="CZ23545" s="35">
        <v>1.3690273684210526E-2</v>
      </c>
    </row>
    <row r="23546" spans="103:104" x14ac:dyDescent="0.3">
      <c r="CY23546" s="34" t="s">
        <v>24473</v>
      </c>
      <c r="CZ23546" s="35">
        <v>1.3387321052631579E-2</v>
      </c>
    </row>
    <row r="23547" spans="103:104" x14ac:dyDescent="0.3">
      <c r="CY23547" s="34" t="s">
        <v>24474</v>
      </c>
      <c r="CZ23547" s="35">
        <v>9.5792559999999995E-3</v>
      </c>
    </row>
    <row r="23548" spans="103:104" x14ac:dyDescent="0.3">
      <c r="CY23548" s="34" t="s">
        <v>24475</v>
      </c>
      <c r="CZ23548" s="35">
        <v>0.1969302</v>
      </c>
    </row>
    <row r="23549" spans="103:104" x14ac:dyDescent="0.3">
      <c r="CY23549" s="34" t="s">
        <v>24476</v>
      </c>
      <c r="CZ23549" s="35">
        <v>4.8221999999999995E-4</v>
      </c>
    </row>
    <row r="23550" spans="103:104" x14ac:dyDescent="0.3">
      <c r="CY23550" s="34" t="s">
        <v>24477</v>
      </c>
      <c r="CZ23550" s="35">
        <v>6.0835999999999996E-4</v>
      </c>
    </row>
    <row r="23551" spans="103:104" x14ac:dyDescent="0.3">
      <c r="CY23551" s="34" t="s">
        <v>24478</v>
      </c>
      <c r="CZ23551" s="35">
        <v>5.9699600000000003E-4</v>
      </c>
    </row>
    <row r="23552" spans="103:104" x14ac:dyDescent="0.3">
      <c r="CY23552" s="34" t="s">
        <v>24479</v>
      </c>
      <c r="CZ23552" s="35">
        <v>3.2575415999999999E-3</v>
      </c>
    </row>
    <row r="23553" spans="103:104" x14ac:dyDescent="0.3">
      <c r="CY23553" s="34" t="s">
        <v>24480</v>
      </c>
      <c r="CZ23553" s="35">
        <v>3.6025625000000003E-3</v>
      </c>
    </row>
    <row r="23554" spans="103:104" x14ac:dyDescent="0.3">
      <c r="CY23554" s="34" t="s">
        <v>24481</v>
      </c>
      <c r="CZ23554" s="35">
        <v>4.6155394285714293E-3</v>
      </c>
    </row>
    <row r="23555" spans="103:104" x14ac:dyDescent="0.3">
      <c r="CY23555" s="34" t="s">
        <v>24482</v>
      </c>
      <c r="CZ23555" s="35">
        <v>7.8700317499999992E-3</v>
      </c>
    </row>
    <row r="23556" spans="103:104" x14ac:dyDescent="0.3">
      <c r="CY23556" s="34" t="s">
        <v>24483</v>
      </c>
      <c r="CZ23556" s="35">
        <v>0.14077634219653179</v>
      </c>
    </row>
    <row r="23557" spans="103:104" x14ac:dyDescent="0.3">
      <c r="CY23557" s="34" t="s">
        <v>24484</v>
      </c>
      <c r="CZ23557" s="35">
        <v>4.3244533300000006E-2</v>
      </c>
    </row>
    <row r="23558" spans="103:104" x14ac:dyDescent="0.3">
      <c r="CY23558" s="34" t="s">
        <v>24485</v>
      </c>
      <c r="CZ23558" s="35">
        <v>1.5474920000000001E-2</v>
      </c>
    </row>
    <row r="23559" spans="103:104" x14ac:dyDescent="0.3">
      <c r="CY23559" s="34" t="s">
        <v>24486</v>
      </c>
      <c r="CZ23559" s="35">
        <v>1.0254013000000001E-3</v>
      </c>
    </row>
    <row r="23560" spans="103:104" x14ac:dyDescent="0.3">
      <c r="CY23560" s="34" t="s">
        <v>24487</v>
      </c>
      <c r="CZ23560" s="35">
        <v>2.0695984000000004E-2</v>
      </c>
    </row>
    <row r="23561" spans="103:104" x14ac:dyDescent="0.3">
      <c r="CY23561" s="34" t="s">
        <v>24488</v>
      </c>
      <c r="CZ23561" s="35">
        <v>1.2160685199999998E-2</v>
      </c>
    </row>
    <row r="23562" spans="103:104" x14ac:dyDescent="0.3">
      <c r="CY23562" s="34" t="s">
        <v>24489</v>
      </c>
      <c r="CZ23562" s="35">
        <v>2.5540000000000003E-3</v>
      </c>
    </row>
    <row r="23563" spans="103:104" x14ac:dyDescent="0.3">
      <c r="CY23563" s="34" t="s">
        <v>24490</v>
      </c>
      <c r="CZ23563" s="35">
        <v>1.12457628E-2</v>
      </c>
    </row>
    <row r="23564" spans="103:104" x14ac:dyDescent="0.3">
      <c r="CY23564" s="34" t="s">
        <v>24491</v>
      </c>
      <c r="CZ23564" s="35">
        <v>2.5720000000000005E-3</v>
      </c>
    </row>
    <row r="23565" spans="103:104" x14ac:dyDescent="0.3">
      <c r="CY23565" s="34" t="s">
        <v>24492</v>
      </c>
      <c r="CZ23565" s="35">
        <v>1.12457628E-2</v>
      </c>
    </row>
    <row r="23566" spans="103:104" x14ac:dyDescent="0.3">
      <c r="CY23566" s="34" t="s">
        <v>24493</v>
      </c>
      <c r="CZ23566" s="35">
        <v>2.5540000000000003E-3</v>
      </c>
    </row>
    <row r="23567" spans="103:104" x14ac:dyDescent="0.3">
      <c r="CY23567" s="34" t="s">
        <v>24494</v>
      </c>
      <c r="CZ23567" s="35">
        <v>1.0788301600000001E-2</v>
      </c>
    </row>
    <row r="23568" spans="103:104" x14ac:dyDescent="0.3">
      <c r="CY23568" s="34" t="s">
        <v>24495</v>
      </c>
      <c r="CZ23568" s="35">
        <v>2.5540000000000003E-3</v>
      </c>
    </row>
    <row r="23569" spans="103:104" x14ac:dyDescent="0.3">
      <c r="CY23569" s="34" t="s">
        <v>24496</v>
      </c>
      <c r="CZ23569" s="35">
        <v>1.0788301600000001E-2</v>
      </c>
    </row>
    <row r="23570" spans="103:104" x14ac:dyDescent="0.3">
      <c r="CY23570" s="34" t="s">
        <v>24497</v>
      </c>
      <c r="CZ23570" s="35">
        <v>2.5720000000000005E-3</v>
      </c>
    </row>
    <row r="23571" spans="103:104" x14ac:dyDescent="0.3">
      <c r="CY23571" s="34" t="s">
        <v>24498</v>
      </c>
      <c r="CZ23571" s="35">
        <v>8.3502305999999998E-2</v>
      </c>
    </row>
    <row r="23572" spans="103:104" x14ac:dyDescent="0.3">
      <c r="CY23572" s="34" t="s">
        <v>24499</v>
      </c>
      <c r="CZ23572" s="35">
        <v>2.9293936E-2</v>
      </c>
    </row>
    <row r="23573" spans="103:104" x14ac:dyDescent="0.3">
      <c r="CY23573" s="34" t="s">
        <v>24500</v>
      </c>
      <c r="CZ23573" s="35">
        <v>8.8410853333333332E-4</v>
      </c>
    </row>
    <row r="23574" spans="103:104" x14ac:dyDescent="0.3">
      <c r="CY23574" s="34" t="s">
        <v>24501</v>
      </c>
      <c r="CZ23574" s="35">
        <v>1.3628624E-3</v>
      </c>
    </row>
    <row r="23575" spans="103:104" x14ac:dyDescent="0.3">
      <c r="CY23575" s="34" t="s">
        <v>24502</v>
      </c>
      <c r="CZ23575" s="35">
        <v>8.4108480000000003E-3</v>
      </c>
    </row>
    <row r="23576" spans="103:104" x14ac:dyDescent="0.3">
      <c r="CY23576" s="34" t="s">
        <v>24503</v>
      </c>
      <c r="CZ23576" s="35">
        <v>1.7946792E-2</v>
      </c>
    </row>
    <row r="23577" spans="103:104" x14ac:dyDescent="0.3">
      <c r="CY23577" s="34" t="s">
        <v>24504</v>
      </c>
      <c r="CZ23577" s="35">
        <v>3.7309379747999999E-2</v>
      </c>
    </row>
    <row r="23578" spans="103:104" x14ac:dyDescent="0.3">
      <c r="CY23578" s="34" t="s">
        <v>24505</v>
      </c>
      <c r="CZ23578" s="35">
        <v>5.3571880000000006E-3</v>
      </c>
    </row>
    <row r="23579" spans="103:104" x14ac:dyDescent="0.3">
      <c r="CY23579" s="34" t="s">
        <v>24506</v>
      </c>
      <c r="CZ23579" s="35">
        <v>1.5600766857142857E-2</v>
      </c>
    </row>
    <row r="23580" spans="103:104" x14ac:dyDescent="0.3">
      <c r="CY23580" s="34" t="s">
        <v>24507</v>
      </c>
      <c r="CZ23580" s="35">
        <v>2.5741430025000001E-2</v>
      </c>
    </row>
    <row r="23581" spans="103:104" x14ac:dyDescent="0.3">
      <c r="CY23581" s="34" t="s">
        <v>24508</v>
      </c>
      <c r="CZ23581" s="35">
        <v>2.9414249999999999E-2</v>
      </c>
    </row>
    <row r="23582" spans="103:104" x14ac:dyDescent="0.3">
      <c r="CY23582" s="34" t="s">
        <v>24509</v>
      </c>
      <c r="CZ23582" s="35">
        <v>1.5209148E-3</v>
      </c>
    </row>
    <row r="23583" spans="103:104" x14ac:dyDescent="0.3">
      <c r="CY23583" s="34" t="s">
        <v>24510</v>
      </c>
      <c r="CZ23583" s="35">
        <v>8.574758E-3</v>
      </c>
    </row>
    <row r="23584" spans="103:104" x14ac:dyDescent="0.3">
      <c r="CY23584" s="34" t="s">
        <v>24511</v>
      </c>
      <c r="CZ23584" s="35">
        <v>0.12974125666666669</v>
      </c>
    </row>
    <row r="23585" spans="103:104" x14ac:dyDescent="0.3">
      <c r="CY23585" s="34" t="s">
        <v>24512</v>
      </c>
      <c r="CZ23585" s="35">
        <v>0.15402458466666669</v>
      </c>
    </row>
    <row r="23586" spans="103:104" x14ac:dyDescent="0.3">
      <c r="CY23586" s="34" t="s">
        <v>24513</v>
      </c>
      <c r="CZ23586" s="35">
        <v>1.0496023333333335E-2</v>
      </c>
    </row>
    <row r="23587" spans="103:104" x14ac:dyDescent="0.3">
      <c r="CY23587" s="34" t="s">
        <v>24514</v>
      </c>
      <c r="CZ23587" s="35">
        <v>2.128062E-3</v>
      </c>
    </row>
    <row r="23588" spans="103:104" x14ac:dyDescent="0.3">
      <c r="CY23588" s="34" t="s">
        <v>24515</v>
      </c>
      <c r="CZ23588" s="35">
        <v>2.3964022000000002E-3</v>
      </c>
    </row>
    <row r="23589" spans="103:104" x14ac:dyDescent="0.3">
      <c r="CY23589" s="34" t="s">
        <v>24516</v>
      </c>
      <c r="CZ23589" s="35">
        <v>2.8677669999999998E-3</v>
      </c>
    </row>
    <row r="23590" spans="103:104" x14ac:dyDescent="0.3">
      <c r="CY23590" s="34" t="s">
        <v>24517</v>
      </c>
      <c r="CZ23590" s="35">
        <v>6.6248620000000005E-3</v>
      </c>
    </row>
    <row r="23591" spans="103:104" x14ac:dyDescent="0.3">
      <c r="CY23591" s="34" t="s">
        <v>24518</v>
      </c>
      <c r="CZ23591" s="35">
        <v>3.9159740000000009E-3</v>
      </c>
    </row>
    <row r="23592" spans="103:104" x14ac:dyDescent="0.3">
      <c r="CY23592" s="34" t="s">
        <v>24519</v>
      </c>
      <c r="CZ23592" s="35">
        <v>0.80070329333333334</v>
      </c>
    </row>
    <row r="23593" spans="103:104" x14ac:dyDescent="0.3">
      <c r="CY23593" s="34" t="s">
        <v>24520</v>
      </c>
      <c r="CZ23593" s="35">
        <v>1.6301779666666669E-2</v>
      </c>
    </row>
    <row r="23594" spans="103:104" x14ac:dyDescent="0.3">
      <c r="CY23594" s="34" t="s">
        <v>24521</v>
      </c>
      <c r="CZ23594" s="35">
        <v>0.63115784660000007</v>
      </c>
    </row>
    <row r="23595" spans="103:104" x14ac:dyDescent="0.3">
      <c r="CY23595" s="34" t="s">
        <v>24522</v>
      </c>
      <c r="CZ23595" s="35">
        <v>3.7742751999999993E-4</v>
      </c>
    </row>
    <row r="23596" spans="103:104" x14ac:dyDescent="0.3">
      <c r="CY23596" s="34" t="s">
        <v>24523</v>
      </c>
      <c r="CZ23596" s="35">
        <v>2.1940251420000001E-4</v>
      </c>
    </row>
    <row r="23597" spans="103:104" x14ac:dyDescent="0.3">
      <c r="CY23597" s="34" t="s">
        <v>24524</v>
      </c>
      <c r="CZ23597" s="35">
        <v>1.6230578000000001E-3</v>
      </c>
    </row>
    <row r="23598" spans="103:104" x14ac:dyDescent="0.3">
      <c r="CY23598" s="34" t="s">
        <v>24525</v>
      </c>
      <c r="CZ23598" s="35">
        <v>2.5618622400000002E-2</v>
      </c>
    </row>
    <row r="23599" spans="103:104" x14ac:dyDescent="0.3">
      <c r="CY23599" s="34" t="s">
        <v>24526</v>
      </c>
      <c r="CZ23599" s="35">
        <v>0.23552144</v>
      </c>
    </row>
    <row r="23600" spans="103:104" x14ac:dyDescent="0.3">
      <c r="CY23600" s="34" t="s">
        <v>24527</v>
      </c>
      <c r="CZ23600" s="35">
        <v>0.25427391999999999</v>
      </c>
    </row>
    <row r="23601" spans="103:104" x14ac:dyDescent="0.3">
      <c r="CY23601" s="34" t="s">
        <v>24528</v>
      </c>
      <c r="CZ23601" s="35">
        <v>0.43897431999999997</v>
      </c>
    </row>
    <row r="23602" spans="103:104" x14ac:dyDescent="0.3">
      <c r="CY23602" s="34" t="s">
        <v>24529</v>
      </c>
      <c r="CZ23602" s="35">
        <v>0.44138900000000003</v>
      </c>
    </row>
    <row r="23603" spans="103:104" x14ac:dyDescent="0.3">
      <c r="CY23603" s="34" t="s">
        <v>24530</v>
      </c>
      <c r="CZ23603" s="35">
        <v>0.4024606</v>
      </c>
    </row>
    <row r="23604" spans="103:104" x14ac:dyDescent="0.3">
      <c r="CY23604" s="34" t="s">
        <v>24531</v>
      </c>
      <c r="CZ23604" s="35">
        <v>0.59916480000000005</v>
      </c>
    </row>
    <row r="23605" spans="103:104" x14ac:dyDescent="0.3">
      <c r="CY23605" s="34" t="s">
        <v>24532</v>
      </c>
      <c r="CZ23605" s="35">
        <v>0.37569232000000002</v>
      </c>
    </row>
    <row r="23606" spans="103:104" x14ac:dyDescent="0.3">
      <c r="CY23606" s="34" t="s">
        <v>24533</v>
      </c>
      <c r="CZ23606" s="35">
        <v>0.47732637999999988</v>
      </c>
    </row>
    <row r="23607" spans="103:104" x14ac:dyDescent="0.3">
      <c r="CY23607" s="34" t="s">
        <v>24534</v>
      </c>
      <c r="CZ23607" s="35">
        <v>3.4583332999999997E-3</v>
      </c>
    </row>
    <row r="23608" spans="103:104" x14ac:dyDescent="0.3">
      <c r="CY23608" s="34" t="s">
        <v>24535</v>
      </c>
      <c r="CZ23608" s="35">
        <v>4.9713471999999995E-2</v>
      </c>
    </row>
    <row r="23609" spans="103:104" x14ac:dyDescent="0.3">
      <c r="CY23609" s="34" t="s">
        <v>24536</v>
      </c>
      <c r="CZ23609" s="35">
        <v>7.4345560000000005E-2</v>
      </c>
    </row>
    <row r="23610" spans="103:104" x14ac:dyDescent="0.3">
      <c r="CY23610" s="34" t="s">
        <v>24537</v>
      </c>
      <c r="CZ23610" s="35">
        <v>3.07656474125E-2</v>
      </c>
    </row>
    <row r="23611" spans="103:104" x14ac:dyDescent="0.3">
      <c r="CY23611" s="34" t="s">
        <v>24538</v>
      </c>
      <c r="CZ23611" s="35">
        <v>3.3792307499999998E-4</v>
      </c>
    </row>
    <row r="23612" spans="103:104" x14ac:dyDescent="0.3">
      <c r="CY23612" s="34" t="s">
        <v>24539</v>
      </c>
      <c r="CZ23612" s="35">
        <v>1.1243255999999998E-4</v>
      </c>
    </row>
    <row r="23613" spans="103:104" x14ac:dyDescent="0.3">
      <c r="CY23613" s="34" t="s">
        <v>24540</v>
      </c>
      <c r="CZ23613" s="35">
        <v>3.5336127999999997E-4</v>
      </c>
    </row>
    <row r="23614" spans="103:104" x14ac:dyDescent="0.3">
      <c r="CY23614" s="34" t="s">
        <v>24541</v>
      </c>
      <c r="CZ23614" s="35">
        <v>3.2546911111111114E-4</v>
      </c>
    </row>
    <row r="23615" spans="103:104" x14ac:dyDescent="0.3">
      <c r="CY23615" s="34" t="s">
        <v>24542</v>
      </c>
      <c r="CZ23615" s="35">
        <v>0.42710799999999993</v>
      </c>
    </row>
    <row r="23616" spans="103:104" x14ac:dyDescent="0.3">
      <c r="CY23616" s="34" t="s">
        <v>24543</v>
      </c>
      <c r="CZ23616" s="35">
        <v>8.3426488900000002E-3</v>
      </c>
    </row>
    <row r="23617" spans="103:104" x14ac:dyDescent="0.3">
      <c r="CY23617" s="34" t="s">
        <v>24544</v>
      </c>
      <c r="CZ23617" s="35">
        <v>1.1951051600000001E-3</v>
      </c>
    </row>
    <row r="23618" spans="103:104" x14ac:dyDescent="0.3">
      <c r="CY23618" s="34" t="s">
        <v>24545</v>
      </c>
      <c r="CZ23618" s="35">
        <v>7.1053528421052637E-3</v>
      </c>
    </row>
    <row r="23619" spans="103:104" x14ac:dyDescent="0.3">
      <c r="CY23619" s="34" t="s">
        <v>24546</v>
      </c>
      <c r="CZ23619" s="35">
        <v>8.5123431999999995E-3</v>
      </c>
    </row>
    <row r="23620" spans="103:104" x14ac:dyDescent="0.3">
      <c r="CY23620" s="34" t="s">
        <v>24547</v>
      </c>
      <c r="CZ23620" s="35">
        <v>0.26740520000000001</v>
      </c>
    </row>
    <row r="23621" spans="103:104" x14ac:dyDescent="0.3">
      <c r="CY23621" s="34" t="s">
        <v>24548</v>
      </c>
      <c r="CZ23621" s="35">
        <v>0.84478799999999998</v>
      </c>
    </row>
    <row r="23622" spans="103:104" x14ac:dyDescent="0.3">
      <c r="CY23622" s="34" t="s">
        <v>24549</v>
      </c>
      <c r="CZ23622" s="35">
        <v>3.580303E-3</v>
      </c>
    </row>
    <row r="23623" spans="103:104" x14ac:dyDescent="0.3">
      <c r="CY23623" s="34" t="s">
        <v>24550</v>
      </c>
      <c r="CZ23623" s="35">
        <v>0.24995023999999999</v>
      </c>
    </row>
    <row r="23624" spans="103:104" x14ac:dyDescent="0.3">
      <c r="CY23624" s="34" t="s">
        <v>24551</v>
      </c>
      <c r="CZ23624" s="35">
        <v>0.38265039999999995</v>
      </c>
    </row>
    <row r="23625" spans="103:104" x14ac:dyDescent="0.3">
      <c r="CY23625" s="34" t="s">
        <v>24552</v>
      </c>
      <c r="CZ23625" s="35">
        <v>1.02633568E-4</v>
      </c>
    </row>
    <row r="23626" spans="103:104" x14ac:dyDescent="0.3">
      <c r="CY23626" s="34" t="s">
        <v>24553</v>
      </c>
      <c r="CZ23626" s="35">
        <v>5.1760143999999998E-3</v>
      </c>
    </row>
    <row r="23627" spans="103:104" x14ac:dyDescent="0.3">
      <c r="CY23627" s="34" t="s">
        <v>24554</v>
      </c>
      <c r="CZ23627" s="35">
        <v>1.4260126E-2</v>
      </c>
    </row>
    <row r="23628" spans="103:104" x14ac:dyDescent="0.3">
      <c r="CY23628" s="34" t="s">
        <v>24555</v>
      </c>
      <c r="CZ23628" s="35">
        <v>0.21949517333333332</v>
      </c>
    </row>
    <row r="23629" spans="103:104" x14ac:dyDescent="0.3">
      <c r="CY23629" s="34" t="s">
        <v>24556</v>
      </c>
      <c r="CZ23629" s="35">
        <v>0.22447053333333331</v>
      </c>
    </row>
    <row r="23630" spans="103:104" x14ac:dyDescent="0.3">
      <c r="CY23630" s="34" t="s">
        <v>24557</v>
      </c>
      <c r="CZ23630" s="35">
        <v>3.8650000000000002E-4</v>
      </c>
    </row>
    <row r="23631" spans="103:104" x14ac:dyDescent="0.3">
      <c r="CY23631" s="34" t="s">
        <v>24558</v>
      </c>
      <c r="CZ23631" s="35">
        <v>0.10282196</v>
      </c>
    </row>
    <row r="23632" spans="103:104" x14ac:dyDescent="0.3">
      <c r="CY23632" s="34" t="s">
        <v>24559</v>
      </c>
      <c r="CZ23632" s="35">
        <v>7.222124000000002E-2</v>
      </c>
    </row>
    <row r="23633" spans="103:104" x14ac:dyDescent="0.3">
      <c r="CY23633" s="34" t="s">
        <v>24560</v>
      </c>
      <c r="CZ23633" s="35">
        <v>6.2456720000000009E-4</v>
      </c>
    </row>
    <row r="23634" spans="103:104" x14ac:dyDescent="0.3">
      <c r="CY23634" s="34" t="s">
        <v>24561</v>
      </c>
      <c r="CZ23634" s="35">
        <v>7.4151324499999996E-3</v>
      </c>
    </row>
    <row r="23635" spans="103:104" x14ac:dyDescent="0.3">
      <c r="CY23635" s="34" t="s">
        <v>24562</v>
      </c>
      <c r="CZ23635" s="35">
        <v>7.4158680000000008E-3</v>
      </c>
    </row>
    <row r="23636" spans="103:104" x14ac:dyDescent="0.3">
      <c r="CY23636" s="34" t="s">
        <v>24563</v>
      </c>
      <c r="CZ23636" s="35">
        <v>8.1164999999999987E-3</v>
      </c>
    </row>
    <row r="23637" spans="103:104" x14ac:dyDescent="0.3">
      <c r="CY23637" s="34" t="s">
        <v>24564</v>
      </c>
      <c r="CZ23637" s="35">
        <v>2.388E-4</v>
      </c>
    </row>
    <row r="23638" spans="103:104" x14ac:dyDescent="0.3">
      <c r="CY23638" s="34" t="s">
        <v>24565</v>
      </c>
      <c r="CZ23638" s="35">
        <v>7.157518800000001</v>
      </c>
    </row>
    <row r="23639" spans="103:104" x14ac:dyDescent="0.3">
      <c r="CY23639" s="34" t="s">
        <v>24566</v>
      </c>
      <c r="CZ23639" s="35">
        <v>7.7252500000000003E-3</v>
      </c>
    </row>
    <row r="23640" spans="103:104" x14ac:dyDescent="0.3">
      <c r="CY23640" s="34" t="s">
        <v>24567</v>
      </c>
      <c r="CZ23640" s="35">
        <v>9.5961237083333345E-3</v>
      </c>
    </row>
    <row r="23641" spans="103:104" x14ac:dyDescent="0.3">
      <c r="CY23641" s="34" t="s">
        <v>24568</v>
      </c>
      <c r="CZ23641" s="35">
        <v>2.0719586300000001</v>
      </c>
    </row>
    <row r="23642" spans="103:104" x14ac:dyDescent="0.3">
      <c r="CY23642" s="34" t="s">
        <v>24569</v>
      </c>
      <c r="CZ23642" s="35">
        <v>1.1734917999999999</v>
      </c>
    </row>
    <row r="23643" spans="103:104" x14ac:dyDescent="0.3">
      <c r="CY23643" s="34" t="s">
        <v>24570</v>
      </c>
      <c r="CZ23643" s="35">
        <v>4.9757142857142856E-3</v>
      </c>
    </row>
    <row r="23644" spans="103:104" x14ac:dyDescent="0.3">
      <c r="CY23644" s="34" t="s">
        <v>24571</v>
      </c>
      <c r="CZ23644" s="35">
        <v>2.3849978285714286E-2</v>
      </c>
    </row>
    <row r="23645" spans="103:104" x14ac:dyDescent="0.3">
      <c r="CY23645" s="34" t="s">
        <v>24572</v>
      </c>
      <c r="CZ23645" s="35">
        <v>2.0359322285714285E-2</v>
      </c>
    </row>
    <row r="23646" spans="103:104" x14ac:dyDescent="0.3">
      <c r="CY23646" s="34" t="s">
        <v>24573</v>
      </c>
      <c r="CZ23646" s="35">
        <v>8.4571882100000009E-3</v>
      </c>
    </row>
    <row r="23647" spans="103:104" x14ac:dyDescent="0.3">
      <c r="CY23647" s="34" t="s">
        <v>24574</v>
      </c>
      <c r="CZ23647" s="35">
        <v>1.2945112000000001</v>
      </c>
    </row>
    <row r="23648" spans="103:104" x14ac:dyDescent="0.3">
      <c r="CY23648" s="34" t="s">
        <v>24575</v>
      </c>
      <c r="CZ23648" s="35">
        <v>8.7355820000000001E-2</v>
      </c>
    </row>
    <row r="23649" spans="103:104" x14ac:dyDescent="0.3">
      <c r="CY23649" s="34" t="s">
        <v>24576</v>
      </c>
      <c r="CZ23649" s="35">
        <v>8.2813319999999996E-2</v>
      </c>
    </row>
    <row r="23650" spans="103:104" x14ac:dyDescent="0.3">
      <c r="CY23650" s="34" t="s">
        <v>24577</v>
      </c>
      <c r="CZ23650" s="35">
        <v>7.2245000000000002E-4</v>
      </c>
    </row>
    <row r="23651" spans="103:104" x14ac:dyDescent="0.3">
      <c r="CY23651" s="34" t="s">
        <v>24578</v>
      </c>
      <c r="CZ23651" s="35">
        <v>4.0700436577777777E-2</v>
      </c>
    </row>
    <row r="23652" spans="103:104" x14ac:dyDescent="0.3">
      <c r="CY23652" s="34" t="s">
        <v>24579</v>
      </c>
      <c r="CZ23652" s="35">
        <v>8.2371599999999986E-3</v>
      </c>
    </row>
    <row r="23653" spans="103:104" x14ac:dyDescent="0.3">
      <c r="CY23653" s="34" t="s">
        <v>24580</v>
      </c>
      <c r="CZ23653" s="35">
        <v>8.2371599999999986E-3</v>
      </c>
    </row>
    <row r="23654" spans="103:104" x14ac:dyDescent="0.3">
      <c r="CY23654" s="34" t="s">
        <v>24581</v>
      </c>
      <c r="CZ23654" s="35">
        <v>6.7701360000000004E-3</v>
      </c>
    </row>
    <row r="23655" spans="103:104" x14ac:dyDescent="0.3">
      <c r="CY23655" s="34" t="s">
        <v>24582</v>
      </c>
      <c r="CZ23655" s="35">
        <v>6.7809999999999988E-3</v>
      </c>
    </row>
    <row r="23656" spans="103:104" x14ac:dyDescent="0.3">
      <c r="CY23656" s="34" t="s">
        <v>24583</v>
      </c>
      <c r="CZ23656" s="35">
        <v>1.0331252000000001E-2</v>
      </c>
    </row>
    <row r="23657" spans="103:104" x14ac:dyDescent="0.3">
      <c r="CY23657" s="34" t="s">
        <v>24584</v>
      </c>
      <c r="CZ23657" s="35">
        <v>4.9725280000000004E-3</v>
      </c>
    </row>
    <row r="23658" spans="103:104" x14ac:dyDescent="0.3">
      <c r="CY23658" s="34" t="s">
        <v>24585</v>
      </c>
      <c r="CZ23658" s="35">
        <v>0.12552898133333334</v>
      </c>
    </row>
    <row r="23659" spans="103:104" x14ac:dyDescent="0.3">
      <c r="CY23659" s="34" t="s">
        <v>24586</v>
      </c>
      <c r="CZ23659" s="35">
        <v>1.6057232000000002E-3</v>
      </c>
    </row>
    <row r="23660" spans="103:104" x14ac:dyDescent="0.3">
      <c r="CY23660" s="34" t="s">
        <v>24587</v>
      </c>
      <c r="CZ23660" s="35">
        <v>2.3272495999999998E-3</v>
      </c>
    </row>
    <row r="23661" spans="103:104" x14ac:dyDescent="0.3">
      <c r="CY23661" s="34" t="s">
        <v>24588</v>
      </c>
      <c r="CZ23661" s="35">
        <v>1.3656864E-3</v>
      </c>
    </row>
    <row r="23662" spans="103:104" x14ac:dyDescent="0.3">
      <c r="CY23662" s="34" t="s">
        <v>24589</v>
      </c>
      <c r="CZ23662" s="35">
        <v>3.1211743999999997E-4</v>
      </c>
    </row>
    <row r="23663" spans="103:104" x14ac:dyDescent="0.3">
      <c r="CY23663" s="34" t="s">
        <v>24590</v>
      </c>
      <c r="CZ23663" s="35">
        <v>8.3189704000000003E-3</v>
      </c>
    </row>
    <row r="23664" spans="103:104" x14ac:dyDescent="0.3">
      <c r="CY23664" s="34" t="s">
        <v>24591</v>
      </c>
      <c r="CZ23664" s="35">
        <v>0.39599706666666667</v>
      </c>
    </row>
    <row r="23665" spans="103:104" x14ac:dyDescent="0.3">
      <c r="CY23665" s="34" t="s">
        <v>24592</v>
      </c>
      <c r="CZ23665" s="35">
        <v>0.41863499000000004</v>
      </c>
    </row>
    <row r="23666" spans="103:104" x14ac:dyDescent="0.3">
      <c r="CY23666" s="34" t="s">
        <v>24593</v>
      </c>
      <c r="CZ23666" s="35">
        <v>0.37314399999999998</v>
      </c>
    </row>
    <row r="23667" spans="103:104" x14ac:dyDescent="0.3">
      <c r="CY23667" s="34" t="s">
        <v>24594</v>
      </c>
      <c r="CZ23667" s="35">
        <v>1.623836E-2</v>
      </c>
    </row>
    <row r="23668" spans="103:104" x14ac:dyDescent="0.3">
      <c r="CY23668" s="34" t="s">
        <v>24595</v>
      </c>
      <c r="CZ23668" s="35">
        <v>0.27583730000000006</v>
      </c>
    </row>
    <row r="23669" spans="103:104" x14ac:dyDescent="0.3">
      <c r="CY23669" s="34" t="s">
        <v>24596</v>
      </c>
      <c r="CZ23669" s="35">
        <v>0.24079982736842107</v>
      </c>
    </row>
    <row r="23670" spans="103:104" x14ac:dyDescent="0.3">
      <c r="CY23670" s="34" t="s">
        <v>24597</v>
      </c>
      <c r="CZ23670" s="35">
        <v>0.20655891879999999</v>
      </c>
    </row>
    <row r="23671" spans="103:104" x14ac:dyDescent="0.3">
      <c r="CY23671" s="34" t="s">
        <v>24598</v>
      </c>
      <c r="CZ23671" s="35">
        <v>0.103707144</v>
      </c>
    </row>
    <row r="23672" spans="103:104" x14ac:dyDescent="0.3">
      <c r="CY23672" s="34" t="s">
        <v>24599</v>
      </c>
      <c r="CZ23672" s="35">
        <v>2.3080148160000001E-2</v>
      </c>
    </row>
    <row r="23673" spans="103:104" x14ac:dyDescent="0.3">
      <c r="CY23673" s="34" t="s">
        <v>24600</v>
      </c>
      <c r="CZ23673" s="35">
        <v>7.4209173411764723E-2</v>
      </c>
    </row>
    <row r="23674" spans="103:104" x14ac:dyDescent="0.3">
      <c r="CY23674" s="34" t="s">
        <v>24601</v>
      </c>
      <c r="CZ23674" s="35">
        <v>3.7610959999999998E-3</v>
      </c>
    </row>
    <row r="23675" spans="103:104" x14ac:dyDescent="0.3">
      <c r="CY23675" s="34" t="s">
        <v>24602</v>
      </c>
      <c r="CZ23675" s="35">
        <v>2.1983500000000003E-2</v>
      </c>
    </row>
    <row r="23676" spans="103:104" x14ac:dyDescent="0.3">
      <c r="CY23676" s="34" t="s">
        <v>24603</v>
      </c>
      <c r="CZ23676" s="35">
        <v>1.9762529166666666E-3</v>
      </c>
    </row>
    <row r="23677" spans="103:104" x14ac:dyDescent="0.3">
      <c r="CY23677" s="34" t="s">
        <v>24604</v>
      </c>
      <c r="CZ23677" s="35">
        <v>6.3499158999999999E-2</v>
      </c>
    </row>
    <row r="23678" spans="103:104" x14ac:dyDescent="0.3">
      <c r="CY23678" s="34" t="s">
        <v>24605</v>
      </c>
      <c r="CZ23678" s="35">
        <v>4.2648746999999994E-2</v>
      </c>
    </row>
    <row r="23679" spans="103:104" x14ac:dyDescent="0.3">
      <c r="CY23679" s="34" t="s">
        <v>24606</v>
      </c>
      <c r="CZ23679" s="35">
        <v>2.1753552000000002E-2</v>
      </c>
    </row>
    <row r="23680" spans="103:104" x14ac:dyDescent="0.3">
      <c r="CY23680" s="34" t="s">
        <v>24607</v>
      </c>
      <c r="CZ23680" s="35">
        <v>0.12666087265999998</v>
      </c>
    </row>
    <row r="23681" spans="103:104" x14ac:dyDescent="0.3">
      <c r="CY23681" s="34" t="s">
        <v>24608</v>
      </c>
      <c r="CZ23681" s="35">
        <v>1.5783184000000002E-2</v>
      </c>
    </row>
    <row r="23682" spans="103:104" x14ac:dyDescent="0.3">
      <c r="CY23682" s="34" t="s">
        <v>24609</v>
      </c>
      <c r="CZ23682" s="35">
        <v>3.221935523674286E-2</v>
      </c>
    </row>
    <row r="23683" spans="103:104" x14ac:dyDescent="0.3">
      <c r="CY23683" s="34" t="s">
        <v>24610</v>
      </c>
      <c r="CZ23683" s="35">
        <v>8.8843539999999995E-4</v>
      </c>
    </row>
    <row r="23684" spans="103:104" x14ac:dyDescent="0.3">
      <c r="CY23684" s="34" t="s">
        <v>24611</v>
      </c>
      <c r="CZ23684" s="35">
        <v>3.1939669999999996E-2</v>
      </c>
    </row>
    <row r="23685" spans="103:104" x14ac:dyDescent="0.3">
      <c r="CY23685" s="34" t="s">
        <v>24612</v>
      </c>
      <c r="CZ23685" s="35">
        <v>3.4689362999999994E-2</v>
      </c>
    </row>
    <row r="23686" spans="103:104" x14ac:dyDescent="0.3">
      <c r="CY23686" s="34" t="s">
        <v>24613</v>
      </c>
      <c r="CZ23686" s="35">
        <v>5.7914061285714281E-2</v>
      </c>
    </row>
    <row r="23687" spans="103:104" x14ac:dyDescent="0.3">
      <c r="CY23687" s="34" t="s">
        <v>24614</v>
      </c>
      <c r="CZ23687" s="35">
        <v>6.1760551999999996E-2</v>
      </c>
    </row>
    <row r="23688" spans="103:104" x14ac:dyDescent="0.3">
      <c r="CY23688" s="34" t="s">
        <v>24615</v>
      </c>
      <c r="CZ23688" s="35">
        <v>5.7762544000000006E-2</v>
      </c>
    </row>
    <row r="23689" spans="103:104" x14ac:dyDescent="0.3">
      <c r="CY23689" s="34" t="s">
        <v>24616</v>
      </c>
      <c r="CZ23689" s="35">
        <v>2.8715019999999994E-2</v>
      </c>
    </row>
    <row r="23690" spans="103:104" x14ac:dyDescent="0.3">
      <c r="CY23690" s="34" t="s">
        <v>24617</v>
      </c>
      <c r="CZ23690" s="35">
        <v>0.25299274999999999</v>
      </c>
    </row>
    <row r="23691" spans="103:104" x14ac:dyDescent="0.3">
      <c r="CY23691" s="34" t="s">
        <v>24618</v>
      </c>
      <c r="CZ23691" s="35">
        <v>2.8525777777777778E-2</v>
      </c>
    </row>
    <row r="23692" spans="103:104" x14ac:dyDescent="0.3">
      <c r="CY23692" s="34" t="s">
        <v>24619</v>
      </c>
      <c r="CZ23692" s="35">
        <v>7.7853752444000002E-2</v>
      </c>
    </row>
    <row r="23693" spans="103:104" x14ac:dyDescent="0.3">
      <c r="CY23693" s="34" t="s">
        <v>24620</v>
      </c>
      <c r="CZ23693" s="35">
        <v>2.4917698000000005E-2</v>
      </c>
    </row>
    <row r="23694" spans="103:104" x14ac:dyDescent="0.3">
      <c r="CY23694" s="34" t="s">
        <v>24621</v>
      </c>
      <c r="CZ23694" s="35">
        <v>1.0840245083333333E-2</v>
      </c>
    </row>
    <row r="23695" spans="103:104" x14ac:dyDescent="0.3">
      <c r="CY23695" s="34" t="s">
        <v>24622</v>
      </c>
      <c r="CZ23695" s="35">
        <v>2.9836959999999996E-2</v>
      </c>
    </row>
    <row r="23696" spans="103:104" x14ac:dyDescent="0.3">
      <c r="CY23696" s="34" t="s">
        <v>24623</v>
      </c>
      <c r="CZ23696" s="35">
        <v>2.2640722000000002E-2</v>
      </c>
    </row>
    <row r="23697" spans="103:104" x14ac:dyDescent="0.3">
      <c r="CY23697" s="34" t="s">
        <v>24624</v>
      </c>
      <c r="CZ23697" s="35">
        <v>2.2892539939332657E-2</v>
      </c>
    </row>
    <row r="23698" spans="103:104" x14ac:dyDescent="0.3">
      <c r="CY23698" s="34" t="s">
        <v>24625</v>
      </c>
      <c r="CZ23698" s="35">
        <v>2.3832338947368418E-2</v>
      </c>
    </row>
    <row r="23699" spans="103:104" x14ac:dyDescent="0.3">
      <c r="CY23699" s="34" t="s">
        <v>24626</v>
      </c>
      <c r="CZ23699" s="35">
        <v>2.2640722000000005E-2</v>
      </c>
    </row>
    <row r="23700" spans="103:104" x14ac:dyDescent="0.3">
      <c r="CY23700" s="34" t="s">
        <v>24627</v>
      </c>
      <c r="CZ23700" s="35">
        <v>8.4014399999999992E-4</v>
      </c>
    </row>
    <row r="23701" spans="103:104" x14ac:dyDescent="0.3">
      <c r="CY23701" s="34" t="s">
        <v>24628</v>
      </c>
      <c r="CZ23701" s="35">
        <v>7.9068960000000001E-3</v>
      </c>
    </row>
    <row r="23702" spans="103:104" x14ac:dyDescent="0.3">
      <c r="CY23702" s="34" t="s">
        <v>24629</v>
      </c>
      <c r="CZ23702" s="35">
        <v>6.8321440000000009E-3</v>
      </c>
    </row>
    <row r="23703" spans="103:104" x14ac:dyDescent="0.3">
      <c r="CY23703" s="34" t="s">
        <v>24630</v>
      </c>
      <c r="CZ23703" s="35">
        <v>6.3483040000000008E-3</v>
      </c>
    </row>
    <row r="23704" spans="103:104" x14ac:dyDescent="0.3">
      <c r="CY23704" s="34" t="s">
        <v>24631</v>
      </c>
      <c r="CZ23704" s="35">
        <v>6.6356630000000008E-3</v>
      </c>
    </row>
    <row r="23705" spans="103:104" x14ac:dyDescent="0.3">
      <c r="CY23705" s="34" t="s">
        <v>24632</v>
      </c>
      <c r="CZ23705" s="35">
        <v>2.0883682599999998E-2</v>
      </c>
    </row>
    <row r="23706" spans="103:104" x14ac:dyDescent="0.3">
      <c r="CY23706" s="34" t="s">
        <v>24633</v>
      </c>
      <c r="CZ23706" s="35">
        <v>1.3171299999999999E-2</v>
      </c>
    </row>
    <row r="23707" spans="103:104" x14ac:dyDescent="0.3">
      <c r="CY23707" s="34" t="s">
        <v>24634</v>
      </c>
      <c r="CZ23707" s="35">
        <v>1.1669019999999999E-2</v>
      </c>
    </row>
    <row r="23708" spans="103:104" x14ac:dyDescent="0.3">
      <c r="CY23708" s="34" t="s">
        <v>24635</v>
      </c>
      <c r="CZ23708" s="35">
        <v>7.4823488E-3</v>
      </c>
    </row>
    <row r="23709" spans="103:104" x14ac:dyDescent="0.3">
      <c r="CY23709" s="34" t="s">
        <v>24636</v>
      </c>
      <c r="CZ23709" s="35">
        <v>5.1058900000000001E-3</v>
      </c>
    </row>
    <row r="23710" spans="103:104" x14ac:dyDescent="0.3">
      <c r="CY23710" s="34" t="s">
        <v>24637</v>
      </c>
      <c r="CZ23710" s="35">
        <v>4.28E-4</v>
      </c>
    </row>
    <row r="23711" spans="103:104" x14ac:dyDescent="0.3">
      <c r="CY23711" s="34" t="s">
        <v>24638</v>
      </c>
      <c r="CZ23711" s="35">
        <v>0.15310183599999996</v>
      </c>
    </row>
    <row r="23712" spans="103:104" x14ac:dyDescent="0.3">
      <c r="CY23712" s="34" t="s">
        <v>24639</v>
      </c>
      <c r="CZ23712" s="35">
        <v>0.49648320000000001</v>
      </c>
    </row>
    <row r="23713" spans="103:104" x14ac:dyDescent="0.3">
      <c r="CY23713" s="34" t="s">
        <v>24640</v>
      </c>
      <c r="CZ23713" s="35">
        <v>0.49981327499999995</v>
      </c>
    </row>
    <row r="23714" spans="103:104" x14ac:dyDescent="0.3">
      <c r="CY23714" s="34" t="s">
        <v>24641</v>
      </c>
      <c r="CZ23714" s="35">
        <v>0.48506172000000003</v>
      </c>
    </row>
    <row r="23715" spans="103:104" x14ac:dyDescent="0.3">
      <c r="CY23715" s="34" t="s">
        <v>24642</v>
      </c>
      <c r="CZ23715" s="35">
        <v>0.61382257499999993</v>
      </c>
    </row>
    <row r="23716" spans="103:104" x14ac:dyDescent="0.3">
      <c r="CY23716" s="34" t="s">
        <v>24643</v>
      </c>
      <c r="CZ23716" s="35">
        <v>0.6234054</v>
      </c>
    </row>
    <row r="23717" spans="103:104" x14ac:dyDescent="0.3">
      <c r="CY23717" s="34" t="s">
        <v>24644</v>
      </c>
      <c r="CZ23717" s="35">
        <v>6.8786800000000001E-4</v>
      </c>
    </row>
    <row r="23718" spans="103:104" x14ac:dyDescent="0.3">
      <c r="CY23718" s="34" t="s">
        <v>24645</v>
      </c>
      <c r="CZ23718" s="35">
        <v>3.2045568000000003E-4</v>
      </c>
    </row>
    <row r="23719" spans="103:104" x14ac:dyDescent="0.3">
      <c r="CY23719" s="34" t="s">
        <v>24646</v>
      </c>
      <c r="CZ23719" s="35">
        <v>2.0951842370000001E-2</v>
      </c>
    </row>
    <row r="23720" spans="103:104" x14ac:dyDescent="0.3">
      <c r="CY23720" s="34" t="s">
        <v>24647</v>
      </c>
      <c r="CZ23720" s="35">
        <v>6.6778993299999992E-2</v>
      </c>
    </row>
    <row r="23721" spans="103:104" x14ac:dyDescent="0.3">
      <c r="CY23721" s="34" t="s">
        <v>24648</v>
      </c>
      <c r="CZ23721" s="35">
        <v>5.8795937399999998E-2</v>
      </c>
    </row>
    <row r="23722" spans="103:104" x14ac:dyDescent="0.3">
      <c r="CY23722" s="34" t="s">
        <v>24649</v>
      </c>
      <c r="CZ23722" s="35">
        <v>6.6778993299999992E-2</v>
      </c>
    </row>
    <row r="23723" spans="103:104" x14ac:dyDescent="0.3">
      <c r="CY23723" s="34" t="s">
        <v>24650</v>
      </c>
      <c r="CZ23723" s="35">
        <v>5.8795937399999998E-2</v>
      </c>
    </row>
    <row r="23724" spans="103:104" x14ac:dyDescent="0.3">
      <c r="CY23724" s="34" t="s">
        <v>24651</v>
      </c>
      <c r="CZ23724" s="35">
        <v>1.0942129199999999E-2</v>
      </c>
    </row>
    <row r="23725" spans="103:104" x14ac:dyDescent="0.3">
      <c r="CY23725" s="34" t="s">
        <v>24652</v>
      </c>
      <c r="CZ23725" s="35">
        <v>0.136352048</v>
      </c>
    </row>
    <row r="23726" spans="103:104" x14ac:dyDescent="0.3">
      <c r="CY23726" s="34" t="s">
        <v>24653</v>
      </c>
      <c r="CZ23726" s="35">
        <v>0.13503966399999998</v>
      </c>
    </row>
    <row r="23727" spans="103:104" x14ac:dyDescent="0.3">
      <c r="CY23727" s="34" t="s">
        <v>24654</v>
      </c>
      <c r="CZ23727" s="35">
        <v>0.13503966399999998</v>
      </c>
    </row>
    <row r="23728" spans="103:104" x14ac:dyDescent="0.3">
      <c r="CY23728" s="34" t="s">
        <v>24655</v>
      </c>
      <c r="CZ23728" s="35">
        <v>0.13290204800000002</v>
      </c>
    </row>
    <row r="23729" spans="103:104" x14ac:dyDescent="0.3">
      <c r="CY23729" s="34" t="s">
        <v>24656</v>
      </c>
      <c r="CZ23729" s="35">
        <v>0.135039664</v>
      </c>
    </row>
    <row r="23730" spans="103:104" x14ac:dyDescent="0.3">
      <c r="CY23730" s="34" t="s">
        <v>24657</v>
      </c>
      <c r="CZ23730" s="35">
        <v>0.13503966399999998</v>
      </c>
    </row>
    <row r="23731" spans="103:104" x14ac:dyDescent="0.3">
      <c r="CY23731" s="34" t="s">
        <v>24658</v>
      </c>
      <c r="CZ23731" s="35">
        <v>8.2460200000000002E-4</v>
      </c>
    </row>
    <row r="23732" spans="103:104" x14ac:dyDescent="0.3">
      <c r="CY23732" s="34" t="s">
        <v>24659</v>
      </c>
      <c r="CZ23732" s="35">
        <v>1.4740961666666667E-2</v>
      </c>
    </row>
    <row r="23733" spans="103:104" x14ac:dyDescent="0.3">
      <c r="CY23733" s="34" t="s">
        <v>24660</v>
      </c>
      <c r="CZ23733" s="35">
        <v>1.6583175E-3</v>
      </c>
    </row>
    <row r="23734" spans="103:104" x14ac:dyDescent="0.3">
      <c r="CY23734" s="34" t="s">
        <v>24661</v>
      </c>
      <c r="CZ23734" s="35">
        <v>1.339375E-4</v>
      </c>
    </row>
    <row r="23735" spans="103:104" x14ac:dyDescent="0.3">
      <c r="CY23735" s="34" t="s">
        <v>24662</v>
      </c>
      <c r="CZ23735" s="35">
        <v>2.0100974999999999E-3</v>
      </c>
    </row>
    <row r="23736" spans="103:104" x14ac:dyDescent="0.3">
      <c r="CY23736" s="34" t="s">
        <v>24663</v>
      </c>
      <c r="CZ23736" s="35">
        <v>2.32008E-3</v>
      </c>
    </row>
    <row r="23737" spans="103:104" x14ac:dyDescent="0.3">
      <c r="CY23737" s="34" t="s">
        <v>24664</v>
      </c>
      <c r="CZ23737" s="35">
        <v>2.9771719999999997E-3</v>
      </c>
    </row>
    <row r="23738" spans="103:104" x14ac:dyDescent="0.3">
      <c r="CY23738" s="34" t="s">
        <v>24665</v>
      </c>
      <c r="CZ23738" s="35">
        <v>8.8873675999999999E-2</v>
      </c>
    </row>
    <row r="23739" spans="103:104" x14ac:dyDescent="0.3">
      <c r="CY23739" s="34" t="s">
        <v>24666</v>
      </c>
      <c r="CZ23739" s="35">
        <v>6.8957466666666667E-3</v>
      </c>
    </row>
    <row r="23740" spans="103:104" x14ac:dyDescent="0.3">
      <c r="CY23740" s="34" t="s">
        <v>24667</v>
      </c>
      <c r="CZ23740" s="35">
        <v>6.6808666700000005E-3</v>
      </c>
    </row>
    <row r="23741" spans="103:104" x14ac:dyDescent="0.3">
      <c r="CY23741" s="34" t="s">
        <v>24668</v>
      </c>
      <c r="CZ23741" s="35">
        <v>3.3918149000000002E-4</v>
      </c>
    </row>
    <row r="23742" spans="103:104" x14ac:dyDescent="0.3">
      <c r="CY23742" s="34" t="s">
        <v>24669</v>
      </c>
      <c r="CZ23742" s="35">
        <v>5.9511627826086949E-5</v>
      </c>
    </row>
    <row r="23743" spans="103:104" x14ac:dyDescent="0.3">
      <c r="CY23743" s="34" t="s">
        <v>24670</v>
      </c>
      <c r="CZ23743" s="35">
        <v>3.3287206249999995E-3</v>
      </c>
    </row>
    <row r="23744" spans="103:104" x14ac:dyDescent="0.3">
      <c r="CY23744" s="34" t="s">
        <v>24671</v>
      </c>
      <c r="CZ23744" s="35">
        <v>1.82452375E-3</v>
      </c>
    </row>
    <row r="23745" spans="103:104" x14ac:dyDescent="0.3">
      <c r="CY23745" s="34" t="s">
        <v>24672</v>
      </c>
      <c r="CZ23745" s="35">
        <v>1.6255826000000002E-3</v>
      </c>
    </row>
    <row r="23746" spans="103:104" x14ac:dyDescent="0.3">
      <c r="CY23746" s="34" t="s">
        <v>24673</v>
      </c>
      <c r="CZ23746" s="35">
        <v>3.1815599999999999E-3</v>
      </c>
    </row>
    <row r="23747" spans="103:104" x14ac:dyDescent="0.3">
      <c r="CY23747" s="34" t="s">
        <v>24674</v>
      </c>
      <c r="CZ23747" s="35">
        <v>3.7289279999999998E-3</v>
      </c>
    </row>
    <row r="23748" spans="103:104" x14ac:dyDescent="0.3">
      <c r="CY23748" s="34" t="s">
        <v>24675</v>
      </c>
      <c r="CZ23748" s="35">
        <v>3.4413799999999995E-3</v>
      </c>
    </row>
    <row r="23749" spans="103:104" x14ac:dyDescent="0.3">
      <c r="CY23749" s="34" t="s">
        <v>24676</v>
      </c>
      <c r="CZ23749" s="35">
        <v>6.6734660000000001E-2</v>
      </c>
    </row>
    <row r="23750" spans="103:104" x14ac:dyDescent="0.3">
      <c r="CY23750" s="34" t="s">
        <v>24677</v>
      </c>
      <c r="CZ23750" s="35">
        <v>0.31255544000000002</v>
      </c>
    </row>
    <row r="23751" spans="103:104" x14ac:dyDescent="0.3">
      <c r="CY23751" s="34" t="s">
        <v>24678</v>
      </c>
      <c r="CZ23751" s="35">
        <v>4.7091599999999996E-3</v>
      </c>
    </row>
    <row r="23752" spans="103:104" x14ac:dyDescent="0.3">
      <c r="CY23752" s="34" t="s">
        <v>24679</v>
      </c>
      <c r="CZ23752" s="35">
        <v>2.7904926315789474E-4</v>
      </c>
    </row>
    <row r="23753" spans="103:104" x14ac:dyDescent="0.3">
      <c r="CY23753" s="34" t="s">
        <v>24680</v>
      </c>
      <c r="CZ23753" s="35">
        <v>3.9120722222222223E-3</v>
      </c>
    </row>
    <row r="23754" spans="103:104" x14ac:dyDescent="0.3">
      <c r="CY23754" s="34" t="s">
        <v>24681</v>
      </c>
      <c r="CZ23754" s="35">
        <v>3.9120722222222223E-3</v>
      </c>
    </row>
    <row r="23755" spans="103:104" x14ac:dyDescent="0.3">
      <c r="CY23755" s="34" t="s">
        <v>24682</v>
      </c>
      <c r="CZ23755" s="35">
        <v>3.9120722222222223E-3</v>
      </c>
    </row>
    <row r="23756" spans="103:104" x14ac:dyDescent="0.3">
      <c r="CY23756" s="34" t="s">
        <v>24683</v>
      </c>
      <c r="CZ23756" s="35">
        <v>4.1186155555555546E-3</v>
      </c>
    </row>
    <row r="23757" spans="103:104" x14ac:dyDescent="0.3">
      <c r="CY23757" s="34" t="s">
        <v>24684</v>
      </c>
      <c r="CZ23757" s="35">
        <v>4.1186155555555546E-3</v>
      </c>
    </row>
    <row r="23758" spans="103:104" x14ac:dyDescent="0.3">
      <c r="CY23758" s="34" t="s">
        <v>24685</v>
      </c>
      <c r="CZ23758" s="35">
        <v>4.1186155555555546E-3</v>
      </c>
    </row>
    <row r="23759" spans="103:104" x14ac:dyDescent="0.3">
      <c r="CY23759" s="34" t="s">
        <v>24686</v>
      </c>
      <c r="CZ23759" s="35">
        <v>3.7743766666666666E-3</v>
      </c>
    </row>
    <row r="23760" spans="103:104" x14ac:dyDescent="0.3">
      <c r="CY23760" s="34" t="s">
        <v>24687</v>
      </c>
      <c r="CZ23760" s="35">
        <v>3.7743766666666666E-3</v>
      </c>
    </row>
    <row r="23761" spans="103:104" x14ac:dyDescent="0.3">
      <c r="CY23761" s="34" t="s">
        <v>24688</v>
      </c>
      <c r="CZ23761" s="35">
        <v>3.7743766666666666E-3</v>
      </c>
    </row>
    <row r="23762" spans="103:104" x14ac:dyDescent="0.3">
      <c r="CY23762" s="34" t="s">
        <v>24689</v>
      </c>
      <c r="CZ23762" s="35">
        <v>4.5197763111111096E-3</v>
      </c>
    </row>
    <row r="23763" spans="103:104" x14ac:dyDescent="0.3">
      <c r="CY23763" s="34" t="s">
        <v>24690</v>
      </c>
      <c r="CZ23763" s="35">
        <v>2.9209051999999999E-2</v>
      </c>
    </row>
    <row r="23764" spans="103:104" x14ac:dyDescent="0.3">
      <c r="CY23764" s="34" t="s">
        <v>24691</v>
      </c>
      <c r="CZ23764" s="35">
        <v>4.5232663999999996E-4</v>
      </c>
    </row>
    <row r="23765" spans="103:104" x14ac:dyDescent="0.3">
      <c r="CY23765" s="34" t="s">
        <v>24692</v>
      </c>
      <c r="CZ23765" s="35">
        <v>2.5438006562500002E-3</v>
      </c>
    </row>
    <row r="23766" spans="103:104" x14ac:dyDescent="0.3">
      <c r="CY23766" s="34" t="s">
        <v>24693</v>
      </c>
      <c r="CZ23766" s="35">
        <v>0.37517075000000005</v>
      </c>
    </row>
    <row r="23767" spans="103:104" x14ac:dyDescent="0.3">
      <c r="CY23767" s="34" t="s">
        <v>24694</v>
      </c>
      <c r="CZ23767" s="35">
        <v>0.76667518000000001</v>
      </c>
    </row>
    <row r="23768" spans="103:104" x14ac:dyDescent="0.3">
      <c r="CY23768" s="34" t="s">
        <v>24695</v>
      </c>
      <c r="CZ23768" s="35">
        <v>4.641269E-2</v>
      </c>
    </row>
    <row r="23769" spans="103:104" x14ac:dyDescent="0.3">
      <c r="CY23769" s="34" t="s">
        <v>24696</v>
      </c>
      <c r="CZ23769" s="35">
        <v>3.6748063999999999E-4</v>
      </c>
    </row>
    <row r="23770" spans="103:104" x14ac:dyDescent="0.3">
      <c r="CY23770" s="34" t="s">
        <v>24697</v>
      </c>
      <c r="CZ23770" s="35">
        <v>0.32729630299999996</v>
      </c>
    </row>
    <row r="23771" spans="103:104" x14ac:dyDescent="0.3">
      <c r="CY23771" s="34" t="s">
        <v>24698</v>
      </c>
      <c r="CZ23771" s="35">
        <v>0.26262599999999997</v>
      </c>
    </row>
    <row r="23772" spans="103:104" x14ac:dyDescent="0.3">
      <c r="CY23772" s="34" t="s">
        <v>24699</v>
      </c>
      <c r="CZ23772" s="35">
        <v>0.32612788999999998</v>
      </c>
    </row>
    <row r="23773" spans="103:104" x14ac:dyDescent="0.3">
      <c r="CY23773" s="34" t="s">
        <v>24700</v>
      </c>
      <c r="CZ23773" s="35">
        <v>8.8157555999999993E-4</v>
      </c>
    </row>
    <row r="23774" spans="103:104" x14ac:dyDescent="0.3">
      <c r="CY23774" s="34" t="s">
        <v>24701</v>
      </c>
      <c r="CZ23774" s="35">
        <v>0.21203784340000001</v>
      </c>
    </row>
    <row r="23775" spans="103:104" x14ac:dyDescent="0.3">
      <c r="CY23775" s="34" t="s">
        <v>24702</v>
      </c>
      <c r="CZ23775" s="35">
        <v>2.85985806E-2</v>
      </c>
    </row>
    <row r="23776" spans="103:104" x14ac:dyDescent="0.3">
      <c r="CY23776" s="34" t="s">
        <v>24703</v>
      </c>
      <c r="CZ23776" s="35">
        <v>3.7721545449999998E-2</v>
      </c>
    </row>
    <row r="23777" spans="103:104" x14ac:dyDescent="0.3">
      <c r="CY23777" s="34" t="s">
        <v>24704</v>
      </c>
      <c r="CZ23777" s="35">
        <v>1.2149365000000001E-2</v>
      </c>
    </row>
    <row r="23778" spans="103:104" x14ac:dyDescent="0.3">
      <c r="CY23778" s="34" t="s">
        <v>24705</v>
      </c>
      <c r="CZ23778" s="35">
        <v>1.9452608666666669E-3</v>
      </c>
    </row>
    <row r="23779" spans="103:104" x14ac:dyDescent="0.3">
      <c r="CY23779" s="34" t="s">
        <v>24706</v>
      </c>
      <c r="CZ23779" s="35">
        <v>9.8950085999999996E-4</v>
      </c>
    </row>
    <row r="23780" spans="103:104" x14ac:dyDescent="0.3">
      <c r="CY23780" s="34" t="s">
        <v>24707</v>
      </c>
      <c r="CZ23780" s="35">
        <v>2.5750304E-3</v>
      </c>
    </row>
    <row r="23781" spans="103:104" x14ac:dyDescent="0.3">
      <c r="CY23781" s="34" t="s">
        <v>24708</v>
      </c>
      <c r="CZ23781" s="35">
        <v>8.9394948000000004E-4</v>
      </c>
    </row>
    <row r="23782" spans="103:104" x14ac:dyDescent="0.3">
      <c r="CY23782" s="34" t="s">
        <v>24709</v>
      </c>
      <c r="CZ23782" s="35">
        <v>2.6210304E-3</v>
      </c>
    </row>
    <row r="23783" spans="103:104" x14ac:dyDescent="0.3">
      <c r="CY23783" s="34" t="s">
        <v>24710</v>
      </c>
      <c r="CZ23783" s="35">
        <v>5.9130639199999994E-3</v>
      </c>
    </row>
    <row r="23784" spans="103:104" x14ac:dyDescent="0.3">
      <c r="CY23784" s="34" t="s">
        <v>24711</v>
      </c>
      <c r="CZ23784" s="35">
        <v>5.515037999999999E-3</v>
      </c>
    </row>
    <row r="23785" spans="103:104" x14ac:dyDescent="0.3">
      <c r="CY23785" s="34" t="s">
        <v>24712</v>
      </c>
      <c r="CZ23785" s="35">
        <v>7.2164180000000005E-3</v>
      </c>
    </row>
    <row r="23786" spans="103:104" x14ac:dyDescent="0.3">
      <c r="CY23786" s="34" t="s">
        <v>24713</v>
      </c>
      <c r="CZ23786" s="35">
        <v>2.0708533333333333E-3</v>
      </c>
    </row>
    <row r="23787" spans="103:104" x14ac:dyDescent="0.3">
      <c r="CY23787" s="34" t="s">
        <v>24714</v>
      </c>
      <c r="CZ23787" s="35">
        <v>7.0143380000000005E-2</v>
      </c>
    </row>
    <row r="23788" spans="103:104" x14ac:dyDescent="0.3">
      <c r="CY23788" s="34" t="s">
        <v>24715</v>
      </c>
      <c r="CZ23788" s="35">
        <v>2.4959647500000001E-2</v>
      </c>
    </row>
    <row r="23789" spans="103:104" x14ac:dyDescent="0.3">
      <c r="CY23789" s="34" t="s">
        <v>24716</v>
      </c>
      <c r="CZ23789" s="35">
        <v>0.18140688000000002</v>
      </c>
    </row>
    <row r="23790" spans="103:104" x14ac:dyDescent="0.3">
      <c r="CY23790" s="34" t="s">
        <v>24717</v>
      </c>
      <c r="CZ23790" s="35">
        <v>7.7642880000000011E-2</v>
      </c>
    </row>
    <row r="23791" spans="103:104" x14ac:dyDescent="0.3">
      <c r="CY23791" s="34" t="s">
        <v>24718</v>
      </c>
      <c r="CZ23791" s="35">
        <v>3.8398600000000005E-2</v>
      </c>
    </row>
    <row r="23792" spans="103:104" x14ac:dyDescent="0.3">
      <c r="CY23792" s="34" t="s">
        <v>24719</v>
      </c>
      <c r="CZ23792" s="35">
        <v>8.3344105333333349E-2</v>
      </c>
    </row>
    <row r="23793" spans="103:104" x14ac:dyDescent="0.3">
      <c r="CY23793" s="34" t="s">
        <v>24720</v>
      </c>
      <c r="CZ23793" s="35">
        <v>5.2649160000000007E-2</v>
      </c>
    </row>
    <row r="23794" spans="103:104" x14ac:dyDescent="0.3">
      <c r="CY23794" s="34" t="s">
        <v>24721</v>
      </c>
      <c r="CZ23794" s="35">
        <v>5.9593049999999995E-2</v>
      </c>
    </row>
    <row r="23795" spans="103:104" x14ac:dyDescent="0.3">
      <c r="CY23795" s="34" t="s">
        <v>24722</v>
      </c>
      <c r="CZ23795" s="35">
        <v>5.9593050000000002E-2</v>
      </c>
    </row>
    <row r="23796" spans="103:104" x14ac:dyDescent="0.3">
      <c r="CY23796" s="34" t="s">
        <v>24723</v>
      </c>
      <c r="CZ23796" s="35">
        <v>6.6376287999999999E-3</v>
      </c>
    </row>
    <row r="23797" spans="103:104" x14ac:dyDescent="0.3">
      <c r="CY23797" s="34" t="s">
        <v>24724</v>
      </c>
      <c r="CZ23797" s="35">
        <v>3.6877158E-2</v>
      </c>
    </row>
    <row r="23798" spans="103:104" x14ac:dyDescent="0.3">
      <c r="CY23798" s="34" t="s">
        <v>24725</v>
      </c>
      <c r="CZ23798" s="35">
        <v>2.1000245860000001E-3</v>
      </c>
    </row>
    <row r="23799" spans="103:104" x14ac:dyDescent="0.3">
      <c r="CY23799" s="34" t="s">
        <v>24726</v>
      </c>
      <c r="CZ23799" s="35">
        <v>6.9335999999999998E-3</v>
      </c>
    </row>
    <row r="23800" spans="103:104" x14ac:dyDescent="0.3">
      <c r="CY23800" s="34" t="s">
        <v>24727</v>
      </c>
      <c r="CZ23800" s="35">
        <v>1.0584068E-2</v>
      </c>
    </row>
    <row r="23801" spans="103:104" x14ac:dyDescent="0.3">
      <c r="CY23801" s="34" t="s">
        <v>24728</v>
      </c>
      <c r="CZ23801" s="35">
        <v>1.2529877E-2</v>
      </c>
    </row>
    <row r="23802" spans="103:104" x14ac:dyDescent="0.3">
      <c r="CY23802" s="34" t="s">
        <v>24729</v>
      </c>
      <c r="CZ23802" s="35">
        <v>1.3418460000000001E-3</v>
      </c>
    </row>
    <row r="23803" spans="103:104" x14ac:dyDescent="0.3">
      <c r="CY23803" s="34" t="s">
        <v>24730</v>
      </c>
      <c r="CZ23803" s="35">
        <v>2.3383983699999999E-2</v>
      </c>
    </row>
    <row r="23804" spans="103:104" x14ac:dyDescent="0.3">
      <c r="CY23804" s="34" t="s">
        <v>24731</v>
      </c>
      <c r="CZ23804" s="35">
        <v>6.9896917894736843E-2</v>
      </c>
    </row>
    <row r="23805" spans="103:104" x14ac:dyDescent="0.3">
      <c r="CY23805" s="34" t="s">
        <v>24732</v>
      </c>
      <c r="CZ23805" s="35">
        <v>1.0741800000000001E-2</v>
      </c>
    </row>
    <row r="23806" spans="103:104" x14ac:dyDescent="0.3">
      <c r="CY23806" s="34" t="s">
        <v>24733</v>
      </c>
      <c r="CZ23806" s="35">
        <v>7.7818293999999996E-2</v>
      </c>
    </row>
    <row r="23807" spans="103:104" x14ac:dyDescent="0.3">
      <c r="CY23807" s="34" t="s">
        <v>24734</v>
      </c>
      <c r="CZ23807" s="35">
        <v>6.8149500400000007E-2</v>
      </c>
    </row>
    <row r="23808" spans="103:104" x14ac:dyDescent="0.3">
      <c r="CY23808" s="34" t="s">
        <v>24735</v>
      </c>
      <c r="CZ23808" s="35">
        <v>9.831183999999998E-3</v>
      </c>
    </row>
    <row r="23809" spans="103:104" x14ac:dyDescent="0.3">
      <c r="CY23809" s="34" t="s">
        <v>24736</v>
      </c>
      <c r="CZ23809" s="35">
        <v>7.2146435199999998E-2</v>
      </c>
    </row>
    <row r="23810" spans="103:104" x14ac:dyDescent="0.3">
      <c r="CY23810" s="34" t="s">
        <v>24737</v>
      </c>
      <c r="CZ23810" s="35">
        <v>9.6016352000000017E-3</v>
      </c>
    </row>
    <row r="23811" spans="103:104" x14ac:dyDescent="0.3">
      <c r="CY23811" s="34" t="s">
        <v>24738</v>
      </c>
      <c r="CZ23811" s="35">
        <v>3.7402479999999998E-4</v>
      </c>
    </row>
    <row r="23812" spans="103:104" x14ac:dyDescent="0.3">
      <c r="CY23812" s="34" t="s">
        <v>24739</v>
      </c>
      <c r="CZ23812" s="35">
        <v>1.353948E-2</v>
      </c>
    </row>
    <row r="23813" spans="103:104" x14ac:dyDescent="0.3">
      <c r="CY23813" s="34" t="s">
        <v>24740</v>
      </c>
      <c r="CZ23813" s="35">
        <v>1.3785915500000002E-2</v>
      </c>
    </row>
    <row r="23814" spans="103:104" x14ac:dyDescent="0.3">
      <c r="CY23814" s="34" t="s">
        <v>24741</v>
      </c>
      <c r="CZ23814" s="35">
        <v>3.7640000000000004E-4</v>
      </c>
    </row>
    <row r="23815" spans="103:104" x14ac:dyDescent="0.3">
      <c r="CY23815" s="34" t="s">
        <v>24742</v>
      </c>
      <c r="CZ23815" s="35">
        <v>0.18278202999999998</v>
      </c>
    </row>
    <row r="23816" spans="103:104" x14ac:dyDescent="0.3">
      <c r="CY23816" s="34" t="s">
        <v>24743</v>
      </c>
      <c r="CZ23816" s="35">
        <v>1.2968749999999999E-2</v>
      </c>
    </row>
    <row r="23817" spans="103:104" x14ac:dyDescent="0.3">
      <c r="CY23817" s="34" t="s">
        <v>24744</v>
      </c>
      <c r="CZ23817" s="35">
        <v>0.17142577999999997</v>
      </c>
    </row>
    <row r="23818" spans="103:104" x14ac:dyDescent="0.3">
      <c r="CY23818" s="34" t="s">
        <v>24745</v>
      </c>
      <c r="CZ23818" s="35">
        <v>9.3521072000000011E-3</v>
      </c>
    </row>
    <row r="23819" spans="103:104" x14ac:dyDescent="0.3">
      <c r="CY23819" s="34" t="s">
        <v>24746</v>
      </c>
      <c r="CZ23819" s="35">
        <v>8.4402623999999991E-4</v>
      </c>
    </row>
    <row r="23820" spans="103:104" x14ac:dyDescent="0.3">
      <c r="CY23820" s="34" t="s">
        <v>24747</v>
      </c>
      <c r="CZ23820" s="35">
        <v>7.1543466E-4</v>
      </c>
    </row>
    <row r="23821" spans="103:104" x14ac:dyDescent="0.3">
      <c r="CY23821" s="34" t="s">
        <v>24748</v>
      </c>
      <c r="CZ23821" s="35">
        <v>4.5430519999999997E-4</v>
      </c>
    </row>
    <row r="23822" spans="103:104" x14ac:dyDescent="0.3">
      <c r="CY23822" s="34" t="s">
        <v>24749</v>
      </c>
      <c r="CZ23822" s="35">
        <v>3.8039258000000004E-3</v>
      </c>
    </row>
    <row r="23823" spans="103:104" x14ac:dyDescent="0.3">
      <c r="CY23823" s="34" t="s">
        <v>24750</v>
      </c>
      <c r="CZ23823" s="35">
        <v>1.6493620000000001E-3</v>
      </c>
    </row>
    <row r="23824" spans="103:104" x14ac:dyDescent="0.3">
      <c r="CY23824" s="34" t="s">
        <v>24751</v>
      </c>
      <c r="CZ23824" s="35">
        <v>0.21225052631578953</v>
      </c>
    </row>
    <row r="23825" spans="103:104" x14ac:dyDescent="0.3">
      <c r="CY23825" s="34" t="s">
        <v>24752</v>
      </c>
      <c r="CZ23825" s="35">
        <v>9.7654382222222228E-3</v>
      </c>
    </row>
    <row r="23826" spans="103:104" x14ac:dyDescent="0.3">
      <c r="CY23826" s="34" t="s">
        <v>24753</v>
      </c>
      <c r="CZ23826" s="35">
        <v>1.0612215111111109E-2</v>
      </c>
    </row>
    <row r="23827" spans="103:104" x14ac:dyDescent="0.3">
      <c r="CY23827" s="34" t="s">
        <v>24754</v>
      </c>
      <c r="CZ23827" s="35">
        <v>0.2111191</v>
      </c>
    </row>
    <row r="23828" spans="103:104" x14ac:dyDescent="0.3">
      <c r="CY23828" s="34" t="s">
        <v>24755</v>
      </c>
      <c r="CZ23828" s="35">
        <v>0.10121755999999998</v>
      </c>
    </row>
    <row r="23829" spans="103:104" x14ac:dyDescent="0.3">
      <c r="CY23829" s="34" t="s">
        <v>24756</v>
      </c>
      <c r="CZ23829" s="35">
        <v>8.4476599999999999E-2</v>
      </c>
    </row>
    <row r="23830" spans="103:104" x14ac:dyDescent="0.3">
      <c r="CY23830" s="34" t="s">
        <v>24757</v>
      </c>
      <c r="CZ23830" s="35">
        <v>1.5600560800000001E-2</v>
      </c>
    </row>
    <row r="23831" spans="103:104" x14ac:dyDescent="0.3">
      <c r="CY23831" s="34" t="s">
        <v>24758</v>
      </c>
      <c r="CZ23831" s="35">
        <v>9.6600000000000006E-4</v>
      </c>
    </row>
    <row r="23832" spans="103:104" x14ac:dyDescent="0.3">
      <c r="CY23832" s="34" t="s">
        <v>24759</v>
      </c>
      <c r="CZ23832" s="35">
        <v>8.1420635340000019E-3</v>
      </c>
    </row>
    <row r="23833" spans="103:104" x14ac:dyDescent="0.3">
      <c r="CY23833" s="34" t="s">
        <v>24760</v>
      </c>
      <c r="CZ23833" s="35">
        <v>1.0426264800000001E-2</v>
      </c>
    </row>
    <row r="23834" spans="103:104" x14ac:dyDescent="0.3">
      <c r="CY23834" s="34" t="s">
        <v>24761</v>
      </c>
      <c r="CZ23834" s="35">
        <v>4.7789944888888894E-3</v>
      </c>
    </row>
    <row r="23835" spans="103:104" x14ac:dyDescent="0.3">
      <c r="CY23835" s="34" t="s">
        <v>24762</v>
      </c>
      <c r="CZ23835" s="35">
        <v>0.187994416</v>
      </c>
    </row>
    <row r="23836" spans="103:104" x14ac:dyDescent="0.3">
      <c r="CY23836" s="34" t="s">
        <v>24763</v>
      </c>
      <c r="CZ23836" s="35">
        <v>0.11495941599999999</v>
      </c>
    </row>
    <row r="23837" spans="103:104" x14ac:dyDescent="0.3">
      <c r="CY23837" s="34" t="s">
        <v>24764</v>
      </c>
      <c r="CZ23837" s="35">
        <v>0.12781388000000002</v>
      </c>
    </row>
    <row r="23838" spans="103:104" x14ac:dyDescent="0.3">
      <c r="CY23838" s="34" t="s">
        <v>24765</v>
      </c>
      <c r="CZ23838" s="35">
        <v>5.4778880000000009E-2</v>
      </c>
    </row>
    <row r="23839" spans="103:104" x14ac:dyDescent="0.3">
      <c r="CY23839" s="34" t="s">
        <v>24766</v>
      </c>
      <c r="CZ23839" s="35">
        <v>0.91371256138947365</v>
      </c>
    </row>
    <row r="23840" spans="103:104" x14ac:dyDescent="0.3">
      <c r="CY23840" s="34" t="s">
        <v>24767</v>
      </c>
      <c r="CZ23840" s="35">
        <v>1.0929698244210528</v>
      </c>
    </row>
    <row r="23841" spans="103:104" x14ac:dyDescent="0.3">
      <c r="CY23841" s="34" t="s">
        <v>24768</v>
      </c>
      <c r="CZ23841" s="35">
        <v>0.92481319294736852</v>
      </c>
    </row>
    <row r="23842" spans="103:104" x14ac:dyDescent="0.3">
      <c r="CY23842" s="34" t="s">
        <v>24769</v>
      </c>
      <c r="CZ23842" s="35">
        <v>0.8018410526315789</v>
      </c>
    </row>
    <row r="23843" spans="103:104" x14ac:dyDescent="0.3">
      <c r="CY23843" s="34" t="s">
        <v>24770</v>
      </c>
      <c r="CZ23843" s="35">
        <v>0.53254315789473683</v>
      </c>
    </row>
    <row r="23844" spans="103:104" x14ac:dyDescent="0.3">
      <c r="CY23844" s="34" t="s">
        <v>24771</v>
      </c>
      <c r="CZ23844" s="35">
        <v>7.381032E-3</v>
      </c>
    </row>
    <row r="23845" spans="103:104" x14ac:dyDescent="0.3">
      <c r="CY23845" s="34" t="s">
        <v>24772</v>
      </c>
      <c r="CZ23845" s="35">
        <v>7.6022399999999997E-3</v>
      </c>
    </row>
    <row r="23846" spans="103:104" x14ac:dyDescent="0.3">
      <c r="CY23846" s="34" t="s">
        <v>24773</v>
      </c>
      <c r="CZ23846" s="35">
        <v>0.40638813341999996</v>
      </c>
    </row>
    <row r="23847" spans="103:104" x14ac:dyDescent="0.3">
      <c r="CY23847" s="34" t="s">
        <v>24774</v>
      </c>
      <c r="CZ23847" s="35">
        <v>0.33145956199999999</v>
      </c>
    </row>
    <row r="23848" spans="103:104" x14ac:dyDescent="0.3">
      <c r="CY23848" s="34" t="s">
        <v>24775</v>
      </c>
      <c r="CZ23848" s="35">
        <v>0.41282424141999996</v>
      </c>
    </row>
    <row r="23849" spans="103:104" x14ac:dyDescent="0.3">
      <c r="CY23849" s="34" t="s">
        <v>24776</v>
      </c>
      <c r="CZ23849" s="35">
        <v>0.33789566999999998</v>
      </c>
    </row>
    <row r="23850" spans="103:104" x14ac:dyDescent="0.3">
      <c r="CY23850" s="34" t="s">
        <v>24777</v>
      </c>
      <c r="CZ23850" s="35">
        <v>0.3695176</v>
      </c>
    </row>
    <row r="23851" spans="103:104" x14ac:dyDescent="0.3">
      <c r="CY23851" s="34" t="s">
        <v>24778</v>
      </c>
      <c r="CZ23851" s="35">
        <v>9.77365E-4</v>
      </c>
    </row>
    <row r="23852" spans="103:104" x14ac:dyDescent="0.3">
      <c r="CY23852" s="34" t="s">
        <v>24779</v>
      </c>
      <c r="CZ23852" s="35">
        <v>5.6941380000000007E-2</v>
      </c>
    </row>
    <row r="23853" spans="103:104" x14ac:dyDescent="0.3">
      <c r="CY23853" s="34" t="s">
        <v>24780</v>
      </c>
      <c r="CZ23853" s="35">
        <v>4.9149962222222225E-2</v>
      </c>
    </row>
    <row r="23854" spans="103:104" x14ac:dyDescent="0.3">
      <c r="CY23854" s="34" t="s">
        <v>24781</v>
      </c>
      <c r="CZ23854" s="35">
        <v>4.8789690196078435E-2</v>
      </c>
    </row>
    <row r="23855" spans="103:104" x14ac:dyDescent="0.3">
      <c r="CY23855" s="34" t="s">
        <v>24782</v>
      </c>
      <c r="CZ23855" s="35">
        <v>6.2644620833333331E-2</v>
      </c>
    </row>
    <row r="23856" spans="103:104" x14ac:dyDescent="0.3">
      <c r="CY23856" s="34" t="s">
        <v>24783</v>
      </c>
      <c r="CZ23856" s="35">
        <v>7.8357888000000001E-4</v>
      </c>
    </row>
    <row r="23857" spans="103:104" x14ac:dyDescent="0.3">
      <c r="CY23857" s="34" t="s">
        <v>24784</v>
      </c>
      <c r="CZ23857" s="35">
        <v>3.7007184000000001E-3</v>
      </c>
    </row>
    <row r="23858" spans="103:104" x14ac:dyDescent="0.3">
      <c r="CY23858" s="34" t="s">
        <v>24785</v>
      </c>
      <c r="CZ23858" s="35">
        <v>4.5663917999999998E-3</v>
      </c>
    </row>
    <row r="23859" spans="103:104" x14ac:dyDescent="0.3">
      <c r="CY23859" s="34" t="s">
        <v>24786</v>
      </c>
      <c r="CZ23859" s="35">
        <v>7.1609158319999991E-2</v>
      </c>
    </row>
    <row r="23860" spans="103:104" x14ac:dyDescent="0.3">
      <c r="CY23860" s="34" t="s">
        <v>24787</v>
      </c>
      <c r="CZ23860" s="35">
        <v>0.20372599999999999</v>
      </c>
    </row>
    <row r="23861" spans="103:104" x14ac:dyDescent="0.3">
      <c r="CY23861" s="34" t="s">
        <v>24788</v>
      </c>
      <c r="CZ23861" s="35">
        <v>8.6775143157894743E-4</v>
      </c>
    </row>
    <row r="23862" spans="103:104" x14ac:dyDescent="0.3">
      <c r="CY23862" s="34" t="s">
        <v>24789</v>
      </c>
      <c r="CZ23862" s="35">
        <v>0.15598786295833336</v>
      </c>
    </row>
    <row r="23863" spans="103:104" x14ac:dyDescent="0.3">
      <c r="CY23863" s="34" t="s">
        <v>205</v>
      </c>
      <c r="CZ23863" s="35">
        <v>0.10132276460412372</v>
      </c>
    </row>
    <row r="23864" spans="103:104" x14ac:dyDescent="0.3">
      <c r="CY23864" s="34" t="s">
        <v>24790</v>
      </c>
      <c r="CZ23864" s="35">
        <v>0.10934566851633984</v>
      </c>
    </row>
    <row r="23865" spans="103:104" x14ac:dyDescent="0.3">
      <c r="CY23865" s="34" t="s">
        <v>24791</v>
      </c>
      <c r="CZ23865" s="35">
        <v>0.10145474398195876</v>
      </c>
    </row>
    <row r="23866" spans="103:104" x14ac:dyDescent="0.3">
      <c r="CY23866" s="34" t="s">
        <v>24792</v>
      </c>
      <c r="CZ23866" s="35">
        <v>0.10180010481030928</v>
      </c>
    </row>
    <row r="23867" spans="103:104" x14ac:dyDescent="0.3">
      <c r="CY23867" s="34" t="s">
        <v>24793</v>
      </c>
      <c r="CZ23867" s="35">
        <v>6.8781700000000003E-3</v>
      </c>
    </row>
    <row r="23868" spans="103:104" x14ac:dyDescent="0.3">
      <c r="CY23868" s="34" t="s">
        <v>24794</v>
      </c>
      <c r="CZ23868" s="35">
        <v>1.7455275156250001E-3</v>
      </c>
    </row>
    <row r="23869" spans="103:104" x14ac:dyDescent="0.3">
      <c r="CY23869" s="34" t="s">
        <v>24795</v>
      </c>
      <c r="CZ23869" s="35">
        <v>1.6318635200000001E-2</v>
      </c>
    </row>
    <row r="23870" spans="103:104" x14ac:dyDescent="0.3">
      <c r="CY23870" s="34" t="s">
        <v>24796</v>
      </c>
      <c r="CZ23870" s="35">
        <v>1.5973635199999999E-2</v>
      </c>
    </row>
    <row r="23871" spans="103:104" x14ac:dyDescent="0.3">
      <c r="CY23871" s="34" t="s">
        <v>24797</v>
      </c>
      <c r="CZ23871" s="35">
        <v>1.6635699999999998E-3</v>
      </c>
    </row>
    <row r="23872" spans="103:104" x14ac:dyDescent="0.3">
      <c r="CY23872" s="34" t="s">
        <v>24798</v>
      </c>
      <c r="CZ23872" s="35">
        <v>9.4205951999999987E-5</v>
      </c>
    </row>
    <row r="23873" spans="103:104" x14ac:dyDescent="0.3">
      <c r="CY23873" s="34" t="s">
        <v>24799</v>
      </c>
      <c r="CZ23873" s="35">
        <v>1.03663536E-4</v>
      </c>
    </row>
    <row r="23874" spans="103:104" x14ac:dyDescent="0.3">
      <c r="CY23874" s="34" t="s">
        <v>24800</v>
      </c>
      <c r="CZ23874" s="35">
        <v>1.1395294663999999E-2</v>
      </c>
    </row>
    <row r="23875" spans="103:104" x14ac:dyDescent="0.3">
      <c r="CY23875" s="34" t="s">
        <v>24801</v>
      </c>
      <c r="CZ23875" s="35">
        <v>1.2186518999999999E-3</v>
      </c>
    </row>
    <row r="23876" spans="103:104" x14ac:dyDescent="0.3">
      <c r="CY23876" s="34" t="s">
        <v>24802</v>
      </c>
      <c r="CZ23876" s="35">
        <v>6.0298359999999994E-3</v>
      </c>
    </row>
    <row r="23877" spans="103:104" x14ac:dyDescent="0.3">
      <c r="CY23877" s="34" t="s">
        <v>24803</v>
      </c>
      <c r="CZ23877" s="35">
        <v>1.5723847999999999E-2</v>
      </c>
    </row>
    <row r="23878" spans="103:104" x14ac:dyDescent="0.3">
      <c r="CY23878" s="34" t="s">
        <v>24804</v>
      </c>
      <c r="CZ23878" s="35">
        <v>1.5723848000000002E-2</v>
      </c>
    </row>
    <row r="23879" spans="103:104" x14ac:dyDescent="0.3">
      <c r="CY23879" s="34" t="s">
        <v>24805</v>
      </c>
      <c r="CZ23879" s="35">
        <v>0.3367923333333333</v>
      </c>
    </row>
    <row r="23880" spans="103:104" x14ac:dyDescent="0.3">
      <c r="CY23880" s="34" t="s">
        <v>24806</v>
      </c>
      <c r="CZ23880" s="35">
        <v>2.4465883909774434E-2</v>
      </c>
    </row>
    <row r="23881" spans="103:104" x14ac:dyDescent="0.3">
      <c r="CY23881" s="34" t="s">
        <v>24807</v>
      </c>
      <c r="CZ23881" s="35">
        <v>1.4817721599999998E-2</v>
      </c>
    </row>
    <row r="23882" spans="103:104" x14ac:dyDescent="0.3">
      <c r="CY23882" s="34" t="s">
        <v>24808</v>
      </c>
      <c r="CZ23882" s="35">
        <v>1.4817721599999998E-2</v>
      </c>
    </row>
    <row r="23883" spans="103:104" x14ac:dyDescent="0.3">
      <c r="CY23883" s="34" t="s">
        <v>24809</v>
      </c>
      <c r="CZ23883" s="35">
        <v>4.2900787999999995E-3</v>
      </c>
    </row>
    <row r="23884" spans="103:104" x14ac:dyDescent="0.3">
      <c r="CY23884" s="34" t="s">
        <v>24810</v>
      </c>
      <c r="CZ23884" s="35">
        <v>4.2900788000000004E-3</v>
      </c>
    </row>
    <row r="23885" spans="103:104" x14ac:dyDescent="0.3">
      <c r="CY23885" s="34" t="s">
        <v>24811</v>
      </c>
      <c r="CZ23885" s="35">
        <v>2.8159680000000003E-3</v>
      </c>
    </row>
    <row r="23886" spans="103:104" x14ac:dyDescent="0.3">
      <c r="CY23886" s="34" t="s">
        <v>24812</v>
      </c>
      <c r="CZ23886" s="35">
        <v>2.8159680000000003E-3</v>
      </c>
    </row>
    <row r="23887" spans="103:104" x14ac:dyDescent="0.3">
      <c r="CY23887" s="34" t="s">
        <v>24813</v>
      </c>
      <c r="CZ23887" s="35">
        <v>4.1496240000000002E-3</v>
      </c>
    </row>
    <row r="23888" spans="103:104" x14ac:dyDescent="0.3">
      <c r="CY23888" s="34" t="s">
        <v>24814</v>
      </c>
      <c r="CZ23888" s="35">
        <v>4.1496240000000002E-3</v>
      </c>
    </row>
    <row r="23889" spans="103:104" x14ac:dyDescent="0.3">
      <c r="CY23889" s="34" t="s">
        <v>24815</v>
      </c>
      <c r="CZ23889" s="35">
        <v>4.3977E-3</v>
      </c>
    </row>
    <row r="23890" spans="103:104" x14ac:dyDescent="0.3">
      <c r="CY23890" s="34" t="s">
        <v>24816</v>
      </c>
      <c r="CZ23890" s="35">
        <v>4.3977E-3</v>
      </c>
    </row>
    <row r="23891" spans="103:104" x14ac:dyDescent="0.3">
      <c r="CY23891" s="34" t="s">
        <v>24817</v>
      </c>
      <c r="CZ23891" s="35">
        <v>4.3198083999999998E-2</v>
      </c>
    </row>
    <row r="23892" spans="103:104" x14ac:dyDescent="0.3">
      <c r="CY23892" s="34" t="s">
        <v>24818</v>
      </c>
      <c r="CZ23892" s="35">
        <v>1.9009129999999999E-2</v>
      </c>
    </row>
    <row r="23893" spans="103:104" x14ac:dyDescent="0.3">
      <c r="CY23893" s="34" t="s">
        <v>24819</v>
      </c>
      <c r="CZ23893" s="35">
        <v>7.7595224000000004E-2</v>
      </c>
    </row>
    <row r="23894" spans="103:104" x14ac:dyDescent="0.3">
      <c r="CY23894" s="34" t="s">
        <v>24820</v>
      </c>
      <c r="CZ23894" s="35">
        <v>7.7595224000000004E-2</v>
      </c>
    </row>
    <row r="23895" spans="103:104" x14ac:dyDescent="0.3">
      <c r="CY23895" s="34" t="s">
        <v>24821</v>
      </c>
      <c r="CZ23895" s="35">
        <v>5.0124640000000003E-3</v>
      </c>
    </row>
    <row r="23896" spans="103:104" x14ac:dyDescent="0.3">
      <c r="CY23896" s="34" t="s">
        <v>24822</v>
      </c>
      <c r="CZ23896" s="35">
        <v>1.4265343999999999E-2</v>
      </c>
    </row>
    <row r="23897" spans="103:104" x14ac:dyDescent="0.3">
      <c r="CY23897" s="34" t="s">
        <v>24823</v>
      </c>
      <c r="CZ23897" s="35">
        <v>1.0731595999999999E-2</v>
      </c>
    </row>
    <row r="23898" spans="103:104" x14ac:dyDescent="0.3">
      <c r="CY23898" s="34" t="s">
        <v>24824</v>
      </c>
      <c r="CZ23898" s="35">
        <v>5.8642820000000002E-3</v>
      </c>
    </row>
    <row r="23899" spans="103:104" x14ac:dyDescent="0.3">
      <c r="CY23899" s="34" t="s">
        <v>24825</v>
      </c>
      <c r="CZ23899" s="35">
        <v>1.8416432E-2</v>
      </c>
    </row>
    <row r="23900" spans="103:104" x14ac:dyDescent="0.3">
      <c r="CY23900" s="34" t="s">
        <v>24826</v>
      </c>
      <c r="CZ23900" s="35">
        <v>3.5425693999999994E-2</v>
      </c>
    </row>
    <row r="23901" spans="103:104" x14ac:dyDescent="0.3">
      <c r="CY23901" s="34" t="s">
        <v>24827</v>
      </c>
      <c r="CZ23901" s="35">
        <v>0.50469550000000007</v>
      </c>
    </row>
    <row r="23902" spans="103:104" x14ac:dyDescent="0.3">
      <c r="CY23902" s="34" t="s">
        <v>24828</v>
      </c>
      <c r="CZ23902" s="35">
        <v>0.49578893000000002</v>
      </c>
    </row>
    <row r="23903" spans="103:104" x14ac:dyDescent="0.3">
      <c r="CY23903" s="34" t="s">
        <v>24829</v>
      </c>
      <c r="CZ23903" s="35">
        <v>0.51854984999999998</v>
      </c>
    </row>
    <row r="23904" spans="103:104" x14ac:dyDescent="0.3">
      <c r="CY23904" s="34" t="s">
        <v>24830</v>
      </c>
      <c r="CZ23904" s="35">
        <v>3.1347550199999998E-2</v>
      </c>
    </row>
    <row r="23905" spans="103:104" x14ac:dyDescent="0.3">
      <c r="CY23905" s="34" t="s">
        <v>24831</v>
      </c>
      <c r="CZ23905" s="35">
        <v>3.0456337500000003E-3</v>
      </c>
    </row>
    <row r="23906" spans="103:104" x14ac:dyDescent="0.3">
      <c r="CY23906" s="34" t="s">
        <v>24832</v>
      </c>
      <c r="CZ23906" s="35">
        <v>8.2940908800000006</v>
      </c>
    </row>
    <row r="23907" spans="103:104" x14ac:dyDescent="0.3">
      <c r="CY23907" s="34" t="s">
        <v>24833</v>
      </c>
      <c r="CZ23907" s="35">
        <v>8.3811112000000012</v>
      </c>
    </row>
    <row r="23908" spans="103:104" x14ac:dyDescent="0.3">
      <c r="CY23908" s="34" t="s">
        <v>24834</v>
      </c>
      <c r="CZ23908" s="35">
        <v>7.1031007999999993E-2</v>
      </c>
    </row>
    <row r="23909" spans="103:104" x14ac:dyDescent="0.3">
      <c r="CY23909" s="34" t="s">
        <v>24835</v>
      </c>
      <c r="CZ23909" s="35">
        <v>2.9780000000000002E-3</v>
      </c>
    </row>
    <row r="23910" spans="103:104" x14ac:dyDescent="0.3">
      <c r="CY23910" s="34" t="s">
        <v>24836</v>
      </c>
      <c r="CZ23910" s="35">
        <v>2.1887205333333333E-2</v>
      </c>
    </row>
    <row r="23911" spans="103:104" x14ac:dyDescent="0.3">
      <c r="CY23911" s="34" t="s">
        <v>24837</v>
      </c>
      <c r="CZ23911" s="35">
        <v>1.6232648E-3</v>
      </c>
    </row>
    <row r="23912" spans="103:104" x14ac:dyDescent="0.3">
      <c r="CY23912" s="34" t="s">
        <v>24838</v>
      </c>
      <c r="CZ23912" s="35">
        <v>7.412379999999999E-2</v>
      </c>
    </row>
    <row r="23913" spans="103:104" x14ac:dyDescent="0.3">
      <c r="CY23913" s="34" t="s">
        <v>24839</v>
      </c>
      <c r="CZ23913" s="35">
        <v>5.9613920000000001E-2</v>
      </c>
    </row>
    <row r="23914" spans="103:104" x14ac:dyDescent="0.3">
      <c r="CY23914" s="34" t="s">
        <v>24840</v>
      </c>
      <c r="CZ23914" s="35">
        <v>4.7756140000000009E-2</v>
      </c>
    </row>
    <row r="23915" spans="103:104" x14ac:dyDescent="0.3">
      <c r="CY23915" s="34" t="s">
        <v>24841</v>
      </c>
      <c r="CZ23915" s="35">
        <v>5.724916E-2</v>
      </c>
    </row>
    <row r="23916" spans="103:104" x14ac:dyDescent="0.3">
      <c r="CY23916" s="34" t="s">
        <v>24842</v>
      </c>
      <c r="CZ23916" s="35">
        <v>0.32919697149999999</v>
      </c>
    </row>
    <row r="23917" spans="103:104" x14ac:dyDescent="0.3">
      <c r="CY23917" s="34" t="s">
        <v>24843</v>
      </c>
      <c r="CZ23917" s="35">
        <v>0.22226300000000002</v>
      </c>
    </row>
    <row r="23918" spans="103:104" x14ac:dyDescent="0.3">
      <c r="CY23918" s="34" t="s">
        <v>24844</v>
      </c>
      <c r="CZ23918" s="35">
        <v>0.22226300000000002</v>
      </c>
    </row>
    <row r="23919" spans="103:104" x14ac:dyDescent="0.3">
      <c r="CY23919" s="34" t="s">
        <v>24845</v>
      </c>
      <c r="CZ23919" s="35">
        <v>9.5304319999999995E-4</v>
      </c>
    </row>
    <row r="23920" spans="103:104" x14ac:dyDescent="0.3">
      <c r="CY23920" s="34" t="s">
        <v>24846</v>
      </c>
      <c r="CZ23920" s="35">
        <v>2.5671399999999999E-3</v>
      </c>
    </row>
    <row r="23921" spans="103:104" x14ac:dyDescent="0.3">
      <c r="CY23921" s="34" t="s">
        <v>24847</v>
      </c>
      <c r="CZ23921" s="35">
        <v>1.053626E-3</v>
      </c>
    </row>
    <row r="23922" spans="103:104" x14ac:dyDescent="0.3">
      <c r="CY23922" s="34" t="s">
        <v>24848</v>
      </c>
      <c r="CZ23922" s="35">
        <v>8.1427920000000007E-4</v>
      </c>
    </row>
    <row r="23923" spans="103:104" x14ac:dyDescent="0.3">
      <c r="CY23923" s="34" t="s">
        <v>24849</v>
      </c>
      <c r="CZ23923" s="35">
        <v>8.9774360000000018E-3</v>
      </c>
    </row>
    <row r="23924" spans="103:104" x14ac:dyDescent="0.3">
      <c r="CY23924" s="34" t="s">
        <v>24850</v>
      </c>
      <c r="CZ23924" s="35">
        <v>8.9774360000000001E-3</v>
      </c>
    </row>
    <row r="23925" spans="103:104" x14ac:dyDescent="0.3">
      <c r="CY23925" s="34" t="s">
        <v>24851</v>
      </c>
      <c r="CZ23925" s="35">
        <v>5.0930252799999999E-2</v>
      </c>
    </row>
    <row r="23926" spans="103:104" x14ac:dyDescent="0.3">
      <c r="CY23926" s="34" t="s">
        <v>24852</v>
      </c>
      <c r="CZ23926" s="35">
        <v>6.3768636000000004E-2</v>
      </c>
    </row>
    <row r="23927" spans="103:104" x14ac:dyDescent="0.3">
      <c r="CY23927" s="34" t="s">
        <v>24853</v>
      </c>
      <c r="CZ23927" s="35">
        <v>5.0912252800000002E-2</v>
      </c>
    </row>
    <row r="23928" spans="103:104" x14ac:dyDescent="0.3">
      <c r="CY23928" s="34" t="s">
        <v>24854</v>
      </c>
      <c r="CZ23928" s="35">
        <v>5.0966052125000001E-2</v>
      </c>
    </row>
    <row r="23929" spans="103:104" x14ac:dyDescent="0.3">
      <c r="CY23929" s="34" t="s">
        <v>24855</v>
      </c>
      <c r="CZ23929" s="35">
        <v>9.331937659999999E-2</v>
      </c>
    </row>
    <row r="23930" spans="103:104" x14ac:dyDescent="0.3">
      <c r="CY23930" s="34" t="s">
        <v>24856</v>
      </c>
      <c r="CZ23930" s="35">
        <v>3.1796950000000004E-2</v>
      </c>
    </row>
    <row r="23931" spans="103:104" x14ac:dyDescent="0.3">
      <c r="CY23931" s="34" t="s">
        <v>24857</v>
      </c>
      <c r="CZ23931" s="35">
        <v>2.8239166000000003E-2</v>
      </c>
    </row>
    <row r="23932" spans="103:104" x14ac:dyDescent="0.3">
      <c r="CY23932" s="34" t="s">
        <v>24858</v>
      </c>
      <c r="CZ23932" s="35">
        <v>0.10711907999999999</v>
      </c>
    </row>
    <row r="23933" spans="103:104" x14ac:dyDescent="0.3">
      <c r="CY23933" s="34" t="s">
        <v>24859</v>
      </c>
      <c r="CZ23933" s="35">
        <v>0.10723408</v>
      </c>
    </row>
    <row r="23934" spans="103:104" x14ac:dyDescent="0.3">
      <c r="CY23934" s="34" t="s">
        <v>24860</v>
      </c>
      <c r="CZ23934" s="35">
        <v>1.1490808449999999E-2</v>
      </c>
    </row>
    <row r="23935" spans="103:104" x14ac:dyDescent="0.3">
      <c r="CY23935" s="34" t="s">
        <v>24861</v>
      </c>
      <c r="CZ23935" s="35">
        <v>2.6729240000000005E-2</v>
      </c>
    </row>
    <row r="23936" spans="103:104" x14ac:dyDescent="0.3">
      <c r="CY23936" s="34" t="s">
        <v>24862</v>
      </c>
      <c r="CZ23936" s="35">
        <v>5.2809235200000004E-3</v>
      </c>
    </row>
    <row r="23937" spans="103:104" x14ac:dyDescent="0.3">
      <c r="CY23937" s="34" t="s">
        <v>24863</v>
      </c>
      <c r="CZ23937" s="35">
        <v>0.29631765639999996</v>
      </c>
    </row>
    <row r="23938" spans="103:104" x14ac:dyDescent="0.3">
      <c r="CY23938" s="34" t="s">
        <v>24864</v>
      </c>
      <c r="CZ23938" s="35">
        <v>0.18931244799999999</v>
      </c>
    </row>
    <row r="23939" spans="103:104" x14ac:dyDescent="0.3">
      <c r="CY23939" s="34" t="s">
        <v>24865</v>
      </c>
      <c r="CZ23939" s="35">
        <v>6.8592354999999997E-3</v>
      </c>
    </row>
    <row r="23940" spans="103:104" x14ac:dyDescent="0.3">
      <c r="CY23940" s="34" t="s">
        <v>24866</v>
      </c>
      <c r="CZ23940" s="35">
        <v>3.6489399999999994E-4</v>
      </c>
    </row>
    <row r="23941" spans="103:104" x14ac:dyDescent="0.3">
      <c r="CY23941" s="34" t="s">
        <v>24867</v>
      </c>
      <c r="CZ23941" s="35">
        <v>2.9242147999999999E-2</v>
      </c>
    </row>
    <row r="23942" spans="103:104" x14ac:dyDescent="0.3">
      <c r="CY23942" s="34" t="s">
        <v>24868</v>
      </c>
      <c r="CZ23942" s="35">
        <v>1.40002728E-2</v>
      </c>
    </row>
    <row r="23943" spans="103:104" x14ac:dyDescent="0.3">
      <c r="CY23943" s="34" t="s">
        <v>24869</v>
      </c>
      <c r="CZ23943" s="35">
        <v>1.26309736E-2</v>
      </c>
    </row>
    <row r="23944" spans="103:104" x14ac:dyDescent="0.3">
      <c r="CY23944" s="34" t="s">
        <v>24870</v>
      </c>
      <c r="CZ23944" s="35">
        <v>1.6534513600000002E-2</v>
      </c>
    </row>
    <row r="23945" spans="103:104" x14ac:dyDescent="0.3">
      <c r="CY23945" s="34" t="s">
        <v>24871</v>
      </c>
      <c r="CZ23945" s="35">
        <v>1.9195300892307695E-2</v>
      </c>
    </row>
    <row r="23946" spans="103:104" x14ac:dyDescent="0.3">
      <c r="CY23946" s="34" t="s">
        <v>24872</v>
      </c>
      <c r="CZ23946" s="35">
        <v>1.0426555446153847E-2</v>
      </c>
    </row>
    <row r="23947" spans="103:104" x14ac:dyDescent="0.3">
      <c r="CY23947" s="34" t="s">
        <v>24873</v>
      </c>
      <c r="CZ23947" s="35">
        <v>3.2280891384615378E-3</v>
      </c>
    </row>
    <row r="23948" spans="103:104" x14ac:dyDescent="0.3">
      <c r="CY23948" s="34" t="s">
        <v>24874</v>
      </c>
      <c r="CZ23948" s="35">
        <v>1.9224203999999998E-2</v>
      </c>
    </row>
    <row r="23949" spans="103:104" x14ac:dyDescent="0.3">
      <c r="CY23949" s="34" t="s">
        <v>24875</v>
      </c>
      <c r="CZ23949" s="35">
        <v>5.6570495999999998E-2</v>
      </c>
    </row>
    <row r="23950" spans="103:104" x14ac:dyDescent="0.3">
      <c r="CY23950" s="34" t="s">
        <v>24876</v>
      </c>
      <c r="CZ23950" s="35">
        <v>1.9076910799999999E-2</v>
      </c>
    </row>
    <row r="23951" spans="103:104" x14ac:dyDescent="0.3">
      <c r="CY23951" s="34" t="s">
        <v>24877</v>
      </c>
      <c r="CZ23951" s="35">
        <v>3.4779660800000001E-2</v>
      </c>
    </row>
    <row r="23952" spans="103:104" x14ac:dyDescent="0.3">
      <c r="CY23952" s="34" t="s">
        <v>24878</v>
      </c>
      <c r="CZ23952" s="35">
        <v>2.7920219999999999E-2</v>
      </c>
    </row>
    <row r="23953" spans="103:104" x14ac:dyDescent="0.3">
      <c r="CY23953" s="34" t="s">
        <v>24879</v>
      </c>
      <c r="CZ23953" s="35">
        <v>3.2213449999999998E-2</v>
      </c>
    </row>
    <row r="23954" spans="103:104" x14ac:dyDescent="0.3">
      <c r="CY23954" s="34" t="s">
        <v>24880</v>
      </c>
      <c r="CZ23954" s="35">
        <v>2.8613322105263159E-2</v>
      </c>
    </row>
    <row r="23955" spans="103:104" x14ac:dyDescent="0.3">
      <c r="CY23955" s="34" t="s">
        <v>24881</v>
      </c>
      <c r="CZ23955" s="35">
        <v>2.9560464000000002E-2</v>
      </c>
    </row>
    <row r="23956" spans="103:104" x14ac:dyDescent="0.3">
      <c r="CY23956" s="34" t="s">
        <v>24882</v>
      </c>
      <c r="CZ23956" s="35">
        <v>5.0978160000000002E-2</v>
      </c>
    </row>
    <row r="23957" spans="103:104" x14ac:dyDescent="0.3">
      <c r="CY23957" s="34" t="s">
        <v>24883</v>
      </c>
      <c r="CZ23957" s="35">
        <v>3.7216666000000002E-4</v>
      </c>
    </row>
    <row r="23958" spans="103:104" x14ac:dyDescent="0.3">
      <c r="CY23958" s="34" t="s">
        <v>24884</v>
      </c>
      <c r="CZ23958" s="35">
        <v>0.63990394666666672</v>
      </c>
    </row>
    <row r="23959" spans="103:104" x14ac:dyDescent="0.3">
      <c r="CY23959" s="34" t="s">
        <v>24885</v>
      </c>
      <c r="CZ23959" s="35">
        <v>4.4693061999999997E-4</v>
      </c>
    </row>
    <row r="23960" spans="103:104" x14ac:dyDescent="0.3">
      <c r="CY23960" s="34" t="s">
        <v>24886</v>
      </c>
      <c r="CZ23960" s="35">
        <v>1.9862499999999998E-2</v>
      </c>
    </row>
    <row r="23961" spans="103:104" x14ac:dyDescent="0.3">
      <c r="CY23961" s="34" t="s">
        <v>24887</v>
      </c>
      <c r="CZ23961" s="35">
        <v>2.9819714334599996E-3</v>
      </c>
    </row>
    <row r="23962" spans="103:104" x14ac:dyDescent="0.3">
      <c r="CY23962" s="34" t="s">
        <v>24888</v>
      </c>
      <c r="CZ23962" s="35">
        <v>8.2095600000000007E-4</v>
      </c>
    </row>
    <row r="23963" spans="103:104" x14ac:dyDescent="0.3">
      <c r="CY23963" s="34" t="s">
        <v>24889</v>
      </c>
      <c r="CZ23963" s="35">
        <v>1.2052639999999999E-3</v>
      </c>
    </row>
    <row r="23964" spans="103:104" x14ac:dyDescent="0.3">
      <c r="CY23964" s="34" t="s">
        <v>24890</v>
      </c>
      <c r="CZ23964" s="35">
        <v>0.12060598296874998</v>
      </c>
    </row>
    <row r="23965" spans="103:104" x14ac:dyDescent="0.3">
      <c r="CY23965" s="34" t="s">
        <v>24891</v>
      </c>
      <c r="CZ23965" s="35">
        <v>2.3394335999999995E-3</v>
      </c>
    </row>
    <row r="23966" spans="103:104" x14ac:dyDescent="0.3">
      <c r="CY23966" s="34" t="s">
        <v>24892</v>
      </c>
      <c r="CZ23966" s="35">
        <v>1.9003303000000001E-3</v>
      </c>
    </row>
    <row r="23967" spans="103:104" x14ac:dyDescent="0.3">
      <c r="CY23967" s="34" t="s">
        <v>24893</v>
      </c>
      <c r="CZ23967" s="35">
        <v>7.5296114285714286E-3</v>
      </c>
    </row>
    <row r="23968" spans="103:104" x14ac:dyDescent="0.3">
      <c r="CY23968" s="34" t="s">
        <v>24894</v>
      </c>
      <c r="CZ23968" s="35">
        <v>2.4541301328571425E-2</v>
      </c>
    </row>
    <row r="23969" spans="103:104" x14ac:dyDescent="0.3">
      <c r="CY23969" s="34" t="s">
        <v>24895</v>
      </c>
      <c r="CZ23969" s="35">
        <v>0.13910869666666667</v>
      </c>
    </row>
    <row r="23970" spans="103:104" x14ac:dyDescent="0.3">
      <c r="CY23970" s="34" t="s">
        <v>24896</v>
      </c>
      <c r="CZ23970" s="35">
        <v>5.6230313552779999E-2</v>
      </c>
    </row>
    <row r="23971" spans="103:104" x14ac:dyDescent="0.3">
      <c r="CY23971" s="34" t="s">
        <v>24897</v>
      </c>
      <c r="CZ23971" s="35">
        <v>3.5719500000000001E-2</v>
      </c>
    </row>
    <row r="23972" spans="103:104" x14ac:dyDescent="0.3">
      <c r="CY23972" s="34" t="s">
        <v>24898</v>
      </c>
      <c r="CZ23972" s="35">
        <v>1.5182036000000001E-2</v>
      </c>
    </row>
    <row r="23973" spans="103:104" x14ac:dyDescent="0.3">
      <c r="CY23973" s="34" t="s">
        <v>24899</v>
      </c>
      <c r="CZ23973" s="35">
        <v>5.566711390666667E-2</v>
      </c>
    </row>
    <row r="23974" spans="103:104" x14ac:dyDescent="0.3">
      <c r="CY23974" s="34" t="s">
        <v>24900</v>
      </c>
      <c r="CZ23974" s="35">
        <v>6.359185204166666E-2</v>
      </c>
    </row>
    <row r="23975" spans="103:104" x14ac:dyDescent="0.3">
      <c r="CY23975" s="34" t="s">
        <v>24901</v>
      </c>
      <c r="CZ23975" s="35">
        <v>8.4770799999999997E-3</v>
      </c>
    </row>
    <row r="23976" spans="103:104" x14ac:dyDescent="0.3">
      <c r="CY23976" s="34" t="s">
        <v>24902</v>
      </c>
      <c r="CZ23976" s="35">
        <v>1.7574192000000001E-3</v>
      </c>
    </row>
    <row r="23977" spans="103:104" x14ac:dyDescent="0.3">
      <c r="CY23977" s="34" t="s">
        <v>24903</v>
      </c>
      <c r="CZ23977" s="35">
        <v>0.36778166668181816</v>
      </c>
    </row>
    <row r="23978" spans="103:104" x14ac:dyDescent="0.3">
      <c r="CY23978" s="34" t="s">
        <v>24904</v>
      </c>
      <c r="CZ23978" s="35">
        <v>0.37711666600000004</v>
      </c>
    </row>
    <row r="23979" spans="103:104" x14ac:dyDescent="0.3">
      <c r="CY23979" s="34" t="s">
        <v>24905</v>
      </c>
      <c r="CZ23979" s="35">
        <v>7.8980583999999993E-2</v>
      </c>
    </row>
    <row r="23980" spans="103:104" x14ac:dyDescent="0.3">
      <c r="CY23980" s="34" t="s">
        <v>24906</v>
      </c>
      <c r="CZ23980" s="35">
        <v>0.26729630299999996</v>
      </c>
    </row>
    <row r="23981" spans="103:104" x14ac:dyDescent="0.3">
      <c r="CY23981" s="34" t="s">
        <v>24907</v>
      </c>
      <c r="CZ23981" s="35">
        <v>7.2130456000000006E-3</v>
      </c>
    </row>
    <row r="23982" spans="103:104" x14ac:dyDescent="0.3">
      <c r="CY23982" s="34" t="s">
        <v>24908</v>
      </c>
      <c r="CZ23982" s="35">
        <v>1.5067012000000001E-2</v>
      </c>
    </row>
    <row r="23983" spans="103:104" x14ac:dyDescent="0.3">
      <c r="CY23983" s="34" t="s">
        <v>24909</v>
      </c>
      <c r="CZ23983" s="35">
        <v>7.0621029555555555E-3</v>
      </c>
    </row>
    <row r="23984" spans="103:104" x14ac:dyDescent="0.3">
      <c r="CY23984" s="34" t="s">
        <v>24910</v>
      </c>
      <c r="CZ23984" s="35">
        <v>0.11430082</v>
      </c>
    </row>
    <row r="23985" spans="103:104" x14ac:dyDescent="0.3">
      <c r="CY23985" s="34" t="s">
        <v>24911</v>
      </c>
      <c r="CZ23985" s="35">
        <v>0.10734987599999998</v>
      </c>
    </row>
    <row r="23986" spans="103:104" x14ac:dyDescent="0.3">
      <c r="CY23986" s="34" t="s">
        <v>24912</v>
      </c>
      <c r="CZ23986" s="35">
        <v>7.3341239999999988E-2</v>
      </c>
    </row>
    <row r="23987" spans="103:104" x14ac:dyDescent="0.3">
      <c r="CY23987" s="34" t="s">
        <v>24913</v>
      </c>
      <c r="CZ23987" s="35">
        <v>6.5435690000000008E-3</v>
      </c>
    </row>
    <row r="23988" spans="103:104" x14ac:dyDescent="0.3">
      <c r="CY23988" s="34" t="s">
        <v>24914</v>
      </c>
      <c r="CZ23988" s="35">
        <v>0.68672702000000008</v>
      </c>
    </row>
    <row r="23989" spans="103:104" x14ac:dyDescent="0.3">
      <c r="CY23989" s="34" t="s">
        <v>24915</v>
      </c>
      <c r="CZ23989" s="35">
        <v>3.2306036249999996E-2</v>
      </c>
    </row>
    <row r="23990" spans="103:104" x14ac:dyDescent="0.3">
      <c r="CY23990" s="34" t="s">
        <v>24916</v>
      </c>
      <c r="CZ23990" s="35">
        <v>9.5962389150000011E-3</v>
      </c>
    </row>
    <row r="23991" spans="103:104" x14ac:dyDescent="0.3">
      <c r="CY23991" s="34" t="s">
        <v>24917</v>
      </c>
      <c r="CZ23991" s="35">
        <v>5.2445171999999998E-2</v>
      </c>
    </row>
    <row r="23992" spans="103:104" x14ac:dyDescent="0.3">
      <c r="CY23992" s="34" t="s">
        <v>24918</v>
      </c>
      <c r="CZ23992" s="35">
        <v>5.4760523999999998E-2</v>
      </c>
    </row>
    <row r="23993" spans="103:104" x14ac:dyDescent="0.3">
      <c r="CY23993" s="34" t="s">
        <v>24919</v>
      </c>
      <c r="CZ23993" s="35">
        <v>4.4260874999999998E-2</v>
      </c>
    </row>
    <row r="23994" spans="103:104" x14ac:dyDescent="0.3">
      <c r="CY23994" s="34" t="s">
        <v>24920</v>
      </c>
      <c r="CZ23994" s="35">
        <v>4.5980774999999995E-2</v>
      </c>
    </row>
    <row r="23995" spans="103:104" x14ac:dyDescent="0.3">
      <c r="CY23995" s="34" t="s">
        <v>24921</v>
      </c>
      <c r="CZ23995" s="35">
        <v>3.3420634888888887E-3</v>
      </c>
    </row>
    <row r="23996" spans="103:104" x14ac:dyDescent="0.3">
      <c r="CY23996" s="34" t="s">
        <v>24922</v>
      </c>
      <c r="CZ23996" s="35">
        <v>3.3420635111111111E-3</v>
      </c>
    </row>
    <row r="23997" spans="103:104" x14ac:dyDescent="0.3">
      <c r="CY23997" s="34" t="s">
        <v>24923</v>
      </c>
      <c r="CZ23997" s="35">
        <v>2.6785187734999997E-2</v>
      </c>
    </row>
    <row r="23998" spans="103:104" x14ac:dyDescent="0.3">
      <c r="CY23998" s="34" t="s">
        <v>24924</v>
      </c>
      <c r="CZ23998" s="35">
        <v>9.908076E-3</v>
      </c>
    </row>
    <row r="23999" spans="103:104" x14ac:dyDescent="0.3">
      <c r="CY23999" s="34" t="s">
        <v>24925</v>
      </c>
      <c r="CZ23999" s="35">
        <v>1.4876823999999999E-2</v>
      </c>
    </row>
    <row r="24000" spans="103:104" x14ac:dyDescent="0.3">
      <c r="CY24000" s="34" t="s">
        <v>24926</v>
      </c>
      <c r="CZ24000" s="35">
        <v>2.0049729870000001E-2</v>
      </c>
    </row>
    <row r="24001" spans="103:104" x14ac:dyDescent="0.3">
      <c r="CY24001" s="34" t="s">
        <v>24927</v>
      </c>
      <c r="CZ24001" s="35">
        <v>1.3310311999999999E-3</v>
      </c>
    </row>
    <row r="24002" spans="103:104" x14ac:dyDescent="0.3">
      <c r="CY24002" s="34" t="s">
        <v>24928</v>
      </c>
      <c r="CZ24002" s="35">
        <v>4.6739879999999996E-3</v>
      </c>
    </row>
    <row r="24003" spans="103:104" x14ac:dyDescent="0.3">
      <c r="CY24003" s="34" t="s">
        <v>24929</v>
      </c>
      <c r="CZ24003" s="35">
        <v>8.818215272727274E-4</v>
      </c>
    </row>
    <row r="24004" spans="103:104" x14ac:dyDescent="0.3">
      <c r="CY24004" s="34" t="s">
        <v>24930</v>
      </c>
      <c r="CZ24004" s="35">
        <v>1.6212725E-5</v>
      </c>
    </row>
    <row r="24005" spans="103:104" x14ac:dyDescent="0.3">
      <c r="CY24005" s="34" t="s">
        <v>24931</v>
      </c>
      <c r="CZ24005" s="35">
        <v>0.26971306</v>
      </c>
    </row>
    <row r="24006" spans="103:104" x14ac:dyDescent="0.3">
      <c r="CY24006" s="34" t="s">
        <v>24932</v>
      </c>
      <c r="CZ24006" s="35">
        <v>0.26971306</v>
      </c>
    </row>
    <row r="24007" spans="103:104" x14ac:dyDescent="0.3">
      <c r="CY24007" s="34" t="s">
        <v>24933</v>
      </c>
      <c r="CZ24007" s="35">
        <v>1.6496859605000001E-2</v>
      </c>
    </row>
    <row r="24008" spans="103:104" x14ac:dyDescent="0.3">
      <c r="CY24008" s="34" t="s">
        <v>24934</v>
      </c>
      <c r="CZ24008" s="35">
        <v>1.36551152E-2</v>
      </c>
    </row>
    <row r="24009" spans="103:104" x14ac:dyDescent="0.3">
      <c r="CY24009" s="34" t="s">
        <v>24935</v>
      </c>
      <c r="CZ24009" s="35">
        <v>1.3447981330000001E-2</v>
      </c>
    </row>
    <row r="24010" spans="103:104" x14ac:dyDescent="0.3">
      <c r="CY24010" s="34" t="s">
        <v>24936</v>
      </c>
      <c r="CZ24010" s="35">
        <v>7.6758729999999997E-3</v>
      </c>
    </row>
    <row r="24011" spans="103:104" x14ac:dyDescent="0.3">
      <c r="CY24011" s="34" t="s">
        <v>24937</v>
      </c>
      <c r="CZ24011" s="35">
        <v>1.399455E-2</v>
      </c>
    </row>
    <row r="24012" spans="103:104" x14ac:dyDescent="0.3">
      <c r="CY24012" s="34" t="s">
        <v>24938</v>
      </c>
      <c r="CZ24012" s="35">
        <v>8.2375880000000005E-3</v>
      </c>
    </row>
    <row r="24013" spans="103:104" x14ac:dyDescent="0.3">
      <c r="CY24013" s="34" t="s">
        <v>24939</v>
      </c>
      <c r="CZ24013" s="35">
        <v>1.04502E-2</v>
      </c>
    </row>
    <row r="24014" spans="103:104" x14ac:dyDescent="0.3">
      <c r="CY24014" s="34" t="s">
        <v>24940</v>
      </c>
      <c r="CZ24014" s="35">
        <v>8.9018000000000007E-4</v>
      </c>
    </row>
    <row r="24015" spans="103:104" x14ac:dyDescent="0.3">
      <c r="CY24015" s="34" t="s">
        <v>24941</v>
      </c>
      <c r="CZ24015" s="35">
        <v>2.0312868E-3</v>
      </c>
    </row>
    <row r="24016" spans="103:104" x14ac:dyDescent="0.3">
      <c r="CY24016" s="34" t="s">
        <v>24942</v>
      </c>
      <c r="CZ24016" s="35">
        <v>6.5042396000000008E-4</v>
      </c>
    </row>
    <row r="24017" spans="103:104" x14ac:dyDescent="0.3">
      <c r="CY24017" s="34" t="s">
        <v>24943</v>
      </c>
      <c r="CZ24017" s="35">
        <v>9.1097576000000006E-4</v>
      </c>
    </row>
    <row r="24018" spans="103:104" x14ac:dyDescent="0.3">
      <c r="CY24018" s="34" t="s">
        <v>24944</v>
      </c>
      <c r="CZ24018" s="35">
        <v>5.2135180000000003E-4</v>
      </c>
    </row>
    <row r="24019" spans="103:104" x14ac:dyDescent="0.3">
      <c r="CY24019" s="34" t="s">
        <v>24945</v>
      </c>
      <c r="CZ24019" s="35">
        <v>2.8029432857142856E-3</v>
      </c>
    </row>
    <row r="24020" spans="103:104" x14ac:dyDescent="0.3">
      <c r="CY24020" s="34" t="s">
        <v>24946</v>
      </c>
      <c r="CZ24020" s="35">
        <v>3.1255039999999994E-3</v>
      </c>
    </row>
    <row r="24021" spans="103:104" x14ac:dyDescent="0.3">
      <c r="CY24021" s="34" t="s">
        <v>24947</v>
      </c>
      <c r="CZ24021" s="35">
        <v>2.1110496E-3</v>
      </c>
    </row>
    <row r="24022" spans="103:104" x14ac:dyDescent="0.3">
      <c r="CY24022" s="34" t="s">
        <v>24948</v>
      </c>
      <c r="CZ24022" s="35">
        <v>4.8795632599999989E-3</v>
      </c>
    </row>
    <row r="24023" spans="103:104" x14ac:dyDescent="0.3">
      <c r="CY24023" s="34" t="s">
        <v>24949</v>
      </c>
      <c r="CZ24023" s="35">
        <v>2.4869992E-2</v>
      </c>
    </row>
    <row r="24024" spans="103:104" x14ac:dyDescent="0.3">
      <c r="CY24024" s="34" t="s">
        <v>24950</v>
      </c>
      <c r="CZ24024" s="35">
        <v>6.3078679999999995E-3</v>
      </c>
    </row>
    <row r="24025" spans="103:104" x14ac:dyDescent="0.3">
      <c r="CY24025" s="34" t="s">
        <v>24951</v>
      </c>
      <c r="CZ24025" s="35">
        <v>1.8223044E-3</v>
      </c>
    </row>
    <row r="24026" spans="103:104" x14ac:dyDescent="0.3">
      <c r="CY24026" s="34" t="s">
        <v>24952</v>
      </c>
      <c r="CZ24026" s="35">
        <v>2.8970148000000001E-3</v>
      </c>
    </row>
    <row r="24027" spans="103:104" x14ac:dyDescent="0.3">
      <c r="CY24027" s="34" t="s">
        <v>24953</v>
      </c>
      <c r="CZ24027" s="35">
        <v>8.0488823499999997E-3</v>
      </c>
    </row>
    <row r="24028" spans="103:104" x14ac:dyDescent="0.3">
      <c r="CY24028" s="34" t="s">
        <v>24954</v>
      </c>
      <c r="CZ24028" s="35">
        <v>3.8187628000000001E-3</v>
      </c>
    </row>
    <row r="24029" spans="103:104" x14ac:dyDescent="0.3">
      <c r="CY24029" s="34" t="s">
        <v>24955</v>
      </c>
      <c r="CZ24029" s="35">
        <v>3.8187628000000001E-3</v>
      </c>
    </row>
    <row r="24030" spans="103:104" x14ac:dyDescent="0.3">
      <c r="CY24030" s="34" t="s">
        <v>24956</v>
      </c>
      <c r="CZ24030" s="35">
        <v>1.1047231010000002E-2</v>
      </c>
    </row>
    <row r="24031" spans="103:104" x14ac:dyDescent="0.3">
      <c r="CY24031" s="34" t="s">
        <v>24957</v>
      </c>
      <c r="CZ24031" s="35">
        <v>6.1595379720000003E-2</v>
      </c>
    </row>
    <row r="24032" spans="103:104" x14ac:dyDescent="0.3">
      <c r="CY24032" s="34" t="s">
        <v>24958</v>
      </c>
      <c r="CZ24032" s="35">
        <v>1.2825048E-2</v>
      </c>
    </row>
    <row r="24033" spans="103:104" x14ac:dyDescent="0.3">
      <c r="CY24033" s="34" t="s">
        <v>24959</v>
      </c>
      <c r="CZ24033" s="35">
        <v>1.0203048000000001E-2</v>
      </c>
    </row>
    <row r="24034" spans="103:104" x14ac:dyDescent="0.3">
      <c r="CY24034" s="34" t="s">
        <v>24960</v>
      </c>
      <c r="CZ24034" s="35">
        <v>1.29205424E-2</v>
      </c>
    </row>
    <row r="24035" spans="103:104" x14ac:dyDescent="0.3">
      <c r="CY24035" s="34" t="s">
        <v>24961</v>
      </c>
      <c r="CZ24035" s="35">
        <v>6.0760995555555551E-2</v>
      </c>
    </row>
    <row r="24036" spans="103:104" x14ac:dyDescent="0.3">
      <c r="CY24036" s="34" t="s">
        <v>24962</v>
      </c>
      <c r="CZ24036" s="35">
        <v>5.3780040000000005E-3</v>
      </c>
    </row>
    <row r="24037" spans="103:104" x14ac:dyDescent="0.3">
      <c r="CY24037" s="34" t="s">
        <v>24963</v>
      </c>
      <c r="CZ24037" s="35">
        <v>5.3780040000000005E-3</v>
      </c>
    </row>
    <row r="24038" spans="103:104" x14ac:dyDescent="0.3">
      <c r="CY24038" s="34" t="s">
        <v>24964</v>
      </c>
      <c r="CZ24038" s="35">
        <v>0.42356525999999994</v>
      </c>
    </row>
    <row r="24039" spans="103:104" x14ac:dyDescent="0.3">
      <c r="CY24039" s="34" t="s">
        <v>24965</v>
      </c>
      <c r="CZ24039" s="35">
        <v>0.38342645999999991</v>
      </c>
    </row>
    <row r="24040" spans="103:104" x14ac:dyDescent="0.3">
      <c r="CY24040" s="34" t="s">
        <v>24966</v>
      </c>
      <c r="CZ24040" s="35">
        <v>0.85578900000000002</v>
      </c>
    </row>
    <row r="24041" spans="103:104" x14ac:dyDescent="0.3">
      <c r="CY24041" s="34" t="s">
        <v>24967</v>
      </c>
      <c r="CZ24041" s="35">
        <v>0.78735179999999994</v>
      </c>
    </row>
    <row r="24042" spans="103:104" x14ac:dyDescent="0.3">
      <c r="CY24042" s="34" t="s">
        <v>24968</v>
      </c>
      <c r="CZ24042" s="35">
        <v>9.8049455334000002E-2</v>
      </c>
    </row>
    <row r="24043" spans="103:104" x14ac:dyDescent="0.3">
      <c r="CY24043" s="34" t="s">
        <v>24969</v>
      </c>
      <c r="CZ24043" s="35">
        <v>4.2457186665E-2</v>
      </c>
    </row>
    <row r="24044" spans="103:104" x14ac:dyDescent="0.3">
      <c r="CY24044" s="34" t="s">
        <v>24970</v>
      </c>
      <c r="CZ24044" s="35">
        <v>4.3552306664999998E-2</v>
      </c>
    </row>
    <row r="24045" spans="103:104" x14ac:dyDescent="0.3">
      <c r="CY24045" s="34" t="s">
        <v>24971</v>
      </c>
      <c r="CZ24045" s="35">
        <v>6.3868498666000001E-2</v>
      </c>
    </row>
    <row r="24046" spans="103:104" x14ac:dyDescent="0.3">
      <c r="CY24046" s="34" t="s">
        <v>24972</v>
      </c>
      <c r="CZ24046" s="35">
        <v>0.108877311334</v>
      </c>
    </row>
    <row r="24047" spans="103:104" x14ac:dyDescent="0.3">
      <c r="CY24047" s="34" t="s">
        <v>24973</v>
      </c>
      <c r="CZ24047" s="35">
        <v>4.1032391330000001E-2</v>
      </c>
    </row>
    <row r="24048" spans="103:104" x14ac:dyDescent="0.3">
      <c r="CY24048" s="34" t="s">
        <v>24974</v>
      </c>
      <c r="CZ24048" s="35">
        <v>6.0614900000000005E-4</v>
      </c>
    </row>
    <row r="24049" spans="103:104" x14ac:dyDescent="0.3">
      <c r="CY24049" s="34" t="s">
        <v>24975</v>
      </c>
      <c r="CZ24049" s="35">
        <v>1.5505672000000002E-2</v>
      </c>
    </row>
    <row r="24050" spans="103:104" x14ac:dyDescent="0.3">
      <c r="CY24050" s="34" t="s">
        <v>24976</v>
      </c>
      <c r="CZ24050" s="35">
        <v>1.6437484400000001E-2</v>
      </c>
    </row>
    <row r="24051" spans="103:104" x14ac:dyDescent="0.3">
      <c r="CY24051" s="34" t="s">
        <v>24977</v>
      </c>
      <c r="CZ24051" s="35">
        <v>5.5374108499999991E-2</v>
      </c>
    </row>
    <row r="24052" spans="103:104" x14ac:dyDescent="0.3">
      <c r="CY24052" s="34" t="s">
        <v>24978</v>
      </c>
      <c r="CZ24052" s="35">
        <v>6.7626119925000006E-2</v>
      </c>
    </row>
    <row r="24053" spans="103:104" x14ac:dyDescent="0.3">
      <c r="CY24053" s="34" t="s">
        <v>24979</v>
      </c>
      <c r="CZ24053" s="35">
        <v>0.14239216333333332</v>
      </c>
    </row>
    <row r="24054" spans="103:104" x14ac:dyDescent="0.3">
      <c r="CY24054" s="34" t="s">
        <v>24980</v>
      </c>
      <c r="CZ24054" s="35">
        <v>5.4890489333333334E-2</v>
      </c>
    </row>
    <row r="24055" spans="103:104" x14ac:dyDescent="0.3">
      <c r="CY24055" s="34" t="s">
        <v>24981</v>
      </c>
      <c r="CZ24055" s="35">
        <v>3.6492082000000002E-3</v>
      </c>
    </row>
    <row r="24056" spans="103:104" x14ac:dyDescent="0.3">
      <c r="CY24056" s="34" t="s">
        <v>24982</v>
      </c>
      <c r="CZ24056" s="35">
        <v>3.6492082000000006E-3</v>
      </c>
    </row>
    <row r="24057" spans="103:104" x14ac:dyDescent="0.3">
      <c r="CY24057" s="34" t="s">
        <v>24983</v>
      </c>
      <c r="CZ24057" s="35">
        <v>7.3572223999999993E-3</v>
      </c>
    </row>
    <row r="24058" spans="103:104" x14ac:dyDescent="0.3">
      <c r="CY24058" s="34" t="s">
        <v>24984</v>
      </c>
      <c r="CZ24058" s="35">
        <v>7.3572223999999993E-3</v>
      </c>
    </row>
    <row r="24059" spans="103:104" x14ac:dyDescent="0.3">
      <c r="CY24059" s="34" t="s">
        <v>24985</v>
      </c>
      <c r="CZ24059" s="35">
        <v>6.2150228000000009E-2</v>
      </c>
    </row>
    <row r="24060" spans="103:104" x14ac:dyDescent="0.3">
      <c r="CY24060" s="34" t="s">
        <v>24986</v>
      </c>
      <c r="CZ24060" s="35">
        <v>4.0359703999999996E-2</v>
      </c>
    </row>
    <row r="24061" spans="103:104" x14ac:dyDescent="0.3">
      <c r="CY24061" s="34" t="s">
        <v>24987</v>
      </c>
      <c r="CZ24061" s="35">
        <v>3.6053048E-3</v>
      </c>
    </row>
    <row r="24062" spans="103:104" x14ac:dyDescent="0.3">
      <c r="CY24062" s="34" t="s">
        <v>24988</v>
      </c>
      <c r="CZ24062" s="35">
        <v>3.6053047999999996E-3</v>
      </c>
    </row>
    <row r="24063" spans="103:104" x14ac:dyDescent="0.3">
      <c r="CY24063" s="34" t="s">
        <v>24989</v>
      </c>
      <c r="CZ24063" s="35">
        <v>2.7956607999999996E-3</v>
      </c>
    </row>
    <row r="24064" spans="103:104" x14ac:dyDescent="0.3">
      <c r="CY24064" s="34" t="s">
        <v>24990</v>
      </c>
      <c r="CZ24064" s="35">
        <v>2.7956608E-3</v>
      </c>
    </row>
    <row r="24065" spans="103:104" x14ac:dyDescent="0.3">
      <c r="CY24065" s="34" t="s">
        <v>24991</v>
      </c>
      <c r="CZ24065" s="35">
        <v>7.5405680000000001E-3</v>
      </c>
    </row>
    <row r="24066" spans="103:104" x14ac:dyDescent="0.3">
      <c r="CY24066" s="34" t="s">
        <v>24992</v>
      </c>
      <c r="CZ24066" s="35">
        <v>7.5405680000000001E-3</v>
      </c>
    </row>
    <row r="24067" spans="103:104" x14ac:dyDescent="0.3">
      <c r="CY24067" s="34" t="s">
        <v>24993</v>
      </c>
      <c r="CZ24067" s="35">
        <v>5.7833763999999999E-3</v>
      </c>
    </row>
    <row r="24068" spans="103:104" x14ac:dyDescent="0.3">
      <c r="CY24068" s="34" t="s">
        <v>24994</v>
      </c>
      <c r="CZ24068" s="35">
        <v>5.7833763999999999E-3</v>
      </c>
    </row>
    <row r="24069" spans="103:104" x14ac:dyDescent="0.3">
      <c r="CY24069" s="34" t="s">
        <v>24995</v>
      </c>
      <c r="CZ24069" s="35">
        <v>7.7997384000000006E-3</v>
      </c>
    </row>
    <row r="24070" spans="103:104" x14ac:dyDescent="0.3">
      <c r="CY24070" s="34" t="s">
        <v>24996</v>
      </c>
      <c r="CZ24070" s="35">
        <v>7.7997383999999998E-3</v>
      </c>
    </row>
    <row r="24071" spans="103:104" x14ac:dyDescent="0.3">
      <c r="CY24071" s="34" t="s">
        <v>24997</v>
      </c>
      <c r="CZ24071" s="35">
        <v>2.5581762666666667E-3</v>
      </c>
    </row>
    <row r="24072" spans="103:104" x14ac:dyDescent="0.3">
      <c r="CY24072" s="34" t="s">
        <v>24998</v>
      </c>
      <c r="CZ24072" s="35">
        <v>7.4059151999999991E-3</v>
      </c>
    </row>
    <row r="24073" spans="103:104" x14ac:dyDescent="0.3">
      <c r="CY24073" s="34" t="s">
        <v>24999</v>
      </c>
      <c r="CZ24073" s="35">
        <v>2.0315443733333338E-2</v>
      </c>
    </row>
    <row r="24074" spans="103:104" x14ac:dyDescent="0.3">
      <c r="CY24074" s="34" t="s">
        <v>25000</v>
      </c>
      <c r="CZ24074" s="35">
        <v>0.18592130499999998</v>
      </c>
    </row>
    <row r="24075" spans="103:104" x14ac:dyDescent="0.3">
      <c r="CY24075" s="34" t="s">
        <v>25001</v>
      </c>
      <c r="CZ24075" s="35">
        <v>0.10656670500000001</v>
      </c>
    </row>
    <row r="24076" spans="103:104" x14ac:dyDescent="0.3">
      <c r="CY24076" s="34" t="s">
        <v>25002</v>
      </c>
      <c r="CZ24076" s="35">
        <v>3.4248008000000003E-2</v>
      </c>
    </row>
    <row r="24077" spans="103:104" x14ac:dyDescent="0.3">
      <c r="CY24077" s="34" t="s">
        <v>25003</v>
      </c>
      <c r="CZ24077" s="35">
        <v>1.1134355199999999E-2</v>
      </c>
    </row>
    <row r="24078" spans="103:104" x14ac:dyDescent="0.3">
      <c r="CY24078" s="34" t="s">
        <v>25004</v>
      </c>
      <c r="CZ24078" s="35">
        <v>7.2493666823529408E-3</v>
      </c>
    </row>
    <row r="24079" spans="103:104" x14ac:dyDescent="0.3">
      <c r="CY24079" s="34" t="s">
        <v>25005</v>
      </c>
      <c r="CZ24079" s="35">
        <v>4.2644768E-3</v>
      </c>
    </row>
    <row r="24080" spans="103:104" x14ac:dyDescent="0.3">
      <c r="CY24080" s="34" t="s">
        <v>25006</v>
      </c>
      <c r="CZ24080" s="35">
        <v>0.29268850000000002</v>
      </c>
    </row>
    <row r="24081" spans="103:104" x14ac:dyDescent="0.3">
      <c r="CY24081" s="34" t="s">
        <v>25007</v>
      </c>
      <c r="CZ24081" s="35">
        <v>0.30005319999999996</v>
      </c>
    </row>
    <row r="24082" spans="103:104" x14ac:dyDescent="0.3">
      <c r="CY24082" s="34" t="s">
        <v>25008</v>
      </c>
      <c r="CZ24082" s="35">
        <v>0.39251199999999997</v>
      </c>
    </row>
    <row r="24083" spans="103:104" x14ac:dyDescent="0.3">
      <c r="CY24083" s="34" t="s">
        <v>25009</v>
      </c>
      <c r="CZ24083" s="35">
        <v>0.29023360000000004</v>
      </c>
    </row>
    <row r="24084" spans="103:104" x14ac:dyDescent="0.3">
      <c r="CY24084" s="34" t="s">
        <v>25010</v>
      </c>
      <c r="CZ24084" s="35">
        <v>0.41806356666666666</v>
      </c>
    </row>
    <row r="24085" spans="103:104" x14ac:dyDescent="0.3">
      <c r="CY24085" s="34" t="s">
        <v>25011</v>
      </c>
      <c r="CZ24085" s="35">
        <v>0.30005320000000002</v>
      </c>
    </row>
    <row r="24086" spans="103:104" x14ac:dyDescent="0.3">
      <c r="CY24086" s="34" t="s">
        <v>25012</v>
      </c>
      <c r="CZ24086" s="35">
        <v>0.3138474</v>
      </c>
    </row>
    <row r="24087" spans="103:104" x14ac:dyDescent="0.3">
      <c r="CY24087" s="34" t="s">
        <v>25013</v>
      </c>
      <c r="CZ24087" s="35">
        <v>0.39133800000000002</v>
      </c>
    </row>
    <row r="24088" spans="103:104" x14ac:dyDescent="0.3">
      <c r="CY24088" s="34" t="s">
        <v>25014</v>
      </c>
      <c r="CZ24088" s="35">
        <v>0.29268850000000002</v>
      </c>
    </row>
    <row r="24089" spans="103:104" x14ac:dyDescent="0.3">
      <c r="CY24089" s="34" t="s">
        <v>25015</v>
      </c>
      <c r="CZ24089" s="35">
        <v>5.9189775999999991E-3</v>
      </c>
    </row>
    <row r="24090" spans="103:104" x14ac:dyDescent="0.3">
      <c r="CY24090" s="34" t="s">
        <v>25016</v>
      </c>
      <c r="CZ24090" s="35">
        <v>3.5491780000000001E-3</v>
      </c>
    </row>
    <row r="24091" spans="103:104" x14ac:dyDescent="0.3">
      <c r="CY24091" s="34" t="s">
        <v>25017</v>
      </c>
      <c r="CZ24091" s="35">
        <v>4.148634E-3</v>
      </c>
    </row>
    <row r="24092" spans="103:104" x14ac:dyDescent="0.3">
      <c r="CY24092" s="34" t="s">
        <v>25018</v>
      </c>
      <c r="CZ24092" s="35">
        <v>1.2328255999999999E-2</v>
      </c>
    </row>
    <row r="24093" spans="103:104" x14ac:dyDescent="0.3">
      <c r="CY24093" s="34" t="s">
        <v>25019</v>
      </c>
      <c r="CZ24093" s="35">
        <v>1.7669029999999999E-2</v>
      </c>
    </row>
    <row r="24094" spans="103:104" x14ac:dyDescent="0.3">
      <c r="CY24094" s="34" t="s">
        <v>25020</v>
      </c>
      <c r="CZ24094" s="35">
        <v>3.6159978E-3</v>
      </c>
    </row>
    <row r="24095" spans="103:104" x14ac:dyDescent="0.3">
      <c r="CY24095" s="34" t="s">
        <v>25021</v>
      </c>
      <c r="CZ24095" s="35">
        <v>2.6148739999999997E-3</v>
      </c>
    </row>
    <row r="24096" spans="103:104" x14ac:dyDescent="0.3">
      <c r="CY24096" s="34" t="s">
        <v>25022</v>
      </c>
      <c r="CZ24096" s="35">
        <v>3.3350546099999996E-2</v>
      </c>
    </row>
    <row r="24097" spans="103:104" x14ac:dyDescent="0.3">
      <c r="CY24097" s="34" t="s">
        <v>25023</v>
      </c>
      <c r="CZ24097" s="35">
        <v>2.2663659999999997E-3</v>
      </c>
    </row>
    <row r="24098" spans="103:104" x14ac:dyDescent="0.3">
      <c r="CY24098" s="34" t="s">
        <v>25024</v>
      </c>
      <c r="CZ24098" s="35">
        <v>2.5972696400000002E-2</v>
      </c>
    </row>
    <row r="24099" spans="103:104" x14ac:dyDescent="0.3">
      <c r="CY24099" s="34" t="s">
        <v>25025</v>
      </c>
      <c r="CZ24099" s="35">
        <v>2.3463098666666668E-3</v>
      </c>
    </row>
    <row r="24100" spans="103:104" x14ac:dyDescent="0.3">
      <c r="CY24100" s="34" t="s">
        <v>25026</v>
      </c>
      <c r="CZ24100" s="35">
        <v>3.8821299999999997E-3</v>
      </c>
    </row>
    <row r="24101" spans="103:104" x14ac:dyDescent="0.3">
      <c r="CY24101" s="34" t="s">
        <v>25027</v>
      </c>
      <c r="CZ24101" s="35">
        <v>1.6100000000000001E-4</v>
      </c>
    </row>
    <row r="24102" spans="103:104" x14ac:dyDescent="0.3">
      <c r="CY24102" s="34" t="s">
        <v>25028</v>
      </c>
      <c r="CZ24102" s="35">
        <v>2.0096208E-3</v>
      </c>
    </row>
    <row r="24103" spans="103:104" x14ac:dyDescent="0.3">
      <c r="CY24103" s="34" t="s">
        <v>25029</v>
      </c>
      <c r="CZ24103" s="35">
        <v>2.1317403200000001E-2</v>
      </c>
    </row>
    <row r="24104" spans="103:104" x14ac:dyDescent="0.3">
      <c r="CY24104" s="34" t="s">
        <v>25030</v>
      </c>
      <c r="CZ24104" s="35">
        <v>1.1244291199999999E-2</v>
      </c>
    </row>
    <row r="24105" spans="103:104" x14ac:dyDescent="0.3">
      <c r="CY24105" s="34" t="s">
        <v>25031</v>
      </c>
      <c r="CZ24105" s="35">
        <v>4.1104440000000004E-3</v>
      </c>
    </row>
    <row r="24106" spans="103:104" x14ac:dyDescent="0.3">
      <c r="CY24106" s="34" t="s">
        <v>25032</v>
      </c>
      <c r="CZ24106" s="35">
        <v>2.2031666000000001E-3</v>
      </c>
    </row>
    <row r="24107" spans="103:104" x14ac:dyDescent="0.3">
      <c r="CY24107" s="34" t="s">
        <v>25033</v>
      </c>
      <c r="CZ24107" s="35">
        <v>4.0917540000000004E-3</v>
      </c>
    </row>
    <row r="24108" spans="103:104" x14ac:dyDescent="0.3">
      <c r="CY24108" s="34" t="s">
        <v>25034</v>
      </c>
      <c r="CZ24108" s="35">
        <v>1.290584E-3</v>
      </c>
    </row>
    <row r="24109" spans="103:104" x14ac:dyDescent="0.3">
      <c r="CY24109" s="34" t="s">
        <v>25035</v>
      </c>
      <c r="CZ24109" s="35">
        <v>7.6186080000000007E-3</v>
      </c>
    </row>
    <row r="24110" spans="103:104" x14ac:dyDescent="0.3">
      <c r="CY24110" s="34" t="s">
        <v>25036</v>
      </c>
      <c r="CZ24110" s="35">
        <v>1.7380664279999999E-2</v>
      </c>
    </row>
    <row r="24111" spans="103:104" x14ac:dyDescent="0.3">
      <c r="CY24111" s="34" t="s">
        <v>25037</v>
      </c>
      <c r="CZ24111" s="35">
        <v>3.9928376000000002E-3</v>
      </c>
    </row>
    <row r="24112" spans="103:104" x14ac:dyDescent="0.3">
      <c r="CY24112" s="34" t="s">
        <v>25038</v>
      </c>
      <c r="CZ24112" s="35">
        <v>1.4862047999999999E-2</v>
      </c>
    </row>
    <row r="24113" spans="103:104" x14ac:dyDescent="0.3">
      <c r="CY24113" s="34" t="s">
        <v>25039</v>
      </c>
      <c r="CZ24113" s="35">
        <v>0.15604752800000002</v>
      </c>
    </row>
    <row r="24114" spans="103:104" x14ac:dyDescent="0.3">
      <c r="CY24114" s="34" t="s">
        <v>25040</v>
      </c>
      <c r="CZ24114" s="35">
        <v>4.7672300000000002E-4</v>
      </c>
    </row>
    <row r="24115" spans="103:104" x14ac:dyDescent="0.3">
      <c r="CY24115" s="34" t="s">
        <v>25041</v>
      </c>
      <c r="CZ24115" s="35">
        <v>6.6566000000000004E-3</v>
      </c>
    </row>
    <row r="24116" spans="103:104" x14ac:dyDescent="0.3">
      <c r="CY24116" s="34" t="s">
        <v>25042</v>
      </c>
      <c r="CZ24116" s="35">
        <v>1.3423204999999999E-3</v>
      </c>
    </row>
    <row r="24117" spans="103:104" x14ac:dyDescent="0.3">
      <c r="CY24117" s="34" t="s">
        <v>25043</v>
      </c>
      <c r="CZ24117" s="35">
        <v>1.2738860999999999E-2</v>
      </c>
    </row>
    <row r="24118" spans="103:104" x14ac:dyDescent="0.3">
      <c r="CY24118" s="34" t="s">
        <v>25044</v>
      </c>
      <c r="CZ24118" s="35">
        <v>1.4917215000000001E-3</v>
      </c>
    </row>
    <row r="24119" spans="103:104" x14ac:dyDescent="0.3">
      <c r="CY24119" s="34" t="s">
        <v>25045</v>
      </c>
      <c r="CZ24119" s="35">
        <v>3.4599562499999998E-4</v>
      </c>
    </row>
    <row r="24120" spans="103:104" x14ac:dyDescent="0.3">
      <c r="CY24120" s="34" t="s">
        <v>25046</v>
      </c>
      <c r="CZ24120" s="35">
        <v>4.4195699999999998E-4</v>
      </c>
    </row>
    <row r="24121" spans="103:104" x14ac:dyDescent="0.3">
      <c r="CY24121" s="34" t="s">
        <v>25047</v>
      </c>
      <c r="CZ24121" s="35">
        <v>2.0036201999999999E-2</v>
      </c>
    </row>
    <row r="24122" spans="103:104" x14ac:dyDescent="0.3">
      <c r="CY24122" s="34" t="s">
        <v>25048</v>
      </c>
      <c r="CZ24122" s="35">
        <v>3.5823764705882354E-3</v>
      </c>
    </row>
    <row r="24123" spans="103:104" x14ac:dyDescent="0.3">
      <c r="CY24123" s="34" t="s">
        <v>25049</v>
      </c>
      <c r="CZ24123" s="35">
        <v>3.597264E-2</v>
      </c>
    </row>
    <row r="24124" spans="103:104" x14ac:dyDescent="0.3">
      <c r="CY24124" s="34" t="s">
        <v>25050</v>
      </c>
      <c r="CZ24124" s="35">
        <v>3.2615249999999998E-2</v>
      </c>
    </row>
    <row r="24125" spans="103:104" x14ac:dyDescent="0.3">
      <c r="CY24125" s="34" t="s">
        <v>25051</v>
      </c>
      <c r="CZ24125" s="35">
        <v>5.865E-4</v>
      </c>
    </row>
    <row r="24126" spans="103:104" x14ac:dyDescent="0.3">
      <c r="CY24126" s="34" t="s">
        <v>25052</v>
      </c>
      <c r="CZ24126" s="35">
        <v>6.6456888499999995E-3</v>
      </c>
    </row>
    <row r="24127" spans="103:104" x14ac:dyDescent="0.3">
      <c r="CY24127" s="34" t="s">
        <v>25053</v>
      </c>
      <c r="CZ24127" s="35">
        <v>9.0934880000000023E-2</v>
      </c>
    </row>
    <row r="24128" spans="103:104" x14ac:dyDescent="0.3">
      <c r="CY24128" s="34" t="s">
        <v>25054</v>
      </c>
      <c r="CZ24128" s="35">
        <v>0</v>
      </c>
    </row>
    <row r="24129" spans="103:104" x14ac:dyDescent="0.3">
      <c r="CY24129" s="34" t="s">
        <v>25055</v>
      </c>
      <c r="CZ24129" s="35">
        <v>7.3887600000000012E-2</v>
      </c>
    </row>
    <row r="24130" spans="103:104" x14ac:dyDescent="0.3">
      <c r="CY24130" s="34" t="s">
        <v>25056</v>
      </c>
      <c r="CZ24130" s="35">
        <v>0</v>
      </c>
    </row>
    <row r="24131" spans="103:104" x14ac:dyDescent="0.3">
      <c r="CY24131" s="34" t="s">
        <v>25057</v>
      </c>
      <c r="CZ24131" s="35">
        <v>5.8493561666666666E-2</v>
      </c>
    </row>
    <row r="24132" spans="103:104" x14ac:dyDescent="0.3">
      <c r="CY24132" s="34" t="s">
        <v>25058</v>
      </c>
      <c r="CZ24132" s="35">
        <v>4.9950382900000007E-2</v>
      </c>
    </row>
    <row r="24133" spans="103:104" x14ac:dyDescent="0.3">
      <c r="CY24133" s="34" t="s">
        <v>25059</v>
      </c>
      <c r="CZ24133" s="35">
        <v>8.1437809999999999E-2</v>
      </c>
    </row>
    <row r="24134" spans="103:104" x14ac:dyDescent="0.3">
      <c r="CY24134" s="34" t="s">
        <v>25060</v>
      </c>
      <c r="CZ24134" s="35">
        <v>2.8545664000000005E-2</v>
      </c>
    </row>
    <row r="24135" spans="103:104" x14ac:dyDescent="0.3">
      <c r="CY24135" s="34" t="s">
        <v>25061</v>
      </c>
      <c r="CZ24135" s="35">
        <v>4.5234080000000003E-2</v>
      </c>
    </row>
    <row r="24136" spans="103:104" x14ac:dyDescent="0.3">
      <c r="CY24136" s="34" t="s">
        <v>25062</v>
      </c>
      <c r="CZ24136" s="35">
        <v>7.7634623999999985E-2</v>
      </c>
    </row>
    <row r="24137" spans="103:104" x14ac:dyDescent="0.3">
      <c r="CY24137" s="34" t="s">
        <v>25063</v>
      </c>
      <c r="CZ24137" s="35">
        <v>0.10545767800000001</v>
      </c>
    </row>
    <row r="24138" spans="103:104" x14ac:dyDescent="0.3">
      <c r="CY24138" s="34" t="s">
        <v>25064</v>
      </c>
      <c r="CZ24138" s="35">
        <v>4.879156250000001E-2</v>
      </c>
    </row>
    <row r="24139" spans="103:104" x14ac:dyDescent="0.3">
      <c r="CY24139" s="34" t="s">
        <v>25065</v>
      </c>
      <c r="CZ24139" s="35">
        <v>3.597264E-2</v>
      </c>
    </row>
    <row r="24140" spans="103:104" x14ac:dyDescent="0.3">
      <c r="CY24140" s="34" t="s">
        <v>25066</v>
      </c>
      <c r="CZ24140" s="35">
        <v>9.6956627450980395E-3</v>
      </c>
    </row>
    <row r="24141" spans="103:104" x14ac:dyDescent="0.3">
      <c r="CY24141" s="34" t="s">
        <v>25067</v>
      </c>
      <c r="CZ24141" s="35">
        <v>1.979413052631579E-2</v>
      </c>
    </row>
    <row r="24142" spans="103:104" x14ac:dyDescent="0.3">
      <c r="CY24142" s="34" t="s">
        <v>25068</v>
      </c>
      <c r="CZ24142" s="35">
        <v>2.3891464000000001E-2</v>
      </c>
    </row>
    <row r="24143" spans="103:104" x14ac:dyDescent="0.3">
      <c r="CY24143" s="34" t="s">
        <v>25069</v>
      </c>
      <c r="CZ24143" s="35">
        <v>0.25107760000000001</v>
      </c>
    </row>
    <row r="24144" spans="103:104" x14ac:dyDescent="0.3">
      <c r="CY24144" s="34" t="s">
        <v>25070</v>
      </c>
      <c r="CZ24144" s="35">
        <v>0.21240416000000001</v>
      </c>
    </row>
    <row r="24145" spans="103:104" x14ac:dyDescent="0.3">
      <c r="CY24145" s="34" t="s">
        <v>25071</v>
      </c>
      <c r="CZ24145" s="35">
        <v>0.30710448000000001</v>
      </c>
    </row>
    <row r="24146" spans="103:104" x14ac:dyDescent="0.3">
      <c r="CY24146" s="34" t="s">
        <v>25072</v>
      </c>
      <c r="CZ24146" s="35">
        <v>0.32111120000000004</v>
      </c>
    </row>
    <row r="24147" spans="103:104" x14ac:dyDescent="0.3">
      <c r="CY24147" s="34" t="s">
        <v>25073</v>
      </c>
      <c r="CZ24147" s="35">
        <v>0.33861960000000002</v>
      </c>
    </row>
    <row r="24148" spans="103:104" x14ac:dyDescent="0.3">
      <c r="CY24148" s="34" t="s">
        <v>25074</v>
      </c>
      <c r="CZ24148" s="35">
        <v>0.56716999999999995</v>
      </c>
    </row>
    <row r="24149" spans="103:104" x14ac:dyDescent="0.3">
      <c r="CY24149" s="34" t="s">
        <v>25075</v>
      </c>
      <c r="CZ24149" s="35">
        <v>0.59875775999999992</v>
      </c>
    </row>
    <row r="24150" spans="103:104" x14ac:dyDescent="0.3">
      <c r="CY24150" s="34" t="s">
        <v>25076</v>
      </c>
      <c r="CZ24150" s="35">
        <v>0.63002552000000001</v>
      </c>
    </row>
    <row r="24151" spans="103:104" x14ac:dyDescent="0.3">
      <c r="CY24151" s="34" t="s">
        <v>25077</v>
      </c>
      <c r="CZ24151" s="35">
        <v>6.0588150000000002E-4</v>
      </c>
    </row>
    <row r="24152" spans="103:104" x14ac:dyDescent="0.3">
      <c r="CY24152" s="34" t="s">
        <v>25078</v>
      </c>
      <c r="CZ24152" s="35">
        <v>6.0588150000000002E-4</v>
      </c>
    </row>
    <row r="24153" spans="103:104" x14ac:dyDescent="0.3">
      <c r="CY24153" s="34" t="s">
        <v>25079</v>
      </c>
      <c r="CZ24153" s="35">
        <v>8.4009370680000004E-3</v>
      </c>
    </row>
    <row r="24154" spans="103:104" x14ac:dyDescent="0.3">
      <c r="CY24154" s="34" t="s">
        <v>25080</v>
      </c>
      <c r="CZ24154" s="35">
        <v>6.284437979999999E-3</v>
      </c>
    </row>
    <row r="24155" spans="103:104" x14ac:dyDescent="0.3">
      <c r="CY24155" s="34" t="s">
        <v>25081</v>
      </c>
      <c r="CZ24155" s="35">
        <v>1.2791044E-2</v>
      </c>
    </row>
    <row r="24156" spans="103:104" x14ac:dyDescent="0.3">
      <c r="CY24156" s="34" t="s">
        <v>25082</v>
      </c>
      <c r="CZ24156" s="35">
        <v>5.6888359999999994E-4</v>
      </c>
    </row>
    <row r="24157" spans="103:104" x14ac:dyDescent="0.3">
      <c r="CY24157" s="34" t="s">
        <v>25083</v>
      </c>
      <c r="CZ24157" s="35">
        <v>2.0507791999999997E-4</v>
      </c>
    </row>
    <row r="24158" spans="103:104" x14ac:dyDescent="0.3">
      <c r="CY24158" s="34" t="s">
        <v>25084</v>
      </c>
      <c r="CZ24158" s="35">
        <v>1.8148549999999996E-4</v>
      </c>
    </row>
    <row r="24159" spans="103:104" x14ac:dyDescent="0.3">
      <c r="CY24159" s="34" t="s">
        <v>25085</v>
      </c>
      <c r="CZ24159" s="35">
        <v>8.4244464000000005E-3</v>
      </c>
    </row>
    <row r="24160" spans="103:104" x14ac:dyDescent="0.3">
      <c r="CY24160" s="34" t="s">
        <v>25086</v>
      </c>
      <c r="CZ24160" s="35">
        <v>6.6400300495179669E-3</v>
      </c>
    </row>
    <row r="24161" spans="103:104" x14ac:dyDescent="0.3">
      <c r="CY24161" s="34" t="s">
        <v>25087</v>
      </c>
      <c r="CZ24161" s="35">
        <v>3.5363854857142857E-2</v>
      </c>
    </row>
    <row r="24162" spans="103:104" x14ac:dyDescent="0.3">
      <c r="CY24162" s="34" t="s">
        <v>25088</v>
      </c>
      <c r="CZ24162" s="35">
        <v>7.4933199999999995E-3</v>
      </c>
    </row>
    <row r="24163" spans="103:104" x14ac:dyDescent="0.3">
      <c r="CY24163" s="34" t="s">
        <v>25089</v>
      </c>
      <c r="CZ24163" s="35">
        <v>1.6812906666666667E-3</v>
      </c>
    </row>
    <row r="24164" spans="103:104" x14ac:dyDescent="0.3">
      <c r="CY24164" s="34" t="s">
        <v>25090</v>
      </c>
      <c r="CZ24164" s="35">
        <v>7.0584639999999995E-3</v>
      </c>
    </row>
    <row r="24165" spans="103:104" x14ac:dyDescent="0.3">
      <c r="CY24165" s="34" t="s">
        <v>25091</v>
      </c>
      <c r="CZ24165" s="35">
        <v>4.4163375999999996E-3</v>
      </c>
    </row>
    <row r="24166" spans="103:104" x14ac:dyDescent="0.3">
      <c r="CY24166" s="34" t="s">
        <v>25092</v>
      </c>
      <c r="CZ24166" s="35">
        <v>3.8674319999999995E-4</v>
      </c>
    </row>
    <row r="24167" spans="103:104" x14ac:dyDescent="0.3">
      <c r="CY24167" s="34" t="s">
        <v>25093</v>
      </c>
      <c r="CZ24167" s="35">
        <v>4.3464975285714288E-2</v>
      </c>
    </row>
    <row r="24168" spans="103:104" x14ac:dyDescent="0.3">
      <c r="CY24168" s="34" t="s">
        <v>25094</v>
      </c>
      <c r="CZ24168" s="35">
        <v>0.1945217261904762</v>
      </c>
    </row>
    <row r="24169" spans="103:104" x14ac:dyDescent="0.3">
      <c r="CY24169" s="34" t="s">
        <v>25095</v>
      </c>
      <c r="CZ24169" s="35">
        <v>1.4940800000000001E-2</v>
      </c>
    </row>
    <row r="24170" spans="103:104" x14ac:dyDescent="0.3">
      <c r="CY24170" s="34" t="s">
        <v>25096</v>
      </c>
      <c r="CZ24170" s="35">
        <v>6.3102359999999986E-3</v>
      </c>
    </row>
    <row r="24171" spans="103:104" x14ac:dyDescent="0.3">
      <c r="CY24171" s="34" t="s">
        <v>25097</v>
      </c>
      <c r="CZ24171" s="35">
        <v>0.15535826666666666</v>
      </c>
    </row>
    <row r="24172" spans="103:104" x14ac:dyDescent="0.3">
      <c r="CY24172" s="34" t="s">
        <v>25098</v>
      </c>
      <c r="CZ24172" s="35">
        <v>3.0914037931688804E-2</v>
      </c>
    </row>
    <row r="24173" spans="103:104" x14ac:dyDescent="0.3">
      <c r="CY24173" s="34" t="s">
        <v>25099</v>
      </c>
      <c r="CZ24173" s="35">
        <v>0.14511849999999998</v>
      </c>
    </row>
    <row r="24174" spans="103:104" x14ac:dyDescent="0.3">
      <c r="CY24174" s="34" t="s">
        <v>25100</v>
      </c>
      <c r="CZ24174" s="35">
        <v>1.1587983657142857E-2</v>
      </c>
    </row>
    <row r="24175" spans="103:104" x14ac:dyDescent="0.3">
      <c r="CY24175" s="34" t="s">
        <v>25101</v>
      </c>
      <c r="CZ24175" s="35">
        <v>2.6391333333333328E-3</v>
      </c>
    </row>
    <row r="24176" spans="103:104" x14ac:dyDescent="0.3">
      <c r="CY24176" s="34" t="s">
        <v>25102</v>
      </c>
      <c r="CZ24176" s="35">
        <v>3.96788E-3</v>
      </c>
    </row>
    <row r="24177" spans="103:104" x14ac:dyDescent="0.3">
      <c r="CY24177" s="34" t="s">
        <v>25103</v>
      </c>
      <c r="CZ24177" s="35">
        <v>4.4511202999999999E-2</v>
      </c>
    </row>
    <row r="24178" spans="103:104" x14ac:dyDescent="0.3">
      <c r="CY24178" s="34" t="s">
        <v>25104</v>
      </c>
      <c r="CZ24178" s="35">
        <v>4.8690819999999994E-3</v>
      </c>
    </row>
    <row r="24179" spans="103:104" x14ac:dyDescent="0.3">
      <c r="CY24179" s="34" t="s">
        <v>25105</v>
      </c>
      <c r="CZ24179" s="35">
        <v>2.6030248000000001E-3</v>
      </c>
    </row>
    <row r="24180" spans="103:104" x14ac:dyDescent="0.3">
      <c r="CY24180" s="34" t="s">
        <v>25106</v>
      </c>
      <c r="CZ24180" s="35">
        <v>4.6622459999999992E-3</v>
      </c>
    </row>
    <row r="24181" spans="103:104" x14ac:dyDescent="0.3">
      <c r="CY24181" s="34" t="s">
        <v>25107</v>
      </c>
      <c r="CZ24181" s="35">
        <v>2.3587045999999997E-2</v>
      </c>
    </row>
    <row r="24182" spans="103:104" x14ac:dyDescent="0.3">
      <c r="CY24182" s="34" t="s">
        <v>25108</v>
      </c>
      <c r="CZ24182" s="35">
        <v>2.3226795999999999E-4</v>
      </c>
    </row>
    <row r="24183" spans="103:104" x14ac:dyDescent="0.3">
      <c r="CY24183" s="34" t="s">
        <v>25109</v>
      </c>
      <c r="CZ24183" s="35">
        <v>2.8054424999999995E-4</v>
      </c>
    </row>
    <row r="24184" spans="103:104" x14ac:dyDescent="0.3">
      <c r="CY24184" s="34" t="s">
        <v>25110</v>
      </c>
      <c r="CZ24184" s="35">
        <v>1.9428816949715372E-3</v>
      </c>
    </row>
    <row r="24185" spans="103:104" x14ac:dyDescent="0.3">
      <c r="CY24185" s="34" t="s">
        <v>25111</v>
      </c>
      <c r="CZ24185" s="35">
        <v>3.8702588E-3</v>
      </c>
    </row>
    <row r="24186" spans="103:104" x14ac:dyDescent="0.3">
      <c r="CY24186" s="34" t="s">
        <v>25112</v>
      </c>
      <c r="CZ24186" s="35">
        <v>1.3061259549999999E-2</v>
      </c>
    </row>
    <row r="24187" spans="103:104" x14ac:dyDescent="0.3">
      <c r="CY24187" s="34" t="s">
        <v>25113</v>
      </c>
      <c r="CZ24187" s="35">
        <v>1.3061259549999999E-2</v>
      </c>
    </row>
    <row r="24188" spans="103:104" x14ac:dyDescent="0.3">
      <c r="CY24188" s="34" t="s">
        <v>25114</v>
      </c>
      <c r="CZ24188" s="35">
        <v>3.0584003999999999E-3</v>
      </c>
    </row>
    <row r="24189" spans="103:104" x14ac:dyDescent="0.3">
      <c r="CY24189" s="34" t="s">
        <v>25115</v>
      </c>
      <c r="CZ24189" s="35">
        <v>5.7412719999999997E-4</v>
      </c>
    </row>
    <row r="24190" spans="103:104" x14ac:dyDescent="0.3">
      <c r="CY24190" s="34" t="s">
        <v>25116</v>
      </c>
      <c r="CZ24190" s="35">
        <v>8.3143273999999997E-4</v>
      </c>
    </row>
    <row r="24191" spans="103:104" x14ac:dyDescent="0.3">
      <c r="CY24191" s="34" t="s">
        <v>25117</v>
      </c>
      <c r="CZ24191" s="35">
        <v>2.8719319999999998E-3</v>
      </c>
    </row>
    <row r="24192" spans="103:104" x14ac:dyDescent="0.3">
      <c r="CY24192" s="34" t="s">
        <v>25118</v>
      </c>
      <c r="CZ24192" s="35">
        <v>3.2835749999999997E-2</v>
      </c>
    </row>
    <row r="24193" spans="103:104" x14ac:dyDescent="0.3">
      <c r="CY24193" s="34" t="s">
        <v>25119</v>
      </c>
      <c r="CZ24193" s="35">
        <v>1.8842151999999999E-3</v>
      </c>
    </row>
    <row r="24194" spans="103:104" x14ac:dyDescent="0.3">
      <c r="CY24194" s="34" t="s">
        <v>25120</v>
      </c>
      <c r="CZ24194" s="35">
        <v>3.5478999999999997E-3</v>
      </c>
    </row>
    <row r="24195" spans="103:104" x14ac:dyDescent="0.3">
      <c r="CY24195" s="34" t="s">
        <v>25121</v>
      </c>
      <c r="CZ24195" s="35">
        <v>1.1454848000000001E-3</v>
      </c>
    </row>
    <row r="24196" spans="103:104" x14ac:dyDescent="0.3">
      <c r="CY24196" s="34" t="s">
        <v>25122</v>
      </c>
      <c r="CZ24196" s="35">
        <v>0.1638337486</v>
      </c>
    </row>
    <row r="24197" spans="103:104" x14ac:dyDescent="0.3">
      <c r="CY24197" s="34" t="s">
        <v>25123</v>
      </c>
      <c r="CZ24197" s="35">
        <v>1.8969586699999999E-2</v>
      </c>
    </row>
    <row r="24198" spans="103:104" x14ac:dyDescent="0.3">
      <c r="CY24198" s="34" t="s">
        <v>25124</v>
      </c>
      <c r="CZ24198" s="35">
        <v>1.0942739999999999E-2</v>
      </c>
    </row>
    <row r="24199" spans="103:104" x14ac:dyDescent="0.3">
      <c r="CY24199" s="34" t="s">
        <v>25125</v>
      </c>
      <c r="CZ24199" s="35">
        <v>1.7256799999999999E-2</v>
      </c>
    </row>
    <row r="24200" spans="103:104" x14ac:dyDescent="0.3">
      <c r="CY24200" s="34" t="s">
        <v>25126</v>
      </c>
      <c r="CZ24200" s="35">
        <v>1.0286609666666667E-2</v>
      </c>
    </row>
    <row r="24201" spans="103:104" x14ac:dyDescent="0.3">
      <c r="CY24201" s="34" t="s">
        <v>25127</v>
      </c>
      <c r="CZ24201" s="35">
        <v>3.3986737333333336E-2</v>
      </c>
    </row>
    <row r="24202" spans="103:104" x14ac:dyDescent="0.3">
      <c r="CY24202" s="34" t="s">
        <v>25128</v>
      </c>
      <c r="CZ24202" s="35">
        <v>1.4682304016649999E-2</v>
      </c>
    </row>
    <row r="24203" spans="103:104" x14ac:dyDescent="0.3">
      <c r="CY24203" s="34" t="s">
        <v>25129</v>
      </c>
      <c r="CZ24203" s="35">
        <v>1.0550514011000001</v>
      </c>
    </row>
    <row r="24204" spans="103:104" x14ac:dyDescent="0.3">
      <c r="CY24204" s="34" t="s">
        <v>25130</v>
      </c>
      <c r="CZ24204" s="35">
        <v>0.24084642107499998</v>
      </c>
    </row>
    <row r="24205" spans="103:104" x14ac:dyDescent="0.3">
      <c r="CY24205" s="34" t="s">
        <v>25131</v>
      </c>
      <c r="CZ24205" s="35">
        <v>1.2614672000000001E-3</v>
      </c>
    </row>
    <row r="24206" spans="103:104" x14ac:dyDescent="0.3">
      <c r="CY24206" s="34" t="s">
        <v>25132</v>
      </c>
      <c r="CZ24206" s="35">
        <v>1.295E-4</v>
      </c>
    </row>
    <row r="24207" spans="103:104" x14ac:dyDescent="0.3">
      <c r="CY24207" s="34" t="s">
        <v>25133</v>
      </c>
      <c r="CZ24207" s="35">
        <v>5.2126369999999991E-3</v>
      </c>
    </row>
    <row r="24208" spans="103:104" x14ac:dyDescent="0.3">
      <c r="CY24208" s="34" t="s">
        <v>25134</v>
      </c>
      <c r="CZ24208" s="35">
        <v>3.1305800000000002E-2</v>
      </c>
    </row>
    <row r="24209" spans="103:104" x14ac:dyDescent="0.3">
      <c r="CY24209" s="34" t="s">
        <v>25135</v>
      </c>
      <c r="CZ24209" s="35">
        <v>0.22763576000000002</v>
      </c>
    </row>
    <row r="24210" spans="103:104" x14ac:dyDescent="0.3">
      <c r="CY24210" s="34" t="s">
        <v>25136</v>
      </c>
      <c r="CZ24210" s="35">
        <v>0.25035572</v>
      </c>
    </row>
    <row r="24211" spans="103:104" x14ac:dyDescent="0.3">
      <c r="CY24211" s="34" t="s">
        <v>25137</v>
      </c>
      <c r="CZ24211" s="35">
        <v>8.954247999999998E-3</v>
      </c>
    </row>
    <row r="24212" spans="103:104" x14ac:dyDescent="0.3">
      <c r="CY24212" s="34" t="s">
        <v>25138</v>
      </c>
      <c r="CZ24212" s="35">
        <v>8.4547333333333339E-3</v>
      </c>
    </row>
    <row r="24213" spans="103:104" x14ac:dyDescent="0.3">
      <c r="CY24213" s="34" t="s">
        <v>25139</v>
      </c>
      <c r="CZ24213" s="35">
        <v>4.1023556571428569E-3</v>
      </c>
    </row>
    <row r="24214" spans="103:104" x14ac:dyDescent="0.3">
      <c r="CY24214" s="34" t="s">
        <v>25140</v>
      </c>
      <c r="CZ24214" s="35">
        <v>2.0537079999999999E-2</v>
      </c>
    </row>
    <row r="24215" spans="103:104" x14ac:dyDescent="0.3">
      <c r="CY24215" s="34" t="s">
        <v>25141</v>
      </c>
      <c r="CZ24215" s="35">
        <v>1.6880047000000002E-2</v>
      </c>
    </row>
    <row r="24216" spans="103:104" x14ac:dyDescent="0.3">
      <c r="CY24216" s="34" t="s">
        <v>25142</v>
      </c>
      <c r="CZ24216" s="35">
        <v>5.8683199999999998E-3</v>
      </c>
    </row>
    <row r="24217" spans="103:104" x14ac:dyDescent="0.3">
      <c r="CY24217" s="34" t="s">
        <v>25143</v>
      </c>
      <c r="CZ24217" s="35">
        <v>2.0766217999999999E-2</v>
      </c>
    </row>
    <row r="24218" spans="103:104" x14ac:dyDescent="0.3">
      <c r="CY24218" s="34" t="s">
        <v>25144</v>
      </c>
      <c r="CZ24218" s="35">
        <v>1.3084448E-2</v>
      </c>
    </row>
    <row r="24219" spans="103:104" x14ac:dyDescent="0.3">
      <c r="CY24219" s="34" t="s">
        <v>25145</v>
      </c>
      <c r="CZ24219" s="35">
        <v>1.0908497600000001E-2</v>
      </c>
    </row>
    <row r="24220" spans="103:104" x14ac:dyDescent="0.3">
      <c r="CY24220" s="34" t="s">
        <v>25146</v>
      </c>
      <c r="CZ24220" s="35">
        <v>1.0908497600000001E-2</v>
      </c>
    </row>
    <row r="24221" spans="103:104" x14ac:dyDescent="0.3">
      <c r="CY24221" s="34" t="s">
        <v>25147</v>
      </c>
      <c r="CZ24221" s="35">
        <v>7.7327653333333314E-3</v>
      </c>
    </row>
    <row r="24222" spans="103:104" x14ac:dyDescent="0.3">
      <c r="CY24222" s="34" t="s">
        <v>25148</v>
      </c>
      <c r="CZ24222" s="35">
        <v>7.7327653333333322E-3</v>
      </c>
    </row>
    <row r="24223" spans="103:104" x14ac:dyDescent="0.3">
      <c r="CY24223" s="34" t="s">
        <v>25149</v>
      </c>
      <c r="CZ24223" s="35">
        <v>1.8191213333333331E-2</v>
      </c>
    </row>
    <row r="24224" spans="103:104" x14ac:dyDescent="0.3">
      <c r="CY24224" s="34" t="s">
        <v>25150</v>
      </c>
      <c r="CZ24224" s="35">
        <v>7.3080763866699996E-2</v>
      </c>
    </row>
    <row r="24225" spans="103:104" x14ac:dyDescent="0.3">
      <c r="CY24225" s="34" t="s">
        <v>25151</v>
      </c>
      <c r="CZ24225" s="35">
        <v>2.2230672E-2</v>
      </c>
    </row>
    <row r="24226" spans="103:104" x14ac:dyDescent="0.3">
      <c r="CY24226" s="34" t="s">
        <v>25152</v>
      </c>
      <c r="CZ24226" s="35">
        <v>4.1072188000000004E-3</v>
      </c>
    </row>
    <row r="24227" spans="103:104" x14ac:dyDescent="0.3">
      <c r="CY24227" s="34" t="s">
        <v>25153</v>
      </c>
      <c r="CZ24227" s="35">
        <v>1.6936716666666664E-2</v>
      </c>
    </row>
    <row r="24228" spans="103:104" x14ac:dyDescent="0.3">
      <c r="CY24228" s="34" t="s">
        <v>25154</v>
      </c>
      <c r="CZ24228" s="35">
        <v>3.23581E-3</v>
      </c>
    </row>
    <row r="24229" spans="103:104" x14ac:dyDescent="0.3">
      <c r="CY24229" s="34" t="s">
        <v>25155</v>
      </c>
      <c r="CZ24229" s="35">
        <v>1.11717825</v>
      </c>
    </row>
    <row r="24230" spans="103:104" x14ac:dyDescent="0.3">
      <c r="CY24230" s="34" t="s">
        <v>25156</v>
      </c>
      <c r="CZ24230" s="35">
        <v>1.25083109375</v>
      </c>
    </row>
    <row r="24231" spans="103:104" x14ac:dyDescent="0.3">
      <c r="CY24231" s="34" t="s">
        <v>25157</v>
      </c>
      <c r="CZ24231" s="35">
        <v>0.71628360000000002</v>
      </c>
    </row>
    <row r="24232" spans="103:104" x14ac:dyDescent="0.3">
      <c r="CY24232" s="34" t="s">
        <v>25158</v>
      </c>
      <c r="CZ24232" s="35">
        <v>0.70248359999999999</v>
      </c>
    </row>
    <row r="24233" spans="103:104" x14ac:dyDescent="0.3">
      <c r="CY24233" s="34" t="s">
        <v>25159</v>
      </c>
      <c r="CZ24233" s="35">
        <v>0.14220987499999999</v>
      </c>
    </row>
    <row r="24234" spans="103:104" x14ac:dyDescent="0.3">
      <c r="CY24234" s="34" t="s">
        <v>25160</v>
      </c>
      <c r="CZ24234" s="35">
        <v>3.2699400000000005E-4</v>
      </c>
    </row>
    <row r="24235" spans="103:104" x14ac:dyDescent="0.3">
      <c r="CY24235" s="34" t="s">
        <v>25161</v>
      </c>
      <c r="CZ24235" s="35">
        <v>2.9913860000000004E-3</v>
      </c>
    </row>
    <row r="24236" spans="103:104" x14ac:dyDescent="0.3">
      <c r="CY24236" s="34" t="s">
        <v>25162</v>
      </c>
      <c r="CZ24236" s="35">
        <v>2.2060351999999999E-3</v>
      </c>
    </row>
    <row r="24237" spans="103:104" x14ac:dyDescent="0.3">
      <c r="CY24237" s="34" t="s">
        <v>25163</v>
      </c>
      <c r="CZ24237" s="35">
        <v>1.5690230000000001E-3</v>
      </c>
    </row>
    <row r="24238" spans="103:104" x14ac:dyDescent="0.3">
      <c r="CY24238" s="34" t="s">
        <v>25164</v>
      </c>
      <c r="CZ24238" s="35">
        <v>1.5690230000000001E-3</v>
      </c>
    </row>
    <row r="24239" spans="103:104" x14ac:dyDescent="0.3">
      <c r="CY24239" s="34" t="s">
        <v>25165</v>
      </c>
      <c r="CZ24239" s="35">
        <v>2.1025940000000002E-3</v>
      </c>
    </row>
    <row r="24240" spans="103:104" x14ac:dyDescent="0.3">
      <c r="CY24240" s="34" t="s">
        <v>25166</v>
      </c>
      <c r="CZ24240" s="35">
        <v>2.5650416666666669E-3</v>
      </c>
    </row>
    <row r="24241" spans="103:104" x14ac:dyDescent="0.3">
      <c r="CY24241" s="34" t="s">
        <v>25167</v>
      </c>
      <c r="CZ24241" s="35">
        <v>2.2413006666666666E-2</v>
      </c>
    </row>
    <row r="24242" spans="103:104" x14ac:dyDescent="0.3">
      <c r="CY24242" s="34" t="s">
        <v>25168</v>
      </c>
      <c r="CZ24242" s="35">
        <v>2.3855874999999999E-2</v>
      </c>
    </row>
    <row r="24243" spans="103:104" x14ac:dyDescent="0.3">
      <c r="CY24243" s="34" t="s">
        <v>25169</v>
      </c>
      <c r="CZ24243" s="35">
        <v>7.3768504E-3</v>
      </c>
    </row>
    <row r="24244" spans="103:104" x14ac:dyDescent="0.3">
      <c r="CY24244" s="34" t="s">
        <v>25170</v>
      </c>
      <c r="CZ24244" s="35">
        <v>7.8553767999999993E-3</v>
      </c>
    </row>
    <row r="24245" spans="103:104" x14ac:dyDescent="0.3">
      <c r="CY24245" s="34" t="s">
        <v>25171</v>
      </c>
      <c r="CZ24245" s="35">
        <v>7.6161136000000001E-3</v>
      </c>
    </row>
    <row r="24246" spans="103:104" x14ac:dyDescent="0.3">
      <c r="CY24246" s="34" t="s">
        <v>25172</v>
      </c>
      <c r="CZ24246" s="35">
        <v>7.2970960000000003E-3</v>
      </c>
    </row>
    <row r="24247" spans="103:104" x14ac:dyDescent="0.3">
      <c r="CY24247" s="34" t="s">
        <v>25173</v>
      </c>
      <c r="CZ24247" s="35">
        <v>1.2684899999999997E-3</v>
      </c>
    </row>
    <row r="24248" spans="103:104" x14ac:dyDescent="0.3">
      <c r="CY24248" s="34" t="s">
        <v>25174</v>
      </c>
      <c r="CZ24248" s="35">
        <v>1.1212613335000001E-2</v>
      </c>
    </row>
    <row r="24249" spans="103:104" x14ac:dyDescent="0.3">
      <c r="CY24249" s="34" t="s">
        <v>25175</v>
      </c>
      <c r="CZ24249" s="35">
        <v>1.8382693052631582E-2</v>
      </c>
    </row>
    <row r="24250" spans="103:104" x14ac:dyDescent="0.3">
      <c r="CY24250" s="34" t="s">
        <v>25176</v>
      </c>
      <c r="CZ24250" s="35">
        <v>9.9301560000000011E-2</v>
      </c>
    </row>
    <row r="24251" spans="103:104" x14ac:dyDescent="0.3">
      <c r="CY24251" s="34" t="s">
        <v>25177</v>
      </c>
      <c r="CZ24251" s="35">
        <v>2.368914288E-2</v>
      </c>
    </row>
    <row r="24252" spans="103:104" x14ac:dyDescent="0.3">
      <c r="CY24252" s="34" t="s">
        <v>25178</v>
      </c>
      <c r="CZ24252" s="35">
        <v>0.426603434</v>
      </c>
    </row>
    <row r="24253" spans="103:104" x14ac:dyDescent="0.3">
      <c r="CY24253" s="34" t="s">
        <v>25179</v>
      </c>
      <c r="CZ24253" s="35">
        <v>0.13765647600000003</v>
      </c>
    </row>
    <row r="24254" spans="103:104" x14ac:dyDescent="0.3">
      <c r="CY24254" s="34" t="s">
        <v>25180</v>
      </c>
      <c r="CZ24254" s="35">
        <v>0.34986476000000005</v>
      </c>
    </row>
    <row r="24255" spans="103:104" x14ac:dyDescent="0.3">
      <c r="CY24255" s="34" t="s">
        <v>25181</v>
      </c>
      <c r="CZ24255" s="35">
        <v>0.82347788799999988</v>
      </c>
    </row>
    <row r="24256" spans="103:104" x14ac:dyDescent="0.3">
      <c r="CY24256" s="34" t="s">
        <v>25182</v>
      </c>
      <c r="CZ24256" s="35">
        <v>0.92073543200000008</v>
      </c>
    </row>
    <row r="24257" spans="103:104" x14ac:dyDescent="0.3">
      <c r="CY24257" s="34" t="s">
        <v>25183</v>
      </c>
      <c r="CZ24257" s="35">
        <v>0.43727193600000003</v>
      </c>
    </row>
    <row r="24258" spans="103:104" x14ac:dyDescent="0.3">
      <c r="CY24258" s="34" t="s">
        <v>25184</v>
      </c>
      <c r="CZ24258" s="35">
        <v>0.426603434</v>
      </c>
    </row>
    <row r="24259" spans="103:104" x14ac:dyDescent="0.3">
      <c r="CY24259" s="34" t="s">
        <v>25185</v>
      </c>
      <c r="CZ24259" s="35">
        <v>0.13765647600000003</v>
      </c>
    </row>
    <row r="24260" spans="103:104" x14ac:dyDescent="0.3">
      <c r="CY24260" s="34" t="s">
        <v>25186</v>
      </c>
      <c r="CZ24260" s="35">
        <v>0.34986476000000005</v>
      </c>
    </row>
    <row r="24261" spans="103:104" x14ac:dyDescent="0.3">
      <c r="CY24261" s="34" t="s">
        <v>25187</v>
      </c>
      <c r="CZ24261" s="35">
        <v>0.81541082399999998</v>
      </c>
    </row>
    <row r="24262" spans="103:104" x14ac:dyDescent="0.3">
      <c r="CY24262" s="34" t="s">
        <v>25188</v>
      </c>
      <c r="CZ24262" s="35">
        <v>0.90290598</v>
      </c>
    </row>
    <row r="24263" spans="103:104" x14ac:dyDescent="0.3">
      <c r="CY24263" s="34" t="s">
        <v>25189</v>
      </c>
      <c r="CZ24263" s="35">
        <v>0.432658186</v>
      </c>
    </row>
    <row r="24264" spans="103:104" x14ac:dyDescent="0.3">
      <c r="CY24264" s="34" t="s">
        <v>25190</v>
      </c>
      <c r="CZ24264" s="35">
        <v>0.19838928200000003</v>
      </c>
    </row>
    <row r="24265" spans="103:104" x14ac:dyDescent="0.3">
      <c r="CY24265" s="34" t="s">
        <v>25191</v>
      </c>
      <c r="CZ24265" s="35">
        <v>6.4338493999999996E-2</v>
      </c>
    </row>
    <row r="24266" spans="103:104" x14ac:dyDescent="0.3">
      <c r="CY24266" s="34" t="s">
        <v>25192</v>
      </c>
      <c r="CZ24266" s="35">
        <v>0.2436913</v>
      </c>
    </row>
    <row r="24267" spans="103:104" x14ac:dyDescent="0.3">
      <c r="CY24267" s="34" t="s">
        <v>25193</v>
      </c>
      <c r="CZ24267" s="35">
        <v>0.62803165599999999</v>
      </c>
    </row>
    <row r="24268" spans="103:104" x14ac:dyDescent="0.3">
      <c r="CY24268" s="34" t="s">
        <v>25194</v>
      </c>
      <c r="CZ24268" s="35">
        <v>0.62737763600000007</v>
      </c>
    </row>
    <row r="24269" spans="103:104" x14ac:dyDescent="0.3">
      <c r="CY24269" s="34" t="s">
        <v>25195</v>
      </c>
      <c r="CZ24269" s="35">
        <v>0.19660504000000001</v>
      </c>
    </row>
    <row r="24270" spans="103:104" x14ac:dyDescent="0.3">
      <c r="CY24270" s="34" t="s">
        <v>25196</v>
      </c>
      <c r="CZ24270" s="35">
        <v>0.222118018</v>
      </c>
    </row>
    <row r="24271" spans="103:104" x14ac:dyDescent="0.3">
      <c r="CY24271" s="34" t="s">
        <v>25197</v>
      </c>
      <c r="CZ24271" s="35">
        <v>8.5139200000000012E-2</v>
      </c>
    </row>
    <row r="24272" spans="103:104" x14ac:dyDescent="0.3">
      <c r="CY24272" s="34" t="s">
        <v>25198</v>
      </c>
      <c r="CZ24272" s="35">
        <v>0.23226985</v>
      </c>
    </row>
    <row r="24273" spans="103:104" x14ac:dyDescent="0.3">
      <c r="CY24273" s="34" t="s">
        <v>25199</v>
      </c>
      <c r="CZ24273" s="35">
        <v>0.68550104000000012</v>
      </c>
    </row>
    <row r="24274" spans="103:104" x14ac:dyDescent="0.3">
      <c r="CY24274" s="34" t="s">
        <v>25200</v>
      </c>
      <c r="CZ24274" s="35">
        <v>0.68840787800000003</v>
      </c>
    </row>
    <row r="24275" spans="103:104" x14ac:dyDescent="0.3">
      <c r="CY24275" s="34" t="s">
        <v>25201</v>
      </c>
      <c r="CZ24275" s="35">
        <v>0.24103515199999997</v>
      </c>
    </row>
    <row r="24276" spans="103:104" x14ac:dyDescent="0.3">
      <c r="CY24276" s="34" t="s">
        <v>25202</v>
      </c>
      <c r="CZ24276" s="35">
        <v>0.75043895999999988</v>
      </c>
    </row>
    <row r="24277" spans="103:104" x14ac:dyDescent="0.3">
      <c r="CY24277" s="34" t="s">
        <v>25203</v>
      </c>
      <c r="CZ24277" s="35">
        <v>0.58392556000000007</v>
      </c>
    </row>
    <row r="24278" spans="103:104" x14ac:dyDescent="0.3">
      <c r="CY24278" s="34" t="s">
        <v>25204</v>
      </c>
      <c r="CZ24278" s="35">
        <v>0.81203607999999994</v>
      </c>
    </row>
    <row r="24279" spans="103:104" x14ac:dyDescent="0.3">
      <c r="CY24279" s="34" t="s">
        <v>25205</v>
      </c>
      <c r="CZ24279" s="35">
        <v>0.8214816800000001</v>
      </c>
    </row>
    <row r="24280" spans="103:104" x14ac:dyDescent="0.3">
      <c r="CY24280" s="34" t="s">
        <v>25206</v>
      </c>
      <c r="CZ24280" s="35">
        <v>0.19065635999999997</v>
      </c>
    </row>
    <row r="24281" spans="103:104" x14ac:dyDescent="0.3">
      <c r="CY24281" s="34" t="s">
        <v>25207</v>
      </c>
      <c r="CZ24281" s="35">
        <v>0.3393564</v>
      </c>
    </row>
    <row r="24282" spans="103:104" x14ac:dyDescent="0.3">
      <c r="CY24282" s="34" t="s">
        <v>25208</v>
      </c>
      <c r="CZ24282" s="35">
        <v>0.17065964</v>
      </c>
    </row>
    <row r="24283" spans="103:104" x14ac:dyDescent="0.3">
      <c r="CY24283" s="34" t="s">
        <v>25209</v>
      </c>
      <c r="CZ24283" s="35">
        <v>0.18058083999999999</v>
      </c>
    </row>
    <row r="24284" spans="103:104" x14ac:dyDescent="0.3">
      <c r="CY24284" s="34" t="s">
        <v>25210</v>
      </c>
      <c r="CZ24284" s="35">
        <v>0.28397271999999996</v>
      </c>
    </row>
    <row r="24285" spans="103:104" x14ac:dyDescent="0.3">
      <c r="CY24285" s="34" t="s">
        <v>25211</v>
      </c>
      <c r="CZ24285" s="35">
        <v>0.56271112000000001</v>
      </c>
    </row>
    <row r="24286" spans="103:104" x14ac:dyDescent="0.3">
      <c r="CY24286" s="34" t="s">
        <v>25212</v>
      </c>
      <c r="CZ24286" s="35">
        <v>0.12638379999999999</v>
      </c>
    </row>
    <row r="24287" spans="103:104" x14ac:dyDescent="0.3">
      <c r="CY24287" s="34" t="s">
        <v>25213</v>
      </c>
      <c r="CZ24287" s="35">
        <v>0.37730491999999999</v>
      </c>
    </row>
    <row r="24288" spans="103:104" x14ac:dyDescent="0.3">
      <c r="CY24288" s="34" t="s">
        <v>25214</v>
      </c>
      <c r="CZ24288" s="35">
        <v>0.10584764000000002</v>
      </c>
    </row>
    <row r="24289" spans="103:104" x14ac:dyDescent="0.3">
      <c r="CY24289" s="34" t="s">
        <v>25215</v>
      </c>
      <c r="CZ24289" s="35">
        <v>0.26932691999999997</v>
      </c>
    </row>
    <row r="24290" spans="103:104" x14ac:dyDescent="0.3">
      <c r="CY24290" s="34" t="s">
        <v>25216</v>
      </c>
      <c r="CZ24290" s="35">
        <v>0.44338331999999997</v>
      </c>
    </row>
    <row r="24291" spans="103:104" x14ac:dyDescent="0.3">
      <c r="CY24291" s="34" t="s">
        <v>25217</v>
      </c>
      <c r="CZ24291" s="35">
        <v>0.49694547999999994</v>
      </c>
    </row>
    <row r="24292" spans="103:104" x14ac:dyDescent="0.3">
      <c r="CY24292" s="34" t="s">
        <v>25218</v>
      </c>
      <c r="CZ24292" s="35">
        <v>0.199937</v>
      </c>
    </row>
    <row r="24293" spans="103:104" x14ac:dyDescent="0.3">
      <c r="CY24293" s="34" t="s">
        <v>25219</v>
      </c>
      <c r="CZ24293" s="35">
        <v>0.32434708000000001</v>
      </c>
    </row>
    <row r="24294" spans="103:104" x14ac:dyDescent="0.3">
      <c r="CY24294" s="34" t="s">
        <v>25220</v>
      </c>
      <c r="CZ24294" s="35">
        <v>0.15215639999999997</v>
      </c>
    </row>
    <row r="24295" spans="103:104" x14ac:dyDescent="0.3">
      <c r="CY24295" s="34" t="s">
        <v>25221</v>
      </c>
      <c r="CZ24295" s="35">
        <v>0.29781460000000004</v>
      </c>
    </row>
    <row r="24296" spans="103:104" x14ac:dyDescent="0.3">
      <c r="CY24296" s="34" t="s">
        <v>25222</v>
      </c>
      <c r="CZ24296" s="35">
        <v>0.55290371999999999</v>
      </c>
    </row>
    <row r="24297" spans="103:104" x14ac:dyDescent="0.3">
      <c r="CY24297" s="34" t="s">
        <v>25223</v>
      </c>
      <c r="CZ24297" s="35">
        <v>0.60591907720000004</v>
      </c>
    </row>
    <row r="24298" spans="103:104" x14ac:dyDescent="0.3">
      <c r="CY24298" s="34" t="s">
        <v>25224</v>
      </c>
      <c r="CZ24298" s="35">
        <v>0.47088515999999991</v>
      </c>
    </row>
    <row r="24299" spans="103:104" x14ac:dyDescent="0.3">
      <c r="CY24299" s="34" t="s">
        <v>25225</v>
      </c>
      <c r="CZ24299" s="35">
        <v>5.8326794000000005E-3</v>
      </c>
    </row>
    <row r="24300" spans="103:104" x14ac:dyDescent="0.3">
      <c r="CY24300" s="34" t="s">
        <v>25226</v>
      </c>
      <c r="CZ24300" s="35">
        <v>5.5317740000000006E-3</v>
      </c>
    </row>
    <row r="24301" spans="103:104" x14ac:dyDescent="0.3">
      <c r="CY24301" s="34" t="s">
        <v>25227</v>
      </c>
      <c r="CZ24301" s="35">
        <v>2.1973918000999997</v>
      </c>
    </row>
    <row r="24302" spans="103:104" x14ac:dyDescent="0.3">
      <c r="CY24302" s="34" t="s">
        <v>25228</v>
      </c>
      <c r="CZ24302" s="35">
        <v>2.2039055499999995</v>
      </c>
    </row>
    <row r="24303" spans="103:104" x14ac:dyDescent="0.3">
      <c r="CY24303" s="34" t="s">
        <v>25229</v>
      </c>
      <c r="CZ24303" s="35">
        <v>6.2154462000000001E-2</v>
      </c>
    </row>
    <row r="24304" spans="103:104" x14ac:dyDescent="0.3">
      <c r="CY24304" s="34" t="s">
        <v>25230</v>
      </c>
      <c r="CZ24304" s="35">
        <v>1.6872590399999998E-2</v>
      </c>
    </row>
    <row r="24305" spans="103:104" x14ac:dyDescent="0.3">
      <c r="CY24305" s="34" t="s">
        <v>25231</v>
      </c>
      <c r="CZ24305" s="35">
        <v>1.6872590399999998E-2</v>
      </c>
    </row>
    <row r="24306" spans="103:104" x14ac:dyDescent="0.3">
      <c r="CY24306" s="34" t="s">
        <v>25232</v>
      </c>
      <c r="CZ24306" s="35">
        <v>4.4316191999999996E-3</v>
      </c>
    </row>
    <row r="24307" spans="103:104" x14ac:dyDescent="0.3">
      <c r="CY24307" s="34" t="s">
        <v>25233</v>
      </c>
      <c r="CZ24307" s="35">
        <v>1.28690968E-2</v>
      </c>
    </row>
    <row r="24308" spans="103:104" x14ac:dyDescent="0.3">
      <c r="CY24308" s="34" t="s">
        <v>25234</v>
      </c>
      <c r="CZ24308" s="35">
        <v>8.735024000000001E-3</v>
      </c>
    </row>
    <row r="24309" spans="103:104" x14ac:dyDescent="0.3">
      <c r="CY24309" s="34" t="s">
        <v>25235</v>
      </c>
      <c r="CZ24309" s="35">
        <v>8.735024000000001E-3</v>
      </c>
    </row>
    <row r="24310" spans="103:104" x14ac:dyDescent="0.3">
      <c r="CY24310" s="34" t="s">
        <v>25236</v>
      </c>
      <c r="CZ24310" s="35">
        <v>4.1056797999999999E-2</v>
      </c>
    </row>
    <row r="24311" spans="103:104" x14ac:dyDescent="0.3">
      <c r="CY24311" s="34" t="s">
        <v>25237</v>
      </c>
      <c r="CZ24311" s="35">
        <v>4.7263903000000003E-2</v>
      </c>
    </row>
    <row r="24312" spans="103:104" x14ac:dyDescent="0.3">
      <c r="CY24312" s="34" t="s">
        <v>25238</v>
      </c>
      <c r="CZ24312" s="35">
        <v>5.9829249999999992E-3</v>
      </c>
    </row>
    <row r="24313" spans="103:104" x14ac:dyDescent="0.3">
      <c r="CY24313" s="34" t="s">
        <v>25239</v>
      </c>
      <c r="CZ24313" s="35">
        <v>3.2823680000000001E-2</v>
      </c>
    </row>
    <row r="24314" spans="103:104" x14ac:dyDescent="0.3">
      <c r="CY24314" s="34" t="s">
        <v>25240</v>
      </c>
      <c r="CZ24314" s="35">
        <v>1.1937740000000001E-2</v>
      </c>
    </row>
    <row r="24315" spans="103:104" x14ac:dyDescent="0.3">
      <c r="CY24315" s="34" t="s">
        <v>25241</v>
      </c>
      <c r="CZ24315" s="35">
        <v>4.785992E-2</v>
      </c>
    </row>
    <row r="24316" spans="103:104" x14ac:dyDescent="0.3">
      <c r="CY24316" s="34" t="s">
        <v>25242</v>
      </c>
      <c r="CZ24316" s="35">
        <v>4.3768368055555555E-2</v>
      </c>
    </row>
    <row r="24317" spans="103:104" x14ac:dyDescent="0.3">
      <c r="CY24317" s="34" t="s">
        <v>25243</v>
      </c>
      <c r="CZ24317" s="35">
        <v>0.19041854118000001</v>
      </c>
    </row>
    <row r="24318" spans="103:104" x14ac:dyDescent="0.3">
      <c r="CY24318" s="34" t="s">
        <v>25244</v>
      </c>
      <c r="CZ24318" s="35">
        <v>0.143978036</v>
      </c>
    </row>
    <row r="24319" spans="103:104" x14ac:dyDescent="0.3">
      <c r="CY24319" s="34" t="s">
        <v>25245</v>
      </c>
      <c r="CZ24319" s="35">
        <v>7.7517040000000009E-2</v>
      </c>
    </row>
    <row r="24320" spans="103:104" x14ac:dyDescent="0.3">
      <c r="CY24320" s="34" t="s">
        <v>25246</v>
      </c>
      <c r="CZ24320" s="35">
        <v>7.0106570000000009E-4</v>
      </c>
    </row>
    <row r="24321" spans="103:104" x14ac:dyDescent="0.3">
      <c r="CY24321" s="34" t="s">
        <v>25247</v>
      </c>
      <c r="CZ24321" s="35">
        <v>2.5368919999999998E-3</v>
      </c>
    </row>
    <row r="24322" spans="103:104" x14ac:dyDescent="0.3">
      <c r="CY24322" s="34" t="s">
        <v>25248</v>
      </c>
      <c r="CZ24322" s="35">
        <v>6.1825554769230769E-4</v>
      </c>
    </row>
    <row r="24323" spans="103:104" x14ac:dyDescent="0.3">
      <c r="CY24323" s="34" t="s">
        <v>25249</v>
      </c>
      <c r="CZ24323" s="35">
        <v>1.703048E-3</v>
      </c>
    </row>
    <row r="24324" spans="103:104" x14ac:dyDescent="0.3">
      <c r="CY24324" s="34" t="s">
        <v>25250</v>
      </c>
      <c r="CZ24324" s="35">
        <v>0.27859059999999997</v>
      </c>
    </row>
    <row r="24325" spans="103:104" x14ac:dyDescent="0.3">
      <c r="CY24325" s="34" t="s">
        <v>25251</v>
      </c>
      <c r="CZ24325" s="35">
        <v>5.3188231250000009E-2</v>
      </c>
    </row>
    <row r="24326" spans="103:104" x14ac:dyDescent="0.3">
      <c r="CY24326" s="34" t="s">
        <v>25252</v>
      </c>
      <c r="CZ24326" s="35">
        <v>6.2647450000000007E-2</v>
      </c>
    </row>
    <row r="24327" spans="103:104" x14ac:dyDescent="0.3">
      <c r="CY24327" s="34" t="s">
        <v>25253</v>
      </c>
      <c r="CZ24327" s="35">
        <v>3.8625824999999996E-2</v>
      </c>
    </row>
    <row r="24328" spans="103:104" x14ac:dyDescent="0.3">
      <c r="CY24328" s="34" t="s">
        <v>25254</v>
      </c>
      <c r="CZ24328" s="35">
        <v>6.2647450000000007E-2</v>
      </c>
    </row>
    <row r="24329" spans="103:104" x14ac:dyDescent="0.3">
      <c r="CY24329" s="34" t="s">
        <v>25255</v>
      </c>
      <c r="CZ24329" s="35">
        <v>6.7219000000000001E-2</v>
      </c>
    </row>
    <row r="24330" spans="103:104" x14ac:dyDescent="0.3">
      <c r="CY24330" s="34" t="s">
        <v>25256</v>
      </c>
      <c r="CZ24330" s="35">
        <v>3.4697609000000004E-2</v>
      </c>
    </row>
    <row r="24331" spans="103:104" x14ac:dyDescent="0.3">
      <c r="CY24331" s="34" t="s">
        <v>25257</v>
      </c>
      <c r="CZ24331" s="35">
        <v>2.7720860000000003E-2</v>
      </c>
    </row>
    <row r="24332" spans="103:104" x14ac:dyDescent="0.3">
      <c r="CY24332" s="34" t="s">
        <v>25258</v>
      </c>
      <c r="CZ24332" s="35">
        <v>3.3130040000000006E-2</v>
      </c>
    </row>
    <row r="24333" spans="103:104" x14ac:dyDescent="0.3">
      <c r="CY24333" s="34" t="s">
        <v>25259</v>
      </c>
      <c r="CZ24333" s="35">
        <v>2.8503140000000003E-2</v>
      </c>
    </row>
    <row r="24334" spans="103:104" x14ac:dyDescent="0.3">
      <c r="CY24334" s="34" t="s">
        <v>25260</v>
      </c>
      <c r="CZ24334" s="35">
        <v>2.9020943999999997E-3</v>
      </c>
    </row>
    <row r="24335" spans="103:104" x14ac:dyDescent="0.3">
      <c r="CY24335" s="34" t="s">
        <v>25261</v>
      </c>
      <c r="CZ24335" s="35">
        <v>2.2322773626373624E-2</v>
      </c>
    </row>
    <row r="24336" spans="103:104" x14ac:dyDescent="0.3">
      <c r="CY24336" s="34" t="s">
        <v>25262</v>
      </c>
      <c r="CZ24336" s="35">
        <v>1.7725652873563216E-2</v>
      </c>
    </row>
    <row r="24337" spans="103:104" x14ac:dyDescent="0.3">
      <c r="CY24337" s="34" t="s">
        <v>25263</v>
      </c>
      <c r="CZ24337" s="35">
        <v>0.1295307</v>
      </c>
    </row>
    <row r="24338" spans="103:104" x14ac:dyDescent="0.3">
      <c r="CY24338" s="34" t="s">
        <v>25264</v>
      </c>
      <c r="CZ24338" s="35">
        <v>5.1349549000000005E-3</v>
      </c>
    </row>
    <row r="24339" spans="103:104" x14ac:dyDescent="0.3">
      <c r="CY24339" s="34" t="s">
        <v>25265</v>
      </c>
      <c r="CZ24339" s="35">
        <v>4.6788893333333326E-3</v>
      </c>
    </row>
    <row r="24340" spans="103:104" x14ac:dyDescent="0.3">
      <c r="CY24340" s="34" t="s">
        <v>25266</v>
      </c>
      <c r="CZ24340" s="35">
        <v>2.8717103999999992E-3</v>
      </c>
    </row>
    <row r="24341" spans="103:104" x14ac:dyDescent="0.3">
      <c r="CY24341" s="34" t="s">
        <v>25267</v>
      </c>
      <c r="CZ24341" s="35">
        <v>2.863045333333333E-2</v>
      </c>
    </row>
    <row r="24342" spans="103:104" x14ac:dyDescent="0.3">
      <c r="CY24342" s="34" t="s">
        <v>25268</v>
      </c>
      <c r="CZ24342" s="35">
        <v>0.76651749999999996</v>
      </c>
    </row>
    <row r="24343" spans="103:104" x14ac:dyDescent="0.3">
      <c r="CY24343" s="34" t="s">
        <v>25269</v>
      </c>
      <c r="CZ24343" s="35">
        <v>4.0901345799999995E-2</v>
      </c>
    </row>
    <row r="24344" spans="103:104" x14ac:dyDescent="0.3">
      <c r="CY24344" s="34" t="s">
        <v>25270</v>
      </c>
      <c r="CZ24344" s="35">
        <v>0.19631482400000003</v>
      </c>
    </row>
    <row r="24345" spans="103:104" x14ac:dyDescent="0.3">
      <c r="CY24345" s="34" t="s">
        <v>25271</v>
      </c>
      <c r="CZ24345" s="35">
        <v>0.11144479999999998</v>
      </c>
    </row>
    <row r="24346" spans="103:104" x14ac:dyDescent="0.3">
      <c r="CY24346" s="34" t="s">
        <v>25272</v>
      </c>
      <c r="CZ24346" s="35">
        <v>2.5215897142857144E-2</v>
      </c>
    </row>
    <row r="24347" spans="103:104" x14ac:dyDescent="0.3">
      <c r="CY24347" s="34" t="s">
        <v>25273</v>
      </c>
      <c r="CZ24347" s="35">
        <v>1.2023752E-2</v>
      </c>
    </row>
    <row r="24348" spans="103:104" x14ac:dyDescent="0.3">
      <c r="CY24348" s="34" t="s">
        <v>25274</v>
      </c>
      <c r="CZ24348" s="35">
        <v>2.1237887999999996E-3</v>
      </c>
    </row>
    <row r="24349" spans="103:104" x14ac:dyDescent="0.3">
      <c r="CY24349" s="34" t="s">
        <v>25275</v>
      </c>
      <c r="CZ24349" s="35">
        <v>0.14300584499999999</v>
      </c>
    </row>
    <row r="24350" spans="103:104" x14ac:dyDescent="0.3">
      <c r="CY24350" s="34" t="s">
        <v>25276</v>
      </c>
      <c r="CZ24350" s="35">
        <v>0.14300584499999999</v>
      </c>
    </row>
    <row r="24351" spans="103:104" x14ac:dyDescent="0.3">
      <c r="CY24351" s="34" t="s">
        <v>25277</v>
      </c>
      <c r="CZ24351" s="35">
        <v>0.15694951999999995</v>
      </c>
    </row>
    <row r="24352" spans="103:104" x14ac:dyDescent="0.3">
      <c r="CY24352" s="34" t="s">
        <v>25278</v>
      </c>
      <c r="CZ24352" s="35">
        <v>2.0330509142857143E-2</v>
      </c>
    </row>
    <row r="24353" spans="103:104" x14ac:dyDescent="0.3">
      <c r="CY24353" s="34" t="s">
        <v>25279</v>
      </c>
      <c r="CZ24353" s="35">
        <v>5.01635E-2</v>
      </c>
    </row>
    <row r="24354" spans="103:104" x14ac:dyDescent="0.3">
      <c r="CY24354" s="34" t="s">
        <v>25280</v>
      </c>
      <c r="CZ24354" s="35">
        <v>4.0855529866666657E-2</v>
      </c>
    </row>
    <row r="24355" spans="103:104" x14ac:dyDescent="0.3">
      <c r="CY24355" s="34" t="s">
        <v>25281</v>
      </c>
      <c r="CZ24355" s="35">
        <v>3.9328799999999997E-2</v>
      </c>
    </row>
    <row r="24356" spans="103:104" x14ac:dyDescent="0.3">
      <c r="CY24356" s="34" t="s">
        <v>25282</v>
      </c>
      <c r="CZ24356" s="35">
        <v>1.0502727999999999E-2</v>
      </c>
    </row>
    <row r="24357" spans="103:104" x14ac:dyDescent="0.3">
      <c r="CY24357" s="34" t="s">
        <v>25283</v>
      </c>
      <c r="CZ24357" s="35">
        <v>1.1396098399999999E-2</v>
      </c>
    </row>
    <row r="24358" spans="103:104" x14ac:dyDescent="0.3">
      <c r="CY24358" s="34" t="s">
        <v>25284</v>
      </c>
      <c r="CZ24358" s="35">
        <v>0.28226899933333321</v>
      </c>
    </row>
    <row r="24359" spans="103:104" x14ac:dyDescent="0.3">
      <c r="CY24359" s="34" t="s">
        <v>25285</v>
      </c>
      <c r="CZ24359" s="35">
        <v>7.8150345880000013E-2</v>
      </c>
    </row>
    <row r="24360" spans="103:104" x14ac:dyDescent="0.3">
      <c r="CY24360" s="34" t="s">
        <v>25286</v>
      </c>
      <c r="CZ24360" s="35">
        <v>1.6940900000000002E-2</v>
      </c>
    </row>
    <row r="24361" spans="103:104" x14ac:dyDescent="0.3">
      <c r="CY24361" s="34" t="s">
        <v>25287</v>
      </c>
      <c r="CZ24361" s="35">
        <v>5.6396399999999992E-4</v>
      </c>
    </row>
    <row r="24362" spans="103:104" x14ac:dyDescent="0.3">
      <c r="CY24362" s="34" t="s">
        <v>25288</v>
      </c>
      <c r="CZ24362" s="35">
        <v>2.7408341333333338E-4</v>
      </c>
    </row>
    <row r="24363" spans="103:104" x14ac:dyDescent="0.3">
      <c r="CY24363" s="34" t="s">
        <v>25289</v>
      </c>
      <c r="CZ24363" s="35">
        <v>4.6600457333333334E-4</v>
      </c>
    </row>
    <row r="24364" spans="103:104" x14ac:dyDescent="0.3">
      <c r="CY24364" s="34" t="s">
        <v>25290</v>
      </c>
      <c r="CZ24364" s="35">
        <v>3.2811879639999995E-4</v>
      </c>
    </row>
    <row r="24365" spans="103:104" x14ac:dyDescent="0.3">
      <c r="CY24365" s="34" t="s">
        <v>25291</v>
      </c>
      <c r="CZ24365" s="35">
        <v>8.2807639999999995E-3</v>
      </c>
    </row>
    <row r="24366" spans="103:104" x14ac:dyDescent="0.3">
      <c r="CY24366" s="34" t="s">
        <v>25292</v>
      </c>
      <c r="CZ24366" s="35">
        <v>2.3657972400000005E-2</v>
      </c>
    </row>
    <row r="24367" spans="103:104" x14ac:dyDescent="0.3">
      <c r="CY24367" s="34" t="s">
        <v>25293</v>
      </c>
      <c r="CZ24367" s="35">
        <v>2.3109120000000004E-2</v>
      </c>
    </row>
    <row r="24368" spans="103:104" x14ac:dyDescent="0.3">
      <c r="CY24368" s="34" t="s">
        <v>25294</v>
      </c>
      <c r="CZ24368" s="35">
        <v>1.8641155999999999E-2</v>
      </c>
    </row>
    <row r="24369" spans="103:104" x14ac:dyDescent="0.3">
      <c r="CY24369" s="34" t="s">
        <v>25295</v>
      </c>
      <c r="CZ24369" s="35">
        <v>2.1035626666666665E-3</v>
      </c>
    </row>
    <row r="24370" spans="103:104" x14ac:dyDescent="0.3">
      <c r="CY24370" s="34" t="s">
        <v>25296</v>
      </c>
      <c r="CZ24370" s="35">
        <v>8.3002320000000011E-3</v>
      </c>
    </row>
    <row r="24371" spans="103:104" x14ac:dyDescent="0.3">
      <c r="CY24371" s="34" t="s">
        <v>25297</v>
      </c>
      <c r="CZ24371" s="35">
        <v>1.1695324E-3</v>
      </c>
    </row>
    <row r="24372" spans="103:104" x14ac:dyDescent="0.3">
      <c r="CY24372" s="34" t="s">
        <v>25298</v>
      </c>
      <c r="CZ24372" s="35">
        <v>5.6745888000000002E-4</v>
      </c>
    </row>
    <row r="24373" spans="103:104" x14ac:dyDescent="0.3">
      <c r="CY24373" s="34" t="s">
        <v>25299</v>
      </c>
      <c r="CZ24373" s="35">
        <v>5.6384624000000005E-3</v>
      </c>
    </row>
    <row r="24374" spans="103:104" x14ac:dyDescent="0.3">
      <c r="CY24374" s="34" t="s">
        <v>25300</v>
      </c>
      <c r="CZ24374" s="35">
        <v>9.0498320000000011E-4</v>
      </c>
    </row>
    <row r="24375" spans="103:104" x14ac:dyDescent="0.3">
      <c r="CY24375" s="34" t="s">
        <v>25301</v>
      </c>
      <c r="CZ24375" s="35">
        <v>2.8715499999999996E-3</v>
      </c>
    </row>
    <row r="24376" spans="103:104" x14ac:dyDescent="0.3">
      <c r="CY24376" s="34" t="s">
        <v>25302</v>
      </c>
      <c r="CZ24376" s="35">
        <v>2.5485648E-3</v>
      </c>
    </row>
    <row r="24377" spans="103:104" x14ac:dyDescent="0.3">
      <c r="CY24377" s="34" t="s">
        <v>25303</v>
      </c>
      <c r="CZ24377" s="35">
        <v>1.383804E-3</v>
      </c>
    </row>
    <row r="24378" spans="103:104" x14ac:dyDescent="0.3">
      <c r="CY24378" s="34" t="s">
        <v>25304</v>
      </c>
      <c r="CZ24378" s="35">
        <v>9.3795600000000021E-3</v>
      </c>
    </row>
    <row r="24379" spans="103:104" x14ac:dyDescent="0.3">
      <c r="CY24379" s="34" t="s">
        <v>25305</v>
      </c>
      <c r="CZ24379" s="35">
        <v>4.3400019999999997E-2</v>
      </c>
    </row>
    <row r="24380" spans="103:104" x14ac:dyDescent="0.3">
      <c r="CY24380" s="34" t="s">
        <v>25306</v>
      </c>
      <c r="CZ24380" s="35">
        <v>9.2644096000000001E-4</v>
      </c>
    </row>
    <row r="24381" spans="103:104" x14ac:dyDescent="0.3">
      <c r="CY24381" s="34" t="s">
        <v>25307</v>
      </c>
      <c r="CZ24381" s="35">
        <v>1.7204896000000001E-2</v>
      </c>
    </row>
    <row r="24382" spans="103:104" x14ac:dyDescent="0.3">
      <c r="CY24382" s="34" t="s">
        <v>25308</v>
      </c>
      <c r="CZ24382" s="35">
        <v>1.7008752000000002E-2</v>
      </c>
    </row>
    <row r="24383" spans="103:104" x14ac:dyDescent="0.3">
      <c r="CY24383" s="34" t="s">
        <v>25309</v>
      </c>
      <c r="CZ24383" s="35">
        <v>9.8379920000000003E-3</v>
      </c>
    </row>
    <row r="24384" spans="103:104" x14ac:dyDescent="0.3">
      <c r="CY24384" s="34" t="s">
        <v>25310</v>
      </c>
      <c r="CZ24384" s="35">
        <v>2.1913216494845362E-2</v>
      </c>
    </row>
    <row r="24385" spans="103:104" x14ac:dyDescent="0.3">
      <c r="CY24385" s="34" t="s">
        <v>25311</v>
      </c>
      <c r="CZ24385" s="35">
        <v>1.2005615999999999E-3</v>
      </c>
    </row>
    <row r="24386" spans="103:104" x14ac:dyDescent="0.3">
      <c r="CY24386" s="34" t="s">
        <v>25312</v>
      </c>
      <c r="CZ24386" s="35">
        <v>8.2288499999999998E-4</v>
      </c>
    </row>
    <row r="24387" spans="103:104" x14ac:dyDescent="0.3">
      <c r="CY24387" s="34" t="s">
        <v>25313</v>
      </c>
      <c r="CZ24387" s="35">
        <v>4.4837013333333337E-3</v>
      </c>
    </row>
    <row r="24388" spans="103:104" x14ac:dyDescent="0.3">
      <c r="CY24388" s="34" t="s">
        <v>25314</v>
      </c>
      <c r="CZ24388" s="35">
        <v>8.1006080000000005E-3</v>
      </c>
    </row>
    <row r="24389" spans="103:104" x14ac:dyDescent="0.3">
      <c r="CY24389" s="34" t="s">
        <v>25315</v>
      </c>
      <c r="CZ24389" s="35">
        <v>1.6937380000000002E-3</v>
      </c>
    </row>
    <row r="24390" spans="103:104" x14ac:dyDescent="0.3">
      <c r="CY24390" s="34" t="s">
        <v>25316</v>
      </c>
      <c r="CZ24390" s="35">
        <v>1.3635549260000001E-2</v>
      </c>
    </row>
    <row r="24391" spans="103:104" x14ac:dyDescent="0.3">
      <c r="CY24391" s="34" t="s">
        <v>25317</v>
      </c>
      <c r="CZ24391" s="35">
        <v>3.1043018622399993E-3</v>
      </c>
    </row>
    <row r="24392" spans="103:104" x14ac:dyDescent="0.3">
      <c r="CY24392" s="34" t="s">
        <v>25318</v>
      </c>
      <c r="CZ24392" s="35">
        <v>6.1700979999999997E-3</v>
      </c>
    </row>
    <row r="24393" spans="103:104" x14ac:dyDescent="0.3">
      <c r="CY24393" s="34" t="s">
        <v>25319</v>
      </c>
      <c r="CZ24393" s="35">
        <v>1.3775136E-2</v>
      </c>
    </row>
    <row r="24394" spans="103:104" x14ac:dyDescent="0.3">
      <c r="CY24394" s="34" t="s">
        <v>25320</v>
      </c>
      <c r="CZ24394" s="35">
        <v>0.14480805334285715</v>
      </c>
    </row>
    <row r="24395" spans="103:104" x14ac:dyDescent="0.3">
      <c r="CY24395" s="34" t="s">
        <v>25321</v>
      </c>
      <c r="CZ24395" s="35">
        <v>0.14056275334285712</v>
      </c>
    </row>
    <row r="24396" spans="103:104" x14ac:dyDescent="0.3">
      <c r="CY24396" s="34" t="s">
        <v>25322</v>
      </c>
      <c r="CZ24396" s="35">
        <v>0.14276522134285716</v>
      </c>
    </row>
    <row r="24397" spans="103:104" x14ac:dyDescent="0.3">
      <c r="CY24397" s="34" t="s">
        <v>25323</v>
      </c>
      <c r="CZ24397" s="35">
        <v>0.1130505</v>
      </c>
    </row>
    <row r="24398" spans="103:104" x14ac:dyDescent="0.3">
      <c r="CY24398" s="34" t="s">
        <v>25324</v>
      </c>
      <c r="CZ24398" s="35">
        <v>2.1201829999999999E-3</v>
      </c>
    </row>
    <row r="24399" spans="103:104" x14ac:dyDescent="0.3">
      <c r="CY24399" s="34" t="s">
        <v>25325</v>
      </c>
      <c r="CZ24399" s="35">
        <v>3.0601533333333326E-3</v>
      </c>
    </row>
    <row r="24400" spans="103:104" x14ac:dyDescent="0.3">
      <c r="CY24400" s="34" t="s">
        <v>25326</v>
      </c>
      <c r="CZ24400" s="35">
        <v>2.0264376000000001E-3</v>
      </c>
    </row>
    <row r="24401" spans="103:104" x14ac:dyDescent="0.3">
      <c r="CY24401" s="34" t="s">
        <v>25327</v>
      </c>
      <c r="CZ24401" s="35">
        <v>3.8410019999999996E-3</v>
      </c>
    </row>
    <row r="24402" spans="103:104" x14ac:dyDescent="0.3">
      <c r="CY24402" s="34" t="s">
        <v>25328</v>
      </c>
      <c r="CZ24402" s="35">
        <v>1.1638926999999999E-2</v>
      </c>
    </row>
    <row r="24403" spans="103:104" x14ac:dyDescent="0.3">
      <c r="CY24403" s="34" t="s">
        <v>25329</v>
      </c>
      <c r="CZ24403" s="35">
        <v>4.6128191999999998E-3</v>
      </c>
    </row>
    <row r="24404" spans="103:104" x14ac:dyDescent="0.3">
      <c r="CY24404" s="34" t="s">
        <v>25330</v>
      </c>
      <c r="CZ24404" s="35">
        <v>3.7332278399999997E-3</v>
      </c>
    </row>
    <row r="24405" spans="103:104" x14ac:dyDescent="0.3">
      <c r="CY24405" s="34" t="s">
        <v>25331</v>
      </c>
      <c r="CZ24405" s="35">
        <v>3.7332278400000001E-3</v>
      </c>
    </row>
    <row r="24406" spans="103:104" x14ac:dyDescent="0.3">
      <c r="CY24406" s="34" t="s">
        <v>25332</v>
      </c>
      <c r="CZ24406" s="35">
        <v>3.4138800000000006E-3</v>
      </c>
    </row>
    <row r="24407" spans="103:104" x14ac:dyDescent="0.3">
      <c r="CY24407" s="34" t="s">
        <v>25333</v>
      </c>
      <c r="CZ24407" s="35">
        <v>2.0526192000000004E-3</v>
      </c>
    </row>
    <row r="24408" spans="103:104" x14ac:dyDescent="0.3">
      <c r="CY24408" s="34" t="s">
        <v>25334</v>
      </c>
      <c r="CZ24408" s="35">
        <v>1.2650311999999999E-2</v>
      </c>
    </row>
    <row r="24409" spans="103:104" x14ac:dyDescent="0.3">
      <c r="CY24409" s="34" t="s">
        <v>25335</v>
      </c>
      <c r="CZ24409" s="35">
        <v>1.9830053333400002E-2</v>
      </c>
    </row>
    <row r="24410" spans="103:104" x14ac:dyDescent="0.3">
      <c r="CY24410" s="34" t="s">
        <v>25336</v>
      </c>
      <c r="CZ24410" s="35">
        <v>4.5759999999999995E-2</v>
      </c>
    </row>
    <row r="24411" spans="103:104" x14ac:dyDescent="0.3">
      <c r="CY24411" s="34" t="s">
        <v>25337</v>
      </c>
      <c r="CZ24411" s="35">
        <v>9.6600000000000006E-4</v>
      </c>
    </row>
    <row r="24412" spans="103:104" x14ac:dyDescent="0.3">
      <c r="CY24412" s="34" t="s">
        <v>25338</v>
      </c>
      <c r="CZ24412" s="35">
        <v>1.2075E-3</v>
      </c>
    </row>
    <row r="24413" spans="103:104" x14ac:dyDescent="0.3">
      <c r="CY24413" s="34" t="s">
        <v>25339</v>
      </c>
      <c r="CZ24413" s="35">
        <v>3.4599999999999999E-2</v>
      </c>
    </row>
    <row r="24414" spans="103:104" x14ac:dyDescent="0.3">
      <c r="CY24414" s="34" t="s">
        <v>25340</v>
      </c>
      <c r="CZ24414" s="35">
        <v>8.0499999999999999E-3</v>
      </c>
    </row>
    <row r="24415" spans="103:104" x14ac:dyDescent="0.3">
      <c r="CY24415" s="34" t="s">
        <v>25341</v>
      </c>
      <c r="CZ24415" s="35">
        <v>0.24993022315789473</v>
      </c>
    </row>
    <row r="24416" spans="103:104" x14ac:dyDescent="0.3">
      <c r="CY24416" s="34" t="s">
        <v>25342</v>
      </c>
      <c r="CZ24416" s="35">
        <v>0.19209866105263157</v>
      </c>
    </row>
    <row r="24417" spans="103:104" x14ac:dyDescent="0.3">
      <c r="CY24417" s="34" t="s">
        <v>25343</v>
      </c>
      <c r="CZ24417" s="35">
        <v>0.10952544972499999</v>
      </c>
    </row>
    <row r="24418" spans="103:104" x14ac:dyDescent="0.3">
      <c r="CY24418" s="34" t="s">
        <v>25344</v>
      </c>
      <c r="CZ24418" s="35">
        <v>1.8427351111111111E-3</v>
      </c>
    </row>
    <row r="24419" spans="103:104" x14ac:dyDescent="0.3">
      <c r="CY24419" s="34" t="s">
        <v>25345</v>
      </c>
      <c r="CZ24419" s="35">
        <v>1.10425227E-2</v>
      </c>
    </row>
    <row r="24420" spans="103:104" x14ac:dyDescent="0.3">
      <c r="CY24420" s="34" t="s">
        <v>25346</v>
      </c>
      <c r="CZ24420" s="35">
        <v>2.1713724E-2</v>
      </c>
    </row>
    <row r="24421" spans="103:104" x14ac:dyDescent="0.3">
      <c r="CY24421" s="34" t="s">
        <v>25347</v>
      </c>
      <c r="CZ24421" s="35">
        <v>6.3355200000000007E-3</v>
      </c>
    </row>
    <row r="24422" spans="103:104" x14ac:dyDescent="0.3">
      <c r="CY24422" s="34" t="s">
        <v>25348</v>
      </c>
      <c r="CZ24422" s="35">
        <v>0.11143208</v>
      </c>
    </row>
    <row r="24423" spans="103:104" x14ac:dyDescent="0.3">
      <c r="CY24423" s="34" t="s">
        <v>25349</v>
      </c>
      <c r="CZ24423" s="35">
        <v>1.307140893E-2</v>
      </c>
    </row>
    <row r="24424" spans="103:104" x14ac:dyDescent="0.3">
      <c r="CY24424" s="34" t="s">
        <v>25350</v>
      </c>
      <c r="CZ24424" s="35">
        <v>1.7557460800000002E-3</v>
      </c>
    </row>
    <row r="24425" spans="103:104" x14ac:dyDescent="0.3">
      <c r="CY24425" s="34" t="s">
        <v>25351</v>
      </c>
      <c r="CZ24425" s="35">
        <v>6.9746117999999996E-2</v>
      </c>
    </row>
    <row r="24426" spans="103:104" x14ac:dyDescent="0.3">
      <c r="CY24426" s="34" t="s">
        <v>25352</v>
      </c>
      <c r="CZ24426" s="35">
        <v>2.4038584000000002E-3</v>
      </c>
    </row>
    <row r="24427" spans="103:104" x14ac:dyDescent="0.3">
      <c r="CY24427" s="34" t="s">
        <v>25353</v>
      </c>
      <c r="CZ24427" s="35">
        <v>3.8489360000000003E-3</v>
      </c>
    </row>
    <row r="24428" spans="103:104" x14ac:dyDescent="0.3">
      <c r="CY24428" s="34" t="s">
        <v>25354</v>
      </c>
      <c r="CZ24428" s="35">
        <v>3.2131885000000006E-2</v>
      </c>
    </row>
    <row r="24429" spans="103:104" x14ac:dyDescent="0.3">
      <c r="CY24429" s="34" t="s">
        <v>25355</v>
      </c>
      <c r="CZ24429" s="35">
        <v>5.0449626669999997E-2</v>
      </c>
    </row>
    <row r="24430" spans="103:104" x14ac:dyDescent="0.3">
      <c r="CY24430" s="34" t="s">
        <v>25356</v>
      </c>
      <c r="CZ24430" s="35">
        <v>6.9166666999999999E-4</v>
      </c>
    </row>
    <row r="24431" spans="103:104" x14ac:dyDescent="0.3">
      <c r="CY24431" s="34" t="s">
        <v>25357</v>
      </c>
      <c r="CZ24431" s="35">
        <v>0.79854400000000003</v>
      </c>
    </row>
    <row r="24432" spans="103:104" x14ac:dyDescent="0.3">
      <c r="CY24432" s="34" t="s">
        <v>25358</v>
      </c>
      <c r="CZ24432" s="35">
        <v>0.85838642857499992</v>
      </c>
    </row>
    <row r="24433" spans="103:104" x14ac:dyDescent="0.3">
      <c r="CY24433" s="34" t="s">
        <v>25359</v>
      </c>
      <c r="CZ24433" s="35">
        <v>6.807777777777778E-3</v>
      </c>
    </row>
    <row r="24434" spans="103:104" x14ac:dyDescent="0.3">
      <c r="CY24434" s="34" t="s">
        <v>25360</v>
      </c>
      <c r="CZ24434" s="35">
        <v>3.3476918000000001E-3</v>
      </c>
    </row>
    <row r="24435" spans="103:104" x14ac:dyDescent="0.3">
      <c r="CY24435" s="34" t="s">
        <v>25361</v>
      </c>
      <c r="CZ24435" s="35">
        <v>1.7412282000000001E-2</v>
      </c>
    </row>
    <row r="24436" spans="103:104" x14ac:dyDescent="0.3">
      <c r="CY24436" s="34" t="s">
        <v>25362</v>
      </c>
      <c r="CZ24436" s="35">
        <v>0.39345350000000001</v>
      </c>
    </row>
    <row r="24437" spans="103:104" x14ac:dyDescent="0.3">
      <c r="CY24437" s="34" t="s">
        <v>25363</v>
      </c>
      <c r="CZ24437" s="35">
        <v>1.4212104E-2</v>
      </c>
    </row>
    <row r="24438" spans="103:104" x14ac:dyDescent="0.3">
      <c r="CY24438" s="34" t="s">
        <v>25364</v>
      </c>
      <c r="CZ24438" s="35">
        <v>6.4343329999999995E-3</v>
      </c>
    </row>
    <row r="24439" spans="103:104" x14ac:dyDescent="0.3">
      <c r="CY24439" s="34" t="s">
        <v>25365</v>
      </c>
      <c r="CZ24439" s="35">
        <v>4.3245087500000008E-3</v>
      </c>
    </row>
    <row r="24440" spans="103:104" x14ac:dyDescent="0.3">
      <c r="CY24440" s="34" t="s">
        <v>25366</v>
      </c>
      <c r="CZ24440" s="35">
        <v>8.474230000000001E-3</v>
      </c>
    </row>
    <row r="24441" spans="103:104" x14ac:dyDescent="0.3">
      <c r="CY24441" s="34" t="s">
        <v>25367</v>
      </c>
      <c r="CZ24441" s="35">
        <v>9.1624067499999993E-3</v>
      </c>
    </row>
    <row r="24442" spans="103:104" x14ac:dyDescent="0.3">
      <c r="CY24442" s="34" t="s">
        <v>25368</v>
      </c>
      <c r="CZ24442" s="35">
        <v>3.193949888888889E-2</v>
      </c>
    </row>
    <row r="24443" spans="103:104" x14ac:dyDescent="0.3">
      <c r="CY24443" s="34" t="s">
        <v>25369</v>
      </c>
      <c r="CZ24443" s="35">
        <v>5.1279386666666666E-3</v>
      </c>
    </row>
    <row r="24444" spans="103:104" x14ac:dyDescent="0.3">
      <c r="CY24444" s="34" t="s">
        <v>25370</v>
      </c>
      <c r="CZ24444" s="35">
        <v>7.0528537777777775E-3</v>
      </c>
    </row>
    <row r="24445" spans="103:104" x14ac:dyDescent="0.3">
      <c r="CY24445" s="34" t="s">
        <v>25371</v>
      </c>
      <c r="CZ24445" s="35">
        <v>5.9823407058823526E-3</v>
      </c>
    </row>
    <row r="24446" spans="103:104" x14ac:dyDescent="0.3">
      <c r="CY24446" s="34" t="s">
        <v>25372</v>
      </c>
      <c r="CZ24446" s="35">
        <v>2.1029490196078429E-2</v>
      </c>
    </row>
    <row r="24447" spans="103:104" x14ac:dyDescent="0.3">
      <c r="CY24447" s="34" t="s">
        <v>25373</v>
      </c>
      <c r="CZ24447" s="35">
        <v>0.28122767999999998</v>
      </c>
    </row>
    <row r="24448" spans="103:104" x14ac:dyDescent="0.3">
      <c r="CY24448" s="34" t="s">
        <v>25374</v>
      </c>
      <c r="CZ24448" s="35">
        <v>0.1295307</v>
      </c>
    </row>
    <row r="24449" spans="103:104" x14ac:dyDescent="0.3">
      <c r="CY24449" s="34" t="s">
        <v>25375</v>
      </c>
      <c r="CZ24449" s="35">
        <v>0.1295307</v>
      </c>
    </row>
    <row r="24450" spans="103:104" x14ac:dyDescent="0.3">
      <c r="CY24450" s="34" t="s">
        <v>25376</v>
      </c>
      <c r="CZ24450" s="35">
        <v>6.5301919999999998E-3</v>
      </c>
    </row>
    <row r="24451" spans="103:104" x14ac:dyDescent="0.3">
      <c r="CY24451" s="34" t="s">
        <v>25377</v>
      </c>
      <c r="CZ24451" s="35">
        <v>0.21691725000000001</v>
      </c>
    </row>
    <row r="24452" spans="103:104" x14ac:dyDescent="0.3">
      <c r="CY24452" s="34" t="s">
        <v>25378</v>
      </c>
      <c r="CZ24452" s="35">
        <v>1.4330000000000001E-4</v>
      </c>
    </row>
    <row r="24453" spans="103:104" x14ac:dyDescent="0.3">
      <c r="CY24453" s="34" t="s">
        <v>25379</v>
      </c>
      <c r="CZ24453" s="35">
        <v>3.3547831999999997E-3</v>
      </c>
    </row>
    <row r="24454" spans="103:104" x14ac:dyDescent="0.3">
      <c r="CY24454" s="34" t="s">
        <v>25380</v>
      </c>
      <c r="CZ24454" s="35">
        <v>6.7414875000000006E-3</v>
      </c>
    </row>
    <row r="24455" spans="103:104" x14ac:dyDescent="0.3">
      <c r="CY24455" s="34" t="s">
        <v>25381</v>
      </c>
      <c r="CZ24455" s="35">
        <v>6.7414875000000006E-3</v>
      </c>
    </row>
    <row r="24456" spans="103:104" x14ac:dyDescent="0.3">
      <c r="CY24456" s="34" t="s">
        <v>25382</v>
      </c>
      <c r="CZ24456" s="35">
        <v>6.7414875000000006E-3</v>
      </c>
    </row>
    <row r="24457" spans="103:104" x14ac:dyDescent="0.3">
      <c r="CY24457" s="34" t="s">
        <v>25383</v>
      </c>
      <c r="CZ24457" s="35">
        <v>2.4470925000000003E-3</v>
      </c>
    </row>
    <row r="24458" spans="103:104" x14ac:dyDescent="0.3">
      <c r="CY24458" s="34" t="s">
        <v>25384</v>
      </c>
      <c r="CZ24458" s="35">
        <v>6.7414875000000006E-3</v>
      </c>
    </row>
    <row r="24459" spans="103:104" x14ac:dyDescent="0.3">
      <c r="CY24459" s="34" t="s">
        <v>25385</v>
      </c>
      <c r="CZ24459" s="35">
        <v>1.5682500000000002E-2</v>
      </c>
    </row>
    <row r="24460" spans="103:104" x14ac:dyDescent="0.3">
      <c r="CY24460" s="34" t="s">
        <v>25386</v>
      </c>
      <c r="CZ24460" s="35">
        <v>8.7244159999999994E-4</v>
      </c>
    </row>
    <row r="24461" spans="103:104" x14ac:dyDescent="0.3">
      <c r="CY24461" s="34" t="s">
        <v>25387</v>
      </c>
      <c r="CZ24461" s="35">
        <v>0.10780486660000001</v>
      </c>
    </row>
    <row r="24462" spans="103:104" x14ac:dyDescent="0.3">
      <c r="CY24462" s="34" t="s">
        <v>25388</v>
      </c>
      <c r="CZ24462" s="35">
        <v>9.7666160000000005E-3</v>
      </c>
    </row>
    <row r="24463" spans="103:104" x14ac:dyDescent="0.3">
      <c r="CY24463" s="34" t="s">
        <v>25389</v>
      </c>
      <c r="CZ24463" s="35">
        <v>9.7666159999999988E-3</v>
      </c>
    </row>
    <row r="24464" spans="103:104" x14ac:dyDescent="0.3">
      <c r="CY24464" s="34" t="s">
        <v>25390</v>
      </c>
      <c r="CZ24464" s="35">
        <v>8.3480800000000008E-3</v>
      </c>
    </row>
    <row r="24465" spans="103:104" x14ac:dyDescent="0.3">
      <c r="CY24465" s="34" t="s">
        <v>25391</v>
      </c>
      <c r="CZ24465" s="35">
        <v>8.3480800000000008E-3</v>
      </c>
    </row>
    <row r="24466" spans="103:104" x14ac:dyDescent="0.3">
      <c r="CY24466" s="34" t="s">
        <v>25392</v>
      </c>
      <c r="CZ24466" s="35">
        <v>1.6964209500000004E-2</v>
      </c>
    </row>
    <row r="24467" spans="103:104" x14ac:dyDescent="0.3">
      <c r="CY24467" s="34" t="s">
        <v>25393</v>
      </c>
      <c r="CZ24467" s="35">
        <v>1.6964209500000004E-2</v>
      </c>
    </row>
    <row r="24468" spans="103:104" x14ac:dyDescent="0.3">
      <c r="CY24468" s="34" t="s">
        <v>25394</v>
      </c>
      <c r="CZ24468" s="35">
        <v>4.2229232E-3</v>
      </c>
    </row>
    <row r="24469" spans="103:104" x14ac:dyDescent="0.3">
      <c r="CY24469" s="34" t="s">
        <v>25395</v>
      </c>
      <c r="CZ24469" s="35">
        <v>4.2229232E-3</v>
      </c>
    </row>
    <row r="24470" spans="103:104" x14ac:dyDescent="0.3">
      <c r="CY24470" s="34" t="s">
        <v>25396</v>
      </c>
      <c r="CZ24470" s="35">
        <v>0.15353560999999999</v>
      </c>
    </row>
    <row r="24471" spans="103:104" x14ac:dyDescent="0.3">
      <c r="CY24471" s="34" t="s">
        <v>25397</v>
      </c>
      <c r="CZ24471" s="35">
        <v>4.7882859999999998E-4</v>
      </c>
    </row>
    <row r="24472" spans="103:104" x14ac:dyDescent="0.3">
      <c r="CY24472" s="34" t="s">
        <v>25398</v>
      </c>
      <c r="CZ24472" s="35">
        <v>1.1521833133333334E-3</v>
      </c>
    </row>
    <row r="24473" spans="103:104" x14ac:dyDescent="0.3">
      <c r="CY24473" s="34" t="s">
        <v>25399</v>
      </c>
      <c r="CZ24473" s="35">
        <v>0.13833659532999998</v>
      </c>
    </row>
    <row r="24474" spans="103:104" x14ac:dyDescent="0.3">
      <c r="CY24474" s="34" t="s">
        <v>25400</v>
      </c>
      <c r="CZ24474" s="35">
        <v>1.05107577E-2</v>
      </c>
    </row>
    <row r="24475" spans="103:104" x14ac:dyDescent="0.3">
      <c r="CY24475" s="34" t="s">
        <v>25401</v>
      </c>
      <c r="CZ24475" s="35">
        <v>3.6786072499999996E-2</v>
      </c>
    </row>
    <row r="24476" spans="103:104" x14ac:dyDescent="0.3">
      <c r="CY24476" s="34" t="s">
        <v>25402</v>
      </c>
      <c r="CZ24476" s="35">
        <v>1.4106424657894738E-3</v>
      </c>
    </row>
    <row r="24477" spans="103:104" x14ac:dyDescent="0.3">
      <c r="CY24477" s="34" t="s">
        <v>25403</v>
      </c>
      <c r="CZ24477" s="35">
        <v>0.10261859999999999</v>
      </c>
    </row>
    <row r="24478" spans="103:104" x14ac:dyDescent="0.3">
      <c r="CY24478" s="34" t="s">
        <v>25404</v>
      </c>
      <c r="CZ24478" s="35">
        <v>6.9037920000000003E-2</v>
      </c>
    </row>
    <row r="24479" spans="103:104" x14ac:dyDescent="0.3">
      <c r="CY24479" s="34" t="s">
        <v>25405</v>
      </c>
      <c r="CZ24479" s="35">
        <v>7.556220000000001E-2</v>
      </c>
    </row>
    <row r="24480" spans="103:104" x14ac:dyDescent="0.3">
      <c r="CY24480" s="34" t="s">
        <v>25406</v>
      </c>
      <c r="CZ24480" s="35">
        <v>7.8152760000000002E-2</v>
      </c>
    </row>
    <row r="24481" spans="103:104" x14ac:dyDescent="0.3">
      <c r="CY24481" s="34" t="s">
        <v>25407</v>
      </c>
      <c r="CZ24481" s="35">
        <v>8.3730780000000005E-2</v>
      </c>
    </row>
    <row r="24482" spans="103:104" x14ac:dyDescent="0.3">
      <c r="CY24482" s="34" t="s">
        <v>25408</v>
      </c>
      <c r="CZ24482" s="35">
        <v>0.1000398</v>
      </c>
    </row>
    <row r="24483" spans="103:104" x14ac:dyDescent="0.3">
      <c r="CY24483" s="34" t="s">
        <v>25409</v>
      </c>
      <c r="CZ24483" s="35">
        <v>8.7603200000000006E-2</v>
      </c>
    </row>
    <row r="24484" spans="103:104" x14ac:dyDescent="0.3">
      <c r="CY24484" s="34" t="s">
        <v>25410</v>
      </c>
      <c r="CZ24484" s="35">
        <v>8.3433440000000011E-2</v>
      </c>
    </row>
    <row r="24485" spans="103:104" x14ac:dyDescent="0.3">
      <c r="CY24485" s="34" t="s">
        <v>25411</v>
      </c>
      <c r="CZ24485" s="35">
        <v>6.7892943333333344E-2</v>
      </c>
    </row>
    <row r="24486" spans="103:104" x14ac:dyDescent="0.3">
      <c r="CY24486" s="34" t="s">
        <v>25412</v>
      </c>
      <c r="CZ24486" s="35">
        <v>6.4097480000000012E-2</v>
      </c>
    </row>
    <row r="24487" spans="103:104" x14ac:dyDescent="0.3">
      <c r="CY24487" s="34" t="s">
        <v>25413</v>
      </c>
      <c r="CZ24487" s="35">
        <v>6.0811633328571424E-2</v>
      </c>
    </row>
    <row r="24488" spans="103:104" x14ac:dyDescent="0.3">
      <c r="CY24488" s="34" t="s">
        <v>25414</v>
      </c>
      <c r="CZ24488" s="35">
        <v>1.0160679999999997E-3</v>
      </c>
    </row>
    <row r="24489" spans="103:104" x14ac:dyDescent="0.3">
      <c r="CY24489" s="34" t="s">
        <v>25415</v>
      </c>
      <c r="CZ24489" s="35">
        <v>9.6600000000000007E-6</v>
      </c>
    </row>
    <row r="24490" spans="103:104" x14ac:dyDescent="0.3">
      <c r="CY24490" s="34" t="s">
        <v>25416</v>
      </c>
      <c r="CZ24490" s="35">
        <v>0.18519308333333334</v>
      </c>
    </row>
    <row r="24491" spans="103:104" x14ac:dyDescent="0.3">
      <c r="CY24491" s="34" t="s">
        <v>25417</v>
      </c>
      <c r="CZ24491" s="35">
        <v>1.6035901664122137E-2</v>
      </c>
    </row>
    <row r="24492" spans="103:104" x14ac:dyDescent="0.3">
      <c r="CY24492" s="34" t="s">
        <v>25418</v>
      </c>
      <c r="CZ24492" s="35">
        <v>8.4501583350000006E-2</v>
      </c>
    </row>
    <row r="24493" spans="103:104" x14ac:dyDescent="0.3">
      <c r="CY24493" s="34" t="s">
        <v>25419</v>
      </c>
      <c r="CZ24493" s="35">
        <v>2.0302905333333333E-2</v>
      </c>
    </row>
    <row r="24494" spans="103:104" x14ac:dyDescent="0.3">
      <c r="CY24494" s="34" t="s">
        <v>25420</v>
      </c>
      <c r="CZ24494" s="35">
        <v>1.2554623342857143E-2</v>
      </c>
    </row>
    <row r="24495" spans="103:104" x14ac:dyDescent="0.3">
      <c r="CY24495" s="34" t="s">
        <v>25421</v>
      </c>
      <c r="CZ24495" s="35">
        <v>3.4776234650000001E-2</v>
      </c>
    </row>
    <row r="24496" spans="103:104" x14ac:dyDescent="0.3">
      <c r="CY24496" s="34" t="s">
        <v>25422</v>
      </c>
      <c r="CZ24496" s="35">
        <v>4.8247979999999996E-4</v>
      </c>
    </row>
    <row r="24497" spans="103:104" x14ac:dyDescent="0.3">
      <c r="CY24497" s="34" t="s">
        <v>25423</v>
      </c>
      <c r="CZ24497" s="35">
        <v>2.8825212549019605E-3</v>
      </c>
    </row>
    <row r="24498" spans="103:104" x14ac:dyDescent="0.3">
      <c r="CY24498" s="34" t="s">
        <v>25424</v>
      </c>
      <c r="CZ24498" s="35">
        <v>7.3599426639999993E-2</v>
      </c>
    </row>
    <row r="24499" spans="103:104" x14ac:dyDescent="0.3">
      <c r="CY24499" s="34" t="s">
        <v>25425</v>
      </c>
      <c r="CZ24499" s="35">
        <v>4.4577773350000002E-2</v>
      </c>
    </row>
    <row r="24500" spans="103:104" x14ac:dyDescent="0.3">
      <c r="CY24500" s="34" t="s">
        <v>25426</v>
      </c>
      <c r="CZ24500" s="35">
        <v>5.7736799999999998E-3</v>
      </c>
    </row>
    <row r="24501" spans="103:104" x14ac:dyDescent="0.3">
      <c r="CY24501" s="34" t="s">
        <v>25427</v>
      </c>
      <c r="CZ24501" s="35">
        <v>6.7934273318181818E-3</v>
      </c>
    </row>
    <row r="24502" spans="103:104" x14ac:dyDescent="0.3">
      <c r="CY24502" s="34" t="s">
        <v>25428</v>
      </c>
      <c r="CZ24502" s="35">
        <v>8.6292800000000003E-2</v>
      </c>
    </row>
    <row r="24503" spans="103:104" x14ac:dyDescent="0.3">
      <c r="CY24503" s="34" t="s">
        <v>25429</v>
      </c>
      <c r="CZ24503" s="35">
        <v>9.2315395999999994E-2</v>
      </c>
    </row>
    <row r="24504" spans="103:104" x14ac:dyDescent="0.3">
      <c r="CY24504" s="34" t="s">
        <v>25430</v>
      </c>
      <c r="CZ24504" s="35">
        <v>0.98677795000000001</v>
      </c>
    </row>
    <row r="24505" spans="103:104" x14ac:dyDescent="0.3">
      <c r="CY24505" s="34" t="s">
        <v>25431</v>
      </c>
      <c r="CZ24505" s="35">
        <v>0.56594211999999999</v>
      </c>
    </row>
    <row r="24506" spans="103:104" x14ac:dyDescent="0.3">
      <c r="CY24506" s="34" t="s">
        <v>25432</v>
      </c>
      <c r="CZ24506" s="35">
        <v>0.98677795000000001</v>
      </c>
    </row>
    <row r="24507" spans="103:104" x14ac:dyDescent="0.3">
      <c r="CY24507" s="34" t="s">
        <v>25433</v>
      </c>
      <c r="CZ24507" s="35">
        <v>0.98677795000000001</v>
      </c>
    </row>
    <row r="24508" spans="103:104" x14ac:dyDescent="0.3">
      <c r="CY24508" s="34" t="s">
        <v>25434</v>
      </c>
      <c r="CZ24508" s="35">
        <v>0.98677795000000001</v>
      </c>
    </row>
    <row r="24509" spans="103:104" x14ac:dyDescent="0.3">
      <c r="CY24509" s="34" t="s">
        <v>25435</v>
      </c>
      <c r="CZ24509" s="35">
        <v>0.68784478000000004</v>
      </c>
    </row>
    <row r="24510" spans="103:104" x14ac:dyDescent="0.3">
      <c r="CY24510" s="34" t="s">
        <v>25436</v>
      </c>
      <c r="CZ24510" s="35">
        <v>0.32319827000000001</v>
      </c>
    </row>
    <row r="24511" spans="103:104" x14ac:dyDescent="0.3">
      <c r="CY24511" s="34" t="s">
        <v>25437</v>
      </c>
      <c r="CZ24511" s="35">
        <v>0.12629436799999999</v>
      </c>
    </row>
    <row r="24512" spans="103:104" x14ac:dyDescent="0.3">
      <c r="CY24512" s="34" t="s">
        <v>25438</v>
      </c>
      <c r="CZ24512" s="35">
        <v>0.1245884</v>
      </c>
    </row>
    <row r="24513" spans="103:104" x14ac:dyDescent="0.3">
      <c r="CY24513" s="34" t="s">
        <v>25439</v>
      </c>
      <c r="CZ24513" s="35">
        <v>3.7040000000000003E-3</v>
      </c>
    </row>
    <row r="24514" spans="103:104" x14ac:dyDescent="0.3">
      <c r="CY24514" s="34" t="s">
        <v>25440</v>
      </c>
      <c r="CZ24514" s="35">
        <v>0.13942414400000003</v>
      </c>
    </row>
    <row r="24515" spans="103:104" x14ac:dyDescent="0.3">
      <c r="CY24515" s="34" t="s">
        <v>25441</v>
      </c>
      <c r="CZ24515" s="35">
        <v>3.7040000000000003E-3</v>
      </c>
    </row>
    <row r="24516" spans="103:104" x14ac:dyDescent="0.3">
      <c r="CY24516" s="34" t="s">
        <v>25442</v>
      </c>
      <c r="CZ24516" s="35">
        <v>1.5699214000000003E-2</v>
      </c>
    </row>
    <row r="24517" spans="103:104" x14ac:dyDescent="0.3">
      <c r="CY24517" s="34" t="s">
        <v>25443</v>
      </c>
      <c r="CZ24517" s="35">
        <v>4.7061926000000004E-2</v>
      </c>
    </row>
    <row r="24518" spans="103:104" x14ac:dyDescent="0.3">
      <c r="CY24518" s="34" t="s">
        <v>25444</v>
      </c>
      <c r="CZ24518" s="35">
        <v>2.425304E-2</v>
      </c>
    </row>
    <row r="24519" spans="103:104" x14ac:dyDescent="0.3">
      <c r="CY24519" s="34" t="s">
        <v>25445</v>
      </c>
      <c r="CZ24519" s="35">
        <v>3.0293659000000001E-2</v>
      </c>
    </row>
    <row r="24520" spans="103:104" x14ac:dyDescent="0.3">
      <c r="CY24520" s="34" t="s">
        <v>25446</v>
      </c>
      <c r="CZ24520" s="35">
        <v>4.28192825E-2</v>
      </c>
    </row>
    <row r="24521" spans="103:104" x14ac:dyDescent="0.3">
      <c r="CY24521" s="34" t="s">
        <v>25447</v>
      </c>
      <c r="CZ24521" s="35">
        <v>4.617955E-2</v>
      </c>
    </row>
    <row r="24522" spans="103:104" x14ac:dyDescent="0.3">
      <c r="CY24522" s="34" t="s">
        <v>25448</v>
      </c>
      <c r="CZ24522" s="35">
        <v>2.5006580000000004E-2</v>
      </c>
    </row>
    <row r="24523" spans="103:104" x14ac:dyDescent="0.3">
      <c r="CY24523" s="34" t="s">
        <v>25449</v>
      </c>
      <c r="CZ24523" s="35">
        <v>2.4489080000000003E-2</v>
      </c>
    </row>
    <row r="24524" spans="103:104" x14ac:dyDescent="0.3">
      <c r="CY24524" s="34" t="s">
        <v>25450</v>
      </c>
      <c r="CZ24524" s="35">
        <v>2.2722320000000001E-2</v>
      </c>
    </row>
    <row r="24525" spans="103:104" x14ac:dyDescent="0.3">
      <c r="CY24525" s="34" t="s">
        <v>25451</v>
      </c>
      <c r="CZ24525" s="35">
        <v>1.9779123999999999E-2</v>
      </c>
    </row>
    <row r="24526" spans="103:104" x14ac:dyDescent="0.3">
      <c r="CY24526" s="34" t="s">
        <v>25452</v>
      </c>
      <c r="CZ24526" s="35">
        <v>1.8268211999999999E-2</v>
      </c>
    </row>
    <row r="24527" spans="103:104" x14ac:dyDescent="0.3">
      <c r="CY24527" s="34" t="s">
        <v>25453</v>
      </c>
      <c r="CZ24527" s="35">
        <v>1.7040596000000002E-2</v>
      </c>
    </row>
    <row r="24528" spans="103:104" x14ac:dyDescent="0.3">
      <c r="CY24528" s="34" t="s">
        <v>25454</v>
      </c>
      <c r="CZ24528" s="35">
        <v>2.3958674666666666E-2</v>
      </c>
    </row>
    <row r="24529" spans="103:104" x14ac:dyDescent="0.3">
      <c r="CY24529" s="34" t="s">
        <v>25455</v>
      </c>
      <c r="CZ24529" s="35">
        <v>2.0986402999999997E-2</v>
      </c>
    </row>
    <row r="24530" spans="103:104" x14ac:dyDescent="0.3">
      <c r="CY24530" s="34" t="s">
        <v>25456</v>
      </c>
      <c r="CZ24530" s="35">
        <v>2.1653866249999997E-2</v>
      </c>
    </row>
    <row r="24531" spans="103:104" x14ac:dyDescent="0.3">
      <c r="CY24531" s="34" t="s">
        <v>25457</v>
      </c>
      <c r="CZ24531" s="35">
        <v>2.4747504000000003E-2</v>
      </c>
    </row>
    <row r="24532" spans="103:104" x14ac:dyDescent="0.3">
      <c r="CY24532" s="34" t="s">
        <v>25458</v>
      </c>
      <c r="CZ24532" s="35">
        <v>0.10355413333333333</v>
      </c>
    </row>
    <row r="24533" spans="103:104" x14ac:dyDescent="0.3">
      <c r="CY24533" s="34" t="s">
        <v>25459</v>
      </c>
      <c r="CZ24533" s="35">
        <v>9.5768307999999996E-2</v>
      </c>
    </row>
    <row r="24534" spans="103:104" x14ac:dyDescent="0.3">
      <c r="CY24534" s="34" t="s">
        <v>25460</v>
      </c>
      <c r="CZ24534" s="35">
        <v>9.6966596000000002E-2</v>
      </c>
    </row>
    <row r="24535" spans="103:104" x14ac:dyDescent="0.3">
      <c r="CY24535" s="34" t="s">
        <v>25461</v>
      </c>
      <c r="CZ24535" s="35">
        <v>0.10554553599999998</v>
      </c>
    </row>
    <row r="24536" spans="103:104" x14ac:dyDescent="0.3">
      <c r="CY24536" s="34" t="s">
        <v>25462</v>
      </c>
      <c r="CZ24536" s="35">
        <v>9.7036503999999989E-4</v>
      </c>
    </row>
    <row r="24537" spans="103:104" x14ac:dyDescent="0.3">
      <c r="CY24537" s="34" t="s">
        <v>25463</v>
      </c>
      <c r="CZ24537" s="35">
        <v>0.35551564499999999</v>
      </c>
    </row>
    <row r="24538" spans="103:104" x14ac:dyDescent="0.3">
      <c r="CY24538" s="34" t="s">
        <v>25464</v>
      </c>
      <c r="CZ24538" s="35">
        <v>6.871664999999999E-2</v>
      </c>
    </row>
    <row r="24539" spans="103:104" x14ac:dyDescent="0.3">
      <c r="CY24539" s="34" t="s">
        <v>25465</v>
      </c>
      <c r="CZ24539" s="35">
        <v>0.28407989066</v>
      </c>
    </row>
    <row r="24540" spans="103:104" x14ac:dyDescent="0.3">
      <c r="CY24540" s="34" t="s">
        <v>25466</v>
      </c>
      <c r="CZ24540" s="35">
        <v>0.28902367600000001</v>
      </c>
    </row>
    <row r="24541" spans="103:104" x14ac:dyDescent="0.3">
      <c r="CY24541" s="34" t="s">
        <v>25467</v>
      </c>
      <c r="CZ24541" s="35">
        <v>9.6020918000000011E-2</v>
      </c>
    </row>
    <row r="24542" spans="103:104" x14ac:dyDescent="0.3">
      <c r="CY24542" s="34" t="s">
        <v>25468</v>
      </c>
      <c r="CZ24542" s="35">
        <v>0.18916689066</v>
      </c>
    </row>
    <row r="24543" spans="103:104" x14ac:dyDescent="0.3">
      <c r="CY24543" s="34" t="s">
        <v>25469</v>
      </c>
      <c r="CZ24543" s="35">
        <v>0.19650357065999999</v>
      </c>
    </row>
    <row r="24544" spans="103:104" x14ac:dyDescent="0.3">
      <c r="CY24544" s="34" t="s">
        <v>25470</v>
      </c>
      <c r="CZ24544" s="35">
        <v>0.22389384266000004</v>
      </c>
    </row>
    <row r="24545" spans="103:104" x14ac:dyDescent="0.3">
      <c r="CY24545" s="34" t="s">
        <v>25471</v>
      </c>
      <c r="CZ24545" s="35">
        <v>0.18048493538000002</v>
      </c>
    </row>
    <row r="24546" spans="103:104" x14ac:dyDescent="0.3">
      <c r="CY24546" s="34" t="s">
        <v>25472</v>
      </c>
      <c r="CZ24546" s="35">
        <v>0.19887585199999996</v>
      </c>
    </row>
    <row r="24547" spans="103:104" x14ac:dyDescent="0.3">
      <c r="CY24547" s="34" t="s">
        <v>25473</v>
      </c>
      <c r="CZ24547" s="35">
        <v>0.21795122000000003</v>
      </c>
    </row>
    <row r="24548" spans="103:104" x14ac:dyDescent="0.3">
      <c r="CY24548" s="34" t="s">
        <v>25474</v>
      </c>
      <c r="CZ24548" s="35">
        <v>0.16619569142857998</v>
      </c>
    </row>
    <row r="24549" spans="103:104" x14ac:dyDescent="0.3">
      <c r="CY24549" s="34" t="s">
        <v>25475</v>
      </c>
      <c r="CZ24549" s="35">
        <v>3.044268E-4</v>
      </c>
    </row>
    <row r="24550" spans="103:104" x14ac:dyDescent="0.3">
      <c r="CY24550" s="34" t="s">
        <v>25476</v>
      </c>
      <c r="CZ24550" s="35">
        <v>0.62093172000000008</v>
      </c>
    </row>
    <row r="24551" spans="103:104" x14ac:dyDescent="0.3">
      <c r="CY24551" s="34" t="s">
        <v>25477</v>
      </c>
      <c r="CZ24551" s="35">
        <v>0.86460117000000003</v>
      </c>
    </row>
    <row r="24552" spans="103:104" x14ac:dyDescent="0.3">
      <c r="CY24552" s="34" t="s">
        <v>25478</v>
      </c>
      <c r="CZ24552" s="35">
        <v>0.60102067999999997</v>
      </c>
    </row>
    <row r="24553" spans="103:104" x14ac:dyDescent="0.3">
      <c r="CY24553" s="34" t="s">
        <v>25479</v>
      </c>
      <c r="CZ24553" s="35">
        <v>0.88758833000000015</v>
      </c>
    </row>
    <row r="24554" spans="103:104" x14ac:dyDescent="0.3">
      <c r="CY24554" s="34" t="s">
        <v>25480</v>
      </c>
      <c r="CZ24554" s="35">
        <v>0.60102068000000008</v>
      </c>
    </row>
    <row r="24555" spans="103:104" x14ac:dyDescent="0.3">
      <c r="CY24555" s="34" t="s">
        <v>25481</v>
      </c>
      <c r="CZ24555" s="35">
        <v>0.86460117000000003</v>
      </c>
    </row>
    <row r="24556" spans="103:104" x14ac:dyDescent="0.3">
      <c r="CY24556" s="34" t="s">
        <v>25482</v>
      </c>
      <c r="CZ24556" s="35">
        <v>1.5300000000000001E-4</v>
      </c>
    </row>
    <row r="24557" spans="103:104" x14ac:dyDescent="0.3">
      <c r="CY24557" s="34" t="s">
        <v>25483</v>
      </c>
      <c r="CZ24557" s="35">
        <v>1.5300000000000001E-4</v>
      </c>
    </row>
    <row r="24558" spans="103:104" x14ac:dyDescent="0.3">
      <c r="CY24558" s="34" t="s">
        <v>25484</v>
      </c>
      <c r="CZ24558" s="35">
        <v>5.7256889600000006E-2</v>
      </c>
    </row>
    <row r="24559" spans="103:104" x14ac:dyDescent="0.3">
      <c r="CY24559" s="34" t="s">
        <v>25485</v>
      </c>
      <c r="CZ24559" s="35">
        <v>0.11279751759999999</v>
      </c>
    </row>
    <row r="24560" spans="103:104" x14ac:dyDescent="0.3">
      <c r="CY24560" s="34" t="s">
        <v>25486</v>
      </c>
      <c r="CZ24560" s="35">
        <v>0.12917561960000001</v>
      </c>
    </row>
    <row r="24561" spans="103:104" x14ac:dyDescent="0.3">
      <c r="CY24561" s="34" t="s">
        <v>25487</v>
      </c>
      <c r="CZ24561" s="35">
        <v>0.43784270279999998</v>
      </c>
    </row>
    <row r="24562" spans="103:104" x14ac:dyDescent="0.3">
      <c r="CY24562" s="34" t="s">
        <v>25488</v>
      </c>
      <c r="CZ24562" s="35">
        <v>0.47964580840000004</v>
      </c>
    </row>
    <row r="24563" spans="103:104" x14ac:dyDescent="0.3">
      <c r="CY24563" s="34" t="s">
        <v>25489</v>
      </c>
      <c r="CZ24563" s="35">
        <v>1.6075E-3</v>
      </c>
    </row>
    <row r="24564" spans="103:104" x14ac:dyDescent="0.3">
      <c r="CY24564" s="34" t="s">
        <v>25490</v>
      </c>
      <c r="CZ24564" s="35">
        <v>2.3140136E-3</v>
      </c>
    </row>
    <row r="24565" spans="103:104" x14ac:dyDescent="0.3">
      <c r="CY24565" s="34" t="s">
        <v>25491</v>
      </c>
      <c r="CZ24565" s="35">
        <v>2.9887220000000005E-3</v>
      </c>
    </row>
    <row r="24566" spans="103:104" x14ac:dyDescent="0.3">
      <c r="CY24566" s="34" t="s">
        <v>25492</v>
      </c>
      <c r="CZ24566" s="35">
        <v>0.24303586999999999</v>
      </c>
    </row>
    <row r="24567" spans="103:104" x14ac:dyDescent="0.3">
      <c r="CY24567" s="34" t="s">
        <v>25493</v>
      </c>
      <c r="CZ24567" s="35">
        <v>9.1875136000000007E-3</v>
      </c>
    </row>
    <row r="24568" spans="103:104" x14ac:dyDescent="0.3">
      <c r="CY24568" s="34" t="s">
        <v>25494</v>
      </c>
      <c r="CZ24568" s="35">
        <v>8.5225772000000009E-3</v>
      </c>
    </row>
    <row r="24569" spans="103:104" x14ac:dyDescent="0.3">
      <c r="CY24569" s="34" t="s">
        <v>25495</v>
      </c>
      <c r="CZ24569" s="35">
        <v>4.1142408000000002E-3</v>
      </c>
    </row>
    <row r="24570" spans="103:104" x14ac:dyDescent="0.3">
      <c r="CY24570" s="34" t="s">
        <v>25496</v>
      </c>
      <c r="CZ24570" s="35">
        <v>5.2844096000000005E-3</v>
      </c>
    </row>
    <row r="24571" spans="103:104" x14ac:dyDescent="0.3">
      <c r="CY24571" s="34" t="s">
        <v>25497</v>
      </c>
      <c r="CZ24571" s="35">
        <v>1.8972299200000001E-2</v>
      </c>
    </row>
    <row r="24572" spans="103:104" x14ac:dyDescent="0.3">
      <c r="CY24572" s="34" t="s">
        <v>25498</v>
      </c>
      <c r="CZ24572" s="35">
        <v>1.1961453600000001E-3</v>
      </c>
    </row>
    <row r="24573" spans="103:104" x14ac:dyDescent="0.3">
      <c r="CY24573" s="34" t="s">
        <v>25499</v>
      </c>
      <c r="CZ24573" s="35">
        <v>2.5303591111111114E-2</v>
      </c>
    </row>
    <row r="24574" spans="103:104" x14ac:dyDescent="0.3">
      <c r="CY24574" s="34" t="s">
        <v>25500</v>
      </c>
      <c r="CZ24574" s="35">
        <v>2.5760183725490195E-2</v>
      </c>
    </row>
    <row r="24575" spans="103:104" x14ac:dyDescent="0.3">
      <c r="CY24575" s="34" t="s">
        <v>25501</v>
      </c>
      <c r="CZ24575" s="35">
        <v>8.157170731707318E-2</v>
      </c>
    </row>
    <row r="24576" spans="103:104" x14ac:dyDescent="0.3">
      <c r="CY24576" s="34" t="s">
        <v>25502</v>
      </c>
      <c r="CZ24576" s="35">
        <v>0.12924068292682925</v>
      </c>
    </row>
    <row r="24577" spans="103:104" x14ac:dyDescent="0.3">
      <c r="CY24577" s="34" t="s">
        <v>25503</v>
      </c>
      <c r="CZ24577" s="35">
        <v>1.5732009999999998E-2</v>
      </c>
    </row>
    <row r="24578" spans="103:104" x14ac:dyDescent="0.3">
      <c r="CY24578" s="34" t="s">
        <v>25504</v>
      </c>
      <c r="CZ24578" s="35">
        <v>2.5676687999999996E-2</v>
      </c>
    </row>
    <row r="24579" spans="103:104" x14ac:dyDescent="0.3">
      <c r="CY24579" s="34" t="s">
        <v>25505</v>
      </c>
      <c r="CZ24579" s="35">
        <v>0.92292965000000005</v>
      </c>
    </row>
    <row r="24580" spans="103:104" x14ac:dyDescent="0.3">
      <c r="CY24580" s="34" t="s">
        <v>25506</v>
      </c>
      <c r="CZ24580" s="35">
        <v>3.3799899999999998E-3</v>
      </c>
    </row>
    <row r="24581" spans="103:104" x14ac:dyDescent="0.3">
      <c r="CY24581" s="34" t="s">
        <v>25507</v>
      </c>
      <c r="CZ24581" s="35">
        <v>7.7115800000000009E-3</v>
      </c>
    </row>
    <row r="24582" spans="103:104" x14ac:dyDescent="0.3">
      <c r="CY24582" s="34" t="s">
        <v>25508</v>
      </c>
      <c r="CZ24582" s="35">
        <v>8.2698289999999996E-4</v>
      </c>
    </row>
    <row r="24583" spans="103:104" x14ac:dyDescent="0.3">
      <c r="CY24583" s="34" t="s">
        <v>25509</v>
      </c>
      <c r="CZ24583" s="35">
        <v>4.5050447999999991E-3</v>
      </c>
    </row>
    <row r="24584" spans="103:104" x14ac:dyDescent="0.3">
      <c r="CY24584" s="34" t="s">
        <v>25510</v>
      </c>
      <c r="CZ24584" s="35">
        <v>5.5806800000000002E-3</v>
      </c>
    </row>
    <row r="24585" spans="103:104" x14ac:dyDescent="0.3">
      <c r="CY24585" s="34" t="s">
        <v>25511</v>
      </c>
      <c r="CZ24585" s="35">
        <v>3.4205716000000001E-3</v>
      </c>
    </row>
    <row r="24586" spans="103:104" x14ac:dyDescent="0.3">
      <c r="CY24586" s="34" t="s">
        <v>25512</v>
      </c>
      <c r="CZ24586" s="35">
        <v>5.1448759466666671E-3</v>
      </c>
    </row>
    <row r="24587" spans="103:104" x14ac:dyDescent="0.3">
      <c r="CY24587" s="34" t="s">
        <v>25513</v>
      </c>
      <c r="CZ24587" s="35">
        <v>1.1832597411764708E-2</v>
      </c>
    </row>
    <row r="24588" spans="103:104" x14ac:dyDescent="0.3">
      <c r="CY24588" s="34" t="s">
        <v>25514</v>
      </c>
      <c r="CZ24588" s="35">
        <v>0.14578443809523811</v>
      </c>
    </row>
    <row r="24589" spans="103:104" x14ac:dyDescent="0.3">
      <c r="CY24589" s="34" t="s">
        <v>25515</v>
      </c>
      <c r="CZ24589" s="35">
        <v>1.7550507E-3</v>
      </c>
    </row>
    <row r="24590" spans="103:104" x14ac:dyDescent="0.3">
      <c r="CY24590" s="34" t="s">
        <v>25516</v>
      </c>
      <c r="CZ24590" s="35">
        <v>1.3586371999999998E-3</v>
      </c>
    </row>
    <row r="24591" spans="103:104" x14ac:dyDescent="0.3">
      <c r="CY24591" s="34" t="s">
        <v>25517</v>
      </c>
      <c r="CZ24591" s="35">
        <v>0.16135937999999997</v>
      </c>
    </row>
    <row r="24592" spans="103:104" x14ac:dyDescent="0.3">
      <c r="CY24592" s="34" t="s">
        <v>25518</v>
      </c>
      <c r="CZ24592" s="35">
        <v>8.7263482700000016E-3</v>
      </c>
    </row>
    <row r="24593" spans="103:104" x14ac:dyDescent="0.3">
      <c r="CY24593" s="34" t="s">
        <v>25519</v>
      </c>
      <c r="CZ24593" s="35">
        <v>1.1485129624060151E-2</v>
      </c>
    </row>
    <row r="24594" spans="103:104" x14ac:dyDescent="0.3">
      <c r="CY24594" s="34" t="s">
        <v>25520</v>
      </c>
      <c r="CZ24594" s="35">
        <v>3.0658719999999994E-3</v>
      </c>
    </row>
    <row r="24595" spans="103:104" x14ac:dyDescent="0.3">
      <c r="CY24595" s="34" t="s">
        <v>25521</v>
      </c>
      <c r="CZ24595" s="35">
        <v>3.2492699999999999E-2</v>
      </c>
    </row>
    <row r="24596" spans="103:104" x14ac:dyDescent="0.3">
      <c r="CY24596" s="34" t="s">
        <v>25522</v>
      </c>
      <c r="CZ24596" s="35">
        <v>0.32836702666666667</v>
      </c>
    </row>
    <row r="24597" spans="103:104" x14ac:dyDescent="0.3">
      <c r="CY24597" s="34" t="s">
        <v>25523</v>
      </c>
      <c r="CZ24597" s="35">
        <v>0.33469475999999998</v>
      </c>
    </row>
    <row r="24598" spans="103:104" x14ac:dyDescent="0.3">
      <c r="CY24598" s="34" t="s">
        <v>25524</v>
      </c>
      <c r="CZ24598" s="35">
        <v>1.1042E-2</v>
      </c>
    </row>
    <row r="24599" spans="103:104" x14ac:dyDescent="0.3">
      <c r="CY24599" s="34" t="s">
        <v>25525</v>
      </c>
      <c r="CZ24599" s="35">
        <v>0.292109008</v>
      </c>
    </row>
    <row r="24600" spans="103:104" x14ac:dyDescent="0.3">
      <c r="CY24600" s="34" t="s">
        <v>25526</v>
      </c>
      <c r="CZ24600" s="35">
        <v>0.17728849999999999</v>
      </c>
    </row>
    <row r="24601" spans="103:104" x14ac:dyDescent="0.3">
      <c r="CY24601" s="34" t="s">
        <v>25527</v>
      </c>
      <c r="CZ24601" s="35">
        <v>5.7329633349999999E-2</v>
      </c>
    </row>
    <row r="24602" spans="103:104" x14ac:dyDescent="0.3">
      <c r="CY24602" s="34" t="s">
        <v>25528</v>
      </c>
      <c r="CZ24602" s="35">
        <v>8.2626439999999998E-4</v>
      </c>
    </row>
    <row r="24603" spans="103:104" x14ac:dyDescent="0.3">
      <c r="CY24603" s="34" t="s">
        <v>25529</v>
      </c>
      <c r="CZ24603" s="35">
        <v>8.1761360000000001E-4</v>
      </c>
    </row>
    <row r="24604" spans="103:104" x14ac:dyDescent="0.3">
      <c r="CY24604" s="34" t="s">
        <v>25530</v>
      </c>
      <c r="CZ24604" s="35">
        <v>8.2628439999999997E-4</v>
      </c>
    </row>
    <row r="24605" spans="103:104" x14ac:dyDescent="0.3">
      <c r="CY24605" s="34" t="s">
        <v>25531</v>
      </c>
      <c r="CZ24605" s="35">
        <v>3.8488347789473682E-3</v>
      </c>
    </row>
    <row r="24606" spans="103:104" x14ac:dyDescent="0.3">
      <c r="CY24606" s="34" t="s">
        <v>25532</v>
      </c>
      <c r="CZ24606" s="35">
        <v>2.6554708337499996E-2</v>
      </c>
    </row>
    <row r="24607" spans="103:104" x14ac:dyDescent="0.3">
      <c r="CY24607" s="34" t="s">
        <v>25533</v>
      </c>
      <c r="CZ24607" s="35">
        <v>3.0284833333999998E-2</v>
      </c>
    </row>
    <row r="24608" spans="103:104" x14ac:dyDescent="0.3">
      <c r="CY24608" s="34" t="s">
        <v>25534</v>
      </c>
      <c r="CZ24608" s="35">
        <v>8.7099200000000002E-2</v>
      </c>
    </row>
    <row r="24609" spans="103:104" x14ac:dyDescent="0.3">
      <c r="CY24609" s="34" t="s">
        <v>25535</v>
      </c>
      <c r="CZ24609" s="35">
        <v>0.10635019333000001</v>
      </c>
    </row>
    <row r="24610" spans="103:104" x14ac:dyDescent="0.3">
      <c r="CY24610" s="34" t="s">
        <v>25536</v>
      </c>
      <c r="CZ24610" s="35">
        <v>0.115892174</v>
      </c>
    </row>
    <row r="24611" spans="103:104" x14ac:dyDescent="0.3">
      <c r="CY24611" s="34" t="s">
        <v>25537</v>
      </c>
      <c r="CZ24611" s="35">
        <v>9.5183199999999996E-2</v>
      </c>
    </row>
    <row r="24612" spans="103:104" x14ac:dyDescent="0.3">
      <c r="CY24612" s="34" t="s">
        <v>25538</v>
      </c>
      <c r="CZ24612" s="35">
        <v>2.0514939999999996E-3</v>
      </c>
    </row>
    <row r="24613" spans="103:104" x14ac:dyDescent="0.3">
      <c r="CY24613" s="34" t="s">
        <v>25539</v>
      </c>
      <c r="CZ24613" s="35">
        <v>7.2160339999999996E-3</v>
      </c>
    </row>
    <row r="24614" spans="103:104" x14ac:dyDescent="0.3">
      <c r="CY24614" s="34" t="s">
        <v>25540</v>
      </c>
      <c r="CZ24614" s="35">
        <v>7.2160339999999996E-3</v>
      </c>
    </row>
    <row r="24615" spans="103:104" x14ac:dyDescent="0.3">
      <c r="CY24615" s="34" t="s">
        <v>25541</v>
      </c>
      <c r="CZ24615" s="35">
        <v>6.2963779999999992E-3</v>
      </c>
    </row>
    <row r="24616" spans="103:104" x14ac:dyDescent="0.3">
      <c r="CY24616" s="34" t="s">
        <v>25542</v>
      </c>
      <c r="CZ24616" s="35">
        <v>6.2963779999999992E-3</v>
      </c>
    </row>
    <row r="24617" spans="103:104" x14ac:dyDescent="0.3">
      <c r="CY24617" s="34" t="s">
        <v>25543</v>
      </c>
      <c r="CZ24617" s="35">
        <v>1.4599949999999999E-2</v>
      </c>
    </row>
    <row r="24618" spans="103:104" x14ac:dyDescent="0.3">
      <c r="CY24618" s="34" t="s">
        <v>25544</v>
      </c>
      <c r="CZ24618" s="35">
        <v>1.5732009999999998E-2</v>
      </c>
    </row>
    <row r="24619" spans="103:104" x14ac:dyDescent="0.3">
      <c r="CY24619" s="34" t="s">
        <v>25545</v>
      </c>
      <c r="CZ24619" s="35">
        <v>5.8234526000000002E-2</v>
      </c>
    </row>
    <row r="24620" spans="103:104" x14ac:dyDescent="0.3">
      <c r="CY24620" s="34" t="s">
        <v>25546</v>
      </c>
      <c r="CZ24620" s="35">
        <v>7.6418264E-2</v>
      </c>
    </row>
    <row r="24621" spans="103:104" x14ac:dyDescent="0.3">
      <c r="CY24621" s="34" t="s">
        <v>25547</v>
      </c>
      <c r="CZ24621" s="35">
        <v>1.6393807999999999E-2</v>
      </c>
    </row>
    <row r="24622" spans="103:104" x14ac:dyDescent="0.3">
      <c r="CY24622" s="34" t="s">
        <v>25548</v>
      </c>
      <c r="CZ24622" s="35">
        <v>8.053789300000001E-3</v>
      </c>
    </row>
    <row r="24623" spans="103:104" x14ac:dyDescent="0.3">
      <c r="CY24623" s="34" t="s">
        <v>25549</v>
      </c>
      <c r="CZ24623" s="35">
        <v>1.36823E-2</v>
      </c>
    </row>
    <row r="24624" spans="103:104" x14ac:dyDescent="0.3">
      <c r="CY24624" s="34" t="s">
        <v>25550</v>
      </c>
      <c r="CZ24624" s="35">
        <v>0.1600792</v>
      </c>
    </row>
    <row r="24625" spans="103:104" x14ac:dyDescent="0.3">
      <c r="CY24625" s="34" t="s">
        <v>25551</v>
      </c>
      <c r="CZ24625" s="35">
        <v>2.9176270680000001E-2</v>
      </c>
    </row>
    <row r="24626" spans="103:104" x14ac:dyDescent="0.3">
      <c r="CY24626" s="34" t="s">
        <v>25552</v>
      </c>
      <c r="CZ24626" s="35">
        <v>0.105606862</v>
      </c>
    </row>
    <row r="24627" spans="103:104" x14ac:dyDescent="0.3">
      <c r="CY24627" s="34" t="s">
        <v>25553</v>
      </c>
      <c r="CZ24627" s="35">
        <v>2.6329999999999999E-3</v>
      </c>
    </row>
    <row r="24628" spans="103:104" x14ac:dyDescent="0.3">
      <c r="CY24628" s="34" t="s">
        <v>25554</v>
      </c>
      <c r="CZ24628" s="35">
        <v>0.23426732270000003</v>
      </c>
    </row>
    <row r="24629" spans="103:104" x14ac:dyDescent="0.3">
      <c r="CY24629" s="34" t="s">
        <v>25555</v>
      </c>
      <c r="CZ24629" s="35">
        <v>0.28470012</v>
      </c>
    </row>
    <row r="24630" spans="103:104" x14ac:dyDescent="0.3">
      <c r="CY24630" s="34" t="s">
        <v>25556</v>
      </c>
      <c r="CZ24630" s="35">
        <v>2.0749999999999996E-3</v>
      </c>
    </row>
    <row r="24631" spans="103:104" x14ac:dyDescent="0.3">
      <c r="CY24631" s="34" t="s">
        <v>25557</v>
      </c>
      <c r="CZ24631" s="35">
        <v>1.1982E-4</v>
      </c>
    </row>
    <row r="24632" spans="103:104" x14ac:dyDescent="0.3">
      <c r="CY24632" s="34" t="s">
        <v>25558</v>
      </c>
      <c r="CZ24632" s="35">
        <v>9.0783733200000008E-2</v>
      </c>
    </row>
    <row r="24633" spans="103:104" x14ac:dyDescent="0.3">
      <c r="CY24633" s="34" t="s">
        <v>25559</v>
      </c>
      <c r="CZ24633" s="35">
        <v>5.3543575999999999E-3</v>
      </c>
    </row>
    <row r="24634" spans="103:104" x14ac:dyDescent="0.3">
      <c r="CY24634" s="34" t="s">
        <v>25560</v>
      </c>
      <c r="CZ24634" s="35">
        <v>1.9589163999999999E-2</v>
      </c>
    </row>
    <row r="24635" spans="103:104" x14ac:dyDescent="0.3">
      <c r="CY24635" s="34" t="s">
        <v>25561</v>
      </c>
      <c r="CZ24635" s="35">
        <v>3.6190575999999995E-2</v>
      </c>
    </row>
    <row r="24636" spans="103:104" x14ac:dyDescent="0.3">
      <c r="CY24636" s="34" t="s">
        <v>25562</v>
      </c>
      <c r="CZ24636" s="35">
        <v>6.4711932999999991E-4</v>
      </c>
    </row>
    <row r="24637" spans="103:104" x14ac:dyDescent="0.3">
      <c r="CY24637" s="34" t="s">
        <v>25563</v>
      </c>
      <c r="CZ24637" s="35">
        <v>1.6849619999999999E-2</v>
      </c>
    </row>
    <row r="24638" spans="103:104" x14ac:dyDescent="0.3">
      <c r="CY24638" s="34" t="s">
        <v>25564</v>
      </c>
      <c r="CZ24638" s="35">
        <v>2.2780642660000003E-2</v>
      </c>
    </row>
    <row r="24639" spans="103:104" x14ac:dyDescent="0.3">
      <c r="CY24639" s="34" t="s">
        <v>25565</v>
      </c>
      <c r="CZ24639" s="35">
        <v>4.8811548680000004E-2</v>
      </c>
    </row>
    <row r="24640" spans="103:104" x14ac:dyDescent="0.3">
      <c r="CY24640" s="34" t="s">
        <v>25566</v>
      </c>
      <c r="CZ24640" s="35">
        <v>3.7033775999999997E-2</v>
      </c>
    </row>
    <row r="24641" spans="103:104" x14ac:dyDescent="0.3">
      <c r="CY24641" s="34" t="s">
        <v>25567</v>
      </c>
      <c r="CZ24641" s="35">
        <v>3.5933767999999998E-2</v>
      </c>
    </row>
    <row r="24642" spans="103:104" x14ac:dyDescent="0.3">
      <c r="CY24642" s="34" t="s">
        <v>25568</v>
      </c>
      <c r="CZ24642" s="35">
        <v>3.2487499999999999E-3</v>
      </c>
    </row>
    <row r="24643" spans="103:104" x14ac:dyDescent="0.3">
      <c r="CY24643" s="34" t="s">
        <v>25569</v>
      </c>
      <c r="CZ24643" s="35">
        <v>7.025E-5</v>
      </c>
    </row>
    <row r="24644" spans="103:104" x14ac:dyDescent="0.3">
      <c r="CY24644" s="34" t="s">
        <v>25570</v>
      </c>
      <c r="CZ24644" s="35">
        <v>6.5749999999999999E-5</v>
      </c>
    </row>
    <row r="24645" spans="103:104" x14ac:dyDescent="0.3">
      <c r="CY24645" s="34" t="s">
        <v>25571</v>
      </c>
      <c r="CZ24645" s="35">
        <v>3.4583333999999998E-4</v>
      </c>
    </row>
    <row r="24646" spans="103:104" x14ac:dyDescent="0.3">
      <c r="CY24646" s="34" t="s">
        <v>25572</v>
      </c>
      <c r="CZ24646" s="35">
        <v>0.10265742200000001</v>
      </c>
    </row>
    <row r="24647" spans="103:104" x14ac:dyDescent="0.3">
      <c r="CY24647" s="34" t="s">
        <v>25573</v>
      </c>
      <c r="CZ24647" s="35">
        <v>4.4016619999999999E-2</v>
      </c>
    </row>
    <row r="24648" spans="103:104" x14ac:dyDescent="0.3">
      <c r="CY24648" s="34" t="s">
        <v>25574</v>
      </c>
      <c r="CZ24648" s="35">
        <v>1.8186306289999999E-2</v>
      </c>
    </row>
    <row r="24649" spans="103:104" x14ac:dyDescent="0.3">
      <c r="CY24649" s="34" t="s">
        <v>25575</v>
      </c>
      <c r="CZ24649" s="35">
        <v>0.42534212500000002</v>
      </c>
    </row>
    <row r="24650" spans="103:104" x14ac:dyDescent="0.3">
      <c r="CY24650" s="34" t="s">
        <v>25576</v>
      </c>
      <c r="CZ24650" s="35">
        <v>0.34070400000000001</v>
      </c>
    </row>
    <row r="24651" spans="103:104" x14ac:dyDescent="0.3">
      <c r="CY24651" s="34" t="s">
        <v>25577</v>
      </c>
      <c r="CZ24651" s="35">
        <v>1.8240788399999999E-2</v>
      </c>
    </row>
    <row r="24652" spans="103:104" x14ac:dyDescent="0.3">
      <c r="CY24652" s="34" t="s">
        <v>25578</v>
      </c>
      <c r="CZ24652" s="35">
        <v>9.8028312000000006E-2</v>
      </c>
    </row>
    <row r="24653" spans="103:104" x14ac:dyDescent="0.3">
      <c r="CY24653" s="34" t="s">
        <v>25579</v>
      </c>
      <c r="CZ24653" s="35">
        <v>9.4538686000000011E-2</v>
      </c>
    </row>
    <row r="24654" spans="103:104" x14ac:dyDescent="0.3">
      <c r="CY24654" s="34" t="s">
        <v>25580</v>
      </c>
      <c r="CZ24654" s="35">
        <v>1.1150176E-3</v>
      </c>
    </row>
    <row r="24655" spans="103:104" x14ac:dyDescent="0.3">
      <c r="CY24655" s="34" t="s">
        <v>25581</v>
      </c>
      <c r="CZ24655" s="35">
        <v>6.4364204444444448E-2</v>
      </c>
    </row>
    <row r="24656" spans="103:104" x14ac:dyDescent="0.3">
      <c r="CY24656" s="34" t="s">
        <v>25582</v>
      </c>
      <c r="CZ24656" s="35">
        <v>1.4381774599999999E-2</v>
      </c>
    </row>
    <row r="24657" spans="103:104" x14ac:dyDescent="0.3">
      <c r="CY24657" s="34" t="s">
        <v>25583</v>
      </c>
      <c r="CZ24657" s="35">
        <v>2.7476319999999999E-2</v>
      </c>
    </row>
    <row r="24658" spans="103:104" x14ac:dyDescent="0.3">
      <c r="CY24658" s="34" t="s">
        <v>25584</v>
      </c>
      <c r="CZ24658" s="35">
        <v>8.7537324000000003E-3</v>
      </c>
    </row>
    <row r="24659" spans="103:104" x14ac:dyDescent="0.3">
      <c r="CY24659" s="34" t="s">
        <v>25585</v>
      </c>
      <c r="CZ24659" s="35">
        <v>4.0319707538400001E-2</v>
      </c>
    </row>
    <row r="24660" spans="103:104" x14ac:dyDescent="0.3">
      <c r="CY24660" s="34" t="s">
        <v>25586</v>
      </c>
      <c r="CZ24660" s="35">
        <v>2.5822171000000001E-2</v>
      </c>
    </row>
    <row r="24661" spans="103:104" x14ac:dyDescent="0.3">
      <c r="CY24661" s="34" t="s">
        <v>25587</v>
      </c>
      <c r="CZ24661" s="35">
        <v>1.314488344E-2</v>
      </c>
    </row>
    <row r="24662" spans="103:104" x14ac:dyDescent="0.3">
      <c r="CY24662" s="34" t="s">
        <v>25588</v>
      </c>
      <c r="CZ24662" s="35">
        <v>0.23444040799999999</v>
      </c>
    </row>
    <row r="24663" spans="103:104" x14ac:dyDescent="0.3">
      <c r="CY24663" s="34" t="s">
        <v>25589</v>
      </c>
      <c r="CZ24663" s="35">
        <v>0.23444040799999999</v>
      </c>
    </row>
    <row r="24664" spans="103:104" x14ac:dyDescent="0.3">
      <c r="CY24664" s="34" t="s">
        <v>25590</v>
      </c>
      <c r="CZ24664" s="35">
        <v>0.15409247111111113</v>
      </c>
    </row>
    <row r="24665" spans="103:104" x14ac:dyDescent="0.3">
      <c r="CY24665" s="34" t="s">
        <v>25591</v>
      </c>
      <c r="CZ24665" s="35">
        <v>1.5606542857142858E-2</v>
      </c>
    </row>
    <row r="24666" spans="103:104" x14ac:dyDescent="0.3">
      <c r="CY24666" s="34" t="s">
        <v>25592</v>
      </c>
      <c r="CZ24666" s="35">
        <v>0.45891046400000002</v>
      </c>
    </row>
    <row r="24667" spans="103:104" x14ac:dyDescent="0.3">
      <c r="CY24667" s="34" t="s">
        <v>25593</v>
      </c>
      <c r="CZ24667" s="35">
        <v>6.2324141199999999E-3</v>
      </c>
    </row>
    <row r="24668" spans="103:104" x14ac:dyDescent="0.3">
      <c r="CY24668" s="34" t="s">
        <v>25594</v>
      </c>
      <c r="CZ24668" s="35">
        <v>5.07130384E-2</v>
      </c>
    </row>
    <row r="24669" spans="103:104" x14ac:dyDescent="0.3">
      <c r="CY24669" s="34" t="s">
        <v>25595</v>
      </c>
      <c r="CZ24669" s="35">
        <v>2.4137361699999998E-2</v>
      </c>
    </row>
    <row r="24670" spans="103:104" x14ac:dyDescent="0.3">
      <c r="CY24670" s="34" t="s">
        <v>25596</v>
      </c>
      <c r="CZ24670" s="35">
        <v>0.207742708</v>
      </c>
    </row>
    <row r="24671" spans="103:104" x14ac:dyDescent="0.3">
      <c r="CY24671" s="34" t="s">
        <v>25597</v>
      </c>
      <c r="CZ24671" s="35">
        <v>0.17080346600000001</v>
      </c>
    </row>
    <row r="24672" spans="103:104" x14ac:dyDescent="0.3">
      <c r="CY24672" s="34" t="s">
        <v>25598</v>
      </c>
      <c r="CZ24672" s="35">
        <v>0.16696768400000001</v>
      </c>
    </row>
    <row r="24673" spans="103:104" x14ac:dyDescent="0.3">
      <c r="CY24673" s="34" t="s">
        <v>25599</v>
      </c>
      <c r="CZ24673" s="35">
        <v>7.4910240000000011E-4</v>
      </c>
    </row>
    <row r="24674" spans="103:104" x14ac:dyDescent="0.3">
      <c r="CY24674" s="34" t="s">
        <v>25600</v>
      </c>
      <c r="CZ24674" s="35">
        <v>1.5796609E-2</v>
      </c>
    </row>
    <row r="24675" spans="103:104" x14ac:dyDescent="0.3">
      <c r="CY24675" s="34" t="s">
        <v>25601</v>
      </c>
      <c r="CZ24675" s="35">
        <v>1.7163479999999999E-3</v>
      </c>
    </row>
    <row r="24676" spans="103:104" x14ac:dyDescent="0.3">
      <c r="CY24676" s="34" t="s">
        <v>25602</v>
      </c>
      <c r="CZ24676" s="35">
        <v>7.5605449999999991E-2</v>
      </c>
    </row>
    <row r="24677" spans="103:104" x14ac:dyDescent="0.3">
      <c r="CY24677" s="34" t="s">
        <v>25603</v>
      </c>
      <c r="CZ24677" s="35">
        <v>0.121435665</v>
      </c>
    </row>
    <row r="24678" spans="103:104" x14ac:dyDescent="0.3">
      <c r="CY24678" s="34" t="s">
        <v>25604</v>
      </c>
      <c r="CZ24678" s="35">
        <v>0.1758437625</v>
      </c>
    </row>
    <row r="24679" spans="103:104" x14ac:dyDescent="0.3">
      <c r="CY24679" s="34" t="s">
        <v>25605</v>
      </c>
      <c r="CZ24679" s="35">
        <v>5.0320119999999998E-3</v>
      </c>
    </row>
    <row r="24680" spans="103:104" x14ac:dyDescent="0.3">
      <c r="CY24680" s="34" t="s">
        <v>25606</v>
      </c>
      <c r="CZ24680" s="35">
        <v>7.567989E-2</v>
      </c>
    </row>
    <row r="24681" spans="103:104" x14ac:dyDescent="0.3">
      <c r="CY24681" s="34" t="s">
        <v>25607</v>
      </c>
      <c r="CZ24681" s="35">
        <v>3.0708345000000001E-2</v>
      </c>
    </row>
    <row r="24682" spans="103:104" x14ac:dyDescent="0.3">
      <c r="CY24682" s="34" t="s">
        <v>25608</v>
      </c>
      <c r="CZ24682" s="35">
        <v>2.14121417E-3</v>
      </c>
    </row>
    <row r="24683" spans="103:104" x14ac:dyDescent="0.3">
      <c r="CY24683" s="34" t="s">
        <v>25609</v>
      </c>
      <c r="CZ24683" s="35">
        <v>1.4577092500000001E-2</v>
      </c>
    </row>
    <row r="24684" spans="103:104" x14ac:dyDescent="0.3">
      <c r="CY24684" s="34" t="s">
        <v>25610</v>
      </c>
      <c r="CZ24684" s="35">
        <v>1.45770925E-2</v>
      </c>
    </row>
    <row r="24685" spans="103:104" x14ac:dyDescent="0.3">
      <c r="CY24685" s="34" t="s">
        <v>25611</v>
      </c>
      <c r="CZ24685" s="35">
        <v>2.7862325333333333E-3</v>
      </c>
    </row>
    <row r="24686" spans="103:104" x14ac:dyDescent="0.3">
      <c r="CY24686" s="34" t="s">
        <v>25612</v>
      </c>
      <c r="CZ24686" s="35">
        <v>3.0815162539682535E-2</v>
      </c>
    </row>
    <row r="24687" spans="103:104" x14ac:dyDescent="0.3">
      <c r="CY24687" s="34" t="s">
        <v>25613</v>
      </c>
      <c r="CZ24687" s="35">
        <v>5.8114774999999989E-4</v>
      </c>
    </row>
    <row r="24688" spans="103:104" x14ac:dyDescent="0.3">
      <c r="CY24688" s="34" t="s">
        <v>25614</v>
      </c>
      <c r="CZ24688" s="35">
        <v>0.28734586539999996</v>
      </c>
    </row>
    <row r="24689" spans="103:104" x14ac:dyDescent="0.3">
      <c r="CY24689" s="34" t="s">
        <v>25615</v>
      </c>
      <c r="CZ24689" s="35">
        <v>0.56787921399999997</v>
      </c>
    </row>
    <row r="24690" spans="103:104" x14ac:dyDescent="0.3">
      <c r="CY24690" s="34" t="s">
        <v>25616</v>
      </c>
      <c r="CZ24690" s="35">
        <v>0.18510040000000003</v>
      </c>
    </row>
    <row r="24691" spans="103:104" x14ac:dyDescent="0.3">
      <c r="CY24691" s="34" t="s">
        <v>25617</v>
      </c>
      <c r="CZ24691" s="35">
        <v>0.23248060000000001</v>
      </c>
    </row>
    <row r="24692" spans="103:104" x14ac:dyDescent="0.3">
      <c r="CY24692" s="34" t="s">
        <v>25618</v>
      </c>
      <c r="CZ24692" s="35">
        <v>0.37700259999999997</v>
      </c>
    </row>
    <row r="24693" spans="103:104" x14ac:dyDescent="0.3">
      <c r="CY24693" s="34" t="s">
        <v>25619</v>
      </c>
      <c r="CZ24693" s="35">
        <v>0.52263032500000006</v>
      </c>
    </row>
    <row r="24694" spans="103:104" x14ac:dyDescent="0.3">
      <c r="CY24694" s="34" t="s">
        <v>25620</v>
      </c>
      <c r="CZ24694" s="35">
        <v>0.3925922</v>
      </c>
    </row>
    <row r="24695" spans="103:104" x14ac:dyDescent="0.3">
      <c r="CY24695" s="34" t="s">
        <v>25621</v>
      </c>
      <c r="CZ24695" s="35">
        <v>1.2841762E-2</v>
      </c>
    </row>
    <row r="24696" spans="103:104" x14ac:dyDescent="0.3">
      <c r="CY24696" s="34" t="s">
        <v>25622</v>
      </c>
      <c r="CZ24696" s="35">
        <v>5.187499999999999E-4</v>
      </c>
    </row>
    <row r="24697" spans="103:104" x14ac:dyDescent="0.3">
      <c r="CY24697" s="34" t="s">
        <v>25623</v>
      </c>
      <c r="CZ24697" s="35">
        <v>5.5307200000000001E-2</v>
      </c>
    </row>
    <row r="24698" spans="103:104" x14ac:dyDescent="0.3">
      <c r="CY24698" s="34" t="s">
        <v>25624</v>
      </c>
      <c r="CZ24698" s="35">
        <v>0.26498966842105265</v>
      </c>
    </row>
    <row r="24699" spans="103:104" x14ac:dyDescent="0.3">
      <c r="CY24699" s="34" t="s">
        <v>25625</v>
      </c>
      <c r="CZ24699" s="35">
        <v>0.35917960399999999</v>
      </c>
    </row>
    <row r="24700" spans="103:104" x14ac:dyDescent="0.3">
      <c r="CY24700" s="34" t="s">
        <v>25626</v>
      </c>
      <c r="CZ24700" s="35">
        <v>2.6658560000000005E-2</v>
      </c>
    </row>
    <row r="24701" spans="103:104" x14ac:dyDescent="0.3">
      <c r="CY24701" s="34" t="s">
        <v>25627</v>
      </c>
      <c r="CZ24701" s="35">
        <v>9.2429299999999999E-3</v>
      </c>
    </row>
    <row r="24702" spans="103:104" x14ac:dyDescent="0.3">
      <c r="CY24702" s="34" t="s">
        <v>25628</v>
      </c>
      <c r="CZ24702" s="35">
        <v>1.1913488E-2</v>
      </c>
    </row>
    <row r="24703" spans="103:104" x14ac:dyDescent="0.3">
      <c r="CY24703" s="34" t="s">
        <v>25629</v>
      </c>
      <c r="CZ24703" s="35">
        <v>1.0308079999999999E-2</v>
      </c>
    </row>
    <row r="24704" spans="103:104" x14ac:dyDescent="0.3">
      <c r="CY24704" s="34" t="s">
        <v>25630</v>
      </c>
      <c r="CZ24704" s="35">
        <v>1.7083816000000002E-2</v>
      </c>
    </row>
    <row r="24705" spans="103:104" x14ac:dyDescent="0.3">
      <c r="CY24705" s="34" t="s">
        <v>25631</v>
      </c>
      <c r="CZ24705" s="35">
        <v>1.1714656E-3</v>
      </c>
    </row>
    <row r="24706" spans="103:104" x14ac:dyDescent="0.3">
      <c r="CY24706" s="34" t="s">
        <v>25632</v>
      </c>
      <c r="CZ24706" s="35">
        <v>1.306972E-2</v>
      </c>
    </row>
    <row r="24707" spans="103:104" x14ac:dyDescent="0.3">
      <c r="CY24707" s="34" t="s">
        <v>25633</v>
      </c>
      <c r="CZ24707" s="35">
        <v>1.3179887999999999E-2</v>
      </c>
    </row>
    <row r="24708" spans="103:104" x14ac:dyDescent="0.3">
      <c r="CY24708" s="34" t="s">
        <v>25634</v>
      </c>
      <c r="CZ24708" s="35">
        <v>3.4625472000000004E-2</v>
      </c>
    </row>
    <row r="24709" spans="103:104" x14ac:dyDescent="0.3">
      <c r="CY24709" s="34" t="s">
        <v>25635</v>
      </c>
      <c r="CZ24709" s="35">
        <v>7.7177343499999995E-2</v>
      </c>
    </row>
    <row r="24710" spans="103:104" x14ac:dyDescent="0.3">
      <c r="CY24710" s="34" t="s">
        <v>25636</v>
      </c>
      <c r="CZ24710" s="35">
        <v>8.5298666666666668E-3</v>
      </c>
    </row>
    <row r="24711" spans="103:104" x14ac:dyDescent="0.3">
      <c r="CY24711" s="34" t="s">
        <v>25637</v>
      </c>
      <c r="CZ24711" s="35">
        <v>7.6147520000000007E-3</v>
      </c>
    </row>
    <row r="24712" spans="103:104" x14ac:dyDescent="0.3">
      <c r="CY24712" s="34" t="s">
        <v>25638</v>
      </c>
      <c r="CZ24712" s="35">
        <v>4.1603439999999998E-3</v>
      </c>
    </row>
    <row r="24713" spans="103:104" x14ac:dyDescent="0.3">
      <c r="CY24713" s="34" t="s">
        <v>25639</v>
      </c>
      <c r="CZ24713" s="35">
        <v>1.1764799999999999E-2</v>
      </c>
    </row>
    <row r="24714" spans="103:104" x14ac:dyDescent="0.3">
      <c r="CY24714" s="34" t="s">
        <v>25640</v>
      </c>
      <c r="CZ24714" s="35">
        <v>8.6433067000000006E-3</v>
      </c>
    </row>
    <row r="24715" spans="103:104" x14ac:dyDescent="0.3">
      <c r="CY24715" s="34" t="s">
        <v>25641</v>
      </c>
      <c r="CZ24715" s="35">
        <v>2.5916047999999997E-2</v>
      </c>
    </row>
    <row r="24716" spans="103:104" x14ac:dyDescent="0.3">
      <c r="CY24716" s="34" t="s">
        <v>25642</v>
      </c>
      <c r="CZ24716" s="35">
        <v>3.3411119999999996E-2</v>
      </c>
    </row>
    <row r="24717" spans="103:104" x14ac:dyDescent="0.3">
      <c r="CY24717" s="34" t="s">
        <v>25643</v>
      </c>
      <c r="CZ24717" s="35">
        <v>5.2467199999999992E-2</v>
      </c>
    </row>
    <row r="24718" spans="103:104" x14ac:dyDescent="0.3">
      <c r="CY24718" s="34" t="s">
        <v>25644</v>
      </c>
      <c r="CZ24718" s="35">
        <v>0.13020240720000001</v>
      </c>
    </row>
    <row r="24719" spans="103:104" x14ac:dyDescent="0.3">
      <c r="CY24719" s="34" t="s">
        <v>25645</v>
      </c>
      <c r="CZ24719" s="35">
        <v>1.3245519999999998E-2</v>
      </c>
    </row>
    <row r="24720" spans="103:104" x14ac:dyDescent="0.3">
      <c r="CY24720" s="34" t="s">
        <v>25646</v>
      </c>
      <c r="CZ24720" s="35">
        <v>1.3518919999999999E-2</v>
      </c>
    </row>
    <row r="24721" spans="103:104" x14ac:dyDescent="0.3">
      <c r="CY24721" s="34" t="s">
        <v>25647</v>
      </c>
      <c r="CZ24721" s="35">
        <v>1.5890128125000003E-2</v>
      </c>
    </row>
    <row r="24722" spans="103:104" x14ac:dyDescent="0.3">
      <c r="CY24722" s="34" t="s">
        <v>25648</v>
      </c>
      <c r="CZ24722" s="35">
        <v>0.10599176</v>
      </c>
    </row>
    <row r="24723" spans="103:104" x14ac:dyDescent="0.3">
      <c r="CY24723" s="34" t="s">
        <v>25649</v>
      </c>
      <c r="CZ24723" s="35">
        <v>9.6080739999999984E-2</v>
      </c>
    </row>
    <row r="24724" spans="103:104" x14ac:dyDescent="0.3">
      <c r="CY24724" s="34" t="s">
        <v>25650</v>
      </c>
      <c r="CZ24724" s="35">
        <v>8.0992650000000013E-2</v>
      </c>
    </row>
    <row r="24725" spans="103:104" x14ac:dyDescent="0.3">
      <c r="CY24725" s="34" t="s">
        <v>25651</v>
      </c>
      <c r="CZ24725" s="35">
        <v>3.3450005079999991E-2</v>
      </c>
    </row>
    <row r="24726" spans="103:104" x14ac:dyDescent="0.3">
      <c r="CY24726" s="34" t="s">
        <v>25652</v>
      </c>
      <c r="CZ24726" s="35">
        <v>1.1385E-3</v>
      </c>
    </row>
    <row r="24727" spans="103:104" x14ac:dyDescent="0.3">
      <c r="CY24727" s="34" t="s">
        <v>25653</v>
      </c>
      <c r="CZ24727" s="35">
        <v>1.1385E-3</v>
      </c>
    </row>
    <row r="24728" spans="103:104" x14ac:dyDescent="0.3">
      <c r="CY24728" s="34" t="s">
        <v>25654</v>
      </c>
      <c r="CZ24728" s="35">
        <v>3.9404429473684208E-2</v>
      </c>
    </row>
    <row r="24729" spans="103:104" x14ac:dyDescent="0.3">
      <c r="CY24729" s="34" t="s">
        <v>25655</v>
      </c>
      <c r="CZ24729" s="35">
        <v>5.052886486486486E-2</v>
      </c>
    </row>
    <row r="24730" spans="103:104" x14ac:dyDescent="0.3">
      <c r="CY24730" s="34" t="s">
        <v>25656</v>
      </c>
      <c r="CZ24730" s="35">
        <v>2.6510585263157898E-2</v>
      </c>
    </row>
    <row r="24731" spans="103:104" x14ac:dyDescent="0.3">
      <c r="CY24731" s="34" t="s">
        <v>25657</v>
      </c>
      <c r="CZ24731" s="35">
        <v>3.9831959959959959E-2</v>
      </c>
    </row>
    <row r="24732" spans="103:104" x14ac:dyDescent="0.3">
      <c r="CY24732" s="34" t="s">
        <v>25658</v>
      </c>
      <c r="CZ24732" s="35">
        <v>2.7380308000000001E-3</v>
      </c>
    </row>
    <row r="24733" spans="103:104" x14ac:dyDescent="0.3">
      <c r="CY24733" s="34" t="s">
        <v>25659</v>
      </c>
      <c r="CZ24733" s="35">
        <v>0.20344993000000003</v>
      </c>
    </row>
    <row r="24734" spans="103:104" x14ac:dyDescent="0.3">
      <c r="CY24734" s="34" t="s">
        <v>25660</v>
      </c>
      <c r="CZ24734" s="35">
        <v>4.4889116E-2</v>
      </c>
    </row>
    <row r="24735" spans="103:104" x14ac:dyDescent="0.3">
      <c r="CY24735" s="34" t="s">
        <v>25661</v>
      </c>
      <c r="CZ24735" s="35">
        <v>1.3410764000000002E-3</v>
      </c>
    </row>
    <row r="24736" spans="103:104" x14ac:dyDescent="0.3">
      <c r="CY24736" s="34" t="s">
        <v>25662</v>
      </c>
      <c r="CZ24736" s="35">
        <v>2.5240000000000001E-4</v>
      </c>
    </row>
    <row r="24737" spans="103:104" x14ac:dyDescent="0.3">
      <c r="CY24737" s="34" t="s">
        <v>25663</v>
      </c>
      <c r="CZ24737" s="35">
        <v>3.0691856000000001E-3</v>
      </c>
    </row>
    <row r="24738" spans="103:104" x14ac:dyDescent="0.3">
      <c r="CY24738" s="34" t="s">
        <v>25664</v>
      </c>
      <c r="CZ24738" s="35">
        <v>5.1091339999999999E-2</v>
      </c>
    </row>
    <row r="24739" spans="103:104" x14ac:dyDescent="0.3">
      <c r="CY24739" s="34" t="s">
        <v>25665</v>
      </c>
      <c r="CZ24739" s="35">
        <v>5.7626749999999997E-2</v>
      </c>
    </row>
    <row r="24740" spans="103:104" x14ac:dyDescent="0.3">
      <c r="CY24740" s="34" t="s">
        <v>25666</v>
      </c>
      <c r="CZ24740" s="35">
        <v>4.5984562499999998E-3</v>
      </c>
    </row>
    <row r="24741" spans="103:104" x14ac:dyDescent="0.3">
      <c r="CY24741" s="34" t="s">
        <v>25667</v>
      </c>
      <c r="CZ24741" s="35">
        <v>2.83868665E-3</v>
      </c>
    </row>
    <row r="24742" spans="103:104" x14ac:dyDescent="0.3">
      <c r="CY24742" s="34" t="s">
        <v>25668</v>
      </c>
      <c r="CZ24742" s="35">
        <v>5.9611333999999997E-3</v>
      </c>
    </row>
    <row r="24743" spans="103:104" x14ac:dyDescent="0.3">
      <c r="CY24743" s="34" t="s">
        <v>25669</v>
      </c>
      <c r="CZ24743" s="35">
        <v>0.54391637952941185</v>
      </c>
    </row>
    <row r="24744" spans="103:104" x14ac:dyDescent="0.3">
      <c r="CY24744" s="34" t="s">
        <v>25670</v>
      </c>
      <c r="CZ24744" s="35">
        <v>0.55921600288888895</v>
      </c>
    </row>
    <row r="24745" spans="103:104" x14ac:dyDescent="0.3">
      <c r="CY24745" s="34" t="s">
        <v>25671</v>
      </c>
      <c r="CZ24745" s="35">
        <v>3.7473370000000006E-2</v>
      </c>
    </row>
    <row r="24746" spans="103:104" x14ac:dyDescent="0.3">
      <c r="CY24746" s="34" t="s">
        <v>25672</v>
      </c>
      <c r="CZ24746" s="35">
        <v>3.4675703888888895E-2</v>
      </c>
    </row>
    <row r="24747" spans="103:104" x14ac:dyDescent="0.3">
      <c r="CY24747" s="34" t="s">
        <v>25673</v>
      </c>
      <c r="CZ24747" s="35">
        <v>5.5149948000000008E-3</v>
      </c>
    </row>
    <row r="24748" spans="103:104" x14ac:dyDescent="0.3">
      <c r="CY24748" s="34" t="s">
        <v>25674</v>
      </c>
      <c r="CZ24748" s="35">
        <v>4.3911140000000001E-2</v>
      </c>
    </row>
    <row r="24749" spans="103:104" x14ac:dyDescent="0.3">
      <c r="CY24749" s="34" t="s">
        <v>25675</v>
      </c>
      <c r="CZ24749" s="35">
        <v>0.2451811368</v>
      </c>
    </row>
    <row r="24750" spans="103:104" x14ac:dyDescent="0.3">
      <c r="CY24750" s="34" t="s">
        <v>25676</v>
      </c>
      <c r="CZ24750" s="35">
        <v>0.248807221</v>
      </c>
    </row>
    <row r="24751" spans="103:104" x14ac:dyDescent="0.3">
      <c r="CY24751" s="34" t="s">
        <v>25677</v>
      </c>
      <c r="CZ24751" s="35">
        <v>3.3127937663759995E-2</v>
      </c>
    </row>
    <row r="24752" spans="103:104" x14ac:dyDescent="0.3">
      <c r="CY24752" s="34" t="s">
        <v>25678</v>
      </c>
      <c r="CZ24752" s="35">
        <v>0.20814806799999996</v>
      </c>
    </row>
    <row r="24753" spans="103:104" x14ac:dyDescent="0.3">
      <c r="CY24753" s="34" t="s">
        <v>25679</v>
      </c>
      <c r="CZ24753" s="35">
        <v>6.7385321999999996E-4</v>
      </c>
    </row>
    <row r="24754" spans="103:104" x14ac:dyDescent="0.3">
      <c r="CY24754" s="34" t="s">
        <v>25680</v>
      </c>
      <c r="CZ24754" s="35">
        <v>1.0296702E-3</v>
      </c>
    </row>
    <row r="24755" spans="103:104" x14ac:dyDescent="0.3">
      <c r="CY24755" s="34" t="s">
        <v>25681</v>
      </c>
      <c r="CZ24755" s="35">
        <v>2.6603543999999999E-3</v>
      </c>
    </row>
    <row r="24756" spans="103:104" x14ac:dyDescent="0.3">
      <c r="CY24756" s="34" t="s">
        <v>25682</v>
      </c>
      <c r="CZ24756" s="35">
        <v>2.3019275999999998E-3</v>
      </c>
    </row>
    <row r="24757" spans="103:104" x14ac:dyDescent="0.3">
      <c r="CY24757" s="34" t="s">
        <v>25683</v>
      </c>
      <c r="CZ24757" s="35">
        <v>3.3124007999999999E-3</v>
      </c>
    </row>
    <row r="24758" spans="103:104" x14ac:dyDescent="0.3">
      <c r="CY24758" s="34" t="s">
        <v>25684</v>
      </c>
      <c r="CZ24758" s="35">
        <v>5.8221074000000001E-3</v>
      </c>
    </row>
    <row r="24759" spans="103:104" x14ac:dyDescent="0.3">
      <c r="CY24759" s="34" t="s">
        <v>25685</v>
      </c>
      <c r="CZ24759" s="35">
        <v>6.4706481934600005E-2</v>
      </c>
    </row>
    <row r="24760" spans="103:104" x14ac:dyDescent="0.3">
      <c r="CY24760" s="34" t="s">
        <v>25686</v>
      </c>
      <c r="CZ24760" s="35">
        <v>6.7278623999999995E-3</v>
      </c>
    </row>
    <row r="24761" spans="103:104" x14ac:dyDescent="0.3">
      <c r="CY24761" s="34" t="s">
        <v>25687</v>
      </c>
      <c r="CZ24761" s="35">
        <v>0.58275208000000001</v>
      </c>
    </row>
    <row r="24762" spans="103:104" x14ac:dyDescent="0.3">
      <c r="CY24762" s="34" t="s">
        <v>25688</v>
      </c>
      <c r="CZ24762" s="35">
        <v>2.2799555555555556E-2</v>
      </c>
    </row>
    <row r="24763" spans="103:104" x14ac:dyDescent="0.3">
      <c r="CY24763" s="34" t="s">
        <v>25689</v>
      </c>
      <c r="CZ24763" s="35">
        <v>0.97039316664999997</v>
      </c>
    </row>
    <row r="24764" spans="103:104" x14ac:dyDescent="0.3">
      <c r="CY24764" s="34" t="s">
        <v>25690</v>
      </c>
      <c r="CZ24764" s="35">
        <v>7.1203372000000015E-2</v>
      </c>
    </row>
    <row r="24765" spans="103:104" x14ac:dyDescent="0.3">
      <c r="CY24765" s="34" t="s">
        <v>25691</v>
      </c>
      <c r="CZ24765" s="35">
        <v>5.0445803999999997E-2</v>
      </c>
    </row>
    <row r="24766" spans="103:104" x14ac:dyDescent="0.3">
      <c r="CY24766" s="34" t="s">
        <v>25692</v>
      </c>
      <c r="CZ24766" s="35">
        <v>7.1203372000000015E-2</v>
      </c>
    </row>
    <row r="24767" spans="103:104" x14ac:dyDescent="0.3">
      <c r="CY24767" s="34" t="s">
        <v>25693</v>
      </c>
      <c r="CZ24767" s="35">
        <v>5.1977100000000005E-2</v>
      </c>
    </row>
    <row r="24768" spans="103:104" x14ac:dyDescent="0.3">
      <c r="CY24768" s="34" t="s">
        <v>25694</v>
      </c>
      <c r="CZ24768" s="35">
        <v>6.7907500000000001E-4</v>
      </c>
    </row>
    <row r="24769" spans="103:104" x14ac:dyDescent="0.3">
      <c r="CY24769" s="34" t="s">
        <v>25695</v>
      </c>
      <c r="CZ24769" s="35">
        <v>1.2111799999999999E-3</v>
      </c>
    </row>
    <row r="24770" spans="103:104" x14ac:dyDescent="0.3">
      <c r="CY24770" s="34" t="s">
        <v>25696</v>
      </c>
      <c r="CZ24770" s="35">
        <v>1.5768200000000003E-2</v>
      </c>
    </row>
    <row r="24771" spans="103:104" x14ac:dyDescent="0.3">
      <c r="CY24771" s="34" t="s">
        <v>25697</v>
      </c>
      <c r="CZ24771" s="35">
        <v>0.22179608888888888</v>
      </c>
    </row>
    <row r="24772" spans="103:104" x14ac:dyDescent="0.3">
      <c r="CY24772" s="34" t="s">
        <v>25698</v>
      </c>
      <c r="CZ24772" s="35">
        <v>0.25413608888888883</v>
      </c>
    </row>
    <row r="24773" spans="103:104" x14ac:dyDescent="0.3">
      <c r="CY24773" s="34" t="s">
        <v>25699</v>
      </c>
      <c r="CZ24773" s="35">
        <v>0.3357560888888888</v>
      </c>
    </row>
    <row r="24774" spans="103:104" x14ac:dyDescent="0.3">
      <c r="CY24774" s="34" t="s">
        <v>25700</v>
      </c>
      <c r="CZ24774" s="35">
        <v>1.8138878649999999E-3</v>
      </c>
    </row>
    <row r="24775" spans="103:104" x14ac:dyDescent="0.3">
      <c r="CY24775" s="34" t="s">
        <v>25701</v>
      </c>
      <c r="CZ24775" s="35">
        <v>0.12994264703703703</v>
      </c>
    </row>
    <row r="24776" spans="103:104" x14ac:dyDescent="0.3">
      <c r="CY24776" s="34" t="s">
        <v>25702</v>
      </c>
      <c r="CZ24776" s="35">
        <v>0.31576686000000004</v>
      </c>
    </row>
    <row r="24777" spans="103:104" x14ac:dyDescent="0.3">
      <c r="CY24777" s="34" t="s">
        <v>25703</v>
      </c>
      <c r="CZ24777" s="35">
        <v>0.16545859255555556</v>
      </c>
    </row>
    <row r="24778" spans="103:104" x14ac:dyDescent="0.3">
      <c r="CY24778" s="34" t="s">
        <v>25704</v>
      </c>
      <c r="CZ24778" s="35">
        <v>6.6380250000000002E-2</v>
      </c>
    </row>
    <row r="24779" spans="103:104" x14ac:dyDescent="0.3">
      <c r="CY24779" s="34" t="s">
        <v>25705</v>
      </c>
      <c r="CZ24779" s="35">
        <v>3.6594500000000001E-4</v>
      </c>
    </row>
    <row r="24780" spans="103:104" x14ac:dyDescent="0.3">
      <c r="CY24780" s="34" t="s">
        <v>25706</v>
      </c>
      <c r="CZ24780" s="35">
        <v>0.16461567866249999</v>
      </c>
    </row>
    <row r="24781" spans="103:104" x14ac:dyDescent="0.3">
      <c r="CY24781" s="34" t="s">
        <v>25707</v>
      </c>
      <c r="CZ24781" s="35">
        <v>3.5234480000000006E-2</v>
      </c>
    </row>
    <row r="24782" spans="103:104" x14ac:dyDescent="0.3">
      <c r="CY24782" s="34" t="s">
        <v>25708</v>
      </c>
      <c r="CZ24782" s="35">
        <v>0.11075536000000001</v>
      </c>
    </row>
    <row r="24783" spans="103:104" x14ac:dyDescent="0.3">
      <c r="CY24783" s="34" t="s">
        <v>25709</v>
      </c>
      <c r="CZ24783" s="35">
        <v>0.1166649875</v>
      </c>
    </row>
    <row r="24784" spans="103:104" x14ac:dyDescent="0.3">
      <c r="CY24784" s="34" t="s">
        <v>25710</v>
      </c>
      <c r="CZ24784" s="35">
        <v>5.4460661333333341E-2</v>
      </c>
    </row>
    <row r="24785" spans="103:104" x14ac:dyDescent="0.3">
      <c r="CY24785" s="34" t="s">
        <v>25711</v>
      </c>
      <c r="CZ24785" s="35">
        <v>8.4529783999999997E-2</v>
      </c>
    </row>
    <row r="24786" spans="103:104" x14ac:dyDescent="0.3">
      <c r="CY24786" s="34" t="s">
        <v>25712</v>
      </c>
      <c r="CZ24786" s="35">
        <v>1.4920002999999999E-3</v>
      </c>
    </row>
    <row r="24787" spans="103:104" x14ac:dyDescent="0.3">
      <c r="CY24787" s="34" t="s">
        <v>25713</v>
      </c>
      <c r="CZ24787" s="35">
        <v>5.1392879999999997E-3</v>
      </c>
    </row>
    <row r="24788" spans="103:104" x14ac:dyDescent="0.3">
      <c r="CY24788" s="34" t="s">
        <v>25714</v>
      </c>
      <c r="CZ24788" s="35">
        <v>2.9043822675000001E-3</v>
      </c>
    </row>
    <row r="24789" spans="103:104" x14ac:dyDescent="0.3">
      <c r="CY24789" s="34" t="s">
        <v>25715</v>
      </c>
      <c r="CZ24789" s="35">
        <v>2.1026640937750001E-3</v>
      </c>
    </row>
    <row r="24790" spans="103:104" x14ac:dyDescent="0.3">
      <c r="CY24790" s="34" t="s">
        <v>25716</v>
      </c>
      <c r="CZ24790" s="35">
        <v>7.5751185714285716E-3</v>
      </c>
    </row>
    <row r="24791" spans="103:104" x14ac:dyDescent="0.3">
      <c r="CY24791" s="34" t="s">
        <v>25717</v>
      </c>
      <c r="CZ24791" s="35">
        <v>7.2216866000000008E-3</v>
      </c>
    </row>
    <row r="24792" spans="103:104" x14ac:dyDescent="0.3">
      <c r="CY24792" s="34" t="s">
        <v>25718</v>
      </c>
      <c r="CZ24792" s="35">
        <v>4.1800849999999992E-3</v>
      </c>
    </row>
    <row r="24793" spans="103:104" x14ac:dyDescent="0.3">
      <c r="CY24793" s="34" t="s">
        <v>25719</v>
      </c>
      <c r="CZ24793" s="35">
        <v>3.3890840333333339E-2</v>
      </c>
    </row>
    <row r="24794" spans="103:104" x14ac:dyDescent="0.3">
      <c r="CY24794" s="34" t="s">
        <v>25720</v>
      </c>
      <c r="CZ24794" s="35">
        <v>3.5122683333333335E-2</v>
      </c>
    </row>
    <row r="24795" spans="103:104" x14ac:dyDescent="0.3">
      <c r="CY24795" s="34" t="s">
        <v>25721</v>
      </c>
      <c r="CZ24795" s="35">
        <v>3.4999483333333331E-2</v>
      </c>
    </row>
    <row r="24796" spans="103:104" x14ac:dyDescent="0.3">
      <c r="CY24796" s="34" t="s">
        <v>25722</v>
      </c>
      <c r="CZ24796" s="35">
        <v>1.484425E-2</v>
      </c>
    </row>
    <row r="24797" spans="103:104" x14ac:dyDescent="0.3">
      <c r="CY24797" s="34" t="s">
        <v>25723</v>
      </c>
      <c r="CZ24797" s="35">
        <v>2.92409408E-3</v>
      </c>
    </row>
    <row r="24798" spans="103:104" x14ac:dyDescent="0.3">
      <c r="CY24798" s="34" t="s">
        <v>25724</v>
      </c>
      <c r="CZ24798" s="35">
        <v>1.1295129297894737</v>
      </c>
    </row>
    <row r="24799" spans="103:104" x14ac:dyDescent="0.3">
      <c r="CY24799" s="34" t="s">
        <v>25725</v>
      </c>
      <c r="CZ24799" s="35">
        <v>4.5141612800000001E-2</v>
      </c>
    </row>
    <row r="24800" spans="103:104" x14ac:dyDescent="0.3">
      <c r="CY24800" s="34" t="s">
        <v>25726</v>
      </c>
      <c r="CZ24800" s="35">
        <v>1.0910942E-2</v>
      </c>
    </row>
    <row r="24801" spans="103:104" x14ac:dyDescent="0.3">
      <c r="CY24801" s="34" t="s">
        <v>25727</v>
      </c>
      <c r="CZ24801" s="35">
        <v>1.160359E-2</v>
      </c>
    </row>
    <row r="24802" spans="103:104" x14ac:dyDescent="0.3">
      <c r="CY24802" s="34" t="s">
        <v>25728</v>
      </c>
      <c r="CZ24802" s="35">
        <v>1.3025639999999998E-2</v>
      </c>
    </row>
    <row r="24803" spans="103:104" x14ac:dyDescent="0.3">
      <c r="CY24803" s="34" t="s">
        <v>25729</v>
      </c>
      <c r="CZ24803" s="35">
        <v>3.1886507000000006E-3</v>
      </c>
    </row>
    <row r="24804" spans="103:104" x14ac:dyDescent="0.3">
      <c r="CY24804" s="34" t="s">
        <v>25730</v>
      </c>
      <c r="CZ24804" s="35">
        <v>9.8373279999999994E-3</v>
      </c>
    </row>
    <row r="24805" spans="103:104" x14ac:dyDescent="0.3">
      <c r="CY24805" s="34" t="s">
        <v>25731</v>
      </c>
      <c r="CZ24805" s="35">
        <v>2.1625E-4</v>
      </c>
    </row>
    <row r="24806" spans="103:104" x14ac:dyDescent="0.3">
      <c r="CY24806" s="34" t="s">
        <v>25732</v>
      </c>
      <c r="CZ24806" s="35">
        <v>2.1625E-4</v>
      </c>
    </row>
    <row r="24807" spans="103:104" x14ac:dyDescent="0.3">
      <c r="CY24807" s="34" t="s">
        <v>25733</v>
      </c>
      <c r="CZ24807" s="35">
        <v>4.3094199999999987E-3</v>
      </c>
    </row>
    <row r="24808" spans="103:104" x14ac:dyDescent="0.3">
      <c r="CY24808" s="34" t="s">
        <v>25734</v>
      </c>
      <c r="CZ24808" s="35">
        <v>0.48647442083333331</v>
      </c>
    </row>
    <row r="24809" spans="103:104" x14ac:dyDescent="0.3">
      <c r="CY24809" s="34" t="s">
        <v>25735</v>
      </c>
      <c r="CZ24809" s="35">
        <v>0.28557084000000005</v>
      </c>
    </row>
    <row r="24810" spans="103:104" x14ac:dyDescent="0.3">
      <c r="CY24810" s="34" t="s">
        <v>25736</v>
      </c>
      <c r="CZ24810" s="35">
        <v>8.6445093333333348E-4</v>
      </c>
    </row>
    <row r="24811" spans="103:104" x14ac:dyDescent="0.3">
      <c r="CY24811" s="34" t="s">
        <v>25737</v>
      </c>
      <c r="CZ24811" s="35">
        <v>1.0403018269230771E-2</v>
      </c>
    </row>
    <row r="24812" spans="103:104" x14ac:dyDescent="0.3">
      <c r="CY24812" s="34" t="s">
        <v>25738</v>
      </c>
      <c r="CZ24812" s="35">
        <v>3.6119121333333337E-2</v>
      </c>
    </row>
    <row r="24813" spans="103:104" x14ac:dyDescent="0.3">
      <c r="CY24813" s="34" t="s">
        <v>25739</v>
      </c>
      <c r="CZ24813" s="35">
        <v>1.8612537333333335E-3</v>
      </c>
    </row>
    <row r="24814" spans="103:104" x14ac:dyDescent="0.3">
      <c r="CY24814" s="34" t="s">
        <v>25740</v>
      </c>
      <c r="CZ24814" s="35">
        <v>1.01980048E-2</v>
      </c>
    </row>
    <row r="24815" spans="103:104" x14ac:dyDescent="0.3">
      <c r="CY24815" s="34" t="s">
        <v>25741</v>
      </c>
      <c r="CZ24815" s="35">
        <v>1.0617137599999999E-3</v>
      </c>
    </row>
    <row r="24816" spans="103:104" x14ac:dyDescent="0.3">
      <c r="CY24816" s="34" t="s">
        <v>25742</v>
      </c>
      <c r="CZ24816" s="35">
        <v>1.9342142666666669E-2</v>
      </c>
    </row>
    <row r="24817" spans="103:104" x14ac:dyDescent="0.3">
      <c r="CY24817" s="34" t="s">
        <v>25743</v>
      </c>
      <c r="CZ24817" s="35">
        <v>7.406981333333334E-3</v>
      </c>
    </row>
    <row r="24818" spans="103:104" x14ac:dyDescent="0.3">
      <c r="CY24818" s="34" t="s">
        <v>25744</v>
      </c>
      <c r="CZ24818" s="35">
        <v>2.3205334400000003E-2</v>
      </c>
    </row>
    <row r="24819" spans="103:104" x14ac:dyDescent="0.3">
      <c r="CY24819" s="34" t="s">
        <v>25745</v>
      </c>
      <c r="CZ24819" s="35">
        <v>2.1903649999999997E-3</v>
      </c>
    </row>
    <row r="24820" spans="103:104" x14ac:dyDescent="0.3">
      <c r="CY24820" s="34" t="s">
        <v>25746</v>
      </c>
      <c r="CZ24820" s="35">
        <v>1.1386183333333334E-2</v>
      </c>
    </row>
    <row r="24821" spans="103:104" x14ac:dyDescent="0.3">
      <c r="CY24821" s="34" t="s">
        <v>25747</v>
      </c>
      <c r="CZ24821" s="35">
        <v>1.9638360000000001E-3</v>
      </c>
    </row>
    <row r="24822" spans="103:104" x14ac:dyDescent="0.3">
      <c r="CY24822" s="34" t="s">
        <v>25748</v>
      </c>
      <c r="CZ24822" s="35">
        <v>0.31599900199999997</v>
      </c>
    </row>
    <row r="24823" spans="103:104" x14ac:dyDescent="0.3">
      <c r="CY24823" s="34" t="s">
        <v>25749</v>
      </c>
      <c r="CZ24823" s="35">
        <v>0.44439484000000007</v>
      </c>
    </row>
    <row r="24824" spans="103:104" x14ac:dyDescent="0.3">
      <c r="CY24824" s="34" t="s">
        <v>25750</v>
      </c>
      <c r="CZ24824" s="35">
        <v>2.2605279999999998E-2</v>
      </c>
    </row>
    <row r="24825" spans="103:104" x14ac:dyDescent="0.3">
      <c r="CY24825" s="34" t="s">
        <v>25751</v>
      </c>
      <c r="CZ24825" s="35">
        <v>1.4066519999999999E-2</v>
      </c>
    </row>
    <row r="24826" spans="103:104" x14ac:dyDescent="0.3">
      <c r="CY24826" s="34" t="s">
        <v>25752</v>
      </c>
      <c r="CZ24826" s="35">
        <v>5.1558123999999997E-2</v>
      </c>
    </row>
    <row r="24827" spans="103:104" x14ac:dyDescent="0.3">
      <c r="CY24827" s="34" t="s">
        <v>25753</v>
      </c>
      <c r="CZ24827" s="35">
        <v>3.8288595199999997E-2</v>
      </c>
    </row>
    <row r="24828" spans="103:104" x14ac:dyDescent="0.3">
      <c r="CY24828" s="34" t="s">
        <v>25754</v>
      </c>
      <c r="CZ24828" s="35">
        <v>1.5857729599999999E-2</v>
      </c>
    </row>
    <row r="24829" spans="103:104" x14ac:dyDescent="0.3">
      <c r="CY24829" s="34" t="s">
        <v>25755</v>
      </c>
      <c r="CZ24829" s="35">
        <v>8.8198947999999999E-2</v>
      </c>
    </row>
    <row r="24830" spans="103:104" x14ac:dyDescent="0.3">
      <c r="CY24830" s="34" t="s">
        <v>25756</v>
      </c>
      <c r="CZ24830" s="35">
        <v>9.6603711999999994E-2</v>
      </c>
    </row>
    <row r="24831" spans="103:104" x14ac:dyDescent="0.3">
      <c r="CY24831" s="34" t="s">
        <v>25757</v>
      </c>
      <c r="CZ24831" s="35">
        <v>4.5251583999999997E-3</v>
      </c>
    </row>
    <row r="24832" spans="103:104" x14ac:dyDescent="0.3">
      <c r="CY24832" s="34" t="s">
        <v>25758</v>
      </c>
      <c r="CZ24832" s="35">
        <v>4.8341667499999998E-4</v>
      </c>
    </row>
    <row r="24833" spans="103:104" x14ac:dyDescent="0.3">
      <c r="CY24833" s="34" t="s">
        <v>25759</v>
      </c>
      <c r="CZ24833" s="35">
        <v>3.3251868571428568E-2</v>
      </c>
    </row>
    <row r="24834" spans="103:104" x14ac:dyDescent="0.3">
      <c r="CY24834" s="34" t="s">
        <v>25760</v>
      </c>
      <c r="CZ24834" s="35">
        <v>4.6323812000000006E-2</v>
      </c>
    </row>
    <row r="24835" spans="103:104" x14ac:dyDescent="0.3">
      <c r="CY24835" s="34" t="s">
        <v>25761</v>
      </c>
      <c r="CZ24835" s="35">
        <v>8.0968026666666665E-2</v>
      </c>
    </row>
    <row r="24836" spans="103:104" x14ac:dyDescent="0.3">
      <c r="CY24836" s="34" t="s">
        <v>25762</v>
      </c>
      <c r="CZ24836" s="35">
        <v>0.124206704</v>
      </c>
    </row>
    <row r="24837" spans="103:104" x14ac:dyDescent="0.3">
      <c r="CY24837" s="34" t="s">
        <v>25763</v>
      </c>
      <c r="CZ24837" s="35">
        <v>0.112446317</v>
      </c>
    </row>
    <row r="24838" spans="103:104" x14ac:dyDescent="0.3">
      <c r="CY24838" s="34" t="s">
        <v>25764</v>
      </c>
      <c r="CZ24838" s="35">
        <v>4.7431093333333329E-4</v>
      </c>
    </row>
    <row r="24839" spans="103:104" x14ac:dyDescent="0.3">
      <c r="CY24839" s="34" t="s">
        <v>25765</v>
      </c>
      <c r="CZ24839" s="35">
        <v>2.4946704000000002E-3</v>
      </c>
    </row>
    <row r="24840" spans="103:104" x14ac:dyDescent="0.3">
      <c r="CY24840" s="34" t="s">
        <v>25766</v>
      </c>
      <c r="CZ24840" s="35">
        <v>3.8948985999999998E-2</v>
      </c>
    </row>
    <row r="24841" spans="103:104" x14ac:dyDescent="0.3">
      <c r="CY24841" s="34" t="s">
        <v>25767</v>
      </c>
      <c r="CZ24841" s="35">
        <v>5.3558435999999994E-2</v>
      </c>
    </row>
    <row r="24842" spans="103:104" x14ac:dyDescent="0.3">
      <c r="CY24842" s="34" t="s">
        <v>25768</v>
      </c>
      <c r="CZ24842" s="35">
        <v>8.7409440000000009E-4</v>
      </c>
    </row>
    <row r="24843" spans="103:104" x14ac:dyDescent="0.3">
      <c r="CY24843" s="34" t="s">
        <v>25769</v>
      </c>
      <c r="CZ24843" s="35">
        <v>5.3367258945499997E-3</v>
      </c>
    </row>
    <row r="24844" spans="103:104" x14ac:dyDescent="0.3">
      <c r="CY24844" s="34" t="s">
        <v>25770</v>
      </c>
      <c r="CZ24844" s="35">
        <v>3.3860593333333334E-3</v>
      </c>
    </row>
    <row r="24845" spans="103:104" x14ac:dyDescent="0.3">
      <c r="CY24845" s="34" t="s">
        <v>25771</v>
      </c>
      <c r="CZ24845" s="35">
        <v>4.1501760666666665E-2</v>
      </c>
    </row>
    <row r="24846" spans="103:104" x14ac:dyDescent="0.3">
      <c r="CY24846" s="34" t="s">
        <v>25772</v>
      </c>
      <c r="CZ24846" s="35">
        <v>3.5975572328571431E-2</v>
      </c>
    </row>
    <row r="24847" spans="103:104" x14ac:dyDescent="0.3">
      <c r="CY24847" s="34" t="s">
        <v>25773</v>
      </c>
      <c r="CZ24847" s="35">
        <v>9.5849589999999988E-3</v>
      </c>
    </row>
    <row r="24848" spans="103:104" x14ac:dyDescent="0.3">
      <c r="CY24848" s="34" t="s">
        <v>25774</v>
      </c>
      <c r="CZ24848" s="35">
        <v>9.9483057999999996E-3</v>
      </c>
    </row>
    <row r="24849" spans="103:104" x14ac:dyDescent="0.3">
      <c r="CY24849" s="34" t="s">
        <v>25775</v>
      </c>
      <c r="CZ24849" s="35">
        <v>7.3461647999999991E-3</v>
      </c>
    </row>
    <row r="24850" spans="103:104" x14ac:dyDescent="0.3">
      <c r="CY24850" s="34" t="s">
        <v>25776</v>
      </c>
      <c r="CZ24850" s="35">
        <v>2.0770546675000001E-2</v>
      </c>
    </row>
    <row r="24851" spans="103:104" x14ac:dyDescent="0.3">
      <c r="CY24851" s="34" t="s">
        <v>25777</v>
      </c>
      <c r="CZ24851" s="35">
        <v>5.1327159999999997E-2</v>
      </c>
    </row>
    <row r="24852" spans="103:104" x14ac:dyDescent="0.3">
      <c r="CY24852" s="34" t="s">
        <v>25778</v>
      </c>
      <c r="CZ24852" s="35">
        <v>6.1373946000000011E-3</v>
      </c>
    </row>
    <row r="24853" spans="103:104" x14ac:dyDescent="0.3">
      <c r="CY24853" s="34" t="s">
        <v>25779</v>
      </c>
      <c r="CZ24853" s="35">
        <v>2.6708296000000002E-3</v>
      </c>
    </row>
    <row r="24854" spans="103:104" x14ac:dyDescent="0.3">
      <c r="CY24854" s="34" t="s">
        <v>25780</v>
      </c>
      <c r="CZ24854" s="35">
        <v>8.7990568857142862E-3</v>
      </c>
    </row>
    <row r="24855" spans="103:104" x14ac:dyDescent="0.3">
      <c r="CY24855" s="34" t="s">
        <v>25781</v>
      </c>
      <c r="CZ24855" s="35">
        <v>4.8720865000000002E-2</v>
      </c>
    </row>
    <row r="24856" spans="103:104" x14ac:dyDescent="0.3">
      <c r="CY24856" s="34" t="s">
        <v>25782</v>
      </c>
      <c r="CZ24856" s="35">
        <v>2.7730086000000001E-2</v>
      </c>
    </row>
    <row r="24857" spans="103:104" x14ac:dyDescent="0.3">
      <c r="CY24857" s="34" t="s">
        <v>25783</v>
      </c>
      <c r="CZ24857" s="35">
        <v>3.9220143999999998E-3</v>
      </c>
    </row>
    <row r="24858" spans="103:104" x14ac:dyDescent="0.3">
      <c r="CY24858" s="34" t="s">
        <v>25784</v>
      </c>
      <c r="CZ24858" s="35">
        <v>2.8169988000000001E-3</v>
      </c>
    </row>
    <row r="24859" spans="103:104" x14ac:dyDescent="0.3">
      <c r="CY24859" s="34" t="s">
        <v>25785</v>
      </c>
      <c r="CZ24859" s="35">
        <v>1.0131541333333334E-2</v>
      </c>
    </row>
    <row r="24860" spans="103:104" x14ac:dyDescent="0.3">
      <c r="CY24860" s="34" t="s">
        <v>25786</v>
      </c>
      <c r="CZ24860" s="35">
        <v>1.0810622799999999E-2</v>
      </c>
    </row>
    <row r="24861" spans="103:104" x14ac:dyDescent="0.3">
      <c r="CY24861" s="34" t="s">
        <v>25787</v>
      </c>
      <c r="CZ24861" s="35">
        <v>1.021329635E-2</v>
      </c>
    </row>
    <row r="24862" spans="103:104" x14ac:dyDescent="0.3">
      <c r="CY24862" s="34" t="s">
        <v>25788</v>
      </c>
      <c r="CZ24862" s="35">
        <v>1.1718177E-2</v>
      </c>
    </row>
    <row r="24863" spans="103:104" x14ac:dyDescent="0.3">
      <c r="CY24863" s="34" t="s">
        <v>25789</v>
      </c>
      <c r="CZ24863" s="35">
        <v>1.0832745866666665E-2</v>
      </c>
    </row>
    <row r="24864" spans="103:104" x14ac:dyDescent="0.3">
      <c r="CY24864" s="34" t="s">
        <v>25790</v>
      </c>
      <c r="CZ24864" s="35">
        <v>1.1951978685714286E-2</v>
      </c>
    </row>
    <row r="24865" spans="103:104" x14ac:dyDescent="0.3">
      <c r="CY24865" s="34" t="s">
        <v>25791</v>
      </c>
      <c r="CZ24865" s="35">
        <v>1.3560688E-2</v>
      </c>
    </row>
    <row r="24866" spans="103:104" x14ac:dyDescent="0.3">
      <c r="CY24866" s="34" t="s">
        <v>25792</v>
      </c>
      <c r="CZ24866" s="35">
        <v>1.5761839999999999E-2</v>
      </c>
    </row>
    <row r="24867" spans="103:104" x14ac:dyDescent="0.3">
      <c r="CY24867" s="34" t="s">
        <v>25793</v>
      </c>
      <c r="CZ24867" s="35">
        <v>1.4081776000000001E-2</v>
      </c>
    </row>
    <row r="24868" spans="103:104" x14ac:dyDescent="0.3">
      <c r="CY24868" s="34" t="s">
        <v>25794</v>
      </c>
      <c r="CZ24868" s="35">
        <v>1.5881375999999999E-2</v>
      </c>
    </row>
    <row r="24869" spans="103:104" x14ac:dyDescent="0.3">
      <c r="CY24869" s="34" t="s">
        <v>25795</v>
      </c>
      <c r="CZ24869" s="35">
        <v>1.5521456000000001E-2</v>
      </c>
    </row>
    <row r="24870" spans="103:104" x14ac:dyDescent="0.3">
      <c r="CY24870" s="34" t="s">
        <v>25796</v>
      </c>
      <c r="CZ24870" s="35">
        <v>1.6025824000000001E-2</v>
      </c>
    </row>
    <row r="24871" spans="103:104" x14ac:dyDescent="0.3">
      <c r="CY24871" s="34" t="s">
        <v>25797</v>
      </c>
      <c r="CZ24871" s="35">
        <v>1.5773400000000003E-2</v>
      </c>
    </row>
    <row r="24872" spans="103:104" x14ac:dyDescent="0.3">
      <c r="CY24872" s="34" t="s">
        <v>25798</v>
      </c>
      <c r="CZ24872" s="35">
        <v>1.74218176E-2</v>
      </c>
    </row>
    <row r="24873" spans="103:104" x14ac:dyDescent="0.3">
      <c r="CY24873" s="34" t="s">
        <v>25799</v>
      </c>
      <c r="CZ24873" s="35">
        <v>1.8270986666666669E-2</v>
      </c>
    </row>
    <row r="24874" spans="103:104" x14ac:dyDescent="0.3">
      <c r="CY24874" s="34" t="s">
        <v>25800</v>
      </c>
      <c r="CZ24874" s="35">
        <v>1.7821664444444444E-2</v>
      </c>
    </row>
    <row r="24875" spans="103:104" x14ac:dyDescent="0.3">
      <c r="CY24875" s="34" t="s">
        <v>25801</v>
      </c>
      <c r="CZ24875" s="35">
        <v>1.9313333333333335E-2</v>
      </c>
    </row>
    <row r="24876" spans="103:104" x14ac:dyDescent="0.3">
      <c r="CY24876" s="34" t="s">
        <v>25802</v>
      </c>
      <c r="CZ24876" s="35">
        <v>2.1849884444444446E-2</v>
      </c>
    </row>
    <row r="24877" spans="103:104" x14ac:dyDescent="0.3">
      <c r="CY24877" s="34" t="s">
        <v>25803</v>
      </c>
      <c r="CZ24877" s="35">
        <v>6.5593333333333337E-3</v>
      </c>
    </row>
    <row r="24878" spans="103:104" x14ac:dyDescent="0.3">
      <c r="CY24878" s="34" t="s">
        <v>25804</v>
      </c>
      <c r="CZ24878" s="35">
        <v>9.3164888888888891E-3</v>
      </c>
    </row>
    <row r="24879" spans="103:104" x14ac:dyDescent="0.3">
      <c r="CY24879" s="34" t="s">
        <v>25805</v>
      </c>
      <c r="CZ24879" s="35">
        <v>1.0060749999999999E-3</v>
      </c>
    </row>
    <row r="24880" spans="103:104" x14ac:dyDescent="0.3">
      <c r="CY24880" s="34" t="s">
        <v>25806</v>
      </c>
      <c r="CZ24880" s="35">
        <v>1.0499275789473685E-3</v>
      </c>
    </row>
    <row r="24881" spans="103:104" x14ac:dyDescent="0.3">
      <c r="CY24881" s="34" t="s">
        <v>25807</v>
      </c>
      <c r="CZ24881" s="35">
        <v>1.0831105894736843E-3</v>
      </c>
    </row>
    <row r="24882" spans="103:104" x14ac:dyDescent="0.3">
      <c r="CY24882" s="34" t="s">
        <v>25808</v>
      </c>
      <c r="CZ24882" s="35">
        <v>2.2668100000000002E-3</v>
      </c>
    </row>
    <row r="24883" spans="103:104" x14ac:dyDescent="0.3">
      <c r="CY24883" s="34" t="s">
        <v>25809</v>
      </c>
      <c r="CZ24883" s="35">
        <v>3.9561800000000001E-3</v>
      </c>
    </row>
    <row r="24884" spans="103:104" x14ac:dyDescent="0.3">
      <c r="CY24884" s="34" t="s">
        <v>25810</v>
      </c>
      <c r="CZ24884" s="35">
        <v>3.7256959999999997E-3</v>
      </c>
    </row>
    <row r="24885" spans="103:104" x14ac:dyDescent="0.3">
      <c r="CY24885" s="34" t="s">
        <v>25811</v>
      </c>
      <c r="CZ24885" s="35">
        <v>1.9022911133333334E-3</v>
      </c>
    </row>
    <row r="24886" spans="103:104" x14ac:dyDescent="0.3">
      <c r="CY24886" s="34" t="s">
        <v>25812</v>
      </c>
      <c r="CZ24886" s="35">
        <v>4.0343040000000004E-2</v>
      </c>
    </row>
    <row r="24887" spans="103:104" x14ac:dyDescent="0.3">
      <c r="CY24887" s="34" t="s">
        <v>25813</v>
      </c>
      <c r="CZ24887" s="35">
        <v>7.9892880000000006E-3</v>
      </c>
    </row>
    <row r="24888" spans="103:104" x14ac:dyDescent="0.3">
      <c r="CY24888" s="34" t="s">
        <v>25814</v>
      </c>
      <c r="CZ24888" s="35">
        <v>0</v>
      </c>
    </row>
    <row r="24889" spans="103:104" x14ac:dyDescent="0.3">
      <c r="CY24889" s="34" t="s">
        <v>25815</v>
      </c>
      <c r="CZ24889" s="35">
        <v>4.5825874999999997E-3</v>
      </c>
    </row>
    <row r="24890" spans="103:104" x14ac:dyDescent="0.3">
      <c r="CY24890" s="34" t="s">
        <v>25816</v>
      </c>
      <c r="CZ24890" s="35">
        <v>5.3558435999999994E-2</v>
      </c>
    </row>
    <row r="24891" spans="103:104" x14ac:dyDescent="0.3">
      <c r="CY24891" s="34" t="s">
        <v>25817</v>
      </c>
      <c r="CZ24891" s="35">
        <v>2.4791666666666668E-3</v>
      </c>
    </row>
    <row r="24892" spans="103:104" x14ac:dyDescent="0.3">
      <c r="CY24892" s="34" t="s">
        <v>25818</v>
      </c>
      <c r="CZ24892" s="35">
        <v>1.04923368E-3</v>
      </c>
    </row>
    <row r="24893" spans="103:104" x14ac:dyDescent="0.3">
      <c r="CY24893" s="34" t="s">
        <v>25819</v>
      </c>
      <c r="CZ24893" s="35">
        <v>2.5297982399999997E-3</v>
      </c>
    </row>
    <row r="24894" spans="103:104" x14ac:dyDescent="0.3">
      <c r="CY24894" s="34" t="s">
        <v>25820</v>
      </c>
      <c r="CZ24894" s="35">
        <v>3.9404080000000003E-3</v>
      </c>
    </row>
    <row r="24895" spans="103:104" x14ac:dyDescent="0.3">
      <c r="CY24895" s="34" t="s">
        <v>25821</v>
      </c>
      <c r="CZ24895" s="35">
        <v>3.4017684999999992E-2</v>
      </c>
    </row>
    <row r="24896" spans="103:104" x14ac:dyDescent="0.3">
      <c r="CY24896" s="34" t="s">
        <v>25822</v>
      </c>
      <c r="CZ24896" s="35">
        <v>6.2267230500000006E-3</v>
      </c>
    </row>
    <row r="24897" spans="103:104" x14ac:dyDescent="0.3">
      <c r="CY24897" s="34" t="s">
        <v>25823</v>
      </c>
      <c r="CZ24897" s="35">
        <v>0.13503472842105263</v>
      </c>
    </row>
    <row r="24898" spans="103:104" x14ac:dyDescent="0.3">
      <c r="CY24898" s="34" t="s">
        <v>25824</v>
      </c>
      <c r="CZ24898" s="35">
        <v>1.1773642738461538E-3</v>
      </c>
    </row>
    <row r="24899" spans="103:104" x14ac:dyDescent="0.3">
      <c r="CY24899" s="34" t="s">
        <v>25825</v>
      </c>
      <c r="CZ24899" s="35">
        <v>1.2654304166666666E-2</v>
      </c>
    </row>
    <row r="24900" spans="103:104" x14ac:dyDescent="0.3">
      <c r="CY24900" s="34" t="s">
        <v>25826</v>
      </c>
      <c r="CZ24900" s="35">
        <v>8.2825329166666684E-3</v>
      </c>
    </row>
    <row r="24901" spans="103:104" x14ac:dyDescent="0.3">
      <c r="CY24901" s="34" t="s">
        <v>25827</v>
      </c>
      <c r="CZ24901" s="35">
        <v>0.24680007999999998</v>
      </c>
    </row>
    <row r="24902" spans="103:104" x14ac:dyDescent="0.3">
      <c r="CY24902" s="34" t="s">
        <v>25828</v>
      </c>
      <c r="CZ24902" s="35">
        <v>0.21725721349999999</v>
      </c>
    </row>
    <row r="24903" spans="103:104" x14ac:dyDescent="0.3">
      <c r="CY24903" s="34" t="s">
        <v>25829</v>
      </c>
      <c r="CZ24903" s="35">
        <v>0.216698736</v>
      </c>
    </row>
    <row r="24904" spans="103:104" x14ac:dyDescent="0.3">
      <c r="CY24904" s="34" t="s">
        <v>25830</v>
      </c>
      <c r="CZ24904" s="35">
        <v>0.22693264549999997</v>
      </c>
    </row>
    <row r="24905" spans="103:104" x14ac:dyDescent="0.3">
      <c r="CY24905" s="34" t="s">
        <v>25831</v>
      </c>
      <c r="CZ24905" s="35">
        <v>1.5497743200000001E-3</v>
      </c>
    </row>
    <row r="24906" spans="103:104" x14ac:dyDescent="0.3">
      <c r="CY24906" s="34" t="s">
        <v>25832</v>
      </c>
      <c r="CZ24906" s="35">
        <v>1.92800794E-2</v>
      </c>
    </row>
    <row r="24907" spans="103:104" x14ac:dyDescent="0.3">
      <c r="CY24907" s="34" t="s">
        <v>25833</v>
      </c>
      <c r="CZ24907" s="35">
        <v>2.1961010924999996E-2</v>
      </c>
    </row>
    <row r="24908" spans="103:104" x14ac:dyDescent="0.3">
      <c r="CY24908" s="34" t="s">
        <v>25834</v>
      </c>
      <c r="CZ24908" s="35">
        <v>1.9724971499359999E-2</v>
      </c>
    </row>
    <row r="24909" spans="103:104" x14ac:dyDescent="0.3">
      <c r="CY24909" s="34" t="s">
        <v>25835</v>
      </c>
      <c r="CZ24909" s="35">
        <v>7.6271545999999996E-2</v>
      </c>
    </row>
    <row r="24910" spans="103:104" x14ac:dyDescent="0.3">
      <c r="CY24910" s="34" t="s">
        <v>25836</v>
      </c>
      <c r="CZ24910" s="35">
        <v>1.5395836500000001E-2</v>
      </c>
    </row>
    <row r="24911" spans="103:104" x14ac:dyDescent="0.3">
      <c r="CY24911" s="34" t="s">
        <v>25837</v>
      </c>
      <c r="CZ24911" s="35">
        <v>0.15891789331999998</v>
      </c>
    </row>
    <row r="24912" spans="103:104" x14ac:dyDescent="0.3">
      <c r="CY24912" s="34" t="s">
        <v>25838</v>
      </c>
      <c r="CZ24912" s="35">
        <v>7.0562366666666682E-2</v>
      </c>
    </row>
    <row r="24913" spans="103:104" x14ac:dyDescent="0.3">
      <c r="CY24913" s="34" t="s">
        <v>25839</v>
      </c>
      <c r="CZ24913" s="35">
        <v>6.1337350314285714E-2</v>
      </c>
    </row>
    <row r="24914" spans="103:104" x14ac:dyDescent="0.3">
      <c r="CY24914" s="34" t="s">
        <v>25840</v>
      </c>
      <c r="CZ24914" s="35">
        <v>6.549569999999999E-2</v>
      </c>
    </row>
    <row r="24915" spans="103:104" x14ac:dyDescent="0.3">
      <c r="CY24915" s="34" t="s">
        <v>25841</v>
      </c>
      <c r="CZ24915" s="35">
        <v>0.10264020666</v>
      </c>
    </row>
    <row r="24916" spans="103:104" x14ac:dyDescent="0.3">
      <c r="CY24916" s="34" t="s">
        <v>25842</v>
      </c>
      <c r="CZ24916" s="35">
        <v>4.824673933333333E-2</v>
      </c>
    </row>
    <row r="24917" spans="103:104" x14ac:dyDescent="0.3">
      <c r="CY24917" s="34" t="s">
        <v>25843</v>
      </c>
      <c r="CZ24917" s="35">
        <v>4.8975829999999996E-3</v>
      </c>
    </row>
    <row r="24918" spans="103:104" x14ac:dyDescent="0.3">
      <c r="CY24918" s="34" t="s">
        <v>25844</v>
      </c>
      <c r="CZ24918" s="35">
        <v>5.2391391066666662E-3</v>
      </c>
    </row>
    <row r="24919" spans="103:104" x14ac:dyDescent="0.3">
      <c r="CY24919" s="34" t="s">
        <v>25845</v>
      </c>
      <c r="CZ24919" s="35">
        <v>5.2391391066666662E-3</v>
      </c>
    </row>
    <row r="24920" spans="103:104" x14ac:dyDescent="0.3">
      <c r="CY24920" s="34" t="s">
        <v>25846</v>
      </c>
      <c r="CZ24920" s="35">
        <v>3.5933626000000003E-2</v>
      </c>
    </row>
    <row r="24921" spans="103:104" x14ac:dyDescent="0.3">
      <c r="CY24921" s="34" t="s">
        <v>25847</v>
      </c>
      <c r="CZ24921" s="35">
        <v>8.1459672999999993E-3</v>
      </c>
    </row>
    <row r="24922" spans="103:104" x14ac:dyDescent="0.3">
      <c r="CY24922" s="34" t="s">
        <v>25848</v>
      </c>
      <c r="CZ24922" s="35">
        <v>0.209807992</v>
      </c>
    </row>
    <row r="24923" spans="103:104" x14ac:dyDescent="0.3">
      <c r="CY24923" s="34" t="s">
        <v>25849</v>
      </c>
      <c r="CZ24923" s="35">
        <v>0.40676836499999997</v>
      </c>
    </row>
    <row r="24924" spans="103:104" x14ac:dyDescent="0.3">
      <c r="CY24924" s="34" t="s">
        <v>25850</v>
      </c>
      <c r="CZ24924" s="35">
        <v>0.40676836499999997</v>
      </c>
    </row>
    <row r="24925" spans="103:104" x14ac:dyDescent="0.3">
      <c r="CY24925" s="34" t="s">
        <v>25851</v>
      </c>
      <c r="CZ24925" s="35">
        <v>0.51955236500000013</v>
      </c>
    </row>
    <row r="24926" spans="103:104" x14ac:dyDescent="0.3">
      <c r="CY24926" s="34" t="s">
        <v>25852</v>
      </c>
      <c r="CZ24926" s="35">
        <v>0.33992052500000003</v>
      </c>
    </row>
    <row r="24927" spans="103:104" x14ac:dyDescent="0.3">
      <c r="CY24927" s="34" t="s">
        <v>25853</v>
      </c>
      <c r="CZ24927" s="35">
        <v>0.35310692999999999</v>
      </c>
    </row>
    <row r="24928" spans="103:104" x14ac:dyDescent="0.3">
      <c r="CY24928" s="34" t="s">
        <v>25854</v>
      </c>
      <c r="CZ24928" s="35">
        <v>0.35215716499999999</v>
      </c>
    </row>
    <row r="24929" spans="103:104" x14ac:dyDescent="0.3">
      <c r="CY24929" s="34" t="s">
        <v>25855</v>
      </c>
      <c r="CZ24929" s="35">
        <v>6.4281709333333339E-2</v>
      </c>
    </row>
    <row r="24930" spans="103:104" x14ac:dyDescent="0.3">
      <c r="CY24930" s="34" t="s">
        <v>25856</v>
      </c>
      <c r="CZ24930" s="35">
        <v>6.4281709333333339E-2</v>
      </c>
    </row>
    <row r="24931" spans="103:104" x14ac:dyDescent="0.3">
      <c r="CY24931" s="34" t="s">
        <v>25857</v>
      </c>
      <c r="CZ24931" s="35">
        <v>2.8923208421052629E-2</v>
      </c>
    </row>
    <row r="24932" spans="103:104" x14ac:dyDescent="0.3">
      <c r="CY24932" s="34" t="s">
        <v>25858</v>
      </c>
      <c r="CZ24932" s="35">
        <v>6.2863677999999992E-2</v>
      </c>
    </row>
    <row r="24933" spans="103:104" x14ac:dyDescent="0.3">
      <c r="CY24933" s="34" t="s">
        <v>25859</v>
      </c>
      <c r="CZ24933" s="35">
        <v>0.34674879999999997</v>
      </c>
    </row>
    <row r="24934" spans="103:104" x14ac:dyDescent="0.3">
      <c r="CY24934" s="34" t="s">
        <v>25860</v>
      </c>
      <c r="CZ24934" s="35">
        <v>0.59814668000000004</v>
      </c>
    </row>
    <row r="24935" spans="103:104" x14ac:dyDescent="0.3">
      <c r="CY24935" s="34" t="s">
        <v>25861</v>
      </c>
      <c r="CZ24935" s="35">
        <v>0.30770979999999998</v>
      </c>
    </row>
    <row r="24936" spans="103:104" x14ac:dyDescent="0.3">
      <c r="CY24936" s="34" t="s">
        <v>25862</v>
      </c>
      <c r="CZ24936" s="35">
        <v>0.13449944799999999</v>
      </c>
    </row>
    <row r="24937" spans="103:104" x14ac:dyDescent="0.3">
      <c r="CY24937" s="34" t="s">
        <v>25863</v>
      </c>
      <c r="CZ24937" s="35">
        <v>0.784659475</v>
      </c>
    </row>
    <row r="24938" spans="103:104" x14ac:dyDescent="0.3">
      <c r="CY24938" s="34" t="s">
        <v>25864</v>
      </c>
      <c r="CZ24938" s="35">
        <v>1.2632927249999999</v>
      </c>
    </row>
    <row r="24939" spans="103:104" x14ac:dyDescent="0.3">
      <c r="CY24939" s="34" t="s">
        <v>25865</v>
      </c>
      <c r="CZ24939" s="35">
        <v>1.5002519999999999</v>
      </c>
    </row>
    <row r="24940" spans="103:104" x14ac:dyDescent="0.3">
      <c r="CY24940" s="34" t="s">
        <v>25866</v>
      </c>
      <c r="CZ24940" s="35">
        <v>5.7509220999999991E-3</v>
      </c>
    </row>
    <row r="24941" spans="103:104" x14ac:dyDescent="0.3">
      <c r="CY24941" s="34" t="s">
        <v>25867</v>
      </c>
      <c r="CZ24941" s="35">
        <v>0.17861650000000001</v>
      </c>
    </row>
    <row r="24942" spans="103:104" x14ac:dyDescent="0.3">
      <c r="CY24942" s="34" t="s">
        <v>25868</v>
      </c>
      <c r="CZ24942" s="35">
        <v>0.52807576000000001</v>
      </c>
    </row>
    <row r="24943" spans="103:104" x14ac:dyDescent="0.3">
      <c r="CY24943" s="34" t="s">
        <v>25869</v>
      </c>
      <c r="CZ24943" s="35">
        <v>0.47118860000000001</v>
      </c>
    </row>
    <row r="24944" spans="103:104" x14ac:dyDescent="0.3">
      <c r="CY24944" s="34" t="s">
        <v>25870</v>
      </c>
      <c r="CZ24944" s="35">
        <v>0.12574666779999999</v>
      </c>
    </row>
    <row r="24945" spans="103:104" x14ac:dyDescent="0.3">
      <c r="CY24945" s="34" t="s">
        <v>25871</v>
      </c>
      <c r="CZ24945" s="35">
        <v>9.5706579175000001E-2</v>
      </c>
    </row>
    <row r="24946" spans="103:104" x14ac:dyDescent="0.3">
      <c r="CY24946" s="34" t="s">
        <v>25872</v>
      </c>
      <c r="CZ24946" s="35">
        <v>7.8334303333333341E-2</v>
      </c>
    </row>
    <row r="24947" spans="103:104" x14ac:dyDescent="0.3">
      <c r="CY24947" s="34" t="s">
        <v>25873</v>
      </c>
      <c r="CZ24947" s="35">
        <v>9.2545679999999995E-3</v>
      </c>
    </row>
    <row r="24948" spans="103:104" x14ac:dyDescent="0.3">
      <c r="CY24948" s="34" t="s">
        <v>25874</v>
      </c>
      <c r="CZ24948" s="35">
        <v>7.8810730000000006E-3</v>
      </c>
    </row>
    <row r="24949" spans="103:104" x14ac:dyDescent="0.3">
      <c r="CY24949" s="34" t="s">
        <v>25875</v>
      </c>
      <c r="CZ24949" s="35">
        <v>1.3423742999999998E-2</v>
      </c>
    </row>
    <row r="24950" spans="103:104" x14ac:dyDescent="0.3">
      <c r="CY24950" s="34" t="s">
        <v>25876</v>
      </c>
      <c r="CZ24950" s="35">
        <v>1.4463160399999999E-2</v>
      </c>
    </row>
    <row r="24951" spans="103:104" x14ac:dyDescent="0.3">
      <c r="CY24951" s="34" t="s">
        <v>25877</v>
      </c>
      <c r="CZ24951" s="35">
        <v>6.3436595999999998E-2</v>
      </c>
    </row>
    <row r="24952" spans="103:104" x14ac:dyDescent="0.3">
      <c r="CY24952" s="34" t="s">
        <v>25878</v>
      </c>
      <c r="CZ24952" s="35">
        <v>7.892629000000001E-2</v>
      </c>
    </row>
    <row r="24953" spans="103:104" x14ac:dyDescent="0.3">
      <c r="CY24953" s="34" t="s">
        <v>25879</v>
      </c>
      <c r="CZ24953" s="35">
        <v>0.19810320000000001</v>
      </c>
    </row>
    <row r="24954" spans="103:104" x14ac:dyDescent="0.3">
      <c r="CY24954" s="34" t="s">
        <v>25880</v>
      </c>
      <c r="CZ24954" s="35">
        <v>0.21243959999999998</v>
      </c>
    </row>
    <row r="24955" spans="103:104" x14ac:dyDescent="0.3">
      <c r="CY24955" s="34" t="s">
        <v>25881</v>
      </c>
      <c r="CZ24955" s="35">
        <v>0.21243959999999998</v>
      </c>
    </row>
    <row r="24956" spans="103:104" x14ac:dyDescent="0.3">
      <c r="CY24956" s="34" t="s">
        <v>25882</v>
      </c>
      <c r="CZ24956" s="35">
        <v>8.7475000000000001E-3</v>
      </c>
    </row>
    <row r="24957" spans="103:104" x14ac:dyDescent="0.3">
      <c r="CY24957" s="34" t="s">
        <v>25883</v>
      </c>
      <c r="CZ24957" s="35">
        <v>1.7691338E-3</v>
      </c>
    </row>
    <row r="24958" spans="103:104" x14ac:dyDescent="0.3">
      <c r="CY24958" s="34" t="s">
        <v>25884</v>
      </c>
      <c r="CZ24958" s="35">
        <v>1.2107711555555553E-2</v>
      </c>
    </row>
    <row r="24959" spans="103:104" x14ac:dyDescent="0.3">
      <c r="CY24959" s="34" t="s">
        <v>25885</v>
      </c>
      <c r="CZ24959" s="35">
        <v>0.26855606000000004</v>
      </c>
    </row>
    <row r="24960" spans="103:104" x14ac:dyDescent="0.3">
      <c r="CY24960" s="34" t="s">
        <v>25886</v>
      </c>
      <c r="CZ24960" s="35">
        <v>0.2609495</v>
      </c>
    </row>
    <row r="24961" spans="103:104" x14ac:dyDescent="0.3">
      <c r="CY24961" s="34" t="s">
        <v>25887</v>
      </c>
      <c r="CZ24961" s="35">
        <v>2.2314643999999998E-2</v>
      </c>
    </row>
    <row r="24962" spans="103:104" x14ac:dyDescent="0.3">
      <c r="CY24962" s="34" t="s">
        <v>25888</v>
      </c>
      <c r="CZ24962" s="35">
        <v>5.8162798199999997E-2</v>
      </c>
    </row>
    <row r="24963" spans="103:104" x14ac:dyDescent="0.3">
      <c r="CY24963" s="34" t="s">
        <v>25889</v>
      </c>
      <c r="CZ24963" s="35">
        <v>3.8747271999999999E-2</v>
      </c>
    </row>
    <row r="24964" spans="103:104" x14ac:dyDescent="0.3">
      <c r="CY24964" s="34" t="s">
        <v>25890</v>
      </c>
      <c r="CZ24964" s="35">
        <v>6.7378606219999998E-2</v>
      </c>
    </row>
    <row r="24965" spans="103:104" x14ac:dyDescent="0.3">
      <c r="CY24965" s="34" t="s">
        <v>25891</v>
      </c>
      <c r="CZ24965" s="35">
        <v>5.1691715076923074E-4</v>
      </c>
    </row>
    <row r="24966" spans="103:104" x14ac:dyDescent="0.3">
      <c r="CY24966" s="34" t="s">
        <v>25892</v>
      </c>
      <c r="CZ24966" s="35">
        <v>4.5548138800000006E-4</v>
      </c>
    </row>
    <row r="24967" spans="103:104" x14ac:dyDescent="0.3">
      <c r="CY24967" s="34" t="s">
        <v>25893</v>
      </c>
      <c r="CZ24967" s="35">
        <v>9.8411200000000018E-3</v>
      </c>
    </row>
    <row r="24968" spans="103:104" x14ac:dyDescent="0.3">
      <c r="CY24968" s="34" t="s">
        <v>25894</v>
      </c>
      <c r="CZ24968" s="35">
        <v>0.38801107866666673</v>
      </c>
    </row>
    <row r="24969" spans="103:104" x14ac:dyDescent="0.3">
      <c r="CY24969" s="34" t="s">
        <v>25895</v>
      </c>
      <c r="CZ24969" s="35">
        <v>0.28480691200000002</v>
      </c>
    </row>
    <row r="24970" spans="103:104" x14ac:dyDescent="0.3">
      <c r="CY24970" s="34" t="s">
        <v>25896</v>
      </c>
      <c r="CZ24970" s="35">
        <v>0.22226230400000002</v>
      </c>
    </row>
    <row r="24971" spans="103:104" x14ac:dyDescent="0.3">
      <c r="CY24971" s="34" t="s">
        <v>25897</v>
      </c>
      <c r="CZ24971" s="35">
        <v>1.3814748E-2</v>
      </c>
    </row>
    <row r="24972" spans="103:104" x14ac:dyDescent="0.3">
      <c r="CY24972" s="34" t="s">
        <v>25898</v>
      </c>
      <c r="CZ24972" s="35">
        <v>0.15614259999999999</v>
      </c>
    </row>
    <row r="24973" spans="103:104" x14ac:dyDescent="0.3">
      <c r="CY24973" s="34" t="s">
        <v>25899</v>
      </c>
      <c r="CZ24973" s="35">
        <v>3.7339559199999997E-2</v>
      </c>
    </row>
    <row r="24974" spans="103:104" x14ac:dyDescent="0.3">
      <c r="CY24974" s="34" t="s">
        <v>25900</v>
      </c>
      <c r="CZ24974" s="35">
        <v>0.56210706999999993</v>
      </c>
    </row>
    <row r="24975" spans="103:104" x14ac:dyDescent="0.3">
      <c r="CY24975" s="34" t="s">
        <v>25901</v>
      </c>
      <c r="CZ24975" s="35">
        <v>0.55290706999999994</v>
      </c>
    </row>
    <row r="24976" spans="103:104" x14ac:dyDescent="0.3">
      <c r="CY24976" s="34" t="s">
        <v>25902</v>
      </c>
      <c r="CZ24976" s="35">
        <v>8.9226841271650009E-3</v>
      </c>
    </row>
    <row r="24977" spans="103:104" x14ac:dyDescent="0.3">
      <c r="CY24977" s="34" t="s">
        <v>25903</v>
      </c>
      <c r="CZ24977" s="35">
        <v>7.3936112653749993E-3</v>
      </c>
    </row>
    <row r="24978" spans="103:104" x14ac:dyDescent="0.3">
      <c r="CY24978" s="34" t="s">
        <v>25904</v>
      </c>
      <c r="CZ24978" s="35">
        <v>9.1462560000000002E-3</v>
      </c>
    </row>
    <row r="24979" spans="103:104" x14ac:dyDescent="0.3">
      <c r="CY24979" s="34" t="s">
        <v>25905</v>
      </c>
      <c r="CZ24979" s="35">
        <v>0.12067030144</v>
      </c>
    </row>
    <row r="24980" spans="103:104" x14ac:dyDescent="0.3">
      <c r="CY24980" s="34" t="s">
        <v>25906</v>
      </c>
      <c r="CZ24980" s="35">
        <v>0.15120830000000002</v>
      </c>
    </row>
    <row r="24981" spans="103:104" x14ac:dyDescent="0.3">
      <c r="CY24981" s="34" t="s">
        <v>25907</v>
      </c>
      <c r="CZ24981" s="35">
        <v>8.6021460000000008E-2</v>
      </c>
    </row>
    <row r="24982" spans="103:104" x14ac:dyDescent="0.3">
      <c r="CY24982" s="34" t="s">
        <v>25908</v>
      </c>
      <c r="CZ24982" s="35">
        <v>9.6490019999999996E-2</v>
      </c>
    </row>
    <row r="24983" spans="103:104" x14ac:dyDescent="0.3">
      <c r="CY24983" s="34" t="s">
        <v>25909</v>
      </c>
      <c r="CZ24983" s="35">
        <v>5.3098742666666671E-2</v>
      </c>
    </row>
    <row r="24984" spans="103:104" x14ac:dyDescent="0.3">
      <c r="CY24984" s="34" t="s">
        <v>25910</v>
      </c>
      <c r="CZ24984" s="35">
        <v>3.3593690000000002E-2</v>
      </c>
    </row>
    <row r="24985" spans="103:104" x14ac:dyDescent="0.3">
      <c r="CY24985" s="34" t="s">
        <v>25911</v>
      </c>
      <c r="CZ24985" s="35">
        <v>3.3593690000000002E-2</v>
      </c>
    </row>
    <row r="24986" spans="103:104" x14ac:dyDescent="0.3">
      <c r="CY24986" s="34" t="s">
        <v>25912</v>
      </c>
      <c r="CZ24986" s="35">
        <v>8.3275967199999995E-2</v>
      </c>
    </row>
    <row r="24987" spans="103:104" x14ac:dyDescent="0.3">
      <c r="CY24987" s="34" t="s">
        <v>25913</v>
      </c>
      <c r="CZ24987" s="35">
        <v>7.1334393299999993E-2</v>
      </c>
    </row>
    <row r="24988" spans="103:104" x14ac:dyDescent="0.3">
      <c r="CY24988" s="34" t="s">
        <v>25914</v>
      </c>
      <c r="CZ24988" s="35">
        <v>7.7041700000000006E-3</v>
      </c>
    </row>
    <row r="24989" spans="103:104" x14ac:dyDescent="0.3">
      <c r="CY24989" s="34" t="s">
        <v>25915</v>
      </c>
      <c r="CZ24989" s="35">
        <v>4.3254879999999996E-2</v>
      </c>
    </row>
    <row r="24990" spans="103:104" x14ac:dyDescent="0.3">
      <c r="CY24990" s="34" t="s">
        <v>25916</v>
      </c>
      <c r="CZ24990" s="35">
        <v>9.5899669999999992E-2</v>
      </c>
    </row>
    <row r="24991" spans="103:104" x14ac:dyDescent="0.3">
      <c r="CY24991" s="34" t="s">
        <v>25917</v>
      </c>
      <c r="CZ24991" s="35">
        <v>7.5873769111111117E-3</v>
      </c>
    </row>
    <row r="24992" spans="103:104" x14ac:dyDescent="0.3">
      <c r="CY24992" s="34" t="s">
        <v>25918</v>
      </c>
      <c r="CZ24992" s="35">
        <v>1.1589539999999998E-3</v>
      </c>
    </row>
    <row r="24993" spans="103:104" x14ac:dyDescent="0.3">
      <c r="CY24993" s="34" t="s">
        <v>25919</v>
      </c>
      <c r="CZ24993" s="35">
        <v>2.2637215199999999E-3</v>
      </c>
    </row>
    <row r="24994" spans="103:104" x14ac:dyDescent="0.3">
      <c r="CY24994" s="34" t="s">
        <v>25920</v>
      </c>
      <c r="CZ24994" s="35">
        <v>1.9939156507692308E-2</v>
      </c>
    </row>
    <row r="24995" spans="103:104" x14ac:dyDescent="0.3">
      <c r="CY24995" s="34" t="s">
        <v>25921</v>
      </c>
      <c r="CZ24995" s="35">
        <v>2.9026000000000003E-4</v>
      </c>
    </row>
    <row r="24996" spans="103:104" x14ac:dyDescent="0.3">
      <c r="CY24996" s="34" t="s">
        <v>25922</v>
      </c>
      <c r="CZ24996" s="35">
        <v>0.14159948500000002</v>
      </c>
    </row>
    <row r="24997" spans="103:104" x14ac:dyDescent="0.3">
      <c r="CY24997" s="34" t="s">
        <v>25923</v>
      </c>
      <c r="CZ24997" s="35">
        <v>0.15173834105263159</v>
      </c>
    </row>
    <row r="24998" spans="103:104" x14ac:dyDescent="0.3">
      <c r="CY24998" s="34" t="s">
        <v>25924</v>
      </c>
      <c r="CZ24998" s="35">
        <v>9.6821581052631583E-2</v>
      </c>
    </row>
    <row r="24999" spans="103:104" x14ac:dyDescent="0.3">
      <c r="CY24999" s="34" t="s">
        <v>25925</v>
      </c>
      <c r="CZ24999" s="35">
        <v>8.332182E-4</v>
      </c>
    </row>
    <row r="25000" spans="103:104" x14ac:dyDescent="0.3">
      <c r="CY25000" s="34" t="s">
        <v>25926</v>
      </c>
      <c r="CZ25000" s="35">
        <v>1.250802694736842E-2</v>
      </c>
    </row>
    <row r="25001" spans="103:104" x14ac:dyDescent="0.3">
      <c r="CY25001" s="34" t="s">
        <v>25927</v>
      </c>
      <c r="CZ25001" s="35">
        <v>2.3334435999999997E-2</v>
      </c>
    </row>
    <row r="25002" spans="103:104" x14ac:dyDescent="0.3">
      <c r="CY25002" s="34" t="s">
        <v>25928</v>
      </c>
      <c r="CZ25002" s="35">
        <v>2.0668099999999998E-2</v>
      </c>
    </row>
    <row r="25003" spans="103:104" x14ac:dyDescent="0.3">
      <c r="CY25003" s="34" t="s">
        <v>25929</v>
      </c>
      <c r="CZ25003" s="35">
        <v>5.9252800000000008E-2</v>
      </c>
    </row>
    <row r="25004" spans="103:104" x14ac:dyDescent="0.3">
      <c r="CY25004" s="34" t="s">
        <v>25930</v>
      </c>
      <c r="CZ25004" s="35">
        <v>2.1159999999999999E-4</v>
      </c>
    </row>
    <row r="25005" spans="103:104" x14ac:dyDescent="0.3">
      <c r="CY25005" s="34" t="s">
        <v>25931</v>
      </c>
      <c r="CZ25005" s="35">
        <v>1.2988959999999999E-3</v>
      </c>
    </row>
    <row r="25006" spans="103:104" x14ac:dyDescent="0.3">
      <c r="CY25006" s="34" t="s">
        <v>25932</v>
      </c>
      <c r="CZ25006" s="35">
        <v>1.0662891111111112E-3</v>
      </c>
    </row>
    <row r="25007" spans="103:104" x14ac:dyDescent="0.3">
      <c r="CY25007" s="34" t="s">
        <v>25933</v>
      </c>
      <c r="CZ25007" s="35">
        <v>0.37497643266666669</v>
      </c>
    </row>
    <row r="25008" spans="103:104" x14ac:dyDescent="0.3">
      <c r="CY25008" s="34" t="s">
        <v>25934</v>
      </c>
      <c r="CZ25008" s="35">
        <v>7.6742619124999994E-2</v>
      </c>
    </row>
    <row r="25009" spans="103:104" x14ac:dyDescent="0.3">
      <c r="CY25009" s="34" t="s">
        <v>25935</v>
      </c>
      <c r="CZ25009" s="35">
        <v>1.4016437500000001E-2</v>
      </c>
    </row>
    <row r="25010" spans="103:104" x14ac:dyDescent="0.3">
      <c r="CY25010" s="34" t="s">
        <v>25936</v>
      </c>
      <c r="CZ25010" s="35">
        <v>5.377453124999999E-3</v>
      </c>
    </row>
    <row r="25011" spans="103:104" x14ac:dyDescent="0.3">
      <c r="CY25011" s="34" t="s">
        <v>25937</v>
      </c>
      <c r="CZ25011" s="35">
        <v>7.5215250000000003E-3</v>
      </c>
    </row>
    <row r="25012" spans="103:104" x14ac:dyDescent="0.3">
      <c r="CY25012" s="34" t="s">
        <v>25938</v>
      </c>
      <c r="CZ25012" s="35">
        <v>8.4098625000000003E-3</v>
      </c>
    </row>
    <row r="25013" spans="103:104" x14ac:dyDescent="0.3">
      <c r="CY25013" s="34" t="s">
        <v>25939</v>
      </c>
      <c r="CZ25013" s="35">
        <v>3.3976083750000004E-2</v>
      </c>
    </row>
    <row r="25014" spans="103:104" x14ac:dyDescent="0.3">
      <c r="CY25014" s="34" t="s">
        <v>25940</v>
      </c>
      <c r="CZ25014" s="35">
        <v>4.6516152999999998E-2</v>
      </c>
    </row>
    <row r="25015" spans="103:104" x14ac:dyDescent="0.3">
      <c r="CY25015" s="34" t="s">
        <v>25941</v>
      </c>
      <c r="CZ25015" s="35">
        <v>3.5242799999999998E-2</v>
      </c>
    </row>
    <row r="25016" spans="103:104" x14ac:dyDescent="0.3">
      <c r="CY25016" s="34" t="s">
        <v>25942</v>
      </c>
      <c r="CZ25016" s="35">
        <v>1.8248741333333336E-2</v>
      </c>
    </row>
    <row r="25017" spans="103:104" x14ac:dyDescent="0.3">
      <c r="CY25017" s="34" t="s">
        <v>25943</v>
      </c>
      <c r="CZ25017" s="35">
        <v>1.4396165333333332E-2</v>
      </c>
    </row>
    <row r="25018" spans="103:104" x14ac:dyDescent="0.3">
      <c r="CY25018" s="34" t="s">
        <v>25944</v>
      </c>
      <c r="CZ25018" s="35">
        <v>0.2325651</v>
      </c>
    </row>
    <row r="25019" spans="103:104" x14ac:dyDescent="0.3">
      <c r="CY25019" s="34" t="s">
        <v>25945</v>
      </c>
      <c r="CZ25019" s="35">
        <v>0.17496765200000003</v>
      </c>
    </row>
    <row r="25020" spans="103:104" x14ac:dyDescent="0.3">
      <c r="CY25020" s="34" t="s">
        <v>25946</v>
      </c>
      <c r="CZ25020" s="35">
        <v>2.9033296E-2</v>
      </c>
    </row>
    <row r="25021" spans="103:104" x14ac:dyDescent="0.3">
      <c r="CY25021" s="34" t="s">
        <v>25947</v>
      </c>
      <c r="CZ25021" s="35">
        <v>1.1866854800000002E-2</v>
      </c>
    </row>
    <row r="25022" spans="103:104" x14ac:dyDescent="0.3">
      <c r="CY25022" s="34" t="s">
        <v>25948</v>
      </c>
      <c r="CZ25022" s="35">
        <v>4.2102399999999996E-3</v>
      </c>
    </row>
    <row r="25023" spans="103:104" x14ac:dyDescent="0.3">
      <c r="CY25023" s="34" t="s">
        <v>25949</v>
      </c>
      <c r="CZ25023" s="35">
        <v>2.2440984615384612E-2</v>
      </c>
    </row>
    <row r="25024" spans="103:104" x14ac:dyDescent="0.3">
      <c r="CY25024" s="34" t="s">
        <v>25950</v>
      </c>
      <c r="CZ25024" s="35">
        <v>2.082608E-2</v>
      </c>
    </row>
    <row r="25025" spans="103:104" x14ac:dyDescent="0.3">
      <c r="CY25025" s="34" t="s">
        <v>25951</v>
      </c>
      <c r="CZ25025" s="35">
        <v>0.12751106666666667</v>
      </c>
    </row>
    <row r="25026" spans="103:104" x14ac:dyDescent="0.3">
      <c r="CY25026" s="34" t="s">
        <v>25952</v>
      </c>
      <c r="CZ25026" s="35">
        <v>2.9629412000000001E-4</v>
      </c>
    </row>
    <row r="25027" spans="103:104" x14ac:dyDescent="0.3">
      <c r="CY25027" s="34" t="s">
        <v>25953</v>
      </c>
      <c r="CZ25027" s="35">
        <v>1.0461284E-2</v>
      </c>
    </row>
    <row r="25028" spans="103:104" x14ac:dyDescent="0.3">
      <c r="CY25028" s="34" t="s">
        <v>25954</v>
      </c>
      <c r="CZ25028" s="35">
        <v>6.6362733340000002E-3</v>
      </c>
    </row>
    <row r="25029" spans="103:104" x14ac:dyDescent="0.3">
      <c r="CY25029" s="34" t="s">
        <v>25955</v>
      </c>
      <c r="CZ25029" s="35">
        <v>9.697361714285712E-3</v>
      </c>
    </row>
    <row r="25030" spans="103:104" x14ac:dyDescent="0.3">
      <c r="CY25030" s="34" t="s">
        <v>25956</v>
      </c>
      <c r="CZ25030" s="35">
        <v>9.6973617142857137E-3</v>
      </c>
    </row>
    <row r="25031" spans="103:104" x14ac:dyDescent="0.3">
      <c r="CY25031" s="34" t="s">
        <v>25957</v>
      </c>
      <c r="CZ25031" s="35">
        <v>2.3460000000000001E-4</v>
      </c>
    </row>
    <row r="25032" spans="103:104" x14ac:dyDescent="0.3">
      <c r="CY25032" s="34" t="s">
        <v>25958</v>
      </c>
      <c r="CZ25032" s="35">
        <v>0.1505295511111111</v>
      </c>
    </row>
    <row r="25033" spans="103:104" x14ac:dyDescent="0.3">
      <c r="CY25033" s="34" t="s">
        <v>25959</v>
      </c>
      <c r="CZ25033" s="35">
        <v>2.450863E-2</v>
      </c>
    </row>
    <row r="25034" spans="103:104" x14ac:dyDescent="0.3">
      <c r="CY25034" s="34" t="s">
        <v>25960</v>
      </c>
      <c r="CZ25034" s="35">
        <v>0.16936503999999999</v>
      </c>
    </row>
    <row r="25035" spans="103:104" x14ac:dyDescent="0.3">
      <c r="CY25035" s="34" t="s">
        <v>25961</v>
      </c>
      <c r="CZ25035" s="35">
        <v>7.4025625000000012E-3</v>
      </c>
    </row>
    <row r="25036" spans="103:104" x14ac:dyDescent="0.3">
      <c r="CY25036" s="34" t="s">
        <v>25962</v>
      </c>
      <c r="CZ25036" s="35">
        <v>0.18211435500000001</v>
      </c>
    </row>
    <row r="25037" spans="103:104" x14ac:dyDescent="0.3">
      <c r="CY25037" s="34" t="s">
        <v>25963</v>
      </c>
      <c r="CZ25037" s="35">
        <v>8.7662902500000014E-2</v>
      </c>
    </row>
    <row r="25038" spans="103:104" x14ac:dyDescent="0.3">
      <c r="CY25038" s="34" t="s">
        <v>25964</v>
      </c>
      <c r="CZ25038" s="35">
        <v>0.11422669710000001</v>
      </c>
    </row>
    <row r="25039" spans="103:104" x14ac:dyDescent="0.3">
      <c r="CY25039" s="34" t="s">
        <v>25965</v>
      </c>
      <c r="CZ25039" s="35">
        <v>0.25427616668000003</v>
      </c>
    </row>
    <row r="25040" spans="103:104" x14ac:dyDescent="0.3">
      <c r="CY25040" s="34" t="s">
        <v>25966</v>
      </c>
      <c r="CZ25040" s="35">
        <v>3.6078987333333337E-3</v>
      </c>
    </row>
    <row r="25041" spans="103:104" x14ac:dyDescent="0.3">
      <c r="CY25041" s="34" t="s">
        <v>25967</v>
      </c>
      <c r="CZ25041" s="35">
        <v>3.8206139199999998E-3</v>
      </c>
    </row>
    <row r="25042" spans="103:104" x14ac:dyDescent="0.3">
      <c r="CY25042" s="34" t="s">
        <v>25968</v>
      </c>
      <c r="CZ25042" s="35">
        <v>7.3160899999999999E-3</v>
      </c>
    </row>
    <row r="25043" spans="103:104" x14ac:dyDescent="0.3">
      <c r="CY25043" s="34" t="s">
        <v>25969</v>
      </c>
      <c r="CZ25043" s="35">
        <v>9.3205500000000004E-3</v>
      </c>
    </row>
    <row r="25044" spans="103:104" x14ac:dyDescent="0.3">
      <c r="CY25044" s="34" t="s">
        <v>25970</v>
      </c>
      <c r="CZ25044" s="35">
        <v>5.5928880000000007E-3</v>
      </c>
    </row>
    <row r="25045" spans="103:104" x14ac:dyDescent="0.3">
      <c r="CY25045" s="34" t="s">
        <v>25971</v>
      </c>
      <c r="CZ25045" s="35">
        <v>3.1286559999999996E-3</v>
      </c>
    </row>
    <row r="25046" spans="103:104" x14ac:dyDescent="0.3">
      <c r="CY25046" s="34" t="s">
        <v>25972</v>
      </c>
      <c r="CZ25046" s="35">
        <v>9.5237493333333312E-3</v>
      </c>
    </row>
    <row r="25047" spans="103:104" x14ac:dyDescent="0.3">
      <c r="CY25047" s="34" t="s">
        <v>25973</v>
      </c>
      <c r="CZ25047" s="35">
        <v>3.455E-4</v>
      </c>
    </row>
    <row r="25048" spans="103:104" x14ac:dyDescent="0.3">
      <c r="CY25048" s="34" t="s">
        <v>25974</v>
      </c>
      <c r="CZ25048" s="35">
        <v>0.28056758153333333</v>
      </c>
    </row>
    <row r="25049" spans="103:104" x14ac:dyDescent="0.3">
      <c r="CY25049" s="34" t="s">
        <v>25975</v>
      </c>
      <c r="CZ25049" s="35">
        <v>0.25090511999999998</v>
      </c>
    </row>
    <row r="25050" spans="103:104" x14ac:dyDescent="0.3">
      <c r="CY25050" s="34" t="s">
        <v>25976</v>
      </c>
      <c r="CZ25050" s="35">
        <v>7.7084780000000019E-2</v>
      </c>
    </row>
    <row r="25051" spans="103:104" x14ac:dyDescent="0.3">
      <c r="CY25051" s="34" t="s">
        <v>25977</v>
      </c>
      <c r="CZ25051" s="35">
        <v>4.3168645999999995E-3</v>
      </c>
    </row>
    <row r="25052" spans="103:104" x14ac:dyDescent="0.3">
      <c r="CY25052" s="34" t="s">
        <v>25978</v>
      </c>
      <c r="CZ25052" s="35">
        <v>0.52553950000000005</v>
      </c>
    </row>
    <row r="25053" spans="103:104" x14ac:dyDescent="0.3">
      <c r="CY25053" s="34" t="s">
        <v>25979</v>
      </c>
      <c r="CZ25053" s="35">
        <v>0.91655428000000005</v>
      </c>
    </row>
    <row r="25054" spans="103:104" x14ac:dyDescent="0.3">
      <c r="CY25054" s="34" t="s">
        <v>25980</v>
      </c>
      <c r="CZ25054" s="35">
        <v>0.40674879999999997</v>
      </c>
    </row>
    <row r="25055" spans="103:104" x14ac:dyDescent="0.3">
      <c r="CY25055" s="34" t="s">
        <v>25981</v>
      </c>
      <c r="CZ25055" s="35">
        <v>1.0997680000000001</v>
      </c>
    </row>
    <row r="25056" spans="103:104" x14ac:dyDescent="0.3">
      <c r="CY25056" s="34" t="s">
        <v>25982</v>
      </c>
      <c r="CZ25056" s="35">
        <v>0.57297324999999999</v>
      </c>
    </row>
    <row r="25057" spans="103:104" x14ac:dyDescent="0.3">
      <c r="CY25057" s="34" t="s">
        <v>25983</v>
      </c>
      <c r="CZ25057" s="35">
        <v>6.7623440000000009E-4</v>
      </c>
    </row>
    <row r="25058" spans="103:104" x14ac:dyDescent="0.3">
      <c r="CY25058" s="34" t="s">
        <v>25984</v>
      </c>
      <c r="CZ25058" s="35">
        <v>4.3606000000000009E-3</v>
      </c>
    </row>
    <row r="25059" spans="103:104" x14ac:dyDescent="0.3">
      <c r="CY25059" s="34" t="s">
        <v>25985</v>
      </c>
      <c r="CZ25059" s="35">
        <v>1.6777995999999996E-2</v>
      </c>
    </row>
    <row r="25060" spans="103:104" x14ac:dyDescent="0.3">
      <c r="CY25060" s="34" t="s">
        <v>25986</v>
      </c>
      <c r="CZ25060" s="35">
        <v>4.2738490000000004E-2</v>
      </c>
    </row>
    <row r="25061" spans="103:104" x14ac:dyDescent="0.3">
      <c r="CY25061" s="34" t="s">
        <v>25987</v>
      </c>
      <c r="CZ25061" s="35">
        <v>2.8860037999999998E-2</v>
      </c>
    </row>
    <row r="25062" spans="103:104" x14ac:dyDescent="0.3">
      <c r="CY25062" s="34" t="s">
        <v>25988</v>
      </c>
      <c r="CZ25062" s="35">
        <v>3.8634989999999998E-3</v>
      </c>
    </row>
    <row r="25063" spans="103:104" x14ac:dyDescent="0.3">
      <c r="CY25063" s="34" t="s">
        <v>25989</v>
      </c>
      <c r="CZ25063" s="35">
        <v>5.4330760000000002E-3</v>
      </c>
    </row>
    <row r="25064" spans="103:104" x14ac:dyDescent="0.3">
      <c r="CY25064" s="34" t="s">
        <v>25990</v>
      </c>
      <c r="CZ25064" s="35">
        <v>3.1286478549999996E-2</v>
      </c>
    </row>
    <row r="25065" spans="103:104" x14ac:dyDescent="0.3">
      <c r="CY25065" s="34" t="s">
        <v>25991</v>
      </c>
      <c r="CZ25065" s="35">
        <v>0.84226155999999996</v>
      </c>
    </row>
    <row r="25066" spans="103:104" x14ac:dyDescent="0.3">
      <c r="CY25066" s="34" t="s">
        <v>25992</v>
      </c>
      <c r="CZ25066" s="35">
        <v>0.42438132000000001</v>
      </c>
    </row>
    <row r="25067" spans="103:104" x14ac:dyDescent="0.3">
      <c r="CY25067" s="34" t="s">
        <v>25993</v>
      </c>
      <c r="CZ25067" s="35">
        <v>0.81310547999999994</v>
      </c>
    </row>
    <row r="25068" spans="103:104" x14ac:dyDescent="0.3">
      <c r="CY25068" s="34" t="s">
        <v>25994</v>
      </c>
      <c r="CZ25068" s="35">
        <v>0.13222800299999998</v>
      </c>
    </row>
    <row r="25069" spans="103:104" x14ac:dyDescent="0.3">
      <c r="CY25069" s="34" t="s">
        <v>25995</v>
      </c>
      <c r="CZ25069" s="35">
        <v>0.13222800300000001</v>
      </c>
    </row>
    <row r="25070" spans="103:104" x14ac:dyDescent="0.3">
      <c r="CY25070" s="34" t="s">
        <v>25996</v>
      </c>
      <c r="CZ25070" s="35">
        <v>1.101036E-2</v>
      </c>
    </row>
    <row r="25071" spans="103:104" x14ac:dyDescent="0.3">
      <c r="CY25071" s="34" t="s">
        <v>25997</v>
      </c>
      <c r="CZ25071" s="35">
        <v>1.101036E-2</v>
      </c>
    </row>
    <row r="25072" spans="103:104" x14ac:dyDescent="0.3">
      <c r="CY25072" s="34" t="s">
        <v>25998</v>
      </c>
      <c r="CZ25072" s="35">
        <v>0.25215528742499999</v>
      </c>
    </row>
    <row r="25073" spans="103:104" x14ac:dyDescent="0.3">
      <c r="CY25073" s="34" t="s">
        <v>25999</v>
      </c>
      <c r="CZ25073" s="35">
        <v>6.7089052220000001E-2</v>
      </c>
    </row>
    <row r="25074" spans="103:104" x14ac:dyDescent="0.3">
      <c r="CY25074" s="34" t="s">
        <v>26000</v>
      </c>
      <c r="CZ25074" s="35">
        <v>8.1992970219999989E-2</v>
      </c>
    </row>
    <row r="25075" spans="103:104" x14ac:dyDescent="0.3">
      <c r="CY25075" s="34" t="s">
        <v>26001</v>
      </c>
      <c r="CZ25075" s="35">
        <v>7.7344034700000022E-2</v>
      </c>
    </row>
    <row r="25076" spans="103:104" x14ac:dyDescent="0.3">
      <c r="CY25076" s="34" t="s">
        <v>26002</v>
      </c>
      <c r="CZ25076" s="35">
        <v>4.9062268220000003E-2</v>
      </c>
    </row>
    <row r="25077" spans="103:104" x14ac:dyDescent="0.3">
      <c r="CY25077" s="34" t="s">
        <v>26003</v>
      </c>
      <c r="CZ25077" s="35">
        <v>3.2283952220000002E-2</v>
      </c>
    </row>
    <row r="25078" spans="103:104" x14ac:dyDescent="0.3">
      <c r="CY25078" s="34" t="s">
        <v>26004</v>
      </c>
      <c r="CZ25078" s="35">
        <v>2.4750459999999998E-3</v>
      </c>
    </row>
    <row r="25079" spans="103:104" x14ac:dyDescent="0.3">
      <c r="CY25079" s="34" t="s">
        <v>26005</v>
      </c>
      <c r="CZ25079" s="35">
        <v>8.9613649999999989E-3</v>
      </c>
    </row>
    <row r="25080" spans="103:104" x14ac:dyDescent="0.3">
      <c r="CY25080" s="34" t="s">
        <v>26006</v>
      </c>
      <c r="CZ25080" s="35">
        <v>8.9592813333333344E-3</v>
      </c>
    </row>
    <row r="25081" spans="103:104" x14ac:dyDescent="0.3">
      <c r="CY25081" s="34" t="s">
        <v>26007</v>
      </c>
      <c r="CZ25081" s="35">
        <v>8.9956039999999991E-3</v>
      </c>
    </row>
    <row r="25082" spans="103:104" x14ac:dyDescent="0.3">
      <c r="CY25082" s="34" t="s">
        <v>26008</v>
      </c>
      <c r="CZ25082" s="35">
        <v>1.9196939999999998E-3</v>
      </c>
    </row>
    <row r="25083" spans="103:104" x14ac:dyDescent="0.3">
      <c r="CY25083" s="34" t="s">
        <v>26009</v>
      </c>
      <c r="CZ25083" s="35">
        <v>1.299812E-3</v>
      </c>
    </row>
    <row r="25084" spans="103:104" x14ac:dyDescent="0.3">
      <c r="CY25084" s="34" t="s">
        <v>26010</v>
      </c>
      <c r="CZ25084" s="35">
        <v>7.2353808000000003E-4</v>
      </c>
    </row>
    <row r="25085" spans="103:104" x14ac:dyDescent="0.3">
      <c r="CY25085" s="34" t="s">
        <v>26011</v>
      </c>
      <c r="CZ25085" s="35">
        <v>3.6720028000000005E-4</v>
      </c>
    </row>
    <row r="25086" spans="103:104" x14ac:dyDescent="0.3">
      <c r="CY25086" s="34" t="s">
        <v>26012</v>
      </c>
      <c r="CZ25086" s="35">
        <v>4.1708125E-4</v>
      </c>
    </row>
    <row r="25087" spans="103:104" x14ac:dyDescent="0.3">
      <c r="CY25087" s="34" t="s">
        <v>26013</v>
      </c>
      <c r="CZ25087" s="35">
        <v>3.4350500000000003E-3</v>
      </c>
    </row>
    <row r="25088" spans="103:104" x14ac:dyDescent="0.3">
      <c r="CY25088" s="34" t="s">
        <v>26014</v>
      </c>
      <c r="CZ25088" s="35">
        <v>2.0757538666666664E-3</v>
      </c>
    </row>
    <row r="25089" spans="103:104" x14ac:dyDescent="0.3">
      <c r="CY25089" s="34" t="s">
        <v>26015</v>
      </c>
      <c r="CZ25089" s="35">
        <v>1.0653369999999999E-2</v>
      </c>
    </row>
    <row r="25090" spans="103:104" x14ac:dyDescent="0.3">
      <c r="CY25090" s="34" t="s">
        <v>26016</v>
      </c>
      <c r="CZ25090" s="35">
        <v>1.2988876399999999E-3</v>
      </c>
    </row>
    <row r="25091" spans="103:104" x14ac:dyDescent="0.3">
      <c r="CY25091" s="34" t="s">
        <v>26017</v>
      </c>
      <c r="CZ25091" s="35">
        <v>1.2988876399999999E-3</v>
      </c>
    </row>
    <row r="25092" spans="103:104" x14ac:dyDescent="0.3">
      <c r="CY25092" s="34" t="s">
        <v>26018</v>
      </c>
      <c r="CZ25092" s="35">
        <v>1.3910731649999999E-2</v>
      </c>
    </row>
    <row r="25093" spans="103:104" x14ac:dyDescent="0.3">
      <c r="CY25093" s="34" t="s">
        <v>26019</v>
      </c>
      <c r="CZ25093" s="35">
        <v>5.0374999999999997E-4</v>
      </c>
    </row>
    <row r="25094" spans="103:104" x14ac:dyDescent="0.3">
      <c r="CY25094" s="34" t="s">
        <v>26020</v>
      </c>
      <c r="CZ25094" s="35">
        <v>4.4006999999999996E-3</v>
      </c>
    </row>
    <row r="25095" spans="103:104" x14ac:dyDescent="0.3">
      <c r="CY25095" s="34" t="s">
        <v>26021</v>
      </c>
      <c r="CZ25095" s="35">
        <v>4.1078426666666664E-4</v>
      </c>
    </row>
    <row r="25096" spans="103:104" x14ac:dyDescent="0.3">
      <c r="CY25096" s="34" t="s">
        <v>26022</v>
      </c>
      <c r="CZ25096" s="35">
        <v>1.5991846000000002E-3</v>
      </c>
    </row>
    <row r="25097" spans="103:104" x14ac:dyDescent="0.3">
      <c r="CY25097" s="34" t="s">
        <v>26023</v>
      </c>
      <c r="CZ25097" s="35">
        <v>0.19026385000000004</v>
      </c>
    </row>
    <row r="25098" spans="103:104" x14ac:dyDescent="0.3">
      <c r="CY25098" s="34" t="s">
        <v>26024</v>
      </c>
      <c r="CZ25098" s="35">
        <v>0.19507075015384617</v>
      </c>
    </row>
    <row r="25099" spans="103:104" x14ac:dyDescent="0.3">
      <c r="CY25099" s="34" t="s">
        <v>26025</v>
      </c>
      <c r="CZ25099" s="35">
        <v>0.2491391</v>
      </c>
    </row>
    <row r="25100" spans="103:104" x14ac:dyDescent="0.3">
      <c r="CY25100" s="34" t="s">
        <v>26026</v>
      </c>
      <c r="CZ25100" s="35">
        <v>0.23324839999999999</v>
      </c>
    </row>
    <row r="25101" spans="103:104" x14ac:dyDescent="0.3">
      <c r="CY25101" s="34" t="s">
        <v>26027</v>
      </c>
      <c r="CZ25101" s="35">
        <v>0.14525688799999997</v>
      </c>
    </row>
    <row r="25102" spans="103:104" x14ac:dyDescent="0.3">
      <c r="CY25102" s="34" t="s">
        <v>26028</v>
      </c>
      <c r="CZ25102" s="35">
        <v>0.15502589999999999</v>
      </c>
    </row>
    <row r="25103" spans="103:104" x14ac:dyDescent="0.3">
      <c r="CY25103" s="34" t="s">
        <v>26029</v>
      </c>
      <c r="CZ25103" s="35">
        <v>0.14939539999999998</v>
      </c>
    </row>
    <row r="25104" spans="103:104" x14ac:dyDescent="0.3">
      <c r="CY25104" s="34" t="s">
        <v>26030</v>
      </c>
      <c r="CZ25104" s="35">
        <v>0.15485339999999997</v>
      </c>
    </row>
    <row r="25105" spans="103:104" x14ac:dyDescent="0.3">
      <c r="CY25105" s="34" t="s">
        <v>26031</v>
      </c>
      <c r="CZ25105" s="35">
        <v>0.14939539999999998</v>
      </c>
    </row>
    <row r="25106" spans="103:104" x14ac:dyDescent="0.3">
      <c r="CY25106" s="34" t="s">
        <v>26032</v>
      </c>
      <c r="CZ25106" s="35">
        <v>0.96304794800000004</v>
      </c>
    </row>
    <row r="25107" spans="103:104" x14ac:dyDescent="0.3">
      <c r="CY25107" s="34" t="s">
        <v>26033</v>
      </c>
      <c r="CZ25107" s="35">
        <v>0.71271176400000003</v>
      </c>
    </row>
    <row r="25108" spans="103:104" x14ac:dyDescent="0.3">
      <c r="CY25108" s="34" t="s">
        <v>26034</v>
      </c>
      <c r="CZ25108" s="35">
        <v>1.5864116669999999</v>
      </c>
    </row>
    <row r="25109" spans="103:104" x14ac:dyDescent="0.3">
      <c r="CY25109" s="34" t="s">
        <v>26035</v>
      </c>
      <c r="CZ25109" s="35">
        <v>0.70975695999999999</v>
      </c>
    </row>
    <row r="25110" spans="103:104" x14ac:dyDescent="0.3">
      <c r="CY25110" s="34" t="s">
        <v>26036</v>
      </c>
      <c r="CZ25110" s="35">
        <v>5.1905317999999999E-2</v>
      </c>
    </row>
    <row r="25111" spans="103:104" x14ac:dyDescent="0.3">
      <c r="CY25111" s="34" t="s">
        <v>26037</v>
      </c>
      <c r="CZ25111" s="35">
        <v>0.28290568771929825</v>
      </c>
    </row>
    <row r="25112" spans="103:104" x14ac:dyDescent="0.3">
      <c r="CY25112" s="34" t="s">
        <v>26038</v>
      </c>
      <c r="CZ25112" s="35">
        <v>1.3257404000000001E-3</v>
      </c>
    </row>
    <row r="25113" spans="103:104" x14ac:dyDescent="0.3">
      <c r="CY25113" s="34" t="s">
        <v>26039</v>
      </c>
      <c r="CZ25113" s="35">
        <v>7.0945674999999992</v>
      </c>
    </row>
    <row r="25114" spans="103:104" x14ac:dyDescent="0.3">
      <c r="CY25114" s="34" t="s">
        <v>26040</v>
      </c>
      <c r="CZ25114" s="35">
        <v>7.1962993684210521E-3</v>
      </c>
    </row>
    <row r="25115" spans="103:104" x14ac:dyDescent="0.3">
      <c r="CY25115" s="34" t="s">
        <v>26041</v>
      </c>
      <c r="CZ25115" s="35">
        <v>5.4517534000000003E-3</v>
      </c>
    </row>
    <row r="25116" spans="103:104" x14ac:dyDescent="0.3">
      <c r="CY25116" s="34" t="s">
        <v>26042</v>
      </c>
      <c r="CZ25116" s="35">
        <v>3.4451334000000001E-3</v>
      </c>
    </row>
    <row r="25117" spans="103:104" x14ac:dyDescent="0.3">
      <c r="CY25117" s="34" t="s">
        <v>26043</v>
      </c>
      <c r="CZ25117" s="35">
        <v>6.8248159999999996E-4</v>
      </c>
    </row>
    <row r="25118" spans="103:104" x14ac:dyDescent="0.3">
      <c r="CY25118" s="34" t="s">
        <v>26044</v>
      </c>
      <c r="CZ25118" s="35">
        <v>2.0975430000000003E-3</v>
      </c>
    </row>
    <row r="25119" spans="103:104" x14ac:dyDescent="0.3">
      <c r="CY25119" s="34" t="s">
        <v>26045</v>
      </c>
      <c r="CZ25119" s="35">
        <v>2.3050944999999996E-2</v>
      </c>
    </row>
    <row r="25120" spans="103:104" x14ac:dyDescent="0.3">
      <c r="CY25120" s="34" t="s">
        <v>26046</v>
      </c>
      <c r="CZ25120" s="35">
        <v>1.5104578699999999E-2</v>
      </c>
    </row>
    <row r="25121" spans="103:104" x14ac:dyDescent="0.3">
      <c r="CY25121" s="34" t="s">
        <v>26047</v>
      </c>
      <c r="CZ25121" s="35">
        <v>4.7376901098901109E-2</v>
      </c>
    </row>
    <row r="25122" spans="103:104" x14ac:dyDescent="0.3">
      <c r="CY25122" s="34" t="s">
        <v>26048</v>
      </c>
      <c r="CZ25122" s="35">
        <v>4.3112979999999995E-2</v>
      </c>
    </row>
    <row r="25123" spans="103:104" x14ac:dyDescent="0.3">
      <c r="CY25123" s="34" t="s">
        <v>26049</v>
      </c>
      <c r="CZ25123" s="35">
        <v>9.9712373400000012E-3</v>
      </c>
    </row>
    <row r="25124" spans="103:104" x14ac:dyDescent="0.3">
      <c r="CY25124" s="34" t="s">
        <v>26050</v>
      </c>
      <c r="CZ25124" s="35">
        <v>0.43147425999999994</v>
      </c>
    </row>
    <row r="25125" spans="103:104" x14ac:dyDescent="0.3">
      <c r="CY25125" s="34" t="s">
        <v>26051</v>
      </c>
      <c r="CZ25125" s="35">
        <v>0.27093648333333331</v>
      </c>
    </row>
    <row r="25126" spans="103:104" x14ac:dyDescent="0.3">
      <c r="CY25126" s="34" t="s">
        <v>26052</v>
      </c>
      <c r="CZ25126" s="35">
        <v>8.4473000000000003E-4</v>
      </c>
    </row>
    <row r="25127" spans="103:104" x14ac:dyDescent="0.3">
      <c r="CY25127" s="34" t="s">
        <v>26053</v>
      </c>
      <c r="CZ25127" s="35">
        <v>1.3977752E-3</v>
      </c>
    </row>
    <row r="25128" spans="103:104" x14ac:dyDescent="0.3">
      <c r="CY25128" s="34" t="s">
        <v>26054</v>
      </c>
      <c r="CZ25128" s="35">
        <v>0.81308564999999999</v>
      </c>
    </row>
    <row r="25129" spans="103:104" x14ac:dyDescent="0.3">
      <c r="CY25129" s="34" t="s">
        <v>26055</v>
      </c>
      <c r="CZ25129" s="35">
        <v>0.8130856500000001</v>
      </c>
    </row>
    <row r="25130" spans="103:104" x14ac:dyDescent="0.3">
      <c r="CY25130" s="34" t="s">
        <v>26056</v>
      </c>
      <c r="CZ25130" s="35">
        <v>0.53158785600000003</v>
      </c>
    </row>
    <row r="25131" spans="103:104" x14ac:dyDescent="0.3">
      <c r="CY25131" s="34" t="s">
        <v>26057</v>
      </c>
      <c r="CZ25131" s="35">
        <v>0.53158785600000003</v>
      </c>
    </row>
    <row r="25132" spans="103:104" x14ac:dyDescent="0.3">
      <c r="CY25132" s="34" t="s">
        <v>26058</v>
      </c>
      <c r="CZ25132" s="35">
        <v>0.40494597628571422</v>
      </c>
    </row>
    <row r="25133" spans="103:104" x14ac:dyDescent="0.3">
      <c r="CY25133" s="34" t="s">
        <v>26059</v>
      </c>
      <c r="CZ25133" s="35">
        <v>2.82517134E-3</v>
      </c>
    </row>
    <row r="25134" spans="103:104" x14ac:dyDescent="0.3">
      <c r="CY25134" s="34" t="s">
        <v>26060</v>
      </c>
      <c r="CZ25134" s="35">
        <v>0.13761044273076922</v>
      </c>
    </row>
    <row r="25135" spans="103:104" x14ac:dyDescent="0.3">
      <c r="CY25135" s="34" t="s">
        <v>26061</v>
      </c>
      <c r="CZ25135" s="35">
        <v>1.8976069000000002E-2</v>
      </c>
    </row>
    <row r="25136" spans="103:104" x14ac:dyDescent="0.3">
      <c r="CY25136" s="34" t="s">
        <v>26062</v>
      </c>
      <c r="CZ25136" s="35">
        <v>1.9009511600000004E-2</v>
      </c>
    </row>
    <row r="25137" spans="103:104" x14ac:dyDescent="0.3">
      <c r="CY25137" s="34" t="s">
        <v>26063</v>
      </c>
      <c r="CZ25137" s="35">
        <v>8.0187648000000014E-3</v>
      </c>
    </row>
    <row r="25138" spans="103:104" x14ac:dyDescent="0.3">
      <c r="CY25138" s="34" t="s">
        <v>26064</v>
      </c>
      <c r="CZ25138" s="35">
        <v>7.4749216000000007E-2</v>
      </c>
    </row>
    <row r="25139" spans="103:104" x14ac:dyDescent="0.3">
      <c r="CY25139" s="34" t="s">
        <v>26065</v>
      </c>
      <c r="CZ25139" s="35">
        <v>3.8041449599999992E-2</v>
      </c>
    </row>
    <row r="25140" spans="103:104" x14ac:dyDescent="0.3">
      <c r="CY25140" s="34" t="s">
        <v>26066</v>
      </c>
      <c r="CZ25140" s="35">
        <v>3.8780352000000002E-3</v>
      </c>
    </row>
    <row r="25141" spans="103:104" x14ac:dyDescent="0.3">
      <c r="CY25141" s="34" t="s">
        <v>26067</v>
      </c>
      <c r="CZ25141" s="35">
        <v>1.6026240000000001E-2</v>
      </c>
    </row>
    <row r="25142" spans="103:104" x14ac:dyDescent="0.3">
      <c r="CY25142" s="34" t="s">
        <v>26068</v>
      </c>
      <c r="CZ25142" s="35">
        <v>2.5999999999999997E-6</v>
      </c>
    </row>
    <row r="25143" spans="103:104" x14ac:dyDescent="0.3">
      <c r="CY25143" s="34" t="s">
        <v>26069</v>
      </c>
      <c r="CZ25143" s="35">
        <v>2.8407259375E-2</v>
      </c>
    </row>
    <row r="25144" spans="103:104" x14ac:dyDescent="0.3">
      <c r="CY25144" s="34" t="s">
        <v>26070</v>
      </c>
      <c r="CZ25144" s="35">
        <v>2.0271153E-2</v>
      </c>
    </row>
    <row r="25145" spans="103:104" x14ac:dyDescent="0.3">
      <c r="CY25145" s="34" t="s">
        <v>26071</v>
      </c>
      <c r="CZ25145" s="35">
        <v>2.6104333E-2</v>
      </c>
    </row>
    <row r="25146" spans="103:104" x14ac:dyDescent="0.3">
      <c r="CY25146" s="34" t="s">
        <v>26072</v>
      </c>
      <c r="CZ25146" s="35">
        <v>2.52589324E-2</v>
      </c>
    </row>
    <row r="25147" spans="103:104" x14ac:dyDescent="0.3">
      <c r="CY25147" s="34" t="s">
        <v>26073</v>
      </c>
      <c r="CZ25147" s="35">
        <v>8.1884600000000002E-2</v>
      </c>
    </row>
    <row r="25148" spans="103:104" x14ac:dyDescent="0.3">
      <c r="CY25148" s="34" t="s">
        <v>26074</v>
      </c>
      <c r="CZ25148" s="35">
        <v>8.1884600000000002E-2</v>
      </c>
    </row>
    <row r="25149" spans="103:104" x14ac:dyDescent="0.3">
      <c r="CY25149" s="34" t="s">
        <v>26075</v>
      </c>
      <c r="CZ25149" s="35">
        <v>6.248391199999999E-3</v>
      </c>
    </row>
    <row r="25150" spans="103:104" x14ac:dyDescent="0.3">
      <c r="CY25150" s="34" t="s">
        <v>26076</v>
      </c>
      <c r="CZ25150" s="35">
        <v>5.8650000000000003E-5</v>
      </c>
    </row>
    <row r="25151" spans="103:104" x14ac:dyDescent="0.3">
      <c r="CY25151" s="34" t="s">
        <v>26077</v>
      </c>
      <c r="CZ25151" s="35">
        <v>8.2074133333333342E-4</v>
      </c>
    </row>
    <row r="25152" spans="103:104" x14ac:dyDescent="0.3">
      <c r="CY25152" s="34" t="s">
        <v>26078</v>
      </c>
      <c r="CZ25152" s="35">
        <v>2.8458047E-2</v>
      </c>
    </row>
    <row r="25153" spans="103:104" x14ac:dyDescent="0.3">
      <c r="CY25153" s="34" t="s">
        <v>26079</v>
      </c>
      <c r="CZ25153" s="35">
        <v>0.13413918399999999</v>
      </c>
    </row>
    <row r="25154" spans="103:104" x14ac:dyDescent="0.3">
      <c r="CY25154" s="34" t="s">
        <v>26080</v>
      </c>
      <c r="CZ25154" s="35">
        <v>9.6435148000000009E-3</v>
      </c>
    </row>
    <row r="25155" spans="103:104" x14ac:dyDescent="0.3">
      <c r="CY25155" s="34" t="s">
        <v>26081</v>
      </c>
      <c r="CZ25155" s="35">
        <v>2.0917832000000003E-3</v>
      </c>
    </row>
    <row r="25156" spans="103:104" x14ac:dyDescent="0.3">
      <c r="CY25156" s="34" t="s">
        <v>26082</v>
      </c>
      <c r="CZ25156" s="35">
        <v>1.0365533600000002E-3</v>
      </c>
    </row>
    <row r="25157" spans="103:104" x14ac:dyDescent="0.3">
      <c r="CY25157" s="34" t="s">
        <v>26083</v>
      </c>
      <c r="CZ25157" s="35">
        <v>1.1106181999999999E-3</v>
      </c>
    </row>
    <row r="25158" spans="103:104" x14ac:dyDescent="0.3">
      <c r="CY25158" s="34" t="s">
        <v>26084</v>
      </c>
      <c r="CZ25158" s="35">
        <v>0.10898348092335002</v>
      </c>
    </row>
    <row r="25159" spans="103:104" x14ac:dyDescent="0.3">
      <c r="CY25159" s="34" t="s">
        <v>26085</v>
      </c>
      <c r="CZ25159" s="35">
        <v>19.444735625000003</v>
      </c>
    </row>
    <row r="25160" spans="103:104" x14ac:dyDescent="0.3">
      <c r="CY25160" s="34" t="s">
        <v>26086</v>
      </c>
      <c r="CZ25160" s="35">
        <v>2.4353830000000003E-2</v>
      </c>
    </row>
    <row r="25161" spans="103:104" x14ac:dyDescent="0.3">
      <c r="CY25161" s="34" t="s">
        <v>26087</v>
      </c>
      <c r="CZ25161" s="35">
        <v>7.569362785E-2</v>
      </c>
    </row>
    <row r="25162" spans="103:104" x14ac:dyDescent="0.3">
      <c r="CY25162" s="34" t="s">
        <v>26088</v>
      </c>
      <c r="CZ25162" s="35">
        <v>7.3998188649999991E-2</v>
      </c>
    </row>
    <row r="25163" spans="103:104" x14ac:dyDescent="0.3">
      <c r="CY25163" s="34" t="s">
        <v>26089</v>
      </c>
      <c r="CZ25163" s="35">
        <v>8.051252349142857E-3</v>
      </c>
    </row>
    <row r="25164" spans="103:104" x14ac:dyDescent="0.3">
      <c r="CY25164" s="34" t="s">
        <v>26090</v>
      </c>
      <c r="CZ25164" s="35">
        <v>0.35132152173913045</v>
      </c>
    </row>
    <row r="25165" spans="103:104" x14ac:dyDescent="0.3">
      <c r="CY25165" s="34" t="s">
        <v>26091</v>
      </c>
      <c r="CZ25165" s="35">
        <v>0.42578804347826088</v>
      </c>
    </row>
    <row r="25166" spans="103:104" x14ac:dyDescent="0.3">
      <c r="CY25166" s="34" t="s">
        <v>26092</v>
      </c>
      <c r="CZ25166" s="35">
        <v>4.534410105263157E-2</v>
      </c>
    </row>
    <row r="25167" spans="103:104" x14ac:dyDescent="0.3">
      <c r="CY25167" s="34" t="s">
        <v>26093</v>
      </c>
      <c r="CZ25167" s="35">
        <v>5.038206499999999E-2</v>
      </c>
    </row>
    <row r="25168" spans="103:104" x14ac:dyDescent="0.3">
      <c r="CY25168" s="34" t="s">
        <v>26094</v>
      </c>
      <c r="CZ25168" s="35">
        <v>0.12101578</v>
      </c>
    </row>
    <row r="25169" spans="103:104" x14ac:dyDescent="0.3">
      <c r="CY25169" s="34" t="s">
        <v>26095</v>
      </c>
      <c r="CZ25169" s="35">
        <v>6.1257552E-2</v>
      </c>
    </row>
    <row r="25170" spans="103:104" x14ac:dyDescent="0.3">
      <c r="CY25170" s="34" t="s">
        <v>26096</v>
      </c>
      <c r="CZ25170" s="35">
        <v>1.40973E-2</v>
      </c>
    </row>
    <row r="25171" spans="103:104" x14ac:dyDescent="0.3">
      <c r="CY25171" s="34" t="s">
        <v>26097</v>
      </c>
      <c r="CZ25171" s="35">
        <v>0.1655992</v>
      </c>
    </row>
    <row r="25172" spans="103:104" x14ac:dyDescent="0.3">
      <c r="CY25172" s="34" t="s">
        <v>26098</v>
      </c>
      <c r="CZ25172" s="35">
        <v>2.9694604000000003E-2</v>
      </c>
    </row>
    <row r="25173" spans="103:104" x14ac:dyDescent="0.3">
      <c r="CY25173" s="34" t="s">
        <v>26099</v>
      </c>
      <c r="CZ25173" s="35">
        <v>2.5075E-4</v>
      </c>
    </row>
    <row r="25174" spans="103:104" x14ac:dyDescent="0.3">
      <c r="CY25174" s="34" t="s">
        <v>26100</v>
      </c>
      <c r="CZ25174" s="35">
        <v>8.1219450000000002E-3</v>
      </c>
    </row>
    <row r="25175" spans="103:104" x14ac:dyDescent="0.3">
      <c r="CY25175" s="34" t="s">
        <v>26101</v>
      </c>
      <c r="CZ25175" s="35">
        <v>8.533797000000001E-3</v>
      </c>
    </row>
    <row r="25176" spans="103:104" x14ac:dyDescent="0.3">
      <c r="CY25176" s="34" t="s">
        <v>26102</v>
      </c>
      <c r="CZ25176" s="35">
        <v>2.5075E-4</v>
      </c>
    </row>
    <row r="25177" spans="103:104" x14ac:dyDescent="0.3">
      <c r="CY25177" s="34" t="s">
        <v>26103</v>
      </c>
      <c r="CZ25177" s="35">
        <v>4.8330960000000001E-4</v>
      </c>
    </row>
    <row r="25178" spans="103:104" x14ac:dyDescent="0.3">
      <c r="CY25178" s="34" t="s">
        <v>26104</v>
      </c>
      <c r="CZ25178" s="35">
        <v>3.4986480000000003E-4</v>
      </c>
    </row>
    <row r="25179" spans="103:104" x14ac:dyDescent="0.3">
      <c r="CY25179" s="34" t="s">
        <v>26105</v>
      </c>
      <c r="CZ25179" s="35">
        <v>3.3375887999999998E-4</v>
      </c>
    </row>
    <row r="25180" spans="103:104" x14ac:dyDescent="0.3">
      <c r="CY25180" s="34" t="s">
        <v>26106</v>
      </c>
      <c r="CZ25180" s="35">
        <v>3.7391760000000002E-4</v>
      </c>
    </row>
    <row r="25181" spans="103:104" x14ac:dyDescent="0.3">
      <c r="CY25181" s="34" t="s">
        <v>26107</v>
      </c>
      <c r="CZ25181" s="35">
        <v>3.6360143999999999E-4</v>
      </c>
    </row>
    <row r="25182" spans="103:104" x14ac:dyDescent="0.3">
      <c r="CY25182" s="34" t="s">
        <v>26108</v>
      </c>
      <c r="CZ25182" s="35">
        <v>2.5588694999999998E-4</v>
      </c>
    </row>
    <row r="25183" spans="103:104" x14ac:dyDescent="0.3">
      <c r="CY25183" s="34" t="s">
        <v>26109</v>
      </c>
      <c r="CZ25183" s="35">
        <v>3.6951120000000001E-4</v>
      </c>
    </row>
    <row r="25184" spans="103:104" x14ac:dyDescent="0.3">
      <c r="CY25184" s="34" t="s">
        <v>26110</v>
      </c>
      <c r="CZ25184" s="35">
        <v>2.5344326E-2</v>
      </c>
    </row>
    <row r="25185" spans="103:104" x14ac:dyDescent="0.3">
      <c r="CY25185" s="34" t="s">
        <v>26111</v>
      </c>
      <c r="CZ25185" s="35">
        <v>5.2063375999999995E-3</v>
      </c>
    </row>
    <row r="25186" spans="103:104" x14ac:dyDescent="0.3">
      <c r="CY25186" s="34" t="s">
        <v>26112</v>
      </c>
      <c r="CZ25186" s="35">
        <v>3.7974999999999999E-4</v>
      </c>
    </row>
    <row r="25187" spans="103:104" x14ac:dyDescent="0.3">
      <c r="CY25187" s="34" t="s">
        <v>26113</v>
      </c>
      <c r="CZ25187" s="35">
        <v>62.257216890000002</v>
      </c>
    </row>
    <row r="25188" spans="103:104" x14ac:dyDescent="0.3">
      <c r="CY25188" s="34" t="s">
        <v>26114</v>
      </c>
      <c r="CZ25188" s="35">
        <v>0.24804688999999999</v>
      </c>
    </row>
    <row r="25189" spans="103:104" x14ac:dyDescent="0.3">
      <c r="CY25189" s="34" t="s">
        <v>26115</v>
      </c>
      <c r="CZ25189" s="35">
        <v>5.0948891999999996E-2</v>
      </c>
    </row>
    <row r="25190" spans="103:104" x14ac:dyDescent="0.3">
      <c r="CY25190" s="34" t="s">
        <v>26116</v>
      </c>
      <c r="CZ25190" s="35">
        <v>6.5035577099999992E-2</v>
      </c>
    </row>
    <row r="25191" spans="103:104" x14ac:dyDescent="0.3">
      <c r="CY25191" s="34" t="s">
        <v>26117</v>
      </c>
      <c r="CZ25191" s="35">
        <v>7.7374063999999992E-2</v>
      </c>
    </row>
    <row r="25192" spans="103:104" x14ac:dyDescent="0.3">
      <c r="CY25192" s="34" t="s">
        <v>26118</v>
      </c>
      <c r="CZ25192" s="35">
        <v>0.28474968000000006</v>
      </c>
    </row>
    <row r="25193" spans="103:104" x14ac:dyDescent="0.3">
      <c r="CY25193" s="34" t="s">
        <v>26119</v>
      </c>
      <c r="CZ25193" s="35">
        <v>5.2474079999999992E-2</v>
      </c>
    </row>
    <row r="25194" spans="103:104" x14ac:dyDescent="0.3">
      <c r="CY25194" s="34" t="s">
        <v>26120</v>
      </c>
      <c r="CZ25194" s="35">
        <v>0.13126299999999999</v>
      </c>
    </row>
    <row r="25195" spans="103:104" x14ac:dyDescent="0.3">
      <c r="CY25195" s="34" t="s">
        <v>26121</v>
      </c>
      <c r="CZ25195" s="35">
        <v>6.1401020000000006E-3</v>
      </c>
    </row>
    <row r="25196" spans="103:104" x14ac:dyDescent="0.3">
      <c r="CY25196" s="34" t="s">
        <v>26122</v>
      </c>
      <c r="CZ25196" s="35">
        <v>1.6197040000000002E-4</v>
      </c>
    </row>
    <row r="25197" spans="103:104" x14ac:dyDescent="0.3">
      <c r="CY25197" s="34" t="s">
        <v>26123</v>
      </c>
      <c r="CZ25197" s="35">
        <v>5.1043199999999999E-3</v>
      </c>
    </row>
    <row r="25198" spans="103:104" x14ac:dyDescent="0.3">
      <c r="CY25198" s="34" t="s">
        <v>26124</v>
      </c>
      <c r="CZ25198" s="35">
        <v>1.5286539999999997E-3</v>
      </c>
    </row>
    <row r="25199" spans="103:104" x14ac:dyDescent="0.3">
      <c r="CY25199" s="34" t="s">
        <v>26125</v>
      </c>
      <c r="CZ25199" s="35">
        <v>0.11444211114285714</v>
      </c>
    </row>
    <row r="25200" spans="103:104" x14ac:dyDescent="0.3">
      <c r="CY25200" s="34" t="s">
        <v>26126</v>
      </c>
      <c r="CZ25200" s="35">
        <v>9.4605960000000006E-4</v>
      </c>
    </row>
    <row r="25201" spans="103:104" x14ac:dyDescent="0.3">
      <c r="CY25201" s="34" t="s">
        <v>26127</v>
      </c>
      <c r="CZ25201" s="35">
        <v>9.4606126666666661E-4</v>
      </c>
    </row>
    <row r="25202" spans="103:104" x14ac:dyDescent="0.3">
      <c r="CY25202" s="34" t="s">
        <v>26128</v>
      </c>
      <c r="CZ25202" s="35">
        <v>0.11871645289999999</v>
      </c>
    </row>
    <row r="25203" spans="103:104" x14ac:dyDescent="0.3">
      <c r="CY25203" s="34" t="s">
        <v>26129</v>
      </c>
      <c r="CZ25203" s="35">
        <v>0.2442413387</v>
      </c>
    </row>
    <row r="25204" spans="103:104" x14ac:dyDescent="0.3">
      <c r="CY25204" s="34" t="s">
        <v>26130</v>
      </c>
      <c r="CZ25204" s="35">
        <v>4.6118669333333334E-2</v>
      </c>
    </row>
    <row r="25205" spans="103:104" x14ac:dyDescent="0.3">
      <c r="CY25205" s="34" t="s">
        <v>26131</v>
      </c>
      <c r="CZ25205" s="35">
        <v>1.3516523999999999E-2</v>
      </c>
    </row>
    <row r="25206" spans="103:104" x14ac:dyDescent="0.3">
      <c r="CY25206" s="34" t="s">
        <v>26132</v>
      </c>
      <c r="CZ25206" s="35">
        <v>6.1121219999999993E-3</v>
      </c>
    </row>
    <row r="25207" spans="103:104" x14ac:dyDescent="0.3">
      <c r="CY25207" s="34" t="s">
        <v>26133</v>
      </c>
      <c r="CZ25207" s="35">
        <v>2.1772076800000002E-2</v>
      </c>
    </row>
    <row r="25208" spans="103:104" x14ac:dyDescent="0.3">
      <c r="CY25208" s="34" t="s">
        <v>26134</v>
      </c>
      <c r="CZ25208" s="35">
        <v>1.8677280000000004E-2</v>
      </c>
    </row>
    <row r="25209" spans="103:104" x14ac:dyDescent="0.3">
      <c r="CY25209" s="34" t="s">
        <v>26135</v>
      </c>
      <c r="CZ25209" s="35">
        <v>3.7066946000000002E-3</v>
      </c>
    </row>
    <row r="25210" spans="103:104" x14ac:dyDescent="0.3">
      <c r="CY25210" s="34" t="s">
        <v>26136</v>
      </c>
      <c r="CZ25210" s="35">
        <v>5.6601662000000004E-3</v>
      </c>
    </row>
    <row r="25211" spans="103:104" x14ac:dyDescent="0.3">
      <c r="CY25211" s="34" t="s">
        <v>26137</v>
      </c>
      <c r="CZ25211" s="35">
        <v>1.8025981637499997E-2</v>
      </c>
    </row>
    <row r="25212" spans="103:104" x14ac:dyDescent="0.3">
      <c r="CY25212" s="34" t="s">
        <v>26138</v>
      </c>
      <c r="CZ25212" s="35">
        <v>2.0098939999999999E-3</v>
      </c>
    </row>
    <row r="25213" spans="103:104" x14ac:dyDescent="0.3">
      <c r="CY25213" s="34" t="s">
        <v>26139</v>
      </c>
      <c r="CZ25213" s="35">
        <v>4.5690312499999997E-4</v>
      </c>
    </row>
    <row r="25214" spans="103:104" x14ac:dyDescent="0.3">
      <c r="CY25214" s="34" t="s">
        <v>26140</v>
      </c>
      <c r="CZ25214" s="35">
        <v>0.36343408999999999</v>
      </c>
    </row>
    <row r="25215" spans="103:104" x14ac:dyDescent="0.3">
      <c r="CY25215" s="34" t="s">
        <v>26141</v>
      </c>
      <c r="CZ25215" s="35">
        <v>0.371189726</v>
      </c>
    </row>
    <row r="25216" spans="103:104" x14ac:dyDescent="0.3">
      <c r="CY25216" s="34" t="s">
        <v>26142</v>
      </c>
      <c r="CZ25216" s="35">
        <v>4.3947200000000013E-3</v>
      </c>
    </row>
    <row r="25217" spans="103:104" x14ac:dyDescent="0.3">
      <c r="CY25217" s="34" t="s">
        <v>26143</v>
      </c>
      <c r="CZ25217" s="35">
        <v>3.6701499999999996E-3</v>
      </c>
    </row>
    <row r="25218" spans="103:104" x14ac:dyDescent="0.3">
      <c r="CY25218" s="34" t="s">
        <v>26144</v>
      </c>
      <c r="CZ25218" s="35">
        <v>6.0721799999999999E-3</v>
      </c>
    </row>
    <row r="25219" spans="103:104" x14ac:dyDescent="0.3">
      <c r="CY25219" s="34" t="s">
        <v>26145</v>
      </c>
      <c r="CZ25219" s="35">
        <v>9.2500349499999995E-2</v>
      </c>
    </row>
    <row r="25220" spans="103:104" x14ac:dyDescent="0.3">
      <c r="CY25220" s="34" t="s">
        <v>26146</v>
      </c>
      <c r="CZ25220" s="35">
        <v>8.8428145333333333E-2</v>
      </c>
    </row>
    <row r="25221" spans="103:104" x14ac:dyDescent="0.3">
      <c r="CY25221" s="34" t="s">
        <v>26147</v>
      </c>
      <c r="CZ25221" s="35">
        <v>5.1852300000000001E-4</v>
      </c>
    </row>
    <row r="25222" spans="103:104" x14ac:dyDescent="0.3">
      <c r="CY25222" s="34" t="s">
        <v>26148</v>
      </c>
      <c r="CZ25222" s="35">
        <v>4.8303971999999994E-3</v>
      </c>
    </row>
    <row r="25223" spans="103:104" x14ac:dyDescent="0.3">
      <c r="CY25223" s="34" t="s">
        <v>26149</v>
      </c>
      <c r="CZ25223" s="35">
        <v>0.98787491999999988</v>
      </c>
    </row>
    <row r="25224" spans="103:104" x14ac:dyDescent="0.3">
      <c r="CY25224" s="34" t="s">
        <v>26150</v>
      </c>
      <c r="CZ25224" s="35">
        <v>1.5874552000000001E-3</v>
      </c>
    </row>
    <row r="25225" spans="103:104" x14ac:dyDescent="0.3">
      <c r="CY25225" s="34" t="s">
        <v>26151</v>
      </c>
      <c r="CZ25225" s="35">
        <v>0.22234864000000001</v>
      </c>
    </row>
    <row r="25226" spans="103:104" x14ac:dyDescent="0.3">
      <c r="CY25226" s="34" t="s">
        <v>26152</v>
      </c>
      <c r="CZ25226" s="35">
        <v>0.43833287800000009</v>
      </c>
    </row>
    <row r="25227" spans="103:104" x14ac:dyDescent="0.3">
      <c r="CY25227" s="34" t="s">
        <v>26153</v>
      </c>
      <c r="CZ25227" s="35">
        <v>0.19718898400000001</v>
      </c>
    </row>
    <row r="25228" spans="103:104" x14ac:dyDescent="0.3">
      <c r="CY25228" s="34" t="s">
        <v>26154</v>
      </c>
      <c r="CZ25228" s="35">
        <v>3.4164570399999997E-2</v>
      </c>
    </row>
    <row r="25229" spans="103:104" x14ac:dyDescent="0.3">
      <c r="CY25229" s="34" t="s">
        <v>26155</v>
      </c>
      <c r="CZ25229" s="35">
        <v>2.0804618E-2</v>
      </c>
    </row>
    <row r="25230" spans="103:104" x14ac:dyDescent="0.3">
      <c r="CY25230" s="34" t="s">
        <v>26156</v>
      </c>
      <c r="CZ25230" s="35">
        <v>2.4952891428571427E-3</v>
      </c>
    </row>
    <row r="25231" spans="103:104" x14ac:dyDescent="0.3">
      <c r="CY25231" s="34" t="s">
        <v>26157</v>
      </c>
      <c r="CZ25231" s="35">
        <v>0.16429144399999998</v>
      </c>
    </row>
    <row r="25232" spans="103:104" x14ac:dyDescent="0.3">
      <c r="CY25232" s="34" t="s">
        <v>26158</v>
      </c>
      <c r="CZ25232" s="35">
        <v>0.11809399400000001</v>
      </c>
    </row>
    <row r="25233" spans="103:104" x14ac:dyDescent="0.3">
      <c r="CY25233" s="34" t="s">
        <v>26159</v>
      </c>
      <c r="CZ25233" s="35">
        <v>0.16429144399999998</v>
      </c>
    </row>
    <row r="25234" spans="103:104" x14ac:dyDescent="0.3">
      <c r="CY25234" s="34" t="s">
        <v>26160</v>
      </c>
      <c r="CZ25234" s="35">
        <v>0.17355321000000001</v>
      </c>
    </row>
    <row r="25235" spans="103:104" x14ac:dyDescent="0.3">
      <c r="CY25235" s="34" t="s">
        <v>26161</v>
      </c>
      <c r="CZ25235" s="35">
        <v>0.18777464999999999</v>
      </c>
    </row>
    <row r="25236" spans="103:104" x14ac:dyDescent="0.3">
      <c r="CY25236" s="34" t="s">
        <v>26162</v>
      </c>
      <c r="CZ25236" s="35">
        <v>2.2476512000000001E-2</v>
      </c>
    </row>
    <row r="25237" spans="103:104" x14ac:dyDescent="0.3">
      <c r="CY25237" s="34" t="s">
        <v>26163</v>
      </c>
      <c r="CZ25237" s="35">
        <v>1.900564E-3</v>
      </c>
    </row>
    <row r="25238" spans="103:104" x14ac:dyDescent="0.3">
      <c r="CY25238" s="34" t="s">
        <v>26164</v>
      </c>
      <c r="CZ25238" s="35">
        <v>6.6088413894736853E-2</v>
      </c>
    </row>
    <row r="25239" spans="103:104" x14ac:dyDescent="0.3">
      <c r="CY25239" s="34" t="s">
        <v>26165</v>
      </c>
      <c r="CZ25239" s="35">
        <v>0.3324202</v>
      </c>
    </row>
    <row r="25240" spans="103:104" x14ac:dyDescent="0.3">
      <c r="CY25240" s="34" t="s">
        <v>26166</v>
      </c>
      <c r="CZ25240" s="35">
        <v>6.0764739999999998E-2</v>
      </c>
    </row>
    <row r="25241" spans="103:104" x14ac:dyDescent="0.3">
      <c r="CY25241" s="34" t="s">
        <v>26167</v>
      </c>
      <c r="CZ25241" s="35">
        <v>3.599030000000001E-2</v>
      </c>
    </row>
    <row r="25242" spans="103:104" x14ac:dyDescent="0.3">
      <c r="CY25242" s="34" t="s">
        <v>26168</v>
      </c>
      <c r="CZ25242" s="35">
        <v>3.4996774000000002E-3</v>
      </c>
    </row>
    <row r="25243" spans="103:104" x14ac:dyDescent="0.3">
      <c r="CY25243" s="34" t="s">
        <v>26169</v>
      </c>
      <c r="CZ25243" s="35">
        <v>1.54109E-3</v>
      </c>
    </row>
    <row r="25244" spans="103:104" x14ac:dyDescent="0.3">
      <c r="CY25244" s="34" t="s">
        <v>26170</v>
      </c>
      <c r="CZ25244" s="35">
        <v>7.8155254000000007E-2</v>
      </c>
    </row>
    <row r="25245" spans="103:104" x14ac:dyDescent="0.3">
      <c r="CY25245" s="34" t="s">
        <v>26171</v>
      </c>
      <c r="CZ25245" s="35">
        <v>3.2038402000000004E-3</v>
      </c>
    </row>
    <row r="25246" spans="103:104" x14ac:dyDescent="0.3">
      <c r="CY25246" s="34" t="s">
        <v>26172</v>
      </c>
      <c r="CZ25246" s="35">
        <v>2.9473455999999999E-4</v>
      </c>
    </row>
    <row r="25247" spans="103:104" x14ac:dyDescent="0.3">
      <c r="CY25247" s="34" t="s">
        <v>26173</v>
      </c>
      <c r="CZ25247" s="35">
        <v>1.7356508999999999E-2</v>
      </c>
    </row>
    <row r="25248" spans="103:104" x14ac:dyDescent="0.3">
      <c r="CY25248" s="34" t="s">
        <v>26174</v>
      </c>
      <c r="CZ25248" s="35">
        <v>5.482960800000001E-4</v>
      </c>
    </row>
    <row r="25249" spans="103:104" x14ac:dyDescent="0.3">
      <c r="CY25249" s="34" t="s">
        <v>26175</v>
      </c>
      <c r="CZ25249" s="35">
        <v>5.1676823420500001E-3</v>
      </c>
    </row>
    <row r="25250" spans="103:104" x14ac:dyDescent="0.3">
      <c r="CY25250" s="34" t="s">
        <v>26176</v>
      </c>
      <c r="CZ25250" s="35">
        <v>5.9831501999999996E-3</v>
      </c>
    </row>
    <row r="25251" spans="103:104" x14ac:dyDescent="0.3">
      <c r="CY25251" s="34" t="s">
        <v>26177</v>
      </c>
      <c r="CZ25251" s="35">
        <v>0.39306065000000007</v>
      </c>
    </row>
    <row r="25252" spans="103:104" x14ac:dyDescent="0.3">
      <c r="CY25252" s="34" t="s">
        <v>26178</v>
      </c>
      <c r="CZ25252" s="35">
        <v>3.481879111111111E-3</v>
      </c>
    </row>
    <row r="25253" spans="103:104" x14ac:dyDescent="0.3">
      <c r="CY25253" s="34" t="s">
        <v>26179</v>
      </c>
      <c r="CZ25253" s="35">
        <v>3.2031032933333335E-2</v>
      </c>
    </row>
    <row r="25254" spans="103:104" x14ac:dyDescent="0.3">
      <c r="CY25254" s="34" t="s">
        <v>26180</v>
      </c>
      <c r="CZ25254" s="35">
        <v>3.2113457799999995E-2</v>
      </c>
    </row>
    <row r="25255" spans="103:104" x14ac:dyDescent="0.3">
      <c r="CY25255" s="34" t="s">
        <v>26181</v>
      </c>
      <c r="CZ25255" s="35">
        <v>8.8995309999999987E-3</v>
      </c>
    </row>
    <row r="25256" spans="103:104" x14ac:dyDescent="0.3">
      <c r="CY25256" s="34" t="s">
        <v>26182</v>
      </c>
      <c r="CZ25256" s="35">
        <v>2.8976240000000001E-3</v>
      </c>
    </row>
    <row r="25257" spans="103:104" x14ac:dyDescent="0.3">
      <c r="CY25257" s="34" t="s">
        <v>26183</v>
      </c>
      <c r="CZ25257" s="35">
        <v>5.6838739999999994E-3</v>
      </c>
    </row>
    <row r="25258" spans="103:104" x14ac:dyDescent="0.3">
      <c r="CY25258" s="34" t="s">
        <v>26184</v>
      </c>
      <c r="CZ25258" s="35">
        <v>0.49503625000000001</v>
      </c>
    </row>
    <row r="25259" spans="103:104" x14ac:dyDescent="0.3">
      <c r="CY25259" s="34" t="s">
        <v>26185</v>
      </c>
      <c r="CZ25259" s="35">
        <v>0.27365278400000009</v>
      </c>
    </row>
    <row r="25260" spans="103:104" x14ac:dyDescent="0.3">
      <c r="CY25260" s="34" t="s">
        <v>26186</v>
      </c>
      <c r="CZ25260" s="35">
        <v>0.16748334400000003</v>
      </c>
    </row>
    <row r="25261" spans="103:104" x14ac:dyDescent="0.3">
      <c r="CY25261" s="34" t="s">
        <v>26187</v>
      </c>
      <c r="CZ25261" s="35">
        <v>1.2891952500000001E-2</v>
      </c>
    </row>
    <row r="25262" spans="103:104" x14ac:dyDescent="0.3">
      <c r="CY25262" s="34" t="s">
        <v>26188</v>
      </c>
      <c r="CZ25262" s="35">
        <v>5.0903139999999999E-4</v>
      </c>
    </row>
    <row r="25263" spans="103:104" x14ac:dyDescent="0.3">
      <c r="CY25263" s="34" t="s">
        <v>26189</v>
      </c>
      <c r="CZ25263" s="35">
        <v>5.3920552000000005E-4</v>
      </c>
    </row>
    <row r="25264" spans="103:104" x14ac:dyDescent="0.3">
      <c r="CY25264" s="34" t="s">
        <v>26190</v>
      </c>
      <c r="CZ25264" s="35">
        <v>6.6809744000000007E-4</v>
      </c>
    </row>
    <row r="25265" spans="103:104" x14ac:dyDescent="0.3">
      <c r="CY25265" s="34" t="s">
        <v>26191</v>
      </c>
      <c r="CZ25265" s="35">
        <v>5.455383333333333E-4</v>
      </c>
    </row>
    <row r="25266" spans="103:104" x14ac:dyDescent="0.3">
      <c r="CY25266" s="34" t="s">
        <v>26192</v>
      </c>
      <c r="CZ25266" s="35">
        <v>7.474246000000001E-4</v>
      </c>
    </row>
    <row r="25267" spans="103:104" x14ac:dyDescent="0.3">
      <c r="CY25267" s="34" t="s">
        <v>26193</v>
      </c>
      <c r="CZ25267" s="35">
        <v>2.4610973349999997E-3</v>
      </c>
    </row>
    <row r="25268" spans="103:104" x14ac:dyDescent="0.3">
      <c r="CY25268" s="34" t="s">
        <v>26194</v>
      </c>
      <c r="CZ25268" s="35">
        <v>4.5517589499999999E-4</v>
      </c>
    </row>
    <row r="25269" spans="103:104" x14ac:dyDescent="0.3">
      <c r="CY25269" s="34" t="s">
        <v>26195</v>
      </c>
      <c r="CZ25269" s="35">
        <v>4.8427978666666677E-2</v>
      </c>
    </row>
    <row r="25270" spans="103:104" x14ac:dyDescent="0.3">
      <c r="CY25270" s="34" t="s">
        <v>26196</v>
      </c>
      <c r="CZ25270" s="35">
        <v>2.9656255999999993E-4</v>
      </c>
    </row>
    <row r="25271" spans="103:104" x14ac:dyDescent="0.3">
      <c r="CY25271" s="34" t="s">
        <v>26197</v>
      </c>
      <c r="CZ25271" s="35">
        <v>0.21057664800000001</v>
      </c>
    </row>
    <row r="25272" spans="103:104" x14ac:dyDescent="0.3">
      <c r="CY25272" s="34" t="s">
        <v>26198</v>
      </c>
      <c r="CZ25272" s="35">
        <v>1.353E-3</v>
      </c>
    </row>
    <row r="25273" spans="103:104" x14ac:dyDescent="0.3">
      <c r="CY25273" s="34" t="s">
        <v>26199</v>
      </c>
      <c r="CZ25273" s="35">
        <v>2.9396027199999997E-2</v>
      </c>
    </row>
    <row r="25274" spans="103:104" x14ac:dyDescent="0.3">
      <c r="CY25274" s="34" t="s">
        <v>26200</v>
      </c>
      <c r="CZ25274" s="35">
        <v>5.2596834133333337E-4</v>
      </c>
    </row>
    <row r="25275" spans="103:104" x14ac:dyDescent="0.3">
      <c r="CY25275" s="34" t="s">
        <v>26201</v>
      </c>
      <c r="CZ25275" s="35">
        <v>2.8656353599999999E-3</v>
      </c>
    </row>
    <row r="25276" spans="103:104" x14ac:dyDescent="0.3">
      <c r="CY25276" s="34" t="s">
        <v>26202</v>
      </c>
      <c r="CZ25276" s="35">
        <v>2.9926192600000002E-2</v>
      </c>
    </row>
    <row r="25277" spans="103:104" x14ac:dyDescent="0.3">
      <c r="CY25277" s="34" t="s">
        <v>26203</v>
      </c>
      <c r="CZ25277" s="35">
        <v>2.9926192599999998E-2</v>
      </c>
    </row>
    <row r="25278" spans="103:104" x14ac:dyDescent="0.3">
      <c r="CY25278" s="34" t="s">
        <v>26204</v>
      </c>
      <c r="CZ25278" s="35">
        <v>6.4090550300499993E-3</v>
      </c>
    </row>
    <row r="25279" spans="103:104" x14ac:dyDescent="0.3">
      <c r="CY25279" s="34" t="s">
        <v>26205</v>
      </c>
      <c r="CZ25279" s="35">
        <v>1.3394240000000001E-3</v>
      </c>
    </row>
    <row r="25280" spans="103:104" x14ac:dyDescent="0.3">
      <c r="CY25280" s="34" t="s">
        <v>26206</v>
      </c>
      <c r="CZ25280" s="35">
        <v>9.2372536000000005E-2</v>
      </c>
    </row>
    <row r="25281" spans="103:104" x14ac:dyDescent="0.3">
      <c r="CY25281" s="34" t="s">
        <v>26207</v>
      </c>
      <c r="CZ25281" s="35">
        <v>0.15725881126315794</v>
      </c>
    </row>
    <row r="25282" spans="103:104" x14ac:dyDescent="0.3">
      <c r="CY25282" s="34" t="s">
        <v>26208</v>
      </c>
      <c r="CZ25282" s="35">
        <v>0.10986925600000001</v>
      </c>
    </row>
    <row r="25283" spans="103:104" x14ac:dyDescent="0.3">
      <c r="CY25283" s="34" t="s">
        <v>26209</v>
      </c>
      <c r="CZ25283" s="35">
        <v>3.8536784350000001E-3</v>
      </c>
    </row>
    <row r="25284" spans="103:104" x14ac:dyDescent="0.3">
      <c r="CY25284" s="34" t="s">
        <v>26210</v>
      </c>
      <c r="CZ25284" s="35">
        <v>0.18283263999999999</v>
      </c>
    </row>
    <row r="25285" spans="103:104" x14ac:dyDescent="0.3">
      <c r="CY25285" s="34" t="s">
        <v>26211</v>
      </c>
      <c r="CZ25285" s="35">
        <v>2.5006580000000004E-2</v>
      </c>
    </row>
    <row r="25286" spans="103:104" x14ac:dyDescent="0.3">
      <c r="CY25286" s="34" t="s">
        <v>26212</v>
      </c>
      <c r="CZ25286" s="35">
        <v>6.6607280000000003E-3</v>
      </c>
    </row>
    <row r="25287" spans="103:104" x14ac:dyDescent="0.3">
      <c r="CY25287" s="34" t="s">
        <v>26213</v>
      </c>
      <c r="CZ25287" s="35">
        <v>2.4928935999999995E-2</v>
      </c>
    </row>
    <row r="25288" spans="103:104" x14ac:dyDescent="0.3">
      <c r="CY25288" s="34" t="s">
        <v>26214</v>
      </c>
      <c r="CZ25288" s="35">
        <v>2.5754951199999997E-2</v>
      </c>
    </row>
    <row r="25289" spans="103:104" x14ac:dyDescent="0.3">
      <c r="CY25289" s="34" t="s">
        <v>26215</v>
      </c>
      <c r="CZ25289" s="35">
        <v>7.7800079999999997E-3</v>
      </c>
    </row>
    <row r="25290" spans="103:104" x14ac:dyDescent="0.3">
      <c r="CY25290" s="34" t="s">
        <v>26216</v>
      </c>
      <c r="CZ25290" s="35">
        <v>1.172608E-2</v>
      </c>
    </row>
    <row r="25291" spans="103:104" x14ac:dyDescent="0.3">
      <c r="CY25291" s="34" t="s">
        <v>26217</v>
      </c>
      <c r="CZ25291" s="35">
        <v>4.42475092E-2</v>
      </c>
    </row>
    <row r="25292" spans="103:104" x14ac:dyDescent="0.3">
      <c r="CY25292" s="34" t="s">
        <v>26218</v>
      </c>
      <c r="CZ25292" s="35">
        <v>2.0737257460000002E-2</v>
      </c>
    </row>
    <row r="25293" spans="103:104" x14ac:dyDescent="0.3">
      <c r="CY25293" s="34" t="s">
        <v>26219</v>
      </c>
      <c r="CZ25293" s="35">
        <v>3.6779278000000004E-3</v>
      </c>
    </row>
    <row r="25294" spans="103:104" x14ac:dyDescent="0.3">
      <c r="CY25294" s="34" t="s">
        <v>26220</v>
      </c>
      <c r="CZ25294" s="35">
        <v>5.9708360000000002E-3</v>
      </c>
    </row>
    <row r="25295" spans="103:104" x14ac:dyDescent="0.3">
      <c r="CY25295" s="34" t="s">
        <v>26221</v>
      </c>
      <c r="CZ25295" s="35">
        <v>1.21924784E-2</v>
      </c>
    </row>
    <row r="25296" spans="103:104" x14ac:dyDescent="0.3">
      <c r="CY25296" s="34" t="s">
        <v>26222</v>
      </c>
      <c r="CZ25296" s="35">
        <v>1.7446349E-2</v>
      </c>
    </row>
    <row r="25297" spans="103:104" x14ac:dyDescent="0.3">
      <c r="CY25297" s="34" t="s">
        <v>26223</v>
      </c>
      <c r="CZ25297" s="35">
        <v>5.7819084700000002E-2</v>
      </c>
    </row>
    <row r="25298" spans="103:104" x14ac:dyDescent="0.3">
      <c r="CY25298" s="34" t="s">
        <v>26224</v>
      </c>
      <c r="CZ25298" s="35">
        <v>6.4037835999999987E-2</v>
      </c>
    </row>
    <row r="25299" spans="103:104" x14ac:dyDescent="0.3">
      <c r="CY25299" s="34" t="s">
        <v>26225</v>
      </c>
      <c r="CZ25299" s="35">
        <v>4.9388212000000001E-2</v>
      </c>
    </row>
    <row r="25300" spans="103:104" x14ac:dyDescent="0.3">
      <c r="CY25300" s="34" t="s">
        <v>26226</v>
      </c>
      <c r="CZ25300" s="35">
        <v>6.6972508E-2</v>
      </c>
    </row>
    <row r="25301" spans="103:104" x14ac:dyDescent="0.3">
      <c r="CY25301" s="34" t="s">
        <v>26227</v>
      </c>
      <c r="CZ25301" s="35">
        <v>0.26793020600000006</v>
      </c>
    </row>
    <row r="25302" spans="103:104" x14ac:dyDescent="0.3">
      <c r="CY25302" s="34" t="s">
        <v>26228</v>
      </c>
      <c r="CZ25302" s="35">
        <v>7.8643442039999997E-3</v>
      </c>
    </row>
    <row r="25303" spans="103:104" x14ac:dyDescent="0.3">
      <c r="CY25303" s="34" t="s">
        <v>26229</v>
      </c>
      <c r="CZ25303" s="35">
        <v>7.1203372000000001E-2</v>
      </c>
    </row>
    <row r="25304" spans="103:104" x14ac:dyDescent="0.3">
      <c r="CY25304" s="34" t="s">
        <v>26230</v>
      </c>
      <c r="CZ25304" s="35">
        <v>5.7081420000000001E-2</v>
      </c>
    </row>
    <row r="25305" spans="103:104" x14ac:dyDescent="0.3">
      <c r="CY25305" s="34" t="s">
        <v>26231</v>
      </c>
      <c r="CZ25305" s="35">
        <v>0.23057401999999999</v>
      </c>
    </row>
    <row r="25306" spans="103:104" x14ac:dyDescent="0.3">
      <c r="CY25306" s="34" t="s">
        <v>26232</v>
      </c>
      <c r="CZ25306" s="35">
        <v>0.11091353333333333</v>
      </c>
    </row>
    <row r="25307" spans="103:104" x14ac:dyDescent="0.3">
      <c r="CY25307" s="34" t="s">
        <v>26233</v>
      </c>
      <c r="CZ25307" s="35">
        <v>6.4453200000000007E-4</v>
      </c>
    </row>
    <row r="25308" spans="103:104" x14ac:dyDescent="0.3">
      <c r="CY25308" s="34" t="s">
        <v>26234</v>
      </c>
      <c r="CZ25308" s="35">
        <v>6.8891676666666665E-2</v>
      </c>
    </row>
    <row r="25309" spans="103:104" x14ac:dyDescent="0.3">
      <c r="CY25309" s="34" t="s">
        <v>26235</v>
      </c>
      <c r="CZ25309" s="35">
        <v>0.11856716125</v>
      </c>
    </row>
    <row r="25310" spans="103:104" x14ac:dyDescent="0.3">
      <c r="CY25310" s="34" t="s">
        <v>26236</v>
      </c>
      <c r="CZ25310" s="35">
        <v>73.022116819999994</v>
      </c>
    </row>
    <row r="25311" spans="103:104" x14ac:dyDescent="0.3">
      <c r="CY25311" s="34" t="s">
        <v>26237</v>
      </c>
      <c r="CZ25311" s="35">
        <v>0.97170884999999996</v>
      </c>
    </row>
    <row r="25312" spans="103:104" x14ac:dyDescent="0.3">
      <c r="CY25312" s="34" t="s">
        <v>26238</v>
      </c>
      <c r="CZ25312" s="35">
        <v>73.022116819999994</v>
      </c>
    </row>
    <row r="25313" spans="103:104" x14ac:dyDescent="0.3">
      <c r="CY25313" s="34" t="s">
        <v>26239</v>
      </c>
      <c r="CZ25313" s="35">
        <v>72.965997239999993</v>
      </c>
    </row>
    <row r="25314" spans="103:104" x14ac:dyDescent="0.3">
      <c r="CY25314" s="34" t="s">
        <v>26240</v>
      </c>
      <c r="CZ25314" s="35">
        <v>73.022116819999994</v>
      </c>
    </row>
    <row r="25315" spans="103:104" x14ac:dyDescent="0.3">
      <c r="CY25315" s="34" t="s">
        <v>26241</v>
      </c>
      <c r="CZ25315" s="35">
        <v>73.022116819999994</v>
      </c>
    </row>
    <row r="25316" spans="103:104" x14ac:dyDescent="0.3">
      <c r="CY25316" s="34" t="s">
        <v>26242</v>
      </c>
      <c r="CZ25316" s="35">
        <v>8.1423033333333339E-2</v>
      </c>
    </row>
    <row r="25317" spans="103:104" x14ac:dyDescent="0.3">
      <c r="CY25317" s="34" t="s">
        <v>26243</v>
      </c>
      <c r="CZ25317" s="35">
        <v>8.1423033333333353E-2</v>
      </c>
    </row>
    <row r="25318" spans="103:104" x14ac:dyDescent="0.3">
      <c r="CY25318" s="34" t="s">
        <v>26244</v>
      </c>
      <c r="CZ25318" s="35">
        <v>4.1290240000000002E-3</v>
      </c>
    </row>
    <row r="25319" spans="103:104" x14ac:dyDescent="0.3">
      <c r="CY25319" s="34" t="s">
        <v>26245</v>
      </c>
      <c r="CZ25319" s="35">
        <v>0.10736357200000002</v>
      </c>
    </row>
    <row r="25320" spans="103:104" x14ac:dyDescent="0.3">
      <c r="CY25320" s="34" t="s">
        <v>26246</v>
      </c>
      <c r="CZ25320" s="35">
        <v>0.17396463200000001</v>
      </c>
    </row>
    <row r="25321" spans="103:104" x14ac:dyDescent="0.3">
      <c r="CY25321" s="34" t="s">
        <v>26247</v>
      </c>
      <c r="CZ25321" s="35">
        <v>3.8226667999999991E-2</v>
      </c>
    </row>
    <row r="25322" spans="103:104" x14ac:dyDescent="0.3">
      <c r="CY25322" s="34" t="s">
        <v>26248</v>
      </c>
      <c r="CZ25322" s="35">
        <v>9.0928647999999987E-2</v>
      </c>
    </row>
    <row r="25323" spans="103:104" x14ac:dyDescent="0.3">
      <c r="CY25323" s="34" t="s">
        <v>26249</v>
      </c>
      <c r="CZ25323" s="35">
        <v>0.11621773999999999</v>
      </c>
    </row>
    <row r="25324" spans="103:104" x14ac:dyDescent="0.3">
      <c r="CY25324" s="34" t="s">
        <v>26250</v>
      </c>
      <c r="CZ25324" s="35">
        <v>6.1553664000000001E-2</v>
      </c>
    </row>
    <row r="25325" spans="103:104" x14ac:dyDescent="0.3">
      <c r="CY25325" s="34" t="s">
        <v>26251</v>
      </c>
      <c r="CZ25325" s="35">
        <v>3.4188975999999996E-2</v>
      </c>
    </row>
    <row r="25326" spans="103:104" x14ac:dyDescent="0.3">
      <c r="CY25326" s="34" t="s">
        <v>26252</v>
      </c>
      <c r="CZ25326" s="35">
        <v>3.2348975999999995E-2</v>
      </c>
    </row>
    <row r="25327" spans="103:104" x14ac:dyDescent="0.3">
      <c r="CY25327" s="34" t="s">
        <v>26253</v>
      </c>
      <c r="CZ25327" s="35">
        <v>4.7261504660000002E-2</v>
      </c>
    </row>
    <row r="25328" spans="103:104" x14ac:dyDescent="0.3">
      <c r="CY25328" s="34" t="s">
        <v>26254</v>
      </c>
      <c r="CZ25328" s="35">
        <v>0.1864864687353</v>
      </c>
    </row>
    <row r="25329" spans="103:104" x14ac:dyDescent="0.3">
      <c r="CY25329" s="34" t="s">
        <v>26255</v>
      </c>
      <c r="CZ25329" s="35">
        <v>4.0916136200000008E-2</v>
      </c>
    </row>
    <row r="25330" spans="103:104" x14ac:dyDescent="0.3">
      <c r="CY25330" s="34" t="s">
        <v>26256</v>
      </c>
      <c r="CZ25330" s="35">
        <v>3.7992238400000002E-4</v>
      </c>
    </row>
    <row r="25331" spans="103:104" x14ac:dyDescent="0.3">
      <c r="CY25331" s="34" t="s">
        <v>26257</v>
      </c>
      <c r="CZ25331" s="35">
        <v>1.9267599599999997E-2</v>
      </c>
    </row>
    <row r="25332" spans="103:104" x14ac:dyDescent="0.3">
      <c r="CY25332" s="34" t="s">
        <v>26258</v>
      </c>
      <c r="CZ25332" s="35">
        <v>0.89743959999999989</v>
      </c>
    </row>
    <row r="25333" spans="103:104" x14ac:dyDescent="0.3">
      <c r="CY25333" s="34" t="s">
        <v>26259</v>
      </c>
      <c r="CZ25333" s="35">
        <v>0.92009611427619997</v>
      </c>
    </row>
    <row r="25334" spans="103:104" x14ac:dyDescent="0.3">
      <c r="CY25334" s="34" t="s">
        <v>26260</v>
      </c>
      <c r="CZ25334" s="35">
        <v>0.12625841599999998</v>
      </c>
    </row>
    <row r="25335" spans="103:104" x14ac:dyDescent="0.3">
      <c r="CY25335" s="34" t="s">
        <v>26261</v>
      </c>
      <c r="CZ25335" s="35">
        <v>8.4213915789473695E-3</v>
      </c>
    </row>
    <row r="25336" spans="103:104" x14ac:dyDescent="0.3">
      <c r="CY25336" s="34" t="s">
        <v>26262</v>
      </c>
      <c r="CZ25336" s="35">
        <v>2.0871934999999999E-3</v>
      </c>
    </row>
    <row r="25337" spans="103:104" x14ac:dyDescent="0.3">
      <c r="CY25337" s="34" t="s">
        <v>26263</v>
      </c>
      <c r="CZ25337" s="35">
        <v>0.12996844800000001</v>
      </c>
    </row>
    <row r="25338" spans="103:104" x14ac:dyDescent="0.3">
      <c r="CY25338" s="34" t="s">
        <v>26264</v>
      </c>
      <c r="CZ25338" s="35">
        <v>1.9708808000000002E-3</v>
      </c>
    </row>
    <row r="25339" spans="103:104" x14ac:dyDescent="0.3">
      <c r="CY25339" s="34" t="s">
        <v>26265</v>
      </c>
      <c r="CZ25339" s="35">
        <v>6.6426464516129041E-4</v>
      </c>
    </row>
    <row r="25340" spans="103:104" x14ac:dyDescent="0.3">
      <c r="CY25340" s="34" t="s">
        <v>26266</v>
      </c>
      <c r="CZ25340" s="35">
        <v>5.052019E-2</v>
      </c>
    </row>
    <row r="25341" spans="103:104" x14ac:dyDescent="0.3">
      <c r="CY25341" s="34" t="s">
        <v>26267</v>
      </c>
      <c r="CZ25341" s="35">
        <v>1.8301486057142859E-2</v>
      </c>
    </row>
    <row r="25342" spans="103:104" x14ac:dyDescent="0.3">
      <c r="CY25342" s="34" t="s">
        <v>26268</v>
      </c>
      <c r="CZ25342" s="35">
        <v>1.8295792000000002E-2</v>
      </c>
    </row>
    <row r="25343" spans="103:104" x14ac:dyDescent="0.3">
      <c r="CY25343" s="34" t="s">
        <v>26269</v>
      </c>
      <c r="CZ25343" s="35">
        <v>2.3686179444444445E-3</v>
      </c>
    </row>
    <row r="25344" spans="103:104" x14ac:dyDescent="0.3">
      <c r="CY25344" s="34" t="s">
        <v>26270</v>
      </c>
      <c r="CZ25344" s="35">
        <v>6.5961170000000003E-3</v>
      </c>
    </row>
    <row r="25345" spans="103:104" x14ac:dyDescent="0.3">
      <c r="CY25345" s="34" t="s">
        <v>26271</v>
      </c>
      <c r="CZ25345" s="35">
        <v>7.8155254000000007E-2</v>
      </c>
    </row>
    <row r="25346" spans="103:104" x14ac:dyDescent="0.3">
      <c r="CY25346" s="34" t="s">
        <v>26272</v>
      </c>
      <c r="CZ25346" s="35">
        <v>4.3298608000000009E-2</v>
      </c>
    </row>
    <row r="25347" spans="103:104" x14ac:dyDescent="0.3">
      <c r="CY25347" s="34" t="s">
        <v>26273</v>
      </c>
      <c r="CZ25347" s="35">
        <v>6.2501487999999994E-2</v>
      </c>
    </row>
    <row r="25348" spans="103:104" x14ac:dyDescent="0.3">
      <c r="CY25348" s="34" t="s">
        <v>26274</v>
      </c>
      <c r="CZ25348" s="35">
        <v>1.2113064E-3</v>
      </c>
    </row>
    <row r="25349" spans="103:104" x14ac:dyDescent="0.3">
      <c r="CY25349" s="34" t="s">
        <v>26275</v>
      </c>
      <c r="CZ25349" s="35">
        <v>0.13679444210526318</v>
      </c>
    </row>
    <row r="25350" spans="103:104" x14ac:dyDescent="0.3">
      <c r="CY25350" s="34" t="s">
        <v>26276</v>
      </c>
      <c r="CZ25350" s="35">
        <v>0.22696428999999999</v>
      </c>
    </row>
    <row r="25351" spans="103:104" x14ac:dyDescent="0.3">
      <c r="CY25351" s="34" t="s">
        <v>26277</v>
      </c>
      <c r="CZ25351" s="35">
        <v>0.22432125</v>
      </c>
    </row>
    <row r="25352" spans="103:104" x14ac:dyDescent="0.3">
      <c r="CY25352" s="34" t="s">
        <v>26278</v>
      </c>
      <c r="CZ25352" s="35">
        <v>0.10072125</v>
      </c>
    </row>
    <row r="25353" spans="103:104" x14ac:dyDescent="0.3">
      <c r="CY25353" s="34" t="s">
        <v>26279</v>
      </c>
      <c r="CZ25353" s="35">
        <v>1.2208E-2</v>
      </c>
    </row>
    <row r="25354" spans="103:104" x14ac:dyDescent="0.3">
      <c r="CY25354" s="34" t="s">
        <v>26280</v>
      </c>
      <c r="CZ25354" s="35">
        <v>1.5008000000000001E-2</v>
      </c>
    </row>
    <row r="25355" spans="103:104" x14ac:dyDescent="0.3">
      <c r="CY25355" s="34" t="s">
        <v>26281</v>
      </c>
      <c r="CZ25355" s="35">
        <v>5.1750240000000001E-4</v>
      </c>
    </row>
    <row r="25356" spans="103:104" x14ac:dyDescent="0.3">
      <c r="CY25356" s="34" t="s">
        <v>26282</v>
      </c>
      <c r="CZ25356" s="35">
        <v>1.7719106666666668E-3</v>
      </c>
    </row>
    <row r="25357" spans="103:104" x14ac:dyDescent="0.3">
      <c r="CY25357" s="34" t="s">
        <v>26283</v>
      </c>
      <c r="CZ25357" s="35">
        <v>1.0091292E-2</v>
      </c>
    </row>
    <row r="25358" spans="103:104" x14ac:dyDescent="0.3">
      <c r="CY25358" s="34" t="s">
        <v>26284</v>
      </c>
      <c r="CZ25358" s="35">
        <v>4.8943800000000003E-2</v>
      </c>
    </row>
    <row r="25359" spans="103:104" x14ac:dyDescent="0.3">
      <c r="CY25359" s="34" t="s">
        <v>26285</v>
      </c>
      <c r="CZ25359" s="35">
        <v>1.0681991199999999E-2</v>
      </c>
    </row>
    <row r="25360" spans="103:104" x14ac:dyDescent="0.3">
      <c r="CY25360" s="34" t="s">
        <v>26286</v>
      </c>
      <c r="CZ25360" s="35">
        <v>4.6721458333333328E-3</v>
      </c>
    </row>
    <row r="25361" spans="103:104" x14ac:dyDescent="0.3">
      <c r="CY25361" s="34" t="s">
        <v>26287</v>
      </c>
      <c r="CZ25361" s="35">
        <v>0.53191623329999993</v>
      </c>
    </row>
    <row r="25362" spans="103:104" x14ac:dyDescent="0.3">
      <c r="CY25362" s="34" t="s">
        <v>26288</v>
      </c>
      <c r="CZ25362" s="35">
        <v>0.51317061249999996</v>
      </c>
    </row>
    <row r="25363" spans="103:104" x14ac:dyDescent="0.3">
      <c r="CY25363" s="34" t="s">
        <v>26289</v>
      </c>
      <c r="CZ25363" s="35">
        <v>0.54976133329999999</v>
      </c>
    </row>
    <row r="25364" spans="103:104" x14ac:dyDescent="0.3">
      <c r="CY25364" s="34" t="s">
        <v>26290</v>
      </c>
      <c r="CZ25364" s="35">
        <v>0.6283497333000001</v>
      </c>
    </row>
    <row r="25365" spans="103:104" x14ac:dyDescent="0.3">
      <c r="CY25365" s="34" t="s">
        <v>26291</v>
      </c>
      <c r="CZ25365" s="35">
        <v>1.3516604999999999E-2</v>
      </c>
    </row>
    <row r="25366" spans="103:104" x14ac:dyDescent="0.3">
      <c r="CY25366" s="34" t="s">
        <v>26292</v>
      </c>
      <c r="CZ25366" s="35">
        <v>1.5848604999999998E-2</v>
      </c>
    </row>
    <row r="25367" spans="103:104" x14ac:dyDescent="0.3">
      <c r="CY25367" s="34" t="s">
        <v>26293</v>
      </c>
      <c r="CZ25367" s="35">
        <v>4.4542471999999998E-3</v>
      </c>
    </row>
    <row r="25368" spans="103:104" x14ac:dyDescent="0.3">
      <c r="CY25368" s="34" t="s">
        <v>26294</v>
      </c>
      <c r="CZ25368" s="35">
        <v>2.9268206315789476E-2</v>
      </c>
    </row>
    <row r="25369" spans="103:104" x14ac:dyDescent="0.3">
      <c r="CY25369" s="34" t="s">
        <v>26295</v>
      </c>
      <c r="CZ25369" s="35">
        <v>0.10582781333333334</v>
      </c>
    </row>
    <row r="25370" spans="103:104" x14ac:dyDescent="0.3">
      <c r="CY25370" s="34" t="s">
        <v>26296</v>
      </c>
      <c r="CZ25370" s="35">
        <v>5.4561749999999997E-3</v>
      </c>
    </row>
    <row r="25371" spans="103:104" x14ac:dyDescent="0.3">
      <c r="CY25371" s="34" t="s">
        <v>26297</v>
      </c>
      <c r="CZ25371" s="35">
        <v>7.2801312000000005E-3</v>
      </c>
    </row>
    <row r="25372" spans="103:104" x14ac:dyDescent="0.3">
      <c r="CY25372" s="34" t="s">
        <v>26298</v>
      </c>
      <c r="CZ25372" s="35">
        <v>9.3650480765624988E-2</v>
      </c>
    </row>
    <row r="25373" spans="103:104" x14ac:dyDescent="0.3">
      <c r="CY25373" s="34" t="s">
        <v>26299</v>
      </c>
      <c r="CZ25373" s="35">
        <v>4.9506816000000004E-3</v>
      </c>
    </row>
    <row r="25374" spans="103:104" x14ac:dyDescent="0.3">
      <c r="CY25374" s="34" t="s">
        <v>26300</v>
      </c>
      <c r="CZ25374" s="35">
        <v>1.880294E-3</v>
      </c>
    </row>
    <row r="25375" spans="103:104" x14ac:dyDescent="0.3">
      <c r="CY25375" s="34" t="s">
        <v>26301</v>
      </c>
      <c r="CZ25375" s="35">
        <v>3.0344579999999999E-3</v>
      </c>
    </row>
    <row r="25376" spans="103:104" x14ac:dyDescent="0.3">
      <c r="CY25376" s="34" t="s">
        <v>26302</v>
      </c>
      <c r="CZ25376" s="35">
        <v>3.0344579999999999E-3</v>
      </c>
    </row>
    <row r="25377" spans="103:104" x14ac:dyDescent="0.3">
      <c r="CY25377" s="34" t="s">
        <v>26303</v>
      </c>
      <c r="CZ25377" s="35">
        <v>2.5702960000000006E-3</v>
      </c>
    </row>
    <row r="25378" spans="103:104" x14ac:dyDescent="0.3">
      <c r="CY25378" s="34" t="s">
        <v>26304</v>
      </c>
      <c r="CZ25378" s="35">
        <v>2.4227583058823534E-3</v>
      </c>
    </row>
    <row r="25379" spans="103:104" x14ac:dyDescent="0.3">
      <c r="CY25379" s="34" t="s">
        <v>26305</v>
      </c>
      <c r="CZ25379" s="35">
        <v>2.0750600000000001E-3</v>
      </c>
    </row>
    <row r="25380" spans="103:104" x14ac:dyDescent="0.3">
      <c r="CY25380" s="34" t="s">
        <v>26306</v>
      </c>
      <c r="CZ25380" s="35">
        <v>2.6781873600000002E-2</v>
      </c>
    </row>
    <row r="25381" spans="103:104" x14ac:dyDescent="0.3">
      <c r="CY25381" s="34" t="s">
        <v>26307</v>
      </c>
      <c r="CZ25381" s="35">
        <v>0.42486719999999994</v>
      </c>
    </row>
    <row r="25382" spans="103:104" x14ac:dyDescent="0.3">
      <c r="CY25382" s="34" t="s">
        <v>26308</v>
      </c>
      <c r="CZ25382" s="35">
        <v>0.39785500000000001</v>
      </c>
    </row>
    <row r="25383" spans="103:104" x14ac:dyDescent="0.3">
      <c r="CY25383" s="34" t="s">
        <v>26309</v>
      </c>
      <c r="CZ25383" s="35">
        <v>2.0791812999999999E-2</v>
      </c>
    </row>
    <row r="25384" spans="103:104" x14ac:dyDescent="0.3">
      <c r="CY25384" s="34" t="s">
        <v>26310</v>
      </c>
      <c r="CZ25384" s="35">
        <v>1.6340000000000001E-4</v>
      </c>
    </row>
    <row r="25385" spans="103:104" x14ac:dyDescent="0.3">
      <c r="CY25385" s="34" t="s">
        <v>26311</v>
      </c>
      <c r="CZ25385" s="35">
        <v>9.5385999999999999E-2</v>
      </c>
    </row>
    <row r="25386" spans="103:104" x14ac:dyDescent="0.3">
      <c r="CY25386" s="34" t="s">
        <v>26312</v>
      </c>
      <c r="CZ25386" s="35">
        <v>1.1777752714285715E-2</v>
      </c>
    </row>
    <row r="25387" spans="103:104" x14ac:dyDescent="0.3">
      <c r="CY25387" s="34" t="s">
        <v>26313</v>
      </c>
      <c r="CZ25387" s="35">
        <v>1.0987045714285715E-2</v>
      </c>
    </row>
    <row r="25388" spans="103:104" x14ac:dyDescent="0.3">
      <c r="CY25388" s="34" t="s">
        <v>26314</v>
      </c>
      <c r="CZ25388" s="35">
        <v>5.2914449333333335E-2</v>
      </c>
    </row>
    <row r="25389" spans="103:104" x14ac:dyDescent="0.3">
      <c r="CY25389" s="34" t="s">
        <v>26315</v>
      </c>
      <c r="CZ25389" s="35">
        <v>8.5395608000000001E-3</v>
      </c>
    </row>
    <row r="25390" spans="103:104" x14ac:dyDescent="0.3">
      <c r="CY25390" s="34" t="s">
        <v>26316</v>
      </c>
      <c r="CZ25390" s="35">
        <v>0.26107607999999999</v>
      </c>
    </row>
    <row r="25391" spans="103:104" x14ac:dyDescent="0.3">
      <c r="CY25391" s="34" t="s">
        <v>26317</v>
      </c>
      <c r="CZ25391" s="35">
        <v>0.25012607999999997</v>
      </c>
    </row>
    <row r="25392" spans="103:104" x14ac:dyDescent="0.3">
      <c r="CY25392" s="34" t="s">
        <v>26318</v>
      </c>
      <c r="CZ25392" s="35">
        <v>0</v>
      </c>
    </row>
    <row r="25393" spans="103:104" x14ac:dyDescent="0.3">
      <c r="CY25393" s="34" t="s">
        <v>26319</v>
      </c>
      <c r="CZ25393" s="35">
        <v>1.5035049599999999E-2</v>
      </c>
    </row>
    <row r="25394" spans="103:104" x14ac:dyDescent="0.3">
      <c r="CY25394" s="34" t="s">
        <v>26320</v>
      </c>
      <c r="CZ25394" s="35">
        <v>2.3191239999999997E-3</v>
      </c>
    </row>
    <row r="25395" spans="103:104" x14ac:dyDescent="0.3">
      <c r="CY25395" s="34" t="s">
        <v>26321</v>
      </c>
      <c r="CZ25395" s="35">
        <v>5.01343E-2</v>
      </c>
    </row>
    <row r="25396" spans="103:104" x14ac:dyDescent="0.3">
      <c r="CY25396" s="34" t="s">
        <v>26322</v>
      </c>
      <c r="CZ25396" s="35">
        <v>0.34735689999999997</v>
      </c>
    </row>
    <row r="25397" spans="103:104" x14ac:dyDescent="0.3">
      <c r="CY25397" s="34" t="s">
        <v>26323</v>
      </c>
      <c r="CZ25397" s="35">
        <v>0.18617878999999998</v>
      </c>
    </row>
    <row r="25398" spans="103:104" x14ac:dyDescent="0.3">
      <c r="CY25398" s="34" t="s">
        <v>26324</v>
      </c>
      <c r="CZ25398" s="35">
        <v>6.4514208666666666E-3</v>
      </c>
    </row>
    <row r="25399" spans="103:104" x14ac:dyDescent="0.3">
      <c r="CY25399" s="34" t="s">
        <v>26325</v>
      </c>
      <c r="CZ25399" s="35">
        <v>6.7461976E-3</v>
      </c>
    </row>
    <row r="25400" spans="103:104" x14ac:dyDescent="0.3">
      <c r="CY25400" s="34" t="s">
        <v>26326</v>
      </c>
      <c r="CZ25400" s="35">
        <v>7.3165239999999996E-3</v>
      </c>
    </row>
    <row r="25401" spans="103:104" x14ac:dyDescent="0.3">
      <c r="CY25401" s="34" t="s">
        <v>26327</v>
      </c>
      <c r="CZ25401" s="35">
        <v>6.4895540000000007E-3</v>
      </c>
    </row>
    <row r="25402" spans="103:104" x14ac:dyDescent="0.3">
      <c r="CY25402" s="34" t="s">
        <v>26328</v>
      </c>
      <c r="CZ25402" s="35">
        <v>6.7461976E-3</v>
      </c>
    </row>
    <row r="25403" spans="103:104" x14ac:dyDescent="0.3">
      <c r="CY25403" s="34" t="s">
        <v>26329</v>
      </c>
      <c r="CZ25403" s="35">
        <v>5.1836968000000001E-3</v>
      </c>
    </row>
    <row r="25404" spans="103:104" x14ac:dyDescent="0.3">
      <c r="CY25404" s="34" t="s">
        <v>26330</v>
      </c>
      <c r="CZ25404" s="35">
        <v>3.5586856E-3</v>
      </c>
    </row>
    <row r="25405" spans="103:104" x14ac:dyDescent="0.3">
      <c r="CY25405" s="34" t="s">
        <v>26331</v>
      </c>
      <c r="CZ25405" s="35">
        <v>9.7694199999999974E-3</v>
      </c>
    </row>
    <row r="25406" spans="103:104" x14ac:dyDescent="0.3">
      <c r="CY25406" s="34" t="s">
        <v>26332</v>
      </c>
      <c r="CZ25406" s="35">
        <v>1.7362380000000002E-3</v>
      </c>
    </row>
    <row r="25407" spans="103:104" x14ac:dyDescent="0.3">
      <c r="CY25407" s="34" t="s">
        <v>26333</v>
      </c>
      <c r="CZ25407" s="35">
        <v>2.4929939999999997E-3</v>
      </c>
    </row>
    <row r="25408" spans="103:104" x14ac:dyDescent="0.3">
      <c r="CY25408" s="34" t="s">
        <v>26334</v>
      </c>
      <c r="CZ25408" s="35">
        <v>5.1764781333333331E-3</v>
      </c>
    </row>
    <row r="25409" spans="103:104" x14ac:dyDescent="0.3">
      <c r="CY25409" s="34" t="s">
        <v>26335</v>
      </c>
      <c r="CZ25409" s="35">
        <v>7.7920586666666675E-4</v>
      </c>
    </row>
    <row r="25410" spans="103:104" x14ac:dyDescent="0.3">
      <c r="CY25410" s="34" t="s">
        <v>26336</v>
      </c>
      <c r="CZ25410" s="35">
        <v>2.2934140000000006E-3</v>
      </c>
    </row>
    <row r="25411" spans="103:104" x14ac:dyDescent="0.3">
      <c r="CY25411" s="34" t="s">
        <v>26337</v>
      </c>
      <c r="CZ25411" s="35">
        <v>1.2938476000000001E-3</v>
      </c>
    </row>
    <row r="25412" spans="103:104" x14ac:dyDescent="0.3">
      <c r="CY25412" s="34" t="s">
        <v>26338</v>
      </c>
      <c r="CZ25412" s="35">
        <v>7.1795866666666663E-3</v>
      </c>
    </row>
    <row r="25413" spans="103:104" x14ac:dyDescent="0.3">
      <c r="CY25413" s="34" t="s">
        <v>26339</v>
      </c>
      <c r="CZ25413" s="35">
        <v>3.3844048E-3</v>
      </c>
    </row>
    <row r="25414" spans="103:104" x14ac:dyDescent="0.3">
      <c r="CY25414" s="34" t="s">
        <v>26340</v>
      </c>
      <c r="CZ25414" s="35">
        <v>4.4490000000000003E-4</v>
      </c>
    </row>
    <row r="25415" spans="103:104" x14ac:dyDescent="0.3">
      <c r="CY25415" s="34" t="s">
        <v>26341</v>
      </c>
      <c r="CZ25415" s="35">
        <v>1.2202500000000001E-4</v>
      </c>
    </row>
    <row r="25416" spans="103:104" x14ac:dyDescent="0.3">
      <c r="CY25416" s="34" t="s">
        <v>26342</v>
      </c>
      <c r="CZ25416" s="35">
        <v>1.3645000000000001E-4</v>
      </c>
    </row>
    <row r="25417" spans="103:104" x14ac:dyDescent="0.3">
      <c r="CY25417" s="34" t="s">
        <v>26343</v>
      </c>
      <c r="CZ25417" s="35">
        <v>0.15326844967</v>
      </c>
    </row>
    <row r="25418" spans="103:104" x14ac:dyDescent="0.3">
      <c r="CY25418" s="34" t="s">
        <v>26344</v>
      </c>
      <c r="CZ25418" s="35">
        <v>0.19473604166999997</v>
      </c>
    </row>
    <row r="25419" spans="103:104" x14ac:dyDescent="0.3">
      <c r="CY25419" s="34" t="s">
        <v>26345</v>
      </c>
      <c r="CZ25419" s="35">
        <v>0.19473604166999997</v>
      </c>
    </row>
    <row r="25420" spans="103:104" x14ac:dyDescent="0.3">
      <c r="CY25420" s="34" t="s">
        <v>26346</v>
      </c>
      <c r="CZ25420" s="35">
        <v>1.8636811111111108E-3</v>
      </c>
    </row>
    <row r="25421" spans="103:104" x14ac:dyDescent="0.3">
      <c r="CY25421" s="34" t="s">
        <v>26347</v>
      </c>
      <c r="CZ25421" s="35">
        <v>3.5119869473684208E-2</v>
      </c>
    </row>
    <row r="25422" spans="103:104" x14ac:dyDescent="0.3">
      <c r="CY25422" s="34" t="s">
        <v>26348</v>
      </c>
      <c r="CZ25422" s="35">
        <v>5.8914206315789476E-3</v>
      </c>
    </row>
    <row r="25423" spans="103:104" x14ac:dyDescent="0.3">
      <c r="CY25423" s="34" t="s">
        <v>26349</v>
      </c>
      <c r="CZ25423" s="35">
        <v>4.7425111111111111E-4</v>
      </c>
    </row>
    <row r="25424" spans="103:104" x14ac:dyDescent="0.3">
      <c r="CY25424" s="34" t="s">
        <v>26350</v>
      </c>
      <c r="CZ25424" s="35">
        <v>2.1691800000000002E-3</v>
      </c>
    </row>
    <row r="25425" spans="103:104" x14ac:dyDescent="0.3">
      <c r="CY25425" s="34" t="s">
        <v>26351</v>
      </c>
      <c r="CZ25425" s="35">
        <v>9.9750088888888883E-4</v>
      </c>
    </row>
    <row r="25426" spans="103:104" x14ac:dyDescent="0.3">
      <c r="CY25426" s="34" t="s">
        <v>26352</v>
      </c>
      <c r="CZ25426" s="35">
        <v>1.3311724444444444E-3</v>
      </c>
    </row>
    <row r="25427" spans="103:104" x14ac:dyDescent="0.3">
      <c r="CY25427" s="34" t="s">
        <v>26353</v>
      </c>
      <c r="CZ25427" s="35">
        <v>1.8932240000000002E-3</v>
      </c>
    </row>
    <row r="25428" spans="103:104" x14ac:dyDescent="0.3">
      <c r="CY25428" s="34" t="s">
        <v>26354</v>
      </c>
      <c r="CZ25428" s="35">
        <v>1.1865663999999999E-3</v>
      </c>
    </row>
    <row r="25429" spans="103:104" x14ac:dyDescent="0.3">
      <c r="CY25429" s="34" t="s">
        <v>26355</v>
      </c>
      <c r="CZ25429" s="35">
        <v>0.70432220800000001</v>
      </c>
    </row>
    <row r="25430" spans="103:104" x14ac:dyDescent="0.3">
      <c r="CY25430" s="34" t="s">
        <v>26356</v>
      </c>
      <c r="CZ25430" s="35">
        <v>5.6814283E-2</v>
      </c>
    </row>
    <row r="25431" spans="103:104" x14ac:dyDescent="0.3">
      <c r="CY25431" s="34" t="s">
        <v>26357</v>
      </c>
      <c r="CZ25431" s="35">
        <v>7.22642084E-3</v>
      </c>
    </row>
    <row r="25432" spans="103:104" x14ac:dyDescent="0.3">
      <c r="CY25432" s="34" t="s">
        <v>26358</v>
      </c>
      <c r="CZ25432" s="35">
        <v>1.4881712E-2</v>
      </c>
    </row>
    <row r="25433" spans="103:104" x14ac:dyDescent="0.3">
      <c r="CY25433" s="34" t="s">
        <v>26359</v>
      </c>
      <c r="CZ25433" s="35">
        <v>1.4881712E-2</v>
      </c>
    </row>
    <row r="25434" spans="103:104" x14ac:dyDescent="0.3">
      <c r="CY25434" s="34" t="s">
        <v>26360</v>
      </c>
      <c r="CZ25434" s="35">
        <v>2.0390040000000002E-2</v>
      </c>
    </row>
    <row r="25435" spans="103:104" x14ac:dyDescent="0.3">
      <c r="CY25435" s="34" t="s">
        <v>26361</v>
      </c>
      <c r="CZ25435" s="35">
        <v>2.0390040000000002E-2</v>
      </c>
    </row>
    <row r="25436" spans="103:104" x14ac:dyDescent="0.3">
      <c r="CY25436" s="34" t="s">
        <v>26362</v>
      </c>
      <c r="CZ25436" s="35">
        <v>6.8097618000000004E-3</v>
      </c>
    </row>
    <row r="25437" spans="103:104" x14ac:dyDescent="0.3">
      <c r="CY25437" s="34" t="s">
        <v>26363</v>
      </c>
      <c r="CZ25437" s="35">
        <v>4.1210099999999996E-3</v>
      </c>
    </row>
    <row r="25438" spans="103:104" x14ac:dyDescent="0.3">
      <c r="CY25438" s="34" t="s">
        <v>26364</v>
      </c>
      <c r="CZ25438" s="35">
        <v>5.77482E-3</v>
      </c>
    </row>
    <row r="25439" spans="103:104" x14ac:dyDescent="0.3">
      <c r="CY25439" s="34" t="s">
        <v>26365</v>
      </c>
      <c r="CZ25439" s="35">
        <v>3.7818960000000006E-2</v>
      </c>
    </row>
    <row r="25440" spans="103:104" x14ac:dyDescent="0.3">
      <c r="CY25440" s="34" t="s">
        <v>26366</v>
      </c>
      <c r="CZ25440" s="35">
        <v>4.2530000000000007E-3</v>
      </c>
    </row>
    <row r="25441" spans="103:104" x14ac:dyDescent="0.3">
      <c r="CY25441" s="34" t="s">
        <v>26367</v>
      </c>
      <c r="CZ25441" s="35">
        <v>4.2529999999999998E-3</v>
      </c>
    </row>
    <row r="25442" spans="103:104" x14ac:dyDescent="0.3">
      <c r="CY25442" s="34" t="s">
        <v>26368</v>
      </c>
      <c r="CZ25442" s="35">
        <v>7.6568720000000003E-3</v>
      </c>
    </row>
    <row r="25443" spans="103:104" x14ac:dyDescent="0.3">
      <c r="CY25443" s="34" t="s">
        <v>26369</v>
      </c>
      <c r="CZ25443" s="35">
        <v>5.77482E-3</v>
      </c>
    </row>
    <row r="25444" spans="103:104" x14ac:dyDescent="0.3">
      <c r="CY25444" s="34" t="s">
        <v>26370</v>
      </c>
      <c r="CZ25444" s="35">
        <v>4.0787225000000005E-3</v>
      </c>
    </row>
    <row r="25445" spans="103:104" x14ac:dyDescent="0.3">
      <c r="CY25445" s="34" t="s">
        <v>26371</v>
      </c>
      <c r="CZ25445" s="35">
        <v>4.0787224999999996E-3</v>
      </c>
    </row>
    <row r="25446" spans="103:104" x14ac:dyDescent="0.3">
      <c r="CY25446" s="34" t="s">
        <v>26372</v>
      </c>
      <c r="CZ25446" s="35">
        <v>5.7585480000000001E-2</v>
      </c>
    </row>
    <row r="25447" spans="103:104" x14ac:dyDescent="0.3">
      <c r="CY25447" s="34" t="s">
        <v>26373</v>
      </c>
      <c r="CZ25447" s="35">
        <v>0.20404111799999997</v>
      </c>
    </row>
    <row r="25448" spans="103:104" x14ac:dyDescent="0.3">
      <c r="CY25448" s="34" t="s">
        <v>26374</v>
      </c>
      <c r="CZ25448" s="35">
        <v>0.40166945000000004</v>
      </c>
    </row>
    <row r="25449" spans="103:104" x14ac:dyDescent="0.3">
      <c r="CY25449" s="34" t="s">
        <v>26375</v>
      </c>
      <c r="CZ25449" s="35">
        <v>0.12608596</v>
      </c>
    </row>
    <row r="25450" spans="103:104" x14ac:dyDescent="0.3">
      <c r="CY25450" s="34" t="s">
        <v>26376</v>
      </c>
      <c r="CZ25450" s="35">
        <v>0.51288520000000004</v>
      </c>
    </row>
    <row r="25451" spans="103:104" x14ac:dyDescent="0.3">
      <c r="CY25451" s="34" t="s">
        <v>26377</v>
      </c>
      <c r="CZ25451" s="35">
        <v>0.35473631999999999</v>
      </c>
    </row>
    <row r="25452" spans="103:104" x14ac:dyDescent="0.3">
      <c r="CY25452" s="34" t="s">
        <v>26378</v>
      </c>
      <c r="CZ25452" s="35">
        <v>0.31738464999999999</v>
      </c>
    </row>
    <row r="25453" spans="103:104" x14ac:dyDescent="0.3">
      <c r="CY25453" s="34" t="s">
        <v>26379</v>
      </c>
      <c r="CZ25453" s="35">
        <v>0.11001506</v>
      </c>
    </row>
    <row r="25454" spans="103:104" x14ac:dyDescent="0.3">
      <c r="CY25454" s="34" t="s">
        <v>26380</v>
      </c>
      <c r="CZ25454" s="35">
        <v>0.118187086</v>
      </c>
    </row>
    <row r="25455" spans="103:104" x14ac:dyDescent="0.3">
      <c r="CY25455" s="34" t="s">
        <v>26381</v>
      </c>
      <c r="CZ25455" s="35">
        <v>0.126352416</v>
      </c>
    </row>
    <row r="25456" spans="103:104" x14ac:dyDescent="0.3">
      <c r="CY25456" s="34" t="s">
        <v>26382</v>
      </c>
      <c r="CZ25456" s="35">
        <v>3.4186839200000006E-2</v>
      </c>
    </row>
    <row r="25457" spans="103:104" x14ac:dyDescent="0.3">
      <c r="CY25457" s="34" t="s">
        <v>26383</v>
      </c>
      <c r="CZ25457" s="35">
        <v>2.7665244800000002E-2</v>
      </c>
    </row>
    <row r="25458" spans="103:104" x14ac:dyDescent="0.3">
      <c r="CY25458" s="34" t="s">
        <v>26384</v>
      </c>
      <c r="CZ25458" s="35">
        <v>1.853395E-2</v>
      </c>
    </row>
    <row r="25459" spans="103:104" x14ac:dyDescent="0.3">
      <c r="CY25459" s="34" t="s">
        <v>26385</v>
      </c>
      <c r="CZ25459" s="35">
        <v>3.5712100000000004E-2</v>
      </c>
    </row>
    <row r="25460" spans="103:104" x14ac:dyDescent="0.3">
      <c r="CY25460" s="34" t="s">
        <v>26386</v>
      </c>
      <c r="CZ25460" s="35">
        <v>1.3531799000000001E-2</v>
      </c>
    </row>
    <row r="25461" spans="103:104" x14ac:dyDescent="0.3">
      <c r="CY25461" s="34" t="s">
        <v>26387</v>
      </c>
      <c r="CZ25461" s="35">
        <v>8.9525344000000002E-4</v>
      </c>
    </row>
    <row r="25462" spans="103:104" x14ac:dyDescent="0.3">
      <c r="CY25462" s="34" t="s">
        <v>26388</v>
      </c>
      <c r="CZ25462" s="35">
        <v>2.971792E-3</v>
      </c>
    </row>
    <row r="25463" spans="103:104" x14ac:dyDescent="0.3">
      <c r="CY25463" s="34" t="s">
        <v>26389</v>
      </c>
      <c r="CZ25463" s="35">
        <v>2.971792E-3</v>
      </c>
    </row>
    <row r="25464" spans="103:104" x14ac:dyDescent="0.3">
      <c r="CY25464" s="34" t="s">
        <v>26390</v>
      </c>
      <c r="CZ25464" s="35">
        <v>3.7110379999999998E-2</v>
      </c>
    </row>
    <row r="25465" spans="103:104" x14ac:dyDescent="0.3">
      <c r="CY25465" s="34" t="s">
        <v>26391</v>
      </c>
      <c r="CZ25465" s="35">
        <v>3.9576560000000004E-2</v>
      </c>
    </row>
    <row r="25466" spans="103:104" x14ac:dyDescent="0.3">
      <c r="CY25466" s="34" t="s">
        <v>26392</v>
      </c>
      <c r="CZ25466" s="35">
        <v>6.9662858000000009E-4</v>
      </c>
    </row>
    <row r="25467" spans="103:104" x14ac:dyDescent="0.3">
      <c r="CY25467" s="34" t="s">
        <v>26393</v>
      </c>
      <c r="CZ25467" s="35">
        <v>6.011980000000001E-3</v>
      </c>
    </row>
    <row r="25468" spans="103:104" x14ac:dyDescent="0.3">
      <c r="CY25468" s="34" t="s">
        <v>26394</v>
      </c>
      <c r="CZ25468" s="35">
        <v>1.9866891250000001E-2</v>
      </c>
    </row>
    <row r="25469" spans="103:104" x14ac:dyDescent="0.3">
      <c r="CY25469" s="34" t="s">
        <v>26395</v>
      </c>
      <c r="CZ25469" s="35">
        <v>2.2811355999999998E-2</v>
      </c>
    </row>
    <row r="25470" spans="103:104" x14ac:dyDescent="0.3">
      <c r="CY25470" s="34" t="s">
        <v>26396</v>
      </c>
      <c r="CZ25470" s="35">
        <v>3.9395131999999999E-2</v>
      </c>
    </row>
    <row r="25471" spans="103:104" x14ac:dyDescent="0.3">
      <c r="CY25471" s="34" t="s">
        <v>26397</v>
      </c>
      <c r="CZ25471" s="35">
        <v>1.6496982900000001E-3</v>
      </c>
    </row>
    <row r="25472" spans="103:104" x14ac:dyDescent="0.3">
      <c r="CY25472" s="34" t="s">
        <v>26398</v>
      </c>
      <c r="CZ25472" s="35">
        <v>7.5331007272727273E-3</v>
      </c>
    </row>
    <row r="25473" spans="103:104" x14ac:dyDescent="0.3">
      <c r="CY25473" s="34" t="s">
        <v>26399</v>
      </c>
      <c r="CZ25473" s="35">
        <v>7.2563919999999995E-3</v>
      </c>
    </row>
    <row r="25474" spans="103:104" x14ac:dyDescent="0.3">
      <c r="CY25474" s="34" t="s">
        <v>26400</v>
      </c>
      <c r="CZ25474" s="35">
        <v>9.7318100000000005E-3</v>
      </c>
    </row>
    <row r="25475" spans="103:104" x14ac:dyDescent="0.3">
      <c r="CY25475" s="34" t="s">
        <v>26401</v>
      </c>
      <c r="CZ25475" s="35">
        <v>2.1419879999999996E-3</v>
      </c>
    </row>
    <row r="25476" spans="103:104" x14ac:dyDescent="0.3">
      <c r="CY25476" s="34" t="s">
        <v>26402</v>
      </c>
      <c r="CZ25476" s="35">
        <v>2.7701185E-2</v>
      </c>
    </row>
    <row r="25477" spans="103:104" x14ac:dyDescent="0.3">
      <c r="CY25477" s="34" t="s">
        <v>26403</v>
      </c>
      <c r="CZ25477" s="35">
        <v>5.9677010000000003E-2</v>
      </c>
    </row>
    <row r="25478" spans="103:104" x14ac:dyDescent="0.3">
      <c r="CY25478" s="34" t="s">
        <v>26404</v>
      </c>
      <c r="CZ25478" s="35">
        <v>0.34524905</v>
      </c>
    </row>
    <row r="25479" spans="103:104" x14ac:dyDescent="0.3">
      <c r="CY25479" s="34" t="s">
        <v>26405</v>
      </c>
      <c r="CZ25479" s="35">
        <v>0.54987659199999994</v>
      </c>
    </row>
    <row r="25480" spans="103:104" x14ac:dyDescent="0.3">
      <c r="CY25480" s="34" t="s">
        <v>26406</v>
      </c>
      <c r="CZ25480" s="35">
        <v>0.36375827999999993</v>
      </c>
    </row>
    <row r="25481" spans="103:104" x14ac:dyDescent="0.3">
      <c r="CY25481" s="34" t="s">
        <v>26407</v>
      </c>
      <c r="CZ25481" s="35">
        <v>0.71459259200000014</v>
      </c>
    </row>
    <row r="25482" spans="103:104" x14ac:dyDescent="0.3">
      <c r="CY25482" s="34" t="s">
        <v>26408</v>
      </c>
      <c r="CZ25482" s="35">
        <v>0.61825684999999997</v>
      </c>
    </row>
    <row r="25483" spans="103:104" x14ac:dyDescent="0.3">
      <c r="CY25483" s="34" t="s">
        <v>26409</v>
      </c>
      <c r="CZ25483" s="35">
        <v>8.7115464347826081E-3</v>
      </c>
    </row>
    <row r="25484" spans="103:104" x14ac:dyDescent="0.3">
      <c r="CY25484" s="34" t="s">
        <v>26410</v>
      </c>
      <c r="CZ25484" s="35">
        <v>4.0243060869565216E-2</v>
      </c>
    </row>
    <row r="25485" spans="103:104" x14ac:dyDescent="0.3">
      <c r="CY25485" s="34" t="s">
        <v>26411</v>
      </c>
      <c r="CZ25485" s="35">
        <v>2.1648875000000001E-3</v>
      </c>
    </row>
    <row r="25486" spans="103:104" x14ac:dyDescent="0.3">
      <c r="CY25486" s="34" t="s">
        <v>26412</v>
      </c>
      <c r="CZ25486" s="35">
        <v>0.10988634999999999</v>
      </c>
    </row>
    <row r="25487" spans="103:104" x14ac:dyDescent="0.3">
      <c r="CY25487" s="34" t="s">
        <v>26413</v>
      </c>
      <c r="CZ25487" s="35">
        <v>1.9829027999999998E-3</v>
      </c>
    </row>
    <row r="25488" spans="103:104" x14ac:dyDescent="0.3">
      <c r="CY25488" s="34" t="s">
        <v>26414</v>
      </c>
      <c r="CZ25488" s="35">
        <v>0.18654578399999999</v>
      </c>
    </row>
    <row r="25489" spans="103:104" x14ac:dyDescent="0.3">
      <c r="CY25489" s="34" t="s">
        <v>26415</v>
      </c>
      <c r="CZ25489" s="35">
        <v>0.26778563999999999</v>
      </c>
    </row>
    <row r="25490" spans="103:104" x14ac:dyDescent="0.3">
      <c r="CY25490" s="34" t="s">
        <v>26416</v>
      </c>
      <c r="CZ25490" s="35">
        <v>7.2695356000000003E-2</v>
      </c>
    </row>
    <row r="25491" spans="103:104" x14ac:dyDescent="0.3">
      <c r="CY25491" s="34" t="s">
        <v>26417</v>
      </c>
      <c r="CZ25491" s="35">
        <v>2.4964960000000001E-2</v>
      </c>
    </row>
    <row r="25492" spans="103:104" x14ac:dyDescent="0.3">
      <c r="CY25492" s="34" t="s">
        <v>26418</v>
      </c>
      <c r="CZ25492" s="35">
        <v>6.8254220000000004E-2</v>
      </c>
    </row>
    <row r="25493" spans="103:104" x14ac:dyDescent="0.3">
      <c r="CY25493" s="34" t="s">
        <v>26419</v>
      </c>
      <c r="CZ25493" s="35">
        <v>2.9596999999999998E-2</v>
      </c>
    </row>
    <row r="25494" spans="103:104" x14ac:dyDescent="0.3">
      <c r="CY25494" s="34" t="s">
        <v>26420</v>
      </c>
      <c r="CZ25494" s="35">
        <v>5.7614035555555554E-2</v>
      </c>
    </row>
    <row r="25495" spans="103:104" x14ac:dyDescent="0.3">
      <c r="CY25495" s="34" t="s">
        <v>26421</v>
      </c>
      <c r="CZ25495" s="35">
        <v>0.40887402500000003</v>
      </c>
    </row>
    <row r="25496" spans="103:104" x14ac:dyDescent="0.3">
      <c r="CY25496" s="34" t="s">
        <v>26422</v>
      </c>
      <c r="CZ25496" s="35">
        <v>7.7877800000000002E-3</v>
      </c>
    </row>
    <row r="25497" spans="103:104" x14ac:dyDescent="0.3">
      <c r="CY25497" s="34" t="s">
        <v>26423</v>
      </c>
      <c r="CZ25497" s="35">
        <v>5.635076E-2</v>
      </c>
    </row>
    <row r="25498" spans="103:104" x14ac:dyDescent="0.3">
      <c r="CY25498" s="34" t="s">
        <v>26424</v>
      </c>
      <c r="CZ25498" s="35">
        <v>2.4552174999999997E-3</v>
      </c>
    </row>
    <row r="25499" spans="103:104" x14ac:dyDescent="0.3">
      <c r="CY25499" s="34" t="s">
        <v>26425</v>
      </c>
      <c r="CZ25499" s="35">
        <v>9.4814778947368422E-3</v>
      </c>
    </row>
    <row r="25500" spans="103:104" x14ac:dyDescent="0.3">
      <c r="CY25500" s="34" t="s">
        <v>26426</v>
      </c>
      <c r="CZ25500" s="35">
        <v>9.0074040000000018E-3</v>
      </c>
    </row>
    <row r="25501" spans="103:104" x14ac:dyDescent="0.3">
      <c r="CY25501" s="34" t="s">
        <v>26427</v>
      </c>
      <c r="CZ25501" s="35">
        <v>9.6364252631578953E-3</v>
      </c>
    </row>
    <row r="25502" spans="103:104" x14ac:dyDescent="0.3">
      <c r="CY25502" s="34" t="s">
        <v>26428</v>
      </c>
      <c r="CZ25502" s="35">
        <v>9.6364252631578953E-3</v>
      </c>
    </row>
    <row r="25503" spans="103:104" x14ac:dyDescent="0.3">
      <c r="CY25503" s="34" t="s">
        <v>26429</v>
      </c>
      <c r="CZ25503" s="35">
        <v>9.1546040000000002E-3</v>
      </c>
    </row>
    <row r="25504" spans="103:104" x14ac:dyDescent="0.3">
      <c r="CY25504" s="34" t="s">
        <v>26430</v>
      </c>
      <c r="CZ25504" s="35">
        <v>8.2460775488599994E-2</v>
      </c>
    </row>
    <row r="25505" spans="103:104" x14ac:dyDescent="0.3">
      <c r="CY25505" s="34" t="s">
        <v>26431</v>
      </c>
      <c r="CZ25505" s="35">
        <v>7.1397214000000014E-2</v>
      </c>
    </row>
    <row r="25506" spans="103:104" x14ac:dyDescent="0.3">
      <c r="CY25506" s="34" t="s">
        <v>26432</v>
      </c>
      <c r="CZ25506" s="35">
        <v>0.17891229400000003</v>
      </c>
    </row>
    <row r="25507" spans="103:104" x14ac:dyDescent="0.3">
      <c r="CY25507" s="34" t="s">
        <v>26433</v>
      </c>
      <c r="CZ25507" s="35">
        <v>3.2828550599999999E-2</v>
      </c>
    </row>
    <row r="25508" spans="103:104" x14ac:dyDescent="0.3">
      <c r="CY25508" s="34" t="s">
        <v>26434</v>
      </c>
      <c r="CZ25508" s="35">
        <v>3.1478155555555554E-2</v>
      </c>
    </row>
    <row r="25509" spans="103:104" x14ac:dyDescent="0.3">
      <c r="CY25509" s="34" t="s">
        <v>26435</v>
      </c>
      <c r="CZ25509" s="35">
        <v>0.18727981999999999</v>
      </c>
    </row>
    <row r="25510" spans="103:104" x14ac:dyDescent="0.3">
      <c r="CY25510" s="34" t="s">
        <v>26436</v>
      </c>
      <c r="CZ25510" s="35">
        <v>2.4475753374999999E-2</v>
      </c>
    </row>
    <row r="25511" spans="103:104" x14ac:dyDescent="0.3">
      <c r="CY25511" s="34" t="s">
        <v>26437</v>
      </c>
      <c r="CZ25511" s="35">
        <v>3.3232095312499994E-2</v>
      </c>
    </row>
    <row r="25512" spans="103:104" x14ac:dyDescent="0.3">
      <c r="CY25512" s="34" t="s">
        <v>26438</v>
      </c>
      <c r="CZ25512" s="35">
        <v>6.7260355555555556E-3</v>
      </c>
    </row>
    <row r="25513" spans="103:104" x14ac:dyDescent="0.3">
      <c r="CY25513" s="34" t="s">
        <v>26439</v>
      </c>
      <c r="CZ25513" s="35">
        <v>2.4333115199999997E-3</v>
      </c>
    </row>
    <row r="25514" spans="103:104" x14ac:dyDescent="0.3">
      <c r="CY25514" s="34" t="s">
        <v>26440</v>
      </c>
      <c r="CZ25514" s="35">
        <v>2.4941E-3</v>
      </c>
    </row>
    <row r="25515" spans="103:104" x14ac:dyDescent="0.3">
      <c r="CY25515" s="34" t="s">
        <v>26441</v>
      </c>
      <c r="CZ25515" s="35">
        <v>2.9188470000000001E-2</v>
      </c>
    </row>
    <row r="25516" spans="103:104" x14ac:dyDescent="0.3">
      <c r="CY25516" s="34" t="s">
        <v>26442</v>
      </c>
      <c r="CZ25516" s="35">
        <v>0.30853973000000001</v>
      </c>
    </row>
    <row r="25517" spans="103:104" x14ac:dyDescent="0.3">
      <c r="CY25517" s="34" t="s">
        <v>26443</v>
      </c>
      <c r="CZ25517" s="35">
        <v>0.69552115000000014</v>
      </c>
    </row>
    <row r="25518" spans="103:104" x14ac:dyDescent="0.3">
      <c r="CY25518" s="34" t="s">
        <v>26444</v>
      </c>
      <c r="CZ25518" s="35">
        <v>0.80155049125000011</v>
      </c>
    </row>
    <row r="25519" spans="103:104" x14ac:dyDescent="0.3">
      <c r="CY25519" s="34" t="s">
        <v>26445</v>
      </c>
      <c r="CZ25519" s="35">
        <v>4.3641183860000002E-2</v>
      </c>
    </row>
    <row r="25520" spans="103:104" x14ac:dyDescent="0.3">
      <c r="CY25520" s="34" t="s">
        <v>26446</v>
      </c>
      <c r="CZ25520" s="35">
        <v>4.3865080000000001E-4</v>
      </c>
    </row>
    <row r="25521" spans="103:104" x14ac:dyDescent="0.3">
      <c r="CY25521" s="34" t="s">
        <v>26447</v>
      </c>
      <c r="CZ25521" s="35">
        <v>8.215320000000001E-2</v>
      </c>
    </row>
    <row r="25522" spans="103:104" x14ac:dyDescent="0.3">
      <c r="CY25522" s="34" t="s">
        <v>26448</v>
      </c>
      <c r="CZ25522" s="35">
        <v>2.703125E-5</v>
      </c>
    </row>
    <row r="25523" spans="103:104" x14ac:dyDescent="0.3">
      <c r="CY25523" s="34" t="s">
        <v>26449</v>
      </c>
      <c r="CZ25523" s="35">
        <v>3.6615792000000008E-2</v>
      </c>
    </row>
    <row r="25524" spans="103:104" x14ac:dyDescent="0.3">
      <c r="CY25524" s="34" t="s">
        <v>26450</v>
      </c>
      <c r="CZ25524" s="35">
        <v>2.7057073345454548E-2</v>
      </c>
    </row>
    <row r="25525" spans="103:104" x14ac:dyDescent="0.3">
      <c r="CY25525" s="34" t="s">
        <v>26451</v>
      </c>
      <c r="CZ25525" s="35">
        <v>5.7368993714285712E-3</v>
      </c>
    </row>
    <row r="25526" spans="103:104" x14ac:dyDescent="0.3">
      <c r="CY25526" s="34" t="s">
        <v>26452</v>
      </c>
      <c r="CZ25526" s="35">
        <v>1.32749232E-2</v>
      </c>
    </row>
    <row r="25527" spans="103:104" x14ac:dyDescent="0.3">
      <c r="CY25527" s="34" t="s">
        <v>26453</v>
      </c>
      <c r="CZ25527" s="35">
        <v>1.61119118E-2</v>
      </c>
    </row>
    <row r="25528" spans="103:104" x14ac:dyDescent="0.3">
      <c r="CY25528" s="34" t="s">
        <v>26454</v>
      </c>
      <c r="CZ25528" s="35">
        <v>3.0838759999999997E-3</v>
      </c>
    </row>
    <row r="25529" spans="103:104" x14ac:dyDescent="0.3">
      <c r="CY25529" s="34" t="s">
        <v>26455</v>
      </c>
      <c r="CZ25529" s="35">
        <v>0.24447403000000001</v>
      </c>
    </row>
    <row r="25530" spans="103:104" x14ac:dyDescent="0.3">
      <c r="CY25530" s="34" t="s">
        <v>26456</v>
      </c>
      <c r="CZ25530" s="35">
        <v>0.32846655999999996</v>
      </c>
    </row>
    <row r="25531" spans="103:104" x14ac:dyDescent="0.3">
      <c r="CY25531" s="34" t="s">
        <v>26457</v>
      </c>
      <c r="CZ25531" s="35">
        <v>0.24733242288000001</v>
      </c>
    </row>
    <row r="25532" spans="103:104" x14ac:dyDescent="0.3">
      <c r="CY25532" s="34" t="s">
        <v>26458</v>
      </c>
      <c r="CZ25532" s="35">
        <v>1.1029760444444446E-2</v>
      </c>
    </row>
    <row r="25533" spans="103:104" x14ac:dyDescent="0.3">
      <c r="CY25533" s="34" t="s">
        <v>26459</v>
      </c>
      <c r="CZ25533" s="35">
        <v>0.101089702</v>
      </c>
    </row>
    <row r="25534" spans="103:104" x14ac:dyDescent="0.3">
      <c r="CY25534" s="34" t="s">
        <v>26460</v>
      </c>
      <c r="CZ25534" s="35">
        <v>3.6439984000000009E-2</v>
      </c>
    </row>
    <row r="25535" spans="103:104" x14ac:dyDescent="0.3">
      <c r="CY25535" s="34" t="s">
        <v>26461</v>
      </c>
      <c r="CZ25535" s="35">
        <v>8.4369504666666678E-2</v>
      </c>
    </row>
    <row r="25536" spans="103:104" x14ac:dyDescent="0.3">
      <c r="CY25536" s="34" t="s">
        <v>26462</v>
      </c>
      <c r="CZ25536" s="35">
        <v>3.2237962666666675E-2</v>
      </c>
    </row>
    <row r="25537" spans="103:104" x14ac:dyDescent="0.3">
      <c r="CY25537" s="34" t="s">
        <v>26463</v>
      </c>
      <c r="CZ25537" s="35">
        <v>5.5927839999999999E-3</v>
      </c>
    </row>
    <row r="25538" spans="103:104" x14ac:dyDescent="0.3">
      <c r="CY25538" s="34" t="s">
        <v>26464</v>
      </c>
      <c r="CZ25538" s="35">
        <v>0.10887598133333332</v>
      </c>
    </row>
    <row r="25539" spans="103:104" x14ac:dyDescent="0.3">
      <c r="CY25539" s="34" t="s">
        <v>26465</v>
      </c>
      <c r="CZ25539" s="35">
        <v>1.0711839000000001E-2</v>
      </c>
    </row>
    <row r="25540" spans="103:104" x14ac:dyDescent="0.3">
      <c r="CY25540" s="34" t="s">
        <v>26466</v>
      </c>
      <c r="CZ25540" s="35">
        <v>1.9388066000000002E-2</v>
      </c>
    </row>
    <row r="25541" spans="103:104" x14ac:dyDescent="0.3">
      <c r="CY25541" s="34" t="s">
        <v>26467</v>
      </c>
      <c r="CZ25541" s="35">
        <v>0.34417200417499999</v>
      </c>
    </row>
    <row r="25542" spans="103:104" x14ac:dyDescent="0.3">
      <c r="CY25542" s="34" t="s">
        <v>26468</v>
      </c>
      <c r="CZ25542" s="35">
        <v>6.1510880000000007E-3</v>
      </c>
    </row>
    <row r="25543" spans="103:104" x14ac:dyDescent="0.3">
      <c r="CY25543" s="34" t="s">
        <v>26469</v>
      </c>
      <c r="CZ25543" s="35">
        <v>0.14606205</v>
      </c>
    </row>
    <row r="25544" spans="103:104" x14ac:dyDescent="0.3">
      <c r="CY25544" s="34" t="s">
        <v>26470</v>
      </c>
      <c r="CZ25544" s="35">
        <v>0.14606205</v>
      </c>
    </row>
    <row r="25545" spans="103:104" x14ac:dyDescent="0.3">
      <c r="CY25545" s="34" t="s">
        <v>26471</v>
      </c>
      <c r="CZ25545" s="35">
        <v>5.1225021999999995E-2</v>
      </c>
    </row>
    <row r="25546" spans="103:104" x14ac:dyDescent="0.3">
      <c r="CY25546" s="34" t="s">
        <v>26472</v>
      </c>
      <c r="CZ25546" s="35">
        <v>5.1225021999999995E-2</v>
      </c>
    </row>
    <row r="25547" spans="103:104" x14ac:dyDescent="0.3">
      <c r="CY25547" s="34" t="s">
        <v>26473</v>
      </c>
      <c r="CZ25547" s="35">
        <v>0.13656976000000001</v>
      </c>
    </row>
    <row r="25548" spans="103:104" x14ac:dyDescent="0.3">
      <c r="CY25548" s="34" t="s">
        <v>26474</v>
      </c>
      <c r="CZ25548" s="35">
        <v>0.25960270130000002</v>
      </c>
    </row>
    <row r="25549" spans="103:104" x14ac:dyDescent="0.3">
      <c r="CY25549" s="34" t="s">
        <v>26475</v>
      </c>
      <c r="CZ25549" s="35">
        <v>0.13656977555555555</v>
      </c>
    </row>
    <row r="25550" spans="103:104" x14ac:dyDescent="0.3">
      <c r="CY25550" s="34" t="s">
        <v>26476</v>
      </c>
      <c r="CZ25550" s="35">
        <v>1.1690615844444443</v>
      </c>
    </row>
    <row r="25551" spans="103:104" x14ac:dyDescent="0.3">
      <c r="CY25551" s="34" t="s">
        <v>26477</v>
      </c>
      <c r="CZ25551" s="35">
        <v>9.2238719999999996E-2</v>
      </c>
    </row>
    <row r="25552" spans="103:104" x14ac:dyDescent="0.3">
      <c r="CY25552" s="34" t="s">
        <v>26478</v>
      </c>
      <c r="CZ25552" s="35">
        <v>5.9478299999999998E-2</v>
      </c>
    </row>
    <row r="25553" spans="103:104" x14ac:dyDescent="0.3">
      <c r="CY25553" s="34" t="s">
        <v>26479</v>
      </c>
      <c r="CZ25553" s="35">
        <v>7.6795215000000014E-2</v>
      </c>
    </row>
    <row r="25554" spans="103:104" x14ac:dyDescent="0.3">
      <c r="CY25554" s="34" t="s">
        <v>26480</v>
      </c>
      <c r="CZ25554" s="35">
        <v>6.4575000000000007E-2</v>
      </c>
    </row>
    <row r="25555" spans="103:104" x14ac:dyDescent="0.3">
      <c r="CY25555" s="34" t="s">
        <v>26481</v>
      </c>
      <c r="CZ25555" s="35">
        <v>6.873216E-2</v>
      </c>
    </row>
    <row r="25556" spans="103:104" x14ac:dyDescent="0.3">
      <c r="CY25556" s="34" t="s">
        <v>26482</v>
      </c>
      <c r="CZ25556" s="35">
        <v>0.10212468</v>
      </c>
    </row>
    <row r="25557" spans="103:104" x14ac:dyDescent="0.3">
      <c r="CY25557" s="34" t="s">
        <v>26483</v>
      </c>
      <c r="CZ25557" s="35">
        <v>0.12070212</v>
      </c>
    </row>
    <row r="25558" spans="103:104" x14ac:dyDescent="0.3">
      <c r="CY25558" s="34" t="s">
        <v>26484</v>
      </c>
      <c r="CZ25558" s="35">
        <v>0.14718312</v>
      </c>
    </row>
    <row r="25559" spans="103:104" x14ac:dyDescent="0.3">
      <c r="CY25559" s="34" t="s">
        <v>26485</v>
      </c>
      <c r="CZ25559" s="35">
        <v>3.8882339999999994E-2</v>
      </c>
    </row>
    <row r="25560" spans="103:104" x14ac:dyDescent="0.3">
      <c r="CY25560" s="34" t="s">
        <v>26486</v>
      </c>
      <c r="CZ25560" s="35">
        <v>4.3121400000000004E-2</v>
      </c>
    </row>
    <row r="25561" spans="103:104" x14ac:dyDescent="0.3">
      <c r="CY25561" s="34" t="s">
        <v>26487</v>
      </c>
      <c r="CZ25561" s="35">
        <v>9.7398839999999987E-2</v>
      </c>
    </row>
    <row r="25562" spans="103:104" x14ac:dyDescent="0.3">
      <c r="CY25562" s="34" t="s">
        <v>26488</v>
      </c>
      <c r="CZ25562" s="35">
        <v>0.15138768599999999</v>
      </c>
    </row>
    <row r="25563" spans="103:104" x14ac:dyDescent="0.3">
      <c r="CY25563" s="34" t="s">
        <v>26489</v>
      </c>
      <c r="CZ25563" s="35">
        <v>1.1191546666666666E-2</v>
      </c>
    </row>
    <row r="25564" spans="103:104" x14ac:dyDescent="0.3">
      <c r="CY25564" s="34" t="s">
        <v>26490</v>
      </c>
      <c r="CZ25564" s="35">
        <v>0.13689354285714286</v>
      </c>
    </row>
    <row r="25565" spans="103:104" x14ac:dyDescent="0.3">
      <c r="CY25565" s="34" t="s">
        <v>26491</v>
      </c>
      <c r="CZ25565" s="35">
        <v>1.7814032E-2</v>
      </c>
    </row>
    <row r="25566" spans="103:104" x14ac:dyDescent="0.3">
      <c r="CY25566" s="34" t="s">
        <v>26492</v>
      </c>
      <c r="CZ25566" s="35">
        <v>1.4780919999999999E-2</v>
      </c>
    </row>
    <row r="25567" spans="103:104" x14ac:dyDescent="0.3">
      <c r="CY25567" s="34" t="s">
        <v>26493</v>
      </c>
      <c r="CZ25567" s="35">
        <v>2.9365599999999995E-3</v>
      </c>
    </row>
    <row r="25568" spans="103:104" x14ac:dyDescent="0.3">
      <c r="CY25568" s="34" t="s">
        <v>26494</v>
      </c>
      <c r="CZ25568" s="35">
        <v>1.80495E-3</v>
      </c>
    </row>
    <row r="25569" spans="103:104" x14ac:dyDescent="0.3">
      <c r="CY25569" s="34" t="s">
        <v>26495</v>
      </c>
      <c r="CZ25569" s="35">
        <v>8.5933333333333348E-4</v>
      </c>
    </row>
    <row r="25570" spans="103:104" x14ac:dyDescent="0.3">
      <c r="CY25570" s="34" t="s">
        <v>26496</v>
      </c>
      <c r="CZ25570" s="35">
        <v>9.055450000000001E-2</v>
      </c>
    </row>
    <row r="25571" spans="103:104" x14ac:dyDescent="0.3">
      <c r="CY25571" s="34" t="s">
        <v>26497</v>
      </c>
      <c r="CZ25571" s="35">
        <v>1.0391619999999997E-3</v>
      </c>
    </row>
    <row r="25572" spans="103:104" x14ac:dyDescent="0.3">
      <c r="CY25572" s="34" t="s">
        <v>26498</v>
      </c>
      <c r="CZ25572" s="35">
        <v>1.1796787E-2</v>
      </c>
    </row>
    <row r="25573" spans="103:104" x14ac:dyDescent="0.3">
      <c r="CY25573" s="34" t="s">
        <v>26499</v>
      </c>
      <c r="CZ25573" s="35">
        <v>8.955923555555554E-3</v>
      </c>
    </row>
    <row r="25574" spans="103:104" x14ac:dyDescent="0.3">
      <c r="CY25574" s="34" t="s">
        <v>26500</v>
      </c>
      <c r="CZ25574" s="35">
        <v>1.30437456E-2</v>
      </c>
    </row>
    <row r="25575" spans="103:104" x14ac:dyDescent="0.3">
      <c r="CY25575" s="34" t="s">
        <v>26501</v>
      </c>
      <c r="CZ25575" s="35">
        <v>4.6207191999999994E-2</v>
      </c>
    </row>
    <row r="25576" spans="103:104" x14ac:dyDescent="0.3">
      <c r="CY25576" s="34" t="s">
        <v>26502</v>
      </c>
      <c r="CZ25576" s="35">
        <v>0.28002004800000002</v>
      </c>
    </row>
    <row r="25577" spans="103:104" x14ac:dyDescent="0.3">
      <c r="CY25577" s="34" t="s">
        <v>26503</v>
      </c>
      <c r="CZ25577" s="35">
        <v>0.60283790000000004</v>
      </c>
    </row>
    <row r="25578" spans="103:104" x14ac:dyDescent="0.3">
      <c r="CY25578" s="34" t="s">
        <v>26504</v>
      </c>
      <c r="CZ25578" s="35">
        <v>0.60837770000000013</v>
      </c>
    </row>
    <row r="25579" spans="103:104" x14ac:dyDescent="0.3">
      <c r="CY25579" s="34" t="s">
        <v>26505</v>
      </c>
      <c r="CZ25579" s="35">
        <v>5.4108158499999996E-2</v>
      </c>
    </row>
    <row r="25580" spans="103:104" x14ac:dyDescent="0.3">
      <c r="CY25580" s="34" t="s">
        <v>26506</v>
      </c>
      <c r="CZ25580" s="35">
        <v>9.9218064000000009E-2</v>
      </c>
    </row>
    <row r="25581" spans="103:104" x14ac:dyDescent="0.3">
      <c r="CY25581" s="34" t="s">
        <v>26507</v>
      </c>
      <c r="CZ25581" s="35">
        <v>0.18716098</v>
      </c>
    </row>
    <row r="25582" spans="103:104" x14ac:dyDescent="0.3">
      <c r="CY25582" s="34" t="s">
        <v>26508</v>
      </c>
      <c r="CZ25582" s="35">
        <v>0.13347182000000002</v>
      </c>
    </row>
    <row r="25583" spans="103:104" x14ac:dyDescent="0.3">
      <c r="CY25583" s="34" t="s">
        <v>26509</v>
      </c>
      <c r="CZ25583" s="35">
        <v>4.1000241880000003E-2</v>
      </c>
    </row>
    <row r="25584" spans="103:104" x14ac:dyDescent="0.3">
      <c r="CY25584" s="34" t="s">
        <v>26510</v>
      </c>
      <c r="CZ25584" s="35">
        <v>1.5472870000000003E-3</v>
      </c>
    </row>
    <row r="25585" spans="103:104" x14ac:dyDescent="0.3">
      <c r="CY25585" s="34" t="s">
        <v>26511</v>
      </c>
      <c r="CZ25585" s="35">
        <v>6.5757923769230765E-3</v>
      </c>
    </row>
    <row r="25586" spans="103:104" x14ac:dyDescent="0.3">
      <c r="CY25586" s="34" t="s">
        <v>26512</v>
      </c>
      <c r="CZ25586" s="35">
        <v>0.18951549285714286</v>
      </c>
    </row>
    <row r="25587" spans="103:104" x14ac:dyDescent="0.3">
      <c r="CY25587" s="34" t="s">
        <v>26513</v>
      </c>
      <c r="CZ25587" s="35">
        <v>0.12506828</v>
      </c>
    </row>
    <row r="25588" spans="103:104" x14ac:dyDescent="0.3">
      <c r="CY25588" s="34" t="s">
        <v>26514</v>
      </c>
      <c r="CZ25588" s="35">
        <v>0.22523690999999998</v>
      </c>
    </row>
    <row r="25589" spans="103:104" x14ac:dyDescent="0.3">
      <c r="CY25589" s="34" t="s">
        <v>26515</v>
      </c>
      <c r="CZ25589" s="35">
        <v>0.51051608000000004</v>
      </c>
    </row>
    <row r="25590" spans="103:104" x14ac:dyDescent="0.3">
      <c r="CY25590" s="34" t="s">
        <v>26516</v>
      </c>
      <c r="CZ25590" s="35">
        <v>0.49514607999999999</v>
      </c>
    </row>
    <row r="25591" spans="103:104" x14ac:dyDescent="0.3">
      <c r="CY25591" s="34" t="s">
        <v>26517</v>
      </c>
      <c r="CZ25591" s="35">
        <v>1.0906135E-3</v>
      </c>
    </row>
    <row r="25592" spans="103:104" x14ac:dyDescent="0.3">
      <c r="CY25592" s="34" t="s">
        <v>26518</v>
      </c>
      <c r="CZ25592" s="35">
        <v>1.390878332E-2</v>
      </c>
    </row>
    <row r="25593" spans="103:104" x14ac:dyDescent="0.3">
      <c r="CY25593" s="34" t="s">
        <v>26519</v>
      </c>
      <c r="CZ25593" s="35">
        <v>1.390878332E-2</v>
      </c>
    </row>
    <row r="25594" spans="103:104" x14ac:dyDescent="0.3">
      <c r="CY25594" s="34" t="s">
        <v>26520</v>
      </c>
      <c r="CZ25594" s="35">
        <v>0.18294366866866868</v>
      </c>
    </row>
    <row r="25595" spans="103:104" x14ac:dyDescent="0.3">
      <c r="CY25595" s="34" t="s">
        <v>26521</v>
      </c>
      <c r="CZ25595" s="35">
        <v>3.7965630000000002E-3</v>
      </c>
    </row>
    <row r="25596" spans="103:104" x14ac:dyDescent="0.3">
      <c r="CY25596" s="34" t="s">
        <v>26522</v>
      </c>
      <c r="CZ25596" s="35">
        <v>1.8148799999999996E-2</v>
      </c>
    </row>
    <row r="25597" spans="103:104" x14ac:dyDescent="0.3">
      <c r="CY25597" s="34" t="s">
        <v>26523</v>
      </c>
      <c r="CZ25597" s="35">
        <v>1.7733799999999997E-2</v>
      </c>
    </row>
    <row r="25598" spans="103:104" x14ac:dyDescent="0.3">
      <c r="CY25598" s="34" t="s">
        <v>26524</v>
      </c>
      <c r="CZ25598" s="35">
        <v>2.0285695999999999E-2</v>
      </c>
    </row>
    <row r="25599" spans="103:104" x14ac:dyDescent="0.3">
      <c r="CY25599" s="34" t="s">
        <v>26525</v>
      </c>
      <c r="CZ25599" s="35">
        <v>1.9455695999999998E-2</v>
      </c>
    </row>
    <row r="25600" spans="103:104" x14ac:dyDescent="0.3">
      <c r="CY25600" s="34" t="s">
        <v>26526</v>
      </c>
      <c r="CZ25600" s="35">
        <v>1.713582E-2</v>
      </c>
    </row>
    <row r="25601" spans="103:104" x14ac:dyDescent="0.3">
      <c r="CY25601" s="34" t="s">
        <v>26527</v>
      </c>
      <c r="CZ25601" s="35">
        <v>1.6128320000000002E-2</v>
      </c>
    </row>
    <row r="25602" spans="103:104" x14ac:dyDescent="0.3">
      <c r="CY25602" s="34" t="s">
        <v>26528</v>
      </c>
      <c r="CZ25602" s="35">
        <v>2.0451444000000003E-2</v>
      </c>
    </row>
    <row r="25603" spans="103:104" x14ac:dyDescent="0.3">
      <c r="CY25603" s="34" t="s">
        <v>26529</v>
      </c>
      <c r="CZ25603" s="35">
        <v>1.9443944000000001E-2</v>
      </c>
    </row>
    <row r="25604" spans="103:104" x14ac:dyDescent="0.3">
      <c r="CY25604" s="34" t="s">
        <v>26530</v>
      </c>
      <c r="CZ25604" s="35">
        <v>2.0627512800000001E-2</v>
      </c>
    </row>
    <row r="25605" spans="103:104" x14ac:dyDescent="0.3">
      <c r="CY25605" s="34" t="s">
        <v>26531</v>
      </c>
      <c r="CZ25605" s="35">
        <v>1.97975128E-2</v>
      </c>
    </row>
    <row r="25606" spans="103:104" x14ac:dyDescent="0.3">
      <c r="CY25606" s="34" t="s">
        <v>26532</v>
      </c>
      <c r="CZ25606" s="35">
        <v>7.0466617124999992E-2</v>
      </c>
    </row>
    <row r="25607" spans="103:104" x14ac:dyDescent="0.3">
      <c r="CY25607" s="34" t="s">
        <v>26533</v>
      </c>
      <c r="CZ25607" s="35">
        <v>8.0169319999999992E-3</v>
      </c>
    </row>
    <row r="25608" spans="103:104" x14ac:dyDescent="0.3">
      <c r="CY25608" s="34" t="s">
        <v>26534</v>
      </c>
      <c r="CZ25608" s="35">
        <v>5.7872182499999992E-3</v>
      </c>
    </row>
    <row r="25609" spans="103:104" x14ac:dyDescent="0.3">
      <c r="CY25609" s="34" t="s">
        <v>26535</v>
      </c>
      <c r="CZ25609" s="35">
        <v>0.14400944540000002</v>
      </c>
    </row>
    <row r="25610" spans="103:104" x14ac:dyDescent="0.3">
      <c r="CY25610" s="34" t="s">
        <v>26536</v>
      </c>
      <c r="CZ25610" s="35">
        <v>0.74145670866666669</v>
      </c>
    </row>
    <row r="25611" spans="103:104" x14ac:dyDescent="0.3">
      <c r="CY25611" s="34" t="s">
        <v>26537</v>
      </c>
      <c r="CZ25611" s="35">
        <v>8.8440437999999996E-3</v>
      </c>
    </row>
    <row r="25612" spans="103:104" x14ac:dyDescent="0.3">
      <c r="CY25612" s="34" t="s">
        <v>26538</v>
      </c>
      <c r="CZ25612" s="35">
        <v>9.9809304000000008E-3</v>
      </c>
    </row>
    <row r="25613" spans="103:104" x14ac:dyDescent="0.3">
      <c r="CY25613" s="34" t="s">
        <v>26539</v>
      </c>
      <c r="CZ25613" s="35">
        <v>5.2792845000000001E-3</v>
      </c>
    </row>
    <row r="25614" spans="103:104" x14ac:dyDescent="0.3">
      <c r="CY25614" s="34" t="s">
        <v>26540</v>
      </c>
      <c r="CZ25614" s="35">
        <v>4.144029799999999E-3</v>
      </c>
    </row>
    <row r="25615" spans="103:104" x14ac:dyDescent="0.3">
      <c r="CY25615" s="34" t="s">
        <v>26541</v>
      </c>
      <c r="CZ25615" s="35">
        <v>3.7491586E-3</v>
      </c>
    </row>
    <row r="25616" spans="103:104" x14ac:dyDescent="0.3">
      <c r="CY25616" s="34" t="s">
        <v>26542</v>
      </c>
      <c r="CZ25616" s="35">
        <v>3.5517230000000001E-3</v>
      </c>
    </row>
    <row r="25617" spans="103:104" x14ac:dyDescent="0.3">
      <c r="CY25617" s="34" t="s">
        <v>26543</v>
      </c>
      <c r="CZ25617" s="35">
        <v>5.5260790000000006E-3</v>
      </c>
    </row>
    <row r="25618" spans="103:104" x14ac:dyDescent="0.3">
      <c r="CY25618" s="34" t="s">
        <v>26544</v>
      </c>
      <c r="CZ25618" s="35">
        <v>6.2790133999999984E-3</v>
      </c>
    </row>
    <row r="25619" spans="103:104" x14ac:dyDescent="0.3">
      <c r="CY25619" s="34" t="s">
        <v>26545</v>
      </c>
      <c r="CZ25619" s="35">
        <v>0.25202038705882357</v>
      </c>
    </row>
    <row r="25620" spans="103:104" x14ac:dyDescent="0.3">
      <c r="CY25620" s="34" t="s">
        <v>26546</v>
      </c>
      <c r="CZ25620" s="35">
        <v>1.4886564E-3</v>
      </c>
    </row>
    <row r="25621" spans="103:104" x14ac:dyDescent="0.3">
      <c r="CY25621" s="34" t="s">
        <v>26547</v>
      </c>
      <c r="CZ25621" s="35">
        <v>4.8639140599999998E-2</v>
      </c>
    </row>
    <row r="25622" spans="103:104" x14ac:dyDescent="0.3">
      <c r="CY25622" s="34" t="s">
        <v>26548</v>
      </c>
      <c r="CZ25622" s="35">
        <v>1.4665384600000001E-2</v>
      </c>
    </row>
    <row r="25623" spans="103:104" x14ac:dyDescent="0.3">
      <c r="CY25623" s="34" t="s">
        <v>26549</v>
      </c>
      <c r="CZ25623" s="35">
        <v>0.10754555600000001</v>
      </c>
    </row>
    <row r="25624" spans="103:104" x14ac:dyDescent="0.3">
      <c r="CY25624" s="34" t="s">
        <v>26550</v>
      </c>
      <c r="CZ25624" s="35">
        <v>0.14334334100000001</v>
      </c>
    </row>
    <row r="25625" spans="103:104" x14ac:dyDescent="0.3">
      <c r="CY25625" s="34" t="s">
        <v>26551</v>
      </c>
      <c r="CZ25625" s="35">
        <v>6.1267440000000008E-3</v>
      </c>
    </row>
    <row r="25626" spans="103:104" x14ac:dyDescent="0.3">
      <c r="CY25626" s="34" t="s">
        <v>26552</v>
      </c>
      <c r="CZ25626" s="35">
        <v>2.7382333599999999E-2</v>
      </c>
    </row>
    <row r="25627" spans="103:104" x14ac:dyDescent="0.3">
      <c r="CY25627" s="34" t="s">
        <v>26553</v>
      </c>
      <c r="CZ25627" s="35">
        <v>7.0499999999999992E-5</v>
      </c>
    </row>
    <row r="25628" spans="103:104" x14ac:dyDescent="0.3">
      <c r="CY25628" s="34" t="s">
        <v>26554</v>
      </c>
      <c r="CZ25628" s="35">
        <v>1.8137800000000001E-3</v>
      </c>
    </row>
    <row r="25629" spans="103:104" x14ac:dyDescent="0.3">
      <c r="CY25629" s="34" t="s">
        <v>26555</v>
      </c>
      <c r="CZ25629" s="35">
        <v>1.86454E-3</v>
      </c>
    </row>
    <row r="25630" spans="103:104" x14ac:dyDescent="0.3">
      <c r="CY25630" s="34" t="s">
        <v>26556</v>
      </c>
      <c r="CZ25630" s="35">
        <v>4.2795999999999997E-3</v>
      </c>
    </row>
    <row r="25631" spans="103:104" x14ac:dyDescent="0.3">
      <c r="CY25631" s="34" t="s">
        <v>26557</v>
      </c>
      <c r="CZ25631" s="35">
        <v>0.47297795999999992</v>
      </c>
    </row>
    <row r="25632" spans="103:104" x14ac:dyDescent="0.3">
      <c r="CY25632" s="34" t="s">
        <v>26558</v>
      </c>
      <c r="CZ25632" s="35">
        <v>0.49579975999999998</v>
      </c>
    </row>
    <row r="25633" spans="103:104" x14ac:dyDescent="0.3">
      <c r="CY25633" s="34" t="s">
        <v>26559</v>
      </c>
      <c r="CZ25633" s="35">
        <v>0.4858686499999999</v>
      </c>
    </row>
    <row r="25634" spans="103:104" x14ac:dyDescent="0.3">
      <c r="CY25634" s="34" t="s">
        <v>26560</v>
      </c>
      <c r="CZ25634" s="35">
        <v>2.9680400000000003E-3</v>
      </c>
    </row>
    <row r="25635" spans="103:104" x14ac:dyDescent="0.3">
      <c r="CY25635" s="34" t="s">
        <v>26561</v>
      </c>
      <c r="CZ25635" s="35">
        <v>5.5099391999999997E-2</v>
      </c>
    </row>
    <row r="25636" spans="103:104" x14ac:dyDescent="0.3">
      <c r="CY25636" s="34" t="s">
        <v>26562</v>
      </c>
      <c r="CZ25636" s="35">
        <v>0.11029316000000002</v>
      </c>
    </row>
    <row r="25637" spans="103:104" x14ac:dyDescent="0.3">
      <c r="CY25637" s="34" t="s">
        <v>26563</v>
      </c>
      <c r="CZ25637" s="35">
        <v>1.845906E-3</v>
      </c>
    </row>
    <row r="25638" spans="103:104" x14ac:dyDescent="0.3">
      <c r="CY25638" s="34" t="s">
        <v>26564</v>
      </c>
      <c r="CZ25638" s="35">
        <v>6.7102135172413804E-3</v>
      </c>
    </row>
    <row r="25639" spans="103:104" x14ac:dyDescent="0.3">
      <c r="CY25639" s="34" t="s">
        <v>26565</v>
      </c>
      <c r="CZ25639" s="35">
        <v>2.4459548000000001E-2</v>
      </c>
    </row>
    <row r="25640" spans="103:104" x14ac:dyDescent="0.3">
      <c r="CY25640" s="34" t="s">
        <v>26566</v>
      </c>
      <c r="CZ25640" s="35">
        <v>2.5091240000000004E-2</v>
      </c>
    </row>
    <row r="25641" spans="103:104" x14ac:dyDescent="0.3">
      <c r="CY25641" s="34" t="s">
        <v>26567</v>
      </c>
      <c r="CZ25641" s="35">
        <v>8.1196160000000003E-4</v>
      </c>
    </row>
    <row r="25642" spans="103:104" x14ac:dyDescent="0.3">
      <c r="CY25642" s="34" t="s">
        <v>26568</v>
      </c>
      <c r="CZ25642" s="35">
        <v>3.2564116653846153E-3</v>
      </c>
    </row>
    <row r="25643" spans="103:104" x14ac:dyDescent="0.3">
      <c r="CY25643" s="34" t="s">
        <v>26569</v>
      </c>
      <c r="CZ25643" s="35">
        <v>1.6100000000000001E-4</v>
      </c>
    </row>
    <row r="25644" spans="103:104" x14ac:dyDescent="0.3">
      <c r="CY25644" s="34" t="s">
        <v>26570</v>
      </c>
      <c r="CZ25644" s="35">
        <v>6.9503010000000004E-2</v>
      </c>
    </row>
    <row r="25645" spans="103:104" x14ac:dyDescent="0.3">
      <c r="CY25645" s="34" t="s">
        <v>26571</v>
      </c>
      <c r="CZ25645" s="35">
        <v>0.11877010240000001</v>
      </c>
    </row>
    <row r="25646" spans="103:104" x14ac:dyDescent="0.3">
      <c r="CY25646" s="34" t="s">
        <v>26572</v>
      </c>
      <c r="CZ25646" s="35">
        <v>0.13703654736842105</v>
      </c>
    </row>
    <row r="25647" spans="103:104" x14ac:dyDescent="0.3">
      <c r="CY25647" s="34" t="s">
        <v>26573</v>
      </c>
      <c r="CZ25647" s="35">
        <v>0.1405062063157895</v>
      </c>
    </row>
    <row r="25648" spans="103:104" x14ac:dyDescent="0.3">
      <c r="CY25648" s="34" t="s">
        <v>26574</v>
      </c>
      <c r="CZ25648" s="35">
        <v>2.5072197333333331E-2</v>
      </c>
    </row>
    <row r="25649" spans="103:104" x14ac:dyDescent="0.3">
      <c r="CY25649" s="34" t="s">
        <v>26575</v>
      </c>
      <c r="CZ25649" s="35">
        <v>2.9321143999999997E-2</v>
      </c>
    </row>
    <row r="25650" spans="103:104" x14ac:dyDescent="0.3">
      <c r="CY25650" s="34" t="s">
        <v>26576</v>
      </c>
      <c r="CZ25650" s="35">
        <v>6.0500320000000003E-2</v>
      </c>
    </row>
    <row r="25651" spans="103:104" x14ac:dyDescent="0.3">
      <c r="CY25651" s="34" t="s">
        <v>26577</v>
      </c>
      <c r="CZ25651" s="35">
        <v>6.0500319999999996E-2</v>
      </c>
    </row>
    <row r="25652" spans="103:104" x14ac:dyDescent="0.3">
      <c r="CY25652" s="34" t="s">
        <v>26578</v>
      </c>
      <c r="CZ25652" s="35">
        <v>0.11154824000000001</v>
      </c>
    </row>
    <row r="25653" spans="103:104" x14ac:dyDescent="0.3">
      <c r="CY25653" s="34" t="s">
        <v>26579</v>
      </c>
      <c r="CZ25653" s="35">
        <v>7.0457624999999996E-2</v>
      </c>
    </row>
    <row r="25654" spans="103:104" x14ac:dyDescent="0.3">
      <c r="CY25654" s="34" t="s">
        <v>26580</v>
      </c>
      <c r="CZ25654" s="35">
        <v>6.3459374999999998E-2</v>
      </c>
    </row>
    <row r="25655" spans="103:104" x14ac:dyDescent="0.3">
      <c r="CY25655" s="34" t="s">
        <v>26581</v>
      </c>
      <c r="CZ25655" s="35">
        <v>0.11510040499999999</v>
      </c>
    </row>
    <row r="25656" spans="103:104" x14ac:dyDescent="0.3">
      <c r="CY25656" s="34" t="s">
        <v>26582</v>
      </c>
      <c r="CZ25656" s="35">
        <v>8.7265999999999996E-2</v>
      </c>
    </row>
    <row r="25657" spans="103:104" x14ac:dyDescent="0.3">
      <c r="CY25657" s="34" t="s">
        <v>26583</v>
      </c>
      <c r="CZ25657" s="35">
        <v>6.8331240201005033E-2</v>
      </c>
    </row>
    <row r="25658" spans="103:104" x14ac:dyDescent="0.3">
      <c r="CY25658" s="34" t="s">
        <v>26584</v>
      </c>
      <c r="CZ25658" s="35">
        <v>0.13996146947368424</v>
      </c>
    </row>
    <row r="25659" spans="103:104" x14ac:dyDescent="0.3">
      <c r="CY25659" s="34" t="s">
        <v>26585</v>
      </c>
      <c r="CZ25659" s="35">
        <v>8.6197519999999996E-3</v>
      </c>
    </row>
    <row r="25660" spans="103:104" x14ac:dyDescent="0.3">
      <c r="CY25660" s="34" t="s">
        <v>26586</v>
      </c>
      <c r="CZ25660" s="35">
        <v>1.6240614E-2</v>
      </c>
    </row>
    <row r="25661" spans="103:104" x14ac:dyDescent="0.3">
      <c r="CY25661" s="34" t="s">
        <v>26587</v>
      </c>
      <c r="CZ25661" s="35">
        <v>1.4659324000000001E-2</v>
      </c>
    </row>
    <row r="25662" spans="103:104" x14ac:dyDescent="0.3">
      <c r="CY25662" s="34" t="s">
        <v>26588</v>
      </c>
      <c r="CZ25662" s="35">
        <v>2.0710000000000002E-4</v>
      </c>
    </row>
    <row r="25663" spans="103:104" x14ac:dyDescent="0.3">
      <c r="CY25663" s="34" t="s">
        <v>26589</v>
      </c>
      <c r="CZ25663" s="35">
        <v>1.2971227239247311E-3</v>
      </c>
    </row>
    <row r="25664" spans="103:104" x14ac:dyDescent="0.3">
      <c r="CY25664" s="34" t="s">
        <v>26590</v>
      </c>
      <c r="CZ25664" s="35">
        <v>6.8094200000000007E-2</v>
      </c>
    </row>
    <row r="25665" spans="103:104" x14ac:dyDescent="0.3">
      <c r="CY25665" s="34" t="s">
        <v>26591</v>
      </c>
      <c r="CZ25665" s="35">
        <v>5.7888999999999996E-2</v>
      </c>
    </row>
    <row r="25666" spans="103:104" x14ac:dyDescent="0.3">
      <c r="CY25666" s="34" t="s">
        <v>26592</v>
      </c>
      <c r="CZ25666" s="35">
        <v>8.0022648000000002E-2</v>
      </c>
    </row>
    <row r="25667" spans="103:104" x14ac:dyDescent="0.3">
      <c r="CY25667" s="34" t="s">
        <v>26593</v>
      </c>
      <c r="CZ25667" s="35">
        <v>5.1114600000000003E-2</v>
      </c>
    </row>
    <row r="25668" spans="103:104" x14ac:dyDescent="0.3">
      <c r="CY25668" s="34" t="s">
        <v>26594</v>
      </c>
      <c r="CZ25668" s="35">
        <v>3.5794420000000004E-3</v>
      </c>
    </row>
    <row r="25669" spans="103:104" x14ac:dyDescent="0.3">
      <c r="CY25669" s="34" t="s">
        <v>26595</v>
      </c>
      <c r="CZ25669" s="35">
        <v>2.2458484400000003E-2</v>
      </c>
    </row>
    <row r="25670" spans="103:104" x14ac:dyDescent="0.3">
      <c r="CY25670" s="34" t="s">
        <v>26596</v>
      </c>
      <c r="CZ25670" s="35">
        <v>1.0689140799999999E-3</v>
      </c>
    </row>
    <row r="25671" spans="103:104" x14ac:dyDescent="0.3">
      <c r="CY25671" s="34" t="s">
        <v>26597</v>
      </c>
      <c r="CZ25671" s="35">
        <v>3.1975140000000006E-2</v>
      </c>
    </row>
    <row r="25672" spans="103:104" x14ac:dyDescent="0.3">
      <c r="CY25672" s="34" t="s">
        <v>26598</v>
      </c>
      <c r="CZ25672" s="35">
        <v>2.0538061515789473E-2</v>
      </c>
    </row>
    <row r="25673" spans="103:104" x14ac:dyDescent="0.3">
      <c r="CY25673" s="34" t="s">
        <v>26599</v>
      </c>
      <c r="CZ25673" s="35">
        <v>3.7673195E-2</v>
      </c>
    </row>
    <row r="25674" spans="103:104" x14ac:dyDescent="0.3">
      <c r="CY25674" s="34" t="s">
        <v>26600</v>
      </c>
      <c r="CZ25674" s="35">
        <v>7.2351199999999994E-3</v>
      </c>
    </row>
    <row r="25675" spans="103:104" x14ac:dyDescent="0.3">
      <c r="CY25675" s="34" t="s">
        <v>26601</v>
      </c>
      <c r="CZ25675" s="35">
        <v>6.7344559999999998E-3</v>
      </c>
    </row>
    <row r="25676" spans="103:104" x14ac:dyDescent="0.3">
      <c r="CY25676" s="34" t="s">
        <v>26602</v>
      </c>
      <c r="CZ25676" s="35">
        <v>2.0078183999999999E-2</v>
      </c>
    </row>
    <row r="25677" spans="103:104" x14ac:dyDescent="0.3">
      <c r="CY25677" s="34" t="s">
        <v>26603</v>
      </c>
      <c r="CZ25677" s="35">
        <v>9.2321914814814818E-2</v>
      </c>
    </row>
    <row r="25678" spans="103:104" x14ac:dyDescent="0.3">
      <c r="CY25678" s="34" t="s">
        <v>26604</v>
      </c>
      <c r="CZ25678" s="35">
        <v>2.0397441299999999E-3</v>
      </c>
    </row>
    <row r="25679" spans="103:104" x14ac:dyDescent="0.3">
      <c r="CY25679" s="34" t="s">
        <v>26605</v>
      </c>
      <c r="CZ25679" s="35">
        <v>1.4138651200000001E-2</v>
      </c>
    </row>
    <row r="25680" spans="103:104" x14ac:dyDescent="0.3">
      <c r="CY25680" s="34" t="s">
        <v>26606</v>
      </c>
      <c r="CZ25680" s="35">
        <v>1.6311143589743591E-2</v>
      </c>
    </row>
    <row r="25681" spans="103:104" x14ac:dyDescent="0.3">
      <c r="CY25681" s="34" t="s">
        <v>26607</v>
      </c>
      <c r="CZ25681" s="35">
        <v>2.2176482000000001E-2</v>
      </c>
    </row>
    <row r="25682" spans="103:104" x14ac:dyDescent="0.3">
      <c r="CY25682" s="34" t="s">
        <v>26608</v>
      </c>
      <c r="CZ25682" s="35">
        <v>1.1205555555555555E-2</v>
      </c>
    </row>
    <row r="25683" spans="103:104" x14ac:dyDescent="0.3">
      <c r="CY25683" s="34" t="s">
        <v>26609</v>
      </c>
      <c r="CZ25683" s="35">
        <v>2.58712E-2</v>
      </c>
    </row>
    <row r="25684" spans="103:104" x14ac:dyDescent="0.3">
      <c r="CY25684" s="34" t="s">
        <v>26610</v>
      </c>
      <c r="CZ25684" s="35">
        <v>9.5468813249999993E-3</v>
      </c>
    </row>
    <row r="25685" spans="103:104" x14ac:dyDescent="0.3">
      <c r="CY25685" s="34" t="s">
        <v>26611</v>
      </c>
      <c r="CZ25685" s="35">
        <v>5.3875244849999997E-3</v>
      </c>
    </row>
    <row r="25686" spans="103:104" x14ac:dyDescent="0.3">
      <c r="CY25686" s="34" t="s">
        <v>26612</v>
      </c>
      <c r="CZ25686" s="35">
        <v>0.12889289599999998</v>
      </c>
    </row>
    <row r="25687" spans="103:104" x14ac:dyDescent="0.3">
      <c r="CY25687" s="34" t="s">
        <v>26613</v>
      </c>
      <c r="CZ25687" s="35">
        <v>6.5900000000000003E-5</v>
      </c>
    </row>
    <row r="25688" spans="103:104" x14ac:dyDescent="0.3">
      <c r="CY25688" s="34" t="s">
        <v>26614</v>
      </c>
      <c r="CZ25688" s="35">
        <v>0.17618396000000003</v>
      </c>
    </row>
    <row r="25689" spans="103:104" x14ac:dyDescent="0.3">
      <c r="CY25689" s="34" t="s">
        <v>26615</v>
      </c>
      <c r="CZ25689" s="35">
        <v>5.8636762222222224E-3</v>
      </c>
    </row>
    <row r="25690" spans="103:104" x14ac:dyDescent="0.3">
      <c r="CY25690" s="34" t="s">
        <v>26616</v>
      </c>
      <c r="CZ25690" s="35">
        <v>5.7571416140350887E-3</v>
      </c>
    </row>
    <row r="25691" spans="103:104" x14ac:dyDescent="0.3">
      <c r="CY25691" s="34" t="s">
        <v>26617</v>
      </c>
      <c r="CZ25691" s="35">
        <v>3.5228860000000001E-2</v>
      </c>
    </row>
    <row r="25692" spans="103:104" x14ac:dyDescent="0.3">
      <c r="CY25692" s="34" t="s">
        <v>26618</v>
      </c>
      <c r="CZ25692" s="35">
        <v>2.0114087684210528E-2</v>
      </c>
    </row>
    <row r="25693" spans="103:104" x14ac:dyDescent="0.3">
      <c r="CY25693" s="34" t="s">
        <v>26619</v>
      </c>
      <c r="CZ25693" s="35">
        <v>5.7474293333333336E-2</v>
      </c>
    </row>
    <row r="25694" spans="103:104" x14ac:dyDescent="0.3">
      <c r="CY25694" s="34" t="s">
        <v>26620</v>
      </c>
      <c r="CZ25694" s="35">
        <v>4.6575000000000007E-5</v>
      </c>
    </row>
    <row r="25695" spans="103:104" x14ac:dyDescent="0.3">
      <c r="CY25695" s="34" t="s">
        <v>26621</v>
      </c>
      <c r="CZ25695" s="35">
        <v>0.30826029599999999</v>
      </c>
    </row>
    <row r="25696" spans="103:104" x14ac:dyDescent="0.3">
      <c r="CY25696" s="34" t="s">
        <v>26622</v>
      </c>
      <c r="CZ25696" s="35">
        <v>0.28269803200000004</v>
      </c>
    </row>
    <row r="25697" spans="103:104" x14ac:dyDescent="0.3">
      <c r="CY25697" s="34" t="s">
        <v>26623</v>
      </c>
      <c r="CZ25697" s="35">
        <v>4.3573831578947375E-3</v>
      </c>
    </row>
    <row r="25698" spans="103:104" x14ac:dyDescent="0.3">
      <c r="CY25698" s="34" t="s">
        <v>26624</v>
      </c>
      <c r="CZ25698" s="35">
        <v>2.5412379999999998E-2</v>
      </c>
    </row>
    <row r="25699" spans="103:104" x14ac:dyDescent="0.3">
      <c r="CY25699" s="34" t="s">
        <v>26625</v>
      </c>
      <c r="CZ25699" s="35">
        <v>1.8548411999999998E-4</v>
      </c>
    </row>
    <row r="25700" spans="103:104" x14ac:dyDescent="0.3">
      <c r="CY25700" s="34" t="s">
        <v>26626</v>
      </c>
      <c r="CZ25700" s="35">
        <v>0.18629000000000001</v>
      </c>
    </row>
    <row r="25701" spans="103:104" x14ac:dyDescent="0.3">
      <c r="CY25701" s="34" t="s">
        <v>26627</v>
      </c>
      <c r="CZ25701" s="35">
        <v>0.11611160000000001</v>
      </c>
    </row>
    <row r="25702" spans="103:104" x14ac:dyDescent="0.3">
      <c r="CY25702" s="34" t="s">
        <v>26628</v>
      </c>
      <c r="CZ25702" s="35">
        <v>4.8924800000000004E-2</v>
      </c>
    </row>
    <row r="25703" spans="103:104" x14ac:dyDescent="0.3">
      <c r="CY25703" s="34" t="s">
        <v>26629</v>
      </c>
      <c r="CZ25703" s="35">
        <v>3.3254000000000006E-2</v>
      </c>
    </row>
    <row r="25704" spans="103:104" x14ac:dyDescent="0.3">
      <c r="CY25704" s="34" t="s">
        <v>26630</v>
      </c>
      <c r="CZ25704" s="35">
        <v>2.624367111111111E-2</v>
      </c>
    </row>
    <row r="25705" spans="103:104" x14ac:dyDescent="0.3">
      <c r="CY25705" s="34" t="s">
        <v>26631</v>
      </c>
      <c r="CZ25705" s="35">
        <v>0.68719574786000004</v>
      </c>
    </row>
    <row r="25706" spans="103:104" x14ac:dyDescent="0.3">
      <c r="CY25706" s="34" t="s">
        <v>26632</v>
      </c>
      <c r="CZ25706" s="35">
        <v>0.75961247999999992</v>
      </c>
    </row>
    <row r="25707" spans="103:104" x14ac:dyDescent="0.3">
      <c r="CY25707" s="34" t="s">
        <v>26633</v>
      </c>
      <c r="CZ25707" s="35">
        <v>0.85111656000000002</v>
      </c>
    </row>
    <row r="25708" spans="103:104" x14ac:dyDescent="0.3">
      <c r="CY25708" s="34" t="s">
        <v>26634</v>
      </c>
      <c r="CZ25708" s="35">
        <v>1.1797910666666668E-2</v>
      </c>
    </row>
    <row r="25709" spans="103:104" x14ac:dyDescent="0.3">
      <c r="CY25709" s="34" t="s">
        <v>26635</v>
      </c>
      <c r="CZ25709" s="35">
        <v>9.2217820121951195E-3</v>
      </c>
    </row>
    <row r="25710" spans="103:104" x14ac:dyDescent="0.3">
      <c r="CY25710" s="34" t="s">
        <v>26636</v>
      </c>
      <c r="CZ25710" s="35">
        <v>2.6495372624999999E-2</v>
      </c>
    </row>
    <row r="25711" spans="103:104" x14ac:dyDescent="0.3">
      <c r="CY25711" s="34" t="s">
        <v>26637</v>
      </c>
      <c r="CZ25711" s="35">
        <v>5.4678033000000001E-2</v>
      </c>
    </row>
    <row r="25712" spans="103:104" x14ac:dyDescent="0.3">
      <c r="CY25712" s="34" t="s">
        <v>26638</v>
      </c>
      <c r="CZ25712" s="35">
        <v>6.0526983999999997E-3</v>
      </c>
    </row>
    <row r="25713" spans="103:104" x14ac:dyDescent="0.3">
      <c r="CY25713" s="34" t="s">
        <v>26639</v>
      </c>
      <c r="CZ25713" s="35">
        <v>3.8584080000000002E-3</v>
      </c>
    </row>
    <row r="25714" spans="103:104" x14ac:dyDescent="0.3">
      <c r="CY25714" s="34" t="s">
        <v>26640</v>
      </c>
      <c r="CZ25714" s="35">
        <v>0.58724687499999995</v>
      </c>
    </row>
    <row r="25715" spans="103:104" x14ac:dyDescent="0.3">
      <c r="CY25715" s="34" t="s">
        <v>26641</v>
      </c>
      <c r="CZ25715" s="35">
        <v>6.1746664000000007E-2</v>
      </c>
    </row>
    <row r="25716" spans="103:104" x14ac:dyDescent="0.3">
      <c r="CY25716" s="34" t="s">
        <v>26642</v>
      </c>
      <c r="CZ25716" s="35">
        <v>1.9148351999999997E-2</v>
      </c>
    </row>
    <row r="25717" spans="103:104" x14ac:dyDescent="0.3">
      <c r="CY25717" s="34" t="s">
        <v>26643</v>
      </c>
      <c r="CZ25717" s="35">
        <v>1.8901568421052629E-3</v>
      </c>
    </row>
    <row r="25718" spans="103:104" x14ac:dyDescent="0.3">
      <c r="CY25718" s="34" t="s">
        <v>26644</v>
      </c>
      <c r="CZ25718" s="35">
        <v>9.3655089053254446E-3</v>
      </c>
    </row>
    <row r="25719" spans="103:104" x14ac:dyDescent="0.3">
      <c r="CY25719" s="34" t="s">
        <v>26645</v>
      </c>
      <c r="CZ25719" s="35">
        <v>9.3655089053254446E-3</v>
      </c>
    </row>
    <row r="25720" spans="103:104" x14ac:dyDescent="0.3">
      <c r="CY25720" s="34" t="s">
        <v>26646</v>
      </c>
      <c r="CZ25720" s="35">
        <v>9.2639866666666664E-3</v>
      </c>
    </row>
    <row r="25721" spans="103:104" x14ac:dyDescent="0.3">
      <c r="CY25721" s="34" t="s">
        <v>26647</v>
      </c>
      <c r="CZ25721" s="35">
        <v>8.4902837435897431E-3</v>
      </c>
    </row>
    <row r="25722" spans="103:104" x14ac:dyDescent="0.3">
      <c r="CY25722" s="34" t="s">
        <v>26648</v>
      </c>
      <c r="CZ25722" s="35">
        <v>8.4902837499999991E-3</v>
      </c>
    </row>
    <row r="25723" spans="103:104" x14ac:dyDescent="0.3">
      <c r="CY25723" s="34" t="s">
        <v>26649</v>
      </c>
      <c r="CZ25723" s="35">
        <v>8.4902837396449698E-3</v>
      </c>
    </row>
    <row r="25724" spans="103:104" x14ac:dyDescent="0.3">
      <c r="CY25724" s="34" t="s">
        <v>26650</v>
      </c>
      <c r="CZ25724" s="35">
        <v>7.6722837396449696E-3</v>
      </c>
    </row>
    <row r="25725" spans="103:104" x14ac:dyDescent="0.3">
      <c r="CY25725" s="34" t="s">
        <v>26651</v>
      </c>
      <c r="CZ25725" s="35">
        <v>4.9934997000000002E-2</v>
      </c>
    </row>
    <row r="25726" spans="103:104" x14ac:dyDescent="0.3">
      <c r="CY25726" s="34" t="s">
        <v>26652</v>
      </c>
      <c r="CZ25726" s="35">
        <v>5.4351381000000004E-2</v>
      </c>
    </row>
    <row r="25727" spans="103:104" x14ac:dyDescent="0.3">
      <c r="CY25727" s="34" t="s">
        <v>26653</v>
      </c>
      <c r="CZ25727" s="35">
        <v>6.8686227400000008E-2</v>
      </c>
    </row>
    <row r="25728" spans="103:104" x14ac:dyDescent="0.3">
      <c r="CY25728" s="34" t="s">
        <v>26654</v>
      </c>
      <c r="CZ25728" s="35">
        <v>0.61782097000000002</v>
      </c>
    </row>
    <row r="25729" spans="103:104" x14ac:dyDescent="0.3">
      <c r="CY25729" s="34" t="s">
        <v>26655</v>
      </c>
      <c r="CZ25729" s="35">
        <v>0.60701472000000001</v>
      </c>
    </row>
    <row r="25730" spans="103:104" x14ac:dyDescent="0.3">
      <c r="CY25730" s="34" t="s">
        <v>26656</v>
      </c>
      <c r="CZ25730" s="35">
        <v>7.4774719999999998E-3</v>
      </c>
    </row>
    <row r="25731" spans="103:104" x14ac:dyDescent="0.3">
      <c r="CY25731" s="34" t="s">
        <v>26657</v>
      </c>
      <c r="CZ25731" s="35">
        <v>9.593412899999999E-3</v>
      </c>
    </row>
    <row r="25732" spans="103:104" x14ac:dyDescent="0.3">
      <c r="CY25732" s="34" t="s">
        <v>26658</v>
      </c>
      <c r="CZ25732" s="35">
        <v>2.7544163764705886E-3</v>
      </c>
    </row>
    <row r="25733" spans="103:104" x14ac:dyDescent="0.3">
      <c r="CY25733" s="34" t="s">
        <v>26659</v>
      </c>
      <c r="CZ25733" s="35">
        <v>9.7994839999999989E-3</v>
      </c>
    </row>
    <row r="25734" spans="103:104" x14ac:dyDescent="0.3">
      <c r="CY25734" s="34" t="s">
        <v>26660</v>
      </c>
      <c r="CZ25734" s="35">
        <v>0.62924667000000001</v>
      </c>
    </row>
    <row r="25735" spans="103:104" x14ac:dyDescent="0.3">
      <c r="CY25735" s="34" t="s">
        <v>26661</v>
      </c>
      <c r="CZ25735" s="35">
        <v>1.14257E-2</v>
      </c>
    </row>
    <row r="25736" spans="103:104" x14ac:dyDescent="0.3">
      <c r="CY25736" s="34" t="s">
        <v>26662</v>
      </c>
      <c r="CZ25736" s="35">
        <v>1.3724199999999997E-2</v>
      </c>
    </row>
    <row r="25737" spans="103:104" x14ac:dyDescent="0.3">
      <c r="CY25737" s="34" t="s">
        <v>26663</v>
      </c>
      <c r="CZ25737" s="35">
        <v>6.5601999999999995E-3</v>
      </c>
    </row>
    <row r="25738" spans="103:104" x14ac:dyDescent="0.3">
      <c r="CY25738" s="34" t="s">
        <v>26664</v>
      </c>
      <c r="CZ25738" s="35">
        <v>1.3724199999999999E-2</v>
      </c>
    </row>
    <row r="25739" spans="103:104" x14ac:dyDescent="0.3">
      <c r="CY25739" s="34" t="s">
        <v>26665</v>
      </c>
      <c r="CZ25739" s="35">
        <v>6.5601999999999995E-3</v>
      </c>
    </row>
    <row r="25740" spans="103:104" x14ac:dyDescent="0.3">
      <c r="CY25740" s="34" t="s">
        <v>26666</v>
      </c>
      <c r="CZ25740" s="35">
        <v>3.3062301555555557E-3</v>
      </c>
    </row>
    <row r="25741" spans="103:104" x14ac:dyDescent="0.3">
      <c r="CY25741" s="34" t="s">
        <v>26667</v>
      </c>
      <c r="CZ25741" s="35">
        <v>0.44622840000000003</v>
      </c>
    </row>
    <row r="25742" spans="103:104" x14ac:dyDescent="0.3">
      <c r="CY25742" s="34" t="s">
        <v>26668</v>
      </c>
      <c r="CZ25742" s="35">
        <v>0</v>
      </c>
    </row>
    <row r="25743" spans="103:104" x14ac:dyDescent="0.3">
      <c r="CY25743" s="34" t="s">
        <v>26669</v>
      </c>
      <c r="CZ25743" s="35">
        <v>0</v>
      </c>
    </row>
    <row r="25744" spans="103:104" x14ac:dyDescent="0.3">
      <c r="CY25744" s="34" t="s">
        <v>26670</v>
      </c>
      <c r="CZ25744" s="35">
        <v>0</v>
      </c>
    </row>
    <row r="25745" spans="103:104" x14ac:dyDescent="0.3">
      <c r="CY25745" s="34" t="s">
        <v>26671</v>
      </c>
      <c r="CZ25745" s="35">
        <v>2.2829880000000004E-2</v>
      </c>
    </row>
    <row r="25746" spans="103:104" x14ac:dyDescent="0.3">
      <c r="CY25746" s="34" t="s">
        <v>26672</v>
      </c>
      <c r="CZ25746" s="35">
        <v>2.2829880000000004E-2</v>
      </c>
    </row>
    <row r="25747" spans="103:104" x14ac:dyDescent="0.3">
      <c r="CY25747" s="34" t="s">
        <v>26673</v>
      </c>
      <c r="CZ25747" s="35">
        <v>2.1206327999999997E-2</v>
      </c>
    </row>
    <row r="25748" spans="103:104" x14ac:dyDescent="0.3">
      <c r="CY25748" s="34" t="s">
        <v>26674</v>
      </c>
      <c r="CZ25748" s="35">
        <v>2.8206327999999999E-2</v>
      </c>
    </row>
    <row r="25749" spans="103:104" x14ac:dyDescent="0.3">
      <c r="CY25749" s="34" t="s">
        <v>26675</v>
      </c>
      <c r="CZ25749" s="35">
        <v>2.1206327999999997E-2</v>
      </c>
    </row>
    <row r="25750" spans="103:104" x14ac:dyDescent="0.3">
      <c r="CY25750" s="34" t="s">
        <v>26676</v>
      </c>
      <c r="CZ25750" s="35">
        <v>2.1206328E-2</v>
      </c>
    </row>
    <row r="25751" spans="103:104" x14ac:dyDescent="0.3">
      <c r="CY25751" s="34" t="s">
        <v>26677</v>
      </c>
      <c r="CZ25751" s="35">
        <v>5.0246304374999993E-3</v>
      </c>
    </row>
    <row r="25752" spans="103:104" x14ac:dyDescent="0.3">
      <c r="CY25752" s="34" t="s">
        <v>26678</v>
      </c>
      <c r="CZ25752" s="35">
        <v>2.2857429999999999E-4</v>
      </c>
    </row>
    <row r="25753" spans="103:104" x14ac:dyDescent="0.3">
      <c r="CY25753" s="34" t="s">
        <v>26679</v>
      </c>
      <c r="CZ25753" s="35">
        <v>5.3966064000000001E-3</v>
      </c>
    </row>
    <row r="25754" spans="103:104" x14ac:dyDescent="0.3">
      <c r="CY25754" s="34" t="s">
        <v>26680</v>
      </c>
      <c r="CZ25754" s="35">
        <v>9.9252478499999991E-3</v>
      </c>
    </row>
    <row r="25755" spans="103:104" x14ac:dyDescent="0.3">
      <c r="CY25755" s="34" t="s">
        <v>26681</v>
      </c>
      <c r="CZ25755" s="35">
        <v>4.8266348888888894E-2</v>
      </c>
    </row>
    <row r="25756" spans="103:104" x14ac:dyDescent="0.3">
      <c r="CY25756" s="34" t="s">
        <v>26682</v>
      </c>
      <c r="CZ25756" s="35">
        <v>4.2988666666666668E-2</v>
      </c>
    </row>
    <row r="25757" spans="103:104" x14ac:dyDescent="0.3">
      <c r="CY25757" s="34" t="s">
        <v>26683</v>
      </c>
      <c r="CZ25757" s="35">
        <v>7.9484819999999998E-3</v>
      </c>
    </row>
    <row r="25758" spans="103:104" x14ac:dyDescent="0.3">
      <c r="CY25758" s="34" t="s">
        <v>26684</v>
      </c>
      <c r="CZ25758" s="35">
        <v>1.0661192500000003E-2</v>
      </c>
    </row>
    <row r="25759" spans="103:104" x14ac:dyDescent="0.3">
      <c r="CY25759" s="34" t="s">
        <v>26685</v>
      </c>
      <c r="CZ25759" s="35">
        <v>1.0661192500000003E-2</v>
      </c>
    </row>
    <row r="25760" spans="103:104" x14ac:dyDescent="0.3">
      <c r="CY25760" s="34" t="s">
        <v>26686</v>
      </c>
      <c r="CZ25760" s="35">
        <v>1.3617500942857141E-2</v>
      </c>
    </row>
    <row r="25761" spans="103:104" x14ac:dyDescent="0.3">
      <c r="CY25761" s="34" t="s">
        <v>26687</v>
      </c>
      <c r="CZ25761" s="35">
        <v>7.3803545999999998E-3</v>
      </c>
    </row>
    <row r="25762" spans="103:104" x14ac:dyDescent="0.3">
      <c r="CY25762" s="34" t="s">
        <v>26688</v>
      </c>
      <c r="CZ25762" s="35">
        <v>1.5727791600000002E-2</v>
      </c>
    </row>
    <row r="25763" spans="103:104" x14ac:dyDescent="0.3">
      <c r="CY25763" s="34" t="s">
        <v>26689</v>
      </c>
      <c r="CZ25763" s="35">
        <v>2.5782368599999998E-2</v>
      </c>
    </row>
    <row r="25764" spans="103:104" x14ac:dyDescent="0.3">
      <c r="CY25764" s="34" t="s">
        <v>26690</v>
      </c>
      <c r="CZ25764" s="35">
        <v>9.627914999999999E-3</v>
      </c>
    </row>
    <row r="25765" spans="103:104" x14ac:dyDescent="0.3">
      <c r="CY25765" s="34" t="s">
        <v>26691</v>
      </c>
      <c r="CZ25765" s="35">
        <v>1.7460000000000002E-4</v>
      </c>
    </row>
    <row r="25766" spans="103:104" x14ac:dyDescent="0.3">
      <c r="CY25766" s="34" t="s">
        <v>26692</v>
      </c>
      <c r="CZ25766" s="35">
        <v>0.13698549000000002</v>
      </c>
    </row>
    <row r="25767" spans="103:104" x14ac:dyDescent="0.3">
      <c r="CY25767" s="34" t="s">
        <v>26693</v>
      </c>
      <c r="CZ25767" s="35">
        <v>5.5005952000000004E-2</v>
      </c>
    </row>
    <row r="25768" spans="103:104" x14ac:dyDescent="0.3">
      <c r="CY25768" s="34" t="s">
        <v>26694</v>
      </c>
      <c r="CZ25768" s="35">
        <v>2.5686569384615388E-3</v>
      </c>
    </row>
    <row r="25769" spans="103:104" x14ac:dyDescent="0.3">
      <c r="CY25769" s="34" t="s">
        <v>26695</v>
      </c>
      <c r="CZ25769" s="35">
        <v>6.3382289333333338E-3</v>
      </c>
    </row>
    <row r="25770" spans="103:104" x14ac:dyDescent="0.3">
      <c r="CY25770" s="34" t="s">
        <v>26696</v>
      </c>
      <c r="CZ25770" s="35">
        <v>7.2767384000000006E-3</v>
      </c>
    </row>
    <row r="25771" spans="103:104" x14ac:dyDescent="0.3">
      <c r="CY25771" s="34" t="s">
        <v>26697</v>
      </c>
      <c r="CZ25771" s="35">
        <v>0.12442341789473688</v>
      </c>
    </row>
    <row r="25772" spans="103:104" x14ac:dyDescent="0.3">
      <c r="CY25772" s="34" t="s">
        <v>26698</v>
      </c>
      <c r="CZ25772" s="35">
        <v>0.363940125</v>
      </c>
    </row>
    <row r="25773" spans="103:104" x14ac:dyDescent="0.3">
      <c r="CY25773" s="34" t="s">
        <v>26699</v>
      </c>
      <c r="CZ25773" s="35">
        <v>0.356902</v>
      </c>
    </row>
    <row r="25774" spans="103:104" x14ac:dyDescent="0.3">
      <c r="CY25774" s="34" t="s">
        <v>26700</v>
      </c>
      <c r="CZ25774" s="35">
        <v>0.71207719999999997</v>
      </c>
    </row>
    <row r="25775" spans="103:104" x14ac:dyDescent="0.3">
      <c r="CY25775" s="34" t="s">
        <v>26701</v>
      </c>
      <c r="CZ25775" s="35">
        <v>0.50708280000000006</v>
      </c>
    </row>
    <row r="25776" spans="103:104" x14ac:dyDescent="0.3">
      <c r="CY25776" s="34" t="s">
        <v>26702</v>
      </c>
      <c r="CZ25776" s="35">
        <v>0.31469340000000001</v>
      </c>
    </row>
    <row r="25777" spans="103:104" x14ac:dyDescent="0.3">
      <c r="CY25777" s="34" t="s">
        <v>26703</v>
      </c>
      <c r="CZ25777" s="35">
        <v>0.30330840000000003</v>
      </c>
    </row>
    <row r="25778" spans="103:104" x14ac:dyDescent="0.3">
      <c r="CY25778" s="34" t="s">
        <v>26704</v>
      </c>
      <c r="CZ25778" s="35">
        <v>0.52115904999999996</v>
      </c>
    </row>
    <row r="25779" spans="103:104" x14ac:dyDescent="0.3">
      <c r="CY25779" s="34" t="s">
        <v>26705</v>
      </c>
      <c r="CZ25779" s="35">
        <v>0.52115905000000007</v>
      </c>
    </row>
    <row r="25780" spans="103:104" x14ac:dyDescent="0.3">
      <c r="CY25780" s="34" t="s">
        <v>26706</v>
      </c>
      <c r="CZ25780" s="35">
        <v>0.50708280000000006</v>
      </c>
    </row>
    <row r="25781" spans="103:104" x14ac:dyDescent="0.3">
      <c r="CY25781" s="34" t="s">
        <v>26707</v>
      </c>
      <c r="CZ25781" s="35">
        <v>4.3544999999999999E-3</v>
      </c>
    </row>
    <row r="25782" spans="103:104" x14ac:dyDescent="0.3">
      <c r="CY25782" s="34" t="s">
        <v>26708</v>
      </c>
      <c r="CZ25782" s="35">
        <v>5.1855573333333321E-2</v>
      </c>
    </row>
    <row r="25783" spans="103:104" x14ac:dyDescent="0.3">
      <c r="CY25783" s="34" t="s">
        <v>26709</v>
      </c>
      <c r="CZ25783" s="35">
        <v>6.494333333333332E-4</v>
      </c>
    </row>
    <row r="25784" spans="103:104" x14ac:dyDescent="0.3">
      <c r="CY25784" s="34" t="s">
        <v>26710</v>
      </c>
      <c r="CZ25784" s="35">
        <v>1.1232028000000003E-3</v>
      </c>
    </row>
    <row r="25785" spans="103:104" x14ac:dyDescent="0.3">
      <c r="CY25785" s="34" t="s">
        <v>26711</v>
      </c>
      <c r="CZ25785" s="35">
        <v>2.475467961904762E-4</v>
      </c>
    </row>
    <row r="25786" spans="103:104" x14ac:dyDescent="0.3">
      <c r="CY25786" s="34" t="s">
        <v>26712</v>
      </c>
      <c r="CZ25786" s="35">
        <v>1.5282939999999999E-3</v>
      </c>
    </row>
    <row r="25787" spans="103:104" x14ac:dyDescent="0.3">
      <c r="CY25787" s="34" t="s">
        <v>26713</v>
      </c>
      <c r="CZ25787" s="35">
        <v>8.9798094848181831E-4</v>
      </c>
    </row>
    <row r="25788" spans="103:104" x14ac:dyDescent="0.3">
      <c r="CY25788" s="34" t="s">
        <v>26714</v>
      </c>
      <c r="CZ25788" s="35">
        <v>5.1554533300000004E-2</v>
      </c>
    </row>
    <row r="25789" spans="103:104" x14ac:dyDescent="0.3">
      <c r="CY25789" s="34" t="s">
        <v>26715</v>
      </c>
      <c r="CZ25789" s="35">
        <v>0.11302050000000001</v>
      </c>
    </row>
    <row r="25790" spans="103:104" x14ac:dyDescent="0.3">
      <c r="CY25790" s="34" t="s">
        <v>26716</v>
      </c>
      <c r="CZ25790" s="35">
        <v>8.5559600000000003E-4</v>
      </c>
    </row>
    <row r="25791" spans="103:104" x14ac:dyDescent="0.3">
      <c r="CY25791" s="34" t="s">
        <v>26717</v>
      </c>
      <c r="CZ25791" s="35">
        <v>5.2289775999999994E-3</v>
      </c>
    </row>
    <row r="25792" spans="103:104" x14ac:dyDescent="0.3">
      <c r="CY25792" s="34" t="s">
        <v>26718</v>
      </c>
      <c r="CZ25792" s="35">
        <v>0.51294229763157884</v>
      </c>
    </row>
    <row r="25793" spans="103:104" x14ac:dyDescent="0.3">
      <c r="CY25793" s="34" t="s">
        <v>26719</v>
      </c>
      <c r="CZ25793" s="35">
        <v>1.188732E-2</v>
      </c>
    </row>
    <row r="25794" spans="103:104" x14ac:dyDescent="0.3">
      <c r="CY25794" s="34" t="s">
        <v>26720</v>
      </c>
      <c r="CZ25794" s="35">
        <v>0.54241782533333327</v>
      </c>
    </row>
    <row r="25795" spans="103:104" x14ac:dyDescent="0.3">
      <c r="CY25795" s="34" t="s">
        <v>26721</v>
      </c>
      <c r="CZ25795" s="35">
        <v>7.2692399999999989E-3</v>
      </c>
    </row>
    <row r="25796" spans="103:104" x14ac:dyDescent="0.3">
      <c r="CY25796" s="34" t="s">
        <v>26722</v>
      </c>
      <c r="CZ25796" s="35">
        <v>5.7260000000000002E-3</v>
      </c>
    </row>
    <row r="25797" spans="103:104" x14ac:dyDescent="0.3">
      <c r="CY25797" s="34" t="s">
        <v>26723</v>
      </c>
      <c r="CZ25797" s="35">
        <v>9.5433333400000014E-3</v>
      </c>
    </row>
    <row r="25798" spans="103:104" x14ac:dyDescent="0.3">
      <c r="CY25798" s="34" t="s">
        <v>26724</v>
      </c>
      <c r="CZ25798" s="35">
        <v>2.4540789E-2</v>
      </c>
    </row>
    <row r="25799" spans="103:104" x14ac:dyDescent="0.3">
      <c r="CY25799" s="34" t="s">
        <v>26725</v>
      </c>
      <c r="CZ25799" s="35">
        <v>8.5218439999999993E-2</v>
      </c>
    </row>
    <row r="25800" spans="103:104" x14ac:dyDescent="0.3">
      <c r="CY25800" s="34" t="s">
        <v>26726</v>
      </c>
      <c r="CZ25800" s="35">
        <v>4.7716666599999999E-3</v>
      </c>
    </row>
    <row r="25801" spans="103:104" x14ac:dyDescent="0.3">
      <c r="CY25801" s="34" t="s">
        <v>26727</v>
      </c>
      <c r="CZ25801" s="35">
        <v>1.1812954971428572E-2</v>
      </c>
    </row>
    <row r="25802" spans="103:104" x14ac:dyDescent="0.3">
      <c r="CY25802" s="34" t="s">
        <v>26728</v>
      </c>
      <c r="CZ25802" s="35">
        <v>4.2996026799999996E-2</v>
      </c>
    </row>
    <row r="25803" spans="103:104" x14ac:dyDescent="0.3">
      <c r="CY25803" s="34" t="s">
        <v>26729</v>
      </c>
      <c r="CZ25803" s="35">
        <v>8.6403431999999992E-3</v>
      </c>
    </row>
    <row r="25804" spans="103:104" x14ac:dyDescent="0.3">
      <c r="CY25804" s="34" t="s">
        <v>26730</v>
      </c>
      <c r="CZ25804" s="35">
        <v>1.053944E-3</v>
      </c>
    </row>
    <row r="25805" spans="103:104" x14ac:dyDescent="0.3">
      <c r="CY25805" s="34" t="s">
        <v>26731</v>
      </c>
      <c r="CZ25805" s="35">
        <v>1.6725598000000001E-2</v>
      </c>
    </row>
    <row r="25806" spans="103:104" x14ac:dyDescent="0.3">
      <c r="CY25806" s="34" t="s">
        <v>26732</v>
      </c>
      <c r="CZ25806" s="35">
        <v>8.0230609999999994E-2</v>
      </c>
    </row>
    <row r="25807" spans="103:104" x14ac:dyDescent="0.3">
      <c r="CY25807" s="34" t="s">
        <v>26733</v>
      </c>
      <c r="CZ25807" s="35">
        <v>6.4461605000000005E-2</v>
      </c>
    </row>
    <row r="25808" spans="103:104" x14ac:dyDescent="0.3">
      <c r="CY25808" s="34" t="s">
        <v>26734</v>
      </c>
      <c r="CZ25808" s="35">
        <v>0.13665319583999999</v>
      </c>
    </row>
    <row r="25809" spans="103:104" x14ac:dyDescent="0.3">
      <c r="CY25809" s="34" t="s">
        <v>26735</v>
      </c>
      <c r="CZ25809" s="35">
        <v>1.1346823111111111E-2</v>
      </c>
    </row>
    <row r="25810" spans="103:104" x14ac:dyDescent="0.3">
      <c r="CY25810" s="34" t="s">
        <v>26736</v>
      </c>
      <c r="CZ25810" s="35">
        <v>7.9327100000000011E-2</v>
      </c>
    </row>
    <row r="25811" spans="103:104" x14ac:dyDescent="0.3">
      <c r="CY25811" s="34" t="s">
        <v>26737</v>
      </c>
      <c r="CZ25811" s="35">
        <v>5.8056422000000003E-2</v>
      </c>
    </row>
    <row r="25812" spans="103:104" x14ac:dyDescent="0.3">
      <c r="CY25812" s="34" t="s">
        <v>26738</v>
      </c>
      <c r="CZ25812" s="35">
        <v>2.3794242700000003E-2</v>
      </c>
    </row>
    <row r="25813" spans="103:104" x14ac:dyDescent="0.3">
      <c r="CY25813" s="34" t="s">
        <v>26739</v>
      </c>
      <c r="CZ25813" s="35">
        <v>2.0455555555555557E-3</v>
      </c>
    </row>
    <row r="25814" spans="103:104" x14ac:dyDescent="0.3">
      <c r="CY25814" s="34" t="s">
        <v>26740</v>
      </c>
      <c r="CZ25814" s="35">
        <v>0.34337614117647053</v>
      </c>
    </row>
    <row r="25815" spans="103:104" x14ac:dyDescent="0.3">
      <c r="CY25815" s="34" t="s">
        <v>26741</v>
      </c>
      <c r="CZ25815" s="35">
        <v>2.6682301333333335E-2</v>
      </c>
    </row>
    <row r="25816" spans="103:104" x14ac:dyDescent="0.3">
      <c r="CY25816" s="34" t="s">
        <v>26742</v>
      </c>
      <c r="CZ25816" s="35">
        <v>7.6965568000000012E-2</v>
      </c>
    </row>
    <row r="25817" spans="103:104" x14ac:dyDescent="0.3">
      <c r="CY25817" s="34" t="s">
        <v>26743</v>
      </c>
      <c r="CZ25817" s="35">
        <v>2.7887157999999999E-2</v>
      </c>
    </row>
    <row r="25818" spans="103:104" x14ac:dyDescent="0.3">
      <c r="CY25818" s="34" t="s">
        <v>26744</v>
      </c>
      <c r="CZ25818" s="35">
        <v>7.3295920000000002E-3</v>
      </c>
    </row>
    <row r="25819" spans="103:104" x14ac:dyDescent="0.3">
      <c r="CY25819" s="34" t="s">
        <v>26745</v>
      </c>
      <c r="CZ25819" s="35">
        <v>1.5174520000000002E-2</v>
      </c>
    </row>
    <row r="25820" spans="103:104" x14ac:dyDescent="0.3">
      <c r="CY25820" s="34" t="s">
        <v>26746</v>
      </c>
      <c r="CZ25820" s="35">
        <v>4.4851076444444443E-2</v>
      </c>
    </row>
    <row r="25821" spans="103:104" x14ac:dyDescent="0.3">
      <c r="CY25821" s="34" t="s">
        <v>26747</v>
      </c>
      <c r="CZ25821" s="35">
        <v>7.800195E-2</v>
      </c>
    </row>
    <row r="25822" spans="103:104" x14ac:dyDescent="0.3">
      <c r="CY25822" s="34" t="s">
        <v>26748</v>
      </c>
      <c r="CZ25822" s="35">
        <v>3.3550469066666679E-2</v>
      </c>
    </row>
    <row r="25823" spans="103:104" x14ac:dyDescent="0.3">
      <c r="CY25823" s="34" t="s">
        <v>26749</v>
      </c>
      <c r="CZ25823" s="35">
        <v>0.45820793999999998</v>
      </c>
    </row>
    <row r="25824" spans="103:104" x14ac:dyDescent="0.3">
      <c r="CY25824" s="34" t="s">
        <v>26750</v>
      </c>
      <c r="CZ25824" s="35">
        <v>0.52162154999999988</v>
      </c>
    </row>
    <row r="25825" spans="103:104" x14ac:dyDescent="0.3">
      <c r="CY25825" s="34" t="s">
        <v>26751</v>
      </c>
      <c r="CZ25825" s="35">
        <v>5.5648193799999995E-2</v>
      </c>
    </row>
    <row r="25826" spans="103:104" x14ac:dyDescent="0.3">
      <c r="CY25826" s="34" t="s">
        <v>26752</v>
      </c>
      <c r="CZ25826" s="35">
        <v>1.3176557000000002E-2</v>
      </c>
    </row>
    <row r="25827" spans="103:104" x14ac:dyDescent="0.3">
      <c r="CY25827" s="34" t="s">
        <v>26753</v>
      </c>
      <c r="CZ25827" s="35">
        <v>1.3526390577777778E-2</v>
      </c>
    </row>
    <row r="25828" spans="103:104" x14ac:dyDescent="0.3">
      <c r="CY25828" s="34" t="s">
        <v>26754</v>
      </c>
      <c r="CZ25828" s="35">
        <v>0.26841152941176472</v>
      </c>
    </row>
    <row r="25829" spans="103:104" x14ac:dyDescent="0.3">
      <c r="CY25829" s="34" t="s">
        <v>26755</v>
      </c>
      <c r="CZ25829" s="35">
        <v>8.2878807999999998E-2</v>
      </c>
    </row>
    <row r="25830" spans="103:104" x14ac:dyDescent="0.3">
      <c r="CY25830" s="34" t="s">
        <v>26756</v>
      </c>
      <c r="CZ25830" s="35">
        <v>1.0635271E-2</v>
      </c>
    </row>
    <row r="25831" spans="103:104" x14ac:dyDescent="0.3">
      <c r="CY25831" s="34" t="s">
        <v>26757</v>
      </c>
      <c r="CZ25831" s="35">
        <v>4.9554572000000006E-4</v>
      </c>
    </row>
    <row r="25832" spans="103:104" x14ac:dyDescent="0.3">
      <c r="CY25832" s="34" t="s">
        <v>26758</v>
      </c>
      <c r="CZ25832" s="35">
        <v>1.9386799999999999E-2</v>
      </c>
    </row>
    <row r="25833" spans="103:104" x14ac:dyDescent="0.3">
      <c r="CY25833" s="34" t="s">
        <v>26759</v>
      </c>
      <c r="CZ25833" s="35">
        <v>1.9386799999999999E-2</v>
      </c>
    </row>
    <row r="25834" spans="103:104" x14ac:dyDescent="0.3">
      <c r="CY25834" s="34" t="s">
        <v>26760</v>
      </c>
      <c r="CZ25834" s="35">
        <v>0.13823031</v>
      </c>
    </row>
    <row r="25835" spans="103:104" x14ac:dyDescent="0.3">
      <c r="CY25835" s="34" t="s">
        <v>26761</v>
      </c>
      <c r="CZ25835" s="35">
        <v>0.4991379700000001</v>
      </c>
    </row>
    <row r="25836" spans="103:104" x14ac:dyDescent="0.3">
      <c r="CY25836" s="34" t="s">
        <v>26762</v>
      </c>
      <c r="CZ25836" s="35">
        <v>0.25717660000000003</v>
      </c>
    </row>
    <row r="25837" spans="103:104" x14ac:dyDescent="0.3">
      <c r="CY25837" s="34" t="s">
        <v>26763</v>
      </c>
      <c r="CZ25837" s="35">
        <v>9.6589119999999993E-4</v>
      </c>
    </row>
    <row r="25838" spans="103:104" x14ac:dyDescent="0.3">
      <c r="CY25838" s="34" t="s">
        <v>26764</v>
      </c>
      <c r="CZ25838" s="35">
        <v>9.5406319999999989E-2</v>
      </c>
    </row>
    <row r="25839" spans="103:104" x14ac:dyDescent="0.3">
      <c r="CY25839" s="34" t="s">
        <v>26765</v>
      </c>
      <c r="CZ25839" s="35">
        <v>7.7792E-3</v>
      </c>
    </row>
    <row r="25840" spans="103:104" x14ac:dyDescent="0.3">
      <c r="CY25840" s="34" t="s">
        <v>26766</v>
      </c>
      <c r="CZ25840" s="35">
        <v>7.6177919999999996E-2</v>
      </c>
    </row>
    <row r="25841" spans="103:104" x14ac:dyDescent="0.3">
      <c r="CY25841" s="34" t="s">
        <v>26767</v>
      </c>
      <c r="CZ25841" s="35">
        <v>3.3338927333333331E-2</v>
      </c>
    </row>
    <row r="25842" spans="103:104" x14ac:dyDescent="0.3">
      <c r="CY25842" s="34" t="s">
        <v>26768</v>
      </c>
      <c r="CZ25842" s="35">
        <v>6.4522217777777773E-3</v>
      </c>
    </row>
    <row r="25843" spans="103:104" x14ac:dyDescent="0.3">
      <c r="CY25843" s="34" t="s">
        <v>26769</v>
      </c>
      <c r="CZ25843" s="35">
        <v>0.16692233999999997</v>
      </c>
    </row>
    <row r="25844" spans="103:104" x14ac:dyDescent="0.3">
      <c r="CY25844" s="34" t="s">
        <v>26770</v>
      </c>
      <c r="CZ25844" s="35">
        <v>0.54016204766666664</v>
      </c>
    </row>
    <row r="25845" spans="103:104" x14ac:dyDescent="0.3">
      <c r="CY25845" s="34" t="s">
        <v>26771</v>
      </c>
      <c r="CZ25845" s="35">
        <v>4.6216887999999999E-3</v>
      </c>
    </row>
    <row r="25846" spans="103:104" x14ac:dyDescent="0.3">
      <c r="CY25846" s="34" t="s">
        <v>26772</v>
      </c>
      <c r="CZ25846" s="35">
        <v>7.6129122933333336E-3</v>
      </c>
    </row>
    <row r="25847" spans="103:104" x14ac:dyDescent="0.3">
      <c r="CY25847" s="34" t="s">
        <v>26773</v>
      </c>
      <c r="CZ25847" s="35">
        <v>5.1143457645714284E-2</v>
      </c>
    </row>
    <row r="25848" spans="103:104" x14ac:dyDescent="0.3">
      <c r="CY25848" s="34" t="s">
        <v>26774</v>
      </c>
      <c r="CZ25848" s="35">
        <v>5.37503134117647E-2</v>
      </c>
    </row>
    <row r="25849" spans="103:104" x14ac:dyDescent="0.3">
      <c r="CY25849" s="34" t="s">
        <v>26775</v>
      </c>
      <c r="CZ25849" s="35">
        <v>5.3169896937500002E-2</v>
      </c>
    </row>
    <row r="25850" spans="103:104" x14ac:dyDescent="0.3">
      <c r="CY25850" s="34" t="s">
        <v>26776</v>
      </c>
      <c r="CZ25850" s="35">
        <v>4.6469764000000004E-2</v>
      </c>
    </row>
    <row r="25851" spans="103:104" x14ac:dyDescent="0.3">
      <c r="CY25851" s="34" t="s">
        <v>26777</v>
      </c>
      <c r="CZ25851" s="35">
        <v>6.2284030666666663E-2</v>
      </c>
    </row>
    <row r="25852" spans="103:104" x14ac:dyDescent="0.3">
      <c r="CY25852" s="34" t="s">
        <v>26778</v>
      </c>
      <c r="CZ25852" s="35">
        <v>7.5297550666666671E-2</v>
      </c>
    </row>
    <row r="25853" spans="103:104" x14ac:dyDescent="0.3">
      <c r="CY25853" s="34" t="s">
        <v>26779</v>
      </c>
      <c r="CZ25853" s="35">
        <v>1.8589242000000001E-3</v>
      </c>
    </row>
    <row r="25854" spans="103:104" x14ac:dyDescent="0.3">
      <c r="CY25854" s="34" t="s">
        <v>26780</v>
      </c>
      <c r="CZ25854" s="35">
        <v>1.1071428400000001</v>
      </c>
    </row>
    <row r="25855" spans="103:104" x14ac:dyDescent="0.3">
      <c r="CY25855" s="34" t="s">
        <v>26781</v>
      </c>
      <c r="CZ25855" s="35">
        <v>0.38915238666666663</v>
      </c>
    </row>
    <row r="25856" spans="103:104" x14ac:dyDescent="0.3">
      <c r="CY25856" s="34" t="s">
        <v>26782</v>
      </c>
      <c r="CZ25856" s="35">
        <v>0.14582201333333333</v>
      </c>
    </row>
    <row r="25857" spans="103:104" x14ac:dyDescent="0.3">
      <c r="CY25857" s="34" t="s">
        <v>26783</v>
      </c>
      <c r="CZ25857" s="35">
        <v>2.6613216000000004E-4</v>
      </c>
    </row>
    <row r="25858" spans="103:104" x14ac:dyDescent="0.3">
      <c r="CY25858" s="34" t="s">
        <v>26784</v>
      </c>
      <c r="CZ25858" s="35">
        <v>5.0075110533333335E-2</v>
      </c>
    </row>
    <row r="25859" spans="103:104" x14ac:dyDescent="0.3">
      <c r="CY25859" s="34" t="s">
        <v>26785</v>
      </c>
      <c r="CZ25859" s="35">
        <v>0.16168888836</v>
      </c>
    </row>
    <row r="25860" spans="103:104" x14ac:dyDescent="0.3">
      <c r="CY25860" s="34" t="s">
        <v>26786</v>
      </c>
      <c r="CZ25860" s="35">
        <v>1.5555035E-2</v>
      </c>
    </row>
    <row r="25861" spans="103:104" x14ac:dyDescent="0.3">
      <c r="CY25861" s="34" t="s">
        <v>26787</v>
      </c>
      <c r="CZ25861" s="35">
        <v>7.846260800000001E-3</v>
      </c>
    </row>
    <row r="25862" spans="103:104" x14ac:dyDescent="0.3">
      <c r="CY25862" s="34" t="s">
        <v>26788</v>
      </c>
      <c r="CZ25862" s="35">
        <v>7.9672848999999997E-3</v>
      </c>
    </row>
    <row r="25863" spans="103:104" x14ac:dyDescent="0.3">
      <c r="CY25863" s="34" t="s">
        <v>26789</v>
      </c>
      <c r="CZ25863" s="35">
        <v>7.0504053333333341E-3</v>
      </c>
    </row>
    <row r="25864" spans="103:104" x14ac:dyDescent="0.3">
      <c r="CY25864" s="34" t="s">
        <v>26790</v>
      </c>
      <c r="CZ25864" s="35">
        <v>5.5532290000000007E-3</v>
      </c>
    </row>
    <row r="25865" spans="103:104" x14ac:dyDescent="0.3">
      <c r="CY25865" s="34" t="s">
        <v>26791</v>
      </c>
      <c r="CZ25865" s="35">
        <v>4.1000152000000003E-3</v>
      </c>
    </row>
    <row r="25866" spans="103:104" x14ac:dyDescent="0.3">
      <c r="CY25866" s="34" t="s">
        <v>26792</v>
      </c>
      <c r="CZ25866" s="35">
        <v>5.9496799999999997E-3</v>
      </c>
    </row>
    <row r="25867" spans="103:104" x14ac:dyDescent="0.3">
      <c r="CY25867" s="34" t="s">
        <v>26793</v>
      </c>
      <c r="CZ25867" s="35">
        <v>0.49545781249999998</v>
      </c>
    </row>
    <row r="25868" spans="103:104" x14ac:dyDescent="0.3">
      <c r="CY25868" s="34" t="s">
        <v>26794</v>
      </c>
      <c r="CZ25868" s="35">
        <v>0.45423183650000004</v>
      </c>
    </row>
    <row r="25869" spans="103:104" x14ac:dyDescent="0.3">
      <c r="CY25869" s="34" t="s">
        <v>26795</v>
      </c>
      <c r="CZ25869" s="35">
        <v>5.8958719999999992E-2</v>
      </c>
    </row>
    <row r="25870" spans="103:104" x14ac:dyDescent="0.3">
      <c r="CY25870" s="34" t="s">
        <v>26796</v>
      </c>
      <c r="CZ25870" s="35">
        <v>9.4570000000000001E-3</v>
      </c>
    </row>
    <row r="25871" spans="103:104" x14ac:dyDescent="0.3">
      <c r="CY25871" s="34" t="s">
        <v>26797</v>
      </c>
      <c r="CZ25871" s="35">
        <v>4.33827E-3</v>
      </c>
    </row>
    <row r="25872" spans="103:104" x14ac:dyDescent="0.3">
      <c r="CY25872" s="34" t="s">
        <v>26798</v>
      </c>
      <c r="CZ25872" s="35">
        <v>1.4180879999999999E-3</v>
      </c>
    </row>
    <row r="25873" spans="103:104" x14ac:dyDescent="0.3">
      <c r="CY25873" s="34" t="s">
        <v>26799</v>
      </c>
      <c r="CZ25873" s="35">
        <v>0.26990752000000001</v>
      </c>
    </row>
    <row r="25874" spans="103:104" x14ac:dyDescent="0.3">
      <c r="CY25874" s="34" t="s">
        <v>26800</v>
      </c>
      <c r="CZ25874" s="35">
        <v>0.114107344</v>
      </c>
    </row>
    <row r="25875" spans="103:104" x14ac:dyDescent="0.3">
      <c r="CY25875" s="34" t="s">
        <v>26801</v>
      </c>
      <c r="CZ25875" s="35">
        <v>0.26438751999999999</v>
      </c>
    </row>
    <row r="25876" spans="103:104" x14ac:dyDescent="0.3">
      <c r="CY25876" s="34" t="s">
        <v>26802</v>
      </c>
      <c r="CZ25876" s="35">
        <v>2.6733320000000005E-2</v>
      </c>
    </row>
    <row r="25877" spans="103:104" x14ac:dyDescent="0.3">
      <c r="CY25877" s="34" t="s">
        <v>26803</v>
      </c>
      <c r="CZ25877" s="35">
        <v>1.4845866666666666E-2</v>
      </c>
    </row>
    <row r="25878" spans="103:104" x14ac:dyDescent="0.3">
      <c r="CY25878" s="34" t="s">
        <v>26804</v>
      </c>
      <c r="CZ25878" s="35">
        <v>5.6053506666666655E-2</v>
      </c>
    </row>
    <row r="25879" spans="103:104" x14ac:dyDescent="0.3">
      <c r="CY25879" s="34" t="s">
        <v>26805</v>
      </c>
      <c r="CZ25879" s="35">
        <v>1.7633168000000001E-2</v>
      </c>
    </row>
    <row r="25880" spans="103:104" x14ac:dyDescent="0.3">
      <c r="CY25880" s="34" t="s">
        <v>26806</v>
      </c>
      <c r="CZ25880" s="35">
        <v>5.1268756120000002E-2</v>
      </c>
    </row>
    <row r="25881" spans="103:104" x14ac:dyDescent="0.3">
      <c r="CY25881" s="34" t="s">
        <v>26807</v>
      </c>
      <c r="CZ25881" s="35">
        <v>8.1233639999999992E-3</v>
      </c>
    </row>
    <row r="25882" spans="103:104" x14ac:dyDescent="0.3">
      <c r="CY25882" s="34" t="s">
        <v>26808</v>
      </c>
      <c r="CZ25882" s="35">
        <v>7.5439248E-2</v>
      </c>
    </row>
    <row r="25883" spans="103:104" x14ac:dyDescent="0.3">
      <c r="CY25883" s="34" t="s">
        <v>26809</v>
      </c>
      <c r="CZ25883" s="35">
        <v>3.0826698699999997E-3</v>
      </c>
    </row>
    <row r="25884" spans="103:104" x14ac:dyDescent="0.3">
      <c r="CY25884" s="34" t="s">
        <v>26810</v>
      </c>
      <c r="CZ25884" s="35">
        <v>4.4883897999999998E-2</v>
      </c>
    </row>
    <row r="25885" spans="103:104" x14ac:dyDescent="0.3">
      <c r="CY25885" s="34" t="s">
        <v>26811</v>
      </c>
      <c r="CZ25885" s="35">
        <v>3.28585552E-2</v>
      </c>
    </row>
    <row r="25886" spans="103:104" x14ac:dyDescent="0.3">
      <c r="CY25886" s="34" t="s">
        <v>26812</v>
      </c>
      <c r="CZ25886" s="35">
        <v>2.5018739999999994E-3</v>
      </c>
    </row>
    <row r="25887" spans="103:104" x14ac:dyDescent="0.3">
      <c r="CY25887" s="34" t="s">
        <v>26813</v>
      </c>
      <c r="CZ25887" s="35">
        <v>4.5669016666666663E-3</v>
      </c>
    </row>
    <row r="25888" spans="103:104" x14ac:dyDescent="0.3">
      <c r="CY25888" s="34" t="s">
        <v>26814</v>
      </c>
      <c r="CZ25888" s="35">
        <v>1.1474E-2</v>
      </c>
    </row>
    <row r="25889" spans="103:104" x14ac:dyDescent="0.3">
      <c r="CY25889" s="34" t="s">
        <v>26815</v>
      </c>
      <c r="CZ25889" s="35">
        <v>1.2541999999999998E-2</v>
      </c>
    </row>
    <row r="25890" spans="103:104" x14ac:dyDescent="0.3">
      <c r="CY25890" s="34" t="s">
        <v>26816</v>
      </c>
      <c r="CZ25890" s="35">
        <v>1.7543194000000002E-2</v>
      </c>
    </row>
    <row r="25891" spans="103:104" x14ac:dyDescent="0.3">
      <c r="CY25891" s="34" t="s">
        <v>26817</v>
      </c>
      <c r="CZ25891" s="35">
        <v>2.6454723999999999E-2</v>
      </c>
    </row>
    <row r="25892" spans="103:104" x14ac:dyDescent="0.3">
      <c r="CY25892" s="34" t="s">
        <v>26818</v>
      </c>
      <c r="CZ25892" s="35">
        <v>9.128188399999999E-3</v>
      </c>
    </row>
    <row r="25893" spans="103:104" x14ac:dyDescent="0.3">
      <c r="CY25893" s="34" t="s">
        <v>26819</v>
      </c>
      <c r="CZ25893" s="35">
        <v>2.1930144000000002E-2</v>
      </c>
    </row>
    <row r="25894" spans="103:104" x14ac:dyDescent="0.3">
      <c r="CY25894" s="34" t="s">
        <v>26820</v>
      </c>
      <c r="CZ25894" s="35">
        <v>2.3971903999999999E-2</v>
      </c>
    </row>
    <row r="25895" spans="103:104" x14ac:dyDescent="0.3">
      <c r="CY25895" s="34" t="s">
        <v>26821</v>
      </c>
      <c r="CZ25895" s="35">
        <v>4.2740020000000007E-3</v>
      </c>
    </row>
    <row r="25896" spans="103:104" x14ac:dyDescent="0.3">
      <c r="CY25896" s="34" t="s">
        <v>26822</v>
      </c>
      <c r="CZ25896" s="35">
        <v>2.8683678545454545E-3</v>
      </c>
    </row>
    <row r="25897" spans="103:104" x14ac:dyDescent="0.3">
      <c r="CY25897" s="34" t="s">
        <v>26823</v>
      </c>
      <c r="CZ25897" s="35">
        <v>5.744020654545455E-3</v>
      </c>
    </row>
    <row r="25898" spans="103:104" x14ac:dyDescent="0.3">
      <c r="CY25898" s="34" t="s">
        <v>26824</v>
      </c>
      <c r="CZ25898" s="35">
        <v>4.2393173333333343E-3</v>
      </c>
    </row>
    <row r="25899" spans="103:104" x14ac:dyDescent="0.3">
      <c r="CY25899" s="34" t="s">
        <v>26825</v>
      </c>
      <c r="CZ25899" s="35">
        <v>8.7382543999999993E-3</v>
      </c>
    </row>
    <row r="25900" spans="103:104" x14ac:dyDescent="0.3">
      <c r="CY25900" s="34" t="s">
        <v>26826</v>
      </c>
      <c r="CZ25900" s="35">
        <v>9.7852479999999999E-3</v>
      </c>
    </row>
    <row r="25901" spans="103:104" x14ac:dyDescent="0.3">
      <c r="CY25901" s="34" t="s">
        <v>26827</v>
      </c>
      <c r="CZ25901" s="35">
        <v>1.2399910399999999E-2</v>
      </c>
    </row>
    <row r="25902" spans="103:104" x14ac:dyDescent="0.3">
      <c r="CY25902" s="34" t="s">
        <v>26828</v>
      </c>
      <c r="CZ25902" s="35">
        <v>2.9227690666666665E-3</v>
      </c>
    </row>
    <row r="25903" spans="103:104" x14ac:dyDescent="0.3">
      <c r="CY25903" s="34" t="s">
        <v>26829</v>
      </c>
      <c r="CZ25903" s="35">
        <v>8.9055824000000006E-3</v>
      </c>
    </row>
    <row r="25904" spans="103:104" x14ac:dyDescent="0.3">
      <c r="CY25904" s="34" t="s">
        <v>26830</v>
      </c>
      <c r="CZ25904" s="35">
        <v>3.5095424000000002E-3</v>
      </c>
    </row>
    <row r="25905" spans="103:104" x14ac:dyDescent="0.3">
      <c r="CY25905" s="34" t="s">
        <v>26831</v>
      </c>
      <c r="CZ25905" s="35">
        <v>1.0414E-2</v>
      </c>
    </row>
    <row r="25906" spans="103:104" x14ac:dyDescent="0.3">
      <c r="CY25906" s="34" t="s">
        <v>26832</v>
      </c>
      <c r="CZ25906" s="35">
        <v>4.8979199999999994E-2</v>
      </c>
    </row>
    <row r="25907" spans="103:104" x14ac:dyDescent="0.3">
      <c r="CY25907" s="34" t="s">
        <v>26833</v>
      </c>
      <c r="CZ25907" s="35">
        <v>3.2245199999999995E-2</v>
      </c>
    </row>
    <row r="25908" spans="103:104" x14ac:dyDescent="0.3">
      <c r="CY25908" s="34" t="s">
        <v>26834</v>
      </c>
      <c r="CZ25908" s="35">
        <v>0</v>
      </c>
    </row>
    <row r="25909" spans="103:104" x14ac:dyDescent="0.3">
      <c r="CY25909" s="34" t="s">
        <v>26835</v>
      </c>
      <c r="CZ25909" s="35">
        <v>5.3171075999999998E-2</v>
      </c>
    </row>
    <row r="25910" spans="103:104" x14ac:dyDescent="0.3">
      <c r="CY25910" s="34" t="s">
        <v>26836</v>
      </c>
      <c r="CZ25910" s="35">
        <v>3.6437075999999999E-2</v>
      </c>
    </row>
    <row r="25911" spans="103:104" x14ac:dyDescent="0.3">
      <c r="CY25911" s="34" t="s">
        <v>26837</v>
      </c>
      <c r="CZ25911" s="35">
        <v>1.7363632000000002E-3</v>
      </c>
    </row>
    <row r="25912" spans="103:104" x14ac:dyDescent="0.3">
      <c r="CY25912" s="34" t="s">
        <v>26838</v>
      </c>
      <c r="CZ25912" s="35">
        <v>1.7363632000000002E-3</v>
      </c>
    </row>
    <row r="25913" spans="103:104" x14ac:dyDescent="0.3">
      <c r="CY25913" s="34" t="s">
        <v>26839</v>
      </c>
      <c r="CZ25913" s="35">
        <v>3.7169079999999997E-3</v>
      </c>
    </row>
    <row r="25914" spans="103:104" x14ac:dyDescent="0.3">
      <c r="CY25914" s="34" t="s">
        <v>26840</v>
      </c>
      <c r="CZ25914" s="35">
        <v>3.7169079999999997E-3</v>
      </c>
    </row>
    <row r="25915" spans="103:104" x14ac:dyDescent="0.3">
      <c r="CY25915" s="34" t="s">
        <v>26841</v>
      </c>
      <c r="CZ25915" s="35">
        <v>4.1619740000000006E-3</v>
      </c>
    </row>
    <row r="25916" spans="103:104" x14ac:dyDescent="0.3">
      <c r="CY25916" s="34" t="s">
        <v>26842</v>
      </c>
      <c r="CZ25916" s="35">
        <v>4.1619740000000006E-3</v>
      </c>
    </row>
    <row r="25917" spans="103:104" x14ac:dyDescent="0.3">
      <c r="CY25917" s="34" t="s">
        <v>26843</v>
      </c>
      <c r="CZ25917" s="35">
        <v>1.2702929600000001E-2</v>
      </c>
    </row>
    <row r="25918" spans="103:104" x14ac:dyDescent="0.3">
      <c r="CY25918" s="34" t="s">
        <v>26844</v>
      </c>
      <c r="CZ25918" s="35">
        <v>1.2702929600000001E-2</v>
      </c>
    </row>
    <row r="25919" spans="103:104" x14ac:dyDescent="0.3">
      <c r="CY25919" s="34" t="s">
        <v>26845</v>
      </c>
      <c r="CZ25919" s="35">
        <v>2.6811527999999994E-3</v>
      </c>
    </row>
    <row r="25920" spans="103:104" x14ac:dyDescent="0.3">
      <c r="CY25920" s="34" t="s">
        <v>26846</v>
      </c>
      <c r="CZ25920" s="35">
        <v>2.6811527999999999E-3</v>
      </c>
    </row>
    <row r="25921" spans="103:104" x14ac:dyDescent="0.3">
      <c r="CY25921" s="34" t="s">
        <v>26847</v>
      </c>
      <c r="CZ25921" s="35">
        <v>1.6015850000000002E-2</v>
      </c>
    </row>
    <row r="25922" spans="103:104" x14ac:dyDescent="0.3">
      <c r="CY25922" s="34" t="s">
        <v>26848</v>
      </c>
      <c r="CZ25922" s="35">
        <v>1.6015849999999998E-2</v>
      </c>
    </row>
    <row r="25923" spans="103:104" x14ac:dyDescent="0.3">
      <c r="CY25923" s="34" t="s">
        <v>26849</v>
      </c>
      <c r="CZ25923" s="35">
        <v>1.7188616000000004E-2</v>
      </c>
    </row>
    <row r="25924" spans="103:104" x14ac:dyDescent="0.3">
      <c r="CY25924" s="34" t="s">
        <v>26850</v>
      </c>
      <c r="CZ25924" s="35">
        <v>1.7188616E-2</v>
      </c>
    </row>
    <row r="25925" spans="103:104" x14ac:dyDescent="0.3">
      <c r="CY25925" s="34" t="s">
        <v>26851</v>
      </c>
      <c r="CZ25925" s="35">
        <v>3.3592254599999999E-3</v>
      </c>
    </row>
    <row r="25926" spans="103:104" x14ac:dyDescent="0.3">
      <c r="CY25926" s="34" t="s">
        <v>26852</v>
      </c>
      <c r="CZ25926" s="35">
        <v>8.6080447999999973E-3</v>
      </c>
    </row>
    <row r="25927" spans="103:104" x14ac:dyDescent="0.3">
      <c r="CY25927" s="34" t="s">
        <v>26853</v>
      </c>
      <c r="CZ25927" s="35">
        <v>2.1227000000000003E-2</v>
      </c>
    </row>
    <row r="25928" spans="103:104" x14ac:dyDescent="0.3">
      <c r="CY25928" s="34" t="s">
        <v>26854</v>
      </c>
      <c r="CZ25928" s="35">
        <v>2.1227000000000003E-2</v>
      </c>
    </row>
    <row r="25929" spans="103:104" x14ac:dyDescent="0.3">
      <c r="CY25929" s="34" t="s">
        <v>26855</v>
      </c>
      <c r="CZ25929" s="35">
        <v>1.3896895333333331E-2</v>
      </c>
    </row>
    <row r="25930" spans="103:104" x14ac:dyDescent="0.3">
      <c r="CY25930" s="34" t="s">
        <v>26856</v>
      </c>
      <c r="CZ25930" s="35">
        <v>2.8801914124999998E-2</v>
      </c>
    </row>
    <row r="25931" spans="103:104" x14ac:dyDescent="0.3">
      <c r="CY25931" s="34" t="s">
        <v>26857</v>
      </c>
      <c r="CZ25931" s="35">
        <v>5.0673840659340658E-3</v>
      </c>
    </row>
    <row r="25932" spans="103:104" x14ac:dyDescent="0.3">
      <c r="CY25932" s="34" t="s">
        <v>26858</v>
      </c>
      <c r="CZ25932" s="35">
        <v>6.5674799999999983E-5</v>
      </c>
    </row>
    <row r="25933" spans="103:104" x14ac:dyDescent="0.3">
      <c r="CY25933" s="34" t="s">
        <v>26859</v>
      </c>
      <c r="CZ25933" s="35">
        <v>0.14576740800000001</v>
      </c>
    </row>
    <row r="25934" spans="103:104" x14ac:dyDescent="0.3">
      <c r="CY25934" s="34" t="s">
        <v>26860</v>
      </c>
      <c r="CZ25934" s="35">
        <v>6.4459016000000008E-2</v>
      </c>
    </row>
    <row r="25935" spans="103:104" x14ac:dyDescent="0.3">
      <c r="CY25935" s="34" t="s">
        <v>26861</v>
      </c>
      <c r="CZ25935" s="35">
        <v>5.3067935999999996E-2</v>
      </c>
    </row>
    <row r="25936" spans="103:104" x14ac:dyDescent="0.3">
      <c r="CY25936" s="34" t="s">
        <v>26862</v>
      </c>
      <c r="CZ25936" s="35">
        <v>3.9337591999999998E-2</v>
      </c>
    </row>
    <row r="25937" spans="103:104" x14ac:dyDescent="0.3">
      <c r="CY25937" s="34" t="s">
        <v>26863</v>
      </c>
      <c r="CZ25937" s="35">
        <v>3.1691608000000003E-2</v>
      </c>
    </row>
    <row r="25938" spans="103:104" x14ac:dyDescent="0.3">
      <c r="CY25938" s="34" t="s">
        <v>26864</v>
      </c>
      <c r="CZ25938" s="35">
        <v>4.3663959999999998E-3</v>
      </c>
    </row>
    <row r="25939" spans="103:104" x14ac:dyDescent="0.3">
      <c r="CY25939" s="34" t="s">
        <v>26865</v>
      </c>
      <c r="CZ25939" s="35">
        <v>5.3102579999999996E-2</v>
      </c>
    </row>
    <row r="25940" spans="103:104" x14ac:dyDescent="0.3">
      <c r="CY25940" s="34" t="s">
        <v>26866</v>
      </c>
      <c r="CZ25940" s="35">
        <v>5.3102579999999996E-2</v>
      </c>
    </row>
    <row r="25941" spans="103:104" x14ac:dyDescent="0.3">
      <c r="CY25941" s="34" t="s">
        <v>26867</v>
      </c>
      <c r="CZ25941" s="35">
        <v>3.6625902600000001E-3</v>
      </c>
    </row>
    <row r="25942" spans="103:104" x14ac:dyDescent="0.3">
      <c r="CY25942" s="34" t="s">
        <v>26868</v>
      </c>
      <c r="CZ25942" s="35">
        <v>2.26821E-2</v>
      </c>
    </row>
    <row r="25943" spans="103:104" x14ac:dyDescent="0.3">
      <c r="CY25943" s="34" t="s">
        <v>26869</v>
      </c>
      <c r="CZ25943" s="35">
        <v>0.27495456000000001</v>
      </c>
    </row>
    <row r="25944" spans="103:104" x14ac:dyDescent="0.3">
      <c r="CY25944" s="34" t="s">
        <v>26870</v>
      </c>
      <c r="CZ25944" s="35">
        <v>1.8083249600000001E-3</v>
      </c>
    </row>
    <row r="25945" spans="103:104" x14ac:dyDescent="0.3">
      <c r="CY25945" s="34" t="s">
        <v>26871</v>
      </c>
      <c r="CZ25945" s="35">
        <v>2.6035801999999999E-3</v>
      </c>
    </row>
    <row r="25946" spans="103:104" x14ac:dyDescent="0.3">
      <c r="CY25946" s="34" t="s">
        <v>26872</v>
      </c>
      <c r="CZ25946" s="35">
        <v>1.49004368E-3</v>
      </c>
    </row>
    <row r="25947" spans="103:104" x14ac:dyDescent="0.3">
      <c r="CY25947" s="34" t="s">
        <v>26873</v>
      </c>
      <c r="CZ25947" s="35">
        <v>1.8934419199999998E-3</v>
      </c>
    </row>
    <row r="25948" spans="103:104" x14ac:dyDescent="0.3">
      <c r="CY25948" s="34" t="s">
        <v>26874</v>
      </c>
      <c r="CZ25948" s="35">
        <v>3.4387916000000003E-3</v>
      </c>
    </row>
    <row r="25949" spans="103:104" x14ac:dyDescent="0.3">
      <c r="CY25949" s="34" t="s">
        <v>26875</v>
      </c>
      <c r="CZ25949" s="35">
        <v>1.3160333199999999E-3</v>
      </c>
    </row>
    <row r="25950" spans="103:104" x14ac:dyDescent="0.3">
      <c r="CY25950" s="34" t="s">
        <v>26876</v>
      </c>
      <c r="CZ25950" s="35">
        <v>2.4916106400000001E-3</v>
      </c>
    </row>
    <row r="25951" spans="103:104" x14ac:dyDescent="0.3">
      <c r="CY25951" s="34" t="s">
        <v>26877</v>
      </c>
      <c r="CZ25951" s="35">
        <v>5.7982862399999996E-3</v>
      </c>
    </row>
    <row r="25952" spans="103:104" x14ac:dyDescent="0.3">
      <c r="CY25952" s="34" t="s">
        <v>26878</v>
      </c>
      <c r="CZ25952" s="35">
        <v>2.5794720000000002E-3</v>
      </c>
    </row>
    <row r="25953" spans="103:104" x14ac:dyDescent="0.3">
      <c r="CY25953" s="34" t="s">
        <v>26879</v>
      </c>
      <c r="CZ25953" s="35">
        <v>1.5281907200000002E-3</v>
      </c>
    </row>
    <row r="25954" spans="103:104" x14ac:dyDescent="0.3">
      <c r="CY25954" s="34" t="s">
        <v>26880</v>
      </c>
      <c r="CZ25954" s="35">
        <v>3.7834463999999999E-3</v>
      </c>
    </row>
    <row r="25955" spans="103:104" x14ac:dyDescent="0.3">
      <c r="CY25955" s="34" t="s">
        <v>26881</v>
      </c>
      <c r="CZ25955" s="35">
        <v>7.7854880000000001E-3</v>
      </c>
    </row>
    <row r="25956" spans="103:104" x14ac:dyDescent="0.3">
      <c r="CY25956" s="34" t="s">
        <v>26882</v>
      </c>
      <c r="CZ25956" s="35">
        <v>4.0958642600000001E-3</v>
      </c>
    </row>
    <row r="25957" spans="103:104" x14ac:dyDescent="0.3">
      <c r="CY25957" s="34" t="s">
        <v>26883</v>
      </c>
      <c r="CZ25957" s="35">
        <v>3.9827003333333328E-3</v>
      </c>
    </row>
    <row r="25958" spans="103:104" x14ac:dyDescent="0.3">
      <c r="CY25958" s="34" t="s">
        <v>26884</v>
      </c>
      <c r="CZ25958" s="35">
        <v>1.050549E-3</v>
      </c>
    </row>
    <row r="25959" spans="103:104" x14ac:dyDescent="0.3">
      <c r="CY25959" s="34" t="s">
        <v>26885</v>
      </c>
      <c r="CZ25959" s="35">
        <v>6.2378959999999997E-3</v>
      </c>
    </row>
    <row r="25960" spans="103:104" x14ac:dyDescent="0.3">
      <c r="CY25960" s="34" t="s">
        <v>26886</v>
      </c>
      <c r="CZ25960" s="35">
        <v>8.6949560000000002E-3</v>
      </c>
    </row>
    <row r="25961" spans="103:104" x14ac:dyDescent="0.3">
      <c r="CY25961" s="34" t="s">
        <v>26887</v>
      </c>
      <c r="CZ25961" s="35">
        <v>4.9321514666666663E-4</v>
      </c>
    </row>
    <row r="25962" spans="103:104" x14ac:dyDescent="0.3">
      <c r="CY25962" s="34" t="s">
        <v>26888</v>
      </c>
      <c r="CZ25962" s="35">
        <v>6.4277976000000001E-3</v>
      </c>
    </row>
    <row r="25963" spans="103:104" x14ac:dyDescent="0.3">
      <c r="CY25963" s="34" t="s">
        <v>26889</v>
      </c>
      <c r="CZ25963" s="35">
        <v>0.14618548749999999</v>
      </c>
    </row>
    <row r="25964" spans="103:104" x14ac:dyDescent="0.3">
      <c r="CY25964" s="34" t="s">
        <v>26890</v>
      </c>
      <c r="CZ25964" s="35">
        <v>4.6621300000000004E-3</v>
      </c>
    </row>
    <row r="25965" spans="103:104" x14ac:dyDescent="0.3">
      <c r="CY25965" s="34" t="s">
        <v>26891</v>
      </c>
      <c r="CZ25965" s="35">
        <v>1.05222E-3</v>
      </c>
    </row>
    <row r="25966" spans="103:104" x14ac:dyDescent="0.3">
      <c r="CY25966" s="34" t="s">
        <v>26892</v>
      </c>
      <c r="CZ25966" s="35">
        <v>1.2034664E-3</v>
      </c>
    </row>
    <row r="25967" spans="103:104" x14ac:dyDescent="0.3">
      <c r="CY25967" s="34" t="s">
        <v>26893</v>
      </c>
      <c r="CZ25967" s="35">
        <v>6.7238122000000011E-2</v>
      </c>
    </row>
    <row r="25968" spans="103:104" x14ac:dyDescent="0.3">
      <c r="CY25968" s="34" t="s">
        <v>26894</v>
      </c>
      <c r="CZ25968" s="35">
        <v>6.446714399999999E-2</v>
      </c>
    </row>
    <row r="25969" spans="103:104" x14ac:dyDescent="0.3">
      <c r="CY25969" s="34" t="s">
        <v>26895</v>
      </c>
      <c r="CZ25969" s="35">
        <v>3.2652457999999995E-2</v>
      </c>
    </row>
    <row r="25970" spans="103:104" x14ac:dyDescent="0.3">
      <c r="CY25970" s="34" t="s">
        <v>26896</v>
      </c>
      <c r="CZ25970" s="35">
        <v>6.9471958857142857E-2</v>
      </c>
    </row>
    <row r="25971" spans="103:104" x14ac:dyDescent="0.3">
      <c r="CY25971" s="34" t="s">
        <v>26897</v>
      </c>
      <c r="CZ25971" s="35">
        <v>5.381120761904762E-3</v>
      </c>
    </row>
    <row r="25972" spans="103:104" x14ac:dyDescent="0.3">
      <c r="CY25972" s="34" t="s">
        <v>26898</v>
      </c>
      <c r="CZ25972" s="35">
        <v>1.4104573333333334E-2</v>
      </c>
    </row>
    <row r="25973" spans="103:104" x14ac:dyDescent="0.3">
      <c r="CY25973" s="34" t="s">
        <v>26899</v>
      </c>
      <c r="CZ25973" s="35">
        <v>4.1713000000000002E-3</v>
      </c>
    </row>
    <row r="25974" spans="103:104" x14ac:dyDescent="0.3">
      <c r="CY25974" s="34" t="s">
        <v>26900</v>
      </c>
      <c r="CZ25974" s="35">
        <v>9.5353866666666662E-2</v>
      </c>
    </row>
    <row r="25975" spans="103:104" x14ac:dyDescent="0.3">
      <c r="CY25975" s="34" t="s">
        <v>26901</v>
      </c>
      <c r="CZ25975" s="35">
        <v>0.55823287333333338</v>
      </c>
    </row>
    <row r="25976" spans="103:104" x14ac:dyDescent="0.3">
      <c r="CY25976" s="34" t="s">
        <v>26902</v>
      </c>
      <c r="CZ25976" s="35">
        <v>0.157954328</v>
      </c>
    </row>
    <row r="25977" spans="103:104" x14ac:dyDescent="0.3">
      <c r="CY25977" s="34" t="s">
        <v>26903</v>
      </c>
      <c r="CZ25977" s="35">
        <v>0.51627652000000002</v>
      </c>
    </row>
    <row r="25978" spans="103:104" x14ac:dyDescent="0.3">
      <c r="CY25978" s="34" t="s">
        <v>26904</v>
      </c>
      <c r="CZ25978" s="35">
        <v>0.18579096307692308</v>
      </c>
    </row>
    <row r="25979" spans="103:104" x14ac:dyDescent="0.3">
      <c r="CY25979" s="34" t="s">
        <v>26905</v>
      </c>
      <c r="CZ25979" s="35">
        <v>3.4468644571428571E-2</v>
      </c>
    </row>
    <row r="25980" spans="103:104" x14ac:dyDescent="0.3">
      <c r="CY25980" s="34" t="s">
        <v>26906</v>
      </c>
      <c r="CZ25980" s="35">
        <v>8.3205939999999992E-2</v>
      </c>
    </row>
    <row r="25981" spans="103:104" x14ac:dyDescent="0.3">
      <c r="CY25981" s="34" t="s">
        <v>26907</v>
      </c>
      <c r="CZ25981" s="35">
        <v>2.5035783804878047E-3</v>
      </c>
    </row>
    <row r="25982" spans="103:104" x14ac:dyDescent="0.3">
      <c r="CY25982" s="34" t="s">
        <v>26908</v>
      </c>
      <c r="CZ25982" s="35">
        <v>5.3004577777777777E-2</v>
      </c>
    </row>
    <row r="25983" spans="103:104" x14ac:dyDescent="0.3">
      <c r="CY25983" s="34" t="s">
        <v>26909</v>
      </c>
      <c r="CZ25983" s="35">
        <v>3.3215759999999997E-2</v>
      </c>
    </row>
    <row r="25984" spans="103:104" x14ac:dyDescent="0.3">
      <c r="CY25984" s="34" t="s">
        <v>26910</v>
      </c>
      <c r="CZ25984" s="35">
        <v>5.8006892705882353E-3</v>
      </c>
    </row>
    <row r="25985" spans="103:104" x14ac:dyDescent="0.3">
      <c r="CY25985" s="34" t="s">
        <v>26911</v>
      </c>
      <c r="CZ25985" s="35">
        <v>3.4327311999999999E-2</v>
      </c>
    </row>
    <row r="25986" spans="103:104" x14ac:dyDescent="0.3">
      <c r="CY25986" s="34" t="s">
        <v>26912</v>
      </c>
      <c r="CZ25986" s="35">
        <v>4.9915735999999995E-2</v>
      </c>
    </row>
    <row r="25987" spans="103:104" x14ac:dyDescent="0.3">
      <c r="CY25987" s="34" t="s">
        <v>26913</v>
      </c>
      <c r="CZ25987" s="35">
        <v>2.2710017230769229E-2</v>
      </c>
    </row>
    <row r="25988" spans="103:104" x14ac:dyDescent="0.3">
      <c r="CY25988" s="34" t="s">
        <v>26914</v>
      </c>
      <c r="CZ25988" s="35">
        <v>8.2798434000000004E-3</v>
      </c>
    </row>
    <row r="25989" spans="103:104" x14ac:dyDescent="0.3">
      <c r="CY25989" s="34" t="s">
        <v>26915</v>
      </c>
      <c r="CZ25989" s="35">
        <v>0.10779456000000001</v>
      </c>
    </row>
    <row r="25990" spans="103:104" x14ac:dyDescent="0.3">
      <c r="CY25990" s="34" t="s">
        <v>26916</v>
      </c>
      <c r="CZ25990" s="35">
        <v>4.5203874666666661E-3</v>
      </c>
    </row>
    <row r="25991" spans="103:104" x14ac:dyDescent="0.3">
      <c r="CY25991" s="34" t="s">
        <v>26917</v>
      </c>
      <c r="CZ25991" s="35">
        <v>5.3086496000000006E-3</v>
      </c>
    </row>
    <row r="25992" spans="103:104" x14ac:dyDescent="0.3">
      <c r="CY25992" s="34" t="s">
        <v>26918</v>
      </c>
      <c r="CZ25992" s="35">
        <v>3.6900167999999998E-3</v>
      </c>
    </row>
    <row r="25993" spans="103:104" x14ac:dyDescent="0.3">
      <c r="CY25993" s="34" t="s">
        <v>26919</v>
      </c>
      <c r="CZ25993" s="35">
        <v>6.6693221052631568E-3</v>
      </c>
    </row>
    <row r="25994" spans="103:104" x14ac:dyDescent="0.3">
      <c r="CY25994" s="34" t="s">
        <v>26920</v>
      </c>
      <c r="CZ25994" s="35">
        <v>9.7619825454545455E-4</v>
      </c>
    </row>
    <row r="25995" spans="103:104" x14ac:dyDescent="0.3">
      <c r="CY25995" s="34" t="s">
        <v>26921</v>
      </c>
      <c r="CZ25995" s="35">
        <v>4.6988332631578943E-3</v>
      </c>
    </row>
    <row r="25996" spans="103:104" x14ac:dyDescent="0.3">
      <c r="CY25996" s="34" t="s">
        <v>26922</v>
      </c>
      <c r="CZ25996" s="35">
        <v>3.0447457882352938E-2</v>
      </c>
    </row>
    <row r="25997" spans="103:104" x14ac:dyDescent="0.3">
      <c r="CY25997" s="34" t="s">
        <v>26923</v>
      </c>
      <c r="CZ25997" s="35">
        <v>4.6111840000000008E-3</v>
      </c>
    </row>
    <row r="25998" spans="103:104" x14ac:dyDescent="0.3">
      <c r="CY25998" s="34" t="s">
        <v>26924</v>
      </c>
      <c r="CZ25998" s="35">
        <v>0.12505698000000001</v>
      </c>
    </row>
    <row r="25999" spans="103:104" x14ac:dyDescent="0.3">
      <c r="CY25999" s="34" t="s">
        <v>26925</v>
      </c>
      <c r="CZ25999" s="35">
        <v>0.11823448</v>
      </c>
    </row>
    <row r="26000" spans="103:104" x14ac:dyDescent="0.3">
      <c r="CY26000" s="34" t="s">
        <v>26926</v>
      </c>
      <c r="CZ26000" s="35">
        <v>72.239622900000001</v>
      </c>
    </row>
    <row r="26001" spans="103:104" x14ac:dyDescent="0.3">
      <c r="CY26001" s="34" t="s">
        <v>26927</v>
      </c>
      <c r="CZ26001" s="35">
        <v>0.23011039999999999</v>
      </c>
    </row>
    <row r="26002" spans="103:104" x14ac:dyDescent="0.3">
      <c r="CY26002" s="34" t="s">
        <v>26928</v>
      </c>
      <c r="CZ26002" s="35">
        <v>9.8840000000000004E-3</v>
      </c>
    </row>
    <row r="26003" spans="103:104" x14ac:dyDescent="0.3">
      <c r="CY26003" s="34" t="s">
        <v>26929</v>
      </c>
      <c r="CZ26003" s="35">
        <v>1.42328E-2</v>
      </c>
    </row>
    <row r="26004" spans="103:104" x14ac:dyDescent="0.3">
      <c r="CY26004" s="34" t="s">
        <v>26930</v>
      </c>
      <c r="CZ26004" s="35">
        <v>3.0729080000000006E-2</v>
      </c>
    </row>
    <row r="26005" spans="103:104" x14ac:dyDescent="0.3">
      <c r="CY26005" s="34" t="s">
        <v>26931</v>
      </c>
      <c r="CZ26005" s="35">
        <v>2.2694805333333332E-2</v>
      </c>
    </row>
    <row r="26006" spans="103:104" x14ac:dyDescent="0.3">
      <c r="CY26006" s="34" t="s">
        <v>26932</v>
      </c>
      <c r="CZ26006" s="35">
        <v>2.8035183200000008E-2</v>
      </c>
    </row>
    <row r="26007" spans="103:104" x14ac:dyDescent="0.3">
      <c r="CY26007" s="34" t="s">
        <v>26933</v>
      </c>
      <c r="CZ26007" s="35">
        <v>3.2302299200000002E-2</v>
      </c>
    </row>
    <row r="26008" spans="103:104" x14ac:dyDescent="0.3">
      <c r="CY26008" s="34" t="s">
        <v>26934</v>
      </c>
      <c r="CZ26008" s="35">
        <v>1.1516022399999999E-2</v>
      </c>
    </row>
    <row r="26009" spans="103:104" x14ac:dyDescent="0.3">
      <c r="CY26009" s="34" t="s">
        <v>26935</v>
      </c>
      <c r="CZ26009" s="35">
        <v>1.1215625599999998E-2</v>
      </c>
    </row>
    <row r="26010" spans="103:104" x14ac:dyDescent="0.3">
      <c r="CY26010" s="34" t="s">
        <v>26936</v>
      </c>
      <c r="CZ26010" s="35">
        <v>2.8378853362093022E-3</v>
      </c>
    </row>
    <row r="26011" spans="103:104" x14ac:dyDescent="0.3">
      <c r="CY26011" s="34" t="s">
        <v>26937</v>
      </c>
      <c r="CZ26011" s="35">
        <v>1.5223528000000001E-3</v>
      </c>
    </row>
    <row r="26012" spans="103:104" x14ac:dyDescent="0.3">
      <c r="CY26012" s="34" t="s">
        <v>26938</v>
      </c>
      <c r="CZ26012" s="35">
        <v>1.1995714285714288E-4</v>
      </c>
    </row>
    <row r="26013" spans="103:104" x14ac:dyDescent="0.3">
      <c r="CY26013" s="34" t="s">
        <v>26939</v>
      </c>
      <c r="CZ26013" s="35">
        <v>8.3969999999999997E-5</v>
      </c>
    </row>
    <row r="26014" spans="103:104" x14ac:dyDescent="0.3">
      <c r="CY26014" s="34" t="s">
        <v>26940</v>
      </c>
      <c r="CZ26014" s="35">
        <v>9.6549256999999989E-3</v>
      </c>
    </row>
    <row r="26015" spans="103:104" x14ac:dyDescent="0.3">
      <c r="CY26015" s="34" t="s">
        <v>26941</v>
      </c>
      <c r="CZ26015" s="35">
        <v>0.50922232999999995</v>
      </c>
    </row>
    <row r="26016" spans="103:104" x14ac:dyDescent="0.3">
      <c r="CY26016" s="34" t="s">
        <v>26942</v>
      </c>
      <c r="CZ26016" s="35">
        <v>9.3584063999999989E-4</v>
      </c>
    </row>
    <row r="26017" spans="103:104" x14ac:dyDescent="0.3">
      <c r="CY26017" s="34" t="s">
        <v>26943</v>
      </c>
      <c r="CZ26017" s="35">
        <v>8.2285968E-4</v>
      </c>
    </row>
    <row r="26018" spans="103:104" x14ac:dyDescent="0.3">
      <c r="CY26018" s="34" t="s">
        <v>26944</v>
      </c>
      <c r="CZ26018" s="35">
        <v>0.259215892</v>
      </c>
    </row>
    <row r="26019" spans="103:104" x14ac:dyDescent="0.3">
      <c r="CY26019" s="34" t="s">
        <v>26945</v>
      </c>
      <c r="CZ26019" s="35">
        <v>0.17480052199999999</v>
      </c>
    </row>
    <row r="26020" spans="103:104" x14ac:dyDescent="0.3">
      <c r="CY26020" s="34" t="s">
        <v>26946</v>
      </c>
      <c r="CZ26020" s="35">
        <v>0.53405315600000003</v>
      </c>
    </row>
    <row r="26021" spans="103:104" x14ac:dyDescent="0.3">
      <c r="CY26021" s="34" t="s">
        <v>26947</v>
      </c>
      <c r="CZ26021" s="35">
        <v>0.30931537000000003</v>
      </c>
    </row>
    <row r="26022" spans="103:104" x14ac:dyDescent="0.3">
      <c r="CY26022" s="34" t="s">
        <v>26948</v>
      </c>
      <c r="CZ26022" s="35">
        <v>4.4287407887500005E-2</v>
      </c>
    </row>
    <row r="26023" spans="103:104" x14ac:dyDescent="0.3">
      <c r="CY26023" s="34" t="s">
        <v>26949</v>
      </c>
      <c r="CZ26023" s="35">
        <v>1.0408733333999999E-2</v>
      </c>
    </row>
    <row r="26024" spans="103:104" x14ac:dyDescent="0.3">
      <c r="CY26024" s="34" t="s">
        <v>26950</v>
      </c>
      <c r="CZ26024" s="35">
        <v>2.7477542399999997E-3</v>
      </c>
    </row>
    <row r="26025" spans="103:104" x14ac:dyDescent="0.3">
      <c r="CY26025" s="34" t="s">
        <v>26951</v>
      </c>
      <c r="CZ26025" s="35">
        <v>2.7477542399999997E-3</v>
      </c>
    </row>
    <row r="26026" spans="103:104" x14ac:dyDescent="0.3">
      <c r="CY26026" s="34" t="s">
        <v>26952</v>
      </c>
      <c r="CZ26026" s="35">
        <v>2.7012526285714288E-2</v>
      </c>
    </row>
    <row r="26027" spans="103:104" x14ac:dyDescent="0.3">
      <c r="CY26027" s="34" t="s">
        <v>26953</v>
      </c>
      <c r="CZ26027" s="35">
        <v>3.0066850285714285E-2</v>
      </c>
    </row>
    <row r="26028" spans="103:104" x14ac:dyDescent="0.3">
      <c r="CY26028" s="34" t="s">
        <v>26954</v>
      </c>
      <c r="CZ26028" s="35">
        <v>1.6922814399999996E-2</v>
      </c>
    </row>
    <row r="26029" spans="103:104" x14ac:dyDescent="0.3">
      <c r="CY26029" s="34" t="s">
        <v>26955</v>
      </c>
      <c r="CZ26029" s="35">
        <v>1.6922814399999996E-2</v>
      </c>
    </row>
    <row r="26030" spans="103:104" x14ac:dyDescent="0.3">
      <c r="CY26030" s="34" t="s">
        <v>26956</v>
      </c>
      <c r="CZ26030" s="35">
        <v>9.781128E-2</v>
      </c>
    </row>
    <row r="26031" spans="103:104" x14ac:dyDescent="0.3">
      <c r="CY26031" s="34" t="s">
        <v>26957</v>
      </c>
      <c r="CZ26031" s="35">
        <v>2.2313253333333331E-2</v>
      </c>
    </row>
    <row r="26032" spans="103:104" x14ac:dyDescent="0.3">
      <c r="CY26032" s="34" t="s">
        <v>26958</v>
      </c>
      <c r="CZ26032" s="35">
        <v>0.69441123999999987</v>
      </c>
    </row>
    <row r="26033" spans="103:104" x14ac:dyDescent="0.3">
      <c r="CY26033" s="34" t="s">
        <v>26959</v>
      </c>
      <c r="CZ26033" s="35">
        <v>0.58693439999999997</v>
      </c>
    </row>
    <row r="26034" spans="103:104" x14ac:dyDescent="0.3">
      <c r="CY26034" s="34" t="s">
        <v>26960</v>
      </c>
      <c r="CZ26034" s="35">
        <v>4.1574519999999997E-2</v>
      </c>
    </row>
    <row r="26035" spans="103:104" x14ac:dyDescent="0.3">
      <c r="CY26035" s="34" t="s">
        <v>26961</v>
      </c>
      <c r="CZ26035" s="35">
        <v>5.3802319999999994E-2</v>
      </c>
    </row>
    <row r="26036" spans="103:104" x14ac:dyDescent="0.3">
      <c r="CY26036" s="34" t="s">
        <v>26962</v>
      </c>
      <c r="CZ26036" s="35">
        <v>9.9772E-2</v>
      </c>
    </row>
    <row r="26037" spans="103:104" x14ac:dyDescent="0.3">
      <c r="CY26037" s="34" t="s">
        <v>26963</v>
      </c>
      <c r="CZ26037" s="35">
        <v>1.9970621439999998E-3</v>
      </c>
    </row>
    <row r="26038" spans="103:104" x14ac:dyDescent="0.3">
      <c r="CY26038" s="34" t="s">
        <v>26964</v>
      </c>
      <c r="CZ26038" s="35">
        <v>2.6411062144000002E-2</v>
      </c>
    </row>
    <row r="26039" spans="103:104" x14ac:dyDescent="0.3">
      <c r="CY26039" s="34" t="s">
        <v>26965</v>
      </c>
      <c r="CZ26039" s="35">
        <v>1.9970621439999998E-3</v>
      </c>
    </row>
    <row r="26040" spans="103:104" x14ac:dyDescent="0.3">
      <c r="CY26040" s="34" t="s">
        <v>26966</v>
      </c>
      <c r="CZ26040" s="35">
        <v>1.75015484E-3</v>
      </c>
    </row>
    <row r="26041" spans="103:104" x14ac:dyDescent="0.3">
      <c r="CY26041" s="34" t="s">
        <v>26967</v>
      </c>
      <c r="CZ26041" s="35">
        <v>1.7692898000000001E-3</v>
      </c>
    </row>
    <row r="26042" spans="103:104" x14ac:dyDescent="0.3">
      <c r="CY26042" s="34" t="s">
        <v>26968</v>
      </c>
      <c r="CZ26042" s="35">
        <v>1.4815684999999999E-3</v>
      </c>
    </row>
    <row r="26043" spans="103:104" x14ac:dyDescent="0.3">
      <c r="CY26043" s="34" t="s">
        <v>26969</v>
      </c>
      <c r="CZ26043" s="35">
        <v>1.718293534464E-2</v>
      </c>
    </row>
    <row r="26044" spans="103:104" x14ac:dyDescent="0.3">
      <c r="CY26044" s="34" t="s">
        <v>26970</v>
      </c>
      <c r="CZ26044" s="35">
        <v>0.72278985250000005</v>
      </c>
    </row>
    <row r="26045" spans="103:104" x14ac:dyDescent="0.3">
      <c r="CY26045" s="34" t="s">
        <v>26971</v>
      </c>
      <c r="CZ26045" s="35">
        <v>0.50261526666666667</v>
      </c>
    </row>
    <row r="26046" spans="103:104" x14ac:dyDescent="0.3">
      <c r="CY26046" s="34" t="s">
        <v>26972</v>
      </c>
      <c r="CZ26046" s="35">
        <v>0.6237699525</v>
      </c>
    </row>
    <row r="26047" spans="103:104" x14ac:dyDescent="0.3">
      <c r="CY26047" s="34" t="s">
        <v>26973</v>
      </c>
      <c r="CZ26047" s="35">
        <v>0.62323088999999998</v>
      </c>
    </row>
    <row r="26048" spans="103:104" x14ac:dyDescent="0.3">
      <c r="CY26048" s="34" t="s">
        <v>26974</v>
      </c>
      <c r="CZ26048" s="35">
        <v>0.56677862666666656</v>
      </c>
    </row>
    <row r="26049" spans="103:104" x14ac:dyDescent="0.3">
      <c r="CY26049" s="34" t="s">
        <v>26975</v>
      </c>
      <c r="CZ26049" s="35">
        <v>0.40667890099999998</v>
      </c>
    </row>
    <row r="26050" spans="103:104" x14ac:dyDescent="0.3">
      <c r="CY26050" s="34" t="s">
        <v>26976</v>
      </c>
      <c r="CZ26050" s="35">
        <v>0.63947537330000004</v>
      </c>
    </row>
    <row r="26051" spans="103:104" x14ac:dyDescent="0.3">
      <c r="CY26051" s="34" t="s">
        <v>26977</v>
      </c>
      <c r="CZ26051" s="35">
        <v>0.50673501709999991</v>
      </c>
    </row>
    <row r="26052" spans="103:104" x14ac:dyDescent="0.3">
      <c r="CY26052" s="34" t="s">
        <v>26978</v>
      </c>
      <c r="CZ26052" s="35">
        <v>3.7652551999999999E-4</v>
      </c>
    </row>
    <row r="26053" spans="103:104" x14ac:dyDescent="0.3">
      <c r="CY26053" s="34" t="s">
        <v>26979</v>
      </c>
      <c r="CZ26053" s="35">
        <v>2.9640293000000002E-2</v>
      </c>
    </row>
    <row r="26054" spans="103:104" x14ac:dyDescent="0.3">
      <c r="CY26054" s="34" t="s">
        <v>26980</v>
      </c>
      <c r="CZ26054" s="35">
        <v>4.92324866E-2</v>
      </c>
    </row>
    <row r="26055" spans="103:104" x14ac:dyDescent="0.3">
      <c r="CY26055" s="34" t="s">
        <v>26981</v>
      </c>
      <c r="CZ26055" s="35">
        <v>0.18938168</v>
      </c>
    </row>
    <row r="26056" spans="103:104" x14ac:dyDescent="0.3">
      <c r="CY26056" s="34" t="s">
        <v>26982</v>
      </c>
      <c r="CZ26056" s="35">
        <v>5.2271999999999996E-4</v>
      </c>
    </row>
    <row r="26057" spans="103:104" x14ac:dyDescent="0.3">
      <c r="CY26057" s="34" t="s">
        <v>26983</v>
      </c>
      <c r="CZ26057" s="35">
        <v>1.4964276E-2</v>
      </c>
    </row>
    <row r="26058" spans="103:104" x14ac:dyDescent="0.3">
      <c r="CY26058" s="34" t="s">
        <v>26984</v>
      </c>
      <c r="CZ26058" s="35">
        <v>1.6190939199999998E-3</v>
      </c>
    </row>
    <row r="26059" spans="103:104" x14ac:dyDescent="0.3">
      <c r="CY26059" s="34" t="s">
        <v>26985</v>
      </c>
      <c r="CZ26059" s="35">
        <v>0.11356214000000001</v>
      </c>
    </row>
    <row r="26060" spans="103:104" x14ac:dyDescent="0.3">
      <c r="CY26060" s="34" t="s">
        <v>26986</v>
      </c>
      <c r="CZ26060" s="35">
        <v>0.129171325</v>
      </c>
    </row>
    <row r="26061" spans="103:104" x14ac:dyDescent="0.3">
      <c r="CY26061" s="34" t="s">
        <v>26987</v>
      </c>
      <c r="CZ26061" s="35">
        <v>7.87939E-2</v>
      </c>
    </row>
    <row r="26062" spans="103:104" x14ac:dyDescent="0.3">
      <c r="CY26062" s="34" t="s">
        <v>26988</v>
      </c>
      <c r="CZ26062" s="35">
        <v>9.0202892000000021E-2</v>
      </c>
    </row>
    <row r="26063" spans="103:104" x14ac:dyDescent="0.3">
      <c r="CY26063" s="34" t="s">
        <v>26989</v>
      </c>
      <c r="CZ26063" s="35">
        <v>2.9623127999999999E-2</v>
      </c>
    </row>
    <row r="26064" spans="103:104" x14ac:dyDescent="0.3">
      <c r="CY26064" s="34" t="s">
        <v>26990</v>
      </c>
      <c r="CZ26064" s="35">
        <v>0.11467702</v>
      </c>
    </row>
    <row r="26065" spans="103:104" x14ac:dyDescent="0.3">
      <c r="CY26065" s="34" t="s">
        <v>26991</v>
      </c>
      <c r="CZ26065" s="35">
        <v>1.3475715200000002E-3</v>
      </c>
    </row>
    <row r="26066" spans="103:104" x14ac:dyDescent="0.3">
      <c r="CY26066" s="34" t="s">
        <v>26992</v>
      </c>
      <c r="CZ26066" s="35">
        <v>2.3608821894736842E-2</v>
      </c>
    </row>
    <row r="26067" spans="103:104" x14ac:dyDescent="0.3">
      <c r="CY26067" s="34" t="s">
        <v>26993</v>
      </c>
      <c r="CZ26067" s="35">
        <v>1.1550277000000001E-2</v>
      </c>
    </row>
    <row r="26068" spans="103:104" x14ac:dyDescent="0.3">
      <c r="CY26068" s="34" t="s">
        <v>26994</v>
      </c>
      <c r="CZ26068" s="35">
        <v>6.5443116000000003E-4</v>
      </c>
    </row>
    <row r="26069" spans="103:104" x14ac:dyDescent="0.3">
      <c r="CY26069" s="34" t="s">
        <v>26995</v>
      </c>
      <c r="CZ26069" s="35">
        <v>0.127409036</v>
      </c>
    </row>
    <row r="26070" spans="103:104" x14ac:dyDescent="0.3">
      <c r="CY26070" s="34" t="s">
        <v>26996</v>
      </c>
      <c r="CZ26070" s="35">
        <v>0.20778770399999999</v>
      </c>
    </row>
    <row r="26071" spans="103:104" x14ac:dyDescent="0.3">
      <c r="CY26071" s="34" t="s">
        <v>26997</v>
      </c>
      <c r="CZ26071" s="35">
        <v>7.7075957999999997E-3</v>
      </c>
    </row>
    <row r="26072" spans="103:104" x14ac:dyDescent="0.3">
      <c r="CY26072" s="34" t="s">
        <v>26998</v>
      </c>
      <c r="CZ26072" s="35">
        <v>0.85057666666666665</v>
      </c>
    </row>
    <row r="26073" spans="103:104" x14ac:dyDescent="0.3">
      <c r="CY26073" s="34" t="s">
        <v>26999</v>
      </c>
      <c r="CZ26073" s="35">
        <v>3.1602999999999999E-2</v>
      </c>
    </row>
    <row r="26074" spans="103:104" x14ac:dyDescent="0.3">
      <c r="CY26074" s="34" t="s">
        <v>27000</v>
      </c>
      <c r="CZ26074" s="35">
        <v>1.0816466666666666</v>
      </c>
    </row>
    <row r="26075" spans="103:104" x14ac:dyDescent="0.3">
      <c r="CY26075" s="34" t="s">
        <v>27001</v>
      </c>
      <c r="CZ26075" s="35">
        <v>0.24666249999999998</v>
      </c>
    </row>
    <row r="26076" spans="103:104" x14ac:dyDescent="0.3">
      <c r="CY26076" s="34" t="s">
        <v>27002</v>
      </c>
      <c r="CZ26076" s="35">
        <v>0.14122405777777775</v>
      </c>
    </row>
    <row r="26077" spans="103:104" x14ac:dyDescent="0.3">
      <c r="CY26077" s="34" t="s">
        <v>27003</v>
      </c>
      <c r="CZ26077" s="35">
        <v>2.2274999999999999E-3</v>
      </c>
    </row>
    <row r="26078" spans="103:104" x14ac:dyDescent="0.3">
      <c r="CY26078" s="34" t="s">
        <v>27004</v>
      </c>
      <c r="CZ26078" s="35">
        <v>2.1720835999999997E-2</v>
      </c>
    </row>
    <row r="26079" spans="103:104" x14ac:dyDescent="0.3">
      <c r="CY26079" s="34" t="s">
        <v>27005</v>
      </c>
      <c r="CZ26079" s="35">
        <v>2.1297618771726538E-2</v>
      </c>
    </row>
    <row r="26080" spans="103:104" x14ac:dyDescent="0.3">
      <c r="CY26080" s="34" t="s">
        <v>27006</v>
      </c>
      <c r="CZ26080" s="35">
        <v>0.7127327</v>
      </c>
    </row>
    <row r="26081" spans="103:104" x14ac:dyDescent="0.3">
      <c r="CY26081" s="34" t="s">
        <v>27007</v>
      </c>
      <c r="CZ26081" s="35">
        <v>8.1663839999999998E-4</v>
      </c>
    </row>
    <row r="26082" spans="103:104" x14ac:dyDescent="0.3">
      <c r="CY26082" s="34" t="s">
        <v>27008</v>
      </c>
      <c r="CZ26082" s="35">
        <v>0.15403098499999998</v>
      </c>
    </row>
    <row r="26083" spans="103:104" x14ac:dyDescent="0.3">
      <c r="CY26083" s="34" t="s">
        <v>27009</v>
      </c>
      <c r="CZ26083" s="35">
        <v>0.45446167999999998</v>
      </c>
    </row>
    <row r="26084" spans="103:104" x14ac:dyDescent="0.3">
      <c r="CY26084" s="34" t="s">
        <v>27010</v>
      </c>
      <c r="CZ26084" s="35">
        <v>0.83281725333333345</v>
      </c>
    </row>
    <row r="26085" spans="103:104" x14ac:dyDescent="0.3">
      <c r="CY26085" s="34" t="s">
        <v>27011</v>
      </c>
      <c r="CZ26085" s="35">
        <v>3.7642870000000003E-3</v>
      </c>
    </row>
    <row r="26086" spans="103:104" x14ac:dyDescent="0.3">
      <c r="CY26086" s="34" t="s">
        <v>27012</v>
      </c>
      <c r="CZ26086" s="35">
        <v>0.6349483142857143</v>
      </c>
    </row>
    <row r="26087" spans="103:104" x14ac:dyDescent="0.3">
      <c r="CY26087" s="34" t="s">
        <v>27013</v>
      </c>
      <c r="CZ26087" s="35">
        <v>3.7197000000000001E-2</v>
      </c>
    </row>
    <row r="26088" spans="103:104" x14ac:dyDescent="0.3">
      <c r="CY26088" s="34" t="s">
        <v>27014</v>
      </c>
      <c r="CZ26088" s="35">
        <v>7.2297264000000014E-2</v>
      </c>
    </row>
    <row r="26089" spans="103:104" x14ac:dyDescent="0.3">
      <c r="CY26089" s="34" t="s">
        <v>27015</v>
      </c>
      <c r="CZ26089" s="35">
        <v>2.7515786666666665E-3</v>
      </c>
    </row>
    <row r="26090" spans="103:104" x14ac:dyDescent="0.3">
      <c r="CY26090" s="34" t="s">
        <v>27016</v>
      </c>
      <c r="CZ26090" s="35">
        <v>0.16330131440000001</v>
      </c>
    </row>
    <row r="26091" spans="103:104" x14ac:dyDescent="0.3">
      <c r="CY26091" s="34" t="s">
        <v>27017</v>
      </c>
      <c r="CZ26091" s="35">
        <v>2.8145044285714283E-2</v>
      </c>
    </row>
    <row r="26092" spans="103:104" x14ac:dyDescent="0.3">
      <c r="CY26092" s="34" t="s">
        <v>27018</v>
      </c>
      <c r="CZ26092" s="35">
        <v>9.8338975999999988E-3</v>
      </c>
    </row>
    <row r="26093" spans="103:104" x14ac:dyDescent="0.3">
      <c r="CY26093" s="34" t="s">
        <v>27019</v>
      </c>
      <c r="CZ26093" s="35">
        <v>1.0207574400000001E-2</v>
      </c>
    </row>
    <row r="26094" spans="103:104" x14ac:dyDescent="0.3">
      <c r="CY26094" s="34" t="s">
        <v>27020</v>
      </c>
      <c r="CZ26094" s="35">
        <v>2.1624872332999999E-2</v>
      </c>
    </row>
    <row r="26095" spans="103:104" x14ac:dyDescent="0.3">
      <c r="CY26095" s="34" t="s">
        <v>27021</v>
      </c>
      <c r="CZ26095" s="35">
        <v>2.2647566732999998E-2</v>
      </c>
    </row>
    <row r="26096" spans="103:104" x14ac:dyDescent="0.3">
      <c r="CY26096" s="34" t="s">
        <v>27022</v>
      </c>
      <c r="CZ26096" s="35">
        <v>4.7920300399999999E-3</v>
      </c>
    </row>
    <row r="26097" spans="103:104" x14ac:dyDescent="0.3">
      <c r="CY26097" s="34" t="s">
        <v>27023</v>
      </c>
      <c r="CZ26097" s="35">
        <v>5.874813332E-2</v>
      </c>
    </row>
    <row r="26098" spans="103:104" x14ac:dyDescent="0.3">
      <c r="CY26098" s="34" t="s">
        <v>27024</v>
      </c>
      <c r="CZ26098" s="35">
        <v>5.3169391999999996E-2</v>
      </c>
    </row>
    <row r="26099" spans="103:104" x14ac:dyDescent="0.3">
      <c r="CY26099" s="34" t="s">
        <v>27025</v>
      </c>
      <c r="CZ26099" s="35">
        <v>1.1062285714285715E-2</v>
      </c>
    </row>
    <row r="26100" spans="103:104" x14ac:dyDescent="0.3">
      <c r="CY26100" s="34" t="s">
        <v>27026</v>
      </c>
      <c r="CZ26100" s="35">
        <v>9.8238229999999985E-4</v>
      </c>
    </row>
    <row r="26101" spans="103:104" x14ac:dyDescent="0.3">
      <c r="CY26101" s="34" t="s">
        <v>27027</v>
      </c>
      <c r="CZ26101" s="35">
        <v>3.9754672E-3</v>
      </c>
    </row>
    <row r="26102" spans="103:104" x14ac:dyDescent="0.3">
      <c r="CY26102" s="34" t="s">
        <v>27028</v>
      </c>
      <c r="CZ26102" s="35">
        <v>2.4007342666666669E-3</v>
      </c>
    </row>
    <row r="26103" spans="103:104" x14ac:dyDescent="0.3">
      <c r="CY26103" s="34" t="s">
        <v>27029</v>
      </c>
      <c r="CZ26103" s="35">
        <v>3.7607081319999999E-2</v>
      </c>
    </row>
    <row r="26104" spans="103:104" x14ac:dyDescent="0.3">
      <c r="CY26104" s="34" t="s">
        <v>27030</v>
      </c>
      <c r="CZ26104" s="35">
        <v>0.30015810000000004</v>
      </c>
    </row>
    <row r="26105" spans="103:104" x14ac:dyDescent="0.3">
      <c r="CY26105" s="34" t="s">
        <v>27031</v>
      </c>
      <c r="CZ26105" s="35">
        <v>0.18408831999999997</v>
      </c>
    </row>
    <row r="26106" spans="103:104" x14ac:dyDescent="0.3">
      <c r="CY26106" s="34" t="s">
        <v>27032</v>
      </c>
      <c r="CZ26106" s="35">
        <v>0.30872810000000001</v>
      </c>
    </row>
    <row r="26107" spans="103:104" x14ac:dyDescent="0.3">
      <c r="CY26107" s="34" t="s">
        <v>27033</v>
      </c>
      <c r="CZ26107" s="35">
        <v>0.35238981199999997</v>
      </c>
    </row>
    <row r="26108" spans="103:104" x14ac:dyDescent="0.3">
      <c r="CY26108" s="34" t="s">
        <v>27034</v>
      </c>
      <c r="CZ26108" s="35">
        <v>0.28135660800000001</v>
      </c>
    </row>
    <row r="26109" spans="103:104" x14ac:dyDescent="0.3">
      <c r="CY26109" s="34" t="s">
        <v>27035</v>
      </c>
      <c r="CZ26109" s="35">
        <v>4.3679916700000002E-2</v>
      </c>
    </row>
    <row r="26110" spans="103:104" x14ac:dyDescent="0.3">
      <c r="CY26110" s="34" t="s">
        <v>27036</v>
      </c>
      <c r="CZ26110" s="35">
        <v>5.0488826600000002E-2</v>
      </c>
    </row>
    <row r="26111" spans="103:104" x14ac:dyDescent="0.3">
      <c r="CY26111" s="34" t="s">
        <v>27037</v>
      </c>
      <c r="CZ26111" s="35">
        <v>5.0967159999999997E-2</v>
      </c>
    </row>
    <row r="26112" spans="103:104" x14ac:dyDescent="0.3">
      <c r="CY26112" s="34" t="s">
        <v>27038</v>
      </c>
      <c r="CZ26112" s="35">
        <v>5.6579206874999996E-2</v>
      </c>
    </row>
    <row r="26113" spans="103:104" x14ac:dyDescent="0.3">
      <c r="CY26113" s="34" t="s">
        <v>27039</v>
      </c>
      <c r="CZ26113" s="35">
        <v>2.1684469849999999E-2</v>
      </c>
    </row>
    <row r="26114" spans="103:104" x14ac:dyDescent="0.3">
      <c r="CY26114" s="34" t="s">
        <v>27040</v>
      </c>
      <c r="CZ26114" s="35">
        <v>0.149721830675</v>
      </c>
    </row>
    <row r="26115" spans="103:104" x14ac:dyDescent="0.3">
      <c r="CY26115" s="34" t="s">
        <v>27041</v>
      </c>
      <c r="CZ26115" s="35">
        <v>7.6725889775E-2</v>
      </c>
    </row>
    <row r="26116" spans="103:104" x14ac:dyDescent="0.3">
      <c r="CY26116" s="34" t="s">
        <v>27042</v>
      </c>
      <c r="CZ26116" s="35">
        <v>0.10283535199999999</v>
      </c>
    </row>
    <row r="26117" spans="103:104" x14ac:dyDescent="0.3">
      <c r="CY26117" s="34" t="s">
        <v>27043</v>
      </c>
      <c r="CZ26117" s="35">
        <v>5.9668344899999996E-2</v>
      </c>
    </row>
    <row r="26118" spans="103:104" x14ac:dyDescent="0.3">
      <c r="CY26118" s="34" t="s">
        <v>27044</v>
      </c>
      <c r="CZ26118" s="35">
        <v>8.1261372000000012E-3</v>
      </c>
    </row>
    <row r="26119" spans="103:104" x14ac:dyDescent="0.3">
      <c r="CY26119" s="34" t="s">
        <v>27045</v>
      </c>
      <c r="CZ26119" s="35">
        <v>0.97829014499999989</v>
      </c>
    </row>
    <row r="26120" spans="103:104" x14ac:dyDescent="0.3">
      <c r="CY26120" s="34" t="s">
        <v>27046</v>
      </c>
      <c r="CZ26120" s="35">
        <v>0.34678209999999998</v>
      </c>
    </row>
    <row r="26121" spans="103:104" x14ac:dyDescent="0.3">
      <c r="CY26121" s="34" t="s">
        <v>27047</v>
      </c>
      <c r="CZ26121" s="35">
        <v>0.10981075789473684</v>
      </c>
    </row>
    <row r="26122" spans="103:104" x14ac:dyDescent="0.3">
      <c r="CY26122" s="34" t="s">
        <v>27048</v>
      </c>
      <c r="CZ26122" s="35">
        <v>6.96E-3</v>
      </c>
    </row>
    <row r="26123" spans="103:104" x14ac:dyDescent="0.3">
      <c r="CY26123" s="34" t="s">
        <v>27049</v>
      </c>
      <c r="CZ26123" s="35">
        <v>4.4679999999999997E-3</v>
      </c>
    </row>
    <row r="26124" spans="103:104" x14ac:dyDescent="0.3">
      <c r="CY26124" s="34" t="s">
        <v>27050</v>
      </c>
      <c r="CZ26124" s="35">
        <v>3.1836666679999999E-3</v>
      </c>
    </row>
    <row r="26125" spans="103:104" x14ac:dyDescent="0.3">
      <c r="CY26125" s="34" t="s">
        <v>27051</v>
      </c>
      <c r="CZ26125" s="35">
        <v>3.1836666666666671E-3</v>
      </c>
    </row>
    <row r="26126" spans="103:104" x14ac:dyDescent="0.3">
      <c r="CY26126" s="34" t="s">
        <v>27052</v>
      </c>
      <c r="CZ26126" s="35">
        <v>3.0394999999999997E-3</v>
      </c>
    </row>
    <row r="26127" spans="103:104" x14ac:dyDescent="0.3">
      <c r="CY26127" s="34" t="s">
        <v>27053</v>
      </c>
      <c r="CZ26127" s="35">
        <v>4.8282500000000001E-3</v>
      </c>
    </row>
    <row r="26128" spans="103:104" x14ac:dyDescent="0.3">
      <c r="CY26128" s="34" t="s">
        <v>27054</v>
      </c>
      <c r="CZ26128" s="35">
        <v>2.5690000000000001E-3</v>
      </c>
    </row>
    <row r="26129" spans="103:104" x14ac:dyDescent="0.3">
      <c r="CY26129" s="34" t="s">
        <v>27055</v>
      </c>
      <c r="CZ26129" s="35">
        <v>2.9423845999999999E-3</v>
      </c>
    </row>
    <row r="26130" spans="103:104" x14ac:dyDescent="0.3">
      <c r="CY26130" s="34" t="s">
        <v>27056</v>
      </c>
      <c r="CZ26130" s="35">
        <v>1.1954513600000001E-2</v>
      </c>
    </row>
    <row r="26131" spans="103:104" x14ac:dyDescent="0.3">
      <c r="CY26131" s="34" t="s">
        <v>27057</v>
      </c>
      <c r="CZ26131" s="35">
        <v>2.0270218664285713E-2</v>
      </c>
    </row>
    <row r="26132" spans="103:104" x14ac:dyDescent="0.3">
      <c r="CY26132" s="34" t="s">
        <v>27058</v>
      </c>
      <c r="CZ26132" s="35">
        <v>1.4033551999999999E-2</v>
      </c>
    </row>
    <row r="26133" spans="103:104" x14ac:dyDescent="0.3">
      <c r="CY26133" s="34" t="s">
        <v>27059</v>
      </c>
      <c r="CZ26133" s="35">
        <v>5.8160869999999993E-3</v>
      </c>
    </row>
    <row r="26134" spans="103:104" x14ac:dyDescent="0.3">
      <c r="CY26134" s="34" t="s">
        <v>27060</v>
      </c>
      <c r="CZ26134" s="35">
        <v>1.98955E-2</v>
      </c>
    </row>
    <row r="26135" spans="103:104" x14ac:dyDescent="0.3">
      <c r="CY26135" s="34" t="s">
        <v>27061</v>
      </c>
      <c r="CZ26135" s="35">
        <v>1.174227757142857E-2</v>
      </c>
    </row>
    <row r="26136" spans="103:104" x14ac:dyDescent="0.3">
      <c r="CY26136" s="34" t="s">
        <v>27062</v>
      </c>
      <c r="CZ26136" s="35">
        <v>4.571200000000001E-3</v>
      </c>
    </row>
    <row r="26137" spans="103:104" x14ac:dyDescent="0.3">
      <c r="CY26137" s="34" t="s">
        <v>27063</v>
      </c>
      <c r="CZ26137" s="35">
        <v>1.7430079800000001E-2</v>
      </c>
    </row>
    <row r="26138" spans="103:104" x14ac:dyDescent="0.3">
      <c r="CY26138" s="34" t="s">
        <v>27064</v>
      </c>
      <c r="CZ26138" s="35">
        <v>1.6470712E-3</v>
      </c>
    </row>
    <row r="26139" spans="103:104" x14ac:dyDescent="0.3">
      <c r="CY26139" s="34" t="s">
        <v>27065</v>
      </c>
      <c r="CZ26139" s="35">
        <v>0.14246564444444446</v>
      </c>
    </row>
    <row r="26140" spans="103:104" x14ac:dyDescent="0.3">
      <c r="CY26140" s="34" t="s">
        <v>27066</v>
      </c>
      <c r="CZ26140" s="35">
        <v>6.4312895999999994E-2</v>
      </c>
    </row>
    <row r="26141" spans="103:104" x14ac:dyDescent="0.3">
      <c r="CY26141" s="34" t="s">
        <v>27067</v>
      </c>
      <c r="CZ26141" s="35">
        <v>0.12124785777777779</v>
      </c>
    </row>
    <row r="26142" spans="103:104" x14ac:dyDescent="0.3">
      <c r="CY26142" s="34" t="s">
        <v>27068</v>
      </c>
      <c r="CZ26142" s="35">
        <v>6.1281112000000006E-2</v>
      </c>
    </row>
    <row r="26143" spans="103:104" x14ac:dyDescent="0.3">
      <c r="CY26143" s="34" t="s">
        <v>27069</v>
      </c>
      <c r="CZ26143" s="35">
        <v>0.14539328000000001</v>
      </c>
    </row>
    <row r="26144" spans="103:104" x14ac:dyDescent="0.3">
      <c r="CY26144" s="34" t="s">
        <v>27070</v>
      </c>
      <c r="CZ26144" s="35">
        <v>8.3453854518518514E-2</v>
      </c>
    </row>
    <row r="26145" spans="103:104" x14ac:dyDescent="0.3">
      <c r="CY26145" s="34" t="s">
        <v>27071</v>
      </c>
      <c r="CZ26145" s="35">
        <v>3.559375E-3</v>
      </c>
    </row>
    <row r="26146" spans="103:104" x14ac:dyDescent="0.3">
      <c r="CY26146" s="34" t="s">
        <v>27072</v>
      </c>
      <c r="CZ26146" s="35">
        <v>4.8559375000000002E-2</v>
      </c>
    </row>
    <row r="26147" spans="103:104" x14ac:dyDescent="0.3">
      <c r="CY26147" s="34" t="s">
        <v>27073</v>
      </c>
      <c r="CZ26147" s="35">
        <v>3.559375E-3</v>
      </c>
    </row>
    <row r="26148" spans="103:104" x14ac:dyDescent="0.3">
      <c r="CY26148" s="34" t="s">
        <v>27074</v>
      </c>
      <c r="CZ26148" s="35">
        <v>0.28048499999999998</v>
      </c>
    </row>
    <row r="26149" spans="103:104" x14ac:dyDescent="0.3">
      <c r="CY26149" s="34" t="s">
        <v>27075</v>
      </c>
      <c r="CZ26149" s="35">
        <v>8.5717194000000003E-3</v>
      </c>
    </row>
    <row r="26150" spans="103:104" x14ac:dyDescent="0.3">
      <c r="CY26150" s="34" t="s">
        <v>27076</v>
      </c>
      <c r="CZ26150" s="35">
        <v>5.6859638333333334E-3</v>
      </c>
    </row>
    <row r="26151" spans="103:104" x14ac:dyDescent="0.3">
      <c r="CY26151" s="34" t="s">
        <v>27077</v>
      </c>
      <c r="CZ26151" s="35">
        <v>1.3192583600000001E-3</v>
      </c>
    </row>
    <row r="26152" spans="103:104" x14ac:dyDescent="0.3">
      <c r="CY26152" s="34" t="s">
        <v>27078</v>
      </c>
      <c r="CZ26152" s="35">
        <v>1.73545888E-3</v>
      </c>
    </row>
    <row r="26153" spans="103:104" x14ac:dyDescent="0.3">
      <c r="CY26153" s="34" t="s">
        <v>27079</v>
      </c>
      <c r="CZ26153" s="35">
        <v>3.0511768666666668E-2</v>
      </c>
    </row>
    <row r="26154" spans="103:104" x14ac:dyDescent="0.3">
      <c r="CY26154" s="34" t="s">
        <v>27080</v>
      </c>
      <c r="CZ26154" s="35">
        <v>1.3958537333333333E-2</v>
      </c>
    </row>
    <row r="26155" spans="103:104" x14ac:dyDescent="0.3">
      <c r="CY26155" s="34" t="s">
        <v>27081</v>
      </c>
      <c r="CZ26155" s="35">
        <v>4.5356679999999996E-2</v>
      </c>
    </row>
    <row r="26156" spans="103:104" x14ac:dyDescent="0.3">
      <c r="CY26156" s="34" t="s">
        <v>27082</v>
      </c>
      <c r="CZ26156" s="35">
        <v>3.399113E-3</v>
      </c>
    </row>
    <row r="26157" spans="103:104" x14ac:dyDescent="0.3">
      <c r="CY26157" s="34" t="s">
        <v>27083</v>
      </c>
      <c r="CZ26157" s="35">
        <v>1.8536299999999995E-2</v>
      </c>
    </row>
    <row r="26158" spans="103:104" x14ac:dyDescent="0.3">
      <c r="CY26158" s="34" t="s">
        <v>27084</v>
      </c>
      <c r="CZ26158" s="35">
        <v>5.7192000000000007E-3</v>
      </c>
    </row>
    <row r="26159" spans="103:104" x14ac:dyDescent="0.3">
      <c r="CY26159" s="34" t="s">
        <v>27085</v>
      </c>
      <c r="CZ26159" s="35">
        <v>1.8808120000000005E-2</v>
      </c>
    </row>
    <row r="26160" spans="103:104" x14ac:dyDescent="0.3">
      <c r="CY26160" s="34" t="s">
        <v>27086</v>
      </c>
      <c r="CZ26160" s="35">
        <v>9.9711260480000001E-3</v>
      </c>
    </row>
    <row r="26161" spans="103:104" x14ac:dyDescent="0.3">
      <c r="CY26161" s="34" t="s">
        <v>27087</v>
      </c>
      <c r="CZ26161" s="35">
        <v>8.0464027999999996E-3</v>
      </c>
    </row>
    <row r="26162" spans="103:104" x14ac:dyDescent="0.3">
      <c r="CY26162" s="34" t="s">
        <v>27088</v>
      </c>
      <c r="CZ26162" s="35">
        <v>3.2939151999999999E-2</v>
      </c>
    </row>
    <row r="26163" spans="103:104" x14ac:dyDescent="0.3">
      <c r="CY26163" s="34" t="s">
        <v>27089</v>
      </c>
      <c r="CZ26163" s="35">
        <v>0.68404133329999994</v>
      </c>
    </row>
    <row r="26164" spans="103:104" x14ac:dyDescent="0.3">
      <c r="CY26164" s="34" t="s">
        <v>27090</v>
      </c>
      <c r="CZ26164" s="35">
        <v>0.58189173329999999</v>
      </c>
    </row>
    <row r="26165" spans="103:104" x14ac:dyDescent="0.3">
      <c r="CY26165" s="34" t="s">
        <v>27091</v>
      </c>
      <c r="CZ26165" s="35">
        <v>0.88815013329999992</v>
      </c>
    </row>
    <row r="26166" spans="103:104" x14ac:dyDescent="0.3">
      <c r="CY26166" s="34" t="s">
        <v>27092</v>
      </c>
      <c r="CZ26166" s="35">
        <v>0.45533733333333332</v>
      </c>
    </row>
    <row r="26167" spans="103:104" x14ac:dyDescent="0.3">
      <c r="CY26167" s="34" t="s">
        <v>27093</v>
      </c>
      <c r="CZ26167" s="35">
        <v>3.4875119999999999E-3</v>
      </c>
    </row>
    <row r="26168" spans="103:104" x14ac:dyDescent="0.3">
      <c r="CY26168" s="34" t="s">
        <v>27094</v>
      </c>
      <c r="CZ26168" s="35">
        <v>8.2379359682539691E-2</v>
      </c>
    </row>
    <row r="26169" spans="103:104" x14ac:dyDescent="0.3">
      <c r="CY26169" s="34" t="s">
        <v>27095</v>
      </c>
      <c r="CZ26169" s="35">
        <v>0.1670208</v>
      </c>
    </row>
    <row r="26170" spans="103:104" x14ac:dyDescent="0.3">
      <c r="CY26170" s="34" t="s">
        <v>27096</v>
      </c>
      <c r="CZ26170" s="35">
        <v>4.0531402000000003E-3</v>
      </c>
    </row>
    <row r="26171" spans="103:104" x14ac:dyDescent="0.3">
      <c r="CY26171" s="34" t="s">
        <v>27097</v>
      </c>
      <c r="CZ26171" s="35">
        <v>3.0002497499999996E-3</v>
      </c>
    </row>
    <row r="26172" spans="103:104" x14ac:dyDescent="0.3">
      <c r="CY26172" s="34" t="s">
        <v>27098</v>
      </c>
      <c r="CZ26172" s="35">
        <v>3.0490703999999997E-2</v>
      </c>
    </row>
    <row r="26173" spans="103:104" x14ac:dyDescent="0.3">
      <c r="CY26173" s="34" t="s">
        <v>27099</v>
      </c>
      <c r="CZ26173" s="35">
        <v>2.0604903533333337E-2</v>
      </c>
    </row>
    <row r="26174" spans="103:104" x14ac:dyDescent="0.3">
      <c r="CY26174" s="34" t="s">
        <v>27100</v>
      </c>
      <c r="CZ26174" s="35">
        <v>4.7137195200000002E-2</v>
      </c>
    </row>
    <row r="26175" spans="103:104" x14ac:dyDescent="0.3">
      <c r="CY26175" s="34" t="s">
        <v>27101</v>
      </c>
      <c r="CZ26175" s="35">
        <v>0.14217951200000001</v>
      </c>
    </row>
    <row r="26176" spans="103:104" x14ac:dyDescent="0.3">
      <c r="CY26176" s="34" t="s">
        <v>27102</v>
      </c>
      <c r="CZ26176" s="35">
        <v>7.1039780000000011E-2</v>
      </c>
    </row>
    <row r="26177" spans="103:104" x14ac:dyDescent="0.3">
      <c r="CY26177" s="34" t="s">
        <v>27103</v>
      </c>
      <c r="CZ26177" s="35">
        <v>0.13111326640000001</v>
      </c>
    </row>
    <row r="26178" spans="103:104" x14ac:dyDescent="0.3">
      <c r="CY26178" s="34" t="s">
        <v>27104</v>
      </c>
      <c r="CZ26178" s="35">
        <v>1.1506634400000001E-3</v>
      </c>
    </row>
    <row r="26179" spans="103:104" x14ac:dyDescent="0.3">
      <c r="CY26179" s="34" t="s">
        <v>27105</v>
      </c>
      <c r="CZ26179" s="35">
        <v>0.1105465981</v>
      </c>
    </row>
    <row r="26180" spans="103:104" x14ac:dyDescent="0.3">
      <c r="CY26180" s="34" t="s">
        <v>27106</v>
      </c>
      <c r="CZ26180" s="35">
        <v>7.0673263999999986E-2</v>
      </c>
    </row>
    <row r="26181" spans="103:104" x14ac:dyDescent="0.3">
      <c r="CY26181" s="34" t="s">
        <v>27107</v>
      </c>
      <c r="CZ26181" s="35">
        <v>4.2864922999999999E-2</v>
      </c>
    </row>
    <row r="26182" spans="103:104" x14ac:dyDescent="0.3">
      <c r="CY26182" s="34" t="s">
        <v>27108</v>
      </c>
      <c r="CZ26182" s="35">
        <v>6.8878334099999994E-2</v>
      </c>
    </row>
    <row r="26183" spans="103:104" x14ac:dyDescent="0.3">
      <c r="CY26183" s="34" t="s">
        <v>27109</v>
      </c>
      <c r="CZ26183" s="35">
        <v>3.7203422504000001E-2</v>
      </c>
    </row>
    <row r="26184" spans="103:104" x14ac:dyDescent="0.3">
      <c r="CY26184" s="34" t="s">
        <v>27110</v>
      </c>
      <c r="CZ26184" s="35">
        <v>5.9532004533333328E-2</v>
      </c>
    </row>
    <row r="26185" spans="103:104" x14ac:dyDescent="0.3">
      <c r="CY26185" s="34" t="s">
        <v>27111</v>
      </c>
      <c r="CZ26185" s="35">
        <v>1.5069880000000001E-3</v>
      </c>
    </row>
    <row r="26186" spans="103:104" x14ac:dyDescent="0.3">
      <c r="CY26186" s="34" t="s">
        <v>27112</v>
      </c>
      <c r="CZ26186" s="35">
        <v>2.9980864000000006E-3</v>
      </c>
    </row>
    <row r="26187" spans="103:104" x14ac:dyDescent="0.3">
      <c r="CY26187" s="34" t="s">
        <v>27113</v>
      </c>
      <c r="CZ26187" s="35">
        <v>8.5993492000000005E-2</v>
      </c>
    </row>
    <row r="26188" spans="103:104" x14ac:dyDescent="0.3">
      <c r="CY26188" s="34" t="s">
        <v>27114</v>
      </c>
      <c r="CZ26188" s="35">
        <v>2.3080850709677418E-3</v>
      </c>
    </row>
    <row r="26189" spans="103:104" x14ac:dyDescent="0.3">
      <c r="CY26189" s="34" t="s">
        <v>27115</v>
      </c>
      <c r="CZ26189" s="35">
        <v>0.13539880000000001</v>
      </c>
    </row>
    <row r="26190" spans="103:104" x14ac:dyDescent="0.3">
      <c r="CY26190" s="34" t="s">
        <v>27116</v>
      </c>
      <c r="CZ26190" s="35">
        <v>1.857018E-3</v>
      </c>
    </row>
    <row r="26191" spans="103:104" x14ac:dyDescent="0.3">
      <c r="CY26191" s="34" t="s">
        <v>27117</v>
      </c>
      <c r="CZ26191" s="35">
        <v>5.5930080000000004E-4</v>
      </c>
    </row>
    <row r="26192" spans="103:104" x14ac:dyDescent="0.3">
      <c r="CY26192" s="34" t="s">
        <v>27118</v>
      </c>
      <c r="CZ26192" s="35">
        <v>0.37206533340000003</v>
      </c>
    </row>
    <row r="26193" spans="103:104" x14ac:dyDescent="0.3">
      <c r="CY26193" s="34" t="s">
        <v>27119</v>
      </c>
      <c r="CZ26193" s="35">
        <v>8.4291321139999993E-3</v>
      </c>
    </row>
    <row r="26194" spans="103:104" x14ac:dyDescent="0.3">
      <c r="CY26194" s="34" t="s">
        <v>27120</v>
      </c>
      <c r="CZ26194" s="35">
        <v>5.04E-4</v>
      </c>
    </row>
    <row r="26195" spans="103:104" x14ac:dyDescent="0.3">
      <c r="CY26195" s="34" t="s">
        <v>27121</v>
      </c>
      <c r="CZ26195" s="35">
        <v>3.0027357714285715E-2</v>
      </c>
    </row>
    <row r="26196" spans="103:104" x14ac:dyDescent="0.3">
      <c r="CY26196" s="34" t="s">
        <v>27122</v>
      </c>
      <c r="CZ26196" s="35">
        <v>0.10354848888888887</v>
      </c>
    </row>
    <row r="26197" spans="103:104" x14ac:dyDescent="0.3">
      <c r="CY26197" s="34" t="s">
        <v>27123</v>
      </c>
      <c r="CZ26197" s="35">
        <v>3.6150499523809529E-4</v>
      </c>
    </row>
    <row r="26198" spans="103:104" x14ac:dyDescent="0.3">
      <c r="CY26198" s="34" t="s">
        <v>27124</v>
      </c>
      <c r="CZ26198" s="35">
        <v>3.0028640000000001E-4</v>
      </c>
    </row>
    <row r="26199" spans="103:104" x14ac:dyDescent="0.3">
      <c r="CY26199" s="34" t="s">
        <v>27125</v>
      </c>
      <c r="CZ26199" s="35">
        <v>6.3671999999999991E-4</v>
      </c>
    </row>
    <row r="26200" spans="103:104" x14ac:dyDescent="0.3">
      <c r="CY26200" s="34" t="s">
        <v>27126</v>
      </c>
      <c r="CZ26200" s="35">
        <v>4.8143730000000003E-4</v>
      </c>
    </row>
    <row r="26201" spans="103:104" x14ac:dyDescent="0.3">
      <c r="CY26201" s="34" t="s">
        <v>27127</v>
      </c>
      <c r="CZ26201" s="35">
        <v>2.7493151428571428E-3</v>
      </c>
    </row>
    <row r="26202" spans="103:104" x14ac:dyDescent="0.3">
      <c r="CY26202" s="34" t="s">
        <v>27128</v>
      </c>
      <c r="CZ26202" s="35">
        <v>3.8754719999999998E-4</v>
      </c>
    </row>
    <row r="26203" spans="103:104" x14ac:dyDescent="0.3">
      <c r="CY26203" s="34" t="s">
        <v>27129</v>
      </c>
      <c r="CZ26203" s="35">
        <v>3.9260900000000004E-4</v>
      </c>
    </row>
    <row r="26204" spans="103:104" x14ac:dyDescent="0.3">
      <c r="CY26204" s="34" t="s">
        <v>27130</v>
      </c>
      <c r="CZ26204" s="35">
        <v>8.5502111111111117E-4</v>
      </c>
    </row>
    <row r="26205" spans="103:104" x14ac:dyDescent="0.3">
      <c r="CY26205" s="34" t="s">
        <v>27131</v>
      </c>
      <c r="CZ26205" s="35">
        <v>4.6457200000000001E-4</v>
      </c>
    </row>
    <row r="26206" spans="103:104" x14ac:dyDescent="0.3">
      <c r="CY26206" s="34" t="s">
        <v>27132</v>
      </c>
      <c r="CZ26206" s="35">
        <v>0.20525154933333334</v>
      </c>
    </row>
    <row r="26207" spans="103:104" x14ac:dyDescent="0.3">
      <c r="CY26207" s="34" t="s">
        <v>27133</v>
      </c>
      <c r="CZ26207" s="35">
        <v>0.13695391571428575</v>
      </c>
    </row>
    <row r="26208" spans="103:104" x14ac:dyDescent="0.3">
      <c r="CY26208" s="34" t="s">
        <v>27134</v>
      </c>
      <c r="CZ26208" s="35">
        <v>0.58647358700000007</v>
      </c>
    </row>
    <row r="26209" spans="103:104" x14ac:dyDescent="0.3">
      <c r="CY26209" s="34" t="s">
        <v>27135</v>
      </c>
      <c r="CZ26209" s="35">
        <v>0.36220200000000002</v>
      </c>
    </row>
    <row r="26210" spans="103:104" x14ac:dyDescent="0.3">
      <c r="CY26210" s="34" t="s">
        <v>27136</v>
      </c>
      <c r="CZ26210" s="35">
        <v>6.9350399999999995E-4</v>
      </c>
    </row>
    <row r="26211" spans="103:104" x14ac:dyDescent="0.3">
      <c r="CY26211" s="34" t="s">
        <v>27137</v>
      </c>
      <c r="CZ26211" s="35">
        <v>8.56962E-3</v>
      </c>
    </row>
    <row r="26212" spans="103:104" x14ac:dyDescent="0.3">
      <c r="CY26212" s="34" t="s">
        <v>27138</v>
      </c>
      <c r="CZ26212" s="35">
        <v>1.280456E-2</v>
      </c>
    </row>
    <row r="26213" spans="103:104" x14ac:dyDescent="0.3">
      <c r="CY26213" s="34" t="s">
        <v>27139</v>
      </c>
      <c r="CZ26213" s="35">
        <v>4.1872400000000001E-3</v>
      </c>
    </row>
    <row r="26214" spans="103:104" x14ac:dyDescent="0.3">
      <c r="CY26214" s="34" t="s">
        <v>27140</v>
      </c>
      <c r="CZ26214" s="35">
        <v>7.7275773600000005E-3</v>
      </c>
    </row>
    <row r="26215" spans="103:104" x14ac:dyDescent="0.3">
      <c r="CY26215" s="34" t="s">
        <v>27141</v>
      </c>
      <c r="CZ26215" s="35">
        <v>0.37423375999999997</v>
      </c>
    </row>
    <row r="26216" spans="103:104" x14ac:dyDescent="0.3">
      <c r="CY26216" s="34" t="s">
        <v>27142</v>
      </c>
      <c r="CZ26216" s="35">
        <v>4.6970875329400003E-2</v>
      </c>
    </row>
    <row r="26217" spans="103:104" x14ac:dyDescent="0.3">
      <c r="CY26217" s="34" t="s">
        <v>27143</v>
      </c>
      <c r="CZ26217" s="35">
        <v>0.87751620000000008</v>
      </c>
    </row>
    <row r="26218" spans="103:104" x14ac:dyDescent="0.3">
      <c r="CY26218" s="34" t="s">
        <v>27144</v>
      </c>
      <c r="CZ26218" s="35">
        <v>0.10578346525000001</v>
      </c>
    </row>
    <row r="26219" spans="103:104" x14ac:dyDescent="0.3">
      <c r="CY26219" s="34" t="s">
        <v>27145</v>
      </c>
      <c r="CZ26219" s="35">
        <v>1.5762146866666667E-2</v>
      </c>
    </row>
    <row r="26220" spans="103:104" x14ac:dyDescent="0.3">
      <c r="CY26220" s="34" t="s">
        <v>27146</v>
      </c>
      <c r="CZ26220" s="35">
        <v>1.6432335999999998E-3</v>
      </c>
    </row>
    <row r="26221" spans="103:104" x14ac:dyDescent="0.3">
      <c r="CY26221" s="34" t="s">
        <v>27147</v>
      </c>
      <c r="CZ26221" s="35">
        <v>1.29144224E-2</v>
      </c>
    </row>
    <row r="26222" spans="103:104" x14ac:dyDescent="0.3">
      <c r="CY26222" s="34" t="s">
        <v>27148</v>
      </c>
      <c r="CZ26222" s="35">
        <v>1.3331648E-2</v>
      </c>
    </row>
    <row r="26223" spans="103:104" x14ac:dyDescent="0.3">
      <c r="CY26223" s="34" t="s">
        <v>27149</v>
      </c>
      <c r="CZ26223" s="35">
        <v>1.7974500000000001E-2</v>
      </c>
    </row>
    <row r="26224" spans="103:104" x14ac:dyDescent="0.3">
      <c r="CY26224" s="34" t="s">
        <v>27150</v>
      </c>
      <c r="CZ26224" s="35">
        <v>3.0377324000000001E-2</v>
      </c>
    </row>
    <row r="26225" spans="103:104" x14ac:dyDescent="0.3">
      <c r="CY26225" s="34" t="s">
        <v>27151</v>
      </c>
      <c r="CZ26225" s="35">
        <v>1.6603920000000001E-3</v>
      </c>
    </row>
    <row r="26226" spans="103:104" x14ac:dyDescent="0.3">
      <c r="CY26226" s="34" t="s">
        <v>27152</v>
      </c>
      <c r="CZ26226" s="35">
        <v>1.6218960000000001E-3</v>
      </c>
    </row>
    <row r="26227" spans="103:104" x14ac:dyDescent="0.3">
      <c r="CY26227" s="34" t="s">
        <v>27153</v>
      </c>
      <c r="CZ26227" s="35">
        <v>9.0095713684210529E-2</v>
      </c>
    </row>
    <row r="26228" spans="103:104" x14ac:dyDescent="0.3">
      <c r="CY26228" s="34" t="s">
        <v>27154</v>
      </c>
      <c r="CZ26228" s="35">
        <v>6.1498244736842109E-2</v>
      </c>
    </row>
    <row r="26229" spans="103:104" x14ac:dyDescent="0.3">
      <c r="CY26229" s="34" t="s">
        <v>27155</v>
      </c>
      <c r="CZ26229" s="35">
        <v>6.2721907999999998E-3</v>
      </c>
    </row>
    <row r="26230" spans="103:104" x14ac:dyDescent="0.3">
      <c r="CY26230" s="34" t="s">
        <v>27156</v>
      </c>
      <c r="CZ26230" s="35">
        <v>2.9984159999999998E-3</v>
      </c>
    </row>
    <row r="26231" spans="103:104" x14ac:dyDescent="0.3">
      <c r="CY26231" s="34" t="s">
        <v>27157</v>
      </c>
      <c r="CZ26231" s="35">
        <v>9.3167002499999998E-2</v>
      </c>
    </row>
    <row r="26232" spans="103:104" x14ac:dyDescent="0.3">
      <c r="CY26232" s="34" t="s">
        <v>27158</v>
      </c>
      <c r="CZ26232" s="35">
        <v>3.8473020000000004E-2</v>
      </c>
    </row>
    <row r="26233" spans="103:104" x14ac:dyDescent="0.3">
      <c r="CY26233" s="34" t="s">
        <v>27159</v>
      </c>
      <c r="CZ26233" s="35">
        <v>3.8130520000000001E-2</v>
      </c>
    </row>
    <row r="26234" spans="103:104" x14ac:dyDescent="0.3">
      <c r="CY26234" s="34" t="s">
        <v>27160</v>
      </c>
      <c r="CZ26234" s="35">
        <v>1.5348679999999998E-2</v>
      </c>
    </row>
    <row r="26235" spans="103:104" x14ac:dyDescent="0.3">
      <c r="CY26235" s="34" t="s">
        <v>27161</v>
      </c>
      <c r="CZ26235" s="35">
        <v>1.5348679999999998E-2</v>
      </c>
    </row>
    <row r="26236" spans="103:104" x14ac:dyDescent="0.3">
      <c r="CY26236" s="34" t="s">
        <v>27162</v>
      </c>
      <c r="CZ26236" s="35">
        <v>0.66099895888888882</v>
      </c>
    </row>
    <row r="26237" spans="103:104" x14ac:dyDescent="0.3">
      <c r="CY26237" s="34" t="s">
        <v>27163</v>
      </c>
      <c r="CZ26237" s="35">
        <v>0.66099895888888893</v>
      </c>
    </row>
    <row r="26238" spans="103:104" x14ac:dyDescent="0.3">
      <c r="CY26238" s="34" t="s">
        <v>27164</v>
      </c>
      <c r="CZ26238" s="35">
        <v>0.66099895833333333</v>
      </c>
    </row>
    <row r="26239" spans="103:104" x14ac:dyDescent="0.3">
      <c r="CY26239" s="34" t="s">
        <v>27165</v>
      </c>
      <c r="CZ26239" s="35">
        <v>0.6741429584444445</v>
      </c>
    </row>
    <row r="26240" spans="103:104" x14ac:dyDescent="0.3">
      <c r="CY26240" s="34" t="s">
        <v>27166</v>
      </c>
      <c r="CZ26240" s="35">
        <v>0.66099895777777773</v>
      </c>
    </row>
    <row r="26241" spans="103:104" x14ac:dyDescent="0.3">
      <c r="CY26241" s="34" t="s">
        <v>27167</v>
      </c>
      <c r="CZ26241" s="35">
        <v>1.8390517333333333E-3</v>
      </c>
    </row>
    <row r="26242" spans="103:104" x14ac:dyDescent="0.3">
      <c r="CY26242" s="34" t="s">
        <v>27168</v>
      </c>
      <c r="CZ26242" s="35">
        <v>2.4679671111111114E-3</v>
      </c>
    </row>
    <row r="26243" spans="103:104" x14ac:dyDescent="0.3">
      <c r="CY26243" s="34" t="s">
        <v>27169</v>
      </c>
      <c r="CZ26243" s="35">
        <v>2.2028619199999998E-3</v>
      </c>
    </row>
    <row r="26244" spans="103:104" x14ac:dyDescent="0.3">
      <c r="CY26244" s="34" t="s">
        <v>27170</v>
      </c>
      <c r="CZ26244" s="35">
        <v>0.34890692500000003</v>
      </c>
    </row>
    <row r="26245" spans="103:104" x14ac:dyDescent="0.3">
      <c r="CY26245" s="34" t="s">
        <v>27171</v>
      </c>
      <c r="CZ26245" s="35">
        <v>7.0110559999999999E-3</v>
      </c>
    </row>
    <row r="26246" spans="103:104" x14ac:dyDescent="0.3">
      <c r="CY26246" s="34" t="s">
        <v>27172</v>
      </c>
      <c r="CZ26246" s="35">
        <v>8.9094279999999988E-3</v>
      </c>
    </row>
    <row r="26247" spans="103:104" x14ac:dyDescent="0.3">
      <c r="CY26247" s="34" t="s">
        <v>27173</v>
      </c>
      <c r="CZ26247" s="35">
        <v>2.2458838285714286E-3</v>
      </c>
    </row>
    <row r="26248" spans="103:104" x14ac:dyDescent="0.3">
      <c r="CY26248" s="34" t="s">
        <v>27174</v>
      </c>
      <c r="CZ26248" s="35">
        <v>7.2826999999999996E-3</v>
      </c>
    </row>
    <row r="26249" spans="103:104" x14ac:dyDescent="0.3">
      <c r="CY26249" s="34" t="s">
        <v>27175</v>
      </c>
      <c r="CZ26249" s="35">
        <v>9.6065166666666656E-5</v>
      </c>
    </row>
    <row r="26250" spans="103:104" x14ac:dyDescent="0.3">
      <c r="CY26250" s="34" t="s">
        <v>27176</v>
      </c>
      <c r="CZ26250" s="35">
        <v>0.33420632</v>
      </c>
    </row>
    <row r="26251" spans="103:104" x14ac:dyDescent="0.3">
      <c r="CY26251" s="34" t="s">
        <v>27177</v>
      </c>
      <c r="CZ26251" s="35">
        <v>0.13184048429999998</v>
      </c>
    </row>
    <row r="26252" spans="103:104" x14ac:dyDescent="0.3">
      <c r="CY26252" s="34" t="s">
        <v>27178</v>
      </c>
      <c r="CZ26252" s="35">
        <v>1.52649E-2</v>
      </c>
    </row>
    <row r="26253" spans="103:104" x14ac:dyDescent="0.3">
      <c r="CY26253" s="34" t="s">
        <v>27179</v>
      </c>
      <c r="CZ26253" s="35">
        <v>7.1847537333340011E-2</v>
      </c>
    </row>
    <row r="26254" spans="103:104" x14ac:dyDescent="0.3">
      <c r="CY26254" s="34" t="s">
        <v>27180</v>
      </c>
      <c r="CZ26254" s="35">
        <v>9.4331758000000016E-2</v>
      </c>
    </row>
    <row r="26255" spans="103:104" x14ac:dyDescent="0.3">
      <c r="CY26255" s="34" t="s">
        <v>27181</v>
      </c>
      <c r="CZ26255" s="35">
        <v>8.1316237E-2</v>
      </c>
    </row>
    <row r="26256" spans="103:104" x14ac:dyDescent="0.3">
      <c r="CY26256" s="34" t="s">
        <v>27182</v>
      </c>
      <c r="CZ26256" s="35">
        <v>0.26396450000000005</v>
      </c>
    </row>
    <row r="26257" spans="103:104" x14ac:dyDescent="0.3">
      <c r="CY26257" s="34" t="s">
        <v>27183</v>
      </c>
      <c r="CZ26257" s="35">
        <v>0.27681249999999996</v>
      </c>
    </row>
    <row r="26258" spans="103:104" x14ac:dyDescent="0.3">
      <c r="CY26258" s="34" t="s">
        <v>27184</v>
      </c>
      <c r="CZ26258" s="35">
        <v>0.40181066665999998</v>
      </c>
    </row>
    <row r="26259" spans="103:104" x14ac:dyDescent="0.3">
      <c r="CY26259" s="34" t="s">
        <v>27185</v>
      </c>
      <c r="CZ26259" s="35">
        <v>0.37669750000000002</v>
      </c>
    </row>
    <row r="26260" spans="103:104" x14ac:dyDescent="0.3">
      <c r="CY26260" s="34" t="s">
        <v>27186</v>
      </c>
      <c r="CZ26260" s="35">
        <v>0.38712049999999998</v>
      </c>
    </row>
    <row r="26261" spans="103:104" x14ac:dyDescent="0.3">
      <c r="CY26261" s="34" t="s">
        <v>27187</v>
      </c>
      <c r="CZ26261" s="35">
        <v>1.5318160000000003E-3</v>
      </c>
    </row>
    <row r="26262" spans="103:104" x14ac:dyDescent="0.3">
      <c r="CY26262" s="34" t="s">
        <v>27188</v>
      </c>
      <c r="CZ26262" s="35">
        <v>1.2452163789473687E-3</v>
      </c>
    </row>
    <row r="26263" spans="103:104" x14ac:dyDescent="0.3">
      <c r="CY26263" s="34" t="s">
        <v>27189</v>
      </c>
      <c r="CZ26263" s="35">
        <v>4.8025760000000002E-3</v>
      </c>
    </row>
    <row r="26264" spans="103:104" x14ac:dyDescent="0.3">
      <c r="CY26264" s="34" t="s">
        <v>27190</v>
      </c>
      <c r="CZ26264" s="35">
        <v>7.5616239999999994E-3</v>
      </c>
    </row>
    <row r="26265" spans="103:104" x14ac:dyDescent="0.3">
      <c r="CY26265" s="34" t="s">
        <v>27191</v>
      </c>
      <c r="CZ26265" s="35">
        <v>6.3652189999999984E-2</v>
      </c>
    </row>
    <row r="26266" spans="103:104" x14ac:dyDescent="0.3">
      <c r="CY26266" s="34" t="s">
        <v>27192</v>
      </c>
      <c r="CZ26266" s="35">
        <v>4.3547083141176474E-2</v>
      </c>
    </row>
    <row r="26267" spans="103:104" x14ac:dyDescent="0.3">
      <c r="CY26267" s="34" t="s">
        <v>27193</v>
      </c>
      <c r="CZ26267" s="35">
        <v>1.1898300000000001E-2</v>
      </c>
    </row>
    <row r="26268" spans="103:104" x14ac:dyDescent="0.3">
      <c r="CY26268" s="34" t="s">
        <v>27194</v>
      </c>
      <c r="CZ26268" s="35">
        <v>6.1992588235294105E-3</v>
      </c>
    </row>
    <row r="26269" spans="103:104" x14ac:dyDescent="0.3">
      <c r="CY26269" s="34" t="s">
        <v>27195</v>
      </c>
      <c r="CZ26269" s="35">
        <v>5.1613874999999997E-3</v>
      </c>
    </row>
    <row r="26270" spans="103:104" x14ac:dyDescent="0.3">
      <c r="CY26270" s="34" t="s">
        <v>27196</v>
      </c>
      <c r="CZ26270" s="35">
        <v>4.6666359141176471E-2</v>
      </c>
    </row>
    <row r="26271" spans="103:104" x14ac:dyDescent="0.3">
      <c r="CY26271" s="34" t="s">
        <v>27197</v>
      </c>
      <c r="CZ26271" s="35">
        <v>2.5462593684210527E-2</v>
      </c>
    </row>
    <row r="26272" spans="103:104" x14ac:dyDescent="0.3">
      <c r="CY26272" s="34" t="s">
        <v>27198</v>
      </c>
      <c r="CZ26272" s="35">
        <v>2.470028235294118E-2</v>
      </c>
    </row>
    <row r="26273" spans="103:104" x14ac:dyDescent="0.3">
      <c r="CY26273" s="34" t="s">
        <v>27199</v>
      </c>
      <c r="CZ26273" s="35">
        <v>4.4991567058823533E-2</v>
      </c>
    </row>
    <row r="26274" spans="103:104" x14ac:dyDescent="0.3">
      <c r="CY26274" s="34" t="s">
        <v>27200</v>
      </c>
      <c r="CZ26274" s="35">
        <v>1.1382583999999999E-2</v>
      </c>
    </row>
    <row r="26275" spans="103:104" x14ac:dyDescent="0.3">
      <c r="CY26275" s="34" t="s">
        <v>27201</v>
      </c>
      <c r="CZ26275" s="35">
        <v>4.1183146000000004E-2</v>
      </c>
    </row>
    <row r="26276" spans="103:104" x14ac:dyDescent="0.3">
      <c r="CY26276" s="34" t="s">
        <v>27202</v>
      </c>
      <c r="CZ26276" s="35">
        <v>1.4608352000000002E-3</v>
      </c>
    </row>
    <row r="26277" spans="103:104" x14ac:dyDescent="0.3">
      <c r="CY26277" s="34" t="s">
        <v>27203</v>
      </c>
      <c r="CZ26277" s="35">
        <v>0.25559553199999996</v>
      </c>
    </row>
    <row r="26278" spans="103:104" x14ac:dyDescent="0.3">
      <c r="CY26278" s="34" t="s">
        <v>27204</v>
      </c>
      <c r="CZ26278" s="35">
        <v>0.25702629485714296</v>
      </c>
    </row>
    <row r="26279" spans="103:104" x14ac:dyDescent="0.3">
      <c r="CY26279" s="34" t="s">
        <v>27205</v>
      </c>
      <c r="CZ26279" s="35">
        <v>0.18868057777777777</v>
      </c>
    </row>
    <row r="26280" spans="103:104" x14ac:dyDescent="0.3">
      <c r="CY26280" s="34" t="s">
        <v>27206</v>
      </c>
      <c r="CZ26280" s="35">
        <v>0.15993537777777778</v>
      </c>
    </row>
    <row r="26281" spans="103:104" x14ac:dyDescent="0.3">
      <c r="CY26281" s="34" t="s">
        <v>27207</v>
      </c>
      <c r="CZ26281" s="35">
        <v>3.4570580000000004E-2</v>
      </c>
    </row>
    <row r="26282" spans="103:104" x14ac:dyDescent="0.3">
      <c r="CY26282" s="34" t="s">
        <v>27208</v>
      </c>
      <c r="CZ26282" s="35">
        <v>5.6006399999999998E-4</v>
      </c>
    </row>
    <row r="26283" spans="103:104" x14ac:dyDescent="0.3">
      <c r="CY26283" s="34" t="s">
        <v>27209</v>
      </c>
      <c r="CZ26283" s="35">
        <v>5.8245729299999993E-2</v>
      </c>
    </row>
    <row r="26284" spans="103:104" x14ac:dyDescent="0.3">
      <c r="CY26284" s="34" t="s">
        <v>27210</v>
      </c>
      <c r="CZ26284" s="35">
        <v>6.3156096E-3</v>
      </c>
    </row>
    <row r="26285" spans="103:104" x14ac:dyDescent="0.3">
      <c r="CY26285" s="34" t="s">
        <v>27211</v>
      </c>
      <c r="CZ26285" s="35">
        <v>6.8140959999999995E-3</v>
      </c>
    </row>
    <row r="26286" spans="103:104" x14ac:dyDescent="0.3">
      <c r="CY26286" s="34" t="s">
        <v>27212</v>
      </c>
      <c r="CZ26286" s="35">
        <v>7.0281503999999996E-3</v>
      </c>
    </row>
    <row r="26287" spans="103:104" x14ac:dyDescent="0.3">
      <c r="CY26287" s="34" t="s">
        <v>27213</v>
      </c>
      <c r="CZ26287" s="35">
        <v>0.1383385</v>
      </c>
    </row>
    <row r="26288" spans="103:104" x14ac:dyDescent="0.3">
      <c r="CY26288" s="34" t="s">
        <v>27214</v>
      </c>
      <c r="CZ26288" s="35">
        <v>0.24079982736842104</v>
      </c>
    </row>
    <row r="26289" spans="103:104" x14ac:dyDescent="0.3">
      <c r="CY26289" s="34" t="s">
        <v>27215</v>
      </c>
      <c r="CZ26289" s="35">
        <v>4.6210540000000003E-3</v>
      </c>
    </row>
    <row r="26290" spans="103:104" x14ac:dyDescent="0.3">
      <c r="CY26290" s="34" t="s">
        <v>27216</v>
      </c>
      <c r="CZ26290" s="35">
        <v>3.9274525999999997E-2</v>
      </c>
    </row>
    <row r="26291" spans="103:104" x14ac:dyDescent="0.3">
      <c r="CY26291" s="34" t="s">
        <v>27217</v>
      </c>
      <c r="CZ26291" s="35">
        <v>9.7628480000000004E-2</v>
      </c>
    </row>
    <row r="26292" spans="103:104" x14ac:dyDescent="0.3">
      <c r="CY26292" s="34" t="s">
        <v>27218</v>
      </c>
      <c r="CZ26292" s="35">
        <v>3.5152413E-2</v>
      </c>
    </row>
    <row r="26293" spans="103:104" x14ac:dyDescent="0.3">
      <c r="CY26293" s="34" t="s">
        <v>27219</v>
      </c>
      <c r="CZ26293" s="35">
        <v>1.8509416799999998E-2</v>
      </c>
    </row>
    <row r="26294" spans="103:104" x14ac:dyDescent="0.3">
      <c r="CY26294" s="34" t="s">
        <v>27220</v>
      </c>
      <c r="CZ26294" s="35">
        <v>8.3642339999999996E-2</v>
      </c>
    </row>
    <row r="26295" spans="103:104" x14ac:dyDescent="0.3">
      <c r="CY26295" s="34" t="s">
        <v>27221</v>
      </c>
      <c r="CZ26295" s="35">
        <v>8.5769333333333333E-3</v>
      </c>
    </row>
    <row r="26296" spans="103:104" x14ac:dyDescent="0.3">
      <c r="CY26296" s="34" t="s">
        <v>27222</v>
      </c>
      <c r="CZ26296" s="35">
        <v>4.6142740000000002E-2</v>
      </c>
    </row>
    <row r="26297" spans="103:104" x14ac:dyDescent="0.3">
      <c r="CY26297" s="34" t="s">
        <v>27223</v>
      </c>
      <c r="CZ26297" s="35">
        <v>9.1424342105263165E-2</v>
      </c>
    </row>
    <row r="26298" spans="103:104" x14ac:dyDescent="0.3">
      <c r="CY26298" s="34" t="s">
        <v>27224</v>
      </c>
      <c r="CZ26298" s="35">
        <v>2.6174999999999999E-4</v>
      </c>
    </row>
    <row r="26299" spans="103:104" x14ac:dyDescent="0.3">
      <c r="CY26299" s="34" t="s">
        <v>27225</v>
      </c>
      <c r="CZ26299" s="35">
        <v>4.5841668E-4</v>
      </c>
    </row>
    <row r="26300" spans="103:104" x14ac:dyDescent="0.3">
      <c r="CY26300" s="34" t="s">
        <v>27226</v>
      </c>
      <c r="CZ26300" s="35">
        <v>8.7757902999999991E-3</v>
      </c>
    </row>
    <row r="26301" spans="103:104" x14ac:dyDescent="0.3">
      <c r="CY26301" s="34" t="s">
        <v>27227</v>
      </c>
      <c r="CZ26301" s="35">
        <v>3.3395650147928994E-2</v>
      </c>
    </row>
    <row r="26302" spans="103:104" x14ac:dyDescent="0.3">
      <c r="CY26302" s="34" t="s">
        <v>27228</v>
      </c>
      <c r="CZ26302" s="35">
        <v>0.66775894000000013</v>
      </c>
    </row>
    <row r="26303" spans="103:104" x14ac:dyDescent="0.3">
      <c r="CY26303" s="34" t="s">
        <v>27229</v>
      </c>
      <c r="CZ26303" s="35">
        <v>1.9581795199999998E-2</v>
      </c>
    </row>
    <row r="26304" spans="103:104" x14ac:dyDescent="0.3">
      <c r="CY26304" s="34" t="s">
        <v>27230</v>
      </c>
      <c r="CZ26304" s="35">
        <v>4.5678533333333333E-3</v>
      </c>
    </row>
    <row r="26305" spans="103:104" x14ac:dyDescent="0.3">
      <c r="CY26305" s="34" t="s">
        <v>27231</v>
      </c>
      <c r="CZ26305" s="35">
        <v>6.1822887999999999E-2</v>
      </c>
    </row>
    <row r="26306" spans="103:104" x14ac:dyDescent="0.3">
      <c r="CY26306" s="34" t="s">
        <v>27232</v>
      </c>
      <c r="CZ26306" s="35">
        <v>4.9141439470588237E-2</v>
      </c>
    </row>
    <row r="26307" spans="103:104" x14ac:dyDescent="0.3">
      <c r="CY26307" s="34" t="s">
        <v>27233</v>
      </c>
      <c r="CZ26307" s="35">
        <v>6.1617199999999997E-2</v>
      </c>
    </row>
    <row r="26308" spans="103:104" x14ac:dyDescent="0.3">
      <c r="CY26308" s="34" t="s">
        <v>27234</v>
      </c>
      <c r="CZ26308" s="35">
        <v>6.1651699999999997E-2</v>
      </c>
    </row>
    <row r="26309" spans="103:104" x14ac:dyDescent="0.3">
      <c r="CY26309" s="34" t="s">
        <v>27235</v>
      </c>
      <c r="CZ26309" s="35">
        <v>0.41717986111111111</v>
      </c>
    </row>
    <row r="26310" spans="103:104" x14ac:dyDescent="0.3">
      <c r="CY26310" s="34" t="s">
        <v>27236</v>
      </c>
      <c r="CZ26310" s="35">
        <v>1.592025846153846E-2</v>
      </c>
    </row>
    <row r="26311" spans="103:104" x14ac:dyDescent="0.3">
      <c r="CY26311" s="34" t="s">
        <v>27237</v>
      </c>
      <c r="CZ26311" s="35">
        <v>7.8725699999999989E-3</v>
      </c>
    </row>
    <row r="26312" spans="103:104" x14ac:dyDescent="0.3">
      <c r="CY26312" s="34" t="s">
        <v>27238</v>
      </c>
      <c r="CZ26312" s="35">
        <v>9.6497077894736855E-2</v>
      </c>
    </row>
    <row r="26313" spans="103:104" x14ac:dyDescent="0.3">
      <c r="CY26313" s="34" t="s">
        <v>27239</v>
      </c>
      <c r="CZ26313" s="35">
        <v>6.1027480000000009E-2</v>
      </c>
    </row>
    <row r="26314" spans="103:104" x14ac:dyDescent="0.3">
      <c r="CY26314" s="34" t="s">
        <v>27240</v>
      </c>
      <c r="CZ26314" s="35">
        <v>5.8244820000000003E-2</v>
      </c>
    </row>
    <row r="26315" spans="103:104" x14ac:dyDescent="0.3">
      <c r="CY26315" s="34" t="s">
        <v>27241</v>
      </c>
      <c r="CZ26315" s="35">
        <v>6.1479759999999994E-3</v>
      </c>
    </row>
    <row r="26316" spans="103:104" x14ac:dyDescent="0.3">
      <c r="CY26316" s="34" t="s">
        <v>27242</v>
      </c>
      <c r="CZ26316" s="35">
        <v>6.4455983999999994E-2</v>
      </c>
    </row>
    <row r="26317" spans="103:104" x14ac:dyDescent="0.3">
      <c r="CY26317" s="34" t="s">
        <v>27243</v>
      </c>
      <c r="CZ26317" s="35">
        <v>0.74356910000000009</v>
      </c>
    </row>
    <row r="26318" spans="103:104" x14ac:dyDescent="0.3">
      <c r="CY26318" s="34" t="s">
        <v>27244</v>
      </c>
      <c r="CZ26318" s="35">
        <v>2.9908116000000001E-3</v>
      </c>
    </row>
    <row r="26319" spans="103:104" x14ac:dyDescent="0.3">
      <c r="CY26319" s="34" t="s">
        <v>27245</v>
      </c>
      <c r="CZ26319" s="35">
        <v>3.3242389999999997E-3</v>
      </c>
    </row>
    <row r="26320" spans="103:104" x14ac:dyDescent="0.3">
      <c r="CY26320" s="34" t="s">
        <v>27246</v>
      </c>
      <c r="CZ26320" s="35">
        <v>3.2765184000000001E-3</v>
      </c>
    </row>
    <row r="26321" spans="103:104" x14ac:dyDescent="0.3">
      <c r="CY26321" s="34" t="s">
        <v>27247</v>
      </c>
      <c r="CZ26321" s="35">
        <v>3.4047890000000001E-3</v>
      </c>
    </row>
    <row r="26322" spans="103:104" x14ac:dyDescent="0.3">
      <c r="CY26322" s="34" t="s">
        <v>27248</v>
      </c>
      <c r="CZ26322" s="35">
        <v>4.1045958000000002E-3</v>
      </c>
    </row>
    <row r="26323" spans="103:104" x14ac:dyDescent="0.3">
      <c r="CY26323" s="34" t="s">
        <v>27249</v>
      </c>
      <c r="CZ26323" s="35">
        <v>3.8267488000000003E-3</v>
      </c>
    </row>
    <row r="26324" spans="103:104" x14ac:dyDescent="0.3">
      <c r="CY26324" s="34" t="s">
        <v>27250</v>
      </c>
      <c r="CZ26324" s="35">
        <v>7.6181464000000004E-2</v>
      </c>
    </row>
    <row r="26325" spans="103:104" x14ac:dyDescent="0.3">
      <c r="CY26325" s="34" t="s">
        <v>27251</v>
      </c>
      <c r="CZ26325" s="35">
        <v>1.6768669333333333E-2</v>
      </c>
    </row>
    <row r="26326" spans="103:104" x14ac:dyDescent="0.3">
      <c r="CY26326" s="34" t="s">
        <v>27252</v>
      </c>
      <c r="CZ26326" s="35">
        <v>0.14326770823529411</v>
      </c>
    </row>
    <row r="26327" spans="103:104" x14ac:dyDescent="0.3">
      <c r="CY26327" s="34" t="s">
        <v>27253</v>
      </c>
      <c r="CZ26327" s="35">
        <v>1.4623704E-2</v>
      </c>
    </row>
    <row r="26328" spans="103:104" x14ac:dyDescent="0.3">
      <c r="CY26328" s="34" t="s">
        <v>27254</v>
      </c>
      <c r="CZ26328" s="35">
        <v>6.1319950588235299E-2</v>
      </c>
    </row>
    <row r="26329" spans="103:104" x14ac:dyDescent="0.3">
      <c r="CY26329" s="34" t="s">
        <v>27255</v>
      </c>
      <c r="CZ26329" s="35">
        <v>1.9390424E-2</v>
      </c>
    </row>
    <row r="26330" spans="103:104" x14ac:dyDescent="0.3">
      <c r="CY26330" s="34" t="s">
        <v>27256</v>
      </c>
      <c r="CZ26330" s="35">
        <v>3.005368E-3</v>
      </c>
    </row>
    <row r="26331" spans="103:104" x14ac:dyDescent="0.3">
      <c r="CY26331" s="34" t="s">
        <v>27257</v>
      </c>
      <c r="CZ26331" s="35">
        <v>1.5391166000000003E-3</v>
      </c>
    </row>
    <row r="26332" spans="103:104" x14ac:dyDescent="0.3">
      <c r="CY26332" s="34" t="s">
        <v>27258</v>
      </c>
      <c r="CZ26332" s="35">
        <v>8.0432000000000003E-3</v>
      </c>
    </row>
    <row r="26333" spans="103:104" x14ac:dyDescent="0.3">
      <c r="CY26333" s="34" t="s">
        <v>27259</v>
      </c>
      <c r="CZ26333" s="35">
        <v>8.0432000000000003E-3</v>
      </c>
    </row>
    <row r="26334" spans="103:104" x14ac:dyDescent="0.3">
      <c r="CY26334" s="34" t="s">
        <v>27260</v>
      </c>
      <c r="CZ26334" s="35">
        <v>4.8431179999999996E-3</v>
      </c>
    </row>
    <row r="26335" spans="103:104" x14ac:dyDescent="0.3">
      <c r="CY26335" s="34" t="s">
        <v>27261</v>
      </c>
      <c r="CZ26335" s="35">
        <v>1.6456048E-3</v>
      </c>
    </row>
    <row r="26336" spans="103:104" x14ac:dyDescent="0.3">
      <c r="CY26336" s="34" t="s">
        <v>27262</v>
      </c>
      <c r="CZ26336" s="35">
        <v>1.3693157999999999E-3</v>
      </c>
    </row>
    <row r="26337" spans="103:104" x14ac:dyDescent="0.3">
      <c r="CY26337" s="34" t="s">
        <v>27263</v>
      </c>
      <c r="CZ26337" s="35">
        <v>0.22149220444444445</v>
      </c>
    </row>
    <row r="26338" spans="103:104" x14ac:dyDescent="0.3">
      <c r="CY26338" s="34" t="s">
        <v>27264</v>
      </c>
      <c r="CZ26338" s="35">
        <v>1.6983557199999999E-2</v>
      </c>
    </row>
    <row r="26339" spans="103:104" x14ac:dyDescent="0.3">
      <c r="CY26339" s="34" t="s">
        <v>27265</v>
      </c>
      <c r="CZ26339" s="35">
        <v>6.7165008750000005E-2</v>
      </c>
    </row>
    <row r="26340" spans="103:104" x14ac:dyDescent="0.3">
      <c r="CY26340" s="34" t="s">
        <v>27266</v>
      </c>
      <c r="CZ26340" s="35">
        <v>2.5003575999999997E-3</v>
      </c>
    </row>
    <row r="26341" spans="103:104" x14ac:dyDescent="0.3">
      <c r="CY26341" s="34" t="s">
        <v>27267</v>
      </c>
      <c r="CZ26341" s="35">
        <v>0.43466316660000004</v>
      </c>
    </row>
    <row r="26342" spans="103:104" x14ac:dyDescent="0.3">
      <c r="CY26342" s="34" t="s">
        <v>27268</v>
      </c>
      <c r="CZ26342" s="35">
        <v>0.2843503</v>
      </c>
    </row>
    <row r="26343" spans="103:104" x14ac:dyDescent="0.3">
      <c r="CY26343" s="34" t="s">
        <v>27269</v>
      </c>
      <c r="CZ26343" s="35">
        <v>0.3176886716666667</v>
      </c>
    </row>
    <row r="26344" spans="103:104" x14ac:dyDescent="0.3">
      <c r="CY26344" s="34" t="s">
        <v>27270</v>
      </c>
      <c r="CZ26344" s="35">
        <v>0.12555237894736843</v>
      </c>
    </row>
    <row r="26345" spans="103:104" x14ac:dyDescent="0.3">
      <c r="CY26345" s="34" t="s">
        <v>27271</v>
      </c>
      <c r="CZ26345" s="35">
        <v>8.9004823111111117E-2</v>
      </c>
    </row>
    <row r="26346" spans="103:104" x14ac:dyDescent="0.3">
      <c r="CY26346" s="34" t="s">
        <v>27272</v>
      </c>
      <c r="CZ26346" s="35">
        <v>5.9797254399999999E-2</v>
      </c>
    </row>
    <row r="26347" spans="103:104" x14ac:dyDescent="0.3">
      <c r="CY26347" s="34" t="s">
        <v>27273</v>
      </c>
      <c r="CZ26347" s="35">
        <v>2.2278890000000003E-2</v>
      </c>
    </row>
    <row r="26348" spans="103:104" x14ac:dyDescent="0.3">
      <c r="CY26348" s="34" t="s">
        <v>27274</v>
      </c>
      <c r="CZ26348" s="35">
        <v>9.923744399999998E-2</v>
      </c>
    </row>
    <row r="26349" spans="103:104" x14ac:dyDescent="0.3">
      <c r="CY26349" s="34" t="s">
        <v>27275</v>
      </c>
      <c r="CZ26349" s="35">
        <v>4.5958559999999996E-2</v>
      </c>
    </row>
    <row r="26350" spans="103:104" x14ac:dyDescent="0.3">
      <c r="CY26350" s="34" t="s">
        <v>27276</v>
      </c>
      <c r="CZ26350" s="35">
        <v>1.6915226666666665E-2</v>
      </c>
    </row>
    <row r="26351" spans="103:104" x14ac:dyDescent="0.3">
      <c r="CY26351" s="34" t="s">
        <v>27277</v>
      </c>
      <c r="CZ26351" s="35">
        <v>0.10290144000000001</v>
      </c>
    </row>
    <row r="26352" spans="103:104" x14ac:dyDescent="0.3">
      <c r="CY26352" s="34" t="s">
        <v>27278</v>
      </c>
      <c r="CZ26352" s="35">
        <v>0.14161343200000001</v>
      </c>
    </row>
    <row r="26353" spans="103:104" x14ac:dyDescent="0.3">
      <c r="CY26353" s="34" t="s">
        <v>27279</v>
      </c>
      <c r="CZ26353" s="35">
        <v>2.3964060000000002E-4</v>
      </c>
    </row>
    <row r="26354" spans="103:104" x14ac:dyDescent="0.3">
      <c r="CY26354" s="34" t="s">
        <v>27280</v>
      </c>
      <c r="CZ26354" s="35">
        <v>4.7406388E-4</v>
      </c>
    </row>
    <row r="26355" spans="103:104" x14ac:dyDescent="0.3">
      <c r="CY26355" s="34" t="s">
        <v>27281</v>
      </c>
      <c r="CZ26355" s="35">
        <v>3.0935389250000004E-2</v>
      </c>
    </row>
    <row r="26356" spans="103:104" x14ac:dyDescent="0.3">
      <c r="CY26356" s="34" t="s">
        <v>27282</v>
      </c>
      <c r="CZ26356" s="35">
        <v>1.0967141999999999E-2</v>
      </c>
    </row>
    <row r="26357" spans="103:104" x14ac:dyDescent="0.3">
      <c r="CY26357" s="34" t="s">
        <v>27283</v>
      </c>
      <c r="CZ26357" s="35">
        <v>1.5946796449999998E-2</v>
      </c>
    </row>
    <row r="26358" spans="103:104" x14ac:dyDescent="0.3">
      <c r="CY26358" s="34" t="s">
        <v>27284</v>
      </c>
      <c r="CZ26358" s="35">
        <v>1.429889445E-2</v>
      </c>
    </row>
    <row r="26359" spans="103:104" x14ac:dyDescent="0.3">
      <c r="CY26359" s="34" t="s">
        <v>27285</v>
      </c>
      <c r="CZ26359" s="35">
        <v>1.3445983250000001E-2</v>
      </c>
    </row>
    <row r="26360" spans="103:104" x14ac:dyDescent="0.3">
      <c r="CY26360" s="34" t="s">
        <v>27286</v>
      </c>
      <c r="CZ26360" s="35">
        <v>4.3432920000000003E-3</v>
      </c>
    </row>
    <row r="26361" spans="103:104" x14ac:dyDescent="0.3">
      <c r="CY26361" s="34" t="s">
        <v>27287</v>
      </c>
      <c r="CZ26361" s="35">
        <v>6.1264167291666671E-2</v>
      </c>
    </row>
    <row r="26362" spans="103:104" x14ac:dyDescent="0.3">
      <c r="CY26362" s="34" t="s">
        <v>27288</v>
      </c>
      <c r="CZ26362" s="35">
        <v>6.1751123833333338E-2</v>
      </c>
    </row>
    <row r="26363" spans="103:104" x14ac:dyDescent="0.3">
      <c r="CY26363" s="34" t="s">
        <v>27289</v>
      </c>
      <c r="CZ26363" s="35">
        <v>3.2414757666666669E-2</v>
      </c>
    </row>
    <row r="26364" spans="103:104" x14ac:dyDescent="0.3">
      <c r="CY26364" s="34" t="s">
        <v>27290</v>
      </c>
      <c r="CZ26364" s="35">
        <v>3.2414757666666662E-2</v>
      </c>
    </row>
    <row r="26365" spans="103:104" x14ac:dyDescent="0.3">
      <c r="CY26365" s="34" t="s">
        <v>27291</v>
      </c>
      <c r="CZ26365" s="35">
        <v>2.8695928936170213E-3</v>
      </c>
    </row>
    <row r="26366" spans="103:104" x14ac:dyDescent="0.3">
      <c r="CY26366" s="34" t="s">
        <v>27292</v>
      </c>
      <c r="CZ26366" s="35">
        <v>0.16005740000000004</v>
      </c>
    </row>
    <row r="26367" spans="103:104" x14ac:dyDescent="0.3">
      <c r="CY26367" s="34" t="s">
        <v>27293</v>
      </c>
      <c r="CZ26367" s="35">
        <v>5.3213894736842109E-3</v>
      </c>
    </row>
    <row r="26368" spans="103:104" x14ac:dyDescent="0.3">
      <c r="CY26368" s="34" t="s">
        <v>27294</v>
      </c>
      <c r="CZ26368" s="35">
        <v>0.33890275000000003</v>
      </c>
    </row>
    <row r="26369" spans="103:104" x14ac:dyDescent="0.3">
      <c r="CY26369" s="34" t="s">
        <v>27295</v>
      </c>
      <c r="CZ26369" s="35">
        <v>0.24457977777777778</v>
      </c>
    </row>
    <row r="26370" spans="103:104" x14ac:dyDescent="0.3">
      <c r="CY26370" s="34" t="s">
        <v>27296</v>
      </c>
      <c r="CZ26370" s="35">
        <v>5.8028000000000003E-2</v>
      </c>
    </row>
    <row r="26371" spans="103:104" x14ac:dyDescent="0.3">
      <c r="CY26371" s="34" t="s">
        <v>27297</v>
      </c>
      <c r="CZ26371" s="35">
        <v>2.6020000000000001E-3</v>
      </c>
    </row>
    <row r="26372" spans="103:104" x14ac:dyDescent="0.3">
      <c r="CY26372" s="34" t="s">
        <v>27298</v>
      </c>
      <c r="CZ26372" s="35">
        <v>0.25781003428571425</v>
      </c>
    </row>
    <row r="26373" spans="103:104" x14ac:dyDescent="0.3">
      <c r="CY26373" s="34" t="s">
        <v>27299</v>
      </c>
      <c r="CZ26373" s="35">
        <v>4.6728884000000005E-2</v>
      </c>
    </row>
    <row r="26374" spans="103:104" x14ac:dyDescent="0.3">
      <c r="CY26374" s="34" t="s">
        <v>27300</v>
      </c>
      <c r="CZ26374" s="35">
        <v>1.5346859999999999E-3</v>
      </c>
    </row>
    <row r="26375" spans="103:104" x14ac:dyDescent="0.3">
      <c r="CY26375" s="34" t="s">
        <v>27301</v>
      </c>
      <c r="CZ26375" s="35">
        <v>1.9834351111111112E-3</v>
      </c>
    </row>
    <row r="26376" spans="103:104" x14ac:dyDescent="0.3">
      <c r="CY26376" s="34" t="s">
        <v>27302</v>
      </c>
      <c r="CZ26376" s="35">
        <v>1.4079639999999998E-3</v>
      </c>
    </row>
    <row r="26377" spans="103:104" x14ac:dyDescent="0.3">
      <c r="CY26377" s="34" t="s">
        <v>27303</v>
      </c>
      <c r="CZ26377" s="35">
        <v>1.7919646E-3</v>
      </c>
    </row>
    <row r="26378" spans="103:104" x14ac:dyDescent="0.3">
      <c r="CY26378" s="34" t="s">
        <v>27304</v>
      </c>
      <c r="CZ26378" s="35">
        <v>2.1889240000000001E-3</v>
      </c>
    </row>
    <row r="26379" spans="103:104" x14ac:dyDescent="0.3">
      <c r="CY26379" s="34" t="s">
        <v>27305</v>
      </c>
      <c r="CZ26379" s="35">
        <v>1.4818496999999999E-3</v>
      </c>
    </row>
    <row r="26380" spans="103:104" x14ac:dyDescent="0.3">
      <c r="CY26380" s="34" t="s">
        <v>27306</v>
      </c>
      <c r="CZ26380" s="35">
        <v>1.0256163999999999E-3</v>
      </c>
    </row>
    <row r="26381" spans="103:104" x14ac:dyDescent="0.3">
      <c r="CY26381" s="34" t="s">
        <v>27307</v>
      </c>
      <c r="CZ26381" s="35">
        <v>5.7021040000000002E-2</v>
      </c>
    </row>
    <row r="26382" spans="103:104" x14ac:dyDescent="0.3">
      <c r="CY26382" s="34" t="s">
        <v>27308</v>
      </c>
      <c r="CZ26382" s="35">
        <v>0.114615168</v>
      </c>
    </row>
    <row r="26383" spans="103:104" x14ac:dyDescent="0.3">
      <c r="CY26383" s="34" t="s">
        <v>27309</v>
      </c>
      <c r="CZ26383" s="35">
        <v>6.1271758666666662E-2</v>
      </c>
    </row>
    <row r="26384" spans="103:104" x14ac:dyDescent="0.3">
      <c r="CY26384" s="34" t="s">
        <v>27310</v>
      </c>
      <c r="CZ26384" s="35">
        <v>0.137071056</v>
      </c>
    </row>
    <row r="26385" spans="103:104" x14ac:dyDescent="0.3">
      <c r="CY26385" s="34" t="s">
        <v>27311</v>
      </c>
      <c r="CZ26385" s="35">
        <v>6.2426068000000001E-2</v>
      </c>
    </row>
    <row r="26386" spans="103:104" x14ac:dyDescent="0.3">
      <c r="CY26386" s="34" t="s">
        <v>27312</v>
      </c>
      <c r="CZ26386" s="35">
        <v>5.6472472000000003E-2</v>
      </c>
    </row>
    <row r="26387" spans="103:104" x14ac:dyDescent="0.3">
      <c r="CY26387" s="34" t="s">
        <v>27313</v>
      </c>
      <c r="CZ26387" s="35">
        <v>6.8051063999999994E-2</v>
      </c>
    </row>
    <row r="26388" spans="103:104" x14ac:dyDescent="0.3">
      <c r="CY26388" s="34" t="s">
        <v>27314</v>
      </c>
      <c r="CZ26388" s="35">
        <v>7.9665412500000005E-2</v>
      </c>
    </row>
    <row r="26389" spans="103:104" x14ac:dyDescent="0.3">
      <c r="CY26389" s="34" t="s">
        <v>27315</v>
      </c>
      <c r="CZ26389" s="35">
        <v>0.11071267200000001</v>
      </c>
    </row>
    <row r="26390" spans="103:104" x14ac:dyDescent="0.3">
      <c r="CY26390" s="34" t="s">
        <v>27316</v>
      </c>
      <c r="CZ26390" s="35">
        <v>8.1888455555555553E-4</v>
      </c>
    </row>
    <row r="26391" spans="103:104" x14ac:dyDescent="0.3">
      <c r="CY26391" s="34" t="s">
        <v>27317</v>
      </c>
      <c r="CZ26391" s="35">
        <v>0.103608898</v>
      </c>
    </row>
    <row r="26392" spans="103:104" x14ac:dyDescent="0.3">
      <c r="CY26392" s="34" t="s">
        <v>27318</v>
      </c>
      <c r="CZ26392" s="35">
        <v>2.2430709499999999E-3</v>
      </c>
    </row>
    <row r="26393" spans="103:104" x14ac:dyDescent="0.3">
      <c r="CY26393" s="34" t="s">
        <v>27319</v>
      </c>
      <c r="CZ26393" s="35">
        <v>6.4113968000000009E-4</v>
      </c>
    </row>
    <row r="26394" spans="103:104" x14ac:dyDescent="0.3">
      <c r="CY26394" s="34" t="s">
        <v>27320</v>
      </c>
      <c r="CZ26394" s="35">
        <v>6.2367853500000002E-3</v>
      </c>
    </row>
    <row r="26395" spans="103:104" x14ac:dyDescent="0.3">
      <c r="CY26395" s="34" t="s">
        <v>27321</v>
      </c>
      <c r="CZ26395" s="35">
        <v>6.1450179999999999E-4</v>
      </c>
    </row>
    <row r="26396" spans="103:104" x14ac:dyDescent="0.3">
      <c r="CY26396" s="34" t="s">
        <v>27322</v>
      </c>
      <c r="CZ26396" s="35">
        <v>1.0969713999999999E-3</v>
      </c>
    </row>
    <row r="26397" spans="103:104" x14ac:dyDescent="0.3">
      <c r="CY26397" s="34" t="s">
        <v>27323</v>
      </c>
      <c r="CZ26397" s="35">
        <v>2.5585724E-3</v>
      </c>
    </row>
    <row r="26398" spans="103:104" x14ac:dyDescent="0.3">
      <c r="CY26398" s="34" t="s">
        <v>27324</v>
      </c>
      <c r="CZ26398" s="35">
        <v>9.2914400000000008E-2</v>
      </c>
    </row>
    <row r="26399" spans="103:104" x14ac:dyDescent="0.3">
      <c r="CY26399" s="34" t="s">
        <v>27325</v>
      </c>
      <c r="CZ26399" s="35">
        <v>5.6778140571428579E-3</v>
      </c>
    </row>
    <row r="26400" spans="103:104" x14ac:dyDescent="0.3">
      <c r="CY26400" s="34" t="s">
        <v>27326</v>
      </c>
      <c r="CZ26400" s="35">
        <v>4.5569790285714283E-3</v>
      </c>
    </row>
    <row r="26401" spans="103:104" x14ac:dyDescent="0.3">
      <c r="CY26401" s="34" t="s">
        <v>27327</v>
      </c>
      <c r="CZ26401" s="35">
        <v>1.9734633599999999E-2</v>
      </c>
    </row>
    <row r="26402" spans="103:104" x14ac:dyDescent="0.3">
      <c r="CY26402" s="34" t="s">
        <v>27328</v>
      </c>
      <c r="CZ26402" s="35">
        <v>2.3080850709677418E-3</v>
      </c>
    </row>
    <row r="26403" spans="103:104" x14ac:dyDescent="0.3">
      <c r="CY26403" s="34" t="s">
        <v>27329</v>
      </c>
      <c r="CZ26403" s="35">
        <v>72.184925280000002</v>
      </c>
    </row>
    <row r="26404" spans="103:104" x14ac:dyDescent="0.3">
      <c r="CY26404" s="34" t="s">
        <v>27330</v>
      </c>
      <c r="CZ26404" s="35">
        <v>0.17662528</v>
      </c>
    </row>
    <row r="26405" spans="103:104" x14ac:dyDescent="0.3">
      <c r="CY26405" s="34" t="s">
        <v>27331</v>
      </c>
      <c r="CZ26405" s="35">
        <v>0.22583250667999999</v>
      </c>
    </row>
    <row r="26406" spans="103:104" x14ac:dyDescent="0.3">
      <c r="CY26406" s="34" t="s">
        <v>27332</v>
      </c>
      <c r="CZ26406" s="35">
        <v>0.21891584</v>
      </c>
    </row>
    <row r="26407" spans="103:104" x14ac:dyDescent="0.3">
      <c r="CY26407" s="34" t="s">
        <v>27333</v>
      </c>
      <c r="CZ26407" s="35">
        <v>2.5866686E-2</v>
      </c>
    </row>
    <row r="26408" spans="103:104" x14ac:dyDescent="0.3">
      <c r="CY26408" s="34" t="s">
        <v>27334</v>
      </c>
      <c r="CZ26408" s="35">
        <v>2.2108736E-2</v>
      </c>
    </row>
    <row r="26409" spans="103:104" x14ac:dyDescent="0.3">
      <c r="CY26409" s="34" t="s">
        <v>27335</v>
      </c>
      <c r="CZ26409" s="35">
        <v>5.4615779999999996E-2</v>
      </c>
    </row>
    <row r="26410" spans="103:104" x14ac:dyDescent="0.3">
      <c r="CY26410" s="34" t="s">
        <v>27336</v>
      </c>
      <c r="CZ26410" s="35">
        <v>1.6387742834285714E-2</v>
      </c>
    </row>
    <row r="26411" spans="103:104" x14ac:dyDescent="0.3">
      <c r="CY26411" s="34" t="s">
        <v>27337</v>
      </c>
      <c r="CZ26411" s="35">
        <v>1.6387742786666666E-2</v>
      </c>
    </row>
    <row r="26412" spans="103:104" x14ac:dyDescent="0.3">
      <c r="CY26412" s="34" t="s">
        <v>27338</v>
      </c>
      <c r="CZ26412" s="35">
        <v>6.0918912000000006E-2</v>
      </c>
    </row>
    <row r="26413" spans="103:104" x14ac:dyDescent="0.3">
      <c r="CY26413" s="34" t="s">
        <v>27339</v>
      </c>
      <c r="CZ26413" s="35">
        <v>0.42171695133333326</v>
      </c>
    </row>
    <row r="26414" spans="103:104" x14ac:dyDescent="0.3">
      <c r="CY26414" s="34" t="s">
        <v>27340</v>
      </c>
      <c r="CZ26414" s="35">
        <v>8.7495719999999995E-4</v>
      </c>
    </row>
    <row r="26415" spans="103:104" x14ac:dyDescent="0.3">
      <c r="CY26415" s="34" t="s">
        <v>27341</v>
      </c>
      <c r="CZ26415" s="35">
        <v>6.3338819999999999E-4</v>
      </c>
    </row>
    <row r="26416" spans="103:104" x14ac:dyDescent="0.3">
      <c r="CY26416" s="34" t="s">
        <v>27342</v>
      </c>
      <c r="CZ26416" s="35">
        <v>6.475878E-3</v>
      </c>
    </row>
    <row r="26417" spans="103:104" x14ac:dyDescent="0.3">
      <c r="CY26417" s="34" t="s">
        <v>27343</v>
      </c>
      <c r="CZ26417" s="35">
        <v>0.58265704000000007</v>
      </c>
    </row>
    <row r="26418" spans="103:104" x14ac:dyDescent="0.3">
      <c r="CY26418" s="34" t="s">
        <v>27344</v>
      </c>
      <c r="CZ26418" s="35">
        <v>1.882E-3</v>
      </c>
    </row>
    <row r="26419" spans="103:104" x14ac:dyDescent="0.3">
      <c r="CY26419" s="34" t="s">
        <v>27345</v>
      </c>
      <c r="CZ26419" s="35">
        <v>2.3459999999999999E-5</v>
      </c>
    </row>
    <row r="26420" spans="103:104" x14ac:dyDescent="0.3">
      <c r="CY26420" s="34" t="s">
        <v>27346</v>
      </c>
      <c r="CZ26420" s="35">
        <v>4.5617049199999996E-3</v>
      </c>
    </row>
    <row r="26421" spans="103:104" x14ac:dyDescent="0.3">
      <c r="CY26421" s="34" t="s">
        <v>27347</v>
      </c>
      <c r="CZ26421" s="35">
        <v>1.689738371681416E-3</v>
      </c>
    </row>
    <row r="26422" spans="103:104" x14ac:dyDescent="0.3">
      <c r="CY26422" s="34" t="s">
        <v>27348</v>
      </c>
      <c r="CZ26422" s="35">
        <v>9.9514757894736839E-3</v>
      </c>
    </row>
    <row r="26423" spans="103:104" x14ac:dyDescent="0.3">
      <c r="CY26423" s="34" t="s">
        <v>27349</v>
      </c>
      <c r="CZ26423" s="35">
        <v>3.802894884210526E-2</v>
      </c>
    </row>
    <row r="26424" spans="103:104" x14ac:dyDescent="0.3">
      <c r="CY26424" s="34" t="s">
        <v>27350</v>
      </c>
      <c r="CZ26424" s="35">
        <v>2.964224213333333E-2</v>
      </c>
    </row>
    <row r="26425" spans="103:104" x14ac:dyDescent="0.3">
      <c r="CY26425" s="34" t="s">
        <v>27351</v>
      </c>
      <c r="CZ26425" s="35">
        <v>0.11349821799999998</v>
      </c>
    </row>
    <row r="26426" spans="103:104" x14ac:dyDescent="0.3">
      <c r="CY26426" s="34" t="s">
        <v>27352</v>
      </c>
      <c r="CZ26426" s="35">
        <v>0.11715871600000001</v>
      </c>
    </row>
    <row r="26427" spans="103:104" x14ac:dyDescent="0.3">
      <c r="CY26427" s="34" t="s">
        <v>27353</v>
      </c>
      <c r="CZ26427" s="35">
        <v>5.0680846735395191E-2</v>
      </c>
    </row>
    <row r="26428" spans="103:104" x14ac:dyDescent="0.3">
      <c r="CY26428" s="34" t="s">
        <v>27354</v>
      </c>
      <c r="CZ26428" s="35">
        <v>3.0751284948453611E-2</v>
      </c>
    </row>
    <row r="26429" spans="103:104" x14ac:dyDescent="0.3">
      <c r="CY26429" s="34" t="s">
        <v>27355</v>
      </c>
      <c r="CZ26429" s="35">
        <v>0.126733768</v>
      </c>
    </row>
    <row r="26430" spans="103:104" x14ac:dyDescent="0.3">
      <c r="CY26430" s="34" t="s">
        <v>27356</v>
      </c>
      <c r="CZ26430" s="35">
        <v>0.16789348210526317</v>
      </c>
    </row>
    <row r="26431" spans="103:104" x14ac:dyDescent="0.3">
      <c r="CY26431" s="34" t="s">
        <v>27357</v>
      </c>
      <c r="CZ26431" s="35">
        <v>3.4731500000000004E-3</v>
      </c>
    </row>
    <row r="26432" spans="103:104" x14ac:dyDescent="0.3">
      <c r="CY26432" s="34" t="s">
        <v>27358</v>
      </c>
      <c r="CZ26432" s="35">
        <v>3.9647261999999996E-2</v>
      </c>
    </row>
    <row r="26433" spans="103:104" x14ac:dyDescent="0.3">
      <c r="CY26433" s="34" t="s">
        <v>27359</v>
      </c>
      <c r="CZ26433" s="35">
        <v>2.6519368000000004E-3</v>
      </c>
    </row>
    <row r="26434" spans="103:104" x14ac:dyDescent="0.3">
      <c r="CY26434" s="34" t="s">
        <v>27360</v>
      </c>
      <c r="CZ26434" s="35">
        <v>2.6519368000000004E-3</v>
      </c>
    </row>
    <row r="26435" spans="103:104" x14ac:dyDescent="0.3">
      <c r="CY26435" s="34" t="s">
        <v>27361</v>
      </c>
      <c r="CZ26435" s="35">
        <v>3.1739368000000007E-3</v>
      </c>
    </row>
    <row r="26436" spans="103:104" x14ac:dyDescent="0.3">
      <c r="CY26436" s="34" t="s">
        <v>27362</v>
      </c>
      <c r="CZ26436" s="35">
        <v>3.3311156869999998E-3</v>
      </c>
    </row>
    <row r="26437" spans="103:104" x14ac:dyDescent="0.3">
      <c r="CY26437" s="34" t="s">
        <v>27363</v>
      </c>
      <c r="CZ26437" s="35">
        <v>5.0795840000000001E-4</v>
      </c>
    </row>
    <row r="26438" spans="103:104" x14ac:dyDescent="0.3">
      <c r="CY26438" s="34" t="s">
        <v>27364</v>
      </c>
      <c r="CZ26438" s="35">
        <v>0.193136056</v>
      </c>
    </row>
    <row r="26439" spans="103:104" x14ac:dyDescent="0.3">
      <c r="CY26439" s="34" t="s">
        <v>27365</v>
      </c>
      <c r="CZ26439" s="35">
        <v>1.3607016E-2</v>
      </c>
    </row>
    <row r="26440" spans="103:104" x14ac:dyDescent="0.3">
      <c r="CY26440" s="34" t="s">
        <v>27366</v>
      </c>
      <c r="CZ26440" s="35">
        <v>8.9639949999999982E-2</v>
      </c>
    </row>
    <row r="26441" spans="103:104" x14ac:dyDescent="0.3">
      <c r="CY26441" s="34" t="s">
        <v>27367</v>
      </c>
      <c r="CZ26441" s="35">
        <v>1.6373151999999999E-3</v>
      </c>
    </row>
    <row r="26442" spans="103:104" x14ac:dyDescent="0.3">
      <c r="CY26442" s="34" t="s">
        <v>27368</v>
      </c>
      <c r="CZ26442" s="35">
        <v>2.4691280000000001E-3</v>
      </c>
    </row>
    <row r="26443" spans="103:104" x14ac:dyDescent="0.3">
      <c r="CY26443" s="34" t="s">
        <v>27369</v>
      </c>
      <c r="CZ26443" s="35">
        <v>1.7468271999999999E-3</v>
      </c>
    </row>
    <row r="26444" spans="103:104" x14ac:dyDescent="0.3">
      <c r="CY26444" s="34" t="s">
        <v>27370</v>
      </c>
      <c r="CZ26444" s="35">
        <v>1.8552938666666666E-3</v>
      </c>
    </row>
    <row r="26445" spans="103:104" x14ac:dyDescent="0.3">
      <c r="CY26445" s="34" t="s">
        <v>27371</v>
      </c>
      <c r="CZ26445" s="35">
        <v>1.5165807999999999E-2</v>
      </c>
    </row>
    <row r="26446" spans="103:104" x14ac:dyDescent="0.3">
      <c r="CY26446" s="34" t="s">
        <v>27372</v>
      </c>
      <c r="CZ26446" s="35">
        <v>3.4766999999999997E-3</v>
      </c>
    </row>
    <row r="26447" spans="103:104" x14ac:dyDescent="0.3">
      <c r="CY26447" s="34" t="s">
        <v>27373</v>
      </c>
      <c r="CZ26447" s="35">
        <v>3.5199680000000001E-3</v>
      </c>
    </row>
    <row r="26448" spans="103:104" x14ac:dyDescent="0.3">
      <c r="CY26448" s="34" t="s">
        <v>27374</v>
      </c>
      <c r="CZ26448" s="35">
        <v>2.2767320000000001E-3</v>
      </c>
    </row>
    <row r="26449" spans="103:104" x14ac:dyDescent="0.3">
      <c r="CY26449" s="34" t="s">
        <v>27375</v>
      </c>
      <c r="CZ26449" s="35">
        <v>2.0192853199999999E-2</v>
      </c>
    </row>
    <row r="26450" spans="103:104" x14ac:dyDescent="0.3">
      <c r="CY26450" s="34" t="s">
        <v>27376</v>
      </c>
      <c r="CZ26450" s="35">
        <v>4.0522315999999992E-3</v>
      </c>
    </row>
    <row r="26451" spans="103:104" x14ac:dyDescent="0.3">
      <c r="CY26451" s="34" t="s">
        <v>27377</v>
      </c>
      <c r="CZ26451" s="35">
        <v>2.6939439999999998E-3</v>
      </c>
    </row>
    <row r="26452" spans="103:104" x14ac:dyDescent="0.3">
      <c r="CY26452" s="34" t="s">
        <v>27378</v>
      </c>
      <c r="CZ26452" s="35">
        <v>1.2518043999999999E-3</v>
      </c>
    </row>
    <row r="26453" spans="103:104" x14ac:dyDescent="0.3">
      <c r="CY26453" s="34" t="s">
        <v>27379</v>
      </c>
      <c r="CZ26453" s="35">
        <v>6.37070705882353E-3</v>
      </c>
    </row>
    <row r="26454" spans="103:104" x14ac:dyDescent="0.3">
      <c r="CY26454" s="34" t="s">
        <v>27380</v>
      </c>
      <c r="CZ26454" s="35">
        <v>3.9858689916405432E-3</v>
      </c>
    </row>
    <row r="26455" spans="103:104" x14ac:dyDescent="0.3">
      <c r="CY26455" s="34" t="s">
        <v>27381</v>
      </c>
      <c r="CZ26455" s="35">
        <v>4.0224488648648651E-3</v>
      </c>
    </row>
    <row r="26456" spans="103:104" x14ac:dyDescent="0.3">
      <c r="CY26456" s="34" t="s">
        <v>27382</v>
      </c>
      <c r="CZ26456" s="35">
        <v>4.0224488648648643E-3</v>
      </c>
    </row>
    <row r="26457" spans="103:104" x14ac:dyDescent="0.3">
      <c r="CY26457" s="34" t="s">
        <v>27383</v>
      </c>
      <c r="CZ26457" s="35">
        <v>2.423314106583072E-3</v>
      </c>
    </row>
    <row r="26458" spans="103:104" x14ac:dyDescent="0.3">
      <c r="CY26458" s="34" t="s">
        <v>27384</v>
      </c>
      <c r="CZ26458" s="35">
        <v>8.2367188888888884E-3</v>
      </c>
    </row>
    <row r="26459" spans="103:104" x14ac:dyDescent="0.3">
      <c r="CY26459" s="34" t="s">
        <v>27385</v>
      </c>
      <c r="CZ26459" s="35">
        <v>6.5149951999999997E-2</v>
      </c>
    </row>
    <row r="26460" spans="103:104" x14ac:dyDescent="0.3">
      <c r="CY26460" s="34" t="s">
        <v>27386</v>
      </c>
      <c r="CZ26460" s="35">
        <v>2.11883304E-2</v>
      </c>
    </row>
    <row r="26461" spans="103:104" x14ac:dyDescent="0.3">
      <c r="CY26461" s="34" t="s">
        <v>27387</v>
      </c>
      <c r="CZ26461" s="35">
        <v>2.64246528E-2</v>
      </c>
    </row>
    <row r="26462" spans="103:104" x14ac:dyDescent="0.3">
      <c r="CY26462" s="34" t="s">
        <v>27388</v>
      </c>
      <c r="CZ26462" s="35">
        <v>2.0900768800000004E-2</v>
      </c>
    </row>
    <row r="26463" spans="103:104" x14ac:dyDescent="0.3">
      <c r="CY26463" s="34" t="s">
        <v>27389</v>
      </c>
      <c r="CZ26463" s="35">
        <v>3.6766E-2</v>
      </c>
    </row>
    <row r="26464" spans="103:104" x14ac:dyDescent="0.3">
      <c r="CY26464" s="34" t="s">
        <v>27390</v>
      </c>
      <c r="CZ26464" s="35">
        <v>3.3725704685714286E-2</v>
      </c>
    </row>
    <row r="26465" spans="103:104" x14ac:dyDescent="0.3">
      <c r="CY26465" s="34" t="s">
        <v>27391</v>
      </c>
      <c r="CZ26465" s="35">
        <v>2.48367756E-2</v>
      </c>
    </row>
    <row r="26466" spans="103:104" x14ac:dyDescent="0.3">
      <c r="CY26466" s="34" t="s">
        <v>27392</v>
      </c>
      <c r="CZ26466" s="35">
        <v>6.6956039999999994E-2</v>
      </c>
    </row>
    <row r="26467" spans="103:104" x14ac:dyDescent="0.3">
      <c r="CY26467" s="34" t="s">
        <v>27393</v>
      </c>
      <c r="CZ26467" s="35">
        <v>0.98192300200000004</v>
      </c>
    </row>
    <row r="26468" spans="103:104" x14ac:dyDescent="0.3">
      <c r="CY26468" s="34" t="s">
        <v>27394</v>
      </c>
      <c r="CZ26468" s="35">
        <v>0.10284488800000001</v>
      </c>
    </row>
    <row r="26469" spans="103:104" x14ac:dyDescent="0.3">
      <c r="CY26469" s="34" t="s">
        <v>27395</v>
      </c>
      <c r="CZ26469" s="35">
        <v>0.33020803199999998</v>
      </c>
    </row>
    <row r="26470" spans="103:104" x14ac:dyDescent="0.3">
      <c r="CY26470" s="34" t="s">
        <v>27396</v>
      </c>
      <c r="CZ26470" s="35">
        <v>0.26164503200000006</v>
      </c>
    </row>
    <row r="26471" spans="103:104" x14ac:dyDescent="0.3">
      <c r="CY26471" s="34" t="s">
        <v>27397</v>
      </c>
      <c r="CZ26471" s="35">
        <v>0.29283192799999996</v>
      </c>
    </row>
    <row r="26472" spans="103:104" x14ac:dyDescent="0.3">
      <c r="CY26472" s="34" t="s">
        <v>27398</v>
      </c>
      <c r="CZ26472" s="35">
        <v>0.294698664</v>
      </c>
    </row>
    <row r="26473" spans="103:104" x14ac:dyDescent="0.3">
      <c r="CY26473" s="34" t="s">
        <v>27399</v>
      </c>
      <c r="CZ26473" s="35">
        <v>0.19601433999999998</v>
      </c>
    </row>
    <row r="26474" spans="103:104" x14ac:dyDescent="0.3">
      <c r="CY26474" s="34" t="s">
        <v>27400</v>
      </c>
      <c r="CZ26474" s="35">
        <v>5.94E-3</v>
      </c>
    </row>
    <row r="26475" spans="103:104" x14ac:dyDescent="0.3">
      <c r="CY26475" s="34" t="s">
        <v>27401</v>
      </c>
      <c r="CZ26475" s="35">
        <v>3.5827733333333332E-3</v>
      </c>
    </row>
    <row r="26476" spans="103:104" x14ac:dyDescent="0.3">
      <c r="CY26476" s="34" t="s">
        <v>27402</v>
      </c>
      <c r="CZ26476" s="35">
        <v>6.6174559999999999E-3</v>
      </c>
    </row>
    <row r="26477" spans="103:104" x14ac:dyDescent="0.3">
      <c r="CY26477" s="34" t="s">
        <v>27403</v>
      </c>
      <c r="CZ26477" s="35">
        <v>1.0705658E-2</v>
      </c>
    </row>
    <row r="26478" spans="103:104" x14ac:dyDescent="0.3">
      <c r="CY26478" s="34" t="s">
        <v>27404</v>
      </c>
      <c r="CZ26478" s="35">
        <v>4.7016733000000005E-3</v>
      </c>
    </row>
    <row r="26479" spans="103:104" x14ac:dyDescent="0.3">
      <c r="CY26479" s="34" t="s">
        <v>27405</v>
      </c>
      <c r="CZ26479" s="35">
        <v>2.0622879999999998E-3</v>
      </c>
    </row>
    <row r="26480" spans="103:104" x14ac:dyDescent="0.3">
      <c r="CY26480" s="34" t="s">
        <v>27406</v>
      </c>
      <c r="CZ26480" s="35">
        <v>9.4918729999999996E-3</v>
      </c>
    </row>
    <row r="26481" spans="103:104" x14ac:dyDescent="0.3">
      <c r="CY26481" s="34" t="s">
        <v>27407</v>
      </c>
      <c r="CZ26481" s="35">
        <v>1.8794885000000001E-2</v>
      </c>
    </row>
    <row r="26482" spans="103:104" x14ac:dyDescent="0.3">
      <c r="CY26482" s="34" t="s">
        <v>27408</v>
      </c>
      <c r="CZ26482" s="35">
        <v>8.5456168000000013E-2</v>
      </c>
    </row>
    <row r="26483" spans="103:104" x14ac:dyDescent="0.3">
      <c r="CY26483" s="34" t="s">
        <v>27409</v>
      </c>
      <c r="CZ26483" s="35">
        <v>9.2441621000000002E-2</v>
      </c>
    </row>
    <row r="26484" spans="103:104" x14ac:dyDescent="0.3">
      <c r="CY26484" s="34" t="s">
        <v>27410</v>
      </c>
      <c r="CZ26484" s="35">
        <v>1.6394202667</v>
      </c>
    </row>
    <row r="26485" spans="103:104" x14ac:dyDescent="0.3">
      <c r="CY26485" s="34" t="s">
        <v>27411</v>
      </c>
      <c r="CZ26485" s="35">
        <v>3.4967700000000002E-3</v>
      </c>
    </row>
    <row r="26486" spans="103:104" x14ac:dyDescent="0.3">
      <c r="CY26486" s="34" t="s">
        <v>27412</v>
      </c>
      <c r="CZ26486" s="35">
        <v>1.5742999999999998E-3</v>
      </c>
    </row>
    <row r="26487" spans="103:104" x14ac:dyDescent="0.3">
      <c r="CY26487" s="34" t="s">
        <v>27413</v>
      </c>
      <c r="CZ26487" s="35">
        <v>8.5030700000000015E-3</v>
      </c>
    </row>
    <row r="26488" spans="103:104" x14ac:dyDescent="0.3">
      <c r="CY26488" s="34" t="s">
        <v>27414</v>
      </c>
      <c r="CZ26488" s="35">
        <v>2.705633E-2</v>
      </c>
    </row>
    <row r="26489" spans="103:104" x14ac:dyDescent="0.3">
      <c r="CY26489" s="34" t="s">
        <v>27415</v>
      </c>
      <c r="CZ26489" s="35">
        <v>3.0072330000000002E-3</v>
      </c>
    </row>
    <row r="26490" spans="103:104" x14ac:dyDescent="0.3">
      <c r="CY26490" s="34" t="s">
        <v>27416</v>
      </c>
      <c r="CZ26490" s="35">
        <v>1.4400796E-2</v>
      </c>
    </row>
    <row r="26491" spans="103:104" x14ac:dyDescent="0.3">
      <c r="CY26491" s="34" t="s">
        <v>27417</v>
      </c>
      <c r="CZ26491" s="35">
        <v>1.377505E-2</v>
      </c>
    </row>
    <row r="26492" spans="103:104" x14ac:dyDescent="0.3">
      <c r="CY26492" s="34" t="s">
        <v>27418</v>
      </c>
      <c r="CZ26492" s="35">
        <v>1.333289E-2</v>
      </c>
    </row>
    <row r="26493" spans="103:104" x14ac:dyDescent="0.3">
      <c r="CY26493" s="34" t="s">
        <v>27419</v>
      </c>
      <c r="CZ26493" s="35">
        <v>1.377505E-2</v>
      </c>
    </row>
    <row r="26494" spans="103:104" x14ac:dyDescent="0.3">
      <c r="CY26494" s="34" t="s">
        <v>27420</v>
      </c>
      <c r="CZ26494" s="35">
        <v>8.5175299999999989E-3</v>
      </c>
    </row>
    <row r="26495" spans="103:104" x14ac:dyDescent="0.3">
      <c r="CY26495" s="34" t="s">
        <v>27421</v>
      </c>
      <c r="CZ26495" s="35">
        <v>1.6704113684210525E-2</v>
      </c>
    </row>
    <row r="26496" spans="103:104" x14ac:dyDescent="0.3">
      <c r="CY26496" s="34" t="s">
        <v>27422</v>
      </c>
      <c r="CZ26496" s="35">
        <v>2.024798E-3</v>
      </c>
    </row>
    <row r="26497" spans="103:104" x14ac:dyDescent="0.3">
      <c r="CY26497" s="34" t="s">
        <v>27423</v>
      </c>
      <c r="CZ26497" s="35">
        <v>6.1323656000000004E-2</v>
      </c>
    </row>
    <row r="26498" spans="103:104" x14ac:dyDescent="0.3">
      <c r="CY26498" s="34" t="s">
        <v>27424</v>
      </c>
      <c r="CZ26498" s="35">
        <v>2.8949559999999999E-2</v>
      </c>
    </row>
    <row r="26499" spans="103:104" x14ac:dyDescent="0.3">
      <c r="CY26499" s="34" t="s">
        <v>27425</v>
      </c>
      <c r="CZ26499" s="35">
        <v>7.0402312000000002E-3</v>
      </c>
    </row>
    <row r="26500" spans="103:104" x14ac:dyDescent="0.3">
      <c r="CY26500" s="34" t="s">
        <v>27426</v>
      </c>
      <c r="CZ26500" s="35">
        <v>0.10383773399999999</v>
      </c>
    </row>
    <row r="26501" spans="103:104" x14ac:dyDescent="0.3">
      <c r="CY26501" s="34" t="s">
        <v>27427</v>
      </c>
      <c r="CZ26501" s="35">
        <v>1.2758965000000003E-3</v>
      </c>
    </row>
    <row r="26502" spans="103:104" x14ac:dyDescent="0.3">
      <c r="CY26502" s="34" t="s">
        <v>27428</v>
      </c>
      <c r="CZ26502" s="35">
        <v>1.0955892000000002E-3</v>
      </c>
    </row>
    <row r="26503" spans="103:104" x14ac:dyDescent="0.3">
      <c r="CY26503" s="34" t="s">
        <v>27429</v>
      </c>
      <c r="CZ26503" s="35">
        <v>2.9966520000000003E-4</v>
      </c>
    </row>
    <row r="26504" spans="103:104" x14ac:dyDescent="0.3">
      <c r="CY26504" s="34" t="s">
        <v>27430</v>
      </c>
      <c r="CZ26504" s="35">
        <v>1.0837652173913044E-3</v>
      </c>
    </row>
    <row r="26505" spans="103:104" x14ac:dyDescent="0.3">
      <c r="CY26505" s="34" t="s">
        <v>27431</v>
      </c>
      <c r="CZ26505" s="35">
        <v>1.1383352000000002E-3</v>
      </c>
    </row>
    <row r="26506" spans="103:104" x14ac:dyDescent="0.3">
      <c r="CY26506" s="34" t="s">
        <v>27432</v>
      </c>
      <c r="CZ26506" s="35">
        <v>4.6387163999999997E-4</v>
      </c>
    </row>
    <row r="26507" spans="103:104" x14ac:dyDescent="0.3">
      <c r="CY26507" s="34" t="s">
        <v>27433</v>
      </c>
      <c r="CZ26507" s="35">
        <v>0.40200779999999997</v>
      </c>
    </row>
    <row r="26508" spans="103:104" x14ac:dyDescent="0.3">
      <c r="CY26508" s="34" t="s">
        <v>27434</v>
      </c>
      <c r="CZ26508" s="35">
        <v>2.7837633882352936E-3</v>
      </c>
    </row>
    <row r="26509" spans="103:104" x14ac:dyDescent="0.3">
      <c r="CY26509" s="34" t="s">
        <v>27435</v>
      </c>
      <c r="CZ26509" s="35">
        <v>3.7664122352941182E-3</v>
      </c>
    </row>
    <row r="26510" spans="103:104" x14ac:dyDescent="0.3">
      <c r="CY26510" s="34" t="s">
        <v>27436</v>
      </c>
      <c r="CZ26510" s="35">
        <v>0.19147600000000004</v>
      </c>
    </row>
    <row r="26511" spans="103:104" x14ac:dyDescent="0.3">
      <c r="CY26511" s="34" t="s">
        <v>27437</v>
      </c>
      <c r="CZ26511" s="35">
        <v>0.19147600000000004</v>
      </c>
    </row>
    <row r="26512" spans="103:104" x14ac:dyDescent="0.3">
      <c r="CY26512" s="34" t="s">
        <v>27438</v>
      </c>
      <c r="CZ26512" s="35">
        <v>9.244724E-2</v>
      </c>
    </row>
    <row r="26513" spans="103:104" x14ac:dyDescent="0.3">
      <c r="CY26513" s="34" t="s">
        <v>27439</v>
      </c>
      <c r="CZ26513" s="35">
        <v>7.29755074E-2</v>
      </c>
    </row>
    <row r="26514" spans="103:104" x14ac:dyDescent="0.3">
      <c r="CY26514" s="34" t="s">
        <v>27440</v>
      </c>
      <c r="CZ26514" s="35">
        <v>3.7784131999999998E-2</v>
      </c>
    </row>
    <row r="26515" spans="103:104" x14ac:dyDescent="0.3">
      <c r="CY26515" s="34" t="s">
        <v>27441</v>
      </c>
      <c r="CZ26515" s="35">
        <v>0.10617122599999999</v>
      </c>
    </row>
    <row r="26516" spans="103:104" x14ac:dyDescent="0.3">
      <c r="CY26516" s="34" t="s">
        <v>27442</v>
      </c>
      <c r="CZ26516" s="35">
        <v>3.0552702900000003E-3</v>
      </c>
    </row>
    <row r="26517" spans="103:104" x14ac:dyDescent="0.3">
      <c r="CY26517" s="34" t="s">
        <v>27443</v>
      </c>
      <c r="CZ26517" s="35">
        <v>3.9692452699999999E-2</v>
      </c>
    </row>
    <row r="26518" spans="103:104" x14ac:dyDescent="0.3">
      <c r="CY26518" s="34" t="s">
        <v>27444</v>
      </c>
      <c r="CZ26518" s="35">
        <v>0.34028999999999998</v>
      </c>
    </row>
    <row r="26519" spans="103:104" x14ac:dyDescent="0.3">
      <c r="CY26519" s="34" t="s">
        <v>27445</v>
      </c>
      <c r="CZ26519" s="35">
        <v>2.0820579333333332E-2</v>
      </c>
    </row>
    <row r="26520" spans="103:104" x14ac:dyDescent="0.3">
      <c r="CY26520" s="34" t="s">
        <v>27446</v>
      </c>
      <c r="CZ26520" s="35">
        <v>3.8601875999999999E-3</v>
      </c>
    </row>
    <row r="26521" spans="103:104" x14ac:dyDescent="0.3">
      <c r="CY26521" s="34" t="s">
        <v>27447</v>
      </c>
      <c r="CZ26521" s="35">
        <v>6.5671888000000001E-3</v>
      </c>
    </row>
    <row r="26522" spans="103:104" x14ac:dyDescent="0.3">
      <c r="CY26522" s="34" t="s">
        <v>27448</v>
      </c>
      <c r="CZ26522" s="35">
        <v>5.5955462400000003E-2</v>
      </c>
    </row>
    <row r="26523" spans="103:104" x14ac:dyDescent="0.3">
      <c r="CY26523" s="34" t="s">
        <v>27449</v>
      </c>
      <c r="CZ26523" s="35">
        <v>4.8407188705882349E-2</v>
      </c>
    </row>
    <row r="26524" spans="103:104" x14ac:dyDescent="0.3">
      <c r="CY26524" s="34" t="s">
        <v>27450</v>
      </c>
      <c r="CZ26524" s="35">
        <v>5.5358859999999996E-2</v>
      </c>
    </row>
    <row r="26525" spans="103:104" x14ac:dyDescent="0.3">
      <c r="CY26525" s="34" t="s">
        <v>27451</v>
      </c>
      <c r="CZ26525" s="35">
        <v>3.2871440000000001E-3</v>
      </c>
    </row>
    <row r="26526" spans="103:104" x14ac:dyDescent="0.3">
      <c r="CY26526" s="34" t="s">
        <v>27452</v>
      </c>
      <c r="CZ26526" s="35">
        <v>2.9748985000000003E-3</v>
      </c>
    </row>
    <row r="26527" spans="103:104" x14ac:dyDescent="0.3">
      <c r="CY26527" s="34" t="s">
        <v>27453</v>
      </c>
      <c r="CZ26527" s="35">
        <v>2.5272640000000004E-3</v>
      </c>
    </row>
    <row r="26528" spans="103:104" x14ac:dyDescent="0.3">
      <c r="CY26528" s="34" t="s">
        <v>27454</v>
      </c>
      <c r="CZ26528" s="35">
        <v>9.7341716999999987E-3</v>
      </c>
    </row>
    <row r="26529" spans="103:104" x14ac:dyDescent="0.3">
      <c r="CY26529" s="34" t="s">
        <v>27455</v>
      </c>
      <c r="CZ26529" s="35">
        <v>3.0581550365000001E-2</v>
      </c>
    </row>
    <row r="26530" spans="103:104" x14ac:dyDescent="0.3">
      <c r="CY26530" s="34" t="s">
        <v>27456</v>
      </c>
      <c r="CZ26530" s="35">
        <v>6.4265920000000001E-3</v>
      </c>
    </row>
    <row r="26531" spans="103:104" x14ac:dyDescent="0.3">
      <c r="CY26531" s="34" t="s">
        <v>27457</v>
      </c>
      <c r="CZ26531" s="35">
        <v>1.1894444000000002E-2</v>
      </c>
    </row>
    <row r="26532" spans="103:104" x14ac:dyDescent="0.3">
      <c r="CY26532" s="34" t="s">
        <v>27458</v>
      </c>
      <c r="CZ26532" s="35">
        <v>8.936686000000001E-3</v>
      </c>
    </row>
    <row r="26533" spans="103:104" x14ac:dyDescent="0.3">
      <c r="CY26533" s="34" t="s">
        <v>27459</v>
      </c>
      <c r="CZ26533" s="35">
        <v>8.905734000000002E-3</v>
      </c>
    </row>
    <row r="26534" spans="103:104" x14ac:dyDescent="0.3">
      <c r="CY26534" s="34" t="s">
        <v>27460</v>
      </c>
      <c r="CZ26534" s="35">
        <v>4.4322386666666661E-3</v>
      </c>
    </row>
    <row r="26535" spans="103:104" x14ac:dyDescent="0.3">
      <c r="CY26535" s="34" t="s">
        <v>27461</v>
      </c>
      <c r="CZ26535" s="35">
        <v>7.8169020000000006E-3</v>
      </c>
    </row>
    <row r="26536" spans="103:104" x14ac:dyDescent="0.3">
      <c r="CY26536" s="34" t="s">
        <v>27462</v>
      </c>
      <c r="CZ26536" s="35">
        <v>1.1894444000000001E-2</v>
      </c>
    </row>
    <row r="26537" spans="103:104" x14ac:dyDescent="0.3">
      <c r="CY26537" s="34" t="s">
        <v>27463</v>
      </c>
      <c r="CZ26537" s="35">
        <v>5.205021071428572E-3</v>
      </c>
    </row>
    <row r="26538" spans="103:104" x14ac:dyDescent="0.3">
      <c r="CY26538" s="34" t="s">
        <v>27464</v>
      </c>
      <c r="CZ26538" s="35">
        <v>0.11968191852</v>
      </c>
    </row>
    <row r="26539" spans="103:104" x14ac:dyDescent="0.3">
      <c r="CY26539" s="34" t="s">
        <v>27465</v>
      </c>
      <c r="CZ26539" s="35">
        <v>0.11616285599999999</v>
      </c>
    </row>
    <row r="26540" spans="103:104" x14ac:dyDescent="0.3">
      <c r="CY26540" s="34" t="s">
        <v>27466</v>
      </c>
      <c r="CZ26540" s="35">
        <v>0.17590375700000002</v>
      </c>
    </row>
    <row r="26541" spans="103:104" x14ac:dyDescent="0.3">
      <c r="CY26541" s="34" t="s">
        <v>27467</v>
      </c>
      <c r="CZ26541" s="35">
        <v>0.16886563200000002</v>
      </c>
    </row>
    <row r="26542" spans="103:104" x14ac:dyDescent="0.3">
      <c r="CY26542" s="34" t="s">
        <v>27468</v>
      </c>
      <c r="CZ26542" s="35">
        <v>2.1261738571428573E-2</v>
      </c>
    </row>
    <row r="26543" spans="103:104" x14ac:dyDescent="0.3">
      <c r="CY26543" s="34" t="s">
        <v>27469</v>
      </c>
      <c r="CZ26543" s="35">
        <v>6.1482850000000006E-2</v>
      </c>
    </row>
    <row r="26544" spans="103:104" x14ac:dyDescent="0.3">
      <c r="CY26544" s="34" t="s">
        <v>27470</v>
      </c>
      <c r="CZ26544" s="35">
        <v>1.7597352499999996E-2</v>
      </c>
    </row>
    <row r="26545" spans="103:104" x14ac:dyDescent="0.3">
      <c r="CY26545" s="34" t="s">
        <v>27471</v>
      </c>
      <c r="CZ26545" s="35">
        <v>4.7514995000000004E-2</v>
      </c>
    </row>
    <row r="26546" spans="103:104" x14ac:dyDescent="0.3">
      <c r="CY26546" s="34" t="s">
        <v>27472</v>
      </c>
      <c r="CZ26546" s="35">
        <v>2.7276978050847459E-2</v>
      </c>
    </row>
    <row r="26547" spans="103:104" x14ac:dyDescent="0.3">
      <c r="CY26547" s="34" t="s">
        <v>27473</v>
      </c>
      <c r="CZ26547" s="35">
        <v>3.965939857142857E-2</v>
      </c>
    </row>
    <row r="26548" spans="103:104" x14ac:dyDescent="0.3">
      <c r="CY26548" s="34" t="s">
        <v>27474</v>
      </c>
      <c r="CZ26548" s="35">
        <v>8.8743886954023007E-2</v>
      </c>
    </row>
    <row r="26549" spans="103:104" x14ac:dyDescent="0.3">
      <c r="CY26549" s="34" t="s">
        <v>27475</v>
      </c>
      <c r="CZ26549" s="35">
        <v>1.0445685714285715E-2</v>
      </c>
    </row>
    <row r="26550" spans="103:104" x14ac:dyDescent="0.3">
      <c r="CY26550" s="34" t="s">
        <v>27476</v>
      </c>
      <c r="CZ26550" s="35">
        <v>8.9366859999999992E-3</v>
      </c>
    </row>
    <row r="26551" spans="103:104" x14ac:dyDescent="0.3">
      <c r="CY26551" s="34" t="s">
        <v>27477</v>
      </c>
      <c r="CZ26551" s="35">
        <v>1.1251562666666666E-2</v>
      </c>
    </row>
    <row r="26552" spans="103:104" x14ac:dyDescent="0.3">
      <c r="CY26552" s="34" t="s">
        <v>27478</v>
      </c>
      <c r="CZ26552" s="35">
        <v>0.24261342799999996</v>
      </c>
    </row>
    <row r="26553" spans="103:104" x14ac:dyDescent="0.3">
      <c r="CY26553" s="34" t="s">
        <v>27479</v>
      </c>
      <c r="CZ26553" s="35">
        <v>5.058627999999999E-2</v>
      </c>
    </row>
    <row r="26554" spans="103:104" x14ac:dyDescent="0.3">
      <c r="CY26554" s="34" t="s">
        <v>27480</v>
      </c>
      <c r="CZ26554" s="35">
        <v>1.5022042266666668E-3</v>
      </c>
    </row>
    <row r="26555" spans="103:104" x14ac:dyDescent="0.3">
      <c r="CY26555" s="34" t="s">
        <v>27481</v>
      </c>
      <c r="CZ26555" s="35">
        <v>5.5576736000000002E-2</v>
      </c>
    </row>
    <row r="26556" spans="103:104" x14ac:dyDescent="0.3">
      <c r="CY26556" s="34" t="s">
        <v>27482</v>
      </c>
      <c r="CZ26556" s="35">
        <v>2.0597684999999998E-3</v>
      </c>
    </row>
    <row r="26557" spans="103:104" x14ac:dyDescent="0.3">
      <c r="CY26557" s="34" t="s">
        <v>27483</v>
      </c>
      <c r="CZ26557" s="35">
        <v>1.5067019999999997E-3</v>
      </c>
    </row>
    <row r="26558" spans="103:104" x14ac:dyDescent="0.3">
      <c r="CY26558" s="34" t="s">
        <v>27484</v>
      </c>
      <c r="CZ26558" s="35">
        <v>8.923542E-4</v>
      </c>
    </row>
    <row r="26559" spans="103:104" x14ac:dyDescent="0.3">
      <c r="CY26559" s="34" t="s">
        <v>27485</v>
      </c>
      <c r="CZ26559" s="35">
        <v>6.2059720000000006E-2</v>
      </c>
    </row>
    <row r="26560" spans="103:104" x14ac:dyDescent="0.3">
      <c r="CY26560" s="34" t="s">
        <v>27486</v>
      </c>
      <c r="CZ26560" s="35">
        <v>5.7847685000000003E-2</v>
      </c>
    </row>
    <row r="26561" spans="103:104" x14ac:dyDescent="0.3">
      <c r="CY26561" s="34" t="s">
        <v>27487</v>
      </c>
      <c r="CZ26561" s="35">
        <v>1.0264784000000001E-2</v>
      </c>
    </row>
    <row r="26562" spans="103:104" x14ac:dyDescent="0.3">
      <c r="CY26562" s="34" t="s">
        <v>27488</v>
      </c>
      <c r="CZ26562" s="35">
        <v>9.3275919999999998E-4</v>
      </c>
    </row>
    <row r="26563" spans="103:104" x14ac:dyDescent="0.3">
      <c r="CY26563" s="34" t="s">
        <v>27489</v>
      </c>
      <c r="CZ26563" s="35">
        <v>5.5783580000000006E-2</v>
      </c>
    </row>
    <row r="26564" spans="103:104" x14ac:dyDescent="0.3">
      <c r="CY26564" s="34" t="s">
        <v>27490</v>
      </c>
      <c r="CZ26564" s="35">
        <v>3.099087777777778E-2</v>
      </c>
    </row>
    <row r="26565" spans="103:104" x14ac:dyDescent="0.3">
      <c r="CY26565" s="34" t="s">
        <v>27491</v>
      </c>
      <c r="CZ26565" s="35">
        <v>2.9399129999999999E-2</v>
      </c>
    </row>
    <row r="26566" spans="103:104" x14ac:dyDescent="0.3">
      <c r="CY26566" s="34" t="s">
        <v>27492</v>
      </c>
      <c r="CZ26566" s="35">
        <v>2.1051679999999996E-2</v>
      </c>
    </row>
    <row r="26567" spans="103:104" x14ac:dyDescent="0.3">
      <c r="CY26567" s="34" t="s">
        <v>27493</v>
      </c>
      <c r="CZ26567" s="35">
        <v>8.5816366666666664E-3</v>
      </c>
    </row>
    <row r="26568" spans="103:104" x14ac:dyDescent="0.3">
      <c r="CY26568" s="34" t="s">
        <v>27494</v>
      </c>
      <c r="CZ26568" s="35">
        <v>0.20104168421052634</v>
      </c>
    </row>
    <row r="26569" spans="103:104" x14ac:dyDescent="0.3">
      <c r="CY26569" s="34" t="s">
        <v>27495</v>
      </c>
      <c r="CZ26569" s="35">
        <v>5.0974600000000007E-3</v>
      </c>
    </row>
    <row r="26570" spans="103:104" x14ac:dyDescent="0.3">
      <c r="CY26570" s="34" t="s">
        <v>27496</v>
      </c>
      <c r="CZ26570" s="35">
        <v>0.55918125000000007</v>
      </c>
    </row>
    <row r="26571" spans="103:104" x14ac:dyDescent="0.3">
      <c r="CY26571" s="34" t="s">
        <v>27497</v>
      </c>
      <c r="CZ26571" s="35">
        <v>9.7815845714285701E-4</v>
      </c>
    </row>
    <row r="26572" spans="103:104" x14ac:dyDescent="0.3">
      <c r="CY26572" s="34" t="s">
        <v>27498</v>
      </c>
      <c r="CZ26572" s="35">
        <v>6.9855920307692315E-3</v>
      </c>
    </row>
    <row r="26573" spans="103:104" x14ac:dyDescent="0.3">
      <c r="CY26573" s="34" t="s">
        <v>27499</v>
      </c>
      <c r="CZ26573" s="35">
        <v>6.9855920307692306E-3</v>
      </c>
    </row>
    <row r="26574" spans="103:104" x14ac:dyDescent="0.3">
      <c r="CY26574" s="34" t="s">
        <v>27500</v>
      </c>
      <c r="CZ26574" s="35">
        <v>5.740348E-2</v>
      </c>
    </row>
    <row r="26575" spans="103:104" x14ac:dyDescent="0.3">
      <c r="CY26575" s="34" t="s">
        <v>27501</v>
      </c>
      <c r="CZ26575" s="35">
        <v>2.6851686000000003E-2</v>
      </c>
    </row>
    <row r="26576" spans="103:104" x14ac:dyDescent="0.3">
      <c r="CY26576" s="34" t="s">
        <v>27502</v>
      </c>
      <c r="CZ26576" s="35">
        <v>5.8904163842857141E-2</v>
      </c>
    </row>
    <row r="26577" spans="103:104" x14ac:dyDescent="0.3">
      <c r="CY26577" s="34" t="s">
        <v>27503</v>
      </c>
      <c r="CZ26577" s="35">
        <v>0.4855912</v>
      </c>
    </row>
    <row r="26578" spans="103:104" x14ac:dyDescent="0.3">
      <c r="CY26578" s="34" t="s">
        <v>27504</v>
      </c>
      <c r="CZ26578" s="35">
        <v>5.306890000000001E-4</v>
      </c>
    </row>
    <row r="26579" spans="103:104" x14ac:dyDescent="0.3">
      <c r="CY26579" s="34" t="s">
        <v>27505</v>
      </c>
      <c r="CZ26579" s="35">
        <v>0.15503637729999997</v>
      </c>
    </row>
    <row r="26580" spans="103:104" x14ac:dyDescent="0.3">
      <c r="CY26580" s="34" t="s">
        <v>27506</v>
      </c>
      <c r="CZ26580" s="35">
        <v>1.8951896666666666E-2</v>
      </c>
    </row>
    <row r="26581" spans="103:104" x14ac:dyDescent="0.3">
      <c r="CY26581" s="34" t="s">
        <v>27507</v>
      </c>
      <c r="CZ26581" s="35">
        <v>2.1192055111111112E-3</v>
      </c>
    </row>
    <row r="26582" spans="103:104" x14ac:dyDescent="0.3">
      <c r="CY26582" s="34" t="s">
        <v>27508</v>
      </c>
      <c r="CZ26582" s="35">
        <v>2.1932273263157893E-3</v>
      </c>
    </row>
    <row r="26583" spans="103:104" x14ac:dyDescent="0.3">
      <c r="CY26583" s="34" t="s">
        <v>27509</v>
      </c>
      <c r="CZ26583" s="35">
        <v>2.6470200000000004E-3</v>
      </c>
    </row>
    <row r="26584" spans="103:104" x14ac:dyDescent="0.3">
      <c r="CY26584" s="34" t="s">
        <v>27510</v>
      </c>
      <c r="CZ26584" s="35">
        <v>2.6438200000000003E-3</v>
      </c>
    </row>
    <row r="26585" spans="103:104" x14ac:dyDescent="0.3">
      <c r="CY26585" s="34" t="s">
        <v>27511</v>
      </c>
      <c r="CZ26585" s="35">
        <v>2.6438200000000003E-3</v>
      </c>
    </row>
    <row r="26586" spans="103:104" x14ac:dyDescent="0.3">
      <c r="CY26586" s="34" t="s">
        <v>27512</v>
      </c>
      <c r="CZ26586" s="35">
        <v>3.46124E-3</v>
      </c>
    </row>
    <row r="26587" spans="103:104" x14ac:dyDescent="0.3">
      <c r="CY26587" s="34" t="s">
        <v>27513</v>
      </c>
      <c r="CZ26587" s="35">
        <v>2.1138721857142861E-3</v>
      </c>
    </row>
    <row r="26588" spans="103:104" x14ac:dyDescent="0.3">
      <c r="CY26588" s="34" t="s">
        <v>27514</v>
      </c>
      <c r="CZ26588" s="35">
        <v>2.4887941857142854E-3</v>
      </c>
    </row>
    <row r="26589" spans="103:104" x14ac:dyDescent="0.3">
      <c r="CY26589" s="34" t="s">
        <v>27515</v>
      </c>
      <c r="CZ26589" s="35">
        <v>2.9479419999999999E-2</v>
      </c>
    </row>
    <row r="26590" spans="103:104" x14ac:dyDescent="0.3">
      <c r="CY26590" s="34" t="s">
        <v>27516</v>
      </c>
      <c r="CZ26590" s="35">
        <v>0.1015144108</v>
      </c>
    </row>
    <row r="26591" spans="103:104" x14ac:dyDescent="0.3">
      <c r="CY26591" s="34" t="s">
        <v>27517</v>
      </c>
      <c r="CZ26591" s="35">
        <v>0.11120785330000001</v>
      </c>
    </row>
    <row r="26592" spans="103:104" x14ac:dyDescent="0.3">
      <c r="CY26592" s="34" t="s">
        <v>27518</v>
      </c>
      <c r="CZ26592" s="35">
        <v>7.6893013300000007E-2</v>
      </c>
    </row>
    <row r="26593" spans="103:104" x14ac:dyDescent="0.3">
      <c r="CY26593" s="34" t="s">
        <v>27519</v>
      </c>
      <c r="CZ26593" s="35">
        <v>0.13794967329999999</v>
      </c>
    </row>
    <row r="26594" spans="103:104" x14ac:dyDescent="0.3">
      <c r="CY26594" s="34" t="s">
        <v>27520</v>
      </c>
      <c r="CZ26594" s="35">
        <v>0.16780183999999998</v>
      </c>
    </row>
    <row r="26595" spans="103:104" x14ac:dyDescent="0.3">
      <c r="CY26595" s="34" t="s">
        <v>27521</v>
      </c>
      <c r="CZ26595" s="35">
        <v>1.3870438000000002E-2</v>
      </c>
    </row>
    <row r="26596" spans="103:104" x14ac:dyDescent="0.3">
      <c r="CY26596" s="34" t="s">
        <v>27522</v>
      </c>
      <c r="CZ26596" s="35">
        <v>0.11332658400000001</v>
      </c>
    </row>
    <row r="26597" spans="103:104" x14ac:dyDescent="0.3">
      <c r="CY26597" s="34" t="s">
        <v>27523</v>
      </c>
      <c r="CZ26597" s="35">
        <v>6.1416623157894736E-3</v>
      </c>
    </row>
    <row r="26598" spans="103:104" x14ac:dyDescent="0.3">
      <c r="CY26598" s="34" t="s">
        <v>27524</v>
      </c>
      <c r="CZ26598" s="35">
        <v>0.81143622734383336</v>
      </c>
    </row>
    <row r="26599" spans="103:104" x14ac:dyDescent="0.3">
      <c r="CY26599" s="34" t="s">
        <v>27525</v>
      </c>
      <c r="CZ26599" s="35">
        <v>0.64190895000000003</v>
      </c>
    </row>
    <row r="26600" spans="103:104" x14ac:dyDescent="0.3">
      <c r="CY26600" s="34" t="s">
        <v>27526</v>
      </c>
      <c r="CZ26600" s="35">
        <v>0.65795857890633336</v>
      </c>
    </row>
    <row r="26601" spans="103:104" x14ac:dyDescent="0.3">
      <c r="CY26601" s="34" t="s">
        <v>27527</v>
      </c>
      <c r="CZ26601" s="35">
        <v>0.22881132500000001</v>
      </c>
    </row>
    <row r="26602" spans="103:104" x14ac:dyDescent="0.3">
      <c r="CY26602" s="34" t="s">
        <v>27528</v>
      </c>
      <c r="CZ26602" s="35">
        <v>0.35966779000000004</v>
      </c>
    </row>
    <row r="26603" spans="103:104" x14ac:dyDescent="0.3">
      <c r="CY26603" s="34" t="s">
        <v>27529</v>
      </c>
      <c r="CZ26603" s="35">
        <v>0.11311953300000001</v>
      </c>
    </row>
    <row r="26604" spans="103:104" x14ac:dyDescent="0.3">
      <c r="CY26604" s="34" t="s">
        <v>27530</v>
      </c>
      <c r="CZ26604" s="35">
        <v>0.18799156800000003</v>
      </c>
    </row>
    <row r="26605" spans="103:104" x14ac:dyDescent="0.3">
      <c r="CY26605" s="34" t="s">
        <v>27531</v>
      </c>
      <c r="CZ26605" s="35">
        <v>3.613E-4</v>
      </c>
    </row>
    <row r="26606" spans="103:104" x14ac:dyDescent="0.3">
      <c r="CY26606" s="34" t="s">
        <v>27532</v>
      </c>
      <c r="CZ26606" s="35">
        <v>2.391462E-3</v>
      </c>
    </row>
    <row r="26607" spans="103:104" x14ac:dyDescent="0.3">
      <c r="CY26607" s="34" t="s">
        <v>27533</v>
      </c>
      <c r="CZ26607" s="35">
        <v>2.1391075200000004E-3</v>
      </c>
    </row>
    <row r="26608" spans="103:104" x14ac:dyDescent="0.3">
      <c r="CY26608" s="34" t="s">
        <v>27534</v>
      </c>
      <c r="CZ26608" s="35">
        <v>8.9991000000000012E-3</v>
      </c>
    </row>
    <row r="26609" spans="103:104" x14ac:dyDescent="0.3">
      <c r="CY26609" s="34" t="s">
        <v>27535</v>
      </c>
      <c r="CZ26609" s="35">
        <v>8.9990999999999995E-3</v>
      </c>
    </row>
    <row r="26610" spans="103:104" x14ac:dyDescent="0.3">
      <c r="CY26610" s="34" t="s">
        <v>27536</v>
      </c>
      <c r="CZ26610" s="35">
        <v>1.1165E-2</v>
      </c>
    </row>
    <row r="26611" spans="103:104" x14ac:dyDescent="0.3">
      <c r="CY26611" s="34" t="s">
        <v>27537</v>
      </c>
      <c r="CZ26611" s="35">
        <v>4.2924300000000006E-2</v>
      </c>
    </row>
    <row r="26612" spans="103:104" x14ac:dyDescent="0.3">
      <c r="CY26612" s="34" t="s">
        <v>27538</v>
      </c>
      <c r="CZ26612" s="35">
        <v>4.2175273999999999E-2</v>
      </c>
    </row>
    <row r="26613" spans="103:104" x14ac:dyDescent="0.3">
      <c r="CY26613" s="34" t="s">
        <v>27539</v>
      </c>
      <c r="CZ26613" s="35">
        <v>4.5027919999999999E-2</v>
      </c>
    </row>
    <row r="26614" spans="103:104" x14ac:dyDescent="0.3">
      <c r="CY26614" s="34" t="s">
        <v>27540</v>
      </c>
      <c r="CZ26614" s="35">
        <v>0.40773816000000002</v>
      </c>
    </row>
    <row r="26615" spans="103:104" x14ac:dyDescent="0.3">
      <c r="CY26615" s="34" t="s">
        <v>27541</v>
      </c>
      <c r="CZ26615" s="35">
        <v>0.35551479999999996</v>
      </c>
    </row>
    <row r="26616" spans="103:104" x14ac:dyDescent="0.3">
      <c r="CY26616" s="34" t="s">
        <v>27542</v>
      </c>
      <c r="CZ26616" s="35">
        <v>1.0004953620000001</v>
      </c>
    </row>
    <row r="26617" spans="103:104" x14ac:dyDescent="0.3">
      <c r="CY26617" s="34" t="s">
        <v>27543</v>
      </c>
      <c r="CZ26617" s="35">
        <v>0.58368936216666667</v>
      </c>
    </row>
    <row r="26618" spans="103:104" x14ac:dyDescent="0.3">
      <c r="CY26618" s="34" t="s">
        <v>27544</v>
      </c>
      <c r="CZ26618" s="35">
        <v>0.46026335999999995</v>
      </c>
    </row>
    <row r="26619" spans="103:104" x14ac:dyDescent="0.3">
      <c r="CY26619" s="34" t="s">
        <v>27545</v>
      </c>
      <c r="CZ26619" s="35">
        <v>0.89434615999999989</v>
      </c>
    </row>
    <row r="26620" spans="103:104" x14ac:dyDescent="0.3">
      <c r="CY26620" s="34" t="s">
        <v>27546</v>
      </c>
      <c r="CZ26620" s="35">
        <v>0.44432359999999993</v>
      </c>
    </row>
    <row r="26621" spans="103:104" x14ac:dyDescent="0.3">
      <c r="CY26621" s="34" t="s">
        <v>27547</v>
      </c>
      <c r="CZ26621" s="35">
        <v>0.94414965499999992</v>
      </c>
    </row>
    <row r="26622" spans="103:104" x14ac:dyDescent="0.3">
      <c r="CY26622" s="34" t="s">
        <v>27548</v>
      </c>
      <c r="CZ26622" s="35">
        <v>0.74053451999999997</v>
      </c>
    </row>
    <row r="26623" spans="103:104" x14ac:dyDescent="0.3">
      <c r="CY26623" s="34" t="s">
        <v>27549</v>
      </c>
      <c r="CZ26623" s="35">
        <v>0.881108</v>
      </c>
    </row>
    <row r="26624" spans="103:104" x14ac:dyDescent="0.3">
      <c r="CY26624" s="34" t="s">
        <v>27550</v>
      </c>
      <c r="CZ26624" s="35">
        <v>3.0769200000000003E-4</v>
      </c>
    </row>
    <row r="26625" spans="103:104" x14ac:dyDescent="0.3">
      <c r="CY26625" s="34" t="s">
        <v>27551</v>
      </c>
      <c r="CZ26625" s="35">
        <v>0.23064593814432993</v>
      </c>
    </row>
    <row r="26626" spans="103:104" x14ac:dyDescent="0.3">
      <c r="CY26626" s="34" t="s">
        <v>27552</v>
      </c>
      <c r="CZ26626" s="35">
        <v>6.9285184000000008E-3</v>
      </c>
    </row>
    <row r="26627" spans="103:104" x14ac:dyDescent="0.3">
      <c r="CY26627" s="34" t="s">
        <v>27553</v>
      </c>
      <c r="CZ26627" s="35">
        <v>0.34992649999999997</v>
      </c>
    </row>
    <row r="26628" spans="103:104" x14ac:dyDescent="0.3">
      <c r="CY26628" s="34" t="s">
        <v>27554</v>
      </c>
      <c r="CZ26628" s="35">
        <v>4.4333655555555554E-3</v>
      </c>
    </row>
    <row r="26629" spans="103:104" x14ac:dyDescent="0.3">
      <c r="CY26629" s="34" t="s">
        <v>27555</v>
      </c>
      <c r="CZ26629" s="35">
        <v>0.23762505000000003</v>
      </c>
    </row>
    <row r="26630" spans="103:104" x14ac:dyDescent="0.3">
      <c r="CY26630" s="34" t="s">
        <v>27556</v>
      </c>
      <c r="CZ26630" s="35">
        <v>0.40085116999999998</v>
      </c>
    </row>
    <row r="26631" spans="103:104" x14ac:dyDescent="0.3">
      <c r="CY26631" s="34" t="s">
        <v>27557</v>
      </c>
      <c r="CZ26631" s="35">
        <v>0.11938549999999998</v>
      </c>
    </row>
    <row r="26632" spans="103:104" x14ac:dyDescent="0.3">
      <c r="CY26632" s="34" t="s">
        <v>27558</v>
      </c>
      <c r="CZ26632" s="35">
        <v>6.8310999999999988E-3</v>
      </c>
    </row>
    <row r="26633" spans="103:104" x14ac:dyDescent="0.3">
      <c r="CY26633" s="34" t="s">
        <v>27559</v>
      </c>
      <c r="CZ26633" s="35">
        <v>6.8310999999999997E-3</v>
      </c>
    </row>
    <row r="26634" spans="103:104" x14ac:dyDescent="0.3">
      <c r="CY26634" s="34" t="s">
        <v>27560</v>
      </c>
      <c r="CZ26634" s="35">
        <v>0.4658563</v>
      </c>
    </row>
    <row r="26635" spans="103:104" x14ac:dyDescent="0.3">
      <c r="CY26635" s="34" t="s">
        <v>27561</v>
      </c>
      <c r="CZ26635" s="35">
        <v>0.51195453999999996</v>
      </c>
    </row>
    <row r="26636" spans="103:104" x14ac:dyDescent="0.3">
      <c r="CY26636" s="34" t="s">
        <v>27562</v>
      </c>
      <c r="CZ26636" s="35">
        <v>0.14512715799999998</v>
      </c>
    </row>
    <row r="26637" spans="103:104" x14ac:dyDescent="0.3">
      <c r="CY26637" s="34" t="s">
        <v>27563</v>
      </c>
      <c r="CZ26637" s="35">
        <v>0.42559931600000001</v>
      </c>
    </row>
    <row r="26638" spans="103:104" x14ac:dyDescent="0.3">
      <c r="CY26638" s="34" t="s">
        <v>27564</v>
      </c>
      <c r="CZ26638" s="35">
        <v>0.40064922799999997</v>
      </c>
    </row>
    <row r="26639" spans="103:104" x14ac:dyDescent="0.3">
      <c r="CY26639" s="34" t="s">
        <v>27565</v>
      </c>
      <c r="CZ26639" s="35">
        <v>0.25891264799999997</v>
      </c>
    </row>
    <row r="26640" spans="103:104" x14ac:dyDescent="0.3">
      <c r="CY26640" s="34" t="s">
        <v>27566</v>
      </c>
      <c r="CZ26640" s="35">
        <v>0.19681455</v>
      </c>
    </row>
    <row r="26641" spans="103:104" x14ac:dyDescent="0.3">
      <c r="CY26641" s="34" t="s">
        <v>27567</v>
      </c>
      <c r="CZ26641" s="35">
        <v>1.0374999999999998E-3</v>
      </c>
    </row>
    <row r="26642" spans="103:104" x14ac:dyDescent="0.3">
      <c r="CY26642" s="34" t="s">
        <v>27568</v>
      </c>
      <c r="CZ26642" s="35">
        <v>7.1071242105263163E-3</v>
      </c>
    </row>
    <row r="26643" spans="103:104" x14ac:dyDescent="0.3">
      <c r="CY26643" s="34" t="s">
        <v>27569</v>
      </c>
      <c r="CZ26643" s="35">
        <v>2.9675000000000003E-4</v>
      </c>
    </row>
    <row r="26644" spans="103:104" x14ac:dyDescent="0.3">
      <c r="CY26644" s="34" t="s">
        <v>27570</v>
      </c>
      <c r="CZ26644" s="35">
        <v>1.684E-4</v>
      </c>
    </row>
    <row r="26645" spans="103:104" x14ac:dyDescent="0.3">
      <c r="CY26645" s="34" t="s">
        <v>27571</v>
      </c>
      <c r="CZ26645" s="35">
        <v>2.45875E-4</v>
      </c>
    </row>
    <row r="26646" spans="103:104" x14ac:dyDescent="0.3">
      <c r="CY26646" s="34" t="s">
        <v>27572</v>
      </c>
      <c r="CZ26646" s="35">
        <v>4.9700000000000002E-5</v>
      </c>
    </row>
    <row r="26647" spans="103:104" x14ac:dyDescent="0.3">
      <c r="CY26647" s="34" t="s">
        <v>27573</v>
      </c>
      <c r="CZ26647" s="35">
        <v>4.6925000000000005E-4</v>
      </c>
    </row>
    <row r="26648" spans="103:104" x14ac:dyDescent="0.3">
      <c r="CY26648" s="34" t="s">
        <v>27574</v>
      </c>
      <c r="CZ26648" s="35">
        <v>1.684E-4</v>
      </c>
    </row>
    <row r="26649" spans="103:104" x14ac:dyDescent="0.3">
      <c r="CY26649" s="34" t="s">
        <v>27575</v>
      </c>
      <c r="CZ26649" s="35">
        <v>1.8770000000000004E-4</v>
      </c>
    </row>
    <row r="26650" spans="103:104" x14ac:dyDescent="0.3">
      <c r="CY26650" s="34" t="s">
        <v>27576</v>
      </c>
      <c r="CZ26650" s="35">
        <v>4.7479999999999999E-4</v>
      </c>
    </row>
    <row r="26651" spans="103:104" x14ac:dyDescent="0.3">
      <c r="CY26651" s="34" t="s">
        <v>27577</v>
      </c>
      <c r="CZ26651" s="35">
        <v>1.8770000000000004E-4</v>
      </c>
    </row>
    <row r="26652" spans="103:104" x14ac:dyDescent="0.3">
      <c r="CY26652" s="34" t="s">
        <v>27578</v>
      </c>
      <c r="CZ26652" s="35">
        <v>1.9670000000000001E-4</v>
      </c>
    </row>
    <row r="26653" spans="103:104" x14ac:dyDescent="0.3">
      <c r="CY26653" s="34" t="s">
        <v>27579</v>
      </c>
      <c r="CZ26653" s="35">
        <v>1.9670000000000001E-4</v>
      </c>
    </row>
    <row r="26654" spans="103:104" x14ac:dyDescent="0.3">
      <c r="CY26654" s="34" t="s">
        <v>27580</v>
      </c>
      <c r="CZ26654" s="35">
        <v>0.12319517931442082</v>
      </c>
    </row>
    <row r="26655" spans="103:104" x14ac:dyDescent="0.3">
      <c r="CY26655" s="34" t="s">
        <v>27581</v>
      </c>
      <c r="CZ26655" s="35">
        <v>4.7732882338709676E-2</v>
      </c>
    </row>
    <row r="26656" spans="103:104" x14ac:dyDescent="0.3">
      <c r="CY26656" s="34" t="s">
        <v>27582</v>
      </c>
      <c r="CZ26656" s="35">
        <v>0.12033697830932785</v>
      </c>
    </row>
    <row r="26657" spans="103:104" x14ac:dyDescent="0.3">
      <c r="CY26657" s="34" t="s">
        <v>27583</v>
      </c>
      <c r="CZ26657" s="35">
        <v>0.10631599999999999</v>
      </c>
    </row>
    <row r="26658" spans="103:104" x14ac:dyDescent="0.3">
      <c r="CY26658" s="34" t="s">
        <v>27584</v>
      </c>
      <c r="CZ26658" s="35">
        <v>0.10631599999999999</v>
      </c>
    </row>
    <row r="26659" spans="103:104" x14ac:dyDescent="0.3">
      <c r="CY26659" s="34" t="s">
        <v>27585</v>
      </c>
      <c r="CZ26659" s="35">
        <v>3.5048238222222224E-3</v>
      </c>
    </row>
    <row r="26660" spans="103:104" x14ac:dyDescent="0.3">
      <c r="CY26660" s="34" t="s">
        <v>27586</v>
      </c>
      <c r="CZ26660" s="35">
        <v>6.0600619999999994E-2</v>
      </c>
    </row>
    <row r="26661" spans="103:104" x14ac:dyDescent="0.3">
      <c r="CY26661" s="34" t="s">
        <v>27587</v>
      </c>
      <c r="CZ26661" s="35">
        <v>1.4158160000000001E-2</v>
      </c>
    </row>
    <row r="26662" spans="103:104" x14ac:dyDescent="0.3">
      <c r="CY26662" s="34" t="s">
        <v>27588</v>
      </c>
      <c r="CZ26662" s="35">
        <v>2.7688800000000003E-2</v>
      </c>
    </row>
    <row r="26663" spans="103:104" x14ac:dyDescent="0.3">
      <c r="CY26663" s="34" t="s">
        <v>27589</v>
      </c>
      <c r="CZ26663" s="35">
        <v>4.1421601000000002E-2</v>
      </c>
    </row>
    <row r="26664" spans="103:104" x14ac:dyDescent="0.3">
      <c r="CY26664" s="34" t="s">
        <v>27590</v>
      </c>
      <c r="CZ26664" s="35">
        <v>1.0981882499999998E-2</v>
      </c>
    </row>
    <row r="26665" spans="103:104" x14ac:dyDescent="0.3">
      <c r="CY26665" s="34" t="s">
        <v>27591</v>
      </c>
      <c r="CZ26665" s="35">
        <v>5.9209064699999994E-2</v>
      </c>
    </row>
    <row r="26666" spans="103:104" x14ac:dyDescent="0.3">
      <c r="CY26666" s="34" t="s">
        <v>27592</v>
      </c>
      <c r="CZ26666" s="35">
        <v>6.0570946000000007E-2</v>
      </c>
    </row>
    <row r="26667" spans="103:104" x14ac:dyDescent="0.3">
      <c r="CY26667" s="34" t="s">
        <v>27593</v>
      </c>
      <c r="CZ26667" s="35">
        <v>5.9209064699999994E-2</v>
      </c>
    </row>
    <row r="26668" spans="103:104" x14ac:dyDescent="0.3">
      <c r="CY26668" s="34" t="s">
        <v>27594</v>
      </c>
      <c r="CZ26668" s="35">
        <v>6.0570946000000007E-2</v>
      </c>
    </row>
    <row r="26669" spans="103:104" x14ac:dyDescent="0.3">
      <c r="CY26669" s="34" t="s">
        <v>27595</v>
      </c>
      <c r="CZ26669" s="35">
        <v>0.39041875000000004</v>
      </c>
    </row>
    <row r="26670" spans="103:104" x14ac:dyDescent="0.3">
      <c r="CY26670" s="34" t="s">
        <v>27596</v>
      </c>
      <c r="CZ26670" s="35">
        <v>3.3702959999999997E-2</v>
      </c>
    </row>
    <row r="26671" spans="103:104" x14ac:dyDescent="0.3">
      <c r="CY26671" s="34" t="s">
        <v>27597</v>
      </c>
      <c r="CZ26671" s="35">
        <v>3.3702959999999997E-2</v>
      </c>
    </row>
    <row r="26672" spans="103:104" x14ac:dyDescent="0.3">
      <c r="CY26672" s="34" t="s">
        <v>27598</v>
      </c>
      <c r="CZ26672" s="35">
        <v>3.3702959999999997E-2</v>
      </c>
    </row>
    <row r="26673" spans="103:104" x14ac:dyDescent="0.3">
      <c r="CY26673" s="34" t="s">
        <v>27599</v>
      </c>
      <c r="CZ26673" s="35">
        <v>1.3156099527272728E-2</v>
      </c>
    </row>
    <row r="26674" spans="103:104" x14ac:dyDescent="0.3">
      <c r="CY26674" s="34" t="s">
        <v>27600</v>
      </c>
      <c r="CZ26674" s="35">
        <v>1.3156099527272726E-2</v>
      </c>
    </row>
    <row r="26675" spans="103:104" x14ac:dyDescent="0.3">
      <c r="CY26675" s="34" t="s">
        <v>27601</v>
      </c>
      <c r="CZ26675" s="35">
        <v>6.9325656999999997E-3</v>
      </c>
    </row>
    <row r="26676" spans="103:104" x14ac:dyDescent="0.3">
      <c r="CY26676" s="34" t="s">
        <v>27602</v>
      </c>
      <c r="CZ26676" s="35">
        <v>6.9325656999999988E-3</v>
      </c>
    </row>
    <row r="26677" spans="103:104" x14ac:dyDescent="0.3">
      <c r="CY26677" s="34" t="s">
        <v>27603</v>
      </c>
      <c r="CZ26677" s="35">
        <v>9.0744664999999978E-3</v>
      </c>
    </row>
    <row r="26678" spans="103:104" x14ac:dyDescent="0.3">
      <c r="CY26678" s="34" t="s">
        <v>27604</v>
      </c>
      <c r="CZ26678" s="35">
        <v>9.0744664999999995E-3</v>
      </c>
    </row>
    <row r="26679" spans="103:104" x14ac:dyDescent="0.3">
      <c r="CY26679" s="34" t="s">
        <v>27605</v>
      </c>
      <c r="CZ26679" s="35">
        <v>1.7150460200000002E-2</v>
      </c>
    </row>
    <row r="26680" spans="103:104" x14ac:dyDescent="0.3">
      <c r="CY26680" s="34" t="s">
        <v>27606</v>
      </c>
      <c r="CZ26680" s="35">
        <v>1.7150460200000002E-2</v>
      </c>
    </row>
    <row r="26681" spans="103:104" x14ac:dyDescent="0.3">
      <c r="CY26681" s="34" t="s">
        <v>27607</v>
      </c>
      <c r="CZ26681" s="35">
        <v>1.9241100399999999E-2</v>
      </c>
    </row>
    <row r="26682" spans="103:104" x14ac:dyDescent="0.3">
      <c r="CY26682" s="34" t="s">
        <v>27608</v>
      </c>
      <c r="CZ26682" s="35">
        <v>1.9241100399999999E-2</v>
      </c>
    </row>
    <row r="26683" spans="103:104" x14ac:dyDescent="0.3">
      <c r="CY26683" s="34" t="s">
        <v>27609</v>
      </c>
      <c r="CZ26683" s="35">
        <v>6.5680776000000005E-3</v>
      </c>
    </row>
    <row r="26684" spans="103:104" x14ac:dyDescent="0.3">
      <c r="CY26684" s="34" t="s">
        <v>27610</v>
      </c>
      <c r="CZ26684" s="35">
        <v>6.5680776000000005E-3</v>
      </c>
    </row>
    <row r="26685" spans="103:104" x14ac:dyDescent="0.3">
      <c r="CY26685" s="34" t="s">
        <v>27611</v>
      </c>
      <c r="CZ26685" s="35">
        <v>3.8423906681818183E-3</v>
      </c>
    </row>
    <row r="26686" spans="103:104" x14ac:dyDescent="0.3">
      <c r="CY26686" s="34" t="s">
        <v>27612</v>
      </c>
      <c r="CZ26686" s="35">
        <v>3.8423906681818178E-3</v>
      </c>
    </row>
    <row r="26687" spans="103:104" x14ac:dyDescent="0.3">
      <c r="CY26687" s="34" t="s">
        <v>27613</v>
      </c>
      <c r="CZ26687" s="35">
        <v>3.1243574000000001E-3</v>
      </c>
    </row>
    <row r="26688" spans="103:104" x14ac:dyDescent="0.3">
      <c r="CY26688" s="34" t="s">
        <v>27614</v>
      </c>
      <c r="CZ26688" s="35">
        <v>3.1243574000000001E-3</v>
      </c>
    </row>
    <row r="26689" spans="103:104" x14ac:dyDescent="0.3">
      <c r="CY26689" s="34" t="s">
        <v>27615</v>
      </c>
      <c r="CZ26689" s="35">
        <v>3.2132449E-3</v>
      </c>
    </row>
    <row r="26690" spans="103:104" x14ac:dyDescent="0.3">
      <c r="CY26690" s="34" t="s">
        <v>27616</v>
      </c>
      <c r="CZ26690" s="35">
        <v>3.2132449E-3</v>
      </c>
    </row>
    <row r="26691" spans="103:104" x14ac:dyDescent="0.3">
      <c r="CY26691" s="34" t="s">
        <v>27617</v>
      </c>
      <c r="CZ26691" s="35">
        <v>6.2892529000000003E-3</v>
      </c>
    </row>
    <row r="26692" spans="103:104" x14ac:dyDescent="0.3">
      <c r="CY26692" s="34" t="s">
        <v>27618</v>
      </c>
      <c r="CZ26692" s="35">
        <v>6.2892528999999994E-3</v>
      </c>
    </row>
    <row r="26693" spans="103:104" x14ac:dyDescent="0.3">
      <c r="CY26693" s="34" t="s">
        <v>27619</v>
      </c>
      <c r="CZ26693" s="35">
        <v>1.82787725E-3</v>
      </c>
    </row>
    <row r="26694" spans="103:104" x14ac:dyDescent="0.3">
      <c r="CY26694" s="34" t="s">
        <v>27620</v>
      </c>
      <c r="CZ26694" s="35">
        <v>1.8278772499999998E-3</v>
      </c>
    </row>
    <row r="26695" spans="103:104" x14ac:dyDescent="0.3">
      <c r="CY26695" s="34" t="s">
        <v>27621</v>
      </c>
      <c r="CZ26695" s="35">
        <v>1.1101031999999999E-2</v>
      </c>
    </row>
    <row r="26696" spans="103:104" x14ac:dyDescent="0.3">
      <c r="CY26696" s="34" t="s">
        <v>27622</v>
      </c>
      <c r="CZ26696" s="35">
        <v>3.6465682999999992E-2</v>
      </c>
    </row>
    <row r="26697" spans="103:104" x14ac:dyDescent="0.3">
      <c r="CY26697" s="34" t="s">
        <v>27623</v>
      </c>
      <c r="CZ26697" s="35">
        <v>2.6780992000000003E-3</v>
      </c>
    </row>
    <row r="26698" spans="103:104" x14ac:dyDescent="0.3">
      <c r="CY26698" s="34" t="s">
        <v>27624</v>
      </c>
      <c r="CZ26698" s="35">
        <v>3.2765408666666665E-3</v>
      </c>
    </row>
    <row r="26699" spans="103:104" x14ac:dyDescent="0.3">
      <c r="CY26699" s="34" t="s">
        <v>27625</v>
      </c>
      <c r="CZ26699" s="35">
        <v>2.1186927600000002E-2</v>
      </c>
    </row>
    <row r="26700" spans="103:104" x14ac:dyDescent="0.3">
      <c r="CY26700" s="34" t="s">
        <v>27626</v>
      </c>
      <c r="CZ26700" s="35">
        <v>2.4880076149764709E-2</v>
      </c>
    </row>
    <row r="26701" spans="103:104" x14ac:dyDescent="0.3">
      <c r="CY26701" s="34" t="s">
        <v>27627</v>
      </c>
      <c r="CZ26701" s="35">
        <v>8.074089999999999E-3</v>
      </c>
    </row>
    <row r="26702" spans="103:104" x14ac:dyDescent="0.3">
      <c r="CY26702" s="34" t="s">
        <v>27628</v>
      </c>
      <c r="CZ26702" s="35">
        <v>4.6946500000000002E-4</v>
      </c>
    </row>
    <row r="26703" spans="103:104" x14ac:dyDescent="0.3">
      <c r="CY26703" s="34" t="s">
        <v>27629</v>
      </c>
      <c r="CZ26703" s="35">
        <v>7.6243097499999996E-2</v>
      </c>
    </row>
    <row r="26704" spans="103:104" x14ac:dyDescent="0.3">
      <c r="CY26704" s="34" t="s">
        <v>27630</v>
      </c>
      <c r="CZ26704" s="35">
        <v>3.403576E-4</v>
      </c>
    </row>
    <row r="26705" spans="103:104" x14ac:dyDescent="0.3">
      <c r="CY26705" s="34" t="s">
        <v>27631</v>
      </c>
      <c r="CZ26705" s="35">
        <v>8.6414760000000004E-3</v>
      </c>
    </row>
    <row r="26706" spans="103:104" x14ac:dyDescent="0.3">
      <c r="CY26706" s="34" t="s">
        <v>27632</v>
      </c>
      <c r="CZ26706" s="35">
        <v>9.6022537833333355E-3</v>
      </c>
    </row>
    <row r="26707" spans="103:104" x14ac:dyDescent="0.3">
      <c r="CY26707" s="34" t="s">
        <v>27633</v>
      </c>
      <c r="CZ26707" s="35">
        <v>9.6022537857142869E-3</v>
      </c>
    </row>
    <row r="26708" spans="103:104" x14ac:dyDescent="0.3">
      <c r="CY26708" s="34" t="s">
        <v>27634</v>
      </c>
      <c r="CZ26708" s="35">
        <v>1.0295412666666667E-2</v>
      </c>
    </row>
    <row r="26709" spans="103:104" x14ac:dyDescent="0.3">
      <c r="CY26709" s="34" t="s">
        <v>27635</v>
      </c>
      <c r="CZ26709" s="35">
        <v>3.7835904000000004E-4</v>
      </c>
    </row>
    <row r="26710" spans="103:104" x14ac:dyDescent="0.3">
      <c r="CY26710" s="34" t="s">
        <v>27636</v>
      </c>
      <c r="CZ26710" s="35">
        <v>6.1979284897959192E-3</v>
      </c>
    </row>
    <row r="26711" spans="103:104" x14ac:dyDescent="0.3">
      <c r="CY26711" s="34" t="s">
        <v>27637</v>
      </c>
      <c r="CZ26711" s="35">
        <v>6.2055640408163262E-3</v>
      </c>
    </row>
    <row r="26712" spans="103:104" x14ac:dyDescent="0.3">
      <c r="CY26712" s="34" t="s">
        <v>27638</v>
      </c>
      <c r="CZ26712" s="35">
        <v>6.1147960408163265E-3</v>
      </c>
    </row>
    <row r="26713" spans="103:104" x14ac:dyDescent="0.3">
      <c r="CY26713" s="34" t="s">
        <v>27639</v>
      </c>
      <c r="CZ26713" s="35">
        <v>7.3014129000000001E-3</v>
      </c>
    </row>
    <row r="26714" spans="103:104" x14ac:dyDescent="0.3">
      <c r="CY26714" s="34" t="s">
        <v>27640</v>
      </c>
      <c r="CZ26714" s="35">
        <v>7.3014129000000001E-3</v>
      </c>
    </row>
    <row r="26715" spans="103:104" x14ac:dyDescent="0.3">
      <c r="CY26715" s="34" t="s">
        <v>27641</v>
      </c>
      <c r="CZ26715" s="35">
        <v>0.20607213199999999</v>
      </c>
    </row>
    <row r="26716" spans="103:104" x14ac:dyDescent="0.3">
      <c r="CY26716" s="34" t="s">
        <v>27642</v>
      </c>
      <c r="CZ26716" s="35">
        <v>8.0996492000000017E-2</v>
      </c>
    </row>
    <row r="26717" spans="103:104" x14ac:dyDescent="0.3">
      <c r="CY26717" s="34" t="s">
        <v>27643</v>
      </c>
      <c r="CZ26717" s="35">
        <v>8.0996492000000017E-2</v>
      </c>
    </row>
    <row r="26718" spans="103:104" x14ac:dyDescent="0.3">
      <c r="CY26718" s="34" t="s">
        <v>27644</v>
      </c>
      <c r="CZ26718" s="35">
        <v>0.28970404999999999</v>
      </c>
    </row>
    <row r="26719" spans="103:104" x14ac:dyDescent="0.3">
      <c r="CY26719" s="34" t="s">
        <v>27645</v>
      </c>
      <c r="CZ26719" s="35">
        <v>2.0774715555555554E-4</v>
      </c>
    </row>
    <row r="26720" spans="103:104" x14ac:dyDescent="0.3">
      <c r="CY26720" s="34" t="s">
        <v>27646</v>
      </c>
      <c r="CZ26720" s="35">
        <v>2.351516E-4</v>
      </c>
    </row>
    <row r="26721" spans="103:104" x14ac:dyDescent="0.3">
      <c r="CY26721" s="34" t="s">
        <v>27647</v>
      </c>
      <c r="CZ26721" s="35">
        <v>0.13224593684210528</v>
      </c>
    </row>
    <row r="26722" spans="103:104" x14ac:dyDescent="0.3">
      <c r="CY26722" s="34" t="s">
        <v>27648</v>
      </c>
      <c r="CZ26722" s="35">
        <v>5.0292117333333337E-3</v>
      </c>
    </row>
    <row r="26723" spans="103:104" x14ac:dyDescent="0.3">
      <c r="CY26723" s="34" t="s">
        <v>27649</v>
      </c>
      <c r="CZ26723" s="35">
        <v>0.18510350299999997</v>
      </c>
    </row>
    <row r="26724" spans="103:104" x14ac:dyDescent="0.3">
      <c r="CY26724" s="34" t="s">
        <v>27650</v>
      </c>
      <c r="CZ26724" s="35">
        <v>3.2620360000000001E-2</v>
      </c>
    </row>
    <row r="26725" spans="103:104" x14ac:dyDescent="0.3">
      <c r="CY26725" s="34" t="s">
        <v>27651</v>
      </c>
      <c r="CZ26725" s="35">
        <v>7.5063428000000003E-3</v>
      </c>
    </row>
    <row r="26726" spans="103:104" x14ac:dyDescent="0.3">
      <c r="CY26726" s="34" t="s">
        <v>27652</v>
      </c>
      <c r="CZ26726" s="35">
        <v>0.72909966668000004</v>
      </c>
    </row>
    <row r="26727" spans="103:104" x14ac:dyDescent="0.3">
      <c r="CY26727" s="34" t="s">
        <v>27653</v>
      </c>
      <c r="CZ26727" s="35">
        <v>0.63950594999999999</v>
      </c>
    </row>
    <row r="26728" spans="103:104" x14ac:dyDescent="0.3">
      <c r="CY26728" s="34" t="s">
        <v>27654</v>
      </c>
      <c r="CZ26728" s="35">
        <v>0.73109966667999993</v>
      </c>
    </row>
    <row r="26729" spans="103:104" x14ac:dyDescent="0.3">
      <c r="CY26729" s="34" t="s">
        <v>27655</v>
      </c>
      <c r="CZ26729" s="35">
        <v>0.74109966667999994</v>
      </c>
    </row>
    <row r="26730" spans="103:104" x14ac:dyDescent="0.3">
      <c r="CY26730" s="34" t="s">
        <v>27656</v>
      </c>
      <c r="CZ26730" s="35">
        <v>72.280661432000002</v>
      </c>
    </row>
    <row r="26731" spans="103:104" x14ac:dyDescent="0.3">
      <c r="CY26731" s="34" t="s">
        <v>27657</v>
      </c>
      <c r="CZ26731" s="35">
        <v>0.27028643199999997</v>
      </c>
    </row>
    <row r="26732" spans="103:104" x14ac:dyDescent="0.3">
      <c r="CY26732" s="34" t="s">
        <v>27658</v>
      </c>
      <c r="CZ26732" s="35">
        <v>0.78922799732000004</v>
      </c>
    </row>
    <row r="26733" spans="103:104" x14ac:dyDescent="0.3">
      <c r="CY26733" s="34" t="s">
        <v>27659</v>
      </c>
      <c r="CZ26733" s="35">
        <v>0.77539466400000001</v>
      </c>
    </row>
    <row r="26734" spans="103:104" x14ac:dyDescent="0.3">
      <c r="CY26734" s="34" t="s">
        <v>27660</v>
      </c>
      <c r="CZ26734" s="35">
        <v>0.220275357</v>
      </c>
    </row>
    <row r="26735" spans="103:104" x14ac:dyDescent="0.3">
      <c r="CY26735" s="34" t="s">
        <v>27661</v>
      </c>
      <c r="CZ26735" s="35">
        <v>0.213237232</v>
      </c>
    </row>
    <row r="26736" spans="103:104" x14ac:dyDescent="0.3">
      <c r="CY26736" s="34" t="s">
        <v>27662</v>
      </c>
      <c r="CZ26736" s="35">
        <v>2.3695199999999996E-2</v>
      </c>
    </row>
    <row r="26737" spans="103:104" x14ac:dyDescent="0.3">
      <c r="CY26737" s="34" t="s">
        <v>27663</v>
      </c>
      <c r="CZ26737" s="35">
        <v>7.6973458499999994E-2</v>
      </c>
    </row>
    <row r="26738" spans="103:104" x14ac:dyDescent="0.3">
      <c r="CY26738" s="34" t="s">
        <v>27664</v>
      </c>
      <c r="CZ26738" s="35">
        <v>3.7311507300000005E-2</v>
      </c>
    </row>
    <row r="26739" spans="103:104" x14ac:dyDescent="0.3">
      <c r="CY26739" s="34" t="s">
        <v>27665</v>
      </c>
      <c r="CZ26739" s="35">
        <v>7.1206846639999988E-2</v>
      </c>
    </row>
    <row r="26740" spans="103:104" x14ac:dyDescent="0.3">
      <c r="CY26740" s="34" t="s">
        <v>27666</v>
      </c>
      <c r="CZ26740" s="35">
        <v>5.2532613799999996E-2</v>
      </c>
    </row>
    <row r="26741" spans="103:104" x14ac:dyDescent="0.3">
      <c r="CY26741" s="34" t="s">
        <v>27667</v>
      </c>
      <c r="CZ26741" s="35">
        <v>0.42690539599999994</v>
      </c>
    </row>
    <row r="26742" spans="103:104" x14ac:dyDescent="0.3">
      <c r="CY26742" s="34" t="s">
        <v>27668</v>
      </c>
      <c r="CZ26742" s="35">
        <v>0.25444948799999995</v>
      </c>
    </row>
    <row r="26743" spans="103:104" x14ac:dyDescent="0.3">
      <c r="CY26743" s="34" t="s">
        <v>27669</v>
      </c>
      <c r="CZ26743" s="35">
        <v>2.7861928888888891E-4</v>
      </c>
    </row>
    <row r="26744" spans="103:104" x14ac:dyDescent="0.3">
      <c r="CY26744" s="34" t="s">
        <v>27670</v>
      </c>
      <c r="CZ26744" s="35">
        <v>1.9066132164948454E-2</v>
      </c>
    </row>
    <row r="26745" spans="103:104" x14ac:dyDescent="0.3">
      <c r="CY26745" s="34" t="s">
        <v>27671</v>
      </c>
      <c r="CZ26745" s="35">
        <v>3.0659999999999997E-4</v>
      </c>
    </row>
    <row r="26746" spans="103:104" x14ac:dyDescent="0.3">
      <c r="CY26746" s="34" t="s">
        <v>27672</v>
      </c>
      <c r="CZ26746" s="35">
        <v>5.187499999999999E-4</v>
      </c>
    </row>
    <row r="26747" spans="103:104" x14ac:dyDescent="0.3">
      <c r="CY26747" s="34" t="s">
        <v>27673</v>
      </c>
      <c r="CZ26747" s="35">
        <v>3.0659999999999997E-4</v>
      </c>
    </row>
    <row r="26748" spans="103:104" x14ac:dyDescent="0.3">
      <c r="CY26748" s="34" t="s">
        <v>27674</v>
      </c>
      <c r="CZ26748" s="35">
        <v>5.187499999999999E-4</v>
      </c>
    </row>
    <row r="26749" spans="103:104" x14ac:dyDescent="0.3">
      <c r="CY26749" s="34" t="s">
        <v>27675</v>
      </c>
      <c r="CZ26749" s="35">
        <v>1.1356503092783501E-3</v>
      </c>
    </row>
    <row r="26750" spans="103:104" x14ac:dyDescent="0.3">
      <c r="CY26750" s="34" t="s">
        <v>27676</v>
      </c>
      <c r="CZ26750" s="35">
        <v>6.7197690721649487E-4</v>
      </c>
    </row>
    <row r="26751" spans="103:104" x14ac:dyDescent="0.3">
      <c r="CY26751" s="34" t="s">
        <v>27677</v>
      </c>
      <c r="CZ26751" s="35">
        <v>0.31107184488888884</v>
      </c>
    </row>
    <row r="26752" spans="103:104" x14ac:dyDescent="0.3">
      <c r="CY26752" s="34" t="s">
        <v>27678</v>
      </c>
      <c r="CZ26752" s="35">
        <v>1.7886177E-2</v>
      </c>
    </row>
    <row r="26753" spans="103:104" x14ac:dyDescent="0.3">
      <c r="CY26753" s="34" t="s">
        <v>27679</v>
      </c>
      <c r="CZ26753" s="35">
        <v>1.7886177E-2</v>
      </c>
    </row>
    <row r="26754" spans="103:104" x14ac:dyDescent="0.3">
      <c r="CY26754" s="34" t="s">
        <v>27680</v>
      </c>
      <c r="CZ26754" s="35">
        <v>1.7656962000000002E-2</v>
      </c>
    </row>
    <row r="26755" spans="103:104" x14ac:dyDescent="0.3">
      <c r="CY26755" s="34" t="s">
        <v>27681</v>
      </c>
      <c r="CZ26755" s="35">
        <v>1.4076200000000001E-4</v>
      </c>
    </row>
    <row r="26756" spans="103:104" x14ac:dyDescent="0.3">
      <c r="CY26756" s="34" t="s">
        <v>27682</v>
      </c>
      <c r="CZ26756" s="35">
        <v>1.7656962000000002E-2</v>
      </c>
    </row>
    <row r="26757" spans="103:104" x14ac:dyDescent="0.3">
      <c r="CY26757" s="34" t="s">
        <v>27683</v>
      </c>
      <c r="CZ26757" s="35">
        <v>1.318488E-3</v>
      </c>
    </row>
    <row r="26758" spans="103:104" x14ac:dyDescent="0.3">
      <c r="CY26758" s="34" t="s">
        <v>27684</v>
      </c>
      <c r="CZ26758" s="35">
        <v>1.318488E-3</v>
      </c>
    </row>
    <row r="26759" spans="103:104" x14ac:dyDescent="0.3">
      <c r="CY26759" s="34" t="s">
        <v>27685</v>
      </c>
      <c r="CZ26759" s="35">
        <v>1.318488E-3</v>
      </c>
    </row>
    <row r="26760" spans="103:104" x14ac:dyDescent="0.3">
      <c r="CY26760" s="34" t="s">
        <v>27686</v>
      </c>
      <c r="CZ26760" s="35">
        <v>5.4442966666666662E-2</v>
      </c>
    </row>
    <row r="26761" spans="103:104" x14ac:dyDescent="0.3">
      <c r="CY26761" s="34" t="s">
        <v>27687</v>
      </c>
      <c r="CZ26761" s="35">
        <v>0.20311691400000004</v>
      </c>
    </row>
    <row r="26762" spans="103:104" x14ac:dyDescent="0.3">
      <c r="CY26762" s="34" t="s">
        <v>27688</v>
      </c>
      <c r="CZ26762" s="35">
        <v>4.7742937543859644E-2</v>
      </c>
    </row>
    <row r="26763" spans="103:104" x14ac:dyDescent="0.3">
      <c r="CY26763" s="34" t="s">
        <v>27689</v>
      </c>
      <c r="CZ26763" s="35">
        <v>0.20171663333333334</v>
      </c>
    </row>
    <row r="26764" spans="103:104" x14ac:dyDescent="0.3">
      <c r="CY26764" s="34" t="s">
        <v>27690</v>
      </c>
      <c r="CZ26764" s="35">
        <v>6.0858671999999992E-3</v>
      </c>
    </row>
    <row r="26765" spans="103:104" x14ac:dyDescent="0.3">
      <c r="CY26765" s="34" t="s">
        <v>27691</v>
      </c>
      <c r="CZ26765" s="35">
        <v>4.0606455999999999E-2</v>
      </c>
    </row>
    <row r="26766" spans="103:104" x14ac:dyDescent="0.3">
      <c r="CY26766" s="34" t="s">
        <v>27692</v>
      </c>
      <c r="CZ26766" s="35">
        <v>4.0527299999999994E-4</v>
      </c>
    </row>
    <row r="26767" spans="103:104" x14ac:dyDescent="0.3">
      <c r="CY26767" s="34" t="s">
        <v>27693</v>
      </c>
      <c r="CZ26767" s="35">
        <v>8.7560792000000012E-2</v>
      </c>
    </row>
    <row r="26768" spans="103:104" x14ac:dyDescent="0.3">
      <c r="CY26768" s="34" t="s">
        <v>27694</v>
      </c>
      <c r="CZ26768" s="35">
        <v>1.8863280000000002E-4</v>
      </c>
    </row>
    <row r="26769" spans="103:104" x14ac:dyDescent="0.3">
      <c r="CY26769" s="34" t="s">
        <v>27695</v>
      </c>
      <c r="CZ26769" s="35">
        <v>1.2044532E-4</v>
      </c>
    </row>
    <row r="26770" spans="103:104" x14ac:dyDescent="0.3">
      <c r="CY26770" s="34" t="s">
        <v>27696</v>
      </c>
      <c r="CZ26770" s="35">
        <v>4.8858846877766662E-2</v>
      </c>
    </row>
    <row r="26771" spans="103:104" x14ac:dyDescent="0.3">
      <c r="CY26771" s="34" t="s">
        <v>27697</v>
      </c>
      <c r="CZ26771" s="35">
        <v>8.9351453333333343E-4</v>
      </c>
    </row>
    <row r="26772" spans="103:104" x14ac:dyDescent="0.3">
      <c r="CY26772" s="34" t="s">
        <v>27698</v>
      </c>
      <c r="CZ26772" s="35">
        <v>7.1819776000000002E-3</v>
      </c>
    </row>
    <row r="26773" spans="103:104" x14ac:dyDescent="0.3">
      <c r="CY26773" s="34" t="s">
        <v>27699</v>
      </c>
      <c r="CZ26773" s="35">
        <v>1.0940874065420561E-2</v>
      </c>
    </row>
    <row r="26774" spans="103:104" x14ac:dyDescent="0.3">
      <c r="CY26774" s="34" t="s">
        <v>27700</v>
      </c>
      <c r="CZ26774" s="35">
        <v>0.33691763250000006</v>
      </c>
    </row>
    <row r="26775" spans="103:104" x14ac:dyDescent="0.3">
      <c r="CY26775" s="34" t="s">
        <v>27701</v>
      </c>
      <c r="CZ26775" s="35">
        <v>0.22013516999999999</v>
      </c>
    </row>
    <row r="26776" spans="103:104" x14ac:dyDescent="0.3">
      <c r="CY26776" s="34" t="s">
        <v>27702</v>
      </c>
      <c r="CZ26776" s="35">
        <v>0.18401508000000003</v>
      </c>
    </row>
    <row r="26777" spans="103:104" x14ac:dyDescent="0.3">
      <c r="CY26777" s="34" t="s">
        <v>27703</v>
      </c>
      <c r="CZ26777" s="35">
        <v>1.0374999999999998E-3</v>
      </c>
    </row>
    <row r="26778" spans="103:104" x14ac:dyDescent="0.3">
      <c r="CY26778" s="34" t="s">
        <v>27704</v>
      </c>
      <c r="CZ26778" s="35">
        <v>3.1482344000000002E-2</v>
      </c>
    </row>
    <row r="26779" spans="103:104" x14ac:dyDescent="0.3">
      <c r="CY26779" s="34" t="s">
        <v>27705</v>
      </c>
      <c r="CZ26779" s="35">
        <v>4.4676538599999996E-2</v>
      </c>
    </row>
    <row r="26780" spans="103:104" x14ac:dyDescent="0.3">
      <c r="CY26780" s="34" t="s">
        <v>27706</v>
      </c>
      <c r="CZ26780" s="35">
        <v>4.112267666666667E-2</v>
      </c>
    </row>
    <row r="26781" spans="103:104" x14ac:dyDescent="0.3">
      <c r="CY26781" s="34" t="s">
        <v>27707</v>
      </c>
      <c r="CZ26781" s="35">
        <v>4.112267666666667E-2</v>
      </c>
    </row>
    <row r="26782" spans="103:104" x14ac:dyDescent="0.3">
      <c r="CY26782" s="34" t="s">
        <v>27708</v>
      </c>
      <c r="CZ26782" s="35">
        <v>1.0339875E-2</v>
      </c>
    </row>
    <row r="26783" spans="103:104" x14ac:dyDescent="0.3">
      <c r="CY26783" s="34" t="s">
        <v>27709</v>
      </c>
      <c r="CZ26783" s="35">
        <v>9.1581749999999993E-3</v>
      </c>
    </row>
    <row r="26784" spans="103:104" x14ac:dyDescent="0.3">
      <c r="CY26784" s="34" t="s">
        <v>27710</v>
      </c>
      <c r="CZ26784" s="35">
        <v>9.0742800000000005E-3</v>
      </c>
    </row>
    <row r="26785" spans="103:104" x14ac:dyDescent="0.3">
      <c r="CY26785" s="34" t="s">
        <v>27711</v>
      </c>
      <c r="CZ26785" s="35">
        <v>9.2538124999999999E-3</v>
      </c>
    </row>
    <row r="26786" spans="103:104" x14ac:dyDescent="0.3">
      <c r="CY26786" s="34" t="s">
        <v>27712</v>
      </c>
      <c r="CZ26786" s="35">
        <v>9.2538124999999999E-3</v>
      </c>
    </row>
    <row r="26787" spans="103:104" x14ac:dyDescent="0.3">
      <c r="CY26787" s="34" t="s">
        <v>27713</v>
      </c>
      <c r="CZ26787" s="35">
        <v>6.8437161999999996E-2</v>
      </c>
    </row>
    <row r="26788" spans="103:104" x14ac:dyDescent="0.3">
      <c r="CY26788" s="34" t="s">
        <v>27714</v>
      </c>
      <c r="CZ26788" s="35">
        <v>6.8437161999999996E-2</v>
      </c>
    </row>
    <row r="26789" spans="103:104" x14ac:dyDescent="0.3">
      <c r="CY26789" s="34" t="s">
        <v>27715</v>
      </c>
      <c r="CZ26789" s="35">
        <v>6.5670912000000012E-2</v>
      </c>
    </row>
    <row r="26790" spans="103:104" x14ac:dyDescent="0.3">
      <c r="CY26790" s="34" t="s">
        <v>27716</v>
      </c>
      <c r="CZ26790" s="35">
        <v>1.6601003428571431E-2</v>
      </c>
    </row>
    <row r="26791" spans="103:104" x14ac:dyDescent="0.3">
      <c r="CY26791" s="34" t="s">
        <v>27717</v>
      </c>
      <c r="CZ26791" s="35">
        <v>4.4842470000000002E-3</v>
      </c>
    </row>
    <row r="26792" spans="103:104" x14ac:dyDescent="0.3">
      <c r="CY26792" s="34" t="s">
        <v>27718</v>
      </c>
      <c r="CZ26792" s="35">
        <v>9.5344999999999996E-3</v>
      </c>
    </row>
    <row r="26793" spans="103:104" x14ac:dyDescent="0.3">
      <c r="CY26793" s="34" t="s">
        <v>27719</v>
      </c>
      <c r="CZ26793" s="35">
        <v>5.0604672E-3</v>
      </c>
    </row>
    <row r="26794" spans="103:104" x14ac:dyDescent="0.3">
      <c r="CY26794" s="34" t="s">
        <v>27720</v>
      </c>
      <c r="CZ26794" s="35">
        <v>2.5683104000000002E-2</v>
      </c>
    </row>
    <row r="26795" spans="103:104" x14ac:dyDescent="0.3">
      <c r="CY26795" s="34" t="s">
        <v>27721</v>
      </c>
      <c r="CZ26795" s="35">
        <v>9.8907999999999996E-2</v>
      </c>
    </row>
    <row r="26796" spans="103:104" x14ac:dyDescent="0.3">
      <c r="CY26796" s="34" t="s">
        <v>27722</v>
      </c>
      <c r="CZ26796" s="35">
        <v>4.0296613333333335E-2</v>
      </c>
    </row>
    <row r="26797" spans="103:104" x14ac:dyDescent="0.3">
      <c r="CY26797" s="34" t="s">
        <v>27723</v>
      </c>
      <c r="CZ26797" s="35">
        <v>9.6799200000000002E-2</v>
      </c>
    </row>
    <row r="26798" spans="103:104" x14ac:dyDescent="0.3">
      <c r="CY26798" s="34" t="s">
        <v>27724</v>
      </c>
      <c r="CZ26798" s="35">
        <v>0.16676581333333332</v>
      </c>
    </row>
    <row r="26799" spans="103:104" x14ac:dyDescent="0.3">
      <c r="CY26799" s="34" t="s">
        <v>27725</v>
      </c>
      <c r="CZ26799" s="35">
        <v>0.17276864888888885</v>
      </c>
    </row>
    <row r="26800" spans="103:104" x14ac:dyDescent="0.3">
      <c r="CY26800" s="34" t="s">
        <v>27726</v>
      </c>
      <c r="CZ26800" s="35">
        <v>8.2576639999999996E-3</v>
      </c>
    </row>
    <row r="26801" spans="103:104" x14ac:dyDescent="0.3">
      <c r="CY26801" s="34" t="s">
        <v>27727</v>
      </c>
      <c r="CZ26801" s="35">
        <v>0.18003941666666667</v>
      </c>
    </row>
    <row r="26802" spans="103:104" x14ac:dyDescent="0.3">
      <c r="CY26802" s="34" t="s">
        <v>27728</v>
      </c>
      <c r="CZ26802" s="35">
        <v>6.1962680000000004E-3</v>
      </c>
    </row>
    <row r="26803" spans="103:104" x14ac:dyDescent="0.3">
      <c r="CY26803" s="34" t="s">
        <v>27729</v>
      </c>
      <c r="CZ26803" s="35">
        <v>4.4801199999999989E-3</v>
      </c>
    </row>
    <row r="26804" spans="103:104" x14ac:dyDescent="0.3">
      <c r="CY26804" s="34" t="s">
        <v>27730</v>
      </c>
      <c r="CZ26804" s="35">
        <v>3.9467618666666673E-3</v>
      </c>
    </row>
    <row r="26805" spans="103:104" x14ac:dyDescent="0.3">
      <c r="CY26805" s="34" t="s">
        <v>27731</v>
      </c>
      <c r="CZ26805" s="35">
        <v>1.9126732800000001E-2</v>
      </c>
    </row>
    <row r="26806" spans="103:104" x14ac:dyDescent="0.3">
      <c r="CY26806" s="34" t="s">
        <v>27732</v>
      </c>
      <c r="CZ26806" s="35">
        <v>0.32289862499999994</v>
      </c>
    </row>
    <row r="26807" spans="103:104" x14ac:dyDescent="0.3">
      <c r="CY26807" s="34" t="s">
        <v>27733</v>
      </c>
      <c r="CZ26807" s="35">
        <v>0.13398256842105266</v>
      </c>
    </row>
    <row r="26808" spans="103:104" x14ac:dyDescent="0.3">
      <c r="CY26808" s="34" t="s">
        <v>27734</v>
      </c>
      <c r="CZ26808" s="35">
        <v>8.4357695999999992E-4</v>
      </c>
    </row>
    <row r="26809" spans="103:104" x14ac:dyDescent="0.3">
      <c r="CY26809" s="34" t="s">
        <v>27735</v>
      </c>
      <c r="CZ26809" s="35">
        <v>0.11553213999999999</v>
      </c>
    </row>
    <row r="26810" spans="103:104" x14ac:dyDescent="0.3">
      <c r="CY26810" s="34" t="s">
        <v>27736</v>
      </c>
      <c r="CZ26810" s="35">
        <v>3.8117423999999996E-3</v>
      </c>
    </row>
    <row r="26811" spans="103:104" x14ac:dyDescent="0.3">
      <c r="CY26811" s="34" t="s">
        <v>27737</v>
      </c>
      <c r="CZ26811" s="35">
        <v>3.0910346800000006E-3</v>
      </c>
    </row>
    <row r="26812" spans="103:104" x14ac:dyDescent="0.3">
      <c r="CY26812" s="34" t="s">
        <v>27738</v>
      </c>
      <c r="CZ26812" s="35">
        <v>3.0800643199999996E-3</v>
      </c>
    </row>
    <row r="26813" spans="103:104" x14ac:dyDescent="0.3">
      <c r="CY26813" s="34" t="s">
        <v>27739</v>
      </c>
      <c r="CZ26813" s="35">
        <v>3.2125638444444444E-3</v>
      </c>
    </row>
    <row r="26814" spans="103:104" x14ac:dyDescent="0.3">
      <c r="CY26814" s="34" t="s">
        <v>27740</v>
      </c>
      <c r="CZ26814" s="35">
        <v>1.8536389333333335E-3</v>
      </c>
    </row>
    <row r="26815" spans="103:104" x14ac:dyDescent="0.3">
      <c r="CY26815" s="34" t="s">
        <v>27741</v>
      </c>
      <c r="CZ26815" s="35">
        <v>0.39461233000000001</v>
      </c>
    </row>
    <row r="26816" spans="103:104" x14ac:dyDescent="0.3">
      <c r="CY26816" s="34" t="s">
        <v>27742</v>
      </c>
      <c r="CZ26816" s="35">
        <v>8.0201172479999992E-3</v>
      </c>
    </row>
    <row r="26817" spans="103:104" x14ac:dyDescent="0.3">
      <c r="CY26817" s="34" t="s">
        <v>27743</v>
      </c>
      <c r="CZ26817" s="35">
        <v>7.7370169999999997E-3</v>
      </c>
    </row>
    <row r="26818" spans="103:104" x14ac:dyDescent="0.3">
      <c r="CY26818" s="34" t="s">
        <v>27744</v>
      </c>
      <c r="CZ26818" s="35">
        <v>2.6106844000000001E-2</v>
      </c>
    </row>
    <row r="26819" spans="103:104" x14ac:dyDescent="0.3">
      <c r="CY26819" s="34" t="s">
        <v>27745</v>
      </c>
      <c r="CZ26819" s="35">
        <v>0.39439172499999997</v>
      </c>
    </row>
    <row r="26820" spans="103:104" x14ac:dyDescent="0.3">
      <c r="CY26820" s="34" t="s">
        <v>27746</v>
      </c>
      <c r="CZ26820" s="35">
        <v>0.73789955000000007</v>
      </c>
    </row>
    <row r="26821" spans="103:104" x14ac:dyDescent="0.3">
      <c r="CY26821" s="34" t="s">
        <v>27747</v>
      </c>
      <c r="CZ26821" s="35">
        <v>0.10635630900000001</v>
      </c>
    </row>
    <row r="26822" spans="103:104" x14ac:dyDescent="0.3">
      <c r="CY26822" s="34" t="s">
        <v>27748</v>
      </c>
      <c r="CZ26822" s="35">
        <v>0.75349200000000005</v>
      </c>
    </row>
    <row r="26823" spans="103:104" x14ac:dyDescent="0.3">
      <c r="CY26823" s="34" t="s">
        <v>27749</v>
      </c>
      <c r="CZ26823" s="35">
        <v>2.4812199599999998E-2</v>
      </c>
    </row>
    <row r="26824" spans="103:104" x14ac:dyDescent="0.3">
      <c r="CY26824" s="34" t="s">
        <v>27750</v>
      </c>
      <c r="CZ26824" s="35">
        <v>0.104907264</v>
      </c>
    </row>
    <row r="26825" spans="103:104" x14ac:dyDescent="0.3">
      <c r="CY26825" s="34" t="s">
        <v>27751</v>
      </c>
      <c r="CZ26825" s="35">
        <v>0.10490726400000001</v>
      </c>
    </row>
    <row r="26826" spans="103:104" x14ac:dyDescent="0.3">
      <c r="CY26826" s="34" t="s">
        <v>27752</v>
      </c>
      <c r="CZ26826" s="35">
        <v>1.2694752000000001E-4</v>
      </c>
    </row>
    <row r="26827" spans="103:104" x14ac:dyDescent="0.3">
      <c r="CY26827" s="34" t="s">
        <v>27753</v>
      </c>
      <c r="CZ26827" s="35">
        <v>4.6048964999999997E-2</v>
      </c>
    </row>
    <row r="26828" spans="103:104" x14ac:dyDescent="0.3">
      <c r="CY26828" s="34" t="s">
        <v>27754</v>
      </c>
      <c r="CZ26828" s="35">
        <v>4.416500668E-2</v>
      </c>
    </row>
    <row r="26829" spans="103:104" x14ac:dyDescent="0.3">
      <c r="CY26829" s="34" t="s">
        <v>27755</v>
      </c>
      <c r="CZ26829" s="35">
        <v>0.32539679999999999</v>
      </c>
    </row>
    <row r="26830" spans="103:104" x14ac:dyDescent="0.3">
      <c r="CY26830" s="34" t="s">
        <v>27756</v>
      </c>
      <c r="CZ26830" s="35">
        <v>4.1000304000000003E-3</v>
      </c>
    </row>
    <row r="26831" spans="103:104" x14ac:dyDescent="0.3">
      <c r="CY26831" s="34" t="s">
        <v>27757</v>
      </c>
      <c r="CZ26831" s="35">
        <v>0.53876055599999995</v>
      </c>
    </row>
    <row r="26832" spans="103:104" x14ac:dyDescent="0.3">
      <c r="CY26832" s="34" t="s">
        <v>27758</v>
      </c>
      <c r="CZ26832" s="35">
        <v>0.58125669800000002</v>
      </c>
    </row>
    <row r="26833" spans="103:104" x14ac:dyDescent="0.3">
      <c r="CY26833" s="34" t="s">
        <v>27759</v>
      </c>
      <c r="CZ26833" s="35">
        <v>0.58251004200000001</v>
      </c>
    </row>
    <row r="26834" spans="103:104" x14ac:dyDescent="0.3">
      <c r="CY26834" s="34" t="s">
        <v>27760</v>
      </c>
      <c r="CZ26834" s="35">
        <v>0.76769230050000004</v>
      </c>
    </row>
    <row r="26835" spans="103:104" x14ac:dyDescent="0.3">
      <c r="CY26835" s="34" t="s">
        <v>27761</v>
      </c>
      <c r="CZ26835" s="35">
        <v>0.9508803766666668</v>
      </c>
    </row>
    <row r="26836" spans="103:104" x14ac:dyDescent="0.3">
      <c r="CY26836" s="34" t="s">
        <v>27762</v>
      </c>
      <c r="CZ26836" s="35">
        <v>0.56754528600000009</v>
      </c>
    </row>
    <row r="26837" spans="103:104" x14ac:dyDescent="0.3">
      <c r="CY26837" s="34" t="s">
        <v>27763</v>
      </c>
      <c r="CZ26837" s="35">
        <v>0.59395996200000001</v>
      </c>
    </row>
    <row r="26838" spans="103:104" x14ac:dyDescent="0.3">
      <c r="CY26838" s="34" t="s">
        <v>27764</v>
      </c>
      <c r="CZ26838" s="35">
        <v>8.4709953600000006E-3</v>
      </c>
    </row>
    <row r="26839" spans="103:104" x14ac:dyDescent="0.3">
      <c r="CY26839" s="34" t="s">
        <v>27765</v>
      </c>
      <c r="CZ26839" s="35">
        <v>4.62468412E-3</v>
      </c>
    </row>
    <row r="26840" spans="103:104" x14ac:dyDescent="0.3">
      <c r="CY26840" s="34" t="s">
        <v>27766</v>
      </c>
      <c r="CZ26840" s="35">
        <v>2.3880000000000003E-4</v>
      </c>
    </row>
    <row r="26841" spans="103:104" x14ac:dyDescent="0.3">
      <c r="CY26841" s="34" t="s">
        <v>27767</v>
      </c>
      <c r="CZ26841" s="35">
        <v>4.3709280000000005E-3</v>
      </c>
    </row>
    <row r="26842" spans="103:104" x14ac:dyDescent="0.3">
      <c r="CY26842" s="34" t="s">
        <v>27768</v>
      </c>
      <c r="CZ26842" s="35">
        <v>1.80881232399E-2</v>
      </c>
    </row>
    <row r="26843" spans="103:104" x14ac:dyDescent="0.3">
      <c r="CY26843" s="34" t="s">
        <v>27769</v>
      </c>
      <c r="CZ26843" s="35">
        <v>5.1962960000000004E-3</v>
      </c>
    </row>
    <row r="26844" spans="103:104" x14ac:dyDescent="0.3">
      <c r="CY26844" s="34" t="s">
        <v>27770</v>
      </c>
      <c r="CZ26844" s="35">
        <v>3.3076728000000001E-3</v>
      </c>
    </row>
    <row r="26845" spans="103:104" x14ac:dyDescent="0.3">
      <c r="CY26845" s="34" t="s">
        <v>27771</v>
      </c>
      <c r="CZ26845" s="35">
        <v>2.8783728E-3</v>
      </c>
    </row>
    <row r="26846" spans="103:104" x14ac:dyDescent="0.3">
      <c r="CY26846" s="34" t="s">
        <v>27772</v>
      </c>
      <c r="CZ26846" s="35">
        <v>6.8524335999999991E-3</v>
      </c>
    </row>
    <row r="26847" spans="103:104" x14ac:dyDescent="0.3">
      <c r="CY26847" s="34" t="s">
        <v>27773</v>
      </c>
      <c r="CZ26847" s="35">
        <v>1.8298586666666665E-3</v>
      </c>
    </row>
    <row r="26848" spans="103:104" x14ac:dyDescent="0.3">
      <c r="CY26848" s="34" t="s">
        <v>27774</v>
      </c>
      <c r="CZ26848" s="35">
        <v>9.7697700000000005E-3</v>
      </c>
    </row>
    <row r="26849" spans="103:104" x14ac:dyDescent="0.3">
      <c r="CY26849" s="34" t="s">
        <v>27775</v>
      </c>
      <c r="CZ26849" s="35">
        <v>5.3164400000000001E-2</v>
      </c>
    </row>
    <row r="26850" spans="103:104" x14ac:dyDescent="0.3">
      <c r="CY26850" s="34" t="s">
        <v>27776</v>
      </c>
      <c r="CZ26850" s="35">
        <v>3.4415767999999998E-4</v>
      </c>
    </row>
    <row r="26851" spans="103:104" x14ac:dyDescent="0.3">
      <c r="CY26851" s="34" t="s">
        <v>27777</v>
      </c>
      <c r="CZ26851" s="35">
        <v>3.5384319999999997E-4</v>
      </c>
    </row>
    <row r="26852" spans="103:104" x14ac:dyDescent="0.3">
      <c r="CY26852" s="34" t="s">
        <v>27778</v>
      </c>
      <c r="CZ26852" s="35">
        <v>4.2164184E-4</v>
      </c>
    </row>
    <row r="26853" spans="103:104" x14ac:dyDescent="0.3">
      <c r="CY26853" s="34" t="s">
        <v>27779</v>
      </c>
      <c r="CZ26853" s="35">
        <v>7.5079999999999993E-5</v>
      </c>
    </row>
    <row r="26854" spans="103:104" x14ac:dyDescent="0.3">
      <c r="CY26854" s="34" t="s">
        <v>27780</v>
      </c>
      <c r="CZ26854" s="35">
        <v>4.3063077999999998E-2</v>
      </c>
    </row>
    <row r="26855" spans="103:104" x14ac:dyDescent="0.3">
      <c r="CY26855" s="34" t="s">
        <v>27781</v>
      </c>
      <c r="CZ26855" s="35">
        <v>2.5155240000000002E-2</v>
      </c>
    </row>
    <row r="26856" spans="103:104" x14ac:dyDescent="0.3">
      <c r="CY26856" s="34" t="s">
        <v>27782</v>
      </c>
      <c r="CZ26856" s="35">
        <v>21.89061871955526</v>
      </c>
    </row>
    <row r="26857" spans="103:104" x14ac:dyDescent="0.3">
      <c r="CY26857" s="34" t="s">
        <v>27783</v>
      </c>
      <c r="CZ26857" s="35">
        <v>4.9833333333333327E-4</v>
      </c>
    </row>
    <row r="26858" spans="103:104" x14ac:dyDescent="0.3">
      <c r="CY26858" s="34" t="s">
        <v>27784</v>
      </c>
      <c r="CZ26858" s="35">
        <v>17.408601364899997</v>
      </c>
    </row>
    <row r="26859" spans="103:104" x14ac:dyDescent="0.3">
      <c r="CY26859" s="34" t="s">
        <v>27785</v>
      </c>
      <c r="CZ26859" s="35">
        <v>2.677400228571428E-2</v>
      </c>
    </row>
    <row r="26860" spans="103:104" x14ac:dyDescent="0.3">
      <c r="CY26860" s="34" t="s">
        <v>27786</v>
      </c>
      <c r="CZ26860" s="35">
        <v>1.9546418285714285E-2</v>
      </c>
    </row>
    <row r="26861" spans="103:104" x14ac:dyDescent="0.3">
      <c r="CY26861" s="34" t="s">
        <v>27787</v>
      </c>
      <c r="CZ26861" s="35">
        <v>0.31276857730612245</v>
      </c>
    </row>
    <row r="26862" spans="103:104" x14ac:dyDescent="0.3">
      <c r="CY26862" s="34" t="s">
        <v>27788</v>
      </c>
      <c r="CZ26862" s="35">
        <v>0.32393617822448983</v>
      </c>
    </row>
    <row r="26863" spans="103:104" x14ac:dyDescent="0.3">
      <c r="CY26863" s="34" t="s">
        <v>27789</v>
      </c>
      <c r="CZ26863" s="35">
        <v>0.44394703102040817</v>
      </c>
    </row>
    <row r="26864" spans="103:104" x14ac:dyDescent="0.3">
      <c r="CY26864" s="34" t="s">
        <v>27790</v>
      </c>
      <c r="CZ26864" s="35">
        <v>1.0072989171428571E-3</v>
      </c>
    </row>
    <row r="26865" spans="103:104" x14ac:dyDescent="0.3">
      <c r="CY26865" s="34" t="s">
        <v>27791</v>
      </c>
      <c r="CZ26865" s="35">
        <v>1.3743738285714287E-2</v>
      </c>
    </row>
    <row r="26866" spans="103:104" x14ac:dyDescent="0.3">
      <c r="CY26866" s="34" t="s">
        <v>27792</v>
      </c>
      <c r="CZ26866" s="35">
        <v>1.5346014285714287E-2</v>
      </c>
    </row>
    <row r="26867" spans="103:104" x14ac:dyDescent="0.3">
      <c r="CY26867" s="34" t="s">
        <v>27793</v>
      </c>
      <c r="CZ26867" s="35">
        <v>1.8313813200000001E-2</v>
      </c>
    </row>
    <row r="26868" spans="103:104" x14ac:dyDescent="0.3">
      <c r="CY26868" s="34" t="s">
        <v>27794</v>
      </c>
      <c r="CZ26868" s="35">
        <v>8.1068035999999996E-2</v>
      </c>
    </row>
    <row r="26869" spans="103:104" x14ac:dyDescent="0.3">
      <c r="CY26869" s="34" t="s">
        <v>27795</v>
      </c>
      <c r="CZ26869" s="35">
        <v>0.12638949066666666</v>
      </c>
    </row>
    <row r="26870" spans="103:104" x14ac:dyDescent="0.3">
      <c r="CY26870" s="34" t="s">
        <v>27796</v>
      </c>
      <c r="CZ26870" s="35">
        <v>0.14432825000000002</v>
      </c>
    </row>
    <row r="26871" spans="103:104" x14ac:dyDescent="0.3">
      <c r="CY26871" s="34" t="s">
        <v>27797</v>
      </c>
      <c r="CZ26871" s="35">
        <v>3.0319116000000003E-4</v>
      </c>
    </row>
    <row r="26872" spans="103:104" x14ac:dyDescent="0.3">
      <c r="CY26872" s="34" t="s">
        <v>27798</v>
      </c>
      <c r="CZ26872" s="35">
        <v>3.38158E-2</v>
      </c>
    </row>
    <row r="26873" spans="103:104" x14ac:dyDescent="0.3">
      <c r="CY26873" s="34" t="s">
        <v>27799</v>
      </c>
      <c r="CZ26873" s="35">
        <v>1.0702375326923077E-2</v>
      </c>
    </row>
    <row r="26874" spans="103:104" x14ac:dyDescent="0.3">
      <c r="CY26874" s="34" t="s">
        <v>27800</v>
      </c>
      <c r="CZ26874" s="35">
        <v>0.15352493</v>
      </c>
    </row>
    <row r="26875" spans="103:104" x14ac:dyDescent="0.3">
      <c r="CY26875" s="34" t="s">
        <v>27801</v>
      </c>
      <c r="CZ26875" s="35">
        <v>0.66291767999999995</v>
      </c>
    </row>
    <row r="26876" spans="103:104" x14ac:dyDescent="0.3">
      <c r="CY26876" s="34" t="s">
        <v>27802</v>
      </c>
      <c r="CZ26876" s="35">
        <v>0.63182807500000004</v>
      </c>
    </row>
    <row r="26877" spans="103:104" x14ac:dyDescent="0.3">
      <c r="CY26877" s="34" t="s">
        <v>27803</v>
      </c>
      <c r="CZ26877" s="35">
        <v>3.8054482E-3</v>
      </c>
    </row>
    <row r="26878" spans="103:104" x14ac:dyDescent="0.3">
      <c r="CY26878" s="34" t="s">
        <v>27804</v>
      </c>
      <c r="CZ26878" s="35">
        <v>0.31888302100000004</v>
      </c>
    </row>
    <row r="26879" spans="103:104" x14ac:dyDescent="0.3">
      <c r="CY26879" s="34" t="s">
        <v>27805</v>
      </c>
      <c r="CZ26879" s="35">
        <v>7.1363869999999992E-3</v>
      </c>
    </row>
    <row r="26880" spans="103:104" x14ac:dyDescent="0.3">
      <c r="CY26880" s="34" t="s">
        <v>27806</v>
      </c>
      <c r="CZ26880" s="35">
        <v>5.1800000000000001E-4</v>
      </c>
    </row>
    <row r="26881" spans="103:104" x14ac:dyDescent="0.3">
      <c r="CY26881" s="34" t="s">
        <v>27807</v>
      </c>
      <c r="CZ26881" s="35">
        <v>3.1045832000000002E-2</v>
      </c>
    </row>
    <row r="26882" spans="103:104" x14ac:dyDescent="0.3">
      <c r="CY26882" s="34" t="s">
        <v>27808</v>
      </c>
      <c r="CZ26882" s="35">
        <v>6.7183348600000012E-2</v>
      </c>
    </row>
    <row r="26883" spans="103:104" x14ac:dyDescent="0.3">
      <c r="CY26883" s="34" t="s">
        <v>27809</v>
      </c>
      <c r="CZ26883" s="35">
        <v>6.3919220800000009E-2</v>
      </c>
    </row>
    <row r="26884" spans="103:104" x14ac:dyDescent="0.3">
      <c r="CY26884" s="34" t="s">
        <v>27810</v>
      </c>
      <c r="CZ26884" s="35">
        <v>8.3290854160000011E-2</v>
      </c>
    </row>
    <row r="26885" spans="103:104" x14ac:dyDescent="0.3">
      <c r="CY26885" s="34" t="s">
        <v>27811</v>
      </c>
      <c r="CZ26885" s="35">
        <v>1.4303491999999999E-3</v>
      </c>
    </row>
    <row r="26886" spans="103:104" x14ac:dyDescent="0.3">
      <c r="CY26886" s="34" t="s">
        <v>27812</v>
      </c>
      <c r="CZ26886" s="35">
        <v>9.5275830000000006E-2</v>
      </c>
    </row>
    <row r="26887" spans="103:104" x14ac:dyDescent="0.3">
      <c r="CY26887" s="34" t="s">
        <v>27813</v>
      </c>
      <c r="CZ26887" s="35">
        <v>6.0027480000000005E-3</v>
      </c>
    </row>
    <row r="26888" spans="103:104" x14ac:dyDescent="0.3">
      <c r="CY26888" s="34" t="s">
        <v>27814</v>
      </c>
      <c r="CZ26888" s="35">
        <v>0.15346708000000001</v>
      </c>
    </row>
    <row r="26889" spans="103:104" x14ac:dyDescent="0.3">
      <c r="CY26889" s="34" t="s">
        <v>27815</v>
      </c>
      <c r="CZ26889" s="35">
        <v>0.25208619199999999</v>
      </c>
    </row>
    <row r="26890" spans="103:104" x14ac:dyDescent="0.3">
      <c r="CY26890" s="34" t="s">
        <v>27816</v>
      </c>
      <c r="CZ26890" s="35">
        <v>1.256749022222222E-2</v>
      </c>
    </row>
    <row r="26891" spans="103:104" x14ac:dyDescent="0.3">
      <c r="CY26891" s="34" t="s">
        <v>27817</v>
      </c>
      <c r="CZ26891" s="35">
        <v>0.55289644500000001</v>
      </c>
    </row>
    <row r="26892" spans="103:104" x14ac:dyDescent="0.3">
      <c r="CY26892" s="34" t="s">
        <v>27818</v>
      </c>
      <c r="CZ26892" s="35">
        <v>9.959599999999999E-2</v>
      </c>
    </row>
    <row r="26893" spans="103:104" x14ac:dyDescent="0.3">
      <c r="CY26893" s="34" t="s">
        <v>27819</v>
      </c>
      <c r="CZ26893" s="35">
        <v>0.51657664999999997</v>
      </c>
    </row>
    <row r="26894" spans="103:104" x14ac:dyDescent="0.3">
      <c r="CY26894" s="34" t="s">
        <v>27820</v>
      </c>
      <c r="CZ26894" s="35">
        <v>1.10975E-4</v>
      </c>
    </row>
    <row r="26895" spans="103:104" x14ac:dyDescent="0.3">
      <c r="CY26895" s="34" t="s">
        <v>27821</v>
      </c>
      <c r="CZ26895" s="35">
        <v>0.16697266669999999</v>
      </c>
    </row>
    <row r="26896" spans="103:104" x14ac:dyDescent="0.3">
      <c r="CY26896" s="34" t="s">
        <v>27822</v>
      </c>
      <c r="CZ26896" s="35">
        <v>8.6235277894736832E-3</v>
      </c>
    </row>
    <row r="26897" spans="103:104" x14ac:dyDescent="0.3">
      <c r="CY26897" s="34" t="s">
        <v>27823</v>
      </c>
      <c r="CZ26897" s="35">
        <v>8.6235277894736832E-3</v>
      </c>
    </row>
    <row r="26898" spans="103:104" x14ac:dyDescent="0.3">
      <c r="CY26898" s="34" t="s">
        <v>27824</v>
      </c>
      <c r="CZ26898" s="35">
        <v>7.6946169999999999E-3</v>
      </c>
    </row>
    <row r="26899" spans="103:104" x14ac:dyDescent="0.3">
      <c r="CY26899" s="34" t="s">
        <v>27825</v>
      </c>
      <c r="CZ26899" s="35">
        <v>8.9702012499999987E-3</v>
      </c>
    </row>
    <row r="26900" spans="103:104" x14ac:dyDescent="0.3">
      <c r="CY26900" s="34" t="s">
        <v>27826</v>
      </c>
      <c r="CZ26900" s="35">
        <v>8.6666856842105254E-3</v>
      </c>
    </row>
    <row r="26901" spans="103:104" x14ac:dyDescent="0.3">
      <c r="CY26901" s="34" t="s">
        <v>27827</v>
      </c>
      <c r="CZ26901" s="35">
        <v>8.0997775709342554E-3</v>
      </c>
    </row>
    <row r="26902" spans="103:104" x14ac:dyDescent="0.3">
      <c r="CY26902" s="34" t="s">
        <v>27828</v>
      </c>
      <c r="CZ26902" s="35">
        <v>6.9858284210526306E-3</v>
      </c>
    </row>
    <row r="26903" spans="103:104" x14ac:dyDescent="0.3">
      <c r="CY26903" s="34" t="s">
        <v>27829</v>
      </c>
      <c r="CZ26903" s="35">
        <v>7.6520184000000002E-3</v>
      </c>
    </row>
    <row r="26904" spans="103:104" x14ac:dyDescent="0.3">
      <c r="CY26904" s="34" t="s">
        <v>27830</v>
      </c>
      <c r="CZ26904" s="35">
        <v>9.3406916666666662E-3</v>
      </c>
    </row>
    <row r="26905" spans="103:104" x14ac:dyDescent="0.3">
      <c r="CY26905" s="34" t="s">
        <v>27831</v>
      </c>
      <c r="CZ26905" s="35">
        <v>5.0861808000000003E-3</v>
      </c>
    </row>
    <row r="26906" spans="103:104" x14ac:dyDescent="0.3">
      <c r="CY26906" s="34" t="s">
        <v>27832</v>
      </c>
      <c r="CZ26906" s="35">
        <v>2.2162627999999995E-3</v>
      </c>
    </row>
    <row r="26907" spans="103:104" x14ac:dyDescent="0.3">
      <c r="CY26907" s="34" t="s">
        <v>27833</v>
      </c>
      <c r="CZ26907" s="35">
        <v>5.0861808000000003E-3</v>
      </c>
    </row>
    <row r="26908" spans="103:104" x14ac:dyDescent="0.3">
      <c r="CY26908" s="34" t="s">
        <v>27834</v>
      </c>
      <c r="CZ26908" s="35">
        <v>1.8321991999999999E-2</v>
      </c>
    </row>
    <row r="26909" spans="103:104" x14ac:dyDescent="0.3">
      <c r="CY26909" s="34" t="s">
        <v>27835</v>
      </c>
      <c r="CZ26909" s="35">
        <v>1.6435379999999999E-2</v>
      </c>
    </row>
    <row r="26910" spans="103:104" x14ac:dyDescent="0.3">
      <c r="CY26910" s="34" t="s">
        <v>27836</v>
      </c>
      <c r="CZ26910" s="35">
        <v>0.15096977139999998</v>
      </c>
    </row>
    <row r="26911" spans="103:104" x14ac:dyDescent="0.3">
      <c r="CY26911" s="34" t="s">
        <v>27837</v>
      </c>
      <c r="CZ26911" s="35">
        <v>7.5222330000000006E-3</v>
      </c>
    </row>
    <row r="26912" spans="103:104" x14ac:dyDescent="0.3">
      <c r="CY26912" s="34" t="s">
        <v>27838</v>
      </c>
      <c r="CZ26912" s="35">
        <v>2.6352145777777777E-2</v>
      </c>
    </row>
    <row r="26913" spans="103:104" x14ac:dyDescent="0.3">
      <c r="CY26913" s="34" t="s">
        <v>27839</v>
      </c>
      <c r="CZ26913" s="35">
        <v>0.42557716666666667</v>
      </c>
    </row>
    <row r="26914" spans="103:104" x14ac:dyDescent="0.3">
      <c r="CY26914" s="34" t="s">
        <v>27840</v>
      </c>
      <c r="CZ26914" s="35">
        <v>0.52888916799999985</v>
      </c>
    </row>
    <row r="26915" spans="103:104" x14ac:dyDescent="0.3">
      <c r="CY26915" s="34" t="s">
        <v>27841</v>
      </c>
      <c r="CZ26915" s="35">
        <v>0.27924154800000001</v>
      </c>
    </row>
    <row r="26916" spans="103:104" x14ac:dyDescent="0.3">
      <c r="CY26916" s="34" t="s">
        <v>27842</v>
      </c>
      <c r="CZ26916" s="35">
        <v>0.34822869999999995</v>
      </c>
    </row>
    <row r="26917" spans="103:104" x14ac:dyDescent="0.3">
      <c r="CY26917" s="34" t="s">
        <v>27843</v>
      </c>
      <c r="CZ26917" s="35">
        <v>0.28317877999999996</v>
      </c>
    </row>
    <row r="26918" spans="103:104" x14ac:dyDescent="0.3">
      <c r="CY26918" s="34" t="s">
        <v>27844</v>
      </c>
      <c r="CZ26918" s="35">
        <v>3.5496125000000003E-3</v>
      </c>
    </row>
    <row r="26919" spans="103:104" x14ac:dyDescent="0.3">
      <c r="CY26919" s="34" t="s">
        <v>27845</v>
      </c>
      <c r="CZ26919" s="35">
        <v>4.9082932799999991E-3</v>
      </c>
    </row>
    <row r="26920" spans="103:104" x14ac:dyDescent="0.3">
      <c r="CY26920" s="34" t="s">
        <v>27846</v>
      </c>
      <c r="CZ26920" s="35">
        <v>4.4064912000000003E-3</v>
      </c>
    </row>
    <row r="26921" spans="103:104" x14ac:dyDescent="0.3">
      <c r="CY26921" s="34" t="s">
        <v>27847</v>
      </c>
      <c r="CZ26921" s="35">
        <v>1.4371762399999998E-2</v>
      </c>
    </row>
    <row r="26922" spans="103:104" x14ac:dyDescent="0.3">
      <c r="CY26922" s="34" t="s">
        <v>27848</v>
      </c>
      <c r="CZ26922" s="35">
        <v>7.3868345333333335E-2</v>
      </c>
    </row>
    <row r="26923" spans="103:104" x14ac:dyDescent="0.3">
      <c r="CY26923" s="34" t="s">
        <v>27849</v>
      </c>
      <c r="CZ26923" s="35">
        <v>5.7789333333333331E-2</v>
      </c>
    </row>
    <row r="26924" spans="103:104" x14ac:dyDescent="0.3">
      <c r="CY26924" s="34" t="s">
        <v>27850</v>
      </c>
      <c r="CZ26924" s="35">
        <v>5.1128967692307702E-2</v>
      </c>
    </row>
    <row r="26925" spans="103:104" x14ac:dyDescent="0.3">
      <c r="CY26925" s="34" t="s">
        <v>27851</v>
      </c>
      <c r="CZ26925" s="35">
        <v>0.33083624150000002</v>
      </c>
    </row>
    <row r="26926" spans="103:104" x14ac:dyDescent="0.3">
      <c r="CY26926" s="34" t="s">
        <v>27852</v>
      </c>
      <c r="CZ26926" s="35">
        <v>1.98289377</v>
      </c>
    </row>
    <row r="26927" spans="103:104" x14ac:dyDescent="0.3">
      <c r="CY26927" s="34" t="s">
        <v>27853</v>
      </c>
      <c r="CZ26927" s="35">
        <v>1.173993142</v>
      </c>
    </row>
    <row r="26928" spans="103:104" x14ac:dyDescent="0.3">
      <c r="CY26928" s="34" t="s">
        <v>27854</v>
      </c>
      <c r="CZ26928" s="35">
        <v>1.13658963E-3</v>
      </c>
    </row>
    <row r="26929" spans="103:104" x14ac:dyDescent="0.3">
      <c r="CY26929" s="34" t="s">
        <v>27855</v>
      </c>
      <c r="CZ26929" s="35">
        <v>2.0749714763091953E-3</v>
      </c>
    </row>
    <row r="26930" spans="103:104" x14ac:dyDescent="0.3">
      <c r="CY26930" s="34" t="s">
        <v>27856</v>
      </c>
      <c r="CZ26930" s="35">
        <v>4.2411500000000005E-2</v>
      </c>
    </row>
    <row r="26931" spans="103:104" x14ac:dyDescent="0.3">
      <c r="CY26931" s="34" t="s">
        <v>27857</v>
      </c>
      <c r="CZ26931" s="35">
        <v>4.4184740000000007E-2</v>
      </c>
    </row>
    <row r="26932" spans="103:104" x14ac:dyDescent="0.3">
      <c r="CY26932" s="34" t="s">
        <v>27858</v>
      </c>
      <c r="CZ26932" s="35">
        <v>1.9498666666666668E-2</v>
      </c>
    </row>
    <row r="26933" spans="103:104" x14ac:dyDescent="0.3">
      <c r="CY26933" s="34" t="s">
        <v>27859</v>
      </c>
      <c r="CZ26933" s="35">
        <v>1.7242645829999999E-3</v>
      </c>
    </row>
    <row r="26934" spans="103:104" x14ac:dyDescent="0.3">
      <c r="CY26934" s="34" t="s">
        <v>27860</v>
      </c>
      <c r="CZ26934" s="35">
        <v>7.0639973133333339E-2</v>
      </c>
    </row>
    <row r="26935" spans="103:104" x14ac:dyDescent="0.3">
      <c r="CY26935" s="34" t="s">
        <v>27861</v>
      </c>
      <c r="CZ26935" s="35">
        <v>3.41215328E-3</v>
      </c>
    </row>
    <row r="26936" spans="103:104" x14ac:dyDescent="0.3">
      <c r="CY26936" s="34" t="s">
        <v>27862</v>
      </c>
      <c r="CZ26936" s="35">
        <v>2.8856486099999999E-3</v>
      </c>
    </row>
    <row r="26937" spans="103:104" x14ac:dyDescent="0.3">
      <c r="CY26937" s="34" t="s">
        <v>27863</v>
      </c>
      <c r="CZ26937" s="35">
        <v>4.3507720000000001E-3</v>
      </c>
    </row>
    <row r="26938" spans="103:104" x14ac:dyDescent="0.3">
      <c r="CY26938" s="34" t="s">
        <v>27864</v>
      </c>
      <c r="CZ26938" s="35">
        <v>0.65985976757816656</v>
      </c>
    </row>
    <row r="26939" spans="103:104" x14ac:dyDescent="0.3">
      <c r="CY26939" s="34" t="s">
        <v>27865</v>
      </c>
      <c r="CZ26939" s="35">
        <v>0.65087906249999994</v>
      </c>
    </row>
    <row r="26940" spans="103:104" x14ac:dyDescent="0.3">
      <c r="CY26940" s="34" t="s">
        <v>27866</v>
      </c>
      <c r="CZ26940" s="35">
        <v>0.64767256250000005</v>
      </c>
    </row>
    <row r="26941" spans="103:104" x14ac:dyDescent="0.3">
      <c r="CY26941" s="34" t="s">
        <v>27867</v>
      </c>
      <c r="CZ26941" s="35">
        <v>0.22868986666666669</v>
      </c>
    </row>
    <row r="26942" spans="103:104" x14ac:dyDescent="0.3">
      <c r="CY26942" s="34" t="s">
        <v>27868</v>
      </c>
      <c r="CZ26942" s="35">
        <v>0.31679163799999999</v>
      </c>
    </row>
    <row r="26943" spans="103:104" x14ac:dyDescent="0.3">
      <c r="CY26943" s="34" t="s">
        <v>27869</v>
      </c>
      <c r="CZ26943" s="35">
        <v>0.11160226666666666</v>
      </c>
    </row>
    <row r="26944" spans="103:104" x14ac:dyDescent="0.3">
      <c r="CY26944" s="34" t="s">
        <v>27870</v>
      </c>
      <c r="CZ26944" s="35">
        <v>0.16757787600000001</v>
      </c>
    </row>
    <row r="26945" spans="103:104" x14ac:dyDescent="0.3">
      <c r="CY26945" s="34" t="s">
        <v>27871</v>
      </c>
      <c r="CZ26945" s="35">
        <v>7.936523999999999E-2</v>
      </c>
    </row>
    <row r="26946" spans="103:104" x14ac:dyDescent="0.3">
      <c r="CY26946" s="34" t="s">
        <v>27872</v>
      </c>
      <c r="CZ26946" s="35">
        <v>1.4073564210526317E-2</v>
      </c>
    </row>
    <row r="26947" spans="103:104" x14ac:dyDescent="0.3">
      <c r="CY26947" s="34" t="s">
        <v>27873</v>
      </c>
      <c r="CZ26947" s="35">
        <v>9.3636383300000015E-2</v>
      </c>
    </row>
    <row r="26948" spans="103:104" x14ac:dyDescent="0.3">
      <c r="CY26948" s="34" t="s">
        <v>27874</v>
      </c>
      <c r="CZ26948" s="35">
        <v>0.25134721684210526</v>
      </c>
    </row>
    <row r="26949" spans="103:104" x14ac:dyDescent="0.3">
      <c r="CY26949" s="34" t="s">
        <v>27875</v>
      </c>
      <c r="CZ26949" s="35">
        <v>6.4164151333333331E-3</v>
      </c>
    </row>
    <row r="26950" spans="103:104" x14ac:dyDescent="0.3">
      <c r="CY26950" s="34" t="s">
        <v>27876</v>
      </c>
      <c r="CZ26950" s="35">
        <v>8.3100126315789474E-2</v>
      </c>
    </row>
    <row r="26951" spans="103:104" x14ac:dyDescent="0.3">
      <c r="CY26951" s="34" t="s">
        <v>27877</v>
      </c>
      <c r="CZ26951" s="35">
        <v>4.7639615199999999E-2</v>
      </c>
    </row>
    <row r="26952" spans="103:104" x14ac:dyDescent="0.3">
      <c r="CY26952" s="34" t="s">
        <v>27878</v>
      </c>
      <c r="CZ26952" s="35">
        <v>5.6305000000000001E-3</v>
      </c>
    </row>
    <row r="26953" spans="103:104" x14ac:dyDescent="0.3">
      <c r="CY26953" s="34" t="s">
        <v>27879</v>
      </c>
      <c r="CZ26953" s="35">
        <v>5.6362519999999996E-4</v>
      </c>
    </row>
    <row r="26954" spans="103:104" x14ac:dyDescent="0.3">
      <c r="CY26954" s="34" t="s">
        <v>27880</v>
      </c>
      <c r="CZ26954" s="35">
        <v>4.0417719999999999E-4</v>
      </c>
    </row>
    <row r="26955" spans="103:104" x14ac:dyDescent="0.3">
      <c r="CY26955" s="34" t="s">
        <v>27881</v>
      </c>
      <c r="CZ26955" s="35">
        <v>2.7372223999999997E-4</v>
      </c>
    </row>
    <row r="26956" spans="103:104" x14ac:dyDescent="0.3">
      <c r="CY26956" s="34" t="s">
        <v>27882</v>
      </c>
      <c r="CZ26956" s="35">
        <v>1.7431759999999999E-3</v>
      </c>
    </row>
    <row r="26957" spans="103:104" x14ac:dyDescent="0.3">
      <c r="CY26957" s="34" t="s">
        <v>27883</v>
      </c>
      <c r="CZ26957" s="35">
        <v>3.2686999999999994E-4</v>
      </c>
    </row>
    <row r="26958" spans="103:104" x14ac:dyDescent="0.3">
      <c r="CY26958" s="34" t="s">
        <v>27884</v>
      </c>
      <c r="CZ26958" s="35">
        <v>4.5991575999999998E-3</v>
      </c>
    </row>
    <row r="26959" spans="103:104" x14ac:dyDescent="0.3">
      <c r="CY26959" s="34" t="s">
        <v>27885</v>
      </c>
      <c r="CZ26959" s="35">
        <v>4.3592800000000003E-4</v>
      </c>
    </row>
    <row r="26960" spans="103:104" x14ac:dyDescent="0.3">
      <c r="CY26960" s="34" t="s">
        <v>27886</v>
      </c>
      <c r="CZ26960" s="35">
        <v>3.4101120000000007E-4</v>
      </c>
    </row>
    <row r="26961" spans="103:104" x14ac:dyDescent="0.3">
      <c r="CY26961" s="34" t="s">
        <v>27887</v>
      </c>
      <c r="CZ26961" s="35">
        <v>0.48650714100000003</v>
      </c>
    </row>
    <row r="26962" spans="103:104" x14ac:dyDescent="0.3">
      <c r="CY26962" s="34" t="s">
        <v>27888</v>
      </c>
      <c r="CZ26962" s="35">
        <v>0.46761680000000005</v>
      </c>
    </row>
    <row r="26963" spans="103:104" x14ac:dyDescent="0.3">
      <c r="CY26963" s="34" t="s">
        <v>27889</v>
      </c>
      <c r="CZ26963" s="35">
        <v>5.7131999999999999E-3</v>
      </c>
    </row>
    <row r="26964" spans="103:104" x14ac:dyDescent="0.3">
      <c r="CY26964" s="34" t="s">
        <v>27890</v>
      </c>
      <c r="CZ26964" s="35">
        <v>0.250577194</v>
      </c>
    </row>
    <row r="26965" spans="103:104" x14ac:dyDescent="0.3">
      <c r="CY26965" s="34" t="s">
        <v>27891</v>
      </c>
      <c r="CZ26965" s="35">
        <v>1.8536299999999995E-2</v>
      </c>
    </row>
    <row r="26966" spans="103:104" x14ac:dyDescent="0.3">
      <c r="CY26966" s="34" t="s">
        <v>27892</v>
      </c>
      <c r="CZ26966" s="35">
        <v>1.8536299999999995E-2</v>
      </c>
    </row>
    <row r="26967" spans="103:104" x14ac:dyDescent="0.3">
      <c r="CY26967" s="34" t="s">
        <v>27893</v>
      </c>
      <c r="CZ26967" s="35">
        <v>1.5504500000000001E-2</v>
      </c>
    </row>
    <row r="26968" spans="103:104" x14ac:dyDescent="0.3">
      <c r="CY26968" s="34" t="s">
        <v>27894</v>
      </c>
      <c r="CZ26968" s="35">
        <v>5.8548555555555538E-3</v>
      </c>
    </row>
    <row r="26969" spans="103:104" x14ac:dyDescent="0.3">
      <c r="CY26969" s="34" t="s">
        <v>27895</v>
      </c>
      <c r="CZ26969" s="35">
        <v>8.0096000000000004E-3</v>
      </c>
    </row>
    <row r="26970" spans="103:104" x14ac:dyDescent="0.3">
      <c r="CY26970" s="34" t="s">
        <v>27896</v>
      </c>
      <c r="CZ26970" s="35">
        <v>8.0120374999999994E-3</v>
      </c>
    </row>
    <row r="26971" spans="103:104" x14ac:dyDescent="0.3">
      <c r="CY26971" s="34" t="s">
        <v>27897</v>
      </c>
      <c r="CZ26971" s="35">
        <v>4.5878999999999998E-3</v>
      </c>
    </row>
    <row r="26972" spans="103:104" x14ac:dyDescent="0.3">
      <c r="CY26972" s="34" t="s">
        <v>27898</v>
      </c>
      <c r="CZ26972" s="35">
        <v>1.9986200000000001E-4</v>
      </c>
    </row>
    <row r="26973" spans="103:104" x14ac:dyDescent="0.3">
      <c r="CY26973" s="34" t="s">
        <v>27899</v>
      </c>
      <c r="CZ26973" s="35">
        <v>2.9493904888888887E-2</v>
      </c>
    </row>
    <row r="26974" spans="103:104" x14ac:dyDescent="0.3">
      <c r="CY26974" s="34" t="s">
        <v>27900</v>
      </c>
      <c r="CZ26974" s="35">
        <v>3.0045416888888888E-2</v>
      </c>
    </row>
    <row r="26975" spans="103:104" x14ac:dyDescent="0.3">
      <c r="CY26975" s="34" t="s">
        <v>27901</v>
      </c>
      <c r="CZ26975" s="35">
        <v>6.2992232999999997E-4</v>
      </c>
    </row>
    <row r="26976" spans="103:104" x14ac:dyDescent="0.3">
      <c r="CY26976" s="34" t="s">
        <v>27902</v>
      </c>
      <c r="CZ26976" s="35">
        <v>6.3457233000000011E-4</v>
      </c>
    </row>
    <row r="26977" spans="103:104" x14ac:dyDescent="0.3">
      <c r="CY26977" s="34" t="s">
        <v>27903</v>
      </c>
      <c r="CZ26977" s="35">
        <v>2.2938759999999999E-2</v>
      </c>
    </row>
    <row r="26978" spans="103:104" x14ac:dyDescent="0.3">
      <c r="CY26978" s="34" t="s">
        <v>27904</v>
      </c>
      <c r="CZ26978" s="35">
        <v>2.327189E-2</v>
      </c>
    </row>
    <row r="26979" spans="103:104" x14ac:dyDescent="0.3">
      <c r="CY26979" s="34" t="s">
        <v>27905</v>
      </c>
      <c r="CZ26979" s="35">
        <v>2.4417565000000002E-2</v>
      </c>
    </row>
    <row r="26980" spans="103:104" x14ac:dyDescent="0.3">
      <c r="CY26980" s="34" t="s">
        <v>27906</v>
      </c>
      <c r="CZ26980" s="35">
        <v>2.337589E-2</v>
      </c>
    </row>
    <row r="26981" spans="103:104" x14ac:dyDescent="0.3">
      <c r="CY26981" s="34" t="s">
        <v>27907</v>
      </c>
      <c r="CZ26981" s="35">
        <v>2.337589E-2</v>
      </c>
    </row>
    <row r="26982" spans="103:104" x14ac:dyDescent="0.3">
      <c r="CY26982" s="34" t="s">
        <v>27908</v>
      </c>
      <c r="CZ26982" s="35">
        <v>2.337589E-2</v>
      </c>
    </row>
    <row r="26983" spans="103:104" x14ac:dyDescent="0.3">
      <c r="CY26983" s="34" t="s">
        <v>27909</v>
      </c>
      <c r="CZ26983" s="35">
        <v>2.5025822500000003E-2</v>
      </c>
    </row>
    <row r="26984" spans="103:104" x14ac:dyDescent="0.3">
      <c r="CY26984" s="34" t="s">
        <v>27910</v>
      </c>
      <c r="CZ26984" s="35">
        <v>2.2938759999999999E-2</v>
      </c>
    </row>
    <row r="26985" spans="103:104" x14ac:dyDescent="0.3">
      <c r="CY26985" s="34" t="s">
        <v>27911</v>
      </c>
      <c r="CZ26985" s="35">
        <v>2.327189E-2</v>
      </c>
    </row>
    <row r="26986" spans="103:104" x14ac:dyDescent="0.3">
      <c r="CY26986" s="34" t="s">
        <v>27912</v>
      </c>
      <c r="CZ26986" s="35">
        <v>2.4417565000000002E-2</v>
      </c>
    </row>
    <row r="26987" spans="103:104" x14ac:dyDescent="0.3">
      <c r="CY26987" s="34" t="s">
        <v>27913</v>
      </c>
      <c r="CZ26987" s="35">
        <v>2.337589E-2</v>
      </c>
    </row>
    <row r="26988" spans="103:104" x14ac:dyDescent="0.3">
      <c r="CY26988" s="34" t="s">
        <v>27914</v>
      </c>
      <c r="CZ26988" s="35">
        <v>2.337589E-2</v>
      </c>
    </row>
    <row r="26989" spans="103:104" x14ac:dyDescent="0.3">
      <c r="CY26989" s="34" t="s">
        <v>27915</v>
      </c>
      <c r="CZ26989" s="35">
        <v>2.337589E-2</v>
      </c>
    </row>
    <row r="26990" spans="103:104" x14ac:dyDescent="0.3">
      <c r="CY26990" s="34" t="s">
        <v>27916</v>
      </c>
      <c r="CZ26990" s="35">
        <v>2.5025822500000003E-2</v>
      </c>
    </row>
    <row r="26991" spans="103:104" x14ac:dyDescent="0.3">
      <c r="CY26991" s="34" t="s">
        <v>27917</v>
      </c>
      <c r="CZ26991" s="35">
        <v>0.51374796</v>
      </c>
    </row>
    <row r="26992" spans="103:104" x14ac:dyDescent="0.3">
      <c r="CY26992" s="34" t="s">
        <v>27918</v>
      </c>
      <c r="CZ26992" s="35">
        <v>0.25013108500000003</v>
      </c>
    </row>
    <row r="26993" spans="103:104" x14ac:dyDescent="0.3">
      <c r="CY26993" s="34" t="s">
        <v>27919</v>
      </c>
      <c r="CZ26993" s="35">
        <v>0.248131085</v>
      </c>
    </row>
    <row r="26994" spans="103:104" x14ac:dyDescent="0.3">
      <c r="CY26994" s="34" t="s">
        <v>27920</v>
      </c>
      <c r="CZ26994" s="35">
        <v>1.2821310850000003</v>
      </c>
    </row>
    <row r="26995" spans="103:104" x14ac:dyDescent="0.3">
      <c r="CY26995" s="34" t="s">
        <v>27921</v>
      </c>
      <c r="CZ26995" s="35">
        <v>0.248131085</v>
      </c>
    </row>
    <row r="26996" spans="103:104" x14ac:dyDescent="0.3">
      <c r="CY26996" s="34" t="s">
        <v>27922</v>
      </c>
      <c r="CZ26996" s="35">
        <v>4.1685999999999994E-2</v>
      </c>
    </row>
    <row r="26997" spans="103:104" x14ac:dyDescent="0.3">
      <c r="CY26997" s="34" t="s">
        <v>27923</v>
      </c>
      <c r="CZ26997" s="35">
        <v>0.28626295060000001</v>
      </c>
    </row>
    <row r="26998" spans="103:104" x14ac:dyDescent="0.3">
      <c r="CY26998" s="34" t="s">
        <v>27924</v>
      </c>
      <c r="CZ26998" s="35">
        <v>0.33139520659999994</v>
      </c>
    </row>
    <row r="26999" spans="103:104" x14ac:dyDescent="0.3">
      <c r="CY26999" s="34" t="s">
        <v>27925</v>
      </c>
      <c r="CZ26999" s="35">
        <v>0.33538796499999995</v>
      </c>
    </row>
    <row r="27000" spans="103:104" x14ac:dyDescent="0.3">
      <c r="CY27000" s="34" t="s">
        <v>27926</v>
      </c>
      <c r="CZ27000" s="35">
        <v>2.7124571999999998E-3</v>
      </c>
    </row>
    <row r="27001" spans="103:104" x14ac:dyDescent="0.3">
      <c r="CY27001" s="34" t="s">
        <v>27927</v>
      </c>
      <c r="CZ27001" s="35">
        <v>6.3633852000000005E-2</v>
      </c>
    </row>
    <row r="27002" spans="103:104" x14ac:dyDescent="0.3">
      <c r="CY27002" s="34" t="s">
        <v>27928</v>
      </c>
      <c r="CZ27002" s="35">
        <v>3.7931380000000001E-2</v>
      </c>
    </row>
    <row r="27003" spans="103:104" x14ac:dyDescent="0.3">
      <c r="CY27003" s="34" t="s">
        <v>27929</v>
      </c>
      <c r="CZ27003" s="35">
        <v>8.8138380000000009E-3</v>
      </c>
    </row>
    <row r="27004" spans="103:104" x14ac:dyDescent="0.3">
      <c r="CY27004" s="34" t="s">
        <v>27930</v>
      </c>
      <c r="CZ27004" s="35">
        <v>0.25979446205354995</v>
      </c>
    </row>
    <row r="27005" spans="103:104" x14ac:dyDescent="0.3">
      <c r="CY27005" s="34" t="s">
        <v>27931</v>
      </c>
      <c r="CZ27005" s="35">
        <v>8.6988380000000004E-3</v>
      </c>
    </row>
    <row r="27006" spans="103:104" x14ac:dyDescent="0.3">
      <c r="CY27006" s="34" t="s">
        <v>27932</v>
      </c>
      <c r="CZ27006" s="35">
        <v>2.1323116000000002E-3</v>
      </c>
    </row>
    <row r="27007" spans="103:104" x14ac:dyDescent="0.3">
      <c r="CY27007" s="34" t="s">
        <v>27933</v>
      </c>
      <c r="CZ27007" s="35">
        <v>2.3992276000000001E-3</v>
      </c>
    </row>
    <row r="27008" spans="103:104" x14ac:dyDescent="0.3">
      <c r="CY27008" s="34" t="s">
        <v>27934</v>
      </c>
      <c r="CZ27008" s="35">
        <v>6.3869647999999996E-3</v>
      </c>
    </row>
    <row r="27009" spans="103:104" x14ac:dyDescent="0.3">
      <c r="CY27009" s="34" t="s">
        <v>27935</v>
      </c>
      <c r="CZ27009" s="35">
        <v>6.3869647999999996E-3</v>
      </c>
    </row>
    <row r="27010" spans="103:104" x14ac:dyDescent="0.3">
      <c r="CY27010" s="34" t="s">
        <v>27936</v>
      </c>
      <c r="CZ27010" s="35">
        <v>3.1083411599999999E-3</v>
      </c>
    </row>
    <row r="27011" spans="103:104" x14ac:dyDescent="0.3">
      <c r="CY27011" s="34" t="s">
        <v>27937</v>
      </c>
      <c r="CZ27011" s="35">
        <v>3.1083411600000004E-3</v>
      </c>
    </row>
    <row r="27012" spans="103:104" x14ac:dyDescent="0.3">
      <c r="CY27012" s="34" t="s">
        <v>27938</v>
      </c>
      <c r="CZ27012" s="35">
        <v>1.2069070000000001E-2</v>
      </c>
    </row>
    <row r="27013" spans="103:104" x14ac:dyDescent="0.3">
      <c r="CY27013" s="34" t="s">
        <v>27939</v>
      </c>
      <c r="CZ27013" s="35">
        <v>1.2069070000000001E-2</v>
      </c>
    </row>
    <row r="27014" spans="103:104" x14ac:dyDescent="0.3">
      <c r="CY27014" s="34" t="s">
        <v>27940</v>
      </c>
      <c r="CZ27014" s="35">
        <v>8.2297734500000001E-3</v>
      </c>
    </row>
    <row r="27015" spans="103:104" x14ac:dyDescent="0.3">
      <c r="CY27015" s="34" t="s">
        <v>27941</v>
      </c>
      <c r="CZ27015" s="35">
        <v>8.2297734500000001E-3</v>
      </c>
    </row>
    <row r="27016" spans="103:104" x14ac:dyDescent="0.3">
      <c r="CY27016" s="34" t="s">
        <v>27942</v>
      </c>
      <c r="CZ27016" s="35">
        <v>1.9147644999999998E-2</v>
      </c>
    </row>
    <row r="27017" spans="103:104" x14ac:dyDescent="0.3">
      <c r="CY27017" s="34" t="s">
        <v>27943</v>
      </c>
      <c r="CZ27017" s="35">
        <v>8.1700000000000002E-4</v>
      </c>
    </row>
    <row r="27018" spans="103:104" x14ac:dyDescent="0.3">
      <c r="CY27018" s="34" t="s">
        <v>27944</v>
      </c>
      <c r="CZ27018" s="35">
        <v>2.5997149333333334E-2</v>
      </c>
    </row>
    <row r="27019" spans="103:104" x14ac:dyDescent="0.3">
      <c r="CY27019" s="34" t="s">
        <v>27945</v>
      </c>
      <c r="CZ27019" s="35">
        <v>0.125755638</v>
      </c>
    </row>
    <row r="27020" spans="103:104" x14ac:dyDescent="0.3">
      <c r="CY27020" s="34" t="s">
        <v>27946</v>
      </c>
      <c r="CZ27020" s="35">
        <v>0.124966882</v>
      </c>
    </row>
    <row r="27021" spans="103:104" x14ac:dyDescent="0.3">
      <c r="CY27021" s="34" t="s">
        <v>27947</v>
      </c>
      <c r="CZ27021" s="35">
        <v>0.124966882</v>
      </c>
    </row>
    <row r="27022" spans="103:104" x14ac:dyDescent="0.3">
      <c r="CY27022" s="34" t="s">
        <v>27948</v>
      </c>
      <c r="CZ27022" s="35">
        <v>1.7911842E-3</v>
      </c>
    </row>
    <row r="27023" spans="103:104" x14ac:dyDescent="0.3">
      <c r="CY27023" s="34" t="s">
        <v>27949</v>
      </c>
      <c r="CZ27023" s="35">
        <v>5.3776303399999996E-2</v>
      </c>
    </row>
    <row r="27024" spans="103:104" x14ac:dyDescent="0.3">
      <c r="CY27024" s="34" t="s">
        <v>27950</v>
      </c>
      <c r="CZ27024" s="35">
        <v>6.7183348599999998E-2</v>
      </c>
    </row>
    <row r="27025" spans="103:104" x14ac:dyDescent="0.3">
      <c r="CY27025" s="34" t="s">
        <v>27951</v>
      </c>
      <c r="CZ27025" s="35">
        <v>1.8121588000000001E-2</v>
      </c>
    </row>
    <row r="27026" spans="103:104" x14ac:dyDescent="0.3">
      <c r="CY27026" s="34" t="s">
        <v>27952</v>
      </c>
      <c r="CZ27026" s="35">
        <v>1.68914836E-2</v>
      </c>
    </row>
    <row r="27027" spans="103:104" x14ac:dyDescent="0.3">
      <c r="CY27027" s="34" t="s">
        <v>27953</v>
      </c>
      <c r="CZ27027" s="35">
        <v>1.1989290160000002E-2</v>
      </c>
    </row>
    <row r="27028" spans="103:104" x14ac:dyDescent="0.3">
      <c r="CY27028" s="34" t="s">
        <v>27954</v>
      </c>
      <c r="CZ27028" s="35">
        <v>6.0050451999999997E-3</v>
      </c>
    </row>
    <row r="27029" spans="103:104" x14ac:dyDescent="0.3">
      <c r="CY27029" s="34" t="s">
        <v>27955</v>
      </c>
      <c r="CZ27029" s="35">
        <v>1.1652E-4</v>
      </c>
    </row>
    <row r="27030" spans="103:104" x14ac:dyDescent="0.3">
      <c r="CY27030" s="34" t="s">
        <v>27956</v>
      </c>
      <c r="CZ27030" s="35">
        <v>2.9107099999999999E-3</v>
      </c>
    </row>
    <row r="27031" spans="103:104" x14ac:dyDescent="0.3">
      <c r="CY27031" s="34" t="s">
        <v>27957</v>
      </c>
      <c r="CZ27031" s="35">
        <v>1.2788492665E-2</v>
      </c>
    </row>
    <row r="27032" spans="103:104" x14ac:dyDescent="0.3">
      <c r="CY27032" s="34" t="s">
        <v>27958</v>
      </c>
      <c r="CZ27032" s="35">
        <v>1.8806567599999997E-2</v>
      </c>
    </row>
    <row r="27033" spans="103:104" x14ac:dyDescent="0.3">
      <c r="CY27033" s="34" t="s">
        <v>27959</v>
      </c>
      <c r="CZ27033" s="35">
        <v>2.4896233052631579E-3</v>
      </c>
    </row>
    <row r="27034" spans="103:104" x14ac:dyDescent="0.3">
      <c r="CY27034" s="34" t="s">
        <v>27960</v>
      </c>
      <c r="CZ27034" s="35">
        <v>2.4896233052631579E-3</v>
      </c>
    </row>
    <row r="27035" spans="103:104" x14ac:dyDescent="0.3">
      <c r="CY27035" s="34" t="s">
        <v>27961</v>
      </c>
      <c r="CZ27035" s="35">
        <v>1.7586291999999999E-3</v>
      </c>
    </row>
    <row r="27036" spans="103:104" x14ac:dyDescent="0.3">
      <c r="CY27036" s="34" t="s">
        <v>27962</v>
      </c>
      <c r="CZ27036" s="35">
        <v>1.7586291999999999E-3</v>
      </c>
    </row>
    <row r="27037" spans="103:104" x14ac:dyDescent="0.3">
      <c r="CY27037" s="34" t="s">
        <v>27963</v>
      </c>
      <c r="CZ27037" s="35">
        <v>1.7192743468421052E-2</v>
      </c>
    </row>
    <row r="27038" spans="103:104" x14ac:dyDescent="0.3">
      <c r="CY27038" s="34" t="s">
        <v>27964</v>
      </c>
      <c r="CZ27038" s="35">
        <v>1.7192743468421052E-2</v>
      </c>
    </row>
    <row r="27039" spans="103:104" x14ac:dyDescent="0.3">
      <c r="CY27039" s="34" t="s">
        <v>27965</v>
      </c>
      <c r="CZ27039" s="35">
        <v>7.3247055999999993E-3</v>
      </c>
    </row>
    <row r="27040" spans="103:104" x14ac:dyDescent="0.3">
      <c r="CY27040" s="34" t="s">
        <v>27966</v>
      </c>
      <c r="CZ27040" s="35">
        <v>9.6405599999999994E-3</v>
      </c>
    </row>
    <row r="27041" spans="103:104" x14ac:dyDescent="0.3">
      <c r="CY27041" s="34" t="s">
        <v>27967</v>
      </c>
      <c r="CZ27041" s="35">
        <v>1.7120613199999999E-2</v>
      </c>
    </row>
    <row r="27042" spans="103:104" x14ac:dyDescent="0.3">
      <c r="CY27042" s="34" t="s">
        <v>27968</v>
      </c>
      <c r="CZ27042" s="35">
        <v>1.7120613199999999E-2</v>
      </c>
    </row>
    <row r="27043" spans="103:104" x14ac:dyDescent="0.3">
      <c r="CY27043" s="34" t="s">
        <v>27969</v>
      </c>
      <c r="CZ27043" s="35">
        <v>5.6475635000000001E-3</v>
      </c>
    </row>
    <row r="27044" spans="103:104" x14ac:dyDescent="0.3">
      <c r="CY27044" s="34" t="s">
        <v>27970</v>
      </c>
      <c r="CZ27044" s="35">
        <v>5.6475634999999993E-3</v>
      </c>
    </row>
    <row r="27045" spans="103:104" x14ac:dyDescent="0.3">
      <c r="CY27045" s="34" t="s">
        <v>27971</v>
      </c>
      <c r="CZ27045" s="35">
        <v>5.6323887999999996E-2</v>
      </c>
    </row>
    <row r="27046" spans="103:104" x14ac:dyDescent="0.3">
      <c r="CY27046" s="34" t="s">
        <v>27972</v>
      </c>
      <c r="CZ27046" s="35">
        <v>3.3211111111111111E-3</v>
      </c>
    </row>
    <row r="27047" spans="103:104" x14ac:dyDescent="0.3">
      <c r="CY27047" s="34" t="s">
        <v>27973</v>
      </c>
      <c r="CZ27047" s="35">
        <v>5.8332800000000004E-4</v>
      </c>
    </row>
    <row r="27048" spans="103:104" x14ac:dyDescent="0.3">
      <c r="CY27048" s="34" t="s">
        <v>27974</v>
      </c>
      <c r="CZ27048" s="35">
        <v>4.9135601333333331E-3</v>
      </c>
    </row>
    <row r="27049" spans="103:104" x14ac:dyDescent="0.3">
      <c r="CY27049" s="34" t="s">
        <v>27975</v>
      </c>
      <c r="CZ27049" s="35">
        <v>4.9135601333333331E-3</v>
      </c>
    </row>
    <row r="27050" spans="103:104" x14ac:dyDescent="0.3">
      <c r="CY27050" s="34" t="s">
        <v>27976</v>
      </c>
      <c r="CZ27050" s="35">
        <v>2.6442271999999999E-3</v>
      </c>
    </row>
    <row r="27051" spans="103:104" x14ac:dyDescent="0.3">
      <c r="CY27051" s="34" t="s">
        <v>27977</v>
      </c>
      <c r="CZ27051" s="35">
        <v>2.6442271999999995E-3</v>
      </c>
    </row>
    <row r="27052" spans="103:104" x14ac:dyDescent="0.3">
      <c r="CY27052" s="34" t="s">
        <v>27978</v>
      </c>
      <c r="CZ27052" s="35">
        <v>1.1410460000000002E-3</v>
      </c>
    </row>
    <row r="27053" spans="103:104" x14ac:dyDescent="0.3">
      <c r="CY27053" s="34" t="s">
        <v>27979</v>
      </c>
      <c r="CZ27053" s="35">
        <v>1.1410460000000002E-3</v>
      </c>
    </row>
    <row r="27054" spans="103:104" x14ac:dyDescent="0.3">
      <c r="CY27054" s="34" t="s">
        <v>27980</v>
      </c>
      <c r="CZ27054" s="35">
        <v>2.4115532533333334E-3</v>
      </c>
    </row>
    <row r="27055" spans="103:104" x14ac:dyDescent="0.3">
      <c r="CY27055" s="34" t="s">
        <v>27981</v>
      </c>
      <c r="CZ27055" s="35">
        <v>2.4115532533333329E-3</v>
      </c>
    </row>
    <row r="27056" spans="103:104" x14ac:dyDescent="0.3">
      <c r="CY27056" s="34" t="s">
        <v>27982</v>
      </c>
      <c r="CZ27056" s="35">
        <v>2.4651777333333335E-3</v>
      </c>
    </row>
    <row r="27057" spans="103:104" x14ac:dyDescent="0.3">
      <c r="CY27057" s="34" t="s">
        <v>27983</v>
      </c>
      <c r="CZ27057" s="35">
        <v>2.4651777333333331E-3</v>
      </c>
    </row>
    <row r="27058" spans="103:104" x14ac:dyDescent="0.3">
      <c r="CY27058" s="34" t="s">
        <v>27984</v>
      </c>
      <c r="CZ27058" s="35">
        <v>2.8681936400000003E-3</v>
      </c>
    </row>
    <row r="27059" spans="103:104" x14ac:dyDescent="0.3">
      <c r="CY27059" s="34" t="s">
        <v>27985</v>
      </c>
      <c r="CZ27059" s="35">
        <v>2.8681936400000003E-3</v>
      </c>
    </row>
    <row r="27060" spans="103:104" x14ac:dyDescent="0.3">
      <c r="CY27060" s="34" t="s">
        <v>27986</v>
      </c>
      <c r="CZ27060" s="35">
        <v>2.7912499999999999E-3</v>
      </c>
    </row>
    <row r="27061" spans="103:104" x14ac:dyDescent="0.3">
      <c r="CY27061" s="34" t="s">
        <v>27987</v>
      </c>
      <c r="CZ27061" s="35">
        <v>6.9430499999999992E-2</v>
      </c>
    </row>
    <row r="27062" spans="103:104" x14ac:dyDescent="0.3">
      <c r="CY27062" s="34" t="s">
        <v>27988</v>
      </c>
      <c r="CZ27062" s="35">
        <v>1.9142344160000001E-2</v>
      </c>
    </row>
    <row r="27063" spans="103:104" x14ac:dyDescent="0.3">
      <c r="CY27063" s="34" t="s">
        <v>27989</v>
      </c>
      <c r="CZ27063" s="35">
        <v>6.9430499999999992E-2</v>
      </c>
    </row>
    <row r="27064" spans="103:104" x14ac:dyDescent="0.3">
      <c r="CY27064" s="34" t="s">
        <v>27990</v>
      </c>
      <c r="CZ27064" s="35">
        <v>1.9672396799999999E-3</v>
      </c>
    </row>
    <row r="27065" spans="103:104" x14ac:dyDescent="0.3">
      <c r="CY27065" s="34" t="s">
        <v>27991</v>
      </c>
      <c r="CZ27065" s="35">
        <v>5.7352926000000005E-2</v>
      </c>
    </row>
    <row r="27066" spans="103:104" x14ac:dyDescent="0.3">
      <c r="CY27066" s="34" t="s">
        <v>27992</v>
      </c>
      <c r="CZ27066" s="35">
        <v>4.1357225999999997E-2</v>
      </c>
    </row>
    <row r="27067" spans="103:104" x14ac:dyDescent="0.3">
      <c r="CY27067" s="34" t="s">
        <v>27993</v>
      </c>
      <c r="CZ27067" s="35">
        <v>4.1357224999999997E-2</v>
      </c>
    </row>
    <row r="27068" spans="103:104" x14ac:dyDescent="0.3">
      <c r="CY27068" s="34" t="s">
        <v>27994</v>
      </c>
      <c r="CZ27068" s="35">
        <v>0.61865623999999997</v>
      </c>
    </row>
    <row r="27069" spans="103:104" x14ac:dyDescent="0.3">
      <c r="CY27069" s="34" t="s">
        <v>27995</v>
      </c>
      <c r="CZ27069" s="35">
        <v>4.1357224999999997E-2</v>
      </c>
    </row>
    <row r="27070" spans="103:104" x14ac:dyDescent="0.3">
      <c r="CY27070" s="34" t="s">
        <v>27996</v>
      </c>
      <c r="CZ27070" s="35">
        <v>5.7352926000000005E-2</v>
      </c>
    </row>
    <row r="27071" spans="103:104" x14ac:dyDescent="0.3">
      <c r="CY27071" s="34" t="s">
        <v>27997</v>
      </c>
      <c r="CZ27071" s="35">
        <v>0.14961461870000001</v>
      </c>
    </row>
    <row r="27072" spans="103:104" x14ac:dyDescent="0.3">
      <c r="CY27072" s="34" t="s">
        <v>27998</v>
      </c>
      <c r="CZ27072" s="35">
        <v>1.7887949600000001E-2</v>
      </c>
    </row>
    <row r="27073" spans="103:104" x14ac:dyDescent="0.3">
      <c r="CY27073" s="34" t="s">
        <v>27999</v>
      </c>
      <c r="CZ27073" s="35">
        <v>2.1552793000000001E-2</v>
      </c>
    </row>
    <row r="27074" spans="103:104" x14ac:dyDescent="0.3">
      <c r="CY27074" s="34" t="s">
        <v>28000</v>
      </c>
      <c r="CZ27074" s="35">
        <v>3.0375965333333334E-2</v>
      </c>
    </row>
    <row r="27075" spans="103:104" x14ac:dyDescent="0.3">
      <c r="CY27075" s="34" t="s">
        <v>28001</v>
      </c>
      <c r="CZ27075" s="35">
        <v>0.14228826303124997</v>
      </c>
    </row>
    <row r="27076" spans="103:104" x14ac:dyDescent="0.3">
      <c r="CY27076" s="34" t="s">
        <v>28002</v>
      </c>
      <c r="CZ27076" s="35">
        <v>4.3977198359374994E-3</v>
      </c>
    </row>
    <row r="27077" spans="103:104" x14ac:dyDescent="0.3">
      <c r="CY27077" s="34" t="s">
        <v>28003</v>
      </c>
      <c r="CZ27077" s="35">
        <v>1.5570296888888889E-2</v>
      </c>
    </row>
    <row r="27078" spans="103:104" x14ac:dyDescent="0.3">
      <c r="CY27078" s="34" t="s">
        <v>28004</v>
      </c>
      <c r="CZ27078" s="35">
        <v>3.1958890400000002E-3</v>
      </c>
    </row>
    <row r="27079" spans="103:104" x14ac:dyDescent="0.3">
      <c r="CY27079" s="34" t="s">
        <v>28005</v>
      </c>
      <c r="CZ27079" s="35">
        <v>0.27337932717948721</v>
      </c>
    </row>
    <row r="27080" spans="103:104" x14ac:dyDescent="0.3">
      <c r="CY27080" s="34" t="s">
        <v>28006</v>
      </c>
      <c r="CZ27080" s="35">
        <v>0.35387048999999998</v>
      </c>
    </row>
    <row r="27081" spans="103:104" x14ac:dyDescent="0.3">
      <c r="CY27081" s="34" t="s">
        <v>28007</v>
      </c>
      <c r="CZ27081" s="35">
        <v>4.4394454399999998E-2</v>
      </c>
    </row>
    <row r="27082" spans="103:104" x14ac:dyDescent="0.3">
      <c r="CY27082" s="34" t="s">
        <v>28008</v>
      </c>
      <c r="CZ27082" s="35">
        <v>6.0281113365600004E-3</v>
      </c>
    </row>
    <row r="27083" spans="103:104" x14ac:dyDescent="0.3">
      <c r="CY27083" s="34" t="s">
        <v>28009</v>
      </c>
      <c r="CZ27083" s="35">
        <v>6.577701525000001E-3</v>
      </c>
    </row>
    <row r="27084" spans="103:104" x14ac:dyDescent="0.3">
      <c r="CY27084" s="34" t="s">
        <v>28010</v>
      </c>
      <c r="CZ27084" s="35">
        <v>0.32387241400000005</v>
      </c>
    </row>
    <row r="27085" spans="103:104" x14ac:dyDescent="0.3">
      <c r="CY27085" s="34" t="s">
        <v>28011</v>
      </c>
      <c r="CZ27085" s="35">
        <v>0.19023608</v>
      </c>
    </row>
    <row r="27086" spans="103:104" x14ac:dyDescent="0.3">
      <c r="CY27086" s="34" t="s">
        <v>28012</v>
      </c>
      <c r="CZ27086" s="35">
        <v>0.17280265600000003</v>
      </c>
    </row>
    <row r="27087" spans="103:104" x14ac:dyDescent="0.3">
      <c r="CY27087" s="34" t="s">
        <v>28013</v>
      </c>
      <c r="CZ27087" s="35">
        <v>4.2768311999999996E-2</v>
      </c>
    </row>
    <row r="27088" spans="103:104" x14ac:dyDescent="0.3">
      <c r="CY27088" s="34" t="s">
        <v>28014</v>
      </c>
      <c r="CZ27088" s="35">
        <v>4.5707856000000005E-2</v>
      </c>
    </row>
    <row r="27089" spans="103:104" x14ac:dyDescent="0.3">
      <c r="CY27089" s="34" t="s">
        <v>28015</v>
      </c>
      <c r="CZ27089" s="35">
        <v>2.5662696533333331E-3</v>
      </c>
    </row>
    <row r="27090" spans="103:104" x14ac:dyDescent="0.3">
      <c r="CY27090" s="34" t="s">
        <v>28016</v>
      </c>
      <c r="CZ27090" s="35">
        <v>2.5662696533333331E-3</v>
      </c>
    </row>
    <row r="27091" spans="103:104" x14ac:dyDescent="0.3">
      <c r="CY27091" s="34" t="s">
        <v>28017</v>
      </c>
      <c r="CZ27091" s="35">
        <v>3.8533508799999998E-2</v>
      </c>
    </row>
    <row r="27092" spans="103:104" x14ac:dyDescent="0.3">
      <c r="CY27092" s="34" t="s">
        <v>28018</v>
      </c>
      <c r="CZ27092" s="35">
        <v>5.4306911999999999E-2</v>
      </c>
    </row>
    <row r="27093" spans="103:104" x14ac:dyDescent="0.3">
      <c r="CY27093" s="34" t="s">
        <v>28019</v>
      </c>
      <c r="CZ27093" s="35">
        <v>7.7073559999999985E-2</v>
      </c>
    </row>
    <row r="27094" spans="103:104" x14ac:dyDescent="0.3">
      <c r="CY27094" s="34" t="s">
        <v>28020</v>
      </c>
      <c r="CZ27094" s="35">
        <v>0.12408002800000001</v>
      </c>
    </row>
    <row r="27095" spans="103:104" x14ac:dyDescent="0.3">
      <c r="CY27095" s="34" t="s">
        <v>28021</v>
      </c>
      <c r="CZ27095" s="35">
        <v>2.1459440000000003E-2</v>
      </c>
    </row>
    <row r="27096" spans="103:104" x14ac:dyDescent="0.3">
      <c r="CY27096" s="34" t="s">
        <v>28022</v>
      </c>
      <c r="CZ27096" s="35">
        <v>3.5051607999999998E-2</v>
      </c>
    </row>
    <row r="27097" spans="103:104" x14ac:dyDescent="0.3">
      <c r="CY27097" s="34" t="s">
        <v>28023</v>
      </c>
      <c r="CZ27097" s="35">
        <v>2.1833440000000003E-2</v>
      </c>
    </row>
    <row r="27098" spans="103:104" x14ac:dyDescent="0.3">
      <c r="CY27098" s="34" t="s">
        <v>28024</v>
      </c>
      <c r="CZ27098" s="35">
        <v>2.1863440000000001E-2</v>
      </c>
    </row>
    <row r="27099" spans="103:104" x14ac:dyDescent="0.3">
      <c r="CY27099" s="34" t="s">
        <v>28025</v>
      </c>
      <c r="CZ27099" s="35">
        <v>2.359994E-2</v>
      </c>
    </row>
    <row r="27100" spans="103:104" x14ac:dyDescent="0.3">
      <c r="CY27100" s="34" t="s">
        <v>28026</v>
      </c>
      <c r="CZ27100" s="35">
        <v>3.7271385000000002E-3</v>
      </c>
    </row>
    <row r="27101" spans="103:104" x14ac:dyDescent="0.3">
      <c r="CY27101" s="34" t="s">
        <v>28027</v>
      </c>
      <c r="CZ27101" s="35">
        <v>1.0061479999999999E-3</v>
      </c>
    </row>
    <row r="27102" spans="103:104" x14ac:dyDescent="0.3">
      <c r="CY27102" s="34" t="s">
        <v>28028</v>
      </c>
      <c r="CZ27102" s="35">
        <v>0.46125680000000002</v>
      </c>
    </row>
    <row r="27103" spans="103:104" x14ac:dyDescent="0.3">
      <c r="CY27103" s="34" t="s">
        <v>28029</v>
      </c>
      <c r="CZ27103" s="35">
        <v>5.5584646700000004E-2</v>
      </c>
    </row>
    <row r="27104" spans="103:104" x14ac:dyDescent="0.3">
      <c r="CY27104" s="34" t="s">
        <v>28030</v>
      </c>
      <c r="CZ27104" s="35">
        <v>1.3030000000000002E-2</v>
      </c>
    </row>
    <row r="27105" spans="103:104" x14ac:dyDescent="0.3">
      <c r="CY27105" s="34" t="s">
        <v>28031</v>
      </c>
      <c r="CZ27105" s="35">
        <v>3.43399424E-3</v>
      </c>
    </row>
    <row r="27106" spans="103:104" x14ac:dyDescent="0.3">
      <c r="CY27106" s="34" t="s">
        <v>28032</v>
      </c>
      <c r="CZ27106" s="35">
        <v>4.1567385200000001E-2</v>
      </c>
    </row>
    <row r="27107" spans="103:104" x14ac:dyDescent="0.3">
      <c r="CY27107" s="34" t="s">
        <v>28033</v>
      </c>
      <c r="CZ27107" s="35">
        <v>7.6325879999999992E-3</v>
      </c>
    </row>
    <row r="27108" spans="103:104" x14ac:dyDescent="0.3">
      <c r="CY27108" s="34" t="s">
        <v>28034</v>
      </c>
      <c r="CZ27108" s="35">
        <v>1.2002239999999999E-2</v>
      </c>
    </row>
    <row r="27109" spans="103:104" x14ac:dyDescent="0.3">
      <c r="CY27109" s="34" t="s">
        <v>28035</v>
      </c>
      <c r="CZ27109" s="35">
        <v>8.6016039999999988E-2</v>
      </c>
    </row>
    <row r="27110" spans="103:104" x14ac:dyDescent="0.3">
      <c r="CY27110" s="34" t="s">
        <v>28036</v>
      </c>
      <c r="CZ27110" s="35">
        <v>0.11704082</v>
      </c>
    </row>
    <row r="27111" spans="103:104" x14ac:dyDescent="0.3">
      <c r="CY27111" s="34" t="s">
        <v>28037</v>
      </c>
      <c r="CZ27111" s="35">
        <v>5.3012440000000008E-2</v>
      </c>
    </row>
    <row r="27112" spans="103:104" x14ac:dyDescent="0.3">
      <c r="CY27112" s="34" t="s">
        <v>28038</v>
      </c>
      <c r="CZ27112" s="35">
        <v>0.19863015499999997</v>
      </c>
    </row>
    <row r="27113" spans="103:104" x14ac:dyDescent="0.3">
      <c r="CY27113" s="34" t="s">
        <v>28039</v>
      </c>
      <c r="CZ27113" s="35">
        <v>0.18779012253333333</v>
      </c>
    </row>
    <row r="27114" spans="103:104" x14ac:dyDescent="0.3">
      <c r="CY27114" s="34" t="s">
        <v>28040</v>
      </c>
      <c r="CZ27114" s="35">
        <v>1.7235640079999996E-2</v>
      </c>
    </row>
    <row r="27115" spans="103:104" x14ac:dyDescent="0.3">
      <c r="CY27115" s="34" t="s">
        <v>28041</v>
      </c>
      <c r="CZ27115" s="35">
        <v>2.748016E-2</v>
      </c>
    </row>
    <row r="27116" spans="103:104" x14ac:dyDescent="0.3">
      <c r="CY27116" s="34" t="s">
        <v>28042</v>
      </c>
      <c r="CZ27116" s="35">
        <v>9.6970615999999996E-2</v>
      </c>
    </row>
    <row r="27117" spans="103:104" x14ac:dyDescent="0.3">
      <c r="CY27117" s="34" t="s">
        <v>28043</v>
      </c>
      <c r="CZ27117" s="35">
        <v>5.8326126000000002E-3</v>
      </c>
    </row>
    <row r="27118" spans="103:104" x14ac:dyDescent="0.3">
      <c r="CY27118" s="34" t="s">
        <v>28044</v>
      </c>
      <c r="CZ27118" s="35">
        <v>9.5855792000000013E-3</v>
      </c>
    </row>
    <row r="27119" spans="103:104" x14ac:dyDescent="0.3">
      <c r="CY27119" s="34" t="s">
        <v>28045</v>
      </c>
      <c r="CZ27119" s="35">
        <v>0.1205553511111111</v>
      </c>
    </row>
    <row r="27120" spans="103:104" x14ac:dyDescent="0.3">
      <c r="CY27120" s="34" t="s">
        <v>28046</v>
      </c>
      <c r="CZ27120" s="35">
        <v>4.9124580000000006E-3</v>
      </c>
    </row>
    <row r="27121" spans="103:104" x14ac:dyDescent="0.3">
      <c r="CY27121" s="34" t="s">
        <v>28047</v>
      </c>
      <c r="CZ27121" s="35">
        <v>4.229394E-3</v>
      </c>
    </row>
    <row r="27122" spans="103:104" x14ac:dyDescent="0.3">
      <c r="CY27122" s="34" t="s">
        <v>28048</v>
      </c>
      <c r="CZ27122" s="35">
        <v>4.5878860000000002E-3</v>
      </c>
    </row>
    <row r="27123" spans="103:104" x14ac:dyDescent="0.3">
      <c r="CY27123" s="34" t="s">
        <v>28049</v>
      </c>
      <c r="CZ27123" s="35">
        <v>1.8335383999999996E-2</v>
      </c>
    </row>
    <row r="27124" spans="103:104" x14ac:dyDescent="0.3">
      <c r="CY27124" s="34" t="s">
        <v>28050</v>
      </c>
      <c r="CZ27124" s="35">
        <v>2.1346421600000002E-3</v>
      </c>
    </row>
    <row r="27125" spans="103:104" x14ac:dyDescent="0.3">
      <c r="CY27125" s="34" t="s">
        <v>28051</v>
      </c>
      <c r="CZ27125" s="35">
        <v>3.6074342500000002E-2</v>
      </c>
    </row>
    <row r="27126" spans="103:104" x14ac:dyDescent="0.3">
      <c r="CY27126" s="34" t="s">
        <v>28052</v>
      </c>
      <c r="CZ27126" s="35">
        <v>3.3695280000000001E-2</v>
      </c>
    </row>
    <row r="27127" spans="103:104" x14ac:dyDescent="0.3">
      <c r="CY27127" s="34" t="s">
        <v>28053</v>
      </c>
      <c r="CZ27127" s="35">
        <v>4.2957908000000003E-2</v>
      </c>
    </row>
    <row r="27128" spans="103:104" x14ac:dyDescent="0.3">
      <c r="CY27128" s="34" t="s">
        <v>28054</v>
      </c>
      <c r="CZ27128" s="35">
        <v>1.4318401E-3</v>
      </c>
    </row>
    <row r="27129" spans="103:104" x14ac:dyDescent="0.3">
      <c r="CY27129" s="34" t="s">
        <v>28055</v>
      </c>
      <c r="CZ27129" s="35">
        <v>1.4318401E-3</v>
      </c>
    </row>
    <row r="27130" spans="103:104" x14ac:dyDescent="0.3">
      <c r="CY27130" s="34" t="s">
        <v>28056</v>
      </c>
      <c r="CZ27130" s="35">
        <v>0.81700456251999998</v>
      </c>
    </row>
    <row r="27131" spans="103:104" x14ac:dyDescent="0.3">
      <c r="CY27131" s="34" t="s">
        <v>28057</v>
      </c>
      <c r="CZ27131" s="35">
        <v>0.62232362500000005</v>
      </c>
    </row>
    <row r="27132" spans="103:104" x14ac:dyDescent="0.3">
      <c r="CY27132" s="34" t="s">
        <v>28058</v>
      </c>
      <c r="CZ27132" s="35">
        <v>0.75591136252000002</v>
      </c>
    </row>
    <row r="27133" spans="103:104" x14ac:dyDescent="0.3">
      <c r="CY27133" s="34" t="s">
        <v>28059</v>
      </c>
      <c r="CZ27133" s="35">
        <v>0.75591136252000002</v>
      </c>
    </row>
    <row r="27134" spans="103:104" x14ac:dyDescent="0.3">
      <c r="CY27134" s="34" t="s">
        <v>28060</v>
      </c>
      <c r="CZ27134" s="35">
        <v>0.13443780569999997</v>
      </c>
    </row>
    <row r="27135" spans="103:104" x14ac:dyDescent="0.3">
      <c r="CY27135" s="34" t="s">
        <v>28061</v>
      </c>
      <c r="CZ27135" s="35">
        <v>1.1439794E-2</v>
      </c>
    </row>
    <row r="27136" spans="103:104" x14ac:dyDescent="0.3">
      <c r="CY27136" s="34" t="s">
        <v>28062</v>
      </c>
      <c r="CZ27136" s="35">
        <v>2.1195888000000003E-2</v>
      </c>
    </row>
    <row r="27137" spans="103:104" x14ac:dyDescent="0.3">
      <c r="CY27137" s="34" t="s">
        <v>28063</v>
      </c>
      <c r="CZ27137" s="35">
        <v>2.2967223999999998E-2</v>
      </c>
    </row>
    <row r="27138" spans="103:104" x14ac:dyDescent="0.3">
      <c r="CY27138" s="34" t="s">
        <v>28064</v>
      </c>
      <c r="CZ27138" s="35">
        <v>1.8320464000000002E-2</v>
      </c>
    </row>
    <row r="27139" spans="103:104" x14ac:dyDescent="0.3">
      <c r="CY27139" s="34" t="s">
        <v>28065</v>
      </c>
      <c r="CZ27139" s="35">
        <v>3.3388214285714286E-4</v>
      </c>
    </row>
    <row r="27140" spans="103:104" x14ac:dyDescent="0.3">
      <c r="CY27140" s="34" t="s">
        <v>28066</v>
      </c>
      <c r="CZ27140" s="35">
        <v>3.3954860000000003E-2</v>
      </c>
    </row>
    <row r="27141" spans="103:104" x14ac:dyDescent="0.3">
      <c r="CY27141" s="34" t="s">
        <v>28067</v>
      </c>
      <c r="CZ27141" s="35">
        <v>0.14339093999999999</v>
      </c>
    </row>
    <row r="27142" spans="103:104" x14ac:dyDescent="0.3">
      <c r="CY27142" s="34" t="s">
        <v>28068</v>
      </c>
      <c r="CZ27142" s="35">
        <v>7.70396E-2</v>
      </c>
    </row>
    <row r="27143" spans="103:104" x14ac:dyDescent="0.3">
      <c r="CY27143" s="34" t="s">
        <v>28069</v>
      </c>
      <c r="CZ27143" s="35">
        <v>8.5776240000000017E-2</v>
      </c>
    </row>
    <row r="27144" spans="103:104" x14ac:dyDescent="0.3">
      <c r="CY27144" s="34" t="s">
        <v>28070</v>
      </c>
      <c r="CZ27144" s="35">
        <v>0.12434333999999998</v>
      </c>
    </row>
    <row r="27145" spans="103:104" x14ac:dyDescent="0.3">
      <c r="CY27145" s="34" t="s">
        <v>28071</v>
      </c>
      <c r="CZ27145" s="35">
        <v>6.5916559999999996E-4</v>
      </c>
    </row>
    <row r="27146" spans="103:104" x14ac:dyDescent="0.3">
      <c r="CY27146" s="34" t="s">
        <v>28072</v>
      </c>
      <c r="CZ27146" s="35">
        <v>1.3665282000000001E-2</v>
      </c>
    </row>
    <row r="27147" spans="103:104" x14ac:dyDescent="0.3">
      <c r="CY27147" s="34" t="s">
        <v>28073</v>
      </c>
      <c r="CZ27147" s="35">
        <v>1.7474991999999998E-2</v>
      </c>
    </row>
    <row r="27148" spans="103:104" x14ac:dyDescent="0.3">
      <c r="CY27148" s="34" t="s">
        <v>28074</v>
      </c>
      <c r="CZ27148" s="35">
        <v>4.3652240000000003E-4</v>
      </c>
    </row>
    <row r="27149" spans="103:104" x14ac:dyDescent="0.3">
      <c r="CY27149" s="34" t="s">
        <v>28075</v>
      </c>
      <c r="CZ27149" s="35">
        <v>8.8409332000000014E-3</v>
      </c>
    </row>
    <row r="27150" spans="103:104" x14ac:dyDescent="0.3">
      <c r="CY27150" s="34" t="s">
        <v>28076</v>
      </c>
      <c r="CZ27150" s="35">
        <v>0.16977191599999999</v>
      </c>
    </row>
    <row r="27151" spans="103:104" x14ac:dyDescent="0.3">
      <c r="CY27151" s="34" t="s">
        <v>28077</v>
      </c>
      <c r="CZ27151" s="35">
        <v>1.62342E-3</v>
      </c>
    </row>
    <row r="27152" spans="103:104" x14ac:dyDescent="0.3">
      <c r="CY27152" s="34" t="s">
        <v>28078</v>
      </c>
      <c r="CZ27152" s="35">
        <v>9.2687043999999997E-4</v>
      </c>
    </row>
    <row r="27153" spans="103:104" x14ac:dyDescent="0.3">
      <c r="CY27153" s="34" t="s">
        <v>28079</v>
      </c>
      <c r="CZ27153" s="35">
        <v>1.0597652000000001E-3</v>
      </c>
    </row>
    <row r="27154" spans="103:104" x14ac:dyDescent="0.3">
      <c r="CY27154" s="34" t="s">
        <v>28080</v>
      </c>
      <c r="CZ27154" s="35">
        <v>1.9107739999999996E-3</v>
      </c>
    </row>
    <row r="27155" spans="103:104" x14ac:dyDescent="0.3">
      <c r="CY27155" s="34" t="s">
        <v>28081</v>
      </c>
      <c r="CZ27155" s="35">
        <v>1.8950573250000001E-3</v>
      </c>
    </row>
    <row r="27156" spans="103:104" x14ac:dyDescent="0.3">
      <c r="CY27156" s="34" t="s">
        <v>28082</v>
      </c>
      <c r="CZ27156" s="35">
        <v>1.955624E-3</v>
      </c>
    </row>
    <row r="27157" spans="103:104" x14ac:dyDescent="0.3">
      <c r="CY27157" s="34" t="s">
        <v>28083</v>
      </c>
      <c r="CZ27157" s="35">
        <v>1.9425106000000004E-2</v>
      </c>
    </row>
    <row r="27158" spans="103:104" x14ac:dyDescent="0.3">
      <c r="CY27158" s="34" t="s">
        <v>28084</v>
      </c>
      <c r="CZ27158" s="35">
        <v>1.9425106000000001E-2</v>
      </c>
    </row>
    <row r="27159" spans="103:104" x14ac:dyDescent="0.3">
      <c r="CY27159" s="34" t="s">
        <v>28085</v>
      </c>
      <c r="CZ27159" s="35">
        <v>1.9425106000000004E-2</v>
      </c>
    </row>
    <row r="27160" spans="103:104" x14ac:dyDescent="0.3">
      <c r="CY27160" s="34" t="s">
        <v>28086</v>
      </c>
      <c r="CZ27160" s="35">
        <v>1.9425106000000001E-2</v>
      </c>
    </row>
    <row r="27161" spans="103:104" x14ac:dyDescent="0.3">
      <c r="CY27161" s="34" t="s">
        <v>28087</v>
      </c>
      <c r="CZ27161" s="35">
        <v>1.9425106000000001E-2</v>
      </c>
    </row>
    <row r="27162" spans="103:104" x14ac:dyDescent="0.3">
      <c r="CY27162" s="34" t="s">
        <v>28088</v>
      </c>
      <c r="CZ27162" s="35">
        <v>1.9404232E-2</v>
      </c>
    </row>
    <row r="27163" spans="103:104" x14ac:dyDescent="0.3">
      <c r="CY27163" s="34" t="s">
        <v>28089</v>
      </c>
      <c r="CZ27163" s="35">
        <v>1.9425106000000004E-2</v>
      </c>
    </row>
    <row r="27164" spans="103:104" x14ac:dyDescent="0.3">
      <c r="CY27164" s="34" t="s">
        <v>28090</v>
      </c>
      <c r="CZ27164" s="35">
        <v>4.0544382222222229E-3</v>
      </c>
    </row>
    <row r="27165" spans="103:104" x14ac:dyDescent="0.3">
      <c r="CY27165" s="34" t="s">
        <v>28091</v>
      </c>
      <c r="CZ27165" s="35">
        <v>0.71479761667999997</v>
      </c>
    </row>
    <row r="27166" spans="103:104" x14ac:dyDescent="0.3">
      <c r="CY27166" s="34" t="s">
        <v>28092</v>
      </c>
      <c r="CZ27166" s="35">
        <v>0.71479761667999997</v>
      </c>
    </row>
    <row r="27167" spans="103:104" x14ac:dyDescent="0.3">
      <c r="CY27167" s="34" t="s">
        <v>28093</v>
      </c>
      <c r="CZ27167" s="35">
        <v>0.71679761667999997</v>
      </c>
    </row>
    <row r="27168" spans="103:104" x14ac:dyDescent="0.3">
      <c r="CY27168" s="34" t="s">
        <v>28094</v>
      </c>
      <c r="CZ27168" s="35">
        <v>0.29335459200000003</v>
      </c>
    </row>
    <row r="27169" spans="103:104" x14ac:dyDescent="0.3">
      <c r="CY27169" s="34" t="s">
        <v>28095</v>
      </c>
      <c r="CZ27169" s="35">
        <v>0.28735459199999996</v>
      </c>
    </row>
    <row r="27170" spans="103:104" x14ac:dyDescent="0.3">
      <c r="CY27170" s="34" t="s">
        <v>28096</v>
      </c>
      <c r="CZ27170" s="35">
        <v>1.3253545920000001</v>
      </c>
    </row>
    <row r="27171" spans="103:104" x14ac:dyDescent="0.3">
      <c r="CY27171" s="34" t="s">
        <v>28097</v>
      </c>
      <c r="CZ27171" s="35">
        <v>0.28600509199999996</v>
      </c>
    </row>
    <row r="27172" spans="103:104" x14ac:dyDescent="0.3">
      <c r="CY27172" s="34" t="s">
        <v>28098</v>
      </c>
      <c r="CZ27172" s="35">
        <v>3.7961362000000005E-2</v>
      </c>
    </row>
    <row r="27173" spans="103:104" x14ac:dyDescent="0.3">
      <c r="CY27173" s="34" t="s">
        <v>28099</v>
      </c>
      <c r="CZ27173" s="35">
        <v>4.1600998E-2</v>
      </c>
    </row>
    <row r="27174" spans="103:104" x14ac:dyDescent="0.3">
      <c r="CY27174" s="34" t="s">
        <v>28100</v>
      </c>
      <c r="CZ27174" s="35">
        <v>0.89298568199999995</v>
      </c>
    </row>
    <row r="27175" spans="103:104" x14ac:dyDescent="0.3">
      <c r="CY27175" s="34" t="s">
        <v>28101</v>
      </c>
      <c r="CZ27175" s="35">
        <v>0.45732335000000002</v>
      </c>
    </row>
    <row r="27176" spans="103:104" x14ac:dyDescent="0.3">
      <c r="CY27176" s="34" t="s">
        <v>28102</v>
      </c>
      <c r="CZ27176" s="35">
        <v>8.148809844E-3</v>
      </c>
    </row>
    <row r="27177" spans="103:104" x14ac:dyDescent="0.3">
      <c r="CY27177" s="34" t="s">
        <v>28103</v>
      </c>
      <c r="CZ27177" s="35">
        <v>4.3599999999999997E-4</v>
      </c>
    </row>
    <row r="27178" spans="103:104" x14ac:dyDescent="0.3">
      <c r="CY27178" s="34" t="s">
        <v>28104</v>
      </c>
      <c r="CZ27178" s="35">
        <v>7.3400000000000006E-4</v>
      </c>
    </row>
    <row r="27179" spans="103:104" x14ac:dyDescent="0.3">
      <c r="CY27179" s="34" t="s">
        <v>28105</v>
      </c>
      <c r="CZ27179" s="35">
        <v>3.8885230000000007E-2</v>
      </c>
    </row>
    <row r="27180" spans="103:104" x14ac:dyDescent="0.3">
      <c r="CY27180" s="34" t="s">
        <v>28106</v>
      </c>
      <c r="CZ27180" s="35">
        <v>1.3956250000000002E-3</v>
      </c>
    </row>
    <row r="27181" spans="103:104" x14ac:dyDescent="0.3">
      <c r="CY27181" s="34" t="s">
        <v>28107</v>
      </c>
      <c r="CZ27181" s="35">
        <v>1.0765464727272727E-2</v>
      </c>
    </row>
    <row r="27182" spans="103:104" x14ac:dyDescent="0.3">
      <c r="CY27182" s="34" t="s">
        <v>28108</v>
      </c>
      <c r="CZ27182" s="35">
        <v>3.1058362666666669E-2</v>
      </c>
    </row>
    <row r="27183" spans="103:104" x14ac:dyDescent="0.3">
      <c r="CY27183" s="34" t="s">
        <v>28109</v>
      </c>
      <c r="CZ27183" s="35">
        <v>1.3881820000000001E-2</v>
      </c>
    </row>
    <row r="27184" spans="103:104" x14ac:dyDescent="0.3">
      <c r="CY27184" s="34" t="s">
        <v>28110</v>
      </c>
      <c r="CZ27184" s="35">
        <v>1.4946690799999999E-2</v>
      </c>
    </row>
    <row r="27185" spans="103:104" x14ac:dyDescent="0.3">
      <c r="CY27185" s="34" t="s">
        <v>28111</v>
      </c>
      <c r="CZ27185" s="35">
        <v>1.3347246199999998E-2</v>
      </c>
    </row>
    <row r="27186" spans="103:104" x14ac:dyDescent="0.3">
      <c r="CY27186" s="34" t="s">
        <v>28112</v>
      </c>
      <c r="CZ27186" s="35">
        <v>8.5809131999999982E-2</v>
      </c>
    </row>
    <row r="27187" spans="103:104" x14ac:dyDescent="0.3">
      <c r="CY27187" s="34" t="s">
        <v>28113</v>
      </c>
      <c r="CZ27187" s="35">
        <v>8.2988879999999991E-3</v>
      </c>
    </row>
    <row r="27188" spans="103:104" x14ac:dyDescent="0.3">
      <c r="CY27188" s="34" t="s">
        <v>28114</v>
      </c>
      <c r="CZ27188" s="35">
        <v>6.4000860000000007E-2</v>
      </c>
    </row>
    <row r="27189" spans="103:104" x14ac:dyDescent="0.3">
      <c r="CY27189" s="34" t="s">
        <v>28115</v>
      </c>
      <c r="CZ27189" s="35">
        <v>3.7683082499999999E-2</v>
      </c>
    </row>
    <row r="27190" spans="103:104" x14ac:dyDescent="0.3">
      <c r="CY27190" s="34" t="s">
        <v>28116</v>
      </c>
      <c r="CZ27190" s="35">
        <v>4.1442764999999993E-2</v>
      </c>
    </row>
    <row r="27191" spans="103:104" x14ac:dyDescent="0.3">
      <c r="CY27191" s="34" t="s">
        <v>28117</v>
      </c>
      <c r="CZ27191" s="35">
        <v>6.8596027500000004E-2</v>
      </c>
    </row>
    <row r="27192" spans="103:104" x14ac:dyDescent="0.3">
      <c r="CY27192" s="34" t="s">
        <v>28118</v>
      </c>
      <c r="CZ27192" s="35">
        <v>6.7182463333333317E-2</v>
      </c>
    </row>
    <row r="27193" spans="103:104" x14ac:dyDescent="0.3">
      <c r="CY27193" s="34" t="s">
        <v>28119</v>
      </c>
      <c r="CZ27193" s="35">
        <v>7.036018333333334E-2</v>
      </c>
    </row>
    <row r="27194" spans="103:104" x14ac:dyDescent="0.3">
      <c r="CY27194" s="34" t="s">
        <v>28120</v>
      </c>
      <c r="CZ27194" s="35">
        <v>3.0697903333333335E-2</v>
      </c>
    </row>
    <row r="27195" spans="103:104" x14ac:dyDescent="0.3">
      <c r="CY27195" s="34" t="s">
        <v>28121</v>
      </c>
      <c r="CZ27195" s="35">
        <v>3.434644333333333E-2</v>
      </c>
    </row>
    <row r="27196" spans="103:104" x14ac:dyDescent="0.3">
      <c r="CY27196" s="34" t="s">
        <v>28122</v>
      </c>
      <c r="CZ27196" s="35">
        <v>3.2801356199999993E-2</v>
      </c>
    </row>
    <row r="27197" spans="103:104" x14ac:dyDescent="0.3">
      <c r="CY27197" s="34" t="s">
        <v>28123</v>
      </c>
      <c r="CZ27197" s="35">
        <v>3.8562919999999994E-2</v>
      </c>
    </row>
    <row r="27198" spans="103:104" x14ac:dyDescent="0.3">
      <c r="CY27198" s="34" t="s">
        <v>28124</v>
      </c>
      <c r="CZ27198" s="35">
        <v>3.2140273999999996E-2</v>
      </c>
    </row>
    <row r="27199" spans="103:104" x14ac:dyDescent="0.3">
      <c r="CY27199" s="34" t="s">
        <v>28125</v>
      </c>
      <c r="CZ27199" s="35">
        <v>0.63977057999999998</v>
      </c>
    </row>
    <row r="27200" spans="103:104" x14ac:dyDescent="0.3">
      <c r="CY27200" s="34" t="s">
        <v>28126</v>
      </c>
      <c r="CZ27200" s="35">
        <v>0.26676233000000005</v>
      </c>
    </row>
    <row r="27201" spans="103:104" x14ac:dyDescent="0.3">
      <c r="CY27201" s="34" t="s">
        <v>28127</v>
      </c>
      <c r="CZ27201" s="35">
        <v>0.72982322399999999</v>
      </c>
    </row>
    <row r="27202" spans="103:104" x14ac:dyDescent="0.3">
      <c r="CY27202" s="34" t="s">
        <v>28128</v>
      </c>
      <c r="CZ27202" s="35">
        <v>0.43951901000000004</v>
      </c>
    </row>
    <row r="27203" spans="103:104" x14ac:dyDescent="0.3">
      <c r="CY27203" s="34" t="s">
        <v>28129</v>
      </c>
      <c r="CZ27203" s="35">
        <v>0.61546003599999999</v>
      </c>
    </row>
    <row r="27204" spans="103:104" x14ac:dyDescent="0.3">
      <c r="CY27204" s="34" t="s">
        <v>28130</v>
      </c>
      <c r="CZ27204" s="35">
        <v>2.1286137263157897E-3</v>
      </c>
    </row>
    <row r="27205" spans="103:104" x14ac:dyDescent="0.3">
      <c r="CY27205" s="34" t="s">
        <v>28131</v>
      </c>
      <c r="CZ27205" s="35">
        <v>0.90003619600000007</v>
      </c>
    </row>
    <row r="27206" spans="103:104" x14ac:dyDescent="0.3">
      <c r="CY27206" s="34" t="s">
        <v>28132</v>
      </c>
      <c r="CZ27206" s="35">
        <v>1.3441479999999999</v>
      </c>
    </row>
    <row r="27207" spans="103:104" x14ac:dyDescent="0.3">
      <c r="CY27207" s="34" t="s">
        <v>28133</v>
      </c>
      <c r="CZ27207" s="35">
        <v>9.9835940999999997E-2</v>
      </c>
    </row>
    <row r="27208" spans="103:104" x14ac:dyDescent="0.3">
      <c r="CY27208" s="34" t="s">
        <v>28134</v>
      </c>
      <c r="CZ27208" s="35">
        <v>0.45021234999999998</v>
      </c>
    </row>
    <row r="27209" spans="103:104" x14ac:dyDescent="0.3">
      <c r="CY27209" s="34" t="s">
        <v>28135</v>
      </c>
      <c r="CZ27209" s="35">
        <v>0.69471062500000003</v>
      </c>
    </row>
    <row r="27210" spans="103:104" x14ac:dyDescent="0.3">
      <c r="CY27210" s="34" t="s">
        <v>28136</v>
      </c>
      <c r="CZ27210" s="35">
        <v>7.9290426666666636E-3</v>
      </c>
    </row>
    <row r="27211" spans="103:104" x14ac:dyDescent="0.3">
      <c r="CY27211" s="34" t="s">
        <v>28137</v>
      </c>
      <c r="CZ27211" s="35">
        <v>1.6614885999999999E-2</v>
      </c>
    </row>
    <row r="27212" spans="103:104" x14ac:dyDescent="0.3">
      <c r="CY27212" s="34" t="s">
        <v>28138</v>
      </c>
      <c r="CZ27212" s="35">
        <v>1.5099279111111114E-2</v>
      </c>
    </row>
    <row r="27213" spans="103:104" x14ac:dyDescent="0.3">
      <c r="CY27213" s="34" t="s">
        <v>28139</v>
      </c>
      <c r="CZ27213" s="35">
        <v>1.3984885600000002E-2</v>
      </c>
    </row>
    <row r="27214" spans="103:104" x14ac:dyDescent="0.3">
      <c r="CY27214" s="34" t="s">
        <v>28140</v>
      </c>
      <c r="CZ27214" s="35">
        <v>0.61517358</v>
      </c>
    </row>
    <row r="27215" spans="103:104" x14ac:dyDescent="0.3">
      <c r="CY27215" s="34" t="s">
        <v>28141</v>
      </c>
      <c r="CZ27215" s="35">
        <v>0.87133511500000005</v>
      </c>
    </row>
    <row r="27216" spans="103:104" x14ac:dyDescent="0.3">
      <c r="CY27216" s="34" t="s">
        <v>28142</v>
      </c>
      <c r="CZ27216" s="35">
        <v>1.3195292444444444E-2</v>
      </c>
    </row>
    <row r="27217" spans="103:104" x14ac:dyDescent="0.3">
      <c r="CY27217" s="34" t="s">
        <v>28143</v>
      </c>
      <c r="CZ27217" s="35">
        <v>1.2790959999999999E-2</v>
      </c>
    </row>
    <row r="27218" spans="103:104" x14ac:dyDescent="0.3">
      <c r="CY27218" s="34" t="s">
        <v>28144</v>
      </c>
      <c r="CZ27218" s="35">
        <v>1.2851004444444444E-2</v>
      </c>
    </row>
    <row r="27219" spans="103:104" x14ac:dyDescent="0.3">
      <c r="CY27219" s="34" t="s">
        <v>28145</v>
      </c>
      <c r="CZ27219" s="35">
        <v>1.3025701818181818E-2</v>
      </c>
    </row>
    <row r="27220" spans="103:104" x14ac:dyDescent="0.3">
      <c r="CY27220" s="34" t="s">
        <v>28146</v>
      </c>
      <c r="CZ27220" s="35">
        <v>1.2556218181818181E-2</v>
      </c>
    </row>
    <row r="27221" spans="103:104" x14ac:dyDescent="0.3">
      <c r="CY27221" s="34" t="s">
        <v>28147</v>
      </c>
      <c r="CZ27221" s="35">
        <v>0.16319559866666669</v>
      </c>
    </row>
    <row r="27222" spans="103:104" x14ac:dyDescent="0.3">
      <c r="CY27222" s="34" t="s">
        <v>28148</v>
      </c>
      <c r="CZ27222" s="35">
        <v>0.18790825</v>
      </c>
    </row>
    <row r="27223" spans="103:104" x14ac:dyDescent="0.3">
      <c r="CY27223" s="34" t="s">
        <v>28149</v>
      </c>
      <c r="CZ27223" s="35">
        <v>6.0483320000000007E-2</v>
      </c>
    </row>
    <row r="27224" spans="103:104" x14ac:dyDescent="0.3">
      <c r="CY27224" s="34" t="s">
        <v>28150</v>
      </c>
      <c r="CZ27224" s="35">
        <v>3.1887263999999999E-3</v>
      </c>
    </row>
    <row r="27225" spans="103:104" x14ac:dyDescent="0.3">
      <c r="CY27225" s="34" t="s">
        <v>28151</v>
      </c>
      <c r="CZ27225" s="35">
        <v>0.11239237666666667</v>
      </c>
    </row>
    <row r="27226" spans="103:104" x14ac:dyDescent="0.3">
      <c r="CY27226" s="34" t="s">
        <v>28152</v>
      </c>
      <c r="CZ27226" s="35">
        <v>1.349531E-2</v>
      </c>
    </row>
    <row r="27227" spans="103:104" x14ac:dyDescent="0.3">
      <c r="CY27227" s="34" t="s">
        <v>28153</v>
      </c>
      <c r="CZ27227" s="35">
        <v>2.0811863043478259E-2</v>
      </c>
    </row>
    <row r="27228" spans="103:104" x14ac:dyDescent="0.3">
      <c r="CY27228" s="34" t="s">
        <v>28154</v>
      </c>
      <c r="CZ27228" s="35">
        <v>2.7487442857142854E-2</v>
      </c>
    </row>
    <row r="27229" spans="103:104" x14ac:dyDescent="0.3">
      <c r="CY27229" s="34" t="s">
        <v>28155</v>
      </c>
      <c r="CZ27229" s="35">
        <v>36.358501896</v>
      </c>
    </row>
    <row r="27230" spans="103:104" x14ac:dyDescent="0.3">
      <c r="CY27230" s="34" t="s">
        <v>28156</v>
      </c>
      <c r="CZ27230" s="35">
        <v>0.81814116999999997</v>
      </c>
    </row>
    <row r="27231" spans="103:104" x14ac:dyDescent="0.3">
      <c r="CY27231" s="34" t="s">
        <v>28157</v>
      </c>
      <c r="CZ27231" s="35">
        <v>8.5116930000000007E-3</v>
      </c>
    </row>
    <row r="27232" spans="103:104" x14ac:dyDescent="0.3">
      <c r="CY27232" s="34" t="s">
        <v>28158</v>
      </c>
      <c r="CZ27232" s="35">
        <v>7.4526559999999993E-3</v>
      </c>
    </row>
    <row r="27233" spans="103:104" x14ac:dyDescent="0.3">
      <c r="CY27233" s="34" t="s">
        <v>28159</v>
      </c>
      <c r="CZ27233" s="35">
        <v>9.6346016000000024E-3</v>
      </c>
    </row>
    <row r="27234" spans="103:104" x14ac:dyDescent="0.3">
      <c r="CY27234" s="34" t="s">
        <v>28160</v>
      </c>
      <c r="CZ27234" s="35">
        <v>3.4389685999999999E-3</v>
      </c>
    </row>
    <row r="27235" spans="103:104" x14ac:dyDescent="0.3">
      <c r="CY27235" s="34" t="s">
        <v>28161</v>
      </c>
      <c r="CZ27235" s="35">
        <v>2.1238752571428572E-3</v>
      </c>
    </row>
    <row r="27236" spans="103:104" x14ac:dyDescent="0.3">
      <c r="CY27236" s="34" t="s">
        <v>28162</v>
      </c>
      <c r="CZ27236" s="35">
        <v>3.7405516700000002E-2</v>
      </c>
    </row>
    <row r="27237" spans="103:104" x14ac:dyDescent="0.3">
      <c r="CY27237" s="34" t="s">
        <v>28163</v>
      </c>
      <c r="CZ27237" s="35">
        <v>4.7926343711111111E-2</v>
      </c>
    </row>
    <row r="27238" spans="103:104" x14ac:dyDescent="0.3">
      <c r="CY27238" s="34" t="s">
        <v>28164</v>
      </c>
      <c r="CZ27238" s="35">
        <v>5.5976451649999995E-2</v>
      </c>
    </row>
    <row r="27239" spans="103:104" x14ac:dyDescent="0.3">
      <c r="CY27239" s="34" t="s">
        <v>28165</v>
      </c>
      <c r="CZ27239" s="35">
        <v>2.1593528000000001E-3</v>
      </c>
    </row>
    <row r="27240" spans="103:104" x14ac:dyDescent="0.3">
      <c r="CY27240" s="34" t="s">
        <v>28166</v>
      </c>
      <c r="CZ27240" s="35">
        <v>0.94028824620000007</v>
      </c>
    </row>
    <row r="27241" spans="103:104" x14ac:dyDescent="0.3">
      <c r="CY27241" s="34" t="s">
        <v>28167</v>
      </c>
      <c r="CZ27241" s="35">
        <v>1.0718388162000001</v>
      </c>
    </row>
    <row r="27242" spans="103:104" x14ac:dyDescent="0.3">
      <c r="CY27242" s="34" t="s">
        <v>28168</v>
      </c>
      <c r="CZ27242" s="35">
        <v>0.77754115552740011</v>
      </c>
    </row>
    <row r="27243" spans="103:104" x14ac:dyDescent="0.3">
      <c r="CY27243" s="34" t="s">
        <v>28169</v>
      </c>
      <c r="CZ27243" s="35">
        <v>0.25553452499999996</v>
      </c>
    </row>
    <row r="27244" spans="103:104" x14ac:dyDescent="0.3">
      <c r="CY27244" s="34" t="s">
        <v>28170</v>
      </c>
      <c r="CZ27244" s="35">
        <v>5.944555E-2</v>
      </c>
    </row>
    <row r="27245" spans="103:104" x14ac:dyDescent="0.3">
      <c r="CY27245" s="34" t="s">
        <v>28171</v>
      </c>
      <c r="CZ27245" s="35">
        <v>1.43083212E-2</v>
      </c>
    </row>
    <row r="27246" spans="103:104" x14ac:dyDescent="0.3">
      <c r="CY27246" s="34" t="s">
        <v>28172</v>
      </c>
      <c r="CZ27246" s="35">
        <v>0.60686565329999997</v>
      </c>
    </row>
    <row r="27247" spans="103:104" x14ac:dyDescent="0.3">
      <c r="CY27247" s="34" t="s">
        <v>28173</v>
      </c>
      <c r="CZ27247" s="35">
        <v>6.8528356129032263E-3</v>
      </c>
    </row>
    <row r="27248" spans="103:104" x14ac:dyDescent="0.3">
      <c r="CY27248" s="34" t="s">
        <v>28174</v>
      </c>
      <c r="CZ27248" s="35">
        <v>1.56643936E-2</v>
      </c>
    </row>
    <row r="27249" spans="103:104" x14ac:dyDescent="0.3">
      <c r="CY27249" s="34" t="s">
        <v>28175</v>
      </c>
      <c r="CZ27249" s="35">
        <v>1.8533919999999999E-2</v>
      </c>
    </row>
    <row r="27250" spans="103:104" x14ac:dyDescent="0.3">
      <c r="CY27250" s="34" t="s">
        <v>28176</v>
      </c>
      <c r="CZ27250" s="35">
        <v>1.2004859999999999E-2</v>
      </c>
    </row>
    <row r="27251" spans="103:104" x14ac:dyDescent="0.3">
      <c r="CY27251" s="34" t="s">
        <v>28177</v>
      </c>
      <c r="CZ27251" s="35">
        <v>7.8624882666666673E-2</v>
      </c>
    </row>
    <row r="27252" spans="103:104" x14ac:dyDescent="0.3">
      <c r="CY27252" s="34" t="s">
        <v>28178</v>
      </c>
      <c r="CZ27252" s="35">
        <v>0.11779834</v>
      </c>
    </row>
    <row r="27253" spans="103:104" x14ac:dyDescent="0.3">
      <c r="CY27253" s="34" t="s">
        <v>28179</v>
      </c>
      <c r="CZ27253" s="35">
        <v>4.5136076666666664E-2</v>
      </c>
    </row>
    <row r="27254" spans="103:104" x14ac:dyDescent="0.3">
      <c r="CY27254" s="34" t="s">
        <v>28180</v>
      </c>
      <c r="CZ27254" s="35">
        <v>0.41323207000000006</v>
      </c>
    </row>
    <row r="27255" spans="103:104" x14ac:dyDescent="0.3">
      <c r="CY27255" s="34" t="s">
        <v>28181</v>
      </c>
      <c r="CZ27255" s="35">
        <v>0.31265767999999999</v>
      </c>
    </row>
    <row r="27256" spans="103:104" x14ac:dyDescent="0.3">
      <c r="CY27256" s="34" t="s">
        <v>28182</v>
      </c>
      <c r="CZ27256" s="35">
        <v>0.30190928</v>
      </c>
    </row>
    <row r="27257" spans="103:104" x14ac:dyDescent="0.3">
      <c r="CY27257" s="34" t="s">
        <v>28183</v>
      </c>
      <c r="CZ27257" s="35">
        <v>0.27275080000000007</v>
      </c>
    </row>
    <row r="27258" spans="103:104" x14ac:dyDescent="0.3">
      <c r="CY27258" s="34" t="s">
        <v>28184</v>
      </c>
      <c r="CZ27258" s="35">
        <v>5.6841819999999994E-2</v>
      </c>
    </row>
    <row r="27259" spans="103:104" x14ac:dyDescent="0.3">
      <c r="CY27259" s="34" t="s">
        <v>28185</v>
      </c>
      <c r="CZ27259" s="35">
        <v>0.20987973333333335</v>
      </c>
    </row>
    <row r="27260" spans="103:104" x14ac:dyDescent="0.3">
      <c r="CY27260" s="34" t="s">
        <v>28186</v>
      </c>
      <c r="CZ27260" s="35">
        <v>5.7021381052631583E-2</v>
      </c>
    </row>
    <row r="27261" spans="103:104" x14ac:dyDescent="0.3">
      <c r="CY27261" s="34" t="s">
        <v>28187</v>
      </c>
      <c r="CZ27261" s="35">
        <v>0.15653860210526313</v>
      </c>
    </row>
    <row r="27262" spans="103:104" x14ac:dyDescent="0.3">
      <c r="CY27262" s="34" t="s">
        <v>28188</v>
      </c>
      <c r="CZ27262" s="35">
        <v>7.5314859999999996E-3</v>
      </c>
    </row>
    <row r="27263" spans="103:104" x14ac:dyDescent="0.3">
      <c r="CY27263" s="34" t="s">
        <v>28189</v>
      </c>
      <c r="CZ27263" s="35">
        <v>3.3171386666000002E-2</v>
      </c>
    </row>
    <row r="27264" spans="103:104" x14ac:dyDescent="0.3">
      <c r="CY27264" s="34" t="s">
        <v>28190</v>
      </c>
      <c r="CZ27264" s="35">
        <v>3.5272863999999998E-3</v>
      </c>
    </row>
    <row r="27265" spans="103:104" x14ac:dyDescent="0.3">
      <c r="CY27265" s="34" t="s">
        <v>28191</v>
      </c>
      <c r="CZ27265" s="35">
        <v>4.1706269999999997E-3</v>
      </c>
    </row>
    <row r="27266" spans="103:104" x14ac:dyDescent="0.3">
      <c r="CY27266" s="34" t="s">
        <v>28192</v>
      </c>
      <c r="CZ27266" s="35">
        <v>4.4833881277760002E-2</v>
      </c>
    </row>
    <row r="27267" spans="103:104" x14ac:dyDescent="0.3">
      <c r="CY27267" s="34" t="s">
        <v>28193</v>
      </c>
      <c r="CZ27267" s="35">
        <v>2.9920597400000002E-2</v>
      </c>
    </row>
    <row r="27268" spans="103:104" x14ac:dyDescent="0.3">
      <c r="CY27268" s="34" t="s">
        <v>28194</v>
      </c>
      <c r="CZ27268" s="35">
        <v>0.21640931999999996</v>
      </c>
    </row>
    <row r="27269" spans="103:104" x14ac:dyDescent="0.3">
      <c r="CY27269" s="34" t="s">
        <v>28195</v>
      </c>
      <c r="CZ27269" s="35">
        <v>2.4934440799999997E-3</v>
      </c>
    </row>
    <row r="27270" spans="103:104" x14ac:dyDescent="0.3">
      <c r="CY27270" s="34" t="s">
        <v>28196</v>
      </c>
      <c r="CZ27270" s="35">
        <v>1.519867E-3</v>
      </c>
    </row>
    <row r="27271" spans="103:104" x14ac:dyDescent="0.3">
      <c r="CY27271" s="34" t="s">
        <v>28197</v>
      </c>
      <c r="CZ27271" s="35">
        <v>9.7589829999999999E-4</v>
      </c>
    </row>
    <row r="27272" spans="103:104" x14ac:dyDescent="0.3">
      <c r="CY27272" s="34" t="s">
        <v>28198</v>
      </c>
      <c r="CZ27272" s="35">
        <v>1.0072602000000001E-3</v>
      </c>
    </row>
    <row r="27273" spans="103:104" x14ac:dyDescent="0.3">
      <c r="CY27273" s="34" t="s">
        <v>28199</v>
      </c>
      <c r="CZ27273" s="35">
        <v>7.5608160000000002E-4</v>
      </c>
    </row>
    <row r="27274" spans="103:104" x14ac:dyDescent="0.3">
      <c r="CY27274" s="34" t="s">
        <v>28200</v>
      </c>
      <c r="CZ27274" s="35">
        <v>3.278892E-4</v>
      </c>
    </row>
    <row r="27275" spans="103:104" x14ac:dyDescent="0.3">
      <c r="CY27275" s="34" t="s">
        <v>28201</v>
      </c>
      <c r="CZ27275" s="35">
        <v>2.1607077714285716E-3</v>
      </c>
    </row>
    <row r="27276" spans="103:104" x14ac:dyDescent="0.3">
      <c r="CY27276" s="34" t="s">
        <v>28202</v>
      </c>
      <c r="CZ27276" s="35">
        <v>5.2150839999999998E-4</v>
      </c>
    </row>
    <row r="27277" spans="103:104" x14ac:dyDescent="0.3">
      <c r="CY27277" s="34" t="s">
        <v>28203</v>
      </c>
      <c r="CZ27277" s="35">
        <v>1.6926264000000002E-3</v>
      </c>
    </row>
    <row r="27278" spans="103:104" x14ac:dyDescent="0.3">
      <c r="CY27278" s="34" t="s">
        <v>28204</v>
      </c>
      <c r="CZ27278" s="35">
        <v>6.9024360000000009E-4</v>
      </c>
    </row>
    <row r="27279" spans="103:104" x14ac:dyDescent="0.3">
      <c r="CY27279" s="34" t="s">
        <v>28205</v>
      </c>
      <c r="CZ27279" s="35">
        <v>1.1668944000000003E-3</v>
      </c>
    </row>
    <row r="27280" spans="103:104" x14ac:dyDescent="0.3">
      <c r="CY27280" s="34" t="s">
        <v>28206</v>
      </c>
      <c r="CZ27280" s="35">
        <v>1.8479362000000002E-3</v>
      </c>
    </row>
    <row r="27281" spans="103:104" x14ac:dyDescent="0.3">
      <c r="CY27281" s="34" t="s">
        <v>28207</v>
      </c>
      <c r="CZ27281" s="35">
        <v>1.5039333333333334E-3</v>
      </c>
    </row>
    <row r="27282" spans="103:104" x14ac:dyDescent="0.3">
      <c r="CY27282" s="34" t="s">
        <v>28208</v>
      </c>
      <c r="CZ27282" s="35">
        <v>1.5467584615E-2</v>
      </c>
    </row>
    <row r="27283" spans="103:104" x14ac:dyDescent="0.3">
      <c r="CY27283" s="34" t="s">
        <v>28209</v>
      </c>
      <c r="CZ27283" s="35">
        <v>2.4283944000000001E-3</v>
      </c>
    </row>
    <row r="27284" spans="103:104" x14ac:dyDescent="0.3">
      <c r="CY27284" s="34" t="s">
        <v>28210</v>
      </c>
      <c r="CZ27284" s="35">
        <v>1.3057514000000001E-2</v>
      </c>
    </row>
    <row r="27285" spans="103:104" x14ac:dyDescent="0.3">
      <c r="CY27285" s="34" t="s">
        <v>28211</v>
      </c>
      <c r="CZ27285" s="35">
        <v>2.9818250000000001E-2</v>
      </c>
    </row>
    <row r="27286" spans="103:104" x14ac:dyDescent="0.3">
      <c r="CY27286" s="34" t="s">
        <v>28212</v>
      </c>
      <c r="CZ27286" s="35">
        <v>0.12801912499999998</v>
      </c>
    </row>
    <row r="27287" spans="103:104" x14ac:dyDescent="0.3">
      <c r="CY27287" s="34" t="s">
        <v>28213</v>
      </c>
      <c r="CZ27287" s="35">
        <v>7.7261803333333337E-2</v>
      </c>
    </row>
    <row r="27288" spans="103:104" x14ac:dyDescent="0.3">
      <c r="CY27288" s="34" t="s">
        <v>28214</v>
      </c>
      <c r="CZ27288" s="35">
        <v>0.10988992333333333</v>
      </c>
    </row>
    <row r="27289" spans="103:104" x14ac:dyDescent="0.3">
      <c r="CY27289" s="34" t="s">
        <v>28215</v>
      </c>
      <c r="CZ27289" s="35">
        <v>0.13290199999999999</v>
      </c>
    </row>
    <row r="27290" spans="103:104" x14ac:dyDescent="0.3">
      <c r="CY27290" s="34" t="s">
        <v>28216</v>
      </c>
      <c r="CZ27290" s="35">
        <v>1.56643936E-2</v>
      </c>
    </row>
    <row r="27291" spans="103:104" x14ac:dyDescent="0.3">
      <c r="CY27291" s="34" t="s">
        <v>28217</v>
      </c>
      <c r="CZ27291" s="35">
        <v>1.8533919999999999E-2</v>
      </c>
    </row>
    <row r="27292" spans="103:104" x14ac:dyDescent="0.3">
      <c r="CY27292" s="34" t="s">
        <v>28218</v>
      </c>
      <c r="CZ27292" s="35">
        <v>8.4696018273684223E-3</v>
      </c>
    </row>
    <row r="27293" spans="103:104" x14ac:dyDescent="0.3">
      <c r="CY27293" s="34" t="s">
        <v>28219</v>
      </c>
      <c r="CZ27293" s="35">
        <v>1.2934111600000002E-3</v>
      </c>
    </row>
    <row r="27294" spans="103:104" x14ac:dyDescent="0.3">
      <c r="CY27294" s="34" t="s">
        <v>28220</v>
      </c>
      <c r="CZ27294" s="35">
        <v>6.7495249999999993E-3</v>
      </c>
    </row>
    <row r="27295" spans="103:104" x14ac:dyDescent="0.3">
      <c r="CY27295" s="34" t="s">
        <v>28221</v>
      </c>
      <c r="CZ27295" s="35">
        <v>7.0081210000000008E-3</v>
      </c>
    </row>
    <row r="27296" spans="103:104" x14ac:dyDescent="0.3">
      <c r="CY27296" s="34" t="s">
        <v>28222</v>
      </c>
      <c r="CZ27296" s="35">
        <v>6.7449960000000005E-3</v>
      </c>
    </row>
    <row r="27297" spans="103:104" x14ac:dyDescent="0.3">
      <c r="CY27297" s="34" t="s">
        <v>28223</v>
      </c>
      <c r="CZ27297" s="35">
        <v>8.1430822538461536E-3</v>
      </c>
    </row>
    <row r="27298" spans="103:104" x14ac:dyDescent="0.3">
      <c r="CY27298" s="34" t="s">
        <v>28224</v>
      </c>
      <c r="CZ27298" s="35">
        <v>8.6030546749999992E-3</v>
      </c>
    </row>
    <row r="27299" spans="103:104" x14ac:dyDescent="0.3">
      <c r="CY27299" s="34" t="s">
        <v>28225</v>
      </c>
      <c r="CZ27299" s="35">
        <v>8.264171045000001E-3</v>
      </c>
    </row>
    <row r="27300" spans="103:104" x14ac:dyDescent="0.3">
      <c r="CY27300" s="34" t="s">
        <v>28226</v>
      </c>
      <c r="CZ27300" s="35">
        <v>0.42144744499999998</v>
      </c>
    </row>
    <row r="27301" spans="103:104" x14ac:dyDescent="0.3">
      <c r="CY27301" s="34" t="s">
        <v>28227</v>
      </c>
      <c r="CZ27301" s="35">
        <v>5.2278499999999999E-2</v>
      </c>
    </row>
    <row r="27302" spans="103:104" x14ac:dyDescent="0.3">
      <c r="CY27302" s="34" t="s">
        <v>28228</v>
      </c>
      <c r="CZ27302" s="35">
        <v>5.4742159999999998E-2</v>
      </c>
    </row>
    <row r="27303" spans="103:104" x14ac:dyDescent="0.3">
      <c r="CY27303" s="34" t="s">
        <v>28229</v>
      </c>
      <c r="CZ27303" s="35">
        <v>5.2278499999999999E-2</v>
      </c>
    </row>
    <row r="27304" spans="103:104" x14ac:dyDescent="0.3">
      <c r="CY27304" s="34" t="s">
        <v>28230</v>
      </c>
      <c r="CZ27304" s="35">
        <v>5.4742159999999998E-2</v>
      </c>
    </row>
    <row r="27305" spans="103:104" x14ac:dyDescent="0.3">
      <c r="CY27305" s="34" t="s">
        <v>28231</v>
      </c>
      <c r="CZ27305" s="35">
        <v>2.7558191059999997E-2</v>
      </c>
    </row>
    <row r="27306" spans="103:104" x14ac:dyDescent="0.3">
      <c r="CY27306" s="34" t="s">
        <v>28232</v>
      </c>
      <c r="CZ27306" s="35">
        <v>7.6785760000000003E-4</v>
      </c>
    </row>
    <row r="27307" spans="103:104" x14ac:dyDescent="0.3">
      <c r="CY27307" s="34" t="s">
        <v>28233</v>
      </c>
      <c r="CZ27307" s="35">
        <v>1.4109328400000001E-2</v>
      </c>
    </row>
    <row r="27308" spans="103:104" x14ac:dyDescent="0.3">
      <c r="CY27308" s="34" t="s">
        <v>28234</v>
      </c>
      <c r="CZ27308" s="35">
        <v>3.7933484000000003E-2</v>
      </c>
    </row>
    <row r="27309" spans="103:104" x14ac:dyDescent="0.3">
      <c r="CY27309" s="34" t="s">
        <v>28235</v>
      </c>
      <c r="CZ27309" s="35">
        <v>1.6781225</v>
      </c>
    </row>
    <row r="27310" spans="103:104" x14ac:dyDescent="0.3">
      <c r="CY27310" s="34" t="s">
        <v>28236</v>
      </c>
      <c r="CZ27310" s="35">
        <v>9.5691977777777777E-3</v>
      </c>
    </row>
    <row r="27311" spans="103:104" x14ac:dyDescent="0.3">
      <c r="CY27311" s="34" t="s">
        <v>28237</v>
      </c>
      <c r="CZ27311" s="35">
        <v>8.5646239999999985E-2</v>
      </c>
    </row>
    <row r="27312" spans="103:104" x14ac:dyDescent="0.3">
      <c r="CY27312" s="34" t="s">
        <v>28238</v>
      </c>
      <c r="CZ27312" s="35">
        <v>8.5646239999999998E-2</v>
      </c>
    </row>
    <row r="27313" spans="103:104" x14ac:dyDescent="0.3">
      <c r="CY27313" s="34" t="s">
        <v>28239</v>
      </c>
      <c r="CZ27313" s="35">
        <v>1.8704000000000003E-4</v>
      </c>
    </row>
    <row r="27314" spans="103:104" x14ac:dyDescent="0.3">
      <c r="CY27314" s="34" t="s">
        <v>28240</v>
      </c>
      <c r="CZ27314" s="35">
        <v>0.166767528</v>
      </c>
    </row>
    <row r="27315" spans="103:104" x14ac:dyDescent="0.3">
      <c r="CY27315" s="34" t="s">
        <v>28241</v>
      </c>
      <c r="CZ27315" s="35">
        <v>8.2111147999999995E-2</v>
      </c>
    </row>
    <row r="27316" spans="103:104" x14ac:dyDescent="0.3">
      <c r="CY27316" s="34" t="s">
        <v>28242</v>
      </c>
      <c r="CZ27316" s="35">
        <v>9.7369599999999994E-3</v>
      </c>
    </row>
    <row r="27317" spans="103:104" x14ac:dyDescent="0.3">
      <c r="CY27317" s="34" t="s">
        <v>28243</v>
      </c>
      <c r="CZ27317" s="35">
        <v>1.2864500000000002E-3</v>
      </c>
    </row>
    <row r="27318" spans="103:104" x14ac:dyDescent="0.3">
      <c r="CY27318" s="34" t="s">
        <v>28244</v>
      </c>
      <c r="CZ27318" s="35">
        <v>8.7127942857142865E-4</v>
      </c>
    </row>
    <row r="27319" spans="103:104" x14ac:dyDescent="0.3">
      <c r="CY27319" s="34" t="s">
        <v>28245</v>
      </c>
      <c r="CZ27319" s="35">
        <v>1.5371482500000002E-3</v>
      </c>
    </row>
    <row r="27320" spans="103:104" x14ac:dyDescent="0.3">
      <c r="CY27320" s="34" t="s">
        <v>28246</v>
      </c>
      <c r="CZ27320" s="35">
        <v>0.13530168074999999</v>
      </c>
    </row>
    <row r="27321" spans="103:104" x14ac:dyDescent="0.3">
      <c r="CY27321" s="34" t="s">
        <v>28247</v>
      </c>
      <c r="CZ27321" s="35">
        <v>5.7249399999999999E-2</v>
      </c>
    </row>
    <row r="27322" spans="103:104" x14ac:dyDescent="0.3">
      <c r="CY27322" s="34" t="s">
        <v>28248</v>
      </c>
      <c r="CZ27322" s="35">
        <v>2.8971603340000002E-2</v>
      </c>
    </row>
    <row r="27323" spans="103:104" x14ac:dyDescent="0.3">
      <c r="CY27323" s="34" t="s">
        <v>28249</v>
      </c>
      <c r="CZ27323" s="35">
        <v>8.8831314999999994E-2</v>
      </c>
    </row>
    <row r="27324" spans="103:104" x14ac:dyDescent="0.3">
      <c r="CY27324" s="34" t="s">
        <v>28250</v>
      </c>
      <c r="CZ27324" s="35">
        <v>2.1426027518072288E-3</v>
      </c>
    </row>
    <row r="27325" spans="103:104" x14ac:dyDescent="0.3">
      <c r="CY27325" s="34" t="s">
        <v>28251</v>
      </c>
      <c r="CZ27325" s="35">
        <v>2.2798178400000001E-2</v>
      </c>
    </row>
    <row r="27326" spans="103:104" x14ac:dyDescent="0.3">
      <c r="CY27326" s="34" t="s">
        <v>28252</v>
      </c>
      <c r="CZ27326" s="35">
        <v>7.5713000000000006E-4</v>
      </c>
    </row>
    <row r="27327" spans="103:104" x14ac:dyDescent="0.3">
      <c r="CY27327" s="34" t="s">
        <v>28253</v>
      </c>
      <c r="CZ27327" s="35">
        <v>1.7441721999999998E-3</v>
      </c>
    </row>
    <row r="27328" spans="103:104" x14ac:dyDescent="0.3">
      <c r="CY27328" s="34" t="s">
        <v>28254</v>
      </c>
      <c r="CZ27328" s="35">
        <v>1.3615679999999998E-3</v>
      </c>
    </row>
    <row r="27329" spans="103:104" x14ac:dyDescent="0.3">
      <c r="CY27329" s="34" t="s">
        <v>28255</v>
      </c>
      <c r="CZ27329" s="35">
        <v>1.863E-4</v>
      </c>
    </row>
    <row r="27330" spans="103:104" x14ac:dyDescent="0.3">
      <c r="CY27330" s="34" t="s">
        <v>28256</v>
      </c>
      <c r="CZ27330" s="35">
        <v>4.6991033666666669E-4</v>
      </c>
    </row>
    <row r="27331" spans="103:104" x14ac:dyDescent="0.3">
      <c r="CY27331" s="34" t="s">
        <v>28257</v>
      </c>
      <c r="CZ27331" s="35">
        <v>5.3513286679999997E-3</v>
      </c>
    </row>
    <row r="27332" spans="103:104" x14ac:dyDescent="0.3">
      <c r="CY27332" s="34" t="s">
        <v>28258</v>
      </c>
      <c r="CZ27332" s="35">
        <v>0.43455016669999996</v>
      </c>
    </row>
    <row r="27333" spans="103:104" x14ac:dyDescent="0.3">
      <c r="CY27333" s="34" t="s">
        <v>28259</v>
      </c>
      <c r="CZ27333" s="35">
        <v>7.010080000000001E-3</v>
      </c>
    </row>
    <row r="27334" spans="103:104" x14ac:dyDescent="0.3">
      <c r="CY27334" s="34" t="s">
        <v>28260</v>
      </c>
      <c r="CZ27334" s="35">
        <v>2.3050221999999999E-2</v>
      </c>
    </row>
    <row r="27335" spans="103:104" x14ac:dyDescent="0.3">
      <c r="CY27335" s="34" t="s">
        <v>28261</v>
      </c>
      <c r="CZ27335" s="35">
        <v>2.1354999999999999E-2</v>
      </c>
    </row>
    <row r="27336" spans="103:104" x14ac:dyDescent="0.3">
      <c r="CY27336" s="34" t="s">
        <v>28262</v>
      </c>
      <c r="CZ27336" s="35">
        <v>1.628698E-3</v>
      </c>
    </row>
    <row r="27337" spans="103:104" x14ac:dyDescent="0.3">
      <c r="CY27337" s="34" t="s">
        <v>28263</v>
      </c>
      <c r="CZ27337" s="35">
        <v>9.6919796491228081E-4</v>
      </c>
    </row>
    <row r="27338" spans="103:104" x14ac:dyDescent="0.3">
      <c r="CY27338" s="34" t="s">
        <v>28264</v>
      </c>
      <c r="CZ27338" s="35">
        <v>1.3151533684210527E-2</v>
      </c>
    </row>
    <row r="27339" spans="103:104" x14ac:dyDescent="0.3">
      <c r="CY27339" s="34" t="s">
        <v>28265</v>
      </c>
      <c r="CZ27339" s="35">
        <v>1.0642197894736841E-2</v>
      </c>
    </row>
    <row r="27340" spans="103:104" x14ac:dyDescent="0.3">
      <c r="CY27340" s="34" t="s">
        <v>28266</v>
      </c>
      <c r="CZ27340" s="35">
        <v>3.0348906000000004E-3</v>
      </c>
    </row>
    <row r="27341" spans="103:104" x14ac:dyDescent="0.3">
      <c r="CY27341" s="34" t="s">
        <v>28267</v>
      </c>
      <c r="CZ27341" s="35">
        <v>2.9003915000000002E-4</v>
      </c>
    </row>
    <row r="27342" spans="103:104" x14ac:dyDescent="0.3">
      <c r="CY27342" s="34" t="s">
        <v>28268</v>
      </c>
      <c r="CZ27342" s="35">
        <v>3.702925E-2</v>
      </c>
    </row>
    <row r="27343" spans="103:104" x14ac:dyDescent="0.3">
      <c r="CY27343" s="34" t="s">
        <v>28269</v>
      </c>
      <c r="CZ27343" s="35">
        <v>1.278613E-2</v>
      </c>
    </row>
    <row r="27344" spans="103:104" x14ac:dyDescent="0.3">
      <c r="CY27344" s="34" t="s">
        <v>28270</v>
      </c>
      <c r="CZ27344" s="35">
        <v>7.2552890000000009E-2</v>
      </c>
    </row>
    <row r="27345" spans="103:104" x14ac:dyDescent="0.3">
      <c r="CY27345" s="34" t="s">
        <v>28271</v>
      </c>
      <c r="CZ27345" s="35">
        <v>6.501934E-3</v>
      </c>
    </row>
    <row r="27346" spans="103:104" x14ac:dyDescent="0.3">
      <c r="CY27346" s="34" t="s">
        <v>28272</v>
      </c>
      <c r="CZ27346" s="35">
        <v>4.7062857249999999E-2</v>
      </c>
    </row>
    <row r="27347" spans="103:104" x14ac:dyDescent="0.3">
      <c r="CY27347" s="34" t="s">
        <v>28273</v>
      </c>
      <c r="CZ27347" s="35">
        <v>3.9878017250000002E-2</v>
      </c>
    </row>
    <row r="27348" spans="103:104" x14ac:dyDescent="0.3">
      <c r="CY27348" s="34" t="s">
        <v>28274</v>
      </c>
      <c r="CZ27348" s="35">
        <v>1.6076678666666667E-3</v>
      </c>
    </row>
    <row r="27349" spans="103:104" x14ac:dyDescent="0.3">
      <c r="CY27349" s="34" t="s">
        <v>28275</v>
      </c>
      <c r="CZ27349" s="35">
        <v>9.6747200000000004E-4</v>
      </c>
    </row>
    <row r="27350" spans="103:104" x14ac:dyDescent="0.3">
      <c r="CY27350" s="34" t="s">
        <v>28276</v>
      </c>
      <c r="CZ27350" s="35">
        <v>1.177184E-3</v>
      </c>
    </row>
    <row r="27351" spans="103:104" x14ac:dyDescent="0.3">
      <c r="CY27351" s="34" t="s">
        <v>28277</v>
      </c>
      <c r="CZ27351" s="35">
        <v>5.2090646666666665E-3</v>
      </c>
    </row>
    <row r="27352" spans="103:104" x14ac:dyDescent="0.3">
      <c r="CY27352" s="34" t="s">
        <v>28278</v>
      </c>
      <c r="CZ27352" s="35">
        <v>6.916666666666666E-4</v>
      </c>
    </row>
    <row r="27353" spans="103:104" x14ac:dyDescent="0.3">
      <c r="CY27353" s="34" t="s">
        <v>28279</v>
      </c>
      <c r="CZ27353" s="35">
        <v>8.473658000000002E-2</v>
      </c>
    </row>
    <row r="27354" spans="103:104" x14ac:dyDescent="0.3">
      <c r="CY27354" s="34" t="s">
        <v>28280</v>
      </c>
      <c r="CZ27354" s="35">
        <v>3.0582349599999996E-3</v>
      </c>
    </row>
    <row r="27355" spans="103:104" x14ac:dyDescent="0.3">
      <c r="CY27355" s="34" t="s">
        <v>28281</v>
      </c>
      <c r="CZ27355" s="35">
        <v>0.31970844000000004</v>
      </c>
    </row>
    <row r="27356" spans="103:104" x14ac:dyDescent="0.3">
      <c r="CY27356" s="34" t="s">
        <v>28282</v>
      </c>
      <c r="CZ27356" s="35">
        <v>1.0779763999999999E-2</v>
      </c>
    </row>
    <row r="27357" spans="103:104" x14ac:dyDescent="0.3">
      <c r="CY27357" s="34" t="s">
        <v>28283</v>
      </c>
      <c r="CZ27357" s="35">
        <v>6.5709899999999988E-3</v>
      </c>
    </row>
    <row r="27358" spans="103:104" x14ac:dyDescent="0.3">
      <c r="CY27358" s="34" t="s">
        <v>28284</v>
      </c>
      <c r="CZ27358" s="35">
        <v>3.7001646933333336E-3</v>
      </c>
    </row>
    <row r="27359" spans="103:104" x14ac:dyDescent="0.3">
      <c r="CY27359" s="34" t="s">
        <v>28285</v>
      </c>
      <c r="CZ27359" s="35">
        <v>5.697626507692307E-2</v>
      </c>
    </row>
    <row r="27360" spans="103:104" x14ac:dyDescent="0.3">
      <c r="CY27360" s="34" t="s">
        <v>28286</v>
      </c>
      <c r="CZ27360" s="35">
        <v>4.9824340000000009E-3</v>
      </c>
    </row>
    <row r="27361" spans="103:104" x14ac:dyDescent="0.3">
      <c r="CY27361" s="34" t="s">
        <v>28287</v>
      </c>
      <c r="CZ27361" s="35">
        <v>3.9235664999999996E-2</v>
      </c>
    </row>
    <row r="27362" spans="103:104" x14ac:dyDescent="0.3">
      <c r="CY27362" s="34" t="s">
        <v>28288</v>
      </c>
      <c r="CZ27362" s="35">
        <v>2.5854260000000005E-3</v>
      </c>
    </row>
    <row r="27363" spans="103:104" x14ac:dyDescent="0.3">
      <c r="CY27363" s="34" t="s">
        <v>28289</v>
      </c>
      <c r="CZ27363" s="35">
        <v>2.3538291600000002E-3</v>
      </c>
    </row>
    <row r="27364" spans="103:104" x14ac:dyDescent="0.3">
      <c r="CY27364" s="34" t="s">
        <v>28290</v>
      </c>
      <c r="CZ27364" s="35">
        <v>2.98289438E-3</v>
      </c>
    </row>
    <row r="27365" spans="103:104" x14ac:dyDescent="0.3">
      <c r="CY27365" s="34" t="s">
        <v>28291</v>
      </c>
      <c r="CZ27365" s="35">
        <v>2.7707556E-3</v>
      </c>
    </row>
    <row r="27366" spans="103:104" x14ac:dyDescent="0.3">
      <c r="CY27366" s="34" t="s">
        <v>28292</v>
      </c>
      <c r="CZ27366" s="35">
        <v>5.6993240000000004E-3</v>
      </c>
    </row>
    <row r="27367" spans="103:104" x14ac:dyDescent="0.3">
      <c r="CY27367" s="34" t="s">
        <v>28293</v>
      </c>
      <c r="CZ27367" s="35">
        <v>0.16445872</v>
      </c>
    </row>
    <row r="27368" spans="103:104" x14ac:dyDescent="0.3">
      <c r="CY27368" s="34" t="s">
        <v>28294</v>
      </c>
      <c r="CZ27368" s="35">
        <v>2.0815438499999998E-2</v>
      </c>
    </row>
    <row r="27369" spans="103:104" x14ac:dyDescent="0.3">
      <c r="CY27369" s="34" t="s">
        <v>28295</v>
      </c>
      <c r="CZ27369" s="35">
        <v>3.458333333333333E-4</v>
      </c>
    </row>
    <row r="27370" spans="103:104" x14ac:dyDescent="0.3">
      <c r="CY27370" s="34" t="s">
        <v>28296</v>
      </c>
      <c r="CZ27370" s="35">
        <v>3.2714099999999996E-2</v>
      </c>
    </row>
    <row r="27371" spans="103:104" x14ac:dyDescent="0.3">
      <c r="CY27371" s="34" t="s">
        <v>28297</v>
      </c>
      <c r="CZ27371" s="35">
        <v>3.8200492500000001E-3</v>
      </c>
    </row>
    <row r="27372" spans="103:104" x14ac:dyDescent="0.3">
      <c r="CY27372" s="34" t="s">
        <v>28298</v>
      </c>
      <c r="CZ27372" s="35">
        <v>9.7937817777777776E-3</v>
      </c>
    </row>
    <row r="27373" spans="103:104" x14ac:dyDescent="0.3">
      <c r="CY27373" s="34" t="s">
        <v>28299</v>
      </c>
      <c r="CZ27373" s="35">
        <v>7.0286245333333358E-2</v>
      </c>
    </row>
    <row r="27374" spans="103:104" x14ac:dyDescent="0.3">
      <c r="CY27374" s="34" t="s">
        <v>28300</v>
      </c>
      <c r="CZ27374" s="35">
        <v>8.1982222666666674E-2</v>
      </c>
    </row>
    <row r="27375" spans="103:104" x14ac:dyDescent="0.3">
      <c r="CY27375" s="34" t="s">
        <v>28301</v>
      </c>
      <c r="CZ27375" s="35">
        <v>2.7890612807741935</v>
      </c>
    </row>
    <row r="27376" spans="103:104" x14ac:dyDescent="0.3">
      <c r="CY27376" s="34" t="s">
        <v>28302</v>
      </c>
      <c r="CZ27376" s="35">
        <v>6.3919220820000011E-2</v>
      </c>
    </row>
    <row r="27377" spans="103:104" x14ac:dyDescent="0.3">
      <c r="CY27377" s="34" t="s">
        <v>28303</v>
      </c>
      <c r="CZ27377" s="35">
        <v>6.3919220820000011E-2</v>
      </c>
    </row>
    <row r="27378" spans="103:104" x14ac:dyDescent="0.3">
      <c r="CY27378" s="34" t="s">
        <v>28304</v>
      </c>
      <c r="CZ27378" s="35">
        <v>5.0930252799999999E-2</v>
      </c>
    </row>
    <row r="27379" spans="103:104" x14ac:dyDescent="0.3">
      <c r="CY27379" s="34" t="s">
        <v>28305</v>
      </c>
      <c r="CZ27379" s="35">
        <v>4.7407879999999999E-2</v>
      </c>
    </row>
    <row r="27380" spans="103:104" x14ac:dyDescent="0.3">
      <c r="CY27380" s="34" t="s">
        <v>28306</v>
      </c>
      <c r="CZ27380" s="35">
        <v>1.14270816E-2</v>
      </c>
    </row>
    <row r="27381" spans="103:104" x14ac:dyDescent="0.3">
      <c r="CY27381" s="34" t="s">
        <v>28307</v>
      </c>
      <c r="CZ27381" s="35">
        <v>3.1099999999999997E-4</v>
      </c>
    </row>
    <row r="27382" spans="103:104" x14ac:dyDescent="0.3">
      <c r="CY27382" s="34" t="s">
        <v>28308</v>
      </c>
      <c r="CZ27382" s="35">
        <v>8.8485116666666662E-3</v>
      </c>
    </row>
    <row r="27383" spans="103:104" x14ac:dyDescent="0.3">
      <c r="CY27383" s="34" t="s">
        <v>28309</v>
      </c>
      <c r="CZ27383" s="35">
        <v>1.285529E-2</v>
      </c>
    </row>
    <row r="27384" spans="103:104" x14ac:dyDescent="0.3">
      <c r="CY27384" s="34" t="s">
        <v>28310</v>
      </c>
      <c r="CZ27384" s="35">
        <v>1.7310494333333332E-2</v>
      </c>
    </row>
    <row r="27385" spans="103:104" x14ac:dyDescent="0.3">
      <c r="CY27385" s="34" t="s">
        <v>28311</v>
      </c>
      <c r="CZ27385" s="35">
        <v>1.3677999999999999E-2</v>
      </c>
    </row>
    <row r="27386" spans="103:104" x14ac:dyDescent="0.3">
      <c r="CY27386" s="34" t="s">
        <v>28312</v>
      </c>
      <c r="CZ27386" s="35">
        <v>3.4274988800000001E-3</v>
      </c>
    </row>
    <row r="27387" spans="103:104" x14ac:dyDescent="0.3">
      <c r="CY27387" s="34" t="s">
        <v>28313</v>
      </c>
      <c r="CZ27387" s="35">
        <v>5.7841203999999995E-3</v>
      </c>
    </row>
    <row r="27388" spans="103:104" x14ac:dyDescent="0.3">
      <c r="CY27388" s="34" t="s">
        <v>28314</v>
      </c>
      <c r="CZ27388" s="35">
        <v>4.786970832999999E-2</v>
      </c>
    </row>
    <row r="27389" spans="103:104" x14ac:dyDescent="0.3">
      <c r="CY27389" s="34" t="s">
        <v>28315</v>
      </c>
      <c r="CZ27389" s="35">
        <v>1.80441E-3</v>
      </c>
    </row>
    <row r="27390" spans="103:104" x14ac:dyDescent="0.3">
      <c r="CY27390" s="34" t="s">
        <v>28316</v>
      </c>
      <c r="CZ27390" s="35">
        <v>3.7353580000000003E-3</v>
      </c>
    </row>
    <row r="27391" spans="103:104" x14ac:dyDescent="0.3">
      <c r="CY27391" s="34" t="s">
        <v>28317</v>
      </c>
      <c r="CZ27391" s="35">
        <v>1.1918427400000001E-2</v>
      </c>
    </row>
    <row r="27392" spans="103:104" x14ac:dyDescent="0.3">
      <c r="CY27392" s="34" t="s">
        <v>28318</v>
      </c>
      <c r="CZ27392" s="35">
        <v>2.7464410000000001E-3</v>
      </c>
    </row>
    <row r="27393" spans="103:104" x14ac:dyDescent="0.3">
      <c r="CY27393" s="34" t="s">
        <v>28319</v>
      </c>
      <c r="CZ27393" s="35">
        <v>2.3796449600000003E-3</v>
      </c>
    </row>
    <row r="27394" spans="103:104" x14ac:dyDescent="0.3">
      <c r="CY27394" s="34" t="s">
        <v>28320</v>
      </c>
      <c r="CZ27394" s="35">
        <v>8.8267432222083331E-3</v>
      </c>
    </row>
    <row r="27395" spans="103:104" x14ac:dyDescent="0.3">
      <c r="CY27395" s="34" t="s">
        <v>28321</v>
      </c>
      <c r="CZ27395" s="35">
        <v>1.0505292243055556E-2</v>
      </c>
    </row>
    <row r="27396" spans="103:104" x14ac:dyDescent="0.3">
      <c r="CY27396" s="34" t="s">
        <v>28322</v>
      </c>
      <c r="CZ27396" s="35">
        <v>9.6777266666666657E-3</v>
      </c>
    </row>
    <row r="27397" spans="103:104" x14ac:dyDescent="0.3">
      <c r="CY27397" s="34" t="s">
        <v>28323</v>
      </c>
      <c r="CZ27397" s="35">
        <v>5.1791170399999994E-3</v>
      </c>
    </row>
    <row r="27398" spans="103:104" x14ac:dyDescent="0.3">
      <c r="CY27398" s="34" t="s">
        <v>28324</v>
      </c>
      <c r="CZ27398" s="35">
        <v>0.20659369</v>
      </c>
    </row>
    <row r="27399" spans="103:104" x14ac:dyDescent="0.3">
      <c r="CY27399" s="34" t="s">
        <v>28325</v>
      </c>
      <c r="CZ27399" s="35">
        <v>5.0278815999999999E-3</v>
      </c>
    </row>
    <row r="27400" spans="103:104" x14ac:dyDescent="0.3">
      <c r="CY27400" s="34" t="s">
        <v>28326</v>
      </c>
      <c r="CZ27400" s="35">
        <v>3.5642521066666668E-3</v>
      </c>
    </row>
    <row r="27401" spans="103:104" x14ac:dyDescent="0.3">
      <c r="CY27401" s="34" t="s">
        <v>28327</v>
      </c>
      <c r="CZ27401" s="35">
        <v>1.0203728E-2</v>
      </c>
    </row>
    <row r="27402" spans="103:104" x14ac:dyDescent="0.3">
      <c r="CY27402" s="34" t="s">
        <v>28328</v>
      </c>
      <c r="CZ27402" s="35">
        <v>2.1771385066666669E-3</v>
      </c>
    </row>
    <row r="27403" spans="103:104" x14ac:dyDescent="0.3">
      <c r="CY27403" s="34" t="s">
        <v>28329</v>
      </c>
      <c r="CZ27403" s="35">
        <v>3.7257141066666666E-2</v>
      </c>
    </row>
    <row r="27404" spans="103:104" x14ac:dyDescent="0.3">
      <c r="CY27404" s="34" t="s">
        <v>28330</v>
      </c>
      <c r="CZ27404" s="35">
        <v>4.9749119999999997E-3</v>
      </c>
    </row>
    <row r="27405" spans="103:104" x14ac:dyDescent="0.3">
      <c r="CY27405" s="34" t="s">
        <v>28331</v>
      </c>
      <c r="CZ27405" s="35">
        <v>2.1663968533333334E-3</v>
      </c>
    </row>
    <row r="27406" spans="103:104" x14ac:dyDescent="0.3">
      <c r="CY27406" s="34" t="s">
        <v>28332</v>
      </c>
      <c r="CZ27406" s="35">
        <v>0.57927165333333341</v>
      </c>
    </row>
    <row r="27407" spans="103:104" x14ac:dyDescent="0.3">
      <c r="CY27407" s="34" t="s">
        <v>28333</v>
      </c>
      <c r="CZ27407" s="35">
        <v>6.7628000000000002E-4</v>
      </c>
    </row>
    <row r="27408" spans="103:104" x14ac:dyDescent="0.3">
      <c r="CY27408" s="34" t="s">
        <v>28334</v>
      </c>
      <c r="CZ27408" s="35">
        <v>6.3361999999999999E-4</v>
      </c>
    </row>
    <row r="27409" spans="103:104" x14ac:dyDescent="0.3">
      <c r="CY27409" s="34" t="s">
        <v>28335</v>
      </c>
      <c r="CZ27409" s="35">
        <v>9.0217999999999993E-2</v>
      </c>
    </row>
    <row r="27410" spans="103:104" x14ac:dyDescent="0.3">
      <c r="CY27410" s="34" t="s">
        <v>28336</v>
      </c>
      <c r="CZ27410" s="35">
        <v>1.9478599999999999E-2</v>
      </c>
    </row>
    <row r="27411" spans="103:104" x14ac:dyDescent="0.3">
      <c r="CY27411" s="34" t="s">
        <v>28337</v>
      </c>
      <c r="CZ27411" s="35">
        <v>6.4613904E-2</v>
      </c>
    </row>
    <row r="27412" spans="103:104" x14ac:dyDescent="0.3">
      <c r="CY27412" s="34" t="s">
        <v>28338</v>
      </c>
      <c r="CZ27412" s="35">
        <v>0.10662006399999999</v>
      </c>
    </row>
    <row r="27413" spans="103:104" x14ac:dyDescent="0.3">
      <c r="CY27413" s="34" t="s">
        <v>28339</v>
      </c>
      <c r="CZ27413" s="35">
        <v>6.5256432000000003E-2</v>
      </c>
    </row>
    <row r="27414" spans="103:104" x14ac:dyDescent="0.3">
      <c r="CY27414" s="34" t="s">
        <v>28340</v>
      </c>
      <c r="CZ27414" s="35">
        <v>4.89969616E-2</v>
      </c>
    </row>
    <row r="27415" spans="103:104" x14ac:dyDescent="0.3">
      <c r="CY27415" s="34" t="s">
        <v>28341</v>
      </c>
      <c r="CZ27415" s="35">
        <v>1.7568116000000002E-2</v>
      </c>
    </row>
    <row r="27416" spans="103:104" x14ac:dyDescent="0.3">
      <c r="CY27416" s="34" t="s">
        <v>28342</v>
      </c>
      <c r="CZ27416" s="35">
        <v>0.10636712000000001</v>
      </c>
    </row>
    <row r="27417" spans="103:104" x14ac:dyDescent="0.3">
      <c r="CY27417" s="34" t="s">
        <v>28343</v>
      </c>
      <c r="CZ27417" s="35">
        <v>3.7984254000000002E-2</v>
      </c>
    </row>
    <row r="27418" spans="103:104" x14ac:dyDescent="0.3">
      <c r="CY27418" s="34" t="s">
        <v>28344</v>
      </c>
      <c r="CZ27418" s="35">
        <v>9.917061628235295E-2</v>
      </c>
    </row>
    <row r="27419" spans="103:104" x14ac:dyDescent="0.3">
      <c r="CY27419" s="34" t="s">
        <v>28345</v>
      </c>
      <c r="CZ27419" s="35">
        <v>4.7756880000000002E-2</v>
      </c>
    </row>
    <row r="27420" spans="103:104" x14ac:dyDescent="0.3">
      <c r="CY27420" s="34" t="s">
        <v>28346</v>
      </c>
      <c r="CZ27420" s="35">
        <v>2.4351864000000001E-2</v>
      </c>
    </row>
    <row r="27421" spans="103:104" x14ac:dyDescent="0.3">
      <c r="CY27421" s="34" t="s">
        <v>28347</v>
      </c>
      <c r="CZ27421" s="35">
        <v>0.10834953599999998</v>
      </c>
    </row>
    <row r="27422" spans="103:104" x14ac:dyDescent="0.3">
      <c r="CY27422" s="34" t="s">
        <v>28348</v>
      </c>
      <c r="CZ27422" s="35">
        <v>0.99292136799999997</v>
      </c>
    </row>
    <row r="27423" spans="103:104" x14ac:dyDescent="0.3">
      <c r="CY27423" s="34" t="s">
        <v>28349</v>
      </c>
      <c r="CZ27423" s="35">
        <v>0.96067691</v>
      </c>
    </row>
    <row r="27424" spans="103:104" x14ac:dyDescent="0.3">
      <c r="CY27424" s="34" t="s">
        <v>28350</v>
      </c>
      <c r="CZ27424" s="35">
        <v>2.6758924000000003E-2</v>
      </c>
    </row>
    <row r="27425" spans="103:104" x14ac:dyDescent="0.3">
      <c r="CY27425" s="34" t="s">
        <v>28351</v>
      </c>
      <c r="CZ27425" s="35">
        <v>0.10084495157894736</v>
      </c>
    </row>
    <row r="27426" spans="103:104" x14ac:dyDescent="0.3">
      <c r="CY27426" s="34" t="s">
        <v>28352</v>
      </c>
      <c r="CZ27426" s="35">
        <v>0.10084495157894738</v>
      </c>
    </row>
    <row r="27427" spans="103:104" x14ac:dyDescent="0.3">
      <c r="CY27427" s="34" t="s">
        <v>28353</v>
      </c>
      <c r="CZ27427" s="35">
        <v>6.9367850000000009E-2</v>
      </c>
    </row>
    <row r="27428" spans="103:104" x14ac:dyDescent="0.3">
      <c r="CY27428" s="34" t="s">
        <v>28354</v>
      </c>
      <c r="CZ27428" s="35">
        <v>2.8761235000000001E-3</v>
      </c>
    </row>
    <row r="27429" spans="103:104" x14ac:dyDescent="0.3">
      <c r="CY27429" s="34" t="s">
        <v>28355</v>
      </c>
      <c r="CZ27429" s="35">
        <v>3.2413010533333332E-3</v>
      </c>
    </row>
    <row r="27430" spans="103:104" x14ac:dyDescent="0.3">
      <c r="CY27430" s="34" t="s">
        <v>28356</v>
      </c>
      <c r="CZ27430" s="35">
        <v>0.68485201266666662</v>
      </c>
    </row>
    <row r="27431" spans="103:104" x14ac:dyDescent="0.3">
      <c r="CY27431" s="34" t="s">
        <v>28357</v>
      </c>
      <c r="CZ27431" s="35">
        <v>3.5007442000000001E-3</v>
      </c>
    </row>
    <row r="27432" spans="103:104" x14ac:dyDescent="0.3">
      <c r="CY27432" s="34" t="s">
        <v>28358</v>
      </c>
      <c r="CZ27432" s="35">
        <v>2.7588342E-3</v>
      </c>
    </row>
    <row r="27433" spans="103:104" x14ac:dyDescent="0.3">
      <c r="CY27433" s="34" t="s">
        <v>28359</v>
      </c>
      <c r="CZ27433" s="35">
        <v>1.5259208E-2</v>
      </c>
    </row>
    <row r="27434" spans="103:104" x14ac:dyDescent="0.3">
      <c r="CY27434" s="34" t="s">
        <v>28360</v>
      </c>
      <c r="CZ27434" s="35">
        <v>1.6211432000000003E-3</v>
      </c>
    </row>
    <row r="27435" spans="103:104" x14ac:dyDescent="0.3">
      <c r="CY27435" s="34" t="s">
        <v>28361</v>
      </c>
      <c r="CZ27435" s="35">
        <v>4.9841199999999999E-3</v>
      </c>
    </row>
    <row r="27436" spans="103:104" x14ac:dyDescent="0.3">
      <c r="CY27436" s="34" t="s">
        <v>28362</v>
      </c>
      <c r="CZ27436" s="35">
        <v>2.5899504000000004E-4</v>
      </c>
    </row>
    <row r="27437" spans="103:104" x14ac:dyDescent="0.3">
      <c r="CY27437" s="34" t="s">
        <v>28363</v>
      </c>
      <c r="CZ27437" s="35">
        <v>1.80470673E-3</v>
      </c>
    </row>
    <row r="27438" spans="103:104" x14ac:dyDescent="0.3">
      <c r="CY27438" s="34" t="s">
        <v>28364</v>
      </c>
      <c r="CZ27438" s="35">
        <v>1.1306960000000001E-4</v>
      </c>
    </row>
    <row r="27439" spans="103:104" x14ac:dyDescent="0.3">
      <c r="CY27439" s="34" t="s">
        <v>28365</v>
      </c>
      <c r="CZ27439" s="35">
        <v>1.1306960000000001E-4</v>
      </c>
    </row>
    <row r="27440" spans="103:104" x14ac:dyDescent="0.3">
      <c r="CY27440" s="34" t="s">
        <v>28366</v>
      </c>
      <c r="CZ27440" s="35">
        <v>0.74045432851999993</v>
      </c>
    </row>
    <row r="27441" spans="103:104" x14ac:dyDescent="0.3">
      <c r="CY27441" s="34" t="s">
        <v>28367</v>
      </c>
      <c r="CZ27441" s="35">
        <v>0.88644286200000011</v>
      </c>
    </row>
    <row r="27442" spans="103:104" x14ac:dyDescent="0.3">
      <c r="CY27442" s="34" t="s">
        <v>28368</v>
      </c>
      <c r="CZ27442" s="35">
        <v>0.50491892500000002</v>
      </c>
    </row>
    <row r="27443" spans="103:104" x14ac:dyDescent="0.3">
      <c r="CY27443" s="34" t="s">
        <v>28369</v>
      </c>
      <c r="CZ27443" s="35">
        <v>0.427600125</v>
      </c>
    </row>
    <row r="27444" spans="103:104" x14ac:dyDescent="0.3">
      <c r="CY27444" s="34" t="s">
        <v>28370</v>
      </c>
      <c r="CZ27444" s="35">
        <v>2.0082376800000003E-3</v>
      </c>
    </row>
    <row r="27445" spans="103:104" x14ac:dyDescent="0.3">
      <c r="CY27445" s="34" t="s">
        <v>28371</v>
      </c>
      <c r="CZ27445" s="35">
        <v>1.0773418999999999E-2</v>
      </c>
    </row>
    <row r="27446" spans="103:104" x14ac:dyDescent="0.3">
      <c r="CY27446" s="34" t="s">
        <v>28372</v>
      </c>
      <c r="CZ27446" s="35">
        <v>0.86576986666666667</v>
      </c>
    </row>
    <row r="27447" spans="103:104" x14ac:dyDescent="0.3">
      <c r="CY27447" s="34" t="s">
        <v>28373</v>
      </c>
      <c r="CZ27447" s="35">
        <v>0.82415954999999996</v>
      </c>
    </row>
    <row r="27448" spans="103:104" x14ac:dyDescent="0.3">
      <c r="CY27448" s="34" t="s">
        <v>28374</v>
      </c>
      <c r="CZ27448" s="35">
        <v>1.01834095</v>
      </c>
    </row>
    <row r="27449" spans="103:104" x14ac:dyDescent="0.3">
      <c r="CY27449" s="34" t="s">
        <v>28375</v>
      </c>
      <c r="CZ27449" s="35">
        <v>0.93512034999999993</v>
      </c>
    </row>
    <row r="27450" spans="103:104" x14ac:dyDescent="0.3">
      <c r="CY27450" s="34" t="s">
        <v>28376</v>
      </c>
      <c r="CZ27450" s="35">
        <v>0.40352624600000003</v>
      </c>
    </row>
    <row r="27451" spans="103:104" x14ac:dyDescent="0.3">
      <c r="CY27451" s="34" t="s">
        <v>28377</v>
      </c>
      <c r="CZ27451" s="35">
        <v>6.4088255999999996E-2</v>
      </c>
    </row>
    <row r="27452" spans="103:104" x14ac:dyDescent="0.3">
      <c r="CY27452" s="34" t="s">
        <v>28378</v>
      </c>
      <c r="CZ27452" s="35">
        <v>2.8076656000000002E-3</v>
      </c>
    </row>
    <row r="27453" spans="103:104" x14ac:dyDescent="0.3">
      <c r="CY27453" s="34" t="s">
        <v>28379</v>
      </c>
      <c r="CZ27453" s="35">
        <v>3.1391694083333338E-2</v>
      </c>
    </row>
    <row r="27454" spans="103:104" x14ac:dyDescent="0.3">
      <c r="CY27454" s="34" t="s">
        <v>28380</v>
      </c>
      <c r="CZ27454" s="35">
        <v>3.3463510799999999E-2</v>
      </c>
    </row>
    <row r="27455" spans="103:104" x14ac:dyDescent="0.3">
      <c r="CY27455" s="34" t="s">
        <v>28381</v>
      </c>
      <c r="CZ27455" s="35">
        <v>2.0629165266666669E-2</v>
      </c>
    </row>
    <row r="27456" spans="103:104" x14ac:dyDescent="0.3">
      <c r="CY27456" s="34" t="s">
        <v>28382</v>
      </c>
      <c r="CZ27456" s="35">
        <v>0.42170542000000005</v>
      </c>
    </row>
    <row r="27457" spans="103:104" x14ac:dyDescent="0.3">
      <c r="CY27457" s="34" t="s">
        <v>28383</v>
      </c>
      <c r="CZ27457" s="35">
        <v>0.35032502000000004</v>
      </c>
    </row>
    <row r="27458" spans="103:104" x14ac:dyDescent="0.3">
      <c r="CY27458" s="34" t="s">
        <v>28384</v>
      </c>
      <c r="CZ27458" s="35">
        <v>0.49086795944000006</v>
      </c>
    </row>
    <row r="27459" spans="103:104" x14ac:dyDescent="0.3">
      <c r="CY27459" s="34" t="s">
        <v>28385</v>
      </c>
      <c r="CZ27459" s="35">
        <v>0.43386277888000013</v>
      </c>
    </row>
    <row r="27460" spans="103:104" x14ac:dyDescent="0.3">
      <c r="CY27460" s="34" t="s">
        <v>28386</v>
      </c>
      <c r="CZ27460" s="35">
        <v>0.63748919500000001</v>
      </c>
    </row>
    <row r="27461" spans="103:104" x14ac:dyDescent="0.3">
      <c r="CY27461" s="34" t="s">
        <v>28387</v>
      </c>
      <c r="CZ27461" s="35">
        <v>6.3323816000000005E-2</v>
      </c>
    </row>
    <row r="27462" spans="103:104" x14ac:dyDescent="0.3">
      <c r="CY27462" s="34" t="s">
        <v>28388</v>
      </c>
      <c r="CZ27462" s="35">
        <v>3.1258200000000001E-3</v>
      </c>
    </row>
    <row r="27463" spans="103:104" x14ac:dyDescent="0.3">
      <c r="CY27463" s="34" t="s">
        <v>28389</v>
      </c>
      <c r="CZ27463" s="35">
        <v>3.1035544000000003E-3</v>
      </c>
    </row>
    <row r="27464" spans="103:104" x14ac:dyDescent="0.3">
      <c r="CY27464" s="34" t="s">
        <v>28390</v>
      </c>
      <c r="CZ27464" s="35">
        <v>3.0947544E-3</v>
      </c>
    </row>
    <row r="27465" spans="103:104" x14ac:dyDescent="0.3">
      <c r="CY27465" s="34" t="s">
        <v>28391</v>
      </c>
      <c r="CZ27465" s="35">
        <v>3.8431042E-3</v>
      </c>
    </row>
    <row r="27466" spans="103:104" x14ac:dyDescent="0.3">
      <c r="CY27466" s="34" t="s">
        <v>28392</v>
      </c>
      <c r="CZ27466" s="35">
        <v>3.8431042E-3</v>
      </c>
    </row>
    <row r="27467" spans="103:104" x14ac:dyDescent="0.3">
      <c r="CY27467" s="34" t="s">
        <v>28393</v>
      </c>
      <c r="CZ27467" s="35">
        <v>3.1035544000000003E-3</v>
      </c>
    </row>
    <row r="27468" spans="103:104" x14ac:dyDescent="0.3">
      <c r="CY27468" s="34" t="s">
        <v>28394</v>
      </c>
      <c r="CZ27468" s="35">
        <v>3.1035544000000003E-3</v>
      </c>
    </row>
    <row r="27469" spans="103:104" x14ac:dyDescent="0.3">
      <c r="CY27469" s="34" t="s">
        <v>28395</v>
      </c>
      <c r="CZ27469" s="35">
        <v>3.1771544000000003E-3</v>
      </c>
    </row>
    <row r="27470" spans="103:104" x14ac:dyDescent="0.3">
      <c r="CY27470" s="34" t="s">
        <v>28396</v>
      </c>
      <c r="CZ27470" s="35">
        <v>3.3015191999999998E-3</v>
      </c>
    </row>
    <row r="27471" spans="103:104" x14ac:dyDescent="0.3">
      <c r="CY27471" s="34" t="s">
        <v>28397</v>
      </c>
      <c r="CZ27471" s="35">
        <v>3.3015192000000002E-3</v>
      </c>
    </row>
    <row r="27472" spans="103:104" x14ac:dyDescent="0.3">
      <c r="CY27472" s="34" t="s">
        <v>28398</v>
      </c>
      <c r="CZ27472" s="35">
        <v>3.3015191999999998E-3</v>
      </c>
    </row>
    <row r="27473" spans="103:104" x14ac:dyDescent="0.3">
      <c r="CY27473" s="34" t="s">
        <v>28399</v>
      </c>
      <c r="CZ27473" s="35">
        <v>3.3015191999999998E-3</v>
      </c>
    </row>
    <row r="27474" spans="103:104" x14ac:dyDescent="0.3">
      <c r="CY27474" s="34" t="s">
        <v>28400</v>
      </c>
      <c r="CZ27474" s="35">
        <v>3.3751191999999998E-3</v>
      </c>
    </row>
    <row r="27475" spans="103:104" x14ac:dyDescent="0.3">
      <c r="CY27475" s="34" t="s">
        <v>28401</v>
      </c>
      <c r="CZ27475" s="35">
        <v>0.38692438340000002</v>
      </c>
    </row>
    <row r="27476" spans="103:104" x14ac:dyDescent="0.3">
      <c r="CY27476" s="34" t="s">
        <v>28402</v>
      </c>
      <c r="CZ27476" s="35">
        <v>1.7992511999999999E-2</v>
      </c>
    </row>
    <row r="27477" spans="103:104" x14ac:dyDescent="0.3">
      <c r="CY27477" s="34" t="s">
        <v>28403</v>
      </c>
      <c r="CZ27477" s="35">
        <v>1.8776473263157897E-2</v>
      </c>
    </row>
    <row r="27478" spans="103:104" x14ac:dyDescent="0.3">
      <c r="CY27478" s="34" t="s">
        <v>28404</v>
      </c>
      <c r="CZ27478" s="35">
        <v>2.1466703157894736E-2</v>
      </c>
    </row>
    <row r="27479" spans="103:104" x14ac:dyDescent="0.3">
      <c r="CY27479" s="34" t="s">
        <v>28405</v>
      </c>
      <c r="CZ27479" s="35">
        <v>1.8112900210526316E-2</v>
      </c>
    </row>
    <row r="27480" spans="103:104" x14ac:dyDescent="0.3">
      <c r="CY27480" s="34" t="s">
        <v>28406</v>
      </c>
      <c r="CZ27480" s="35">
        <v>1.8637092491228073E-2</v>
      </c>
    </row>
    <row r="27481" spans="103:104" x14ac:dyDescent="0.3">
      <c r="CY27481" s="34" t="s">
        <v>28407</v>
      </c>
      <c r="CZ27481" s="35">
        <v>2.3080936E-2</v>
      </c>
    </row>
    <row r="27482" spans="103:104" x14ac:dyDescent="0.3">
      <c r="CY27482" s="34" t="s">
        <v>28408</v>
      </c>
      <c r="CZ27482" s="35">
        <v>2.7774851199999999E-2</v>
      </c>
    </row>
    <row r="27483" spans="103:104" x14ac:dyDescent="0.3">
      <c r="CY27483" s="34" t="s">
        <v>28409</v>
      </c>
      <c r="CZ27483" s="35">
        <v>1.5423425666666666E-3</v>
      </c>
    </row>
    <row r="27484" spans="103:104" x14ac:dyDescent="0.3">
      <c r="CY27484" s="34" t="s">
        <v>28410</v>
      </c>
      <c r="CZ27484" s="35">
        <v>1.8921031999999997E-2</v>
      </c>
    </row>
    <row r="27485" spans="103:104" x14ac:dyDescent="0.3">
      <c r="CY27485" s="34" t="s">
        <v>28411</v>
      </c>
      <c r="CZ27485" s="35">
        <v>5.6048300000000002E-2</v>
      </c>
    </row>
    <row r="27486" spans="103:104" x14ac:dyDescent="0.3">
      <c r="CY27486" s="34" t="s">
        <v>28412</v>
      </c>
      <c r="CZ27486" s="35">
        <v>6.0318675000000009E-2</v>
      </c>
    </row>
    <row r="27487" spans="103:104" x14ac:dyDescent="0.3">
      <c r="CY27487" s="34" t="s">
        <v>28413</v>
      </c>
      <c r="CZ27487" s="35">
        <v>1.8297996E-2</v>
      </c>
    </row>
    <row r="27488" spans="103:104" x14ac:dyDescent="0.3">
      <c r="CY27488" s="34" t="s">
        <v>28414</v>
      </c>
      <c r="CZ27488" s="35">
        <v>0.39725275000000004</v>
      </c>
    </row>
    <row r="27489" spans="103:104" x14ac:dyDescent="0.3">
      <c r="CY27489" s="34" t="s">
        <v>28415</v>
      </c>
      <c r="CZ27489" s="35">
        <v>0.41259511000000004</v>
      </c>
    </row>
    <row r="27490" spans="103:104" x14ac:dyDescent="0.3">
      <c r="CY27490" s="34" t="s">
        <v>28416</v>
      </c>
      <c r="CZ27490" s="35">
        <v>7.5113680000000009E-3</v>
      </c>
    </row>
    <row r="27491" spans="103:104" x14ac:dyDescent="0.3">
      <c r="CY27491" s="34" t="s">
        <v>28417</v>
      </c>
      <c r="CZ27491" s="35">
        <v>1.3531356703699997E-2</v>
      </c>
    </row>
    <row r="27492" spans="103:104" x14ac:dyDescent="0.3">
      <c r="CY27492" s="34" t="s">
        <v>28418</v>
      </c>
      <c r="CZ27492" s="35">
        <v>4.7091152E-4</v>
      </c>
    </row>
    <row r="27493" spans="103:104" x14ac:dyDescent="0.3">
      <c r="CY27493" s="34" t="s">
        <v>28419</v>
      </c>
      <c r="CZ27493" s="35">
        <v>6.718228666666666E-3</v>
      </c>
    </row>
    <row r="27494" spans="103:104" x14ac:dyDescent="0.3">
      <c r="CY27494" s="34" t="s">
        <v>28420</v>
      </c>
      <c r="CZ27494" s="35">
        <v>2.6005835142857141E-2</v>
      </c>
    </row>
    <row r="27495" spans="103:104" x14ac:dyDescent="0.3">
      <c r="CY27495" s="34" t="s">
        <v>28421</v>
      </c>
      <c r="CZ27495" s="35">
        <v>0.50501386252000002</v>
      </c>
    </row>
    <row r="27496" spans="103:104" x14ac:dyDescent="0.3">
      <c r="CY27496" s="34" t="s">
        <v>28422</v>
      </c>
      <c r="CZ27496" s="35">
        <v>0.361913125</v>
      </c>
    </row>
    <row r="27497" spans="103:104" x14ac:dyDescent="0.3">
      <c r="CY27497" s="34" t="s">
        <v>28423</v>
      </c>
      <c r="CZ27497" s="35">
        <v>0.60954092500000001</v>
      </c>
    </row>
    <row r="27498" spans="103:104" x14ac:dyDescent="0.3">
      <c r="CY27498" s="34" t="s">
        <v>28424</v>
      </c>
      <c r="CZ27498" s="35">
        <v>0.51130817500000003</v>
      </c>
    </row>
    <row r="27499" spans="103:104" x14ac:dyDescent="0.3">
      <c r="CY27499" s="34" t="s">
        <v>28425</v>
      </c>
      <c r="CZ27499" s="35">
        <v>0.41913812500000003</v>
      </c>
    </row>
    <row r="27500" spans="103:104" x14ac:dyDescent="0.3">
      <c r="CY27500" s="34" t="s">
        <v>28426</v>
      </c>
      <c r="CZ27500" s="35">
        <v>0.59592284499999992</v>
      </c>
    </row>
    <row r="27501" spans="103:104" x14ac:dyDescent="0.3">
      <c r="CY27501" s="34" t="s">
        <v>28427</v>
      </c>
      <c r="CZ27501" s="35">
        <v>0.59094233332000001</v>
      </c>
    </row>
    <row r="27502" spans="103:104" x14ac:dyDescent="0.3">
      <c r="CY27502" s="34" t="s">
        <v>28428</v>
      </c>
      <c r="CZ27502" s="35">
        <v>0.53532991251999995</v>
      </c>
    </row>
    <row r="27503" spans="103:104" x14ac:dyDescent="0.3">
      <c r="CY27503" s="34" t="s">
        <v>28429</v>
      </c>
      <c r="CZ27503" s="35">
        <v>0.42686154999999998</v>
      </c>
    </row>
    <row r="27504" spans="103:104" x14ac:dyDescent="0.3">
      <c r="CY27504" s="34" t="s">
        <v>28430</v>
      </c>
      <c r="CZ27504" s="35">
        <v>0.57917633332000007</v>
      </c>
    </row>
    <row r="27505" spans="103:104" x14ac:dyDescent="0.3">
      <c r="CY27505" s="34" t="s">
        <v>28431</v>
      </c>
      <c r="CZ27505" s="35">
        <v>0.46026745000000002</v>
      </c>
    </row>
    <row r="27506" spans="103:104" x14ac:dyDescent="0.3">
      <c r="CY27506" s="34" t="s">
        <v>28432</v>
      </c>
      <c r="CZ27506" s="35">
        <v>0.52827031252000001</v>
      </c>
    </row>
    <row r="27507" spans="103:104" x14ac:dyDescent="0.3">
      <c r="CY27507" s="34" t="s">
        <v>28433</v>
      </c>
      <c r="CZ27507" s="35">
        <v>0.30231048599999999</v>
      </c>
    </row>
    <row r="27508" spans="103:104" x14ac:dyDescent="0.3">
      <c r="CY27508" s="34" t="s">
        <v>28434</v>
      </c>
      <c r="CZ27508" s="35">
        <v>0.27493110999999998</v>
      </c>
    </row>
    <row r="27509" spans="103:104" x14ac:dyDescent="0.3">
      <c r="CY27509" s="34" t="s">
        <v>28435</v>
      </c>
      <c r="CZ27509" s="35">
        <v>0.6257146939999999</v>
      </c>
    </row>
    <row r="27510" spans="103:104" x14ac:dyDescent="0.3">
      <c r="CY27510" s="34" t="s">
        <v>28436</v>
      </c>
      <c r="CZ27510" s="35">
        <v>3.8397616000000003E-3</v>
      </c>
    </row>
    <row r="27511" spans="103:104" x14ac:dyDescent="0.3">
      <c r="CY27511" s="34" t="s">
        <v>28437</v>
      </c>
      <c r="CZ27511" s="35">
        <v>3.7442895999999998E-3</v>
      </c>
    </row>
    <row r="27512" spans="103:104" x14ac:dyDescent="0.3">
      <c r="CY27512" s="34" t="s">
        <v>28438</v>
      </c>
      <c r="CZ27512" s="35">
        <v>1.2117746731174999E-2</v>
      </c>
    </row>
    <row r="27513" spans="103:104" x14ac:dyDescent="0.3">
      <c r="CY27513" s="34" t="s">
        <v>28439</v>
      </c>
      <c r="CZ27513" s="35">
        <v>7.6202840000000008E-2</v>
      </c>
    </row>
    <row r="27514" spans="103:104" x14ac:dyDescent="0.3">
      <c r="CY27514" s="34" t="s">
        <v>28440</v>
      </c>
      <c r="CZ27514" s="35">
        <v>0.1429667</v>
      </c>
    </row>
    <row r="27515" spans="103:104" x14ac:dyDescent="0.3">
      <c r="CY27515" s="34" t="s">
        <v>28441</v>
      </c>
      <c r="CZ27515" s="35">
        <v>4.1450751999999999E-3</v>
      </c>
    </row>
    <row r="27516" spans="103:104" x14ac:dyDescent="0.3">
      <c r="CY27516" s="34" t="s">
        <v>28442</v>
      </c>
      <c r="CZ27516" s="35">
        <v>1.4904010679999998E-2</v>
      </c>
    </row>
    <row r="27517" spans="103:104" x14ac:dyDescent="0.3">
      <c r="CY27517" s="34" t="s">
        <v>28443</v>
      </c>
      <c r="CZ27517" s="35">
        <v>1.9232605060000001E-2</v>
      </c>
    </row>
    <row r="27518" spans="103:104" x14ac:dyDescent="0.3">
      <c r="CY27518" s="34" t="s">
        <v>28444</v>
      </c>
      <c r="CZ27518" s="35">
        <v>2.5069662660000002E-2</v>
      </c>
    </row>
    <row r="27519" spans="103:104" x14ac:dyDescent="0.3">
      <c r="CY27519" s="34" t="s">
        <v>28445</v>
      </c>
      <c r="CZ27519" s="35">
        <v>2.5968552E-3</v>
      </c>
    </row>
    <row r="27520" spans="103:104" x14ac:dyDescent="0.3">
      <c r="CY27520" s="34" t="s">
        <v>28446</v>
      </c>
      <c r="CZ27520" s="35">
        <v>2.5245709999999998E-3</v>
      </c>
    </row>
    <row r="27521" spans="103:104" x14ac:dyDescent="0.3">
      <c r="CY27521" s="34" t="s">
        <v>28447</v>
      </c>
      <c r="CZ27521" s="35">
        <v>2.21992516E-3</v>
      </c>
    </row>
    <row r="27522" spans="103:104" x14ac:dyDescent="0.3">
      <c r="CY27522" s="34" t="s">
        <v>28448</v>
      </c>
      <c r="CZ27522" s="35">
        <v>2.1390660800000003E-3</v>
      </c>
    </row>
    <row r="27523" spans="103:104" x14ac:dyDescent="0.3">
      <c r="CY27523" s="34" t="s">
        <v>28449</v>
      </c>
      <c r="CZ27523" s="35">
        <v>3.1752266400000002E-3</v>
      </c>
    </row>
    <row r="27524" spans="103:104" x14ac:dyDescent="0.3">
      <c r="CY27524" s="34" t="s">
        <v>28450</v>
      </c>
      <c r="CZ27524" s="35">
        <v>3.2727013999999999E-2</v>
      </c>
    </row>
    <row r="27525" spans="103:104" x14ac:dyDescent="0.3">
      <c r="CY27525" s="34" t="s">
        <v>28451</v>
      </c>
      <c r="CZ27525" s="35">
        <v>3.9917967999999991E-2</v>
      </c>
    </row>
    <row r="27526" spans="103:104" x14ac:dyDescent="0.3">
      <c r="CY27526" s="34" t="s">
        <v>28452</v>
      </c>
      <c r="CZ27526" s="35">
        <v>3.1216737199999997E-2</v>
      </c>
    </row>
    <row r="27527" spans="103:104" x14ac:dyDescent="0.3">
      <c r="CY27527" s="34" t="s">
        <v>28453</v>
      </c>
      <c r="CZ27527" s="35">
        <v>0.44950657000000005</v>
      </c>
    </row>
    <row r="27528" spans="103:104" x14ac:dyDescent="0.3">
      <c r="CY27528" s="34" t="s">
        <v>28454</v>
      </c>
      <c r="CZ27528" s="35">
        <v>0.42383119000000002</v>
      </c>
    </row>
    <row r="27529" spans="103:104" x14ac:dyDescent="0.3">
      <c r="CY27529" s="34" t="s">
        <v>28455</v>
      </c>
      <c r="CZ27529" s="35">
        <v>4.3021484705882355E-3</v>
      </c>
    </row>
    <row r="27530" spans="103:104" x14ac:dyDescent="0.3">
      <c r="CY27530" s="34" t="s">
        <v>28456</v>
      </c>
      <c r="CZ27530" s="35">
        <v>0.75837125599999999</v>
      </c>
    </row>
    <row r="27531" spans="103:104" x14ac:dyDescent="0.3">
      <c r="CY27531" s="34" t="s">
        <v>28457</v>
      </c>
      <c r="CZ27531" s="35">
        <v>5.7306127999999989E-3</v>
      </c>
    </row>
    <row r="27532" spans="103:104" x14ac:dyDescent="0.3">
      <c r="CY27532" s="34" t="s">
        <v>28458</v>
      </c>
      <c r="CZ27532" s="35">
        <v>8.4782034000000005E-4</v>
      </c>
    </row>
    <row r="27533" spans="103:104" x14ac:dyDescent="0.3">
      <c r="CY27533" s="34" t="s">
        <v>28459</v>
      </c>
      <c r="CZ27533" s="35">
        <v>5.7800113066666676E-3</v>
      </c>
    </row>
    <row r="27534" spans="103:104" x14ac:dyDescent="0.3">
      <c r="CY27534" s="34" t="s">
        <v>28460</v>
      </c>
      <c r="CZ27534" s="35">
        <v>5.0842404266666676E-3</v>
      </c>
    </row>
    <row r="27535" spans="103:104" x14ac:dyDescent="0.3">
      <c r="CY27535" s="34" t="s">
        <v>28461</v>
      </c>
      <c r="CZ27535" s="35">
        <v>7.9383883999999995E-4</v>
      </c>
    </row>
    <row r="27536" spans="103:104" x14ac:dyDescent="0.3">
      <c r="CY27536" s="34" t="s">
        <v>28462</v>
      </c>
      <c r="CZ27536" s="35">
        <v>0.14262724000000002</v>
      </c>
    </row>
    <row r="27537" spans="103:104" x14ac:dyDescent="0.3">
      <c r="CY27537" s="34" t="s">
        <v>28463</v>
      </c>
      <c r="CZ27537" s="35">
        <v>0.26500400000000002</v>
      </c>
    </row>
    <row r="27538" spans="103:104" x14ac:dyDescent="0.3">
      <c r="CY27538" s="34" t="s">
        <v>28464</v>
      </c>
      <c r="CZ27538" s="35">
        <v>0.28439668800000001</v>
      </c>
    </row>
    <row r="27539" spans="103:104" x14ac:dyDescent="0.3">
      <c r="CY27539" s="34" t="s">
        <v>28465</v>
      </c>
      <c r="CZ27539" s="35">
        <v>9.9424559999999988E-3</v>
      </c>
    </row>
    <row r="27540" spans="103:104" x14ac:dyDescent="0.3">
      <c r="CY27540" s="34" t="s">
        <v>28466</v>
      </c>
      <c r="CZ27540" s="35">
        <v>0.26567347999999996</v>
      </c>
    </row>
    <row r="27541" spans="103:104" x14ac:dyDescent="0.3">
      <c r="CY27541" s="34" t="s">
        <v>28467</v>
      </c>
      <c r="CZ27541" s="35">
        <v>0.44438825400000004</v>
      </c>
    </row>
    <row r="27542" spans="103:104" x14ac:dyDescent="0.3">
      <c r="CY27542" s="34" t="s">
        <v>28468</v>
      </c>
      <c r="CZ27542" s="35">
        <v>7.0633285714285707E-4</v>
      </c>
    </row>
    <row r="27543" spans="103:104" x14ac:dyDescent="0.3">
      <c r="CY27543" s="34" t="s">
        <v>28469</v>
      </c>
      <c r="CZ27543" s="35">
        <v>3.3489880000000007E-2</v>
      </c>
    </row>
    <row r="27544" spans="103:104" x14ac:dyDescent="0.3">
      <c r="CY27544" s="34" t="s">
        <v>28470</v>
      </c>
      <c r="CZ27544" s="35">
        <v>0.38728158670000001</v>
      </c>
    </row>
    <row r="27545" spans="103:104" x14ac:dyDescent="0.3">
      <c r="CY27545" s="34" t="s">
        <v>28471</v>
      </c>
      <c r="CZ27545" s="35">
        <v>1.2678825000000001E-2</v>
      </c>
    </row>
    <row r="27546" spans="103:104" x14ac:dyDescent="0.3">
      <c r="CY27546" s="34" t="s">
        <v>28472</v>
      </c>
      <c r="CZ27546" s="35">
        <v>1.23831958E-2</v>
      </c>
    </row>
    <row r="27547" spans="103:104" x14ac:dyDescent="0.3">
      <c r="CY27547" s="34" t="s">
        <v>28473</v>
      </c>
      <c r="CZ27547" s="35">
        <v>3.7600947777777782E-3</v>
      </c>
    </row>
    <row r="27548" spans="103:104" x14ac:dyDescent="0.3">
      <c r="CY27548" s="34" t="s">
        <v>28474</v>
      </c>
      <c r="CZ27548" s="35">
        <v>3.8885602941176475E-2</v>
      </c>
    </row>
    <row r="27549" spans="103:104" x14ac:dyDescent="0.3">
      <c r="CY27549" s="34" t="s">
        <v>28475</v>
      </c>
      <c r="CZ27549" s="35">
        <v>1.3235777882352941E-2</v>
      </c>
    </row>
    <row r="27550" spans="103:104" x14ac:dyDescent="0.3">
      <c r="CY27550" s="34" t="s">
        <v>28476</v>
      </c>
      <c r="CZ27550" s="35">
        <v>1.4669763764705886E-2</v>
      </c>
    </row>
    <row r="27551" spans="103:104" x14ac:dyDescent="0.3">
      <c r="CY27551" s="34" t="s">
        <v>28477</v>
      </c>
      <c r="CZ27551" s="35">
        <v>6.541695480000001E-2</v>
      </c>
    </row>
    <row r="27552" spans="103:104" x14ac:dyDescent="0.3">
      <c r="CY27552" s="34" t="s">
        <v>28478</v>
      </c>
      <c r="CZ27552" s="35">
        <v>4.1921990399999998E-2</v>
      </c>
    </row>
    <row r="27553" spans="103:104" x14ac:dyDescent="0.3">
      <c r="CY27553" s="34" t="s">
        <v>28479</v>
      </c>
      <c r="CZ27553" s="35">
        <v>1.98642944</v>
      </c>
    </row>
    <row r="27554" spans="103:104" x14ac:dyDescent="0.3">
      <c r="CY27554" s="34" t="s">
        <v>28480</v>
      </c>
      <c r="CZ27554" s="35">
        <v>1.6286923200000001</v>
      </c>
    </row>
    <row r="27555" spans="103:104" x14ac:dyDescent="0.3">
      <c r="CY27555" s="34" t="s">
        <v>28481</v>
      </c>
      <c r="CZ27555" s="35">
        <v>4.0067642600000002E-3</v>
      </c>
    </row>
    <row r="27556" spans="103:104" x14ac:dyDescent="0.3">
      <c r="CY27556" s="34" t="s">
        <v>28482</v>
      </c>
      <c r="CZ27556" s="35">
        <v>0.336228152</v>
      </c>
    </row>
    <row r="27557" spans="103:104" x14ac:dyDescent="0.3">
      <c r="CY27557" s="34" t="s">
        <v>28483</v>
      </c>
      <c r="CZ27557" s="35">
        <v>2.8549112000000005E-2</v>
      </c>
    </row>
    <row r="27558" spans="103:104" x14ac:dyDescent="0.3">
      <c r="CY27558" s="34" t="s">
        <v>28484</v>
      </c>
      <c r="CZ27558" s="35">
        <v>2.6658103999999998E-2</v>
      </c>
    </row>
    <row r="27559" spans="103:104" x14ac:dyDescent="0.3">
      <c r="CY27559" s="34" t="s">
        <v>28485</v>
      </c>
      <c r="CZ27559" s="35">
        <v>0.20816279999999998</v>
      </c>
    </row>
    <row r="27560" spans="103:104" x14ac:dyDescent="0.3">
      <c r="CY27560" s="34" t="s">
        <v>28486</v>
      </c>
      <c r="CZ27560" s="35">
        <v>0.26576464</v>
      </c>
    </row>
    <row r="27561" spans="103:104" x14ac:dyDescent="0.3">
      <c r="CY27561" s="34" t="s">
        <v>28487</v>
      </c>
      <c r="CZ27561" s="35">
        <v>0.17186825</v>
      </c>
    </row>
    <row r="27562" spans="103:104" x14ac:dyDescent="0.3">
      <c r="CY27562" s="34" t="s">
        <v>28488</v>
      </c>
      <c r="CZ27562" s="35">
        <v>7.9271761999999996E-2</v>
      </c>
    </row>
    <row r="27563" spans="103:104" x14ac:dyDescent="0.3">
      <c r="CY27563" s="34" t="s">
        <v>28489</v>
      </c>
      <c r="CZ27563" s="35">
        <v>7.1019154000000001E-2</v>
      </c>
    </row>
    <row r="27564" spans="103:104" x14ac:dyDescent="0.3">
      <c r="CY27564" s="34" t="s">
        <v>28490</v>
      </c>
      <c r="CZ27564" s="35">
        <v>0.7540502013</v>
      </c>
    </row>
    <row r="27565" spans="103:104" x14ac:dyDescent="0.3">
      <c r="CY27565" s="34" t="s">
        <v>28491</v>
      </c>
      <c r="CZ27565" s="35">
        <v>0.64329966999999999</v>
      </c>
    </row>
    <row r="27566" spans="103:104" x14ac:dyDescent="0.3">
      <c r="CY27566" s="34" t="s">
        <v>28492</v>
      </c>
      <c r="CZ27566" s="35">
        <v>4.1688914000000007E-2</v>
      </c>
    </row>
    <row r="27567" spans="103:104" x14ac:dyDescent="0.3">
      <c r="CY27567" s="34" t="s">
        <v>28493</v>
      </c>
      <c r="CZ27567" s="35">
        <v>0.11310372800000001</v>
      </c>
    </row>
    <row r="27568" spans="103:104" x14ac:dyDescent="0.3">
      <c r="CY27568" s="34" t="s">
        <v>28494</v>
      </c>
      <c r="CZ27568" s="35">
        <v>9.0276812499999998E-2</v>
      </c>
    </row>
    <row r="27569" spans="103:104" x14ac:dyDescent="0.3">
      <c r="CY27569" s="34" t="s">
        <v>28495</v>
      </c>
      <c r="CZ27569" s="35">
        <v>0.1057228653</v>
      </c>
    </row>
    <row r="27570" spans="103:104" x14ac:dyDescent="0.3">
      <c r="CY27570" s="34" t="s">
        <v>28496</v>
      </c>
      <c r="CZ27570" s="35">
        <v>1.7275873599999998E-2</v>
      </c>
    </row>
    <row r="27571" spans="103:104" x14ac:dyDescent="0.3">
      <c r="CY27571" s="34" t="s">
        <v>28497</v>
      </c>
      <c r="CZ27571" s="35">
        <v>1.7275873599999998E-2</v>
      </c>
    </row>
    <row r="27572" spans="103:104" x14ac:dyDescent="0.3">
      <c r="CY27572" s="34" t="s">
        <v>28498</v>
      </c>
      <c r="CZ27572" s="35">
        <v>0.5656183199999999</v>
      </c>
    </row>
    <row r="27573" spans="103:104" x14ac:dyDescent="0.3">
      <c r="CY27573" s="34" t="s">
        <v>28499</v>
      </c>
      <c r="CZ27573" s="35">
        <v>0.61534663069999995</v>
      </c>
    </row>
    <row r="27574" spans="103:104" x14ac:dyDescent="0.3">
      <c r="CY27574" s="34" t="s">
        <v>28500</v>
      </c>
      <c r="CZ27574" s="35">
        <v>0.25181368849999997</v>
      </c>
    </row>
    <row r="27575" spans="103:104" x14ac:dyDescent="0.3">
      <c r="CY27575" s="34" t="s">
        <v>28501</v>
      </c>
      <c r="CZ27575" s="35">
        <v>0.12698459049999999</v>
      </c>
    </row>
    <row r="27576" spans="103:104" x14ac:dyDescent="0.3">
      <c r="CY27576" s="34" t="s">
        <v>28502</v>
      </c>
      <c r="CZ27576" s="35">
        <v>3.1956944444444441E-2</v>
      </c>
    </row>
    <row r="27577" spans="103:104" x14ac:dyDescent="0.3">
      <c r="CY27577" s="34" t="s">
        <v>28503</v>
      </c>
      <c r="CZ27577" s="35">
        <v>0.41001030664000004</v>
      </c>
    </row>
    <row r="27578" spans="103:104" x14ac:dyDescent="0.3">
      <c r="CY27578" s="34" t="s">
        <v>28504</v>
      </c>
      <c r="CZ27578" s="35">
        <v>0.42520689067999995</v>
      </c>
    </row>
    <row r="27579" spans="103:104" x14ac:dyDescent="0.3">
      <c r="CY27579" s="34" t="s">
        <v>28505</v>
      </c>
      <c r="CZ27579" s="35">
        <v>5.5941927999999995E-2</v>
      </c>
    </row>
    <row r="27580" spans="103:104" x14ac:dyDescent="0.3">
      <c r="CY27580" s="34" t="s">
        <v>28506</v>
      </c>
      <c r="CZ27580" s="35">
        <v>2.7688832E-2</v>
      </c>
    </row>
    <row r="27581" spans="103:104" x14ac:dyDescent="0.3">
      <c r="CY27581" s="34" t="s">
        <v>28507</v>
      </c>
      <c r="CZ27581" s="35">
        <v>7.7553999999999998E-2</v>
      </c>
    </row>
    <row r="27582" spans="103:104" x14ac:dyDescent="0.3">
      <c r="CY27582" s="34" t="s">
        <v>28508</v>
      </c>
      <c r="CZ27582" s="35">
        <v>4.5438840925925927E-2</v>
      </c>
    </row>
    <row r="27583" spans="103:104" x14ac:dyDescent="0.3">
      <c r="CY27583" s="34" t="s">
        <v>28509</v>
      </c>
      <c r="CZ27583" s="35">
        <v>1.3743757366666666E-2</v>
      </c>
    </row>
    <row r="27584" spans="103:104" x14ac:dyDescent="0.3">
      <c r="CY27584" s="34" t="s">
        <v>28510</v>
      </c>
      <c r="CZ27584" s="35">
        <v>8.016703703703703E-3</v>
      </c>
    </row>
    <row r="27585" spans="103:104" x14ac:dyDescent="0.3">
      <c r="CY27585" s="34" t="s">
        <v>28511</v>
      </c>
      <c r="CZ27585" s="35">
        <v>3.6141546400000002E-2</v>
      </c>
    </row>
    <row r="27586" spans="103:104" x14ac:dyDescent="0.3">
      <c r="CY27586" s="34" t="s">
        <v>28512</v>
      </c>
      <c r="CZ27586" s="35">
        <v>5.2798700000000004E-2</v>
      </c>
    </row>
    <row r="27587" spans="103:104" x14ac:dyDescent="0.3">
      <c r="CY27587" s="34" t="s">
        <v>28513</v>
      </c>
      <c r="CZ27587" s="35">
        <v>5.1211659999999999E-2</v>
      </c>
    </row>
    <row r="27588" spans="103:104" x14ac:dyDescent="0.3">
      <c r="CY27588" s="34" t="s">
        <v>28514</v>
      </c>
      <c r="CZ27588" s="35">
        <v>5.5931804300000006E-3</v>
      </c>
    </row>
    <row r="27589" spans="103:104" x14ac:dyDescent="0.3">
      <c r="CY27589" s="34" t="s">
        <v>28515</v>
      </c>
      <c r="CZ27589" s="35">
        <v>3.1762405657142861E-2</v>
      </c>
    </row>
    <row r="27590" spans="103:104" x14ac:dyDescent="0.3">
      <c r="CY27590" s="34" t="s">
        <v>28516</v>
      </c>
      <c r="CZ27590" s="35">
        <v>7.6604299999999986E-2</v>
      </c>
    </row>
    <row r="27591" spans="103:104" x14ac:dyDescent="0.3">
      <c r="CY27591" s="34" t="s">
        <v>28517</v>
      </c>
      <c r="CZ27591" s="35">
        <v>8.1048012000000016E-2</v>
      </c>
    </row>
    <row r="27592" spans="103:104" x14ac:dyDescent="0.3">
      <c r="CY27592" s="34" t="s">
        <v>28518</v>
      </c>
      <c r="CZ27592" s="35">
        <v>4.5419839500000003E-2</v>
      </c>
    </row>
    <row r="27593" spans="103:104" x14ac:dyDescent="0.3">
      <c r="CY27593" s="34" t="s">
        <v>28519</v>
      </c>
      <c r="CZ27593" s="35">
        <v>2.8743560000000002E-3</v>
      </c>
    </row>
    <row r="27594" spans="103:104" x14ac:dyDescent="0.3">
      <c r="CY27594" s="34" t="s">
        <v>28520</v>
      </c>
      <c r="CZ27594" s="35">
        <v>3.0949670153846157E-2</v>
      </c>
    </row>
    <row r="27595" spans="103:104" x14ac:dyDescent="0.3">
      <c r="CY27595" s="34" t="s">
        <v>28521</v>
      </c>
      <c r="CZ27595" s="35">
        <v>0.26070517999999998</v>
      </c>
    </row>
    <row r="27596" spans="103:104" x14ac:dyDescent="0.3">
      <c r="CY27596" s="34" t="s">
        <v>28522</v>
      </c>
      <c r="CZ27596" s="35">
        <v>2.3555069473684211E-2</v>
      </c>
    </row>
    <row r="27597" spans="103:104" x14ac:dyDescent="0.3">
      <c r="CY27597" s="34" t="s">
        <v>28523</v>
      </c>
      <c r="CZ27597" s="35">
        <v>0.73186026571428575</v>
      </c>
    </row>
    <row r="27598" spans="103:104" x14ac:dyDescent="0.3">
      <c r="CY27598" s="34" t="s">
        <v>28524</v>
      </c>
      <c r="CZ27598" s="35">
        <v>0.51230218599999999</v>
      </c>
    </row>
    <row r="27599" spans="103:104" x14ac:dyDescent="0.3">
      <c r="CY27599" s="34" t="s">
        <v>28525</v>
      </c>
      <c r="CZ27599" s="35">
        <v>4.9210774999999991E-2</v>
      </c>
    </row>
    <row r="27600" spans="103:104" x14ac:dyDescent="0.3">
      <c r="CY27600" s="34" t="s">
        <v>28526</v>
      </c>
      <c r="CZ27600" s="35">
        <v>5.1272575000000001E-2</v>
      </c>
    </row>
    <row r="27601" spans="103:104" x14ac:dyDescent="0.3">
      <c r="CY27601" s="34" t="s">
        <v>28527</v>
      </c>
      <c r="CZ27601" s="35">
        <v>4.9322282250000005E-4</v>
      </c>
    </row>
    <row r="27602" spans="103:104" x14ac:dyDescent="0.3">
      <c r="CY27602" s="34" t="s">
        <v>28528</v>
      </c>
      <c r="CZ27602" s="35">
        <v>8.77450852E-3</v>
      </c>
    </row>
    <row r="27603" spans="103:104" x14ac:dyDescent="0.3">
      <c r="CY27603" s="34" t="s">
        <v>28529</v>
      </c>
      <c r="CZ27603" s="35">
        <v>2.6658510999999996E-2</v>
      </c>
    </row>
    <row r="27604" spans="103:104" x14ac:dyDescent="0.3">
      <c r="CY27604" s="34" t="s">
        <v>28530</v>
      </c>
      <c r="CZ27604" s="35">
        <v>6.1867300000000005E-3</v>
      </c>
    </row>
    <row r="27605" spans="103:104" x14ac:dyDescent="0.3">
      <c r="CY27605" s="34" t="s">
        <v>28531</v>
      </c>
      <c r="CZ27605" s="35">
        <v>2.964148E-4</v>
      </c>
    </row>
    <row r="27606" spans="103:104" x14ac:dyDescent="0.3">
      <c r="CY27606" s="34" t="s">
        <v>28532</v>
      </c>
      <c r="CZ27606" s="35">
        <v>1.0988598265E-2</v>
      </c>
    </row>
    <row r="27607" spans="103:104" x14ac:dyDescent="0.3">
      <c r="CY27607" s="34" t="s">
        <v>28533</v>
      </c>
      <c r="CZ27607" s="35">
        <v>1.2759000000000002E-3</v>
      </c>
    </row>
    <row r="27608" spans="103:104" x14ac:dyDescent="0.3">
      <c r="CY27608" s="34" t="s">
        <v>28534</v>
      </c>
      <c r="CZ27608" s="35">
        <v>3.7169114000000004E-3</v>
      </c>
    </row>
    <row r="27609" spans="103:104" x14ac:dyDescent="0.3">
      <c r="CY27609" s="34" t="s">
        <v>28535</v>
      </c>
      <c r="CZ27609" s="35">
        <v>3.9275758000000003E-3</v>
      </c>
    </row>
    <row r="27610" spans="103:104" x14ac:dyDescent="0.3">
      <c r="CY27610" s="34" t="s">
        <v>28536</v>
      </c>
      <c r="CZ27610" s="35">
        <v>1.0521236000000001E-3</v>
      </c>
    </row>
    <row r="27611" spans="103:104" x14ac:dyDescent="0.3">
      <c r="CY27611" s="34" t="s">
        <v>28537</v>
      </c>
      <c r="CZ27611" s="35">
        <v>0.1755878139</v>
      </c>
    </row>
    <row r="27612" spans="103:104" x14ac:dyDescent="0.3">
      <c r="CY27612" s="34" t="s">
        <v>28538</v>
      </c>
      <c r="CZ27612" s="35">
        <v>0.38399521999999997</v>
      </c>
    </row>
    <row r="27613" spans="103:104" x14ac:dyDescent="0.3">
      <c r="CY27613" s="34" t="s">
        <v>28539</v>
      </c>
      <c r="CZ27613" s="35">
        <v>4.5403459999999998E-3</v>
      </c>
    </row>
    <row r="27614" spans="103:104" x14ac:dyDescent="0.3">
      <c r="CY27614" s="34" t="s">
        <v>28540</v>
      </c>
      <c r="CZ27614" s="35">
        <v>4.8031020000000001E-3</v>
      </c>
    </row>
    <row r="27615" spans="103:104" x14ac:dyDescent="0.3">
      <c r="CY27615" s="34" t="s">
        <v>28541</v>
      </c>
      <c r="CZ27615" s="35">
        <v>4.8031020000000001E-3</v>
      </c>
    </row>
    <row r="27616" spans="103:104" x14ac:dyDescent="0.3">
      <c r="CY27616" s="34" t="s">
        <v>28542</v>
      </c>
      <c r="CZ27616" s="35">
        <v>4.1100749800000004E-3</v>
      </c>
    </row>
    <row r="27617" spans="103:104" x14ac:dyDescent="0.3">
      <c r="CY27617" s="34" t="s">
        <v>28543</v>
      </c>
      <c r="CZ27617" s="35">
        <v>9.9553033500000008E-4</v>
      </c>
    </row>
    <row r="27618" spans="103:104" x14ac:dyDescent="0.3">
      <c r="CY27618" s="34" t="s">
        <v>28544</v>
      </c>
      <c r="CZ27618" s="35">
        <v>1.2776249999999999E-2</v>
      </c>
    </row>
    <row r="27619" spans="103:104" x14ac:dyDescent="0.3">
      <c r="CY27619" s="34" t="s">
        <v>28545</v>
      </c>
      <c r="CZ27619" s="35">
        <v>4.2702470400000005E-2</v>
      </c>
    </row>
    <row r="27620" spans="103:104" x14ac:dyDescent="0.3">
      <c r="CY27620" s="34" t="s">
        <v>28546</v>
      </c>
      <c r="CZ27620" s="35">
        <v>0.111689566</v>
      </c>
    </row>
    <row r="27621" spans="103:104" x14ac:dyDescent="0.3">
      <c r="CY27621" s="34" t="s">
        <v>28547</v>
      </c>
      <c r="CZ27621" s="35">
        <v>0.13070256799999999</v>
      </c>
    </row>
    <row r="27622" spans="103:104" x14ac:dyDescent="0.3">
      <c r="CY27622" s="34" t="s">
        <v>28548</v>
      </c>
      <c r="CZ27622" s="35">
        <v>9.9754560000000006E-2</v>
      </c>
    </row>
    <row r="27623" spans="103:104" x14ac:dyDescent="0.3">
      <c r="CY27623" s="34" t="s">
        <v>28549</v>
      </c>
      <c r="CZ27623" s="35">
        <v>1.1425274626666667E-2</v>
      </c>
    </row>
    <row r="27624" spans="103:104" x14ac:dyDescent="0.3">
      <c r="CY27624" s="34" t="s">
        <v>28550</v>
      </c>
      <c r="CZ27624" s="35">
        <v>3.8678686000000004E-2</v>
      </c>
    </row>
    <row r="27625" spans="103:104" x14ac:dyDescent="0.3">
      <c r="CY27625" s="34" t="s">
        <v>28551</v>
      </c>
      <c r="CZ27625" s="35">
        <v>8.7458706300000012E-3</v>
      </c>
    </row>
    <row r="27626" spans="103:104" x14ac:dyDescent="0.3">
      <c r="CY27626" s="34" t="s">
        <v>28552</v>
      </c>
      <c r="CZ27626" s="35">
        <v>1.5150415714285715E-3</v>
      </c>
    </row>
    <row r="27627" spans="103:104" x14ac:dyDescent="0.3">
      <c r="CY27627" s="34" t="s">
        <v>28553</v>
      </c>
      <c r="CZ27627" s="35">
        <v>3.4302291000000004E-3</v>
      </c>
    </row>
    <row r="27628" spans="103:104" x14ac:dyDescent="0.3">
      <c r="CY27628" s="34" t="s">
        <v>28554</v>
      </c>
      <c r="CZ27628" s="35">
        <v>3.1493234E-3</v>
      </c>
    </row>
    <row r="27629" spans="103:104" x14ac:dyDescent="0.3">
      <c r="CY27629" s="34" t="s">
        <v>28555</v>
      </c>
      <c r="CZ27629" s="35">
        <v>2.9409412063157894E-3</v>
      </c>
    </row>
    <row r="27630" spans="103:104" x14ac:dyDescent="0.3">
      <c r="CY27630" s="34" t="s">
        <v>28556</v>
      </c>
      <c r="CZ27630" s="35">
        <v>2.6174591426666664E-2</v>
      </c>
    </row>
    <row r="27631" spans="103:104" x14ac:dyDescent="0.3">
      <c r="CY27631" s="34" t="s">
        <v>28557</v>
      </c>
      <c r="CZ27631" s="35">
        <v>6.2620416674999999E-2</v>
      </c>
    </row>
    <row r="27632" spans="103:104" x14ac:dyDescent="0.3">
      <c r="CY27632" s="34" t="s">
        <v>28558</v>
      </c>
      <c r="CZ27632" s="35">
        <v>8.5392399999999994E-4</v>
      </c>
    </row>
    <row r="27633" spans="103:104" x14ac:dyDescent="0.3">
      <c r="CY27633" s="34" t="s">
        <v>28559</v>
      </c>
      <c r="CZ27633" s="35">
        <v>2.0809744000000002E-2</v>
      </c>
    </row>
    <row r="27634" spans="103:104" x14ac:dyDescent="0.3">
      <c r="CY27634" s="34" t="s">
        <v>28560</v>
      </c>
      <c r="CZ27634" s="35">
        <v>6.4998887999999991E-2</v>
      </c>
    </row>
    <row r="27635" spans="103:104" x14ac:dyDescent="0.3">
      <c r="CY27635" s="34" t="s">
        <v>28561</v>
      </c>
      <c r="CZ27635" s="35">
        <v>5.7888167999999997E-2</v>
      </c>
    </row>
    <row r="27636" spans="103:104" x14ac:dyDescent="0.3">
      <c r="CY27636" s="34" t="s">
        <v>28562</v>
      </c>
      <c r="CZ27636" s="35">
        <v>6.9265320000000005E-2</v>
      </c>
    </row>
    <row r="27637" spans="103:104" x14ac:dyDescent="0.3">
      <c r="CY27637" s="34" t="s">
        <v>28563</v>
      </c>
      <c r="CZ27637" s="35">
        <v>5.2377360000000005E-2</v>
      </c>
    </row>
    <row r="27638" spans="103:104" x14ac:dyDescent="0.3">
      <c r="CY27638" s="34" t="s">
        <v>28564</v>
      </c>
      <c r="CZ27638" s="35">
        <v>6.8554248000000012E-2</v>
      </c>
    </row>
    <row r="27639" spans="103:104" x14ac:dyDescent="0.3">
      <c r="CY27639" s="34" t="s">
        <v>28565</v>
      </c>
      <c r="CZ27639" s="35">
        <v>2.2974799466666668E-2</v>
      </c>
    </row>
    <row r="27640" spans="103:104" x14ac:dyDescent="0.3">
      <c r="CY27640" s="34" t="s">
        <v>28566</v>
      </c>
      <c r="CZ27640" s="35">
        <v>1.4924059999999998E-2</v>
      </c>
    </row>
    <row r="27641" spans="103:104" x14ac:dyDescent="0.3">
      <c r="CY27641" s="34" t="s">
        <v>28567</v>
      </c>
      <c r="CZ27641" s="35">
        <v>3.4895999999999998E-3</v>
      </c>
    </row>
    <row r="27642" spans="103:104" x14ac:dyDescent="0.3">
      <c r="CY27642" s="34" t="s">
        <v>28568</v>
      </c>
      <c r="CZ27642" s="35">
        <v>1.3151177599999999E-2</v>
      </c>
    </row>
    <row r="27643" spans="103:104" x14ac:dyDescent="0.3">
      <c r="CY27643" s="34" t="s">
        <v>28569</v>
      </c>
      <c r="CZ27643" s="35">
        <v>3.4847108000000002E-2</v>
      </c>
    </row>
    <row r="27644" spans="103:104" x14ac:dyDescent="0.3">
      <c r="CY27644" s="34" t="s">
        <v>28570</v>
      </c>
      <c r="CZ27644" s="35">
        <v>0.47292388500000004</v>
      </c>
    </row>
    <row r="27645" spans="103:104" x14ac:dyDescent="0.3">
      <c r="CY27645" s="34" t="s">
        <v>28571</v>
      </c>
      <c r="CZ27645" s="35">
        <v>0.21756462399999998</v>
      </c>
    </row>
    <row r="27646" spans="103:104" x14ac:dyDescent="0.3">
      <c r="CY27646" s="34" t="s">
        <v>28572</v>
      </c>
      <c r="CZ27646" s="35">
        <v>0.11857720000000001</v>
      </c>
    </row>
    <row r="27647" spans="103:104" x14ac:dyDescent="0.3">
      <c r="CY27647" s="34" t="s">
        <v>28573</v>
      </c>
      <c r="CZ27647" s="35">
        <v>0.73807607200000003</v>
      </c>
    </row>
    <row r="27648" spans="103:104" x14ac:dyDescent="0.3">
      <c r="CY27648" s="34" t="s">
        <v>28574</v>
      </c>
      <c r="CZ27648" s="35">
        <v>0.54210935000000005</v>
      </c>
    </row>
    <row r="27649" spans="103:104" x14ac:dyDescent="0.3">
      <c r="CY27649" s="34" t="s">
        <v>28575</v>
      </c>
      <c r="CZ27649" s="35">
        <v>7.6634676470588238E-4</v>
      </c>
    </row>
    <row r="27650" spans="103:104" x14ac:dyDescent="0.3">
      <c r="CY27650" s="34" t="s">
        <v>28576</v>
      </c>
      <c r="CZ27650" s="35">
        <v>1.0254154600000001</v>
      </c>
    </row>
    <row r="27651" spans="103:104" x14ac:dyDescent="0.3">
      <c r="CY27651" s="34" t="s">
        <v>28577</v>
      </c>
      <c r="CZ27651" s="35">
        <v>3.3393699316571434E-3</v>
      </c>
    </row>
    <row r="27652" spans="103:104" x14ac:dyDescent="0.3">
      <c r="CY27652" s="34" t="s">
        <v>28578</v>
      </c>
      <c r="CZ27652" s="35">
        <v>1.8894158000000001E-2</v>
      </c>
    </row>
    <row r="27653" spans="103:104" x14ac:dyDescent="0.3">
      <c r="CY27653" s="34" t="s">
        <v>28579</v>
      </c>
      <c r="CZ27653" s="35">
        <v>2.5624379999999999E-2</v>
      </c>
    </row>
    <row r="27654" spans="103:104" x14ac:dyDescent="0.3">
      <c r="CY27654" s="34" t="s">
        <v>28580</v>
      </c>
      <c r="CZ27654" s="35">
        <v>5.237180000000001E-2</v>
      </c>
    </row>
    <row r="27655" spans="103:104" x14ac:dyDescent="0.3">
      <c r="CY27655" s="34" t="s">
        <v>28581</v>
      </c>
      <c r="CZ27655" s="35">
        <v>0.19744240200000002</v>
      </c>
    </row>
    <row r="27656" spans="103:104" x14ac:dyDescent="0.3">
      <c r="CY27656" s="34" t="s">
        <v>28582</v>
      </c>
      <c r="CZ27656" s="35">
        <v>1.3865240000000001E-2</v>
      </c>
    </row>
    <row r="27657" spans="103:104" x14ac:dyDescent="0.3">
      <c r="CY27657" s="34" t="s">
        <v>28583</v>
      </c>
      <c r="CZ27657" s="35">
        <v>0.18220822499999997</v>
      </c>
    </row>
    <row r="27658" spans="103:104" x14ac:dyDescent="0.3">
      <c r="CY27658" s="34" t="s">
        <v>28584</v>
      </c>
      <c r="CZ27658" s="35">
        <v>5.7931400000000008E-2</v>
      </c>
    </row>
    <row r="27659" spans="103:104" x14ac:dyDescent="0.3">
      <c r="CY27659" s="34" t="s">
        <v>28585</v>
      </c>
      <c r="CZ27659" s="35">
        <v>0.68039450000000001</v>
      </c>
    </row>
    <row r="27660" spans="103:104" x14ac:dyDescent="0.3">
      <c r="CY27660" s="34" t="s">
        <v>28586</v>
      </c>
      <c r="CZ27660" s="35">
        <v>0.24682832000000002</v>
      </c>
    </row>
    <row r="27661" spans="103:104" x14ac:dyDescent="0.3">
      <c r="CY27661" s="34" t="s">
        <v>28587</v>
      </c>
      <c r="CZ27661" s="35">
        <v>0.26178785619999995</v>
      </c>
    </row>
    <row r="27662" spans="103:104" x14ac:dyDescent="0.3">
      <c r="CY27662" s="34" t="s">
        <v>28588</v>
      </c>
      <c r="CZ27662" s="35">
        <v>0.378722</v>
      </c>
    </row>
    <row r="27663" spans="103:104" x14ac:dyDescent="0.3">
      <c r="CY27663" s="34" t="s">
        <v>28589</v>
      </c>
      <c r="CZ27663" s="35">
        <v>0.28773080000000001</v>
      </c>
    </row>
    <row r="27664" spans="103:104" x14ac:dyDescent="0.3">
      <c r="CY27664" s="34" t="s">
        <v>28590</v>
      </c>
      <c r="CZ27664" s="35">
        <v>0.21367788000000001</v>
      </c>
    </row>
    <row r="27665" spans="103:104" x14ac:dyDescent="0.3">
      <c r="CY27665" s="34" t="s">
        <v>28591</v>
      </c>
      <c r="CZ27665" s="35">
        <v>0.47530920000000004</v>
      </c>
    </row>
    <row r="27666" spans="103:104" x14ac:dyDescent="0.3">
      <c r="CY27666" s="34" t="s">
        <v>28592</v>
      </c>
      <c r="CZ27666" s="35">
        <v>0.36453495999999996</v>
      </c>
    </row>
    <row r="27667" spans="103:104" x14ac:dyDescent="0.3">
      <c r="CY27667" s="34" t="s">
        <v>28593</v>
      </c>
      <c r="CZ27667" s="35">
        <v>0.58396980000000009</v>
      </c>
    </row>
    <row r="27668" spans="103:104" x14ac:dyDescent="0.3">
      <c r="CY27668" s="34" t="s">
        <v>28594</v>
      </c>
      <c r="CZ27668" s="35">
        <v>2.9771985000000001E-2</v>
      </c>
    </row>
    <row r="27669" spans="103:104" x14ac:dyDescent="0.3">
      <c r="CY27669" s="34" t="s">
        <v>28595</v>
      </c>
      <c r="CZ27669" s="35">
        <v>2.9805438E-2</v>
      </c>
    </row>
    <row r="27670" spans="103:104" x14ac:dyDescent="0.3">
      <c r="CY27670" s="34" t="s">
        <v>28596</v>
      </c>
      <c r="CZ27670" s="35">
        <v>1.9907019999999996E-3</v>
      </c>
    </row>
    <row r="27671" spans="103:104" x14ac:dyDescent="0.3">
      <c r="CY27671" s="34" t="s">
        <v>28597</v>
      </c>
      <c r="CZ27671" s="35">
        <v>2.2241820000000003E-3</v>
      </c>
    </row>
    <row r="27672" spans="103:104" x14ac:dyDescent="0.3">
      <c r="CY27672" s="34" t="s">
        <v>28598</v>
      </c>
      <c r="CZ27672" s="35">
        <v>3.9423663999999997E-2</v>
      </c>
    </row>
    <row r="27673" spans="103:104" x14ac:dyDescent="0.3">
      <c r="CY27673" s="34" t="s">
        <v>28599</v>
      </c>
      <c r="CZ27673" s="35">
        <v>4.4725849999999998E-2</v>
      </c>
    </row>
    <row r="27674" spans="103:104" x14ac:dyDescent="0.3">
      <c r="CY27674" s="34" t="s">
        <v>28600</v>
      </c>
      <c r="CZ27674" s="35">
        <v>4.0235440000000004E-2</v>
      </c>
    </row>
    <row r="27675" spans="103:104" x14ac:dyDescent="0.3">
      <c r="CY27675" s="34" t="s">
        <v>28601</v>
      </c>
      <c r="CZ27675" s="35">
        <v>5.4565839999999996E-3</v>
      </c>
    </row>
    <row r="27676" spans="103:104" x14ac:dyDescent="0.3">
      <c r="CY27676" s="34" t="s">
        <v>28602</v>
      </c>
      <c r="CZ27676" s="35">
        <v>3.3096749999999998E-3</v>
      </c>
    </row>
    <row r="27677" spans="103:104" x14ac:dyDescent="0.3">
      <c r="CY27677" s="34" t="s">
        <v>28603</v>
      </c>
      <c r="CZ27677" s="35">
        <v>0.67032024000000001</v>
      </c>
    </row>
    <row r="27678" spans="103:104" x14ac:dyDescent="0.3">
      <c r="CY27678" s="34" t="s">
        <v>28604</v>
      </c>
      <c r="CZ27678" s="35">
        <v>0.67032024000000001</v>
      </c>
    </row>
    <row r="27679" spans="103:104" x14ac:dyDescent="0.3">
      <c r="CY27679" s="34" t="s">
        <v>28605</v>
      </c>
      <c r="CZ27679" s="35">
        <v>6.7339538533333337E-3</v>
      </c>
    </row>
    <row r="27680" spans="103:104" x14ac:dyDescent="0.3">
      <c r="CY27680" s="34" t="s">
        <v>28606</v>
      </c>
      <c r="CZ27680" s="35">
        <v>1.0937231733333332E-2</v>
      </c>
    </row>
    <row r="27681" spans="103:104" x14ac:dyDescent="0.3">
      <c r="CY27681" s="34" t="s">
        <v>28607</v>
      </c>
      <c r="CZ27681" s="35">
        <v>1.8093247999999999E-2</v>
      </c>
    </row>
    <row r="27682" spans="103:104" x14ac:dyDescent="0.3">
      <c r="CY27682" s="34" t="s">
        <v>28608</v>
      </c>
      <c r="CZ27682" s="35">
        <v>1.0366249000000001E-2</v>
      </c>
    </row>
    <row r="27683" spans="103:104" x14ac:dyDescent="0.3">
      <c r="CY27683" s="34" t="s">
        <v>28609</v>
      </c>
      <c r="CZ27683" s="35">
        <v>4.5830919999999997E-2</v>
      </c>
    </row>
    <row r="27684" spans="103:104" x14ac:dyDescent="0.3">
      <c r="CY27684" s="34" t="s">
        <v>28610</v>
      </c>
      <c r="CZ27684" s="35">
        <v>5.3587779999999998E-3</v>
      </c>
    </row>
    <row r="27685" spans="103:104" x14ac:dyDescent="0.3">
      <c r="CY27685" s="34" t="s">
        <v>28611</v>
      </c>
      <c r="CZ27685" s="35">
        <v>6.0143939999999993E-3</v>
      </c>
    </row>
    <row r="27686" spans="103:104" x14ac:dyDescent="0.3">
      <c r="CY27686" s="34" t="s">
        <v>28612</v>
      </c>
      <c r="CZ27686" s="35">
        <v>9.0476887999999984E-3</v>
      </c>
    </row>
    <row r="27687" spans="103:104" x14ac:dyDescent="0.3">
      <c r="CY27687" s="34" t="s">
        <v>28613</v>
      </c>
      <c r="CZ27687" s="35">
        <v>1.3420748799999998E-2</v>
      </c>
    </row>
    <row r="27688" spans="103:104" x14ac:dyDescent="0.3">
      <c r="CY27688" s="34" t="s">
        <v>28614</v>
      </c>
      <c r="CZ27688" s="35">
        <v>1.7105542000000001E-2</v>
      </c>
    </row>
    <row r="27689" spans="103:104" x14ac:dyDescent="0.3">
      <c r="CY27689" s="34" t="s">
        <v>28615</v>
      </c>
      <c r="CZ27689" s="35">
        <v>6.6906770000000008E-3</v>
      </c>
    </row>
    <row r="27690" spans="103:104" x14ac:dyDescent="0.3">
      <c r="CY27690" s="34" t="s">
        <v>28616</v>
      </c>
      <c r="CZ27690" s="35">
        <v>7.0866582000000001E-3</v>
      </c>
    </row>
    <row r="27691" spans="103:104" x14ac:dyDescent="0.3">
      <c r="CY27691" s="34" t="s">
        <v>28617</v>
      </c>
      <c r="CZ27691" s="35">
        <v>1.6339999999999999E-4</v>
      </c>
    </row>
    <row r="27692" spans="103:104" x14ac:dyDescent="0.3">
      <c r="CY27692" s="34" t="s">
        <v>28618</v>
      </c>
      <c r="CZ27692" s="35">
        <v>1.6339999999999999E-4</v>
      </c>
    </row>
    <row r="27693" spans="103:104" x14ac:dyDescent="0.3">
      <c r="CY27693" s="34" t="s">
        <v>28619</v>
      </c>
      <c r="CZ27693" s="35">
        <v>5.1268756119999995E-2</v>
      </c>
    </row>
    <row r="27694" spans="103:104" x14ac:dyDescent="0.3">
      <c r="CY27694" s="34" t="s">
        <v>28620</v>
      </c>
      <c r="CZ27694" s="35">
        <v>4.8654705233279999E-2</v>
      </c>
    </row>
    <row r="27695" spans="103:104" x14ac:dyDescent="0.3">
      <c r="CY27695" s="34" t="s">
        <v>28621</v>
      </c>
      <c r="CZ27695" s="35">
        <v>3.0272249999999997E-3</v>
      </c>
    </row>
    <row r="27696" spans="103:104" x14ac:dyDescent="0.3">
      <c r="CY27696" s="34" t="s">
        <v>28622</v>
      </c>
      <c r="CZ27696" s="35">
        <v>3.0880212499999997E-2</v>
      </c>
    </row>
    <row r="27697" spans="103:104" x14ac:dyDescent="0.3">
      <c r="CY27697" s="34" t="s">
        <v>28623</v>
      </c>
      <c r="CZ27697" s="35">
        <v>0.25752205511764709</v>
      </c>
    </row>
    <row r="27698" spans="103:104" x14ac:dyDescent="0.3">
      <c r="CY27698" s="34" t="s">
        <v>28624</v>
      </c>
      <c r="CZ27698" s="35">
        <v>0.18581559333333333</v>
      </c>
    </row>
    <row r="27699" spans="103:104" x14ac:dyDescent="0.3">
      <c r="CY27699" s="34" t="s">
        <v>28625</v>
      </c>
      <c r="CZ27699" s="35">
        <v>0.40904020155555554</v>
      </c>
    </row>
    <row r="27700" spans="103:104" x14ac:dyDescent="0.3">
      <c r="CY27700" s="34" t="s">
        <v>28626</v>
      </c>
      <c r="CZ27700" s="35">
        <v>0.44416774000000003</v>
      </c>
    </row>
    <row r="27701" spans="103:104" x14ac:dyDescent="0.3">
      <c r="CY27701" s="34" t="s">
        <v>28627</v>
      </c>
      <c r="CZ27701" s="35">
        <v>0.45734261999999998</v>
      </c>
    </row>
    <row r="27702" spans="103:104" x14ac:dyDescent="0.3">
      <c r="CY27702" s="34" t="s">
        <v>28628</v>
      </c>
      <c r="CZ27702" s="35">
        <v>0.56672549999999999</v>
      </c>
    </row>
    <row r="27703" spans="103:104" x14ac:dyDescent="0.3">
      <c r="CY27703" s="34" t="s">
        <v>28629</v>
      </c>
      <c r="CZ27703" s="35">
        <v>0.48376030000000003</v>
      </c>
    </row>
    <row r="27704" spans="103:104" x14ac:dyDescent="0.3">
      <c r="CY27704" s="34" t="s">
        <v>28630</v>
      </c>
      <c r="CZ27704" s="35">
        <v>0.39966804499999997</v>
      </c>
    </row>
    <row r="27705" spans="103:104" x14ac:dyDescent="0.3">
      <c r="CY27705" s="34" t="s">
        <v>28631</v>
      </c>
      <c r="CZ27705" s="35">
        <v>0.66268230000000006</v>
      </c>
    </row>
    <row r="27706" spans="103:104" x14ac:dyDescent="0.3">
      <c r="CY27706" s="34" t="s">
        <v>28632</v>
      </c>
      <c r="CZ27706" s="35">
        <v>0.55428564000000002</v>
      </c>
    </row>
    <row r="27707" spans="103:104" x14ac:dyDescent="0.3">
      <c r="CY27707" s="34" t="s">
        <v>28633</v>
      </c>
      <c r="CZ27707" s="35">
        <v>0.76958020000000005</v>
      </c>
    </row>
    <row r="27708" spans="103:104" x14ac:dyDescent="0.3">
      <c r="CY27708" s="34" t="s">
        <v>28634</v>
      </c>
      <c r="CZ27708" s="35">
        <v>0.17767819333333332</v>
      </c>
    </row>
    <row r="27709" spans="103:104" x14ac:dyDescent="0.3">
      <c r="CY27709" s="34" t="s">
        <v>28635</v>
      </c>
      <c r="CZ27709" s="35">
        <v>3.1326664646464643E-2</v>
      </c>
    </row>
    <row r="27710" spans="103:104" x14ac:dyDescent="0.3">
      <c r="CY27710" s="34" t="s">
        <v>28636</v>
      </c>
      <c r="CZ27710" s="35">
        <v>3.6953369999999995E-3</v>
      </c>
    </row>
    <row r="27711" spans="103:104" x14ac:dyDescent="0.3">
      <c r="CY27711" s="34" t="s">
        <v>28637</v>
      </c>
      <c r="CZ27711" s="35">
        <v>1.4674999999999999E-4</v>
      </c>
    </row>
    <row r="27712" spans="103:104" x14ac:dyDescent="0.3">
      <c r="CY27712" s="34" t="s">
        <v>28638</v>
      </c>
      <c r="CZ27712" s="35">
        <v>6.586525E-2</v>
      </c>
    </row>
    <row r="27713" spans="103:104" x14ac:dyDescent="0.3">
      <c r="CY27713" s="34" t="s">
        <v>28639</v>
      </c>
      <c r="CZ27713" s="35">
        <v>1.8350827999999999E-3</v>
      </c>
    </row>
    <row r="27714" spans="103:104" x14ac:dyDescent="0.3">
      <c r="CY27714" s="34" t="s">
        <v>28640</v>
      </c>
      <c r="CZ27714" s="35">
        <v>0.13125096</v>
      </c>
    </row>
    <row r="27715" spans="103:104" x14ac:dyDescent="0.3">
      <c r="CY27715" s="34" t="s">
        <v>28641</v>
      </c>
      <c r="CZ27715" s="35">
        <v>3.3464462000000007E-2</v>
      </c>
    </row>
    <row r="27716" spans="103:104" x14ac:dyDescent="0.3">
      <c r="CY27716" s="34" t="s">
        <v>28642</v>
      </c>
      <c r="CZ27716" s="35">
        <v>4.2687476000000005E-4</v>
      </c>
    </row>
    <row r="27717" spans="103:104" x14ac:dyDescent="0.3">
      <c r="CY27717" s="34" t="s">
        <v>28643</v>
      </c>
      <c r="CZ27717" s="35">
        <v>4.4934185263157897E-4</v>
      </c>
    </row>
    <row r="27718" spans="103:104" x14ac:dyDescent="0.3">
      <c r="CY27718" s="34" t="s">
        <v>28644</v>
      </c>
      <c r="CZ27718" s="35">
        <v>6.4980359999999989E-4</v>
      </c>
    </row>
    <row r="27719" spans="103:104" x14ac:dyDescent="0.3">
      <c r="CY27719" s="34" t="s">
        <v>28645</v>
      </c>
      <c r="CZ27719" s="35">
        <v>7.5949004444444447E-4</v>
      </c>
    </row>
    <row r="27720" spans="103:104" x14ac:dyDescent="0.3">
      <c r="CY27720" s="34" t="s">
        <v>28646</v>
      </c>
      <c r="CZ27720" s="35">
        <v>1.2777750000000001E-3</v>
      </c>
    </row>
    <row r="27721" spans="103:104" x14ac:dyDescent="0.3">
      <c r="CY27721" s="34" t="s">
        <v>28647</v>
      </c>
      <c r="CZ27721" s="35">
        <v>1.2996575000000002E-3</v>
      </c>
    </row>
    <row r="27722" spans="103:104" x14ac:dyDescent="0.3">
      <c r="CY27722" s="34" t="s">
        <v>28648</v>
      </c>
      <c r="CZ27722" s="35">
        <v>1.5290088235294117E-3</v>
      </c>
    </row>
    <row r="27723" spans="103:104" x14ac:dyDescent="0.3">
      <c r="CY27723" s="34" t="s">
        <v>28649</v>
      </c>
      <c r="CZ27723" s="35">
        <v>7.8318280000000007E-3</v>
      </c>
    </row>
    <row r="27724" spans="103:104" x14ac:dyDescent="0.3">
      <c r="CY27724" s="34" t="s">
        <v>28650</v>
      </c>
      <c r="CZ27724" s="35">
        <v>3.8538700000000002E-2</v>
      </c>
    </row>
    <row r="27725" spans="103:104" x14ac:dyDescent="0.3">
      <c r="CY27725" s="34" t="s">
        <v>28651</v>
      </c>
      <c r="CZ27725" s="35">
        <v>1.3187866000000001E-4</v>
      </c>
    </row>
    <row r="27726" spans="103:104" x14ac:dyDescent="0.3">
      <c r="CY27726" s="34" t="s">
        <v>28652</v>
      </c>
      <c r="CZ27726" s="35">
        <v>0.59447960332500005</v>
      </c>
    </row>
    <row r="27727" spans="103:104" x14ac:dyDescent="0.3">
      <c r="CY27727" s="34" t="s">
        <v>28653</v>
      </c>
      <c r="CZ27727" s="35">
        <v>0.55595178330000006</v>
      </c>
    </row>
    <row r="27728" spans="103:104" x14ac:dyDescent="0.3">
      <c r="CY27728" s="34" t="s">
        <v>28654</v>
      </c>
      <c r="CZ27728" s="35">
        <v>0.72341567129999995</v>
      </c>
    </row>
    <row r="27729" spans="103:104" x14ac:dyDescent="0.3">
      <c r="CY27729" s="34" t="s">
        <v>28655</v>
      </c>
      <c r="CZ27729" s="35">
        <v>0.69999673600000001</v>
      </c>
    </row>
    <row r="27730" spans="103:104" x14ac:dyDescent="0.3">
      <c r="CY27730" s="34" t="s">
        <v>28656</v>
      </c>
      <c r="CZ27730" s="35">
        <v>0.71581081199999996</v>
      </c>
    </row>
    <row r="27731" spans="103:104" x14ac:dyDescent="0.3">
      <c r="CY27731" s="34" t="s">
        <v>28657</v>
      </c>
      <c r="CZ27731" s="35">
        <v>0.80836269332499999</v>
      </c>
    </row>
    <row r="27732" spans="103:104" x14ac:dyDescent="0.3">
      <c r="CY27732" s="34" t="s">
        <v>28658</v>
      </c>
      <c r="CZ27732" s="35">
        <v>1.6583926074770002E-2</v>
      </c>
    </row>
    <row r="27733" spans="103:104" x14ac:dyDescent="0.3">
      <c r="CY27733" s="34" t="s">
        <v>28659</v>
      </c>
      <c r="CZ27733" s="35">
        <v>1.6583926074770002E-2</v>
      </c>
    </row>
    <row r="27734" spans="103:104" x14ac:dyDescent="0.3">
      <c r="CY27734" s="34" t="s">
        <v>28660</v>
      </c>
      <c r="CZ27734" s="35">
        <v>0.25682754400000002</v>
      </c>
    </row>
    <row r="27735" spans="103:104" x14ac:dyDescent="0.3">
      <c r="CY27735" s="34" t="s">
        <v>28661</v>
      </c>
      <c r="CZ27735" s="35">
        <v>4.0535656000000003E-2</v>
      </c>
    </row>
    <row r="27736" spans="103:104" x14ac:dyDescent="0.3">
      <c r="CY27736" s="34" t="s">
        <v>28662</v>
      </c>
      <c r="CZ27736" s="35">
        <v>0.176020976</v>
      </c>
    </row>
    <row r="27737" spans="103:104" x14ac:dyDescent="0.3">
      <c r="CY27737" s="34" t="s">
        <v>28663</v>
      </c>
      <c r="CZ27737" s="35">
        <v>3.7088048000000003E-3</v>
      </c>
    </row>
    <row r="27738" spans="103:104" x14ac:dyDescent="0.3">
      <c r="CY27738" s="34" t="s">
        <v>28664</v>
      </c>
      <c r="CZ27738" s="35">
        <v>8.9346600000000005E-3</v>
      </c>
    </row>
    <row r="27739" spans="103:104" x14ac:dyDescent="0.3">
      <c r="CY27739" s="34" t="s">
        <v>28665</v>
      </c>
      <c r="CZ27739" s="35">
        <v>1.4594441599999999E-2</v>
      </c>
    </row>
    <row r="27740" spans="103:104" x14ac:dyDescent="0.3">
      <c r="CY27740" s="34" t="s">
        <v>28666</v>
      </c>
      <c r="CZ27740" s="35">
        <v>5.4154831999999997E-3</v>
      </c>
    </row>
    <row r="27741" spans="103:104" x14ac:dyDescent="0.3">
      <c r="CY27741" s="34" t="s">
        <v>28667</v>
      </c>
      <c r="CZ27741" s="35">
        <v>8.0055519999999995E-4</v>
      </c>
    </row>
    <row r="27742" spans="103:104" x14ac:dyDescent="0.3">
      <c r="CY27742" s="34" t="s">
        <v>28668</v>
      </c>
      <c r="CZ27742" s="35">
        <v>7.6872726000000002E-4</v>
      </c>
    </row>
    <row r="27743" spans="103:104" x14ac:dyDescent="0.3">
      <c r="CY27743" s="34" t="s">
        <v>28669</v>
      </c>
      <c r="CZ27743" s="35">
        <v>1.1164999999999999E-3</v>
      </c>
    </row>
    <row r="27744" spans="103:104" x14ac:dyDescent="0.3">
      <c r="CY27744" s="34" t="s">
        <v>28670</v>
      </c>
      <c r="CZ27744" s="35">
        <v>4.4575379999999996E-3</v>
      </c>
    </row>
    <row r="27745" spans="103:104" x14ac:dyDescent="0.3">
      <c r="CY27745" s="34" t="s">
        <v>28671</v>
      </c>
      <c r="CZ27745" s="35">
        <v>3.4674119999999996E-2</v>
      </c>
    </row>
    <row r="27746" spans="103:104" x14ac:dyDescent="0.3">
      <c r="CY27746" s="34" t="s">
        <v>28672</v>
      </c>
      <c r="CZ27746" s="35">
        <v>1.9746719999999998E-3</v>
      </c>
    </row>
    <row r="27747" spans="103:104" x14ac:dyDescent="0.3">
      <c r="CY27747" s="34" t="s">
        <v>28673</v>
      </c>
      <c r="CZ27747" s="35">
        <v>2.0050166000000001E-2</v>
      </c>
    </row>
    <row r="27748" spans="103:104" x14ac:dyDescent="0.3">
      <c r="CY27748" s="34" t="s">
        <v>28674</v>
      </c>
      <c r="CZ27748" s="35">
        <v>2.3037959999999999E-3</v>
      </c>
    </row>
    <row r="27749" spans="103:104" x14ac:dyDescent="0.3">
      <c r="CY27749" s="34" t="s">
        <v>28675</v>
      </c>
      <c r="CZ27749" s="35">
        <v>1.8115192E-3</v>
      </c>
    </row>
    <row r="27750" spans="103:104" x14ac:dyDescent="0.3">
      <c r="CY27750" s="34" t="s">
        <v>28676</v>
      </c>
      <c r="CZ27750" s="35">
        <v>0.32695287999999995</v>
      </c>
    </row>
    <row r="27751" spans="103:104" x14ac:dyDescent="0.3">
      <c r="CY27751" s="34" t="s">
        <v>28677</v>
      </c>
      <c r="CZ27751" s="35">
        <v>0.32695287999999995</v>
      </c>
    </row>
    <row r="27752" spans="103:104" x14ac:dyDescent="0.3">
      <c r="CY27752" s="34" t="s">
        <v>28678</v>
      </c>
      <c r="CZ27752" s="35">
        <v>0.41778087999999997</v>
      </c>
    </row>
    <row r="27753" spans="103:104" x14ac:dyDescent="0.3">
      <c r="CY27753" s="34" t="s">
        <v>28679</v>
      </c>
      <c r="CZ27753" s="35">
        <v>0.18262820266666666</v>
      </c>
    </row>
    <row r="27754" spans="103:104" x14ac:dyDescent="0.3">
      <c r="CY27754" s="34" t="s">
        <v>28680</v>
      </c>
      <c r="CZ27754" s="35">
        <v>1.4425562000000001E-3</v>
      </c>
    </row>
    <row r="27755" spans="103:104" x14ac:dyDescent="0.3">
      <c r="CY27755" s="34" t="s">
        <v>28681</v>
      </c>
      <c r="CZ27755" s="35">
        <v>0.26952497000000003</v>
      </c>
    </row>
    <row r="27756" spans="103:104" x14ac:dyDescent="0.3">
      <c r="CY27756" s="34" t="s">
        <v>28682</v>
      </c>
      <c r="CZ27756" s="35">
        <v>0.24962352999999998</v>
      </c>
    </row>
    <row r="27757" spans="103:104" x14ac:dyDescent="0.3">
      <c r="CY27757" s="34" t="s">
        <v>28683</v>
      </c>
      <c r="CZ27757" s="35">
        <v>2.3165969999999998E-2</v>
      </c>
    </row>
    <row r="27758" spans="103:104" x14ac:dyDescent="0.3">
      <c r="CY27758" s="34" t="s">
        <v>28684</v>
      </c>
      <c r="CZ27758" s="35">
        <v>5.4388168000000001E-2</v>
      </c>
    </row>
    <row r="27759" spans="103:104" x14ac:dyDescent="0.3">
      <c r="CY27759" s="34" t="s">
        <v>28685</v>
      </c>
      <c r="CZ27759" s="35">
        <v>9.6724193333333347E-3</v>
      </c>
    </row>
    <row r="27760" spans="103:104" x14ac:dyDescent="0.3">
      <c r="CY27760" s="34" t="s">
        <v>28686</v>
      </c>
      <c r="CZ27760" s="35">
        <v>9.6724193333333347E-3</v>
      </c>
    </row>
    <row r="27761" spans="103:104" x14ac:dyDescent="0.3">
      <c r="CY27761" s="34" t="s">
        <v>28687</v>
      </c>
      <c r="CZ27761" s="35">
        <v>2.2033380999999998E-2</v>
      </c>
    </row>
    <row r="27762" spans="103:104" x14ac:dyDescent="0.3">
      <c r="CY27762" s="34" t="s">
        <v>28688</v>
      </c>
      <c r="CZ27762" s="35">
        <v>7.0544589999999999E-3</v>
      </c>
    </row>
    <row r="27763" spans="103:104" x14ac:dyDescent="0.3">
      <c r="CY27763" s="34" t="s">
        <v>28689</v>
      </c>
      <c r="CZ27763" s="35">
        <v>5.1986999999999998E-2</v>
      </c>
    </row>
    <row r="27764" spans="103:104" x14ac:dyDescent="0.3">
      <c r="CY27764" s="34" t="s">
        <v>28690</v>
      </c>
      <c r="CZ27764" s="35">
        <v>1.1588035332499997</v>
      </c>
    </row>
    <row r="27765" spans="103:104" x14ac:dyDescent="0.3">
      <c r="CY27765" s="34" t="s">
        <v>28691</v>
      </c>
      <c r="CZ27765" s="35">
        <v>0.93058213333333339</v>
      </c>
    </row>
    <row r="27766" spans="103:104" x14ac:dyDescent="0.3">
      <c r="CY27766" s="34" t="s">
        <v>28692</v>
      </c>
      <c r="CZ27766" s="35">
        <v>0.89124833333333331</v>
      </c>
    </row>
    <row r="27767" spans="103:104" x14ac:dyDescent="0.3">
      <c r="CY27767" s="34" t="s">
        <v>28693</v>
      </c>
      <c r="CZ27767" s="35">
        <v>0.91562213335714282</v>
      </c>
    </row>
    <row r="27768" spans="103:104" x14ac:dyDescent="0.3">
      <c r="CY27768" s="34" t="s">
        <v>28694</v>
      </c>
      <c r="CZ27768" s="35">
        <v>0.91562213333333342</v>
      </c>
    </row>
    <row r="27769" spans="103:104" x14ac:dyDescent="0.3">
      <c r="CY27769" s="34" t="s">
        <v>28695</v>
      </c>
      <c r="CZ27769" s="35">
        <v>3.0985957500000001E-2</v>
      </c>
    </row>
    <row r="27770" spans="103:104" x14ac:dyDescent="0.3">
      <c r="CY27770" s="34" t="s">
        <v>28696</v>
      </c>
      <c r="CZ27770" s="35">
        <v>4.9633326E-4</v>
      </c>
    </row>
    <row r="27771" spans="103:104" x14ac:dyDescent="0.3">
      <c r="CY27771" s="34" t="s">
        <v>28697</v>
      </c>
      <c r="CZ27771" s="35">
        <v>0.221577</v>
      </c>
    </row>
    <row r="27772" spans="103:104" x14ac:dyDescent="0.3">
      <c r="CY27772" s="34" t="s">
        <v>28698</v>
      </c>
      <c r="CZ27772" s="35">
        <v>2.4258420000000003E-2</v>
      </c>
    </row>
    <row r="27773" spans="103:104" x14ac:dyDescent="0.3">
      <c r="CY27773" s="34" t="s">
        <v>28699</v>
      </c>
      <c r="CZ27773" s="35">
        <v>2.342E-4</v>
      </c>
    </row>
    <row r="27774" spans="103:104" x14ac:dyDescent="0.3">
      <c r="CY27774" s="34" t="s">
        <v>28700</v>
      </c>
      <c r="CZ27774" s="35">
        <v>4.8460228800000005E-2</v>
      </c>
    </row>
    <row r="27775" spans="103:104" x14ac:dyDescent="0.3">
      <c r="CY27775" s="34" t="s">
        <v>28701</v>
      </c>
      <c r="CZ27775" s="35">
        <v>1.7895228800000003E-2</v>
      </c>
    </row>
    <row r="27776" spans="103:104" x14ac:dyDescent="0.3">
      <c r="CY27776" s="34" t="s">
        <v>28702</v>
      </c>
      <c r="CZ27776" s="35">
        <v>4.8460228800000005E-2</v>
      </c>
    </row>
    <row r="27777" spans="103:104" x14ac:dyDescent="0.3">
      <c r="CY27777" s="34" t="s">
        <v>28703</v>
      </c>
      <c r="CZ27777" s="35">
        <v>0.46228728000000002</v>
      </c>
    </row>
    <row r="27778" spans="103:104" x14ac:dyDescent="0.3">
      <c r="CY27778" s="34" t="s">
        <v>28704</v>
      </c>
      <c r="CZ27778" s="35">
        <v>0.44265767</v>
      </c>
    </row>
    <row r="27779" spans="103:104" x14ac:dyDescent="0.3">
      <c r="CY27779" s="34" t="s">
        <v>28705</v>
      </c>
      <c r="CZ27779" s="35">
        <v>2.1224031999999998E-3</v>
      </c>
    </row>
    <row r="27780" spans="103:104" x14ac:dyDescent="0.3">
      <c r="CY27780" s="34" t="s">
        <v>28706</v>
      </c>
      <c r="CZ27780" s="35">
        <v>1.4950973333333335E-3</v>
      </c>
    </row>
    <row r="27781" spans="103:104" x14ac:dyDescent="0.3">
      <c r="CY27781" s="34" t="s">
        <v>28707</v>
      </c>
      <c r="CZ27781" s="35">
        <v>5.7847335999999999E-2</v>
      </c>
    </row>
    <row r="27782" spans="103:104" x14ac:dyDescent="0.3">
      <c r="CY27782" s="34" t="s">
        <v>28708</v>
      </c>
      <c r="CZ27782" s="35">
        <v>7.9918800000000012E-2</v>
      </c>
    </row>
    <row r="27783" spans="103:104" x14ac:dyDescent="0.3">
      <c r="CY27783" s="34" t="s">
        <v>28709</v>
      </c>
      <c r="CZ27783" s="35">
        <v>0.14861760500000001</v>
      </c>
    </row>
    <row r="27784" spans="103:104" x14ac:dyDescent="0.3">
      <c r="CY27784" s="34" t="s">
        <v>28710</v>
      </c>
      <c r="CZ27784" s="35">
        <v>0.13270488500000002</v>
      </c>
    </row>
    <row r="27785" spans="103:104" x14ac:dyDescent="0.3">
      <c r="CY27785" s="34" t="s">
        <v>28711</v>
      </c>
      <c r="CZ27785" s="35">
        <v>1.0280247549999998E-3</v>
      </c>
    </row>
    <row r="27786" spans="103:104" x14ac:dyDescent="0.3">
      <c r="CY27786" s="34" t="s">
        <v>28712</v>
      </c>
      <c r="CZ27786" s="35">
        <v>5.1430245999999999E-2</v>
      </c>
    </row>
    <row r="27787" spans="103:104" x14ac:dyDescent="0.3">
      <c r="CY27787" s="34" t="s">
        <v>28713</v>
      </c>
      <c r="CZ27787" s="35">
        <v>4.6480000000000002E-4</v>
      </c>
    </row>
    <row r="27788" spans="103:104" x14ac:dyDescent="0.3">
      <c r="CY27788" s="34" t="s">
        <v>28714</v>
      </c>
      <c r="CZ27788" s="35">
        <v>1.2343751578947368E-3</v>
      </c>
    </row>
    <row r="27789" spans="103:104" x14ac:dyDescent="0.3">
      <c r="CY27789" s="34" t="s">
        <v>28715</v>
      </c>
      <c r="CZ27789" s="35">
        <v>0.1679445</v>
      </c>
    </row>
    <row r="27790" spans="103:104" x14ac:dyDescent="0.3">
      <c r="CY27790" s="34" t="s">
        <v>28716</v>
      </c>
      <c r="CZ27790" s="35">
        <v>2.0440559999999998E-3</v>
      </c>
    </row>
    <row r="27791" spans="103:104" x14ac:dyDescent="0.3">
      <c r="CY27791" s="34" t="s">
        <v>28717</v>
      </c>
      <c r="CZ27791" s="35">
        <v>3.4418722499999999E-2</v>
      </c>
    </row>
    <row r="27792" spans="103:104" x14ac:dyDescent="0.3">
      <c r="CY27792" s="34" t="s">
        <v>28718</v>
      </c>
      <c r="CZ27792" s="35">
        <v>3.7457055000000003E-2</v>
      </c>
    </row>
    <row r="27793" spans="103:104" x14ac:dyDescent="0.3">
      <c r="CY27793" s="34" t="s">
        <v>28719</v>
      </c>
      <c r="CZ27793" s="35">
        <v>3.62587225E-2</v>
      </c>
    </row>
    <row r="27794" spans="103:104" x14ac:dyDescent="0.3">
      <c r="CY27794" s="34" t="s">
        <v>28720</v>
      </c>
      <c r="CZ27794" s="35">
        <v>2.1029637499999997E-2</v>
      </c>
    </row>
    <row r="27795" spans="103:104" x14ac:dyDescent="0.3">
      <c r="CY27795" s="34" t="s">
        <v>28721</v>
      </c>
      <c r="CZ27795" s="35">
        <v>5.6925578947368419E-4</v>
      </c>
    </row>
    <row r="27796" spans="103:104" x14ac:dyDescent="0.3">
      <c r="CY27796" s="34" t="s">
        <v>28722</v>
      </c>
      <c r="CZ27796" s="35">
        <v>1.7267135600000004E-2</v>
      </c>
    </row>
    <row r="27797" spans="103:104" x14ac:dyDescent="0.3">
      <c r="CY27797" s="34" t="s">
        <v>28723</v>
      </c>
      <c r="CZ27797" s="35">
        <v>0.110484348</v>
      </c>
    </row>
    <row r="27798" spans="103:104" x14ac:dyDescent="0.3">
      <c r="CY27798" s="34" t="s">
        <v>28724</v>
      </c>
      <c r="CZ27798" s="35">
        <v>0.58492858857142871</v>
      </c>
    </row>
    <row r="27799" spans="103:104" x14ac:dyDescent="0.3">
      <c r="CY27799" s="34" t="s">
        <v>28725</v>
      </c>
      <c r="CZ27799" s="35">
        <v>1.2644861600000001E-2</v>
      </c>
    </row>
    <row r="27800" spans="103:104" x14ac:dyDescent="0.3">
      <c r="CY27800" s="34" t="s">
        <v>28726</v>
      </c>
      <c r="CZ27800" s="35">
        <v>8.889464200000001E-2</v>
      </c>
    </row>
    <row r="27801" spans="103:104" x14ac:dyDescent="0.3">
      <c r="CY27801" s="34" t="s">
        <v>28727</v>
      </c>
      <c r="CZ27801" s="35">
        <v>8.889464200000001E-2</v>
      </c>
    </row>
    <row r="27802" spans="103:104" x14ac:dyDescent="0.3">
      <c r="CY27802" s="34" t="s">
        <v>28728</v>
      </c>
      <c r="CZ27802" s="35">
        <v>7.9771222000000017E-2</v>
      </c>
    </row>
    <row r="27803" spans="103:104" x14ac:dyDescent="0.3">
      <c r="CY27803" s="34" t="s">
        <v>28729</v>
      </c>
      <c r="CZ27803" s="35">
        <v>0.13507343999999999</v>
      </c>
    </row>
    <row r="27804" spans="103:104" x14ac:dyDescent="0.3">
      <c r="CY27804" s="34" t="s">
        <v>28730</v>
      </c>
      <c r="CZ27804" s="35">
        <v>1.494588E-3</v>
      </c>
    </row>
    <row r="27805" spans="103:104" x14ac:dyDescent="0.3">
      <c r="CY27805" s="34" t="s">
        <v>28731</v>
      </c>
      <c r="CZ27805" s="35">
        <v>1.2838060000000002E-3</v>
      </c>
    </row>
    <row r="27806" spans="103:104" x14ac:dyDescent="0.3">
      <c r="CY27806" s="34" t="s">
        <v>28732</v>
      </c>
      <c r="CZ27806" s="35">
        <v>5.0544799999999992E-4</v>
      </c>
    </row>
    <row r="27807" spans="103:104" x14ac:dyDescent="0.3">
      <c r="CY27807" s="34" t="s">
        <v>28733</v>
      </c>
      <c r="CZ27807" s="35">
        <v>5.5804044444444445E-4</v>
      </c>
    </row>
    <row r="27808" spans="103:104" x14ac:dyDescent="0.3">
      <c r="CY27808" s="34" t="s">
        <v>28734</v>
      </c>
      <c r="CZ27808" s="35">
        <v>5.6623899999999996E-4</v>
      </c>
    </row>
    <row r="27809" spans="103:104" x14ac:dyDescent="0.3">
      <c r="CY27809" s="34" t="s">
        <v>28735</v>
      </c>
      <c r="CZ27809" s="35">
        <v>4.932898E-4</v>
      </c>
    </row>
    <row r="27810" spans="103:104" x14ac:dyDescent="0.3">
      <c r="CY27810" s="34" t="s">
        <v>28736</v>
      </c>
      <c r="CZ27810" s="35">
        <v>4.7372619999999996E-4</v>
      </c>
    </row>
    <row r="27811" spans="103:104" x14ac:dyDescent="0.3">
      <c r="CY27811" s="34" t="s">
        <v>28737</v>
      </c>
      <c r="CZ27811" s="35">
        <v>5.5804044444444456E-4</v>
      </c>
    </row>
    <row r="27812" spans="103:104" x14ac:dyDescent="0.3">
      <c r="CY27812" s="34" t="s">
        <v>28738</v>
      </c>
      <c r="CZ27812" s="35">
        <v>5.8381460000000009E-4</v>
      </c>
    </row>
    <row r="27813" spans="103:104" x14ac:dyDescent="0.3">
      <c r="CY27813" s="34" t="s">
        <v>28739</v>
      </c>
      <c r="CZ27813" s="35">
        <v>0.12100803999999998</v>
      </c>
    </row>
    <row r="27814" spans="103:104" x14ac:dyDescent="0.3">
      <c r="CY27814" s="34" t="s">
        <v>28740</v>
      </c>
      <c r="CZ27814" s="35">
        <v>3.6713532592592586E-3</v>
      </c>
    </row>
    <row r="27815" spans="103:104" x14ac:dyDescent="0.3">
      <c r="CY27815" s="34" t="s">
        <v>28741</v>
      </c>
      <c r="CZ27815" s="35">
        <v>1.0077318999999999E-3</v>
      </c>
    </row>
    <row r="27816" spans="103:104" x14ac:dyDescent="0.3">
      <c r="CY27816" s="34" t="s">
        <v>28742</v>
      </c>
      <c r="CZ27816" s="35">
        <v>1.2081731599999999E-2</v>
      </c>
    </row>
    <row r="27817" spans="103:104" x14ac:dyDescent="0.3">
      <c r="CY27817" s="34" t="s">
        <v>28743</v>
      </c>
      <c r="CZ27817" s="35">
        <v>1.409695E-2</v>
      </c>
    </row>
    <row r="27818" spans="103:104" x14ac:dyDescent="0.3">
      <c r="CY27818" s="34" t="s">
        <v>28744</v>
      </c>
      <c r="CZ27818" s="35">
        <v>5.02719E-4</v>
      </c>
    </row>
    <row r="27819" spans="103:104" x14ac:dyDescent="0.3">
      <c r="CY27819" s="34" t="s">
        <v>28745</v>
      </c>
      <c r="CZ27819" s="35">
        <v>6.3878214000000005E-4</v>
      </c>
    </row>
    <row r="27820" spans="103:104" x14ac:dyDescent="0.3">
      <c r="CY27820" s="34" t="s">
        <v>28746</v>
      </c>
      <c r="CZ27820" s="35">
        <v>1.1671558000000001E-3</v>
      </c>
    </row>
    <row r="27821" spans="103:104" x14ac:dyDescent="0.3">
      <c r="CY27821" s="34" t="s">
        <v>28747</v>
      </c>
      <c r="CZ27821" s="35">
        <v>4.39350952E-3</v>
      </c>
    </row>
    <row r="27822" spans="103:104" x14ac:dyDescent="0.3">
      <c r="CY27822" s="34" t="s">
        <v>28748</v>
      </c>
      <c r="CZ27822" s="35">
        <v>4.39350952E-3</v>
      </c>
    </row>
    <row r="27823" spans="103:104" x14ac:dyDescent="0.3">
      <c r="CY27823" s="34" t="s">
        <v>28749</v>
      </c>
      <c r="CZ27823" s="35">
        <v>8.1763920000000011E-3</v>
      </c>
    </row>
    <row r="27824" spans="103:104" x14ac:dyDescent="0.3">
      <c r="CY27824" s="34" t="s">
        <v>28750</v>
      </c>
      <c r="CZ27824" s="35">
        <v>8.1763920000000011E-3</v>
      </c>
    </row>
    <row r="27825" spans="103:104" x14ac:dyDescent="0.3">
      <c r="CY27825" s="34" t="s">
        <v>28751</v>
      </c>
      <c r="CZ27825" s="35">
        <v>1.2030671999999999E-2</v>
      </c>
    </row>
    <row r="27826" spans="103:104" x14ac:dyDescent="0.3">
      <c r="CY27826" s="34" t="s">
        <v>28752</v>
      </c>
      <c r="CZ27826" s="35">
        <v>1.2030672000000001E-2</v>
      </c>
    </row>
    <row r="27827" spans="103:104" x14ac:dyDescent="0.3">
      <c r="CY27827" s="34" t="s">
        <v>28753</v>
      </c>
      <c r="CZ27827" s="35">
        <v>4.0878036266666666E-3</v>
      </c>
    </row>
    <row r="27828" spans="103:104" x14ac:dyDescent="0.3">
      <c r="CY27828" s="34" t="s">
        <v>28754</v>
      </c>
      <c r="CZ27828" s="35">
        <v>4.0878036266666666E-3</v>
      </c>
    </row>
    <row r="27829" spans="103:104" x14ac:dyDescent="0.3">
      <c r="CY27829" s="34" t="s">
        <v>28755</v>
      </c>
      <c r="CZ27829" s="35">
        <v>1.6978983635882352E-3</v>
      </c>
    </row>
    <row r="27830" spans="103:104" x14ac:dyDescent="0.3">
      <c r="CY27830" s="34" t="s">
        <v>28756</v>
      </c>
      <c r="CZ27830" s="35">
        <v>1.697898363588235E-3</v>
      </c>
    </row>
    <row r="27831" spans="103:104" x14ac:dyDescent="0.3">
      <c r="CY27831" s="34" t="s">
        <v>28757</v>
      </c>
      <c r="CZ27831" s="35">
        <v>2.14256944E-3</v>
      </c>
    </row>
    <row r="27832" spans="103:104" x14ac:dyDescent="0.3">
      <c r="CY27832" s="34" t="s">
        <v>28758</v>
      </c>
      <c r="CZ27832" s="35">
        <v>5.5952252631578953E-3</v>
      </c>
    </row>
    <row r="27833" spans="103:104" x14ac:dyDescent="0.3">
      <c r="CY27833" s="34" t="s">
        <v>28759</v>
      </c>
      <c r="CZ27833" s="35">
        <v>3.1732656E-3</v>
      </c>
    </row>
    <row r="27834" spans="103:104" x14ac:dyDescent="0.3">
      <c r="CY27834" s="34" t="s">
        <v>28760</v>
      </c>
      <c r="CZ27834" s="35">
        <v>2.8288799999999997E-4</v>
      </c>
    </row>
    <row r="27835" spans="103:104" x14ac:dyDescent="0.3">
      <c r="CY27835" s="34" t="s">
        <v>28761</v>
      </c>
      <c r="CZ27835" s="35">
        <v>1.0759039999999999E-3</v>
      </c>
    </row>
    <row r="27836" spans="103:104" x14ac:dyDescent="0.3">
      <c r="CY27836" s="34" t="s">
        <v>28762</v>
      </c>
      <c r="CZ27836" s="35">
        <v>3.2103994666666667E-3</v>
      </c>
    </row>
    <row r="27837" spans="103:104" x14ac:dyDescent="0.3">
      <c r="CY27837" s="34" t="s">
        <v>28763</v>
      </c>
      <c r="CZ27837" s="35">
        <v>0.11856266105263159</v>
      </c>
    </row>
    <row r="27838" spans="103:104" x14ac:dyDescent="0.3">
      <c r="CY27838" s="34" t="s">
        <v>28764</v>
      </c>
      <c r="CZ27838" s="35">
        <v>3.4221996666666671E-3</v>
      </c>
    </row>
    <row r="27839" spans="103:104" x14ac:dyDescent="0.3">
      <c r="CY27839" s="34" t="s">
        <v>28765</v>
      </c>
      <c r="CZ27839" s="35">
        <v>5.5706861999999996E-2</v>
      </c>
    </row>
    <row r="27840" spans="103:104" x14ac:dyDescent="0.3">
      <c r="CY27840" s="34" t="s">
        <v>28766</v>
      </c>
      <c r="CZ27840" s="35">
        <v>5.5296953600000004E-2</v>
      </c>
    </row>
    <row r="27841" spans="103:104" x14ac:dyDescent="0.3">
      <c r="CY27841" s="34" t="s">
        <v>28767</v>
      </c>
      <c r="CZ27841" s="35">
        <v>2.5938650399999996E-2</v>
      </c>
    </row>
    <row r="27842" spans="103:104" x14ac:dyDescent="0.3">
      <c r="CY27842" s="34" t="s">
        <v>28768</v>
      </c>
      <c r="CZ27842" s="35">
        <v>5.0831637999999998E-2</v>
      </c>
    </row>
    <row r="27843" spans="103:104" x14ac:dyDescent="0.3">
      <c r="CY27843" s="34" t="s">
        <v>28769</v>
      </c>
      <c r="CZ27843" s="35">
        <v>0.66844808</v>
      </c>
    </row>
    <row r="27844" spans="103:104" x14ac:dyDescent="0.3">
      <c r="CY27844" s="34" t="s">
        <v>28770</v>
      </c>
      <c r="CZ27844" s="35">
        <v>0.39181635500000001</v>
      </c>
    </row>
    <row r="27845" spans="103:104" x14ac:dyDescent="0.3">
      <c r="CY27845" s="34" t="s">
        <v>28771</v>
      </c>
      <c r="CZ27845" s="35">
        <v>9.9267600000000015E-3</v>
      </c>
    </row>
    <row r="27846" spans="103:104" x14ac:dyDescent="0.3">
      <c r="CY27846" s="34" t="s">
        <v>28772</v>
      </c>
      <c r="CZ27846" s="35">
        <v>2.1020385999999999E-3</v>
      </c>
    </row>
    <row r="27847" spans="103:104" x14ac:dyDescent="0.3">
      <c r="CY27847" s="34" t="s">
        <v>28773</v>
      </c>
      <c r="CZ27847" s="35">
        <v>2.1020385999999999E-3</v>
      </c>
    </row>
    <row r="27848" spans="103:104" x14ac:dyDescent="0.3">
      <c r="CY27848" s="34" t="s">
        <v>28774</v>
      </c>
      <c r="CZ27848" s="35">
        <v>7.8887135999999999E-4</v>
      </c>
    </row>
    <row r="27849" spans="103:104" x14ac:dyDescent="0.3">
      <c r="CY27849" s="34" t="s">
        <v>28775</v>
      </c>
      <c r="CZ27849" s="35">
        <v>4.4229972E-4</v>
      </c>
    </row>
    <row r="27850" spans="103:104" x14ac:dyDescent="0.3">
      <c r="CY27850" s="34" t="s">
        <v>28776</v>
      </c>
      <c r="CZ27850" s="35">
        <v>1.65718716E-2</v>
      </c>
    </row>
    <row r="27851" spans="103:104" x14ac:dyDescent="0.3">
      <c r="CY27851" s="34" t="s">
        <v>28777</v>
      </c>
      <c r="CZ27851" s="35">
        <v>1.2895537333333332E-3</v>
      </c>
    </row>
    <row r="27852" spans="103:104" x14ac:dyDescent="0.3">
      <c r="CY27852" s="34" t="s">
        <v>28778</v>
      </c>
      <c r="CZ27852" s="35">
        <v>4.5845648400000001E-2</v>
      </c>
    </row>
    <row r="27853" spans="103:104" x14ac:dyDescent="0.3">
      <c r="CY27853" s="34" t="s">
        <v>28779</v>
      </c>
      <c r="CZ27853" s="35">
        <v>0.41223142133333335</v>
      </c>
    </row>
    <row r="27854" spans="103:104" x14ac:dyDescent="0.3">
      <c r="CY27854" s="34" t="s">
        <v>28780</v>
      </c>
      <c r="CZ27854" s="35">
        <v>0.40183578933333336</v>
      </c>
    </row>
    <row r="27855" spans="103:104" x14ac:dyDescent="0.3">
      <c r="CY27855" s="34" t="s">
        <v>28781</v>
      </c>
      <c r="CZ27855" s="35">
        <v>2.2196596000000002E-2</v>
      </c>
    </row>
    <row r="27856" spans="103:104" x14ac:dyDescent="0.3">
      <c r="CY27856" s="34" t="s">
        <v>28782</v>
      </c>
      <c r="CZ27856" s="35">
        <v>1.7887071999999997E-2</v>
      </c>
    </row>
    <row r="27857" spans="103:104" x14ac:dyDescent="0.3">
      <c r="CY27857" s="34" t="s">
        <v>28783</v>
      </c>
      <c r="CZ27857" s="35">
        <v>9.5651079999999992E-3</v>
      </c>
    </row>
    <row r="27858" spans="103:104" x14ac:dyDescent="0.3">
      <c r="CY27858" s="34" t="s">
        <v>28784</v>
      </c>
      <c r="CZ27858" s="35">
        <v>1.4370933999999999E-3</v>
      </c>
    </row>
    <row r="27859" spans="103:104" x14ac:dyDescent="0.3">
      <c r="CY27859" s="34" t="s">
        <v>28785</v>
      </c>
      <c r="CZ27859" s="35">
        <v>1.7361722000000001E-3</v>
      </c>
    </row>
    <row r="27860" spans="103:104" x14ac:dyDescent="0.3">
      <c r="CY27860" s="34" t="s">
        <v>28786</v>
      </c>
      <c r="CZ27860" s="35">
        <v>8.2340159999999996E-4</v>
      </c>
    </row>
    <row r="27861" spans="103:104" x14ac:dyDescent="0.3">
      <c r="CY27861" s="34" t="s">
        <v>28787</v>
      </c>
      <c r="CZ27861" s="35">
        <v>3.9016125999999998E-3</v>
      </c>
    </row>
    <row r="27862" spans="103:104" x14ac:dyDescent="0.3">
      <c r="CY27862" s="34" t="s">
        <v>28788</v>
      </c>
      <c r="CZ27862" s="35">
        <v>0.24993111999999998</v>
      </c>
    </row>
    <row r="27863" spans="103:104" x14ac:dyDescent="0.3">
      <c r="CY27863" s="34" t="s">
        <v>28789</v>
      </c>
      <c r="CZ27863" s="35">
        <v>0.27275080000000002</v>
      </c>
    </row>
    <row r="27864" spans="103:104" x14ac:dyDescent="0.3">
      <c r="CY27864" s="34" t="s">
        <v>28790</v>
      </c>
      <c r="CZ27864" s="35">
        <v>2.8387720000000003E-3</v>
      </c>
    </row>
    <row r="27865" spans="103:104" x14ac:dyDescent="0.3">
      <c r="CY27865" s="34" t="s">
        <v>28791</v>
      </c>
      <c r="CZ27865" s="35">
        <v>2.8387720000000003E-3</v>
      </c>
    </row>
    <row r="27866" spans="103:104" x14ac:dyDescent="0.3">
      <c r="CY27866" s="34" t="s">
        <v>28792</v>
      </c>
      <c r="CZ27866" s="35">
        <v>0.23510035199999996</v>
      </c>
    </row>
    <row r="27867" spans="103:104" x14ac:dyDescent="0.3">
      <c r="CY27867" s="34" t="s">
        <v>28793</v>
      </c>
      <c r="CZ27867" s="35">
        <v>1.1558220559999997E-3</v>
      </c>
    </row>
    <row r="27868" spans="103:104" x14ac:dyDescent="0.3">
      <c r="CY27868" s="34" t="s">
        <v>28794</v>
      </c>
      <c r="CZ27868" s="35">
        <v>1.1558220559999999E-3</v>
      </c>
    </row>
    <row r="27869" spans="103:104" x14ac:dyDescent="0.3">
      <c r="CY27869" s="34" t="s">
        <v>28795</v>
      </c>
      <c r="CZ27869" s="35">
        <v>3.9486090000000001E-2</v>
      </c>
    </row>
    <row r="27870" spans="103:104" x14ac:dyDescent="0.3">
      <c r="CY27870" s="34" t="s">
        <v>28796</v>
      </c>
      <c r="CZ27870" s="35">
        <v>5.35221736E-2</v>
      </c>
    </row>
    <row r="27871" spans="103:104" x14ac:dyDescent="0.3">
      <c r="CY27871" s="34" t="s">
        <v>28797</v>
      </c>
      <c r="CZ27871" s="35">
        <v>0.49350774000000003</v>
      </c>
    </row>
    <row r="27872" spans="103:104" x14ac:dyDescent="0.3">
      <c r="CY27872" s="34" t="s">
        <v>28798</v>
      </c>
      <c r="CZ27872" s="35">
        <v>3.392470999999999E-2</v>
      </c>
    </row>
    <row r="27873" spans="103:104" x14ac:dyDescent="0.3">
      <c r="CY27873" s="34" t="s">
        <v>28799</v>
      </c>
      <c r="CZ27873" s="35">
        <v>0.12652380867999999</v>
      </c>
    </row>
    <row r="27874" spans="103:104" x14ac:dyDescent="0.3">
      <c r="CY27874" s="34" t="s">
        <v>28800</v>
      </c>
      <c r="CZ27874" s="35">
        <v>2.2194000000000003E-3</v>
      </c>
    </row>
    <row r="27875" spans="103:104" x14ac:dyDescent="0.3">
      <c r="CY27875" s="34" t="s">
        <v>28801</v>
      </c>
      <c r="CZ27875" s="35">
        <v>9.3691408000000004E-2</v>
      </c>
    </row>
    <row r="27876" spans="103:104" x14ac:dyDescent="0.3">
      <c r="CY27876" s="34" t="s">
        <v>28802</v>
      </c>
      <c r="CZ27876" s="35">
        <v>9.3691408000000004E-2</v>
      </c>
    </row>
    <row r="27877" spans="103:104" x14ac:dyDescent="0.3">
      <c r="CY27877" s="34" t="s">
        <v>28803</v>
      </c>
      <c r="CZ27877" s="35">
        <v>9.3691408000000004E-2</v>
      </c>
    </row>
    <row r="27878" spans="103:104" x14ac:dyDescent="0.3">
      <c r="CY27878" s="34" t="s">
        <v>28804</v>
      </c>
      <c r="CZ27878" s="35">
        <v>9.3691408000000004E-2</v>
      </c>
    </row>
    <row r="27879" spans="103:104" x14ac:dyDescent="0.3">
      <c r="CY27879" s="34" t="s">
        <v>28805</v>
      </c>
      <c r="CZ27879" s="35">
        <v>9.3691408000000004E-2</v>
      </c>
    </row>
    <row r="27880" spans="103:104" x14ac:dyDescent="0.3">
      <c r="CY27880" s="34" t="s">
        <v>28806</v>
      </c>
      <c r="CZ27880" s="35">
        <v>0.94954971599999993</v>
      </c>
    </row>
    <row r="27881" spans="103:104" x14ac:dyDescent="0.3">
      <c r="CY27881" s="34" t="s">
        <v>28807</v>
      </c>
      <c r="CZ27881" s="35">
        <v>0.31563186939999999</v>
      </c>
    </row>
    <row r="27882" spans="103:104" x14ac:dyDescent="0.3">
      <c r="CY27882" s="34" t="s">
        <v>28808</v>
      </c>
      <c r="CZ27882" s="35">
        <v>9.0729894000000002E-3</v>
      </c>
    </row>
    <row r="27883" spans="103:104" x14ac:dyDescent="0.3">
      <c r="CY27883" s="34" t="s">
        <v>28809</v>
      </c>
      <c r="CZ27883" s="35">
        <v>4.3319297999999998E-4</v>
      </c>
    </row>
    <row r="27884" spans="103:104" x14ac:dyDescent="0.3">
      <c r="CY27884" s="34" t="s">
        <v>28810</v>
      </c>
      <c r="CZ27884" s="35">
        <v>1.8424481555555556E-3</v>
      </c>
    </row>
    <row r="27885" spans="103:104" x14ac:dyDescent="0.3">
      <c r="CY27885" s="34" t="s">
        <v>28811</v>
      </c>
      <c r="CZ27885" s="35">
        <v>2.8832543999999998E-2</v>
      </c>
    </row>
    <row r="27886" spans="103:104" x14ac:dyDescent="0.3">
      <c r="CY27886" s="34" t="s">
        <v>28812</v>
      </c>
      <c r="CZ27886" s="35">
        <v>6.6734611111111111E-3</v>
      </c>
    </row>
    <row r="27887" spans="103:104" x14ac:dyDescent="0.3">
      <c r="CY27887" s="34" t="s">
        <v>28813</v>
      </c>
      <c r="CZ27887" s="35">
        <v>1.0924698799999999E-2</v>
      </c>
    </row>
    <row r="27888" spans="103:104" x14ac:dyDescent="0.3">
      <c r="CY27888" s="34" t="s">
        <v>28814</v>
      </c>
      <c r="CZ27888" s="35">
        <v>1.3904302E-2</v>
      </c>
    </row>
    <row r="27889" spans="103:104" x14ac:dyDescent="0.3">
      <c r="CY27889" s="34" t="s">
        <v>28815</v>
      </c>
      <c r="CZ27889" s="35">
        <v>1.4196802E-2</v>
      </c>
    </row>
    <row r="27890" spans="103:104" x14ac:dyDescent="0.3">
      <c r="CY27890" s="34" t="s">
        <v>28816</v>
      </c>
      <c r="CZ27890" s="35">
        <v>1.48190747E-2</v>
      </c>
    </row>
    <row r="27891" spans="103:104" x14ac:dyDescent="0.3">
      <c r="CY27891" s="34" t="s">
        <v>28817</v>
      </c>
      <c r="CZ27891" s="35">
        <v>2.3372892800000003E-2</v>
      </c>
    </row>
    <row r="27892" spans="103:104" x14ac:dyDescent="0.3">
      <c r="CY27892" s="34" t="s">
        <v>28818</v>
      </c>
      <c r="CZ27892" s="35">
        <v>4.7450477999999999E-3</v>
      </c>
    </row>
    <row r="27893" spans="103:104" x14ac:dyDescent="0.3">
      <c r="CY27893" s="34" t="s">
        <v>28819</v>
      </c>
      <c r="CZ27893" s="35">
        <v>0.19780553555555555</v>
      </c>
    </row>
    <row r="27894" spans="103:104" x14ac:dyDescent="0.3">
      <c r="CY27894" s="34" t="s">
        <v>28820</v>
      </c>
      <c r="CZ27894" s="35">
        <v>6.8803520000000007E-2</v>
      </c>
    </row>
    <row r="27895" spans="103:104" x14ac:dyDescent="0.3">
      <c r="CY27895" s="34" t="s">
        <v>28821</v>
      </c>
      <c r="CZ27895" s="35">
        <v>2.9124625500000004E-2</v>
      </c>
    </row>
    <row r="27896" spans="103:104" x14ac:dyDescent="0.3">
      <c r="CY27896" s="34" t="s">
        <v>28822</v>
      </c>
      <c r="CZ27896" s="35">
        <v>5.3944748000000001E-3</v>
      </c>
    </row>
    <row r="27897" spans="103:104" x14ac:dyDescent="0.3">
      <c r="CY27897" s="34" t="s">
        <v>28823</v>
      </c>
      <c r="CZ27897" s="35">
        <v>1.2614517600000002E-2</v>
      </c>
    </row>
    <row r="27898" spans="103:104" x14ac:dyDescent="0.3">
      <c r="CY27898" s="34" t="s">
        <v>28824</v>
      </c>
      <c r="CZ27898" s="35">
        <v>0.15195581714285716</v>
      </c>
    </row>
    <row r="27899" spans="103:104" x14ac:dyDescent="0.3">
      <c r="CY27899" s="34" t="s">
        <v>28825</v>
      </c>
      <c r="CZ27899" s="35">
        <v>0.15321116799999998</v>
      </c>
    </row>
    <row r="27900" spans="103:104" x14ac:dyDescent="0.3">
      <c r="CY27900" s="34" t="s">
        <v>28826</v>
      </c>
      <c r="CZ27900" s="35">
        <v>6.8552235789473698E-2</v>
      </c>
    </row>
    <row r="27901" spans="103:104" x14ac:dyDescent="0.3">
      <c r="CY27901" s="34" t="s">
        <v>28827</v>
      </c>
      <c r="CZ27901" s="35">
        <v>0.20328794666666664</v>
      </c>
    </row>
    <row r="27902" spans="103:104" x14ac:dyDescent="0.3">
      <c r="CY27902" s="34" t="s">
        <v>28828</v>
      </c>
      <c r="CZ27902" s="35">
        <v>2.7274E-2</v>
      </c>
    </row>
    <row r="27903" spans="103:104" x14ac:dyDescent="0.3">
      <c r="CY27903" s="34" t="s">
        <v>28829</v>
      </c>
      <c r="CZ27903" s="35">
        <v>2.2432199999999999E-2</v>
      </c>
    </row>
    <row r="27904" spans="103:104" x14ac:dyDescent="0.3">
      <c r="CY27904" s="34" t="s">
        <v>28830</v>
      </c>
      <c r="CZ27904" s="35">
        <v>3.25055E-2</v>
      </c>
    </row>
    <row r="27905" spans="103:104" x14ac:dyDescent="0.3">
      <c r="CY27905" s="34" t="s">
        <v>28831</v>
      </c>
      <c r="CZ27905" s="35">
        <v>0.54120498499999992</v>
      </c>
    </row>
    <row r="27906" spans="103:104" x14ac:dyDescent="0.3">
      <c r="CY27906" s="34" t="s">
        <v>28832</v>
      </c>
      <c r="CZ27906" s="35">
        <v>0.54120498499999992</v>
      </c>
    </row>
    <row r="27907" spans="103:104" x14ac:dyDescent="0.3">
      <c r="CY27907" s="34" t="s">
        <v>28833</v>
      </c>
      <c r="CZ27907" s="35">
        <v>0.69207842600000002</v>
      </c>
    </row>
    <row r="27908" spans="103:104" x14ac:dyDescent="0.3">
      <c r="CY27908" s="34" t="s">
        <v>28834</v>
      </c>
      <c r="CZ27908" s="35">
        <v>4.8707220260000003E-2</v>
      </c>
    </row>
    <row r="27909" spans="103:104" x14ac:dyDescent="0.3">
      <c r="CY27909" s="34" t="s">
        <v>28835</v>
      </c>
      <c r="CZ27909" s="35">
        <v>0.18032237473684212</v>
      </c>
    </row>
    <row r="27910" spans="103:104" x14ac:dyDescent="0.3">
      <c r="CY27910" s="34" t="s">
        <v>28836</v>
      </c>
      <c r="CZ27910" s="35">
        <v>1.6157578947368426E-2</v>
      </c>
    </row>
    <row r="27911" spans="103:104" x14ac:dyDescent="0.3">
      <c r="CY27911" s="34" t="s">
        <v>28837</v>
      </c>
      <c r="CZ27911" s="35">
        <v>0.16752262599999998</v>
      </c>
    </row>
    <row r="27912" spans="103:104" x14ac:dyDescent="0.3">
      <c r="CY27912" s="34" t="s">
        <v>28838</v>
      </c>
      <c r="CZ27912" s="35">
        <v>1.9742689999999999E-3</v>
      </c>
    </row>
    <row r="27913" spans="103:104" x14ac:dyDescent="0.3">
      <c r="CY27913" s="34" t="s">
        <v>28839</v>
      </c>
      <c r="CZ27913" s="35">
        <v>1.2993016E-2</v>
      </c>
    </row>
    <row r="27914" spans="103:104" x14ac:dyDescent="0.3">
      <c r="CY27914" s="34" t="s">
        <v>28840</v>
      </c>
      <c r="CZ27914" s="35">
        <v>4.1441742499999996E-2</v>
      </c>
    </row>
    <row r="27915" spans="103:104" x14ac:dyDescent="0.3">
      <c r="CY27915" s="34" t="s">
        <v>28841</v>
      </c>
      <c r="CZ27915" s="35">
        <v>2.9551229999999996E-3</v>
      </c>
    </row>
    <row r="27916" spans="103:104" x14ac:dyDescent="0.3">
      <c r="CY27916" s="34" t="s">
        <v>28842</v>
      </c>
      <c r="CZ27916" s="35">
        <v>9.5686751999999986E-2</v>
      </c>
    </row>
    <row r="27917" spans="103:104" x14ac:dyDescent="0.3">
      <c r="CY27917" s="34" t="s">
        <v>28843</v>
      </c>
      <c r="CZ27917" s="35">
        <v>2.476453E-3</v>
      </c>
    </row>
    <row r="27918" spans="103:104" x14ac:dyDescent="0.3">
      <c r="CY27918" s="34" t="s">
        <v>28844</v>
      </c>
      <c r="CZ27918" s="35">
        <v>2.0731205000000001E-3</v>
      </c>
    </row>
    <row r="27919" spans="103:104" x14ac:dyDescent="0.3">
      <c r="CY27919" s="34" t="s">
        <v>28845</v>
      </c>
      <c r="CZ27919" s="35">
        <v>6.2132769999999997E-3</v>
      </c>
    </row>
    <row r="27920" spans="103:104" x14ac:dyDescent="0.3">
      <c r="CY27920" s="34" t="s">
        <v>28846</v>
      </c>
      <c r="CZ27920" s="35">
        <v>1.38500176E-2</v>
      </c>
    </row>
    <row r="27921" spans="103:104" x14ac:dyDescent="0.3">
      <c r="CY27921" s="34" t="s">
        <v>28847</v>
      </c>
      <c r="CZ27921" s="35">
        <v>8.2722250000000011E-3</v>
      </c>
    </row>
    <row r="27922" spans="103:104" x14ac:dyDescent="0.3">
      <c r="CY27922" s="34" t="s">
        <v>28848</v>
      </c>
      <c r="CZ27922" s="35">
        <v>0.33453786700000004</v>
      </c>
    </row>
    <row r="27923" spans="103:104" x14ac:dyDescent="0.3">
      <c r="CY27923" s="34" t="s">
        <v>28849</v>
      </c>
      <c r="CZ27923" s="35">
        <v>7.8442431999999992E-2</v>
      </c>
    </row>
    <row r="27924" spans="103:104" x14ac:dyDescent="0.3">
      <c r="CY27924" s="34" t="s">
        <v>28850</v>
      </c>
      <c r="CZ27924" s="35">
        <v>3.0762016296296296E-2</v>
      </c>
    </row>
    <row r="27925" spans="103:104" x14ac:dyDescent="0.3">
      <c r="CY27925" s="34" t="s">
        <v>28851</v>
      </c>
      <c r="CZ27925" s="35">
        <v>3.2851852E-3</v>
      </c>
    </row>
    <row r="27926" spans="103:104" x14ac:dyDescent="0.3">
      <c r="CY27926" s="34" t="s">
        <v>28852</v>
      </c>
      <c r="CZ27926" s="35">
        <v>1.4363891111111114E-3</v>
      </c>
    </row>
    <row r="27927" spans="103:104" x14ac:dyDescent="0.3">
      <c r="CY27927" s="34" t="s">
        <v>28853</v>
      </c>
      <c r="CZ27927" s="35">
        <v>3.1200000000000004E-3</v>
      </c>
    </row>
    <row r="27928" spans="103:104" x14ac:dyDescent="0.3">
      <c r="CY27928" s="34" t="s">
        <v>28854</v>
      </c>
      <c r="CZ27928" s="35">
        <v>7.0649152000000007E-2</v>
      </c>
    </row>
    <row r="27929" spans="103:104" x14ac:dyDescent="0.3">
      <c r="CY27929" s="34" t="s">
        <v>28855</v>
      </c>
      <c r="CZ27929" s="35">
        <v>5.6564223999999996E-2</v>
      </c>
    </row>
    <row r="27930" spans="103:104" x14ac:dyDescent="0.3">
      <c r="CY27930" s="34" t="s">
        <v>28856</v>
      </c>
      <c r="CZ27930" s="35">
        <v>8.0821600000000007E-2</v>
      </c>
    </row>
    <row r="27931" spans="103:104" x14ac:dyDescent="0.3">
      <c r="CY27931" s="34" t="s">
        <v>28857</v>
      </c>
      <c r="CZ27931" s="35">
        <v>1.9295048999999998E-2</v>
      </c>
    </row>
    <row r="27932" spans="103:104" x14ac:dyDescent="0.3">
      <c r="CY27932" s="34" t="s">
        <v>28858</v>
      </c>
      <c r="CZ27932" s="35">
        <v>2.522926E-2</v>
      </c>
    </row>
    <row r="27933" spans="103:104" x14ac:dyDescent="0.3">
      <c r="CY27933" s="34" t="s">
        <v>28859</v>
      </c>
      <c r="CZ27933" s="35">
        <v>0.2402218186</v>
      </c>
    </row>
    <row r="27934" spans="103:104" x14ac:dyDescent="0.3">
      <c r="CY27934" s="34" t="s">
        <v>28860</v>
      </c>
      <c r="CZ27934" s="35">
        <v>6.9166665999999995E-3</v>
      </c>
    </row>
    <row r="27935" spans="103:104" x14ac:dyDescent="0.3">
      <c r="CY27935" s="34" t="s">
        <v>28861</v>
      </c>
      <c r="CZ27935" s="35">
        <v>0.27972695860000002</v>
      </c>
    </row>
    <row r="27936" spans="103:104" x14ac:dyDescent="0.3">
      <c r="CY27936" s="34" t="s">
        <v>28862</v>
      </c>
      <c r="CZ27936" s="35">
        <v>1.7420768E-2</v>
      </c>
    </row>
    <row r="27937" spans="103:104" x14ac:dyDescent="0.3">
      <c r="CY27937" s="34" t="s">
        <v>28863</v>
      </c>
      <c r="CZ27937" s="35">
        <v>1.7262584000000001E-2</v>
      </c>
    </row>
    <row r="27938" spans="103:104" x14ac:dyDescent="0.3">
      <c r="CY27938" s="34" t="s">
        <v>28864</v>
      </c>
      <c r="CZ27938" s="35">
        <v>1.7104399999999999E-2</v>
      </c>
    </row>
    <row r="27939" spans="103:104" x14ac:dyDescent="0.3">
      <c r="CY27939" s="34" t="s">
        <v>28865</v>
      </c>
      <c r="CZ27939" s="35">
        <v>0.35150084499999995</v>
      </c>
    </row>
    <row r="27940" spans="103:104" x14ac:dyDescent="0.3">
      <c r="CY27940" s="34" t="s">
        <v>28866</v>
      </c>
      <c r="CZ27940" s="35">
        <v>0.41686087999999993</v>
      </c>
    </row>
    <row r="27941" spans="103:104" x14ac:dyDescent="0.3">
      <c r="CY27941" s="34" t="s">
        <v>28867</v>
      </c>
      <c r="CZ27941" s="35">
        <v>0</v>
      </c>
    </row>
    <row r="27942" spans="103:104" x14ac:dyDescent="0.3">
      <c r="CY27942" s="34" t="s">
        <v>28868</v>
      </c>
      <c r="CZ27942" s="35">
        <v>2.1263841999999995E-3</v>
      </c>
    </row>
    <row r="27943" spans="103:104" x14ac:dyDescent="0.3">
      <c r="CY27943" s="34" t="s">
        <v>28869</v>
      </c>
      <c r="CZ27943" s="35">
        <v>1.7410194999999999E-3</v>
      </c>
    </row>
    <row r="27944" spans="103:104" x14ac:dyDescent="0.3">
      <c r="CY27944" s="34" t="s">
        <v>28870</v>
      </c>
      <c r="CZ27944" s="35">
        <v>1.676536E-3</v>
      </c>
    </row>
    <row r="27945" spans="103:104" x14ac:dyDescent="0.3">
      <c r="CY27945" s="34" t="s">
        <v>28871</v>
      </c>
      <c r="CZ27945" s="35">
        <v>6.8803520000000007E-2</v>
      </c>
    </row>
    <row r="27946" spans="103:104" x14ac:dyDescent="0.3">
      <c r="CY27946" s="34" t="s">
        <v>28872</v>
      </c>
      <c r="CZ27946" s="35">
        <v>9.6141824000000008E-3</v>
      </c>
    </row>
    <row r="27947" spans="103:104" x14ac:dyDescent="0.3">
      <c r="CY27947" s="34" t="s">
        <v>28873</v>
      </c>
      <c r="CZ27947" s="35">
        <v>7.2282773333333331E-3</v>
      </c>
    </row>
    <row r="27948" spans="103:104" x14ac:dyDescent="0.3">
      <c r="CY27948" s="34" t="s">
        <v>28874</v>
      </c>
      <c r="CZ27948" s="35">
        <v>1.6250951999999999E-2</v>
      </c>
    </row>
    <row r="27949" spans="103:104" x14ac:dyDescent="0.3">
      <c r="CY27949" s="34" t="s">
        <v>28875</v>
      </c>
      <c r="CZ27949" s="35">
        <v>9.8091340000000006E-3</v>
      </c>
    </row>
    <row r="27950" spans="103:104" x14ac:dyDescent="0.3">
      <c r="CY27950" s="34" t="s">
        <v>28876</v>
      </c>
      <c r="CZ27950" s="35">
        <v>1.4090270000000001E-4</v>
      </c>
    </row>
    <row r="27951" spans="103:104" x14ac:dyDescent="0.3">
      <c r="CY27951" s="34" t="s">
        <v>28877</v>
      </c>
      <c r="CZ27951" s="35">
        <v>6.7681464000000002E-3</v>
      </c>
    </row>
    <row r="27952" spans="103:104" x14ac:dyDescent="0.3">
      <c r="CY27952" s="34" t="s">
        <v>28878</v>
      </c>
      <c r="CZ27952" s="35">
        <v>0.151075925</v>
      </c>
    </row>
    <row r="27953" spans="103:104" x14ac:dyDescent="0.3">
      <c r="CY27953" s="34" t="s">
        <v>28879</v>
      </c>
      <c r="CZ27953" s="35">
        <v>3.0858460000000001E-2</v>
      </c>
    </row>
    <row r="27954" spans="103:104" x14ac:dyDescent="0.3">
      <c r="CY27954" s="34" t="s">
        <v>28880</v>
      </c>
      <c r="CZ27954" s="35">
        <v>3.0858460000000001E-2</v>
      </c>
    </row>
    <row r="27955" spans="103:104" x14ac:dyDescent="0.3">
      <c r="CY27955" s="34" t="s">
        <v>28881</v>
      </c>
      <c r="CZ27955" s="35">
        <v>4.2459999999999998E-3</v>
      </c>
    </row>
    <row r="27956" spans="103:104" x14ac:dyDescent="0.3">
      <c r="CY27956" s="34" t="s">
        <v>28882</v>
      </c>
      <c r="CZ27956" s="35">
        <v>4.2459999999999998E-3</v>
      </c>
    </row>
    <row r="27957" spans="103:104" x14ac:dyDescent="0.3">
      <c r="CY27957" s="34" t="s">
        <v>28883</v>
      </c>
      <c r="CZ27957" s="35">
        <v>4.2459999999999998E-3</v>
      </c>
    </row>
    <row r="27958" spans="103:104" x14ac:dyDescent="0.3">
      <c r="CY27958" s="34" t="s">
        <v>28884</v>
      </c>
      <c r="CZ27958" s="35">
        <v>4.2459999999999998E-3</v>
      </c>
    </row>
    <row r="27959" spans="103:104" x14ac:dyDescent="0.3">
      <c r="CY27959" s="34" t="s">
        <v>28885</v>
      </c>
      <c r="CZ27959" s="35">
        <v>4.7234904199999995E-3</v>
      </c>
    </row>
    <row r="27960" spans="103:104" x14ac:dyDescent="0.3">
      <c r="CY27960" s="34" t="s">
        <v>28886</v>
      </c>
      <c r="CZ27960" s="35">
        <v>4.7234904200000004E-3</v>
      </c>
    </row>
    <row r="27961" spans="103:104" x14ac:dyDescent="0.3">
      <c r="CY27961" s="34" t="s">
        <v>28887</v>
      </c>
      <c r="CZ27961" s="35">
        <v>9.2952686666666667E-4</v>
      </c>
    </row>
    <row r="27962" spans="103:104" x14ac:dyDescent="0.3">
      <c r="CY27962" s="34" t="s">
        <v>28888</v>
      </c>
      <c r="CZ27962" s="35">
        <v>1.1559677333333332E-3</v>
      </c>
    </row>
    <row r="27963" spans="103:104" x14ac:dyDescent="0.3">
      <c r="CY27963" s="34" t="s">
        <v>28889</v>
      </c>
      <c r="CZ27963" s="35">
        <v>9.1471947999999996E-4</v>
      </c>
    </row>
    <row r="27964" spans="103:104" x14ac:dyDescent="0.3">
      <c r="CY27964" s="34" t="s">
        <v>28890</v>
      </c>
      <c r="CZ27964" s="35">
        <v>9.1471947999999996E-4</v>
      </c>
    </row>
    <row r="27965" spans="103:104" x14ac:dyDescent="0.3">
      <c r="CY27965" s="34" t="s">
        <v>28891</v>
      </c>
      <c r="CZ27965" s="35">
        <v>9.1471947999999996E-4</v>
      </c>
    </row>
    <row r="27966" spans="103:104" x14ac:dyDescent="0.3">
      <c r="CY27966" s="34" t="s">
        <v>28892</v>
      </c>
      <c r="CZ27966" s="35">
        <v>7.3373839999999995E-5</v>
      </c>
    </row>
    <row r="27967" spans="103:104" x14ac:dyDescent="0.3">
      <c r="CY27967" s="34" t="s">
        <v>28893</v>
      </c>
      <c r="CZ27967" s="35">
        <v>4.3749963999999998E-4</v>
      </c>
    </row>
    <row r="27968" spans="103:104" x14ac:dyDescent="0.3">
      <c r="CY27968" s="34" t="s">
        <v>28894</v>
      </c>
      <c r="CZ27968" s="35">
        <v>9.2066039999999984E-3</v>
      </c>
    </row>
    <row r="27969" spans="103:104" x14ac:dyDescent="0.3">
      <c r="CY27969" s="34" t="s">
        <v>28895</v>
      </c>
      <c r="CZ27969" s="35">
        <v>7.6328590000000002E-2</v>
      </c>
    </row>
    <row r="27970" spans="103:104" x14ac:dyDescent="0.3">
      <c r="CY27970" s="34" t="s">
        <v>28896</v>
      </c>
      <c r="CZ27970" s="35">
        <v>2.5675630000000001E-3</v>
      </c>
    </row>
    <row r="27971" spans="103:104" x14ac:dyDescent="0.3">
      <c r="CY27971" s="34" t="s">
        <v>28897</v>
      </c>
      <c r="CZ27971" s="35">
        <v>3.9439055999999993E-2</v>
      </c>
    </row>
    <row r="27972" spans="103:104" x14ac:dyDescent="0.3">
      <c r="CY27972" s="34" t="s">
        <v>28898</v>
      </c>
      <c r="CZ27972" s="35">
        <v>3.9690687000000002E-2</v>
      </c>
    </row>
    <row r="27973" spans="103:104" x14ac:dyDescent="0.3">
      <c r="CY27973" s="34" t="s">
        <v>28899</v>
      </c>
      <c r="CZ27973" s="35">
        <v>3.5751555999999997E-2</v>
      </c>
    </row>
    <row r="27974" spans="103:104" x14ac:dyDescent="0.3">
      <c r="CY27974" s="34" t="s">
        <v>28900</v>
      </c>
      <c r="CZ27974" s="35">
        <v>2.5860936000000001E-2</v>
      </c>
    </row>
    <row r="27975" spans="103:104" x14ac:dyDescent="0.3">
      <c r="CY27975" s="34" t="s">
        <v>28901</v>
      </c>
      <c r="CZ27975" s="35">
        <v>2.5860936000000001E-2</v>
      </c>
    </row>
    <row r="27976" spans="103:104" x14ac:dyDescent="0.3">
      <c r="CY27976" s="34" t="s">
        <v>28902</v>
      </c>
      <c r="CZ27976" s="35">
        <v>8.7163205319999992E-3</v>
      </c>
    </row>
    <row r="27977" spans="103:104" x14ac:dyDescent="0.3">
      <c r="CY27977" s="34" t="s">
        <v>28903</v>
      </c>
      <c r="CZ27977" s="35">
        <v>8.716320533333332E-3</v>
      </c>
    </row>
    <row r="27978" spans="103:104" x14ac:dyDescent="0.3">
      <c r="CY27978" s="34" t="s">
        <v>28904</v>
      </c>
      <c r="CZ27978" s="35">
        <v>2.9824503999999999E-3</v>
      </c>
    </row>
    <row r="27979" spans="103:104" x14ac:dyDescent="0.3">
      <c r="CY27979" s="34" t="s">
        <v>28905</v>
      </c>
      <c r="CZ27979" s="35">
        <v>2.9824504000000003E-3</v>
      </c>
    </row>
    <row r="27980" spans="103:104" x14ac:dyDescent="0.3">
      <c r="CY27980" s="34" t="s">
        <v>28906</v>
      </c>
      <c r="CZ27980" s="35">
        <v>3.8589023816425119E-3</v>
      </c>
    </row>
    <row r="27981" spans="103:104" x14ac:dyDescent="0.3">
      <c r="CY27981" s="34" t="s">
        <v>28907</v>
      </c>
      <c r="CZ27981" s="35">
        <v>0.60808006000000003</v>
      </c>
    </row>
    <row r="27982" spans="103:104" x14ac:dyDescent="0.3">
      <c r="CY27982" s="34" t="s">
        <v>28908</v>
      </c>
      <c r="CZ27982" s="35">
        <v>0.51338128000000005</v>
      </c>
    </row>
    <row r="27983" spans="103:104" x14ac:dyDescent="0.3">
      <c r="CY27983" s="34" t="s">
        <v>28909</v>
      </c>
      <c r="CZ27983" s="35">
        <v>0.45504333000000002</v>
      </c>
    </row>
    <row r="27984" spans="103:104" x14ac:dyDescent="0.3">
      <c r="CY27984" s="34" t="s">
        <v>28910</v>
      </c>
      <c r="CZ27984" s="35">
        <v>5.2475023999999995E-3</v>
      </c>
    </row>
    <row r="27985" spans="103:104" x14ac:dyDescent="0.3">
      <c r="CY27985" s="34" t="s">
        <v>28911</v>
      </c>
      <c r="CZ27985" s="35">
        <v>6.0876039999999999E-3</v>
      </c>
    </row>
    <row r="27986" spans="103:104" x14ac:dyDescent="0.3">
      <c r="CY27986" s="34" t="s">
        <v>28912</v>
      </c>
      <c r="CZ27986" s="35">
        <v>4.9686480000000009E-3</v>
      </c>
    </row>
    <row r="27987" spans="103:104" x14ac:dyDescent="0.3">
      <c r="CY27987" s="34" t="s">
        <v>28913</v>
      </c>
      <c r="CZ27987" s="35">
        <v>4.5430719999999996E-3</v>
      </c>
    </row>
    <row r="27988" spans="103:104" x14ac:dyDescent="0.3">
      <c r="CY27988" s="34" t="s">
        <v>28914</v>
      </c>
      <c r="CZ27988" s="35">
        <v>4.3986509999999998E-4</v>
      </c>
    </row>
    <row r="27989" spans="103:104" x14ac:dyDescent="0.3">
      <c r="CY27989" s="34" t="s">
        <v>28915</v>
      </c>
      <c r="CZ27989" s="35">
        <v>1.6608219999999997E-3</v>
      </c>
    </row>
    <row r="27990" spans="103:104" x14ac:dyDescent="0.3">
      <c r="CY27990" s="34" t="s">
        <v>28916</v>
      </c>
      <c r="CZ27990" s="35">
        <v>0.106389152</v>
      </c>
    </row>
    <row r="27991" spans="103:104" x14ac:dyDescent="0.3">
      <c r="CY27991" s="34" t="s">
        <v>28917</v>
      </c>
      <c r="CZ27991" s="35">
        <v>0.15104309599999999</v>
      </c>
    </row>
    <row r="27992" spans="103:104" x14ac:dyDescent="0.3">
      <c r="CY27992" s="34" t="s">
        <v>28918</v>
      </c>
      <c r="CZ27992" s="35">
        <v>2.8370789999999997E-3</v>
      </c>
    </row>
    <row r="27993" spans="103:104" x14ac:dyDescent="0.3">
      <c r="CY27993" s="34" t="s">
        <v>28919</v>
      </c>
      <c r="CZ27993" s="35">
        <v>0.576233</v>
      </c>
    </row>
    <row r="27994" spans="103:104" x14ac:dyDescent="0.3">
      <c r="CY27994" s="34" t="s">
        <v>28920</v>
      </c>
      <c r="CZ27994" s="35">
        <v>4.2420274999999995E-3</v>
      </c>
    </row>
    <row r="27995" spans="103:104" x14ac:dyDescent="0.3">
      <c r="CY27995" s="34" t="s">
        <v>28921</v>
      </c>
      <c r="CZ27995" s="35">
        <v>1.2712591999999998E-2</v>
      </c>
    </row>
    <row r="27996" spans="103:104" x14ac:dyDescent="0.3">
      <c r="CY27996" s="34" t="s">
        <v>28922</v>
      </c>
      <c r="CZ27996" s="35">
        <v>4.1919812000000001E-3</v>
      </c>
    </row>
    <row r="27997" spans="103:104" x14ac:dyDescent="0.3">
      <c r="CY27997" s="34" t="s">
        <v>28923</v>
      </c>
      <c r="CZ27997" s="35">
        <v>3.5473542800000001E-2</v>
      </c>
    </row>
    <row r="27998" spans="103:104" x14ac:dyDescent="0.3">
      <c r="CY27998" s="34" t="s">
        <v>28924</v>
      </c>
      <c r="CZ27998" s="35">
        <v>0.20270452</v>
      </c>
    </row>
    <row r="27999" spans="103:104" x14ac:dyDescent="0.3">
      <c r="CY27999" s="34" t="s">
        <v>28925</v>
      </c>
      <c r="CZ27999" s="35">
        <v>0.12588656584999997</v>
      </c>
    </row>
    <row r="28000" spans="103:104" x14ac:dyDescent="0.3">
      <c r="CY28000" s="34" t="s">
        <v>28926</v>
      </c>
      <c r="CZ28000" s="35">
        <v>0.10009560585000001</v>
      </c>
    </row>
    <row r="28001" spans="103:104" x14ac:dyDescent="0.3">
      <c r="CY28001" s="34" t="s">
        <v>28927</v>
      </c>
      <c r="CZ28001" s="35">
        <v>8.4360853333333326E-3</v>
      </c>
    </row>
    <row r="28002" spans="103:104" x14ac:dyDescent="0.3">
      <c r="CY28002" s="34" t="s">
        <v>28928</v>
      </c>
      <c r="CZ28002" s="35">
        <v>0.43808600000000003</v>
      </c>
    </row>
    <row r="28003" spans="103:104" x14ac:dyDescent="0.3">
      <c r="CY28003" s="34" t="s">
        <v>28929</v>
      </c>
      <c r="CZ28003" s="35">
        <v>3.3554162500000003E-3</v>
      </c>
    </row>
    <row r="28004" spans="103:104" x14ac:dyDescent="0.3">
      <c r="CY28004" s="34" t="s">
        <v>28930</v>
      </c>
      <c r="CZ28004" s="35">
        <v>1.26775312E-2</v>
      </c>
    </row>
    <row r="28005" spans="103:104" x14ac:dyDescent="0.3">
      <c r="CY28005" s="34" t="s">
        <v>28931</v>
      </c>
      <c r="CZ28005" s="35">
        <v>1.6479690657142859E-2</v>
      </c>
    </row>
    <row r="28006" spans="103:104" x14ac:dyDescent="0.3">
      <c r="CY28006" s="34" t="s">
        <v>28932</v>
      </c>
      <c r="CZ28006" s="35">
        <v>4.8604998000000003E-2</v>
      </c>
    </row>
    <row r="28007" spans="103:104" x14ac:dyDescent="0.3">
      <c r="CY28007" s="34" t="s">
        <v>28933</v>
      </c>
      <c r="CZ28007" s="35">
        <v>4.1554679999999998E-4</v>
      </c>
    </row>
    <row r="28008" spans="103:104" x14ac:dyDescent="0.3">
      <c r="CY28008" s="34" t="s">
        <v>28934</v>
      </c>
      <c r="CZ28008" s="35">
        <v>6.0999999999999997E-4</v>
      </c>
    </row>
    <row r="28009" spans="103:104" x14ac:dyDescent="0.3">
      <c r="CY28009" s="34" t="s">
        <v>28935</v>
      </c>
      <c r="CZ28009" s="35">
        <v>1.6482625000000001E-3</v>
      </c>
    </row>
    <row r="28010" spans="103:104" x14ac:dyDescent="0.3">
      <c r="CY28010" s="34" t="s">
        <v>28936</v>
      </c>
      <c r="CZ28010" s="35">
        <v>2.9802033066666664E-2</v>
      </c>
    </row>
    <row r="28011" spans="103:104" x14ac:dyDescent="0.3">
      <c r="CY28011" s="34" t="s">
        <v>28937</v>
      </c>
      <c r="CZ28011" s="35">
        <v>5.6386437333333331E-2</v>
      </c>
    </row>
    <row r="28012" spans="103:104" x14ac:dyDescent="0.3">
      <c r="CY28012" s="34" t="s">
        <v>28938</v>
      </c>
      <c r="CZ28012" s="35">
        <v>0.13988295466666667</v>
      </c>
    </row>
    <row r="28013" spans="103:104" x14ac:dyDescent="0.3">
      <c r="CY28013" s="34" t="s">
        <v>28939</v>
      </c>
      <c r="CZ28013" s="35">
        <v>0.30045424533333337</v>
      </c>
    </row>
    <row r="28014" spans="103:104" x14ac:dyDescent="0.3">
      <c r="CY28014" s="34" t="s">
        <v>28940</v>
      </c>
      <c r="CZ28014" s="35">
        <v>0.30045424533333337</v>
      </c>
    </row>
    <row r="28015" spans="103:104" x14ac:dyDescent="0.3">
      <c r="CY28015" s="34" t="s">
        <v>28941</v>
      </c>
      <c r="CZ28015" s="35">
        <v>2.8318950000000002E-2</v>
      </c>
    </row>
    <row r="28016" spans="103:104" x14ac:dyDescent="0.3">
      <c r="CY28016" s="34" t="s">
        <v>28942</v>
      </c>
      <c r="CZ28016" s="35">
        <v>1.5570646989999999</v>
      </c>
    </row>
    <row r="28017" spans="103:104" x14ac:dyDescent="0.3">
      <c r="CY28017" s="34" t="s">
        <v>28943</v>
      </c>
      <c r="CZ28017" s="35">
        <v>0.82104048400000007</v>
      </c>
    </row>
    <row r="28018" spans="103:104" x14ac:dyDescent="0.3">
      <c r="CY28018" s="34" t="s">
        <v>28944</v>
      </c>
      <c r="CZ28018" s="35">
        <v>0.51552374000000001</v>
      </c>
    </row>
    <row r="28019" spans="103:104" x14ac:dyDescent="0.3">
      <c r="CY28019" s="34" t="s">
        <v>28945</v>
      </c>
      <c r="CZ28019" s="35">
        <v>3.9538250000000002E-3</v>
      </c>
    </row>
    <row r="28020" spans="103:104" x14ac:dyDescent="0.3">
      <c r="CY28020" s="34" t="s">
        <v>28946</v>
      </c>
      <c r="CZ28020" s="35">
        <v>3.3580500000000004E-3</v>
      </c>
    </row>
    <row r="28021" spans="103:104" x14ac:dyDescent="0.3">
      <c r="CY28021" s="34" t="s">
        <v>28947</v>
      </c>
      <c r="CZ28021" s="35">
        <v>2.1436412E-3</v>
      </c>
    </row>
    <row r="28022" spans="103:104" x14ac:dyDescent="0.3">
      <c r="CY28022" s="34" t="s">
        <v>28948</v>
      </c>
      <c r="CZ28022" s="35">
        <v>1.4397207999999999E-3</v>
      </c>
    </row>
    <row r="28023" spans="103:104" x14ac:dyDescent="0.3">
      <c r="CY28023" s="34" t="s">
        <v>28949</v>
      </c>
      <c r="CZ28023" s="35">
        <v>8.8013480000000014E-4</v>
      </c>
    </row>
    <row r="28024" spans="103:104" x14ac:dyDescent="0.3">
      <c r="CY28024" s="34" t="s">
        <v>28950</v>
      </c>
      <c r="CZ28024" s="35">
        <v>9.9989000000000002E-4</v>
      </c>
    </row>
    <row r="28025" spans="103:104" x14ac:dyDescent="0.3">
      <c r="CY28025" s="34" t="s">
        <v>28951</v>
      </c>
      <c r="CZ28025" s="35">
        <v>1.5852500000000001E-3</v>
      </c>
    </row>
    <row r="28026" spans="103:104" x14ac:dyDescent="0.3">
      <c r="CY28026" s="34" t="s">
        <v>28952</v>
      </c>
      <c r="CZ28026" s="35">
        <v>1.9237148799999999E-2</v>
      </c>
    </row>
    <row r="28027" spans="103:104" x14ac:dyDescent="0.3">
      <c r="CY28027" s="34" t="s">
        <v>28953</v>
      </c>
      <c r="CZ28027" s="35">
        <v>1.3886199599999999E-2</v>
      </c>
    </row>
    <row r="28028" spans="103:104" x14ac:dyDescent="0.3">
      <c r="CY28028" s="34" t="s">
        <v>28954</v>
      </c>
      <c r="CZ28028" s="35">
        <v>2.2759440800000003E-2</v>
      </c>
    </row>
    <row r="28029" spans="103:104" x14ac:dyDescent="0.3">
      <c r="CY28029" s="34" t="s">
        <v>28955</v>
      </c>
      <c r="CZ28029" s="35">
        <v>6.4814324000000006E-2</v>
      </c>
    </row>
    <row r="28030" spans="103:104" x14ac:dyDescent="0.3">
      <c r="CY28030" s="34" t="s">
        <v>28956</v>
      </c>
      <c r="CZ28030" s="35">
        <v>6.7324849999999999E-3</v>
      </c>
    </row>
    <row r="28031" spans="103:104" x14ac:dyDescent="0.3">
      <c r="CY28031" s="34" t="s">
        <v>28957</v>
      </c>
      <c r="CZ28031" s="35">
        <v>2.0552520840000001E-2</v>
      </c>
    </row>
    <row r="28032" spans="103:104" x14ac:dyDescent="0.3">
      <c r="CY28032" s="34" t="s">
        <v>28958</v>
      </c>
      <c r="CZ28032" s="35">
        <v>4.4525462499999998E-3</v>
      </c>
    </row>
    <row r="28033" spans="103:104" x14ac:dyDescent="0.3">
      <c r="CY28033" s="34" t="s">
        <v>28959</v>
      </c>
      <c r="CZ28033" s="35">
        <v>3.3430324166666666E-3</v>
      </c>
    </row>
    <row r="28034" spans="103:104" x14ac:dyDescent="0.3">
      <c r="CY28034" s="34" t="s">
        <v>28960</v>
      </c>
      <c r="CZ28034" s="35">
        <v>0.14533809777777776</v>
      </c>
    </row>
    <row r="28035" spans="103:104" x14ac:dyDescent="0.3">
      <c r="CY28035" s="34" t="s">
        <v>28961</v>
      </c>
      <c r="CZ28035" s="35">
        <v>0.12737249777777779</v>
      </c>
    </row>
    <row r="28036" spans="103:104" x14ac:dyDescent="0.3">
      <c r="CY28036" s="34" t="s">
        <v>28962</v>
      </c>
      <c r="CZ28036" s="35">
        <v>0.3410137422222223</v>
      </c>
    </row>
    <row r="28037" spans="103:104" x14ac:dyDescent="0.3">
      <c r="CY28037" s="34" t="s">
        <v>28963</v>
      </c>
      <c r="CZ28037" s="35">
        <v>2.1680623999999999E-2</v>
      </c>
    </row>
    <row r="28038" spans="103:104" x14ac:dyDescent="0.3">
      <c r="CY28038" s="34" t="s">
        <v>28964</v>
      </c>
      <c r="CZ28038" s="35">
        <v>0.27012337600000003</v>
      </c>
    </row>
    <row r="28039" spans="103:104" x14ac:dyDescent="0.3">
      <c r="CY28039" s="34" t="s">
        <v>28965</v>
      </c>
      <c r="CZ28039" s="35">
        <v>2.1931968000000003E-2</v>
      </c>
    </row>
    <row r="28040" spans="103:104" x14ac:dyDescent="0.3">
      <c r="CY28040" s="34" t="s">
        <v>28966</v>
      </c>
      <c r="CZ28040" s="35">
        <v>3.457292E-2</v>
      </c>
    </row>
    <row r="28041" spans="103:104" x14ac:dyDescent="0.3">
      <c r="CY28041" s="34" t="s">
        <v>28967</v>
      </c>
      <c r="CZ28041" s="35">
        <v>2.4675864000000006E-2</v>
      </c>
    </row>
    <row r="28042" spans="103:104" x14ac:dyDescent="0.3">
      <c r="CY28042" s="34" t="s">
        <v>28968</v>
      </c>
      <c r="CZ28042" s="35">
        <v>5.5769747999999994E-2</v>
      </c>
    </row>
    <row r="28043" spans="103:104" x14ac:dyDescent="0.3">
      <c r="CY28043" s="34" t="s">
        <v>28969</v>
      </c>
      <c r="CZ28043" s="35">
        <v>5.629526E-2</v>
      </c>
    </row>
    <row r="28044" spans="103:104" x14ac:dyDescent="0.3">
      <c r="CY28044" s="34" t="s">
        <v>28970</v>
      </c>
      <c r="CZ28044" s="35">
        <v>1.1081054999999999E-2</v>
      </c>
    </row>
    <row r="28045" spans="103:104" x14ac:dyDescent="0.3">
      <c r="CY28045" s="34" t="s">
        <v>28971</v>
      </c>
      <c r="CZ28045" s="35">
        <v>1.3245828125000001E-2</v>
      </c>
    </row>
    <row r="28046" spans="103:104" x14ac:dyDescent="0.3">
      <c r="CY28046" s="34" t="s">
        <v>28972</v>
      </c>
      <c r="CZ28046" s="35">
        <v>6.909467649122808E-2</v>
      </c>
    </row>
    <row r="28047" spans="103:104" x14ac:dyDescent="0.3">
      <c r="CY28047" s="34" t="s">
        <v>28973</v>
      </c>
      <c r="CZ28047" s="35">
        <v>6.3275249999999996E-3</v>
      </c>
    </row>
    <row r="28048" spans="103:104" x14ac:dyDescent="0.3">
      <c r="CY28048" s="34" t="s">
        <v>28974</v>
      </c>
      <c r="CZ28048" s="35">
        <v>9.9373279999999987E-3</v>
      </c>
    </row>
    <row r="28049" spans="103:104" x14ac:dyDescent="0.3">
      <c r="CY28049" s="34" t="s">
        <v>28975</v>
      </c>
      <c r="CZ28049" s="35">
        <v>1.7270019999999997E-2</v>
      </c>
    </row>
    <row r="28050" spans="103:104" x14ac:dyDescent="0.3">
      <c r="CY28050" s="34" t="s">
        <v>28976</v>
      </c>
      <c r="CZ28050" s="35">
        <v>1.3191400000000001E-2</v>
      </c>
    </row>
    <row r="28051" spans="103:104" x14ac:dyDescent="0.3">
      <c r="CY28051" s="34" t="s">
        <v>28977</v>
      </c>
      <c r="CZ28051" s="35">
        <v>9.4072105000000007E-3</v>
      </c>
    </row>
    <row r="28052" spans="103:104" x14ac:dyDescent="0.3">
      <c r="CY28052" s="34" t="s">
        <v>28978</v>
      </c>
      <c r="CZ28052" s="35">
        <v>1.7270019999999997E-2</v>
      </c>
    </row>
    <row r="28053" spans="103:104" x14ac:dyDescent="0.3">
      <c r="CY28053" s="34" t="s">
        <v>28979</v>
      </c>
      <c r="CZ28053" s="35">
        <v>1.3191400000000001E-2</v>
      </c>
    </row>
    <row r="28054" spans="103:104" x14ac:dyDescent="0.3">
      <c r="CY28054" s="34" t="s">
        <v>28980</v>
      </c>
      <c r="CZ28054" s="35">
        <v>9.4072105000000007E-3</v>
      </c>
    </row>
    <row r="28055" spans="103:104" x14ac:dyDescent="0.3">
      <c r="CY28055" s="34" t="s">
        <v>28981</v>
      </c>
      <c r="CZ28055" s="35">
        <v>1.0970391249999999E-2</v>
      </c>
    </row>
    <row r="28056" spans="103:104" x14ac:dyDescent="0.3">
      <c r="CY28056" s="34" t="s">
        <v>28982</v>
      </c>
      <c r="CZ28056" s="35">
        <v>1.0970391249999998E-2</v>
      </c>
    </row>
    <row r="28057" spans="103:104" x14ac:dyDescent="0.3">
      <c r="CY28057" s="34" t="s">
        <v>28983</v>
      </c>
      <c r="CZ28057" s="35">
        <v>0.14994760999999998</v>
      </c>
    </row>
    <row r="28058" spans="103:104" x14ac:dyDescent="0.3">
      <c r="CY28058" s="34" t="s">
        <v>28984</v>
      </c>
      <c r="CZ28058" s="35">
        <v>9.2840000000000002E-4</v>
      </c>
    </row>
    <row r="28059" spans="103:104" x14ac:dyDescent="0.3">
      <c r="CY28059" s="34" t="s">
        <v>28985</v>
      </c>
      <c r="CZ28059" s="35">
        <v>7.4555856000000005E-4</v>
      </c>
    </row>
    <row r="28060" spans="103:104" x14ac:dyDescent="0.3">
      <c r="CY28060" s="34" t="s">
        <v>28986</v>
      </c>
      <c r="CZ28060" s="35">
        <v>5.6256399999999999E-4</v>
      </c>
    </row>
    <row r="28061" spans="103:104" x14ac:dyDescent="0.3">
      <c r="CY28061" s="34" t="s">
        <v>28987</v>
      </c>
      <c r="CZ28061" s="35">
        <v>8.3462E-4</v>
      </c>
    </row>
    <row r="28062" spans="103:104" x14ac:dyDescent="0.3">
      <c r="CY28062" s="34" t="s">
        <v>28988</v>
      </c>
      <c r="CZ28062" s="35">
        <v>3.2482049999999998E-4</v>
      </c>
    </row>
    <row r="28063" spans="103:104" x14ac:dyDescent="0.3">
      <c r="CY28063" s="34" t="s">
        <v>28989</v>
      </c>
      <c r="CZ28063" s="35">
        <v>2.7035309090909093E-3</v>
      </c>
    </row>
    <row r="28064" spans="103:104" x14ac:dyDescent="0.3">
      <c r="CY28064" s="34" t="s">
        <v>28990</v>
      </c>
      <c r="CZ28064" s="35">
        <v>5.0175000000000003E-4</v>
      </c>
    </row>
    <row r="28065" spans="103:104" x14ac:dyDescent="0.3">
      <c r="CY28065" s="34" t="s">
        <v>28991</v>
      </c>
      <c r="CZ28065" s="35">
        <v>6.0493750000000001E-4</v>
      </c>
    </row>
    <row r="28066" spans="103:104" x14ac:dyDescent="0.3">
      <c r="CY28066" s="34" t="s">
        <v>28992</v>
      </c>
      <c r="CZ28066" s="35">
        <v>6.4903619090909081E-4</v>
      </c>
    </row>
    <row r="28067" spans="103:104" x14ac:dyDescent="0.3">
      <c r="CY28067" s="34" t="s">
        <v>28993</v>
      </c>
      <c r="CZ28067" s="35">
        <v>1.6312399999999999E-3</v>
      </c>
    </row>
    <row r="28068" spans="103:104" x14ac:dyDescent="0.3">
      <c r="CY28068" s="34" t="s">
        <v>28994</v>
      </c>
      <c r="CZ28068" s="35">
        <v>4.3721999999999999E-4</v>
      </c>
    </row>
    <row r="28069" spans="103:104" x14ac:dyDescent="0.3">
      <c r="CY28069" s="34" t="s">
        <v>28995</v>
      </c>
      <c r="CZ28069" s="35">
        <v>4.8512459999999992E-3</v>
      </c>
    </row>
    <row r="28070" spans="103:104" x14ac:dyDescent="0.3">
      <c r="CY28070" s="34" t="s">
        <v>28996</v>
      </c>
      <c r="CZ28070" s="35">
        <v>1.2569119706840391E-3</v>
      </c>
    </row>
    <row r="28071" spans="103:104" x14ac:dyDescent="0.3">
      <c r="CY28071" s="34" t="s">
        <v>28997</v>
      </c>
      <c r="CZ28071" s="35">
        <v>1.7248932E-3</v>
      </c>
    </row>
    <row r="28072" spans="103:104" x14ac:dyDescent="0.3">
      <c r="CY28072" s="34" t="s">
        <v>28998</v>
      </c>
      <c r="CZ28072" s="35">
        <v>1.6659965E-4</v>
      </c>
    </row>
    <row r="28073" spans="103:104" x14ac:dyDescent="0.3">
      <c r="CY28073" s="34" t="s">
        <v>28999</v>
      </c>
      <c r="CZ28073" s="35">
        <v>1.29983908E-3</v>
      </c>
    </row>
    <row r="28074" spans="103:104" x14ac:dyDescent="0.3">
      <c r="CY28074" s="34" t="s">
        <v>29000</v>
      </c>
      <c r="CZ28074" s="35">
        <v>1.9284E-3</v>
      </c>
    </row>
    <row r="28075" spans="103:104" x14ac:dyDescent="0.3">
      <c r="CY28075" s="34" t="s">
        <v>29001</v>
      </c>
      <c r="CZ28075" s="35">
        <v>1.0542994400000001E-3</v>
      </c>
    </row>
    <row r="28076" spans="103:104" x14ac:dyDescent="0.3">
      <c r="CY28076" s="34" t="s">
        <v>29002</v>
      </c>
      <c r="CZ28076" s="35">
        <v>5.94E-5</v>
      </c>
    </row>
    <row r="28077" spans="103:104" x14ac:dyDescent="0.3">
      <c r="CY28077" s="34" t="s">
        <v>29003</v>
      </c>
      <c r="CZ28077" s="35">
        <v>4.6764650000000003E-3</v>
      </c>
    </row>
    <row r="28078" spans="103:104" x14ac:dyDescent="0.3">
      <c r="CY28078" s="34" t="s">
        <v>29004</v>
      </c>
      <c r="CZ28078" s="35">
        <v>3.8513966800000003E-3</v>
      </c>
    </row>
    <row r="28079" spans="103:104" x14ac:dyDescent="0.3">
      <c r="CY28079" s="34" t="s">
        <v>29005</v>
      </c>
      <c r="CZ28079" s="35">
        <v>0.30766159999999998</v>
      </c>
    </row>
    <row r="28080" spans="103:104" x14ac:dyDescent="0.3">
      <c r="CY28080" s="34" t="s">
        <v>29006</v>
      </c>
      <c r="CZ28080" s="35">
        <v>1.7036424000000001E-2</v>
      </c>
    </row>
    <row r="28081" spans="103:104" x14ac:dyDescent="0.3">
      <c r="CY28081" s="34" t="s">
        <v>29007</v>
      </c>
      <c r="CZ28081" s="35">
        <v>1.60923E-2</v>
      </c>
    </row>
    <row r="28082" spans="103:104" x14ac:dyDescent="0.3">
      <c r="CY28082" s="34" t="s">
        <v>29008</v>
      </c>
      <c r="CZ28082" s="35">
        <v>1.3658844E-2</v>
      </c>
    </row>
    <row r="28083" spans="103:104" x14ac:dyDescent="0.3">
      <c r="CY28083" s="34" t="s">
        <v>29009</v>
      </c>
      <c r="CZ28083" s="35">
        <v>1.5427699999999999E-3</v>
      </c>
    </row>
    <row r="28084" spans="103:104" x14ac:dyDescent="0.3">
      <c r="CY28084" s="34" t="s">
        <v>29010</v>
      </c>
      <c r="CZ28084" s="35">
        <v>9.6692200000000002E-5</v>
      </c>
    </row>
    <row r="28085" spans="103:104" x14ac:dyDescent="0.3">
      <c r="CY28085" s="34" t="s">
        <v>29011</v>
      </c>
      <c r="CZ28085" s="35">
        <v>2.0397422680412374E-2</v>
      </c>
    </row>
    <row r="28086" spans="103:104" x14ac:dyDescent="0.3">
      <c r="CY28086" s="34" t="s">
        <v>29012</v>
      </c>
      <c r="CZ28086" s="35">
        <v>0.19744240200000002</v>
      </c>
    </row>
    <row r="28087" spans="103:104" x14ac:dyDescent="0.3">
      <c r="CY28087" s="34" t="s">
        <v>29013</v>
      </c>
      <c r="CZ28087" s="35">
        <v>9.3307779999999996E-3</v>
      </c>
    </row>
    <row r="28088" spans="103:104" x14ac:dyDescent="0.3">
      <c r="CY28088" s="34" t="s">
        <v>29014</v>
      </c>
      <c r="CZ28088" s="35">
        <v>6.5351986000000001E-3</v>
      </c>
    </row>
    <row r="28089" spans="103:104" x14ac:dyDescent="0.3">
      <c r="CY28089" s="34" t="s">
        <v>29015</v>
      </c>
      <c r="CZ28089" s="35">
        <v>1.0020363000000001E-3</v>
      </c>
    </row>
    <row r="28090" spans="103:104" x14ac:dyDescent="0.3">
      <c r="CY28090" s="34" t="s">
        <v>29016</v>
      </c>
      <c r="CZ28090" s="35">
        <v>8.3889849999999998E-4</v>
      </c>
    </row>
    <row r="28091" spans="103:104" x14ac:dyDescent="0.3">
      <c r="CY28091" s="34" t="s">
        <v>29017</v>
      </c>
      <c r="CZ28091" s="35">
        <v>1.8405045000000001E-3</v>
      </c>
    </row>
    <row r="28092" spans="103:104" x14ac:dyDescent="0.3">
      <c r="CY28092" s="34" t="s">
        <v>29018</v>
      </c>
      <c r="CZ28092" s="35">
        <v>1.1525445000000001E-3</v>
      </c>
    </row>
    <row r="28093" spans="103:104" x14ac:dyDescent="0.3">
      <c r="CY28093" s="34" t="s">
        <v>29019</v>
      </c>
      <c r="CZ28093" s="35">
        <v>2.05689E-3</v>
      </c>
    </row>
    <row r="28094" spans="103:104" x14ac:dyDescent="0.3">
      <c r="CY28094" s="34" t="s">
        <v>29020</v>
      </c>
      <c r="CZ28094" s="35">
        <v>7.9324632399999997E-2</v>
      </c>
    </row>
    <row r="28095" spans="103:104" x14ac:dyDescent="0.3">
      <c r="CY28095" s="34" t="s">
        <v>29021</v>
      </c>
      <c r="CZ28095" s="35">
        <v>7.9324632400000011E-2</v>
      </c>
    </row>
    <row r="28096" spans="103:104" x14ac:dyDescent="0.3">
      <c r="CY28096" s="34" t="s">
        <v>29022</v>
      </c>
      <c r="CZ28096" s="35">
        <v>0.12923366</v>
      </c>
    </row>
    <row r="28097" spans="103:104" x14ac:dyDescent="0.3">
      <c r="CY28097" s="34" t="s">
        <v>29023</v>
      </c>
      <c r="CZ28097" s="35">
        <v>1.43692748E-3</v>
      </c>
    </row>
    <row r="28098" spans="103:104" x14ac:dyDescent="0.3">
      <c r="CY28098" s="34" t="s">
        <v>29024</v>
      </c>
      <c r="CZ28098" s="35">
        <v>1.7079966200000001E-2</v>
      </c>
    </row>
    <row r="28099" spans="103:104" x14ac:dyDescent="0.3">
      <c r="CY28099" s="34" t="s">
        <v>29025</v>
      </c>
      <c r="CZ28099" s="35">
        <v>1.7111566200000001E-2</v>
      </c>
    </row>
    <row r="28100" spans="103:104" x14ac:dyDescent="0.3">
      <c r="CY28100" s="34" t="s">
        <v>29026</v>
      </c>
      <c r="CZ28100" s="35">
        <v>7.10412E-4</v>
      </c>
    </row>
    <row r="28101" spans="103:104" x14ac:dyDescent="0.3">
      <c r="CY28101" s="34" t="s">
        <v>29027</v>
      </c>
      <c r="CZ28101" s="35">
        <v>4.1562479999999992E-2</v>
      </c>
    </row>
    <row r="28102" spans="103:104" x14ac:dyDescent="0.3">
      <c r="CY28102" s="34" t="s">
        <v>29028</v>
      </c>
      <c r="CZ28102" s="35">
        <v>4.5743160000000005E-2</v>
      </c>
    </row>
    <row r="28103" spans="103:104" x14ac:dyDescent="0.3">
      <c r="CY28103" s="34" t="s">
        <v>29029</v>
      </c>
      <c r="CZ28103" s="35">
        <v>3.9687599999999996E-2</v>
      </c>
    </row>
    <row r="28104" spans="103:104" x14ac:dyDescent="0.3">
      <c r="CY28104" s="34" t="s">
        <v>29030</v>
      </c>
      <c r="CZ28104" s="35">
        <v>3.07636544E-2</v>
      </c>
    </row>
    <row r="28105" spans="103:104" x14ac:dyDescent="0.3">
      <c r="CY28105" s="34" t="s">
        <v>29031</v>
      </c>
      <c r="CZ28105" s="35">
        <v>3.07636544E-2</v>
      </c>
    </row>
    <row r="28106" spans="103:104" x14ac:dyDescent="0.3">
      <c r="CY28106" s="34" t="s">
        <v>29032</v>
      </c>
      <c r="CZ28106" s="35">
        <v>1.713214268E-2</v>
      </c>
    </row>
    <row r="28107" spans="103:104" x14ac:dyDescent="0.3">
      <c r="CY28107" s="34" t="s">
        <v>29033</v>
      </c>
      <c r="CZ28107" s="35">
        <v>3.0962259000000001E-3</v>
      </c>
    </row>
    <row r="28108" spans="103:104" x14ac:dyDescent="0.3">
      <c r="CY28108" s="34" t="s">
        <v>29034</v>
      </c>
      <c r="CZ28108" s="35">
        <v>1.0570646989999999</v>
      </c>
    </row>
    <row r="28109" spans="103:104" x14ac:dyDescent="0.3">
      <c r="CY28109" s="34" t="s">
        <v>29035</v>
      </c>
      <c r="CZ28109" s="35">
        <v>3.6418479999999996E-2</v>
      </c>
    </row>
    <row r="28110" spans="103:104" x14ac:dyDescent="0.3">
      <c r="CY28110" s="34" t="s">
        <v>29036</v>
      </c>
      <c r="CZ28110" s="35">
        <v>0.93970495000000009</v>
      </c>
    </row>
    <row r="28111" spans="103:104" x14ac:dyDescent="0.3">
      <c r="CY28111" s="34" t="s">
        <v>29037</v>
      </c>
      <c r="CZ28111" s="35">
        <v>1.7722802444399999E-3</v>
      </c>
    </row>
    <row r="28112" spans="103:104" x14ac:dyDescent="0.3">
      <c r="CY28112" s="34" t="s">
        <v>29038</v>
      </c>
      <c r="CZ28112" s="35">
        <v>2.4518624999999995E-2</v>
      </c>
    </row>
    <row r="28113" spans="103:104" x14ac:dyDescent="0.3">
      <c r="CY28113" s="34" t="s">
        <v>29039</v>
      </c>
      <c r="CZ28113" s="35">
        <v>1.1150354999999999E-2</v>
      </c>
    </row>
    <row r="28114" spans="103:104" x14ac:dyDescent="0.3">
      <c r="CY28114" s="34" t="s">
        <v>29040</v>
      </c>
      <c r="CZ28114" s="35">
        <v>2.093038</v>
      </c>
    </row>
    <row r="28115" spans="103:104" x14ac:dyDescent="0.3">
      <c r="CY28115" s="34" t="s">
        <v>29041</v>
      </c>
      <c r="CZ28115" s="35">
        <v>0.23846929999999997</v>
      </c>
    </row>
    <row r="28116" spans="103:104" x14ac:dyDescent="0.3">
      <c r="CY28116" s="34" t="s">
        <v>29042</v>
      </c>
      <c r="CZ28116" s="35">
        <v>0.32787287999999998</v>
      </c>
    </row>
    <row r="28117" spans="103:104" x14ac:dyDescent="0.3">
      <c r="CY28117" s="34" t="s">
        <v>29043</v>
      </c>
      <c r="CZ28117" s="35">
        <v>0.22633634</v>
      </c>
    </row>
    <row r="28118" spans="103:104" x14ac:dyDescent="0.3">
      <c r="CY28118" s="34" t="s">
        <v>29044</v>
      </c>
      <c r="CZ28118" s="35">
        <v>0.33879186499999997</v>
      </c>
    </row>
    <row r="28119" spans="103:104" x14ac:dyDescent="0.3">
      <c r="CY28119" s="34" t="s">
        <v>29045</v>
      </c>
      <c r="CZ28119" s="35">
        <v>2.464512E-2</v>
      </c>
    </row>
    <row r="28120" spans="103:104" x14ac:dyDescent="0.3">
      <c r="CY28120" s="34" t="s">
        <v>29046</v>
      </c>
      <c r="CZ28120" s="35">
        <v>2.3358416E-2</v>
      </c>
    </row>
    <row r="28121" spans="103:104" x14ac:dyDescent="0.3">
      <c r="CY28121" s="34" t="s">
        <v>29047</v>
      </c>
      <c r="CZ28121" s="35">
        <v>0.15586061277777777</v>
      </c>
    </row>
    <row r="28122" spans="103:104" x14ac:dyDescent="0.3">
      <c r="CY28122" s="34" t="s">
        <v>29048</v>
      </c>
      <c r="CZ28122" s="35">
        <v>0.16237036111111108</v>
      </c>
    </row>
    <row r="28123" spans="103:104" x14ac:dyDescent="0.3">
      <c r="CY28123" s="34" t="s">
        <v>29049</v>
      </c>
      <c r="CZ28123" s="35">
        <v>6.8053554266666663E-3</v>
      </c>
    </row>
    <row r="28124" spans="103:104" x14ac:dyDescent="0.3">
      <c r="CY28124" s="34" t="s">
        <v>29050</v>
      </c>
      <c r="CZ28124" s="35">
        <v>6.0937272695652175E-3</v>
      </c>
    </row>
    <row r="28125" spans="103:104" x14ac:dyDescent="0.3">
      <c r="CY28125" s="34" t="s">
        <v>29051</v>
      </c>
      <c r="CZ28125" s="35">
        <v>0.13226736</v>
      </c>
    </row>
    <row r="28126" spans="103:104" x14ac:dyDescent="0.3">
      <c r="CY28126" s="34" t="s">
        <v>29052</v>
      </c>
      <c r="CZ28126" s="35">
        <v>2.1491699999999999E-2</v>
      </c>
    </row>
    <row r="28127" spans="103:104" x14ac:dyDescent="0.3">
      <c r="CY28127" s="34" t="s">
        <v>29053</v>
      </c>
      <c r="CZ28127" s="35">
        <v>3.6701400000000002E-2</v>
      </c>
    </row>
    <row r="28128" spans="103:104" x14ac:dyDescent="0.3">
      <c r="CY28128" s="34" t="s">
        <v>29054</v>
      </c>
      <c r="CZ28128" s="35">
        <v>0.25892539999999997</v>
      </c>
    </row>
    <row r="28129" spans="103:104" x14ac:dyDescent="0.3">
      <c r="CY28129" s="34" t="s">
        <v>29055</v>
      </c>
      <c r="CZ28129" s="35">
        <v>0.45303800000000005</v>
      </c>
    </row>
    <row r="28130" spans="103:104" x14ac:dyDescent="0.3">
      <c r="CY28130" s="34" t="s">
        <v>29056</v>
      </c>
      <c r="CZ28130" s="35">
        <v>1.3989036159999999E-2</v>
      </c>
    </row>
    <row r="28131" spans="103:104" x14ac:dyDescent="0.3">
      <c r="CY28131" s="34" t="s">
        <v>29057</v>
      </c>
      <c r="CZ28131" s="35">
        <v>1.9468152000000002E-2</v>
      </c>
    </row>
    <row r="28132" spans="103:104" x14ac:dyDescent="0.3">
      <c r="CY28132" s="34" t="s">
        <v>29058</v>
      </c>
      <c r="CZ28132" s="35">
        <v>1.4219999999999999E-4</v>
      </c>
    </row>
    <row r="28133" spans="103:104" x14ac:dyDescent="0.3">
      <c r="CY28133" s="34" t="s">
        <v>29059</v>
      </c>
      <c r="CZ28133" s="35">
        <v>1.9485432000000004E-2</v>
      </c>
    </row>
    <row r="28134" spans="103:104" x14ac:dyDescent="0.3">
      <c r="CY28134" s="34" t="s">
        <v>29060</v>
      </c>
      <c r="CZ28134" s="35">
        <v>2.8293819999999997E-2</v>
      </c>
    </row>
    <row r="28135" spans="103:104" x14ac:dyDescent="0.3">
      <c r="CY28135" s="34" t="s">
        <v>29061</v>
      </c>
      <c r="CZ28135" s="35">
        <v>0.22066040000000001</v>
      </c>
    </row>
    <row r="28136" spans="103:104" x14ac:dyDescent="0.3">
      <c r="CY28136" s="34" t="s">
        <v>29062</v>
      </c>
      <c r="CZ28136" s="35">
        <v>0.23746564000000001</v>
      </c>
    </row>
    <row r="28137" spans="103:104" x14ac:dyDescent="0.3">
      <c r="CY28137" s="34" t="s">
        <v>29063</v>
      </c>
      <c r="CZ28137" s="35">
        <v>0.35076228599999998</v>
      </c>
    </row>
    <row r="28138" spans="103:104" x14ac:dyDescent="0.3">
      <c r="CY28138" s="34" t="s">
        <v>29064</v>
      </c>
      <c r="CZ28138" s="35">
        <v>0.17061627944444446</v>
      </c>
    </row>
    <row r="28139" spans="103:104" x14ac:dyDescent="0.3">
      <c r="CY28139" s="34" t="s">
        <v>29065</v>
      </c>
      <c r="CZ28139" s="35">
        <v>0.10355917333333334</v>
      </c>
    </row>
    <row r="28140" spans="103:104" x14ac:dyDescent="0.3">
      <c r="CY28140" s="34" t="s">
        <v>29066</v>
      </c>
      <c r="CZ28140" s="35">
        <v>7.7688577777777768E-2</v>
      </c>
    </row>
    <row r="28141" spans="103:104" x14ac:dyDescent="0.3">
      <c r="CY28141" s="34" t="s">
        <v>29067</v>
      </c>
      <c r="CZ28141" s="35">
        <v>0.19428122222222222</v>
      </c>
    </row>
    <row r="28142" spans="103:104" x14ac:dyDescent="0.3">
      <c r="CY28142" s="34" t="s">
        <v>29068</v>
      </c>
      <c r="CZ28142" s="35">
        <v>5.2440911111111099E-2</v>
      </c>
    </row>
    <row r="28143" spans="103:104" x14ac:dyDescent="0.3">
      <c r="CY28143" s="34" t="s">
        <v>29069</v>
      </c>
      <c r="CZ28143" s="35">
        <v>7.3888400000000007E-2</v>
      </c>
    </row>
    <row r="28144" spans="103:104" x14ac:dyDescent="0.3">
      <c r="CY28144" s="34" t="s">
        <v>29070</v>
      </c>
      <c r="CZ28144" s="35">
        <v>0.12629907999999998</v>
      </c>
    </row>
    <row r="28145" spans="103:104" x14ac:dyDescent="0.3">
      <c r="CY28145" s="34" t="s">
        <v>29071</v>
      </c>
      <c r="CZ28145" s="35">
        <v>4.7941039999999987E-3</v>
      </c>
    </row>
    <row r="28146" spans="103:104" x14ac:dyDescent="0.3">
      <c r="CY28146" s="34" t="s">
        <v>29072</v>
      </c>
      <c r="CZ28146" s="35">
        <v>3.9977656400000004E-3</v>
      </c>
    </row>
    <row r="28147" spans="103:104" x14ac:dyDescent="0.3">
      <c r="CY28147" s="34" t="s">
        <v>29073</v>
      </c>
      <c r="CZ28147" s="35">
        <v>1.9891098400000003E-3</v>
      </c>
    </row>
    <row r="28148" spans="103:104" x14ac:dyDescent="0.3">
      <c r="CY28148" s="34" t="s">
        <v>29074</v>
      </c>
      <c r="CZ28148" s="35">
        <v>7.8971428571428584E-4</v>
      </c>
    </row>
    <row r="28149" spans="103:104" x14ac:dyDescent="0.3">
      <c r="CY28149" s="34" t="s">
        <v>29075</v>
      </c>
      <c r="CZ28149" s="35">
        <v>0.27920546799999996</v>
      </c>
    </row>
    <row r="28150" spans="103:104" x14ac:dyDescent="0.3">
      <c r="CY28150" s="34" t="s">
        <v>29076</v>
      </c>
      <c r="CZ28150" s="35">
        <v>0.28245542800000006</v>
      </c>
    </row>
    <row r="28151" spans="103:104" x14ac:dyDescent="0.3">
      <c r="CY28151" s="34" t="s">
        <v>29077</v>
      </c>
      <c r="CZ28151" s="35">
        <v>0.25941760000000003</v>
      </c>
    </row>
    <row r="28152" spans="103:104" x14ac:dyDescent="0.3">
      <c r="CY28152" s="34" t="s">
        <v>29078</v>
      </c>
      <c r="CZ28152" s="35">
        <v>0.25941760000000003</v>
      </c>
    </row>
    <row r="28153" spans="103:104" x14ac:dyDescent="0.3">
      <c r="CY28153" s="34" t="s">
        <v>29079</v>
      </c>
      <c r="CZ28153" s="35">
        <v>4.1445855999999997E-4</v>
      </c>
    </row>
    <row r="28154" spans="103:104" x14ac:dyDescent="0.3">
      <c r="CY28154" s="34" t="s">
        <v>29080</v>
      </c>
      <c r="CZ28154" s="35">
        <v>6.2111403000000007E-4</v>
      </c>
    </row>
    <row r="28155" spans="103:104" x14ac:dyDescent="0.3">
      <c r="CY28155" s="34" t="s">
        <v>29081</v>
      </c>
      <c r="CZ28155" s="35">
        <v>6.2426902999999998E-4</v>
      </c>
    </row>
    <row r="28156" spans="103:104" x14ac:dyDescent="0.3">
      <c r="CY28156" s="34" t="s">
        <v>29082</v>
      </c>
      <c r="CZ28156" s="35">
        <v>5.8544523999999999E-4</v>
      </c>
    </row>
    <row r="28157" spans="103:104" x14ac:dyDescent="0.3">
      <c r="CY28157" s="34" t="s">
        <v>29083</v>
      </c>
      <c r="CZ28157" s="35">
        <v>1.2159470700000001</v>
      </c>
    </row>
    <row r="28158" spans="103:104" x14ac:dyDescent="0.3">
      <c r="CY28158" s="34" t="s">
        <v>29084</v>
      </c>
      <c r="CZ28158" s="35">
        <v>2.3420004628571427E-3</v>
      </c>
    </row>
    <row r="28159" spans="103:104" x14ac:dyDescent="0.3">
      <c r="CY28159" s="34" t="s">
        <v>29085</v>
      </c>
      <c r="CZ28159" s="35">
        <v>2.0232764E-2</v>
      </c>
    </row>
    <row r="28160" spans="103:104" x14ac:dyDescent="0.3">
      <c r="CY28160" s="34" t="s">
        <v>29086</v>
      </c>
      <c r="CZ28160" s="35">
        <v>7.1948849999999996E-4</v>
      </c>
    </row>
    <row r="28161" spans="103:104" x14ac:dyDescent="0.3">
      <c r="CY28161" s="34" t="s">
        <v>29087</v>
      </c>
      <c r="CZ28161" s="35">
        <v>1.1767425000000001E-3</v>
      </c>
    </row>
    <row r="28162" spans="103:104" x14ac:dyDescent="0.3">
      <c r="CY28162" s="34" t="s">
        <v>29088</v>
      </c>
      <c r="CZ28162" s="35">
        <v>1.7312062500000002E-3</v>
      </c>
    </row>
    <row r="28163" spans="103:104" x14ac:dyDescent="0.3">
      <c r="CY28163" s="34" t="s">
        <v>29089</v>
      </c>
      <c r="CZ28163" s="35">
        <v>0.10798524800000001</v>
      </c>
    </row>
    <row r="28164" spans="103:104" x14ac:dyDescent="0.3">
      <c r="CY28164" s="34" t="s">
        <v>29090</v>
      </c>
      <c r="CZ28164" s="35">
        <v>4.3483673333333332E-4</v>
      </c>
    </row>
    <row r="28165" spans="103:104" x14ac:dyDescent="0.3">
      <c r="CY28165" s="34" t="s">
        <v>29091</v>
      </c>
      <c r="CZ28165" s="35">
        <v>7.4115760000000003E-5</v>
      </c>
    </row>
    <row r="28166" spans="103:104" x14ac:dyDescent="0.3">
      <c r="CY28166" s="34" t="s">
        <v>29092</v>
      </c>
      <c r="CZ28166" s="35">
        <v>2.5986212799999999E-3</v>
      </c>
    </row>
    <row r="28167" spans="103:104" x14ac:dyDescent="0.3">
      <c r="CY28167" s="34" t="s">
        <v>29093</v>
      </c>
      <c r="CZ28167" s="35">
        <v>3.6648506666666671E-3</v>
      </c>
    </row>
    <row r="28168" spans="103:104" x14ac:dyDescent="0.3">
      <c r="CY28168" s="34" t="s">
        <v>29094</v>
      </c>
      <c r="CZ28168" s="35">
        <v>4.1637231999999995E-3</v>
      </c>
    </row>
    <row r="28169" spans="103:104" x14ac:dyDescent="0.3">
      <c r="CY28169" s="34" t="s">
        <v>29095</v>
      </c>
      <c r="CZ28169" s="35">
        <v>9.6596624000000013E-3</v>
      </c>
    </row>
    <row r="28170" spans="103:104" x14ac:dyDescent="0.3">
      <c r="CY28170" s="34" t="s">
        <v>29096</v>
      </c>
      <c r="CZ28170" s="35">
        <v>3.4543442699999996E-3</v>
      </c>
    </row>
    <row r="28171" spans="103:104" x14ac:dyDescent="0.3">
      <c r="CY28171" s="34" t="s">
        <v>29097</v>
      </c>
      <c r="CZ28171" s="35">
        <v>4.7808897999999994E-3</v>
      </c>
    </row>
    <row r="28172" spans="103:104" x14ac:dyDescent="0.3">
      <c r="CY28172" s="34" t="s">
        <v>29098</v>
      </c>
      <c r="CZ28172" s="35">
        <v>1.11865348E-2</v>
      </c>
    </row>
    <row r="28173" spans="103:104" x14ac:dyDescent="0.3">
      <c r="CY28173" s="34" t="s">
        <v>29099</v>
      </c>
      <c r="CZ28173" s="35">
        <v>1.5487854599999998E-2</v>
      </c>
    </row>
    <row r="28174" spans="103:104" x14ac:dyDescent="0.3">
      <c r="CY28174" s="34" t="s">
        <v>29100</v>
      </c>
      <c r="CZ28174" s="35">
        <v>1.4433856280000001E-2</v>
      </c>
    </row>
    <row r="28175" spans="103:104" x14ac:dyDescent="0.3">
      <c r="CY28175" s="34" t="s">
        <v>29101</v>
      </c>
      <c r="CZ28175" s="35">
        <v>1.8571955333333331E-2</v>
      </c>
    </row>
    <row r="28176" spans="103:104" x14ac:dyDescent="0.3">
      <c r="CY28176" s="34" t="s">
        <v>29102</v>
      </c>
      <c r="CZ28176" s="35">
        <v>4.5406000000000002E-2</v>
      </c>
    </row>
    <row r="28177" spans="103:104" x14ac:dyDescent="0.3">
      <c r="CY28177" s="34" t="s">
        <v>29103</v>
      </c>
      <c r="CZ28177" s="35">
        <v>1.5357588000000002E-2</v>
      </c>
    </row>
    <row r="28178" spans="103:104" x14ac:dyDescent="0.3">
      <c r="CY28178" s="34" t="s">
        <v>29104</v>
      </c>
      <c r="CZ28178" s="35">
        <v>1.1559432000000001E-2</v>
      </c>
    </row>
    <row r="28179" spans="103:104" x14ac:dyDescent="0.3">
      <c r="CY28179" s="34" t="s">
        <v>29105</v>
      </c>
      <c r="CZ28179" s="35">
        <v>0.43717916666666667</v>
      </c>
    </row>
    <row r="28180" spans="103:104" x14ac:dyDescent="0.3">
      <c r="CY28180" s="34" t="s">
        <v>29106</v>
      </c>
      <c r="CZ28180" s="35">
        <v>0.38945246666666666</v>
      </c>
    </row>
    <row r="28181" spans="103:104" x14ac:dyDescent="0.3">
      <c r="CY28181" s="34" t="s">
        <v>29107</v>
      </c>
      <c r="CZ28181" s="35">
        <v>0.55672336000000011</v>
      </c>
    </row>
    <row r="28182" spans="103:104" x14ac:dyDescent="0.3">
      <c r="CY28182" s="34" t="s">
        <v>29108</v>
      </c>
      <c r="CZ28182" s="35">
        <v>0.30624334799999997</v>
      </c>
    </row>
    <row r="28183" spans="103:104" x14ac:dyDescent="0.3">
      <c r="CY28183" s="34" t="s">
        <v>29109</v>
      </c>
      <c r="CZ28183" s="35">
        <v>8.7960160000000003E-3</v>
      </c>
    </row>
    <row r="28184" spans="103:104" x14ac:dyDescent="0.3">
      <c r="CY28184" s="34" t="s">
        <v>29110</v>
      </c>
      <c r="CZ28184" s="35">
        <v>8.7960160000000003E-3</v>
      </c>
    </row>
    <row r="28185" spans="103:104" x14ac:dyDescent="0.3">
      <c r="CY28185" s="34" t="s">
        <v>29111</v>
      </c>
      <c r="CZ28185" s="35">
        <v>5.637350000000001E-3</v>
      </c>
    </row>
    <row r="28186" spans="103:104" x14ac:dyDescent="0.3">
      <c r="CY28186" s="34" t="s">
        <v>29112</v>
      </c>
      <c r="CZ28186" s="35">
        <v>5.637350000000001E-3</v>
      </c>
    </row>
    <row r="28187" spans="103:104" x14ac:dyDescent="0.3">
      <c r="CY28187" s="34" t="s">
        <v>29113</v>
      </c>
      <c r="CZ28187" s="35">
        <v>4.0187637564999996E-3</v>
      </c>
    </row>
    <row r="28188" spans="103:104" x14ac:dyDescent="0.3">
      <c r="CY28188" s="34" t="s">
        <v>29114</v>
      </c>
      <c r="CZ28188" s="35">
        <v>2.3256084E-2</v>
      </c>
    </row>
    <row r="28189" spans="103:104" x14ac:dyDescent="0.3">
      <c r="CY28189" s="34" t="s">
        <v>29115</v>
      </c>
      <c r="CZ28189" s="35">
        <v>1.35257016E-2</v>
      </c>
    </row>
    <row r="28190" spans="103:104" x14ac:dyDescent="0.3">
      <c r="CY28190" s="34" t="s">
        <v>29116</v>
      </c>
      <c r="CZ28190" s="35">
        <v>1.35257016E-2</v>
      </c>
    </row>
    <row r="28191" spans="103:104" x14ac:dyDescent="0.3">
      <c r="CY28191" s="34" t="s">
        <v>29117</v>
      </c>
      <c r="CZ28191" s="35">
        <v>1.0557765999999998E-3</v>
      </c>
    </row>
    <row r="28192" spans="103:104" x14ac:dyDescent="0.3">
      <c r="CY28192" s="34" t="s">
        <v>29118</v>
      </c>
      <c r="CZ28192" s="35">
        <v>1.7399015999999998E-3</v>
      </c>
    </row>
    <row r="28193" spans="103:104" x14ac:dyDescent="0.3">
      <c r="CY28193" s="34" t="s">
        <v>29119</v>
      </c>
      <c r="CZ28193" s="35">
        <v>1.35257016E-2</v>
      </c>
    </row>
    <row r="28194" spans="103:104" x14ac:dyDescent="0.3">
      <c r="CY28194" s="34" t="s">
        <v>29120</v>
      </c>
      <c r="CZ28194" s="35">
        <v>2.6153901600000005E-2</v>
      </c>
    </row>
    <row r="28195" spans="103:104" x14ac:dyDescent="0.3">
      <c r="CY28195" s="34" t="s">
        <v>29121</v>
      </c>
      <c r="CZ28195" s="35">
        <v>2.6153901600000001E-2</v>
      </c>
    </row>
    <row r="28196" spans="103:104" x14ac:dyDescent="0.3">
      <c r="CY28196" s="34" t="s">
        <v>29122</v>
      </c>
      <c r="CZ28196" s="35">
        <v>2.6476536400000004E-2</v>
      </c>
    </row>
    <row r="28197" spans="103:104" x14ac:dyDescent="0.3">
      <c r="CY28197" s="34" t="s">
        <v>29123</v>
      </c>
      <c r="CZ28197" s="35">
        <v>2.64765364E-2</v>
      </c>
    </row>
    <row r="28198" spans="103:104" x14ac:dyDescent="0.3">
      <c r="CY28198" s="34" t="s">
        <v>29124</v>
      </c>
      <c r="CZ28198" s="35">
        <v>2.6387101600000004E-2</v>
      </c>
    </row>
    <row r="28199" spans="103:104" x14ac:dyDescent="0.3">
      <c r="CY28199" s="34" t="s">
        <v>29125</v>
      </c>
      <c r="CZ28199" s="35">
        <v>2.6387101600000001E-2</v>
      </c>
    </row>
    <row r="28200" spans="103:104" x14ac:dyDescent="0.3">
      <c r="CY28200" s="34" t="s">
        <v>29126</v>
      </c>
      <c r="CZ28200" s="35">
        <v>1.0509849319999998E-3</v>
      </c>
    </row>
    <row r="28201" spans="103:104" x14ac:dyDescent="0.3">
      <c r="CY28201" s="34" t="s">
        <v>29127</v>
      </c>
      <c r="CZ28201" s="35">
        <v>6.4880000000000005E-4</v>
      </c>
    </row>
    <row r="28202" spans="103:104" x14ac:dyDescent="0.3">
      <c r="CY28202" s="34" t="s">
        <v>29128</v>
      </c>
      <c r="CZ28202" s="35">
        <v>0.189916588</v>
      </c>
    </row>
    <row r="28203" spans="103:104" x14ac:dyDescent="0.3">
      <c r="CY28203" s="34" t="s">
        <v>29129</v>
      </c>
      <c r="CZ28203" s="35">
        <v>1.4694980999999998E-2</v>
      </c>
    </row>
    <row r="28204" spans="103:104" x14ac:dyDescent="0.3">
      <c r="CY28204" s="34" t="s">
        <v>29130</v>
      </c>
      <c r="CZ28204" s="35">
        <v>1.7544976E-2</v>
      </c>
    </row>
    <row r="28205" spans="103:104" x14ac:dyDescent="0.3">
      <c r="CY28205" s="34" t="s">
        <v>29131</v>
      </c>
      <c r="CZ28205" s="35">
        <v>0.19915621252000001</v>
      </c>
    </row>
    <row r="28206" spans="103:104" x14ac:dyDescent="0.3">
      <c r="CY28206" s="34" t="s">
        <v>29132</v>
      </c>
      <c r="CZ28206" s="35">
        <v>1.0897630333333334E-3</v>
      </c>
    </row>
    <row r="28207" spans="103:104" x14ac:dyDescent="0.3">
      <c r="CY28207" s="34" t="s">
        <v>29133</v>
      </c>
      <c r="CZ28207" s="35">
        <v>0.60856488600000003</v>
      </c>
    </row>
    <row r="28208" spans="103:104" x14ac:dyDescent="0.3">
      <c r="CY28208" s="34" t="s">
        <v>29134</v>
      </c>
      <c r="CZ28208" s="35">
        <v>0.60856488599999992</v>
      </c>
    </row>
    <row r="28209" spans="103:104" x14ac:dyDescent="0.3">
      <c r="CY28209" s="34" t="s">
        <v>29135</v>
      </c>
      <c r="CZ28209" s="35">
        <v>0.60856488600000003</v>
      </c>
    </row>
    <row r="28210" spans="103:104" x14ac:dyDescent="0.3">
      <c r="CY28210" s="34" t="s">
        <v>29136</v>
      </c>
      <c r="CZ28210" s="35">
        <v>0.60856488599999992</v>
      </c>
    </row>
    <row r="28211" spans="103:104" x14ac:dyDescent="0.3">
      <c r="CY28211" s="34" t="s">
        <v>29137</v>
      </c>
      <c r="CZ28211" s="35">
        <v>0.60856488600000003</v>
      </c>
    </row>
    <row r="28212" spans="103:104" x14ac:dyDescent="0.3">
      <c r="CY28212" s="34" t="s">
        <v>29138</v>
      </c>
      <c r="CZ28212" s="35">
        <v>0.64222115199999996</v>
      </c>
    </row>
    <row r="28213" spans="103:104" x14ac:dyDescent="0.3">
      <c r="CY28213" s="34" t="s">
        <v>29139</v>
      </c>
      <c r="CZ28213" s="35">
        <v>0.24190424133333335</v>
      </c>
    </row>
    <row r="28214" spans="103:104" x14ac:dyDescent="0.3">
      <c r="CY28214" s="34" t="s">
        <v>29140</v>
      </c>
      <c r="CZ28214" s="35">
        <v>0.11695253600000001</v>
      </c>
    </row>
    <row r="28215" spans="103:104" x14ac:dyDescent="0.3">
      <c r="CY28215" s="34" t="s">
        <v>29141</v>
      </c>
      <c r="CZ28215" s="35">
        <v>9.1384479999999998E-4</v>
      </c>
    </row>
    <row r="28216" spans="103:104" x14ac:dyDescent="0.3">
      <c r="CY28216" s="34" t="s">
        <v>29142</v>
      </c>
      <c r="CZ28216" s="35">
        <v>2.8682836E-2</v>
      </c>
    </row>
    <row r="28217" spans="103:104" x14ac:dyDescent="0.3">
      <c r="CY28217" s="34" t="s">
        <v>29143</v>
      </c>
      <c r="CZ28217" s="35">
        <v>3.4704000000000002E-3</v>
      </c>
    </row>
    <row r="28218" spans="103:104" x14ac:dyDescent="0.3">
      <c r="CY28218" s="34" t="s">
        <v>29144</v>
      </c>
      <c r="CZ28218" s="35">
        <v>8.9313279999999999E-4</v>
      </c>
    </row>
    <row r="28219" spans="103:104" x14ac:dyDescent="0.3">
      <c r="CY28219" s="34" t="s">
        <v>29145</v>
      </c>
      <c r="CZ28219" s="35">
        <v>3.4704000000000002E-3</v>
      </c>
    </row>
    <row r="28220" spans="103:104" x14ac:dyDescent="0.3">
      <c r="CY28220" s="34" t="s">
        <v>29146</v>
      </c>
      <c r="CZ28220" s="35">
        <v>7.3200000000000001E-4</v>
      </c>
    </row>
    <row r="28221" spans="103:104" x14ac:dyDescent="0.3">
      <c r="CY28221" s="34" t="s">
        <v>29147</v>
      </c>
      <c r="CZ28221" s="35">
        <v>7.3200000000000001E-4</v>
      </c>
    </row>
    <row r="28222" spans="103:104" x14ac:dyDescent="0.3">
      <c r="CY28222" s="34" t="s">
        <v>29148</v>
      </c>
      <c r="CZ28222" s="35">
        <v>1.4080000000000001E-2</v>
      </c>
    </row>
    <row r="28223" spans="103:104" x14ac:dyDescent="0.3">
      <c r="CY28223" s="34" t="s">
        <v>29149</v>
      </c>
      <c r="CZ28223" s="35">
        <v>2.2962484E-3</v>
      </c>
    </row>
    <row r="28224" spans="103:104" x14ac:dyDescent="0.3">
      <c r="CY28224" s="34" t="s">
        <v>29150</v>
      </c>
      <c r="CZ28224" s="35">
        <v>8.7061733333333334E-4</v>
      </c>
    </row>
    <row r="28225" spans="103:104" x14ac:dyDescent="0.3">
      <c r="CY28225" s="34" t="s">
        <v>29151</v>
      </c>
      <c r="CZ28225" s="35">
        <v>1.0676000000000001E-3</v>
      </c>
    </row>
    <row r="28226" spans="103:104" x14ac:dyDescent="0.3">
      <c r="CY28226" s="34" t="s">
        <v>29152</v>
      </c>
      <c r="CZ28226" s="35">
        <v>1.1620000000000001E-3</v>
      </c>
    </row>
    <row r="28227" spans="103:104" x14ac:dyDescent="0.3">
      <c r="CY28227" s="34" t="s">
        <v>29153</v>
      </c>
      <c r="CZ28227" s="35">
        <v>5.3380000000000007E-4</v>
      </c>
    </row>
    <row r="28228" spans="103:104" x14ac:dyDescent="0.3">
      <c r="CY28228" s="34" t="s">
        <v>29154</v>
      </c>
      <c r="CZ28228" s="35">
        <v>9.2734799999999993E-4</v>
      </c>
    </row>
    <row r="28229" spans="103:104" x14ac:dyDescent="0.3">
      <c r="CY28229" s="34" t="s">
        <v>29155</v>
      </c>
      <c r="CZ28229" s="35">
        <v>1.1327783999999999E-2</v>
      </c>
    </row>
    <row r="28230" spans="103:104" x14ac:dyDescent="0.3">
      <c r="CY28230" s="34" t="s">
        <v>29156</v>
      </c>
      <c r="CZ28230" s="35">
        <v>4.2704687999999998E-3</v>
      </c>
    </row>
    <row r="28231" spans="103:104" x14ac:dyDescent="0.3">
      <c r="CY28231" s="34" t="s">
        <v>29157</v>
      </c>
      <c r="CZ28231" s="35">
        <v>8.9700000000000012E-4</v>
      </c>
    </row>
    <row r="28232" spans="103:104" x14ac:dyDescent="0.3">
      <c r="CY28232" s="34" t="s">
        <v>29158</v>
      </c>
      <c r="CZ28232" s="35">
        <v>2.0518999999999997E-3</v>
      </c>
    </row>
    <row r="28233" spans="103:104" x14ac:dyDescent="0.3">
      <c r="CY28233" s="34" t="s">
        <v>29159</v>
      </c>
      <c r="CZ28233" s="35">
        <v>6.6379999999999998E-4</v>
      </c>
    </row>
    <row r="28234" spans="103:104" x14ac:dyDescent="0.3">
      <c r="CY28234" s="34" t="s">
        <v>29160</v>
      </c>
      <c r="CZ28234" s="35">
        <v>6.6379999999999998E-4</v>
      </c>
    </row>
    <row r="28235" spans="103:104" x14ac:dyDescent="0.3">
      <c r="CY28235" s="34" t="s">
        <v>29161</v>
      </c>
      <c r="CZ28235" s="35">
        <v>1.3633999999999999E-3</v>
      </c>
    </row>
    <row r="28236" spans="103:104" x14ac:dyDescent="0.3">
      <c r="CY28236" s="34" t="s">
        <v>29162</v>
      </c>
      <c r="CZ28236" s="35">
        <v>6.6379999999999998E-4</v>
      </c>
    </row>
    <row r="28237" spans="103:104" x14ac:dyDescent="0.3">
      <c r="CY28237" s="34" t="s">
        <v>29163</v>
      </c>
      <c r="CZ28237" s="35">
        <v>0.199331168</v>
      </c>
    </row>
    <row r="28238" spans="103:104" x14ac:dyDescent="0.3">
      <c r="CY28238" s="34" t="s">
        <v>29164</v>
      </c>
      <c r="CZ28238" s="35">
        <v>2.8773481E-2</v>
      </c>
    </row>
    <row r="28239" spans="103:104" x14ac:dyDescent="0.3">
      <c r="CY28239" s="34" t="s">
        <v>29165</v>
      </c>
      <c r="CZ28239" s="35">
        <v>7.0302119999999992E-3</v>
      </c>
    </row>
    <row r="28240" spans="103:104" x14ac:dyDescent="0.3">
      <c r="CY28240" s="34" t="s">
        <v>29166</v>
      </c>
      <c r="CZ28240" s="35">
        <v>0.13369677736842106</v>
      </c>
    </row>
    <row r="28241" spans="103:104" x14ac:dyDescent="0.3">
      <c r="CY28241" s="34" t="s">
        <v>29167</v>
      </c>
      <c r="CZ28241" s="35">
        <v>0.73627726530000004</v>
      </c>
    </row>
    <row r="28242" spans="103:104" x14ac:dyDescent="0.3">
      <c r="CY28242" s="34" t="s">
        <v>29168</v>
      </c>
      <c r="CZ28242" s="35">
        <v>0.73627726530000004</v>
      </c>
    </row>
    <row r="28243" spans="103:104" x14ac:dyDescent="0.3">
      <c r="CY28243" s="34" t="s">
        <v>29169</v>
      </c>
      <c r="CZ28243" s="35">
        <v>0.73627726530000004</v>
      </c>
    </row>
    <row r="28244" spans="103:104" x14ac:dyDescent="0.3">
      <c r="CY28244" s="34" t="s">
        <v>29170</v>
      </c>
      <c r="CZ28244" s="35">
        <v>0.10188934660000001</v>
      </c>
    </row>
    <row r="28245" spans="103:104" x14ac:dyDescent="0.3">
      <c r="CY28245" s="34" t="s">
        <v>29171</v>
      </c>
      <c r="CZ28245" s="35">
        <v>0.26408953400000001</v>
      </c>
    </row>
    <row r="28246" spans="103:104" x14ac:dyDescent="0.3">
      <c r="CY28246" s="34" t="s">
        <v>29172</v>
      </c>
      <c r="CZ28246" s="35">
        <v>1.3041178400000001E-2</v>
      </c>
    </row>
    <row r="28247" spans="103:104" x14ac:dyDescent="0.3">
      <c r="CY28247" s="34" t="s">
        <v>29173</v>
      </c>
      <c r="CZ28247" s="35">
        <v>5.5165575999999994E-3</v>
      </c>
    </row>
    <row r="28248" spans="103:104" x14ac:dyDescent="0.3">
      <c r="CY28248" s="34" t="s">
        <v>29174</v>
      </c>
      <c r="CZ28248" s="35">
        <v>0.16944738000000001</v>
      </c>
    </row>
    <row r="28249" spans="103:104" x14ac:dyDescent="0.3">
      <c r="CY28249" s="34" t="s">
        <v>29175</v>
      </c>
      <c r="CZ28249" s="35">
        <v>0.16115507999999995</v>
      </c>
    </row>
    <row r="28250" spans="103:104" x14ac:dyDescent="0.3">
      <c r="CY28250" s="34" t="s">
        <v>29176</v>
      </c>
      <c r="CZ28250" s="35">
        <v>8.6703945199999993E-3</v>
      </c>
    </row>
    <row r="28251" spans="103:104" x14ac:dyDescent="0.3">
      <c r="CY28251" s="34" t="s">
        <v>29177</v>
      </c>
      <c r="CZ28251" s="35">
        <v>8.6703945199999993E-3</v>
      </c>
    </row>
    <row r="28252" spans="103:104" x14ac:dyDescent="0.3">
      <c r="CY28252" s="34" t="s">
        <v>29178</v>
      </c>
      <c r="CZ28252" s="35">
        <v>9.3675197610400013E-3</v>
      </c>
    </row>
    <row r="28253" spans="103:104" x14ac:dyDescent="0.3">
      <c r="CY28253" s="34" t="s">
        <v>29179</v>
      </c>
      <c r="CZ28253" s="35">
        <v>9.2845476E-3</v>
      </c>
    </row>
    <row r="28254" spans="103:104" x14ac:dyDescent="0.3">
      <c r="CY28254" s="34" t="s">
        <v>29180</v>
      </c>
      <c r="CZ28254" s="35">
        <v>9.2845475999999982E-3</v>
      </c>
    </row>
    <row r="28255" spans="103:104" x14ac:dyDescent="0.3">
      <c r="CY28255" s="34" t="s">
        <v>29181</v>
      </c>
      <c r="CZ28255" s="35">
        <v>7.9199160000000008E-3</v>
      </c>
    </row>
    <row r="28256" spans="103:104" x14ac:dyDescent="0.3">
      <c r="CY28256" s="34" t="s">
        <v>29182</v>
      </c>
      <c r="CZ28256" s="35">
        <v>5.4123153428571429E-2</v>
      </c>
    </row>
    <row r="28257" spans="103:104" x14ac:dyDescent="0.3">
      <c r="CY28257" s="34" t="s">
        <v>29183</v>
      </c>
      <c r="CZ28257" s="35">
        <v>3.573646244444445E-2</v>
      </c>
    </row>
    <row r="28258" spans="103:104" x14ac:dyDescent="0.3">
      <c r="CY28258" s="34" t="s">
        <v>29184</v>
      </c>
      <c r="CZ28258" s="35">
        <v>3.4016557777777789E-2</v>
      </c>
    </row>
    <row r="28259" spans="103:104" x14ac:dyDescent="0.3">
      <c r="CY28259" s="34" t="s">
        <v>29185</v>
      </c>
      <c r="CZ28259" s="35">
        <v>4.6480000000000002E-5</v>
      </c>
    </row>
    <row r="28260" spans="103:104" x14ac:dyDescent="0.3">
      <c r="CY28260" s="34" t="s">
        <v>29186</v>
      </c>
      <c r="CZ28260" s="35">
        <v>0.26596908399999997</v>
      </c>
    </row>
    <row r="28261" spans="103:104" x14ac:dyDescent="0.3">
      <c r="CY28261" s="34" t="s">
        <v>29187</v>
      </c>
      <c r="CZ28261" s="35">
        <v>0.15897109998</v>
      </c>
    </row>
    <row r="28262" spans="103:104" x14ac:dyDescent="0.3">
      <c r="CY28262" s="34" t="s">
        <v>29188</v>
      </c>
      <c r="CZ28262" s="35">
        <v>1.9411615555555556E-3</v>
      </c>
    </row>
    <row r="28263" spans="103:104" x14ac:dyDescent="0.3">
      <c r="CY28263" s="34" t="s">
        <v>29189</v>
      </c>
      <c r="CZ28263" s="35">
        <v>2.2623320000000001E-3</v>
      </c>
    </row>
    <row r="28264" spans="103:104" x14ac:dyDescent="0.3">
      <c r="CY28264" s="34" t="s">
        <v>29190</v>
      </c>
      <c r="CZ28264" s="35">
        <v>1.0342644E-2</v>
      </c>
    </row>
    <row r="28265" spans="103:104" x14ac:dyDescent="0.3">
      <c r="CY28265" s="34" t="s">
        <v>29191</v>
      </c>
      <c r="CZ28265" s="35">
        <v>3.3295715999999996E-2</v>
      </c>
    </row>
    <row r="28266" spans="103:104" x14ac:dyDescent="0.3">
      <c r="CY28266" s="34" t="s">
        <v>29192</v>
      </c>
      <c r="CZ28266" s="35">
        <v>0.23674841187499998</v>
      </c>
    </row>
    <row r="28267" spans="103:104" x14ac:dyDescent="0.3">
      <c r="CY28267" s="34" t="s">
        <v>29193</v>
      </c>
      <c r="CZ28267" s="35">
        <v>0.25031845591666668</v>
      </c>
    </row>
    <row r="28268" spans="103:104" x14ac:dyDescent="0.3">
      <c r="CY28268" s="34" t="s">
        <v>29194</v>
      </c>
      <c r="CZ28268" s="35">
        <v>1.2176923125000001E-3</v>
      </c>
    </row>
    <row r="28269" spans="103:104" x14ac:dyDescent="0.3">
      <c r="CY28269" s="34" t="s">
        <v>29195</v>
      </c>
      <c r="CZ28269" s="35">
        <v>2.3628572500000002E-3</v>
      </c>
    </row>
    <row r="28270" spans="103:104" x14ac:dyDescent="0.3">
      <c r="CY28270" s="34" t="s">
        <v>29196</v>
      </c>
      <c r="CZ28270" s="35">
        <v>0.14423260000000002</v>
      </c>
    </row>
    <row r="28271" spans="103:104" x14ac:dyDescent="0.3">
      <c r="CY28271" s="34" t="s">
        <v>29197</v>
      </c>
      <c r="CZ28271" s="35">
        <v>9.1885703999999999E-2</v>
      </c>
    </row>
    <row r="28272" spans="103:104" x14ac:dyDescent="0.3">
      <c r="CY28272" s="34" t="s">
        <v>29198</v>
      </c>
      <c r="CZ28272" s="35">
        <v>7.1044964000000016E-2</v>
      </c>
    </row>
    <row r="28273" spans="103:104" x14ac:dyDescent="0.3">
      <c r="CY28273" s="34" t="s">
        <v>29199</v>
      </c>
      <c r="CZ28273" s="35">
        <v>6.3463280000000011E-2</v>
      </c>
    </row>
    <row r="28274" spans="103:104" x14ac:dyDescent="0.3">
      <c r="CY28274" s="34" t="s">
        <v>29200</v>
      </c>
      <c r="CZ28274" s="35">
        <v>8.793071999999999E-3</v>
      </c>
    </row>
    <row r="28275" spans="103:104" x14ac:dyDescent="0.3">
      <c r="CY28275" s="34" t="s">
        <v>29201</v>
      </c>
      <c r="CZ28275" s="35">
        <v>5.6895159999999995E-3</v>
      </c>
    </row>
    <row r="28276" spans="103:104" x14ac:dyDescent="0.3">
      <c r="CY28276" s="34" t="s">
        <v>29202</v>
      </c>
      <c r="CZ28276" s="35">
        <v>7.7586880000000006E-3</v>
      </c>
    </row>
    <row r="28277" spans="103:104" x14ac:dyDescent="0.3">
      <c r="CY28277" s="34" t="s">
        <v>29203</v>
      </c>
      <c r="CZ28277" s="35">
        <v>5.1300080000000001E-3</v>
      </c>
    </row>
    <row r="28278" spans="103:104" x14ac:dyDescent="0.3">
      <c r="CY28278" s="34" t="s">
        <v>29204</v>
      </c>
      <c r="CZ28278" s="35">
        <v>7.116495950000001E-3</v>
      </c>
    </row>
    <row r="28279" spans="103:104" x14ac:dyDescent="0.3">
      <c r="CY28279" s="34" t="s">
        <v>29205</v>
      </c>
      <c r="CZ28279" s="35">
        <v>7.32208944E-2</v>
      </c>
    </row>
    <row r="28280" spans="103:104" x14ac:dyDescent="0.3">
      <c r="CY28280" s="34" t="s">
        <v>29206</v>
      </c>
      <c r="CZ28280" s="35">
        <v>1.3541436359999999E-2</v>
      </c>
    </row>
    <row r="28281" spans="103:104" x14ac:dyDescent="0.3">
      <c r="CY28281" s="34" t="s">
        <v>29207</v>
      </c>
      <c r="CZ28281" s="35">
        <v>1.3015204000000001E-2</v>
      </c>
    </row>
    <row r="28282" spans="103:104" x14ac:dyDescent="0.3">
      <c r="CY28282" s="34" t="s">
        <v>29208</v>
      </c>
      <c r="CZ28282" s="35">
        <v>2.030104E-4</v>
      </c>
    </row>
    <row r="28283" spans="103:104" x14ac:dyDescent="0.3">
      <c r="CY28283" s="34" t="s">
        <v>29209</v>
      </c>
      <c r="CZ28283" s="35">
        <v>6.0213586000000003E-3</v>
      </c>
    </row>
    <row r="28284" spans="103:104" x14ac:dyDescent="0.3">
      <c r="CY28284" s="34" t="s">
        <v>29210</v>
      </c>
      <c r="CZ28284" s="35">
        <v>3.9330884000000004E-4</v>
      </c>
    </row>
    <row r="28285" spans="103:104" x14ac:dyDescent="0.3">
      <c r="CY28285" s="34" t="s">
        <v>29211</v>
      </c>
      <c r="CZ28285" s="35">
        <v>5.5564624000000004E-4</v>
      </c>
    </row>
    <row r="28286" spans="103:104" x14ac:dyDescent="0.3">
      <c r="CY28286" s="34" t="s">
        <v>29212</v>
      </c>
      <c r="CZ28286" s="35">
        <v>0.22405192400000004</v>
      </c>
    </row>
    <row r="28287" spans="103:104" x14ac:dyDescent="0.3">
      <c r="CY28287" s="34" t="s">
        <v>29213</v>
      </c>
      <c r="CZ28287" s="35">
        <v>1.00846936E-3</v>
      </c>
    </row>
    <row r="28288" spans="103:104" x14ac:dyDescent="0.3">
      <c r="CY28288" s="34" t="s">
        <v>29214</v>
      </c>
      <c r="CZ28288" s="35">
        <v>0.16041950930000001</v>
      </c>
    </row>
    <row r="28289" spans="103:104" x14ac:dyDescent="0.3">
      <c r="CY28289" s="34" t="s">
        <v>29215</v>
      </c>
      <c r="CZ28289" s="35">
        <v>0.56317571200000016</v>
      </c>
    </row>
    <row r="28290" spans="103:104" x14ac:dyDescent="0.3">
      <c r="CY28290" s="34" t="s">
        <v>29216</v>
      </c>
      <c r="CZ28290" s="35">
        <v>2.056656E-3</v>
      </c>
    </row>
    <row r="28291" spans="103:104" x14ac:dyDescent="0.3">
      <c r="CY28291" s="34" t="s">
        <v>29217</v>
      </c>
      <c r="CZ28291" s="35">
        <v>2.056656E-3</v>
      </c>
    </row>
    <row r="28292" spans="103:104" x14ac:dyDescent="0.3">
      <c r="CY28292" s="34" t="s">
        <v>29218</v>
      </c>
      <c r="CZ28292" s="35">
        <v>7.6726504000000015E-2</v>
      </c>
    </row>
    <row r="28293" spans="103:104" x14ac:dyDescent="0.3">
      <c r="CY28293" s="34" t="s">
        <v>29219</v>
      </c>
      <c r="CZ28293" s="35">
        <v>7.90335707E-2</v>
      </c>
    </row>
    <row r="28294" spans="103:104" x14ac:dyDescent="0.3">
      <c r="CY28294" s="34" t="s">
        <v>29220</v>
      </c>
      <c r="CZ28294" s="35">
        <v>0.38880851855555554</v>
      </c>
    </row>
    <row r="28295" spans="103:104" x14ac:dyDescent="0.3">
      <c r="CY28295" s="34" t="s">
        <v>29221</v>
      </c>
      <c r="CZ28295" s="35">
        <v>7.90335707E-2</v>
      </c>
    </row>
    <row r="28296" spans="103:104" x14ac:dyDescent="0.3">
      <c r="CY28296" s="34" t="s">
        <v>29222</v>
      </c>
      <c r="CZ28296" s="35">
        <v>9.2891986699999998E-2</v>
      </c>
    </row>
    <row r="28297" spans="103:104" x14ac:dyDescent="0.3">
      <c r="CY28297" s="34" t="s">
        <v>29223</v>
      </c>
      <c r="CZ28297" s="35">
        <v>7.1373346700000007E-2</v>
      </c>
    </row>
    <row r="28298" spans="103:104" x14ac:dyDescent="0.3">
      <c r="CY28298" s="34" t="s">
        <v>29224</v>
      </c>
      <c r="CZ28298" s="35">
        <v>0.11518282670000002</v>
      </c>
    </row>
    <row r="28299" spans="103:104" x14ac:dyDescent="0.3">
      <c r="CY28299" s="34" t="s">
        <v>29225</v>
      </c>
      <c r="CZ28299" s="35">
        <v>1.39216667E-2</v>
      </c>
    </row>
    <row r="28300" spans="103:104" x14ac:dyDescent="0.3">
      <c r="CY28300" s="34" t="s">
        <v>29226</v>
      </c>
      <c r="CZ28300" s="35">
        <v>3.6256667000000003E-3</v>
      </c>
    </row>
    <row r="28301" spans="103:104" x14ac:dyDescent="0.3">
      <c r="CY28301" s="34" t="s">
        <v>29227</v>
      </c>
      <c r="CZ28301" s="35">
        <v>7.1373346700000007E-2</v>
      </c>
    </row>
    <row r="28302" spans="103:104" x14ac:dyDescent="0.3">
      <c r="CY28302" s="34" t="s">
        <v>29228</v>
      </c>
      <c r="CZ28302" s="35">
        <v>1.1448019999999999</v>
      </c>
    </row>
    <row r="28303" spans="103:104" x14ac:dyDescent="0.3">
      <c r="CY28303" s="34" t="s">
        <v>29229</v>
      </c>
      <c r="CZ28303" s="35">
        <v>0.84720889999999993</v>
      </c>
    </row>
    <row r="28304" spans="103:104" x14ac:dyDescent="0.3">
      <c r="CY28304" s="34" t="s">
        <v>29230</v>
      </c>
      <c r="CZ28304" s="35">
        <v>0.53360874999999997</v>
      </c>
    </row>
    <row r="28305" spans="103:104" x14ac:dyDescent="0.3">
      <c r="CY28305" s="34" t="s">
        <v>29231</v>
      </c>
      <c r="CZ28305" s="35">
        <v>0.71222099500000013</v>
      </c>
    </row>
    <row r="28306" spans="103:104" x14ac:dyDescent="0.3">
      <c r="CY28306" s="34" t="s">
        <v>29232</v>
      </c>
      <c r="CZ28306" s="35">
        <v>4.400522628571428E-2</v>
      </c>
    </row>
    <row r="28307" spans="103:104" x14ac:dyDescent="0.3">
      <c r="CY28307" s="34" t="s">
        <v>29233</v>
      </c>
      <c r="CZ28307" s="35">
        <v>0.17545596250000001</v>
      </c>
    </row>
    <row r="28308" spans="103:104" x14ac:dyDescent="0.3">
      <c r="CY28308" s="34" t="s">
        <v>29234</v>
      </c>
      <c r="CZ28308" s="35">
        <v>0.13150961850000001</v>
      </c>
    </row>
    <row r="28309" spans="103:104" x14ac:dyDescent="0.3">
      <c r="CY28309" s="34" t="s">
        <v>29235</v>
      </c>
      <c r="CZ28309" s="35">
        <v>2.4982569999999999E-2</v>
      </c>
    </row>
    <row r="28310" spans="103:104" x14ac:dyDescent="0.3">
      <c r="CY28310" s="34" t="s">
        <v>29236</v>
      </c>
      <c r="CZ28310" s="35">
        <v>4.217887E-3</v>
      </c>
    </row>
    <row r="28311" spans="103:104" x14ac:dyDescent="0.3">
      <c r="CY28311" s="34" t="s">
        <v>29237</v>
      </c>
      <c r="CZ28311" s="35">
        <v>4.8803574999999998E-3</v>
      </c>
    </row>
    <row r="28312" spans="103:104" x14ac:dyDescent="0.3">
      <c r="CY28312" s="34" t="s">
        <v>29238</v>
      </c>
      <c r="CZ28312" s="35">
        <v>5.7409842105263155E-4</v>
      </c>
    </row>
    <row r="28313" spans="103:104" x14ac:dyDescent="0.3">
      <c r="CY28313" s="34" t="s">
        <v>29239</v>
      </c>
      <c r="CZ28313" s="35">
        <v>0.42973726700000003</v>
      </c>
    </row>
    <row r="28314" spans="103:104" x14ac:dyDescent="0.3">
      <c r="CY28314" s="34" t="s">
        <v>29240</v>
      </c>
      <c r="CZ28314" s="35">
        <v>1.4530904000000002E-2</v>
      </c>
    </row>
    <row r="28315" spans="103:104" x14ac:dyDescent="0.3">
      <c r="CY28315" s="34" t="s">
        <v>29241</v>
      </c>
      <c r="CZ28315" s="35">
        <v>9.2588863999999993E-2</v>
      </c>
    </row>
    <row r="28316" spans="103:104" x14ac:dyDescent="0.3">
      <c r="CY28316" s="34" t="s">
        <v>29242</v>
      </c>
      <c r="CZ28316" s="35">
        <v>6.5319787200000007E-2</v>
      </c>
    </row>
    <row r="28317" spans="103:104" x14ac:dyDescent="0.3">
      <c r="CY28317" s="34" t="s">
        <v>29243</v>
      </c>
      <c r="CZ28317" s="35">
        <v>3.2518349599999996E-2</v>
      </c>
    </row>
    <row r="28318" spans="103:104" x14ac:dyDescent="0.3">
      <c r="CY28318" s="34" t="s">
        <v>29244</v>
      </c>
      <c r="CZ28318" s="35">
        <v>9.4916219999999999E-3</v>
      </c>
    </row>
    <row r="28319" spans="103:104" x14ac:dyDescent="0.3">
      <c r="CY28319" s="34" t="s">
        <v>29245</v>
      </c>
      <c r="CZ28319" s="35">
        <v>0.50345494700000004</v>
      </c>
    </row>
    <row r="28320" spans="103:104" x14ac:dyDescent="0.3">
      <c r="CY28320" s="34" t="s">
        <v>29246</v>
      </c>
      <c r="CZ28320" s="35">
        <v>0.36477420199999999</v>
      </c>
    </row>
    <row r="28321" spans="103:104" x14ac:dyDescent="0.3">
      <c r="CY28321" s="34" t="s">
        <v>29247</v>
      </c>
      <c r="CZ28321" s="35">
        <v>1.36136122E-2</v>
      </c>
    </row>
    <row r="28322" spans="103:104" x14ac:dyDescent="0.3">
      <c r="CY28322" s="34" t="s">
        <v>29248</v>
      </c>
      <c r="CZ28322" s="35">
        <v>5.7298534000000005E-2</v>
      </c>
    </row>
    <row r="28323" spans="103:104" x14ac:dyDescent="0.3">
      <c r="CY28323" s="34" t="s">
        <v>29249</v>
      </c>
      <c r="CZ28323" s="35">
        <v>3.2172569599999999E-2</v>
      </c>
    </row>
    <row r="28324" spans="103:104" x14ac:dyDescent="0.3">
      <c r="CY28324" s="34" t="s">
        <v>29250</v>
      </c>
      <c r="CZ28324" s="35">
        <v>1.8586888400000001E-2</v>
      </c>
    </row>
    <row r="28325" spans="103:104" x14ac:dyDescent="0.3">
      <c r="CY28325" s="34" t="s">
        <v>29251</v>
      </c>
      <c r="CZ28325" s="35">
        <v>6.5376784000000007E-2</v>
      </c>
    </row>
    <row r="28326" spans="103:104" x14ac:dyDescent="0.3">
      <c r="CY28326" s="34" t="s">
        <v>29252</v>
      </c>
      <c r="CZ28326" s="35">
        <v>8.4657720000000006E-2</v>
      </c>
    </row>
    <row r="28327" spans="103:104" x14ac:dyDescent="0.3">
      <c r="CY28327" s="34" t="s">
        <v>29253</v>
      </c>
      <c r="CZ28327" s="35">
        <v>1.63523606E-3</v>
      </c>
    </row>
    <row r="28328" spans="103:104" x14ac:dyDescent="0.3">
      <c r="CY28328" s="34" t="s">
        <v>29254</v>
      </c>
      <c r="CZ28328" s="35">
        <v>1.9871242599999997E-3</v>
      </c>
    </row>
    <row r="28329" spans="103:104" x14ac:dyDescent="0.3">
      <c r="CY28329" s="34" t="s">
        <v>29255</v>
      </c>
      <c r="CZ28329" s="35">
        <v>4.8817846857142862E-2</v>
      </c>
    </row>
    <row r="28330" spans="103:104" x14ac:dyDescent="0.3">
      <c r="CY28330" s="34" t="s">
        <v>29256</v>
      </c>
      <c r="CZ28330" s="35">
        <v>3.4956105133333334E-3</v>
      </c>
    </row>
    <row r="28331" spans="103:104" x14ac:dyDescent="0.3">
      <c r="CY28331" s="34" t="s">
        <v>29257</v>
      </c>
      <c r="CZ28331" s="35">
        <v>2.8265906666666667E-3</v>
      </c>
    </row>
    <row r="28332" spans="103:104" x14ac:dyDescent="0.3">
      <c r="CY28332" s="34" t="s">
        <v>29258</v>
      </c>
      <c r="CZ28332" s="35">
        <v>4.6767905466666655E-2</v>
      </c>
    </row>
    <row r="28333" spans="103:104" x14ac:dyDescent="0.3">
      <c r="CY28333" s="34" t="s">
        <v>29259</v>
      </c>
      <c r="CZ28333" s="35">
        <v>0.12156100399999999</v>
      </c>
    </row>
    <row r="28334" spans="103:104" x14ac:dyDescent="0.3">
      <c r="CY28334" s="34" t="s">
        <v>29260</v>
      </c>
      <c r="CZ28334" s="35">
        <v>1.1149399999999999E-2</v>
      </c>
    </row>
    <row r="28335" spans="103:104" x14ac:dyDescent="0.3">
      <c r="CY28335" s="34" t="s">
        <v>29261</v>
      </c>
      <c r="CZ28335" s="35">
        <v>2.0137736E-2</v>
      </c>
    </row>
    <row r="28336" spans="103:104" x14ac:dyDescent="0.3">
      <c r="CY28336" s="34" t="s">
        <v>29262</v>
      </c>
      <c r="CZ28336" s="35">
        <v>1.4023352514285715E-3</v>
      </c>
    </row>
    <row r="28337" spans="103:104" x14ac:dyDescent="0.3">
      <c r="CY28337" s="34" t="s">
        <v>29263</v>
      </c>
      <c r="CZ28337" s="35">
        <v>4.1411700000000003E-2</v>
      </c>
    </row>
    <row r="28338" spans="103:104" x14ac:dyDescent="0.3">
      <c r="CY28338" s="34" t="s">
        <v>29264</v>
      </c>
      <c r="CZ28338" s="35">
        <v>3.422883333333334E-2</v>
      </c>
    </row>
    <row r="28339" spans="103:104" x14ac:dyDescent="0.3">
      <c r="CY28339" s="34" t="s">
        <v>29265</v>
      </c>
      <c r="CZ28339" s="35">
        <v>1.0951398733</v>
      </c>
    </row>
    <row r="28340" spans="103:104" x14ac:dyDescent="0.3">
      <c r="CY28340" s="34" t="s">
        <v>29266</v>
      </c>
      <c r="CZ28340" s="35">
        <v>6.4228800000000006E-3</v>
      </c>
    </row>
    <row r="28341" spans="103:104" x14ac:dyDescent="0.3">
      <c r="CY28341" s="34" t="s">
        <v>29267</v>
      </c>
      <c r="CZ28341" s="35">
        <v>6.4228800000000006E-3</v>
      </c>
    </row>
    <row r="28342" spans="103:104" x14ac:dyDescent="0.3">
      <c r="CY28342" s="34" t="s">
        <v>29268</v>
      </c>
      <c r="CZ28342" s="35">
        <v>1.7373744E-2</v>
      </c>
    </row>
    <row r="28343" spans="103:104" x14ac:dyDescent="0.3">
      <c r="CY28343" s="34" t="s">
        <v>29269</v>
      </c>
      <c r="CZ28343" s="35">
        <v>1.7371811999999998E-3</v>
      </c>
    </row>
    <row r="28344" spans="103:104" x14ac:dyDescent="0.3">
      <c r="CY28344" s="34" t="s">
        <v>29270</v>
      </c>
      <c r="CZ28344" s="35">
        <v>1.8709992E-3</v>
      </c>
    </row>
    <row r="28345" spans="103:104" x14ac:dyDescent="0.3">
      <c r="CY28345" s="34" t="s">
        <v>29271</v>
      </c>
      <c r="CZ28345" s="35">
        <v>0.55225374999999999</v>
      </c>
    </row>
    <row r="28346" spans="103:104" x14ac:dyDescent="0.3">
      <c r="CY28346" s="34" t="s">
        <v>29272</v>
      </c>
      <c r="CZ28346" s="35">
        <v>3.6074664000000003E-3</v>
      </c>
    </row>
    <row r="28347" spans="103:104" x14ac:dyDescent="0.3">
      <c r="CY28347" s="34" t="s">
        <v>29273</v>
      </c>
      <c r="CZ28347" s="35">
        <v>0.25977499999999998</v>
      </c>
    </row>
    <row r="28348" spans="103:104" x14ac:dyDescent="0.3">
      <c r="CY28348" s="34" t="s">
        <v>29274</v>
      </c>
      <c r="CZ28348" s="35">
        <v>1.1149399999999999E-2</v>
      </c>
    </row>
    <row r="28349" spans="103:104" x14ac:dyDescent="0.3">
      <c r="CY28349" s="34" t="s">
        <v>29275</v>
      </c>
      <c r="CZ28349" s="35">
        <v>6.1183679999999999E-3</v>
      </c>
    </row>
    <row r="28350" spans="103:104" x14ac:dyDescent="0.3">
      <c r="CY28350" s="34" t="s">
        <v>29276</v>
      </c>
      <c r="CZ28350" s="35">
        <v>3.1320966899999999E-3</v>
      </c>
    </row>
    <row r="28351" spans="103:104" x14ac:dyDescent="0.3">
      <c r="CY28351" s="34" t="s">
        <v>29277</v>
      </c>
      <c r="CZ28351" s="35">
        <v>5.6290937999999999E-2</v>
      </c>
    </row>
    <row r="28352" spans="103:104" x14ac:dyDescent="0.3">
      <c r="CY28352" s="34" t="s">
        <v>29278</v>
      </c>
      <c r="CZ28352" s="35">
        <v>3.0918744444444445E-3</v>
      </c>
    </row>
    <row r="28353" spans="103:104" x14ac:dyDescent="0.3">
      <c r="CY28353" s="34" t="s">
        <v>29279</v>
      </c>
      <c r="CZ28353" s="35">
        <v>8.3347079999999997E-3</v>
      </c>
    </row>
    <row r="28354" spans="103:104" x14ac:dyDescent="0.3">
      <c r="CY28354" s="34" t="s">
        <v>29280</v>
      </c>
      <c r="CZ28354" s="35">
        <v>2.5892024000000002E-3</v>
      </c>
    </row>
    <row r="28355" spans="103:104" x14ac:dyDescent="0.3">
      <c r="CY28355" s="34" t="s">
        <v>29281</v>
      </c>
      <c r="CZ28355" s="35">
        <v>3.9870239999999996E-3</v>
      </c>
    </row>
    <row r="28356" spans="103:104" x14ac:dyDescent="0.3">
      <c r="CY28356" s="34" t="s">
        <v>29282</v>
      </c>
      <c r="CZ28356" s="35">
        <v>2.3370492E-2</v>
      </c>
    </row>
    <row r="28357" spans="103:104" x14ac:dyDescent="0.3">
      <c r="CY28357" s="34" t="s">
        <v>29283</v>
      </c>
      <c r="CZ28357" s="35">
        <v>2.5261264000000002E-2</v>
      </c>
    </row>
    <row r="28358" spans="103:104" x14ac:dyDescent="0.3">
      <c r="CY28358" s="34" t="s">
        <v>29284</v>
      </c>
      <c r="CZ28358" s="35">
        <v>5.3477400000000001E-2</v>
      </c>
    </row>
    <row r="28359" spans="103:104" x14ac:dyDescent="0.3">
      <c r="CY28359" s="34" t="s">
        <v>29285</v>
      </c>
      <c r="CZ28359" s="35">
        <v>2.2856287999999999E-2</v>
      </c>
    </row>
    <row r="28360" spans="103:104" x14ac:dyDescent="0.3">
      <c r="CY28360" s="34" t="s">
        <v>29286</v>
      </c>
      <c r="CZ28360" s="35">
        <v>0.11261331746666667</v>
      </c>
    </row>
    <row r="28361" spans="103:104" x14ac:dyDescent="0.3">
      <c r="CY28361" s="34" t="s">
        <v>29287</v>
      </c>
      <c r="CZ28361" s="35">
        <v>3.6084385999999996E-3</v>
      </c>
    </row>
    <row r="28362" spans="103:104" x14ac:dyDescent="0.3">
      <c r="CY28362" s="34" t="s">
        <v>29288</v>
      </c>
      <c r="CZ28362" s="35">
        <v>3.4068564705882348E-2</v>
      </c>
    </row>
    <row r="28363" spans="103:104" x14ac:dyDescent="0.3">
      <c r="CY28363" s="34" t="s">
        <v>29289</v>
      </c>
      <c r="CZ28363" s="35">
        <v>2.2847358666600003E-2</v>
      </c>
    </row>
    <row r="28364" spans="103:104" x14ac:dyDescent="0.3">
      <c r="CY28364" s="34" t="s">
        <v>29290</v>
      </c>
      <c r="CZ28364" s="35">
        <v>7.8554749999999989E-3</v>
      </c>
    </row>
    <row r="28365" spans="103:104" x14ac:dyDescent="0.3">
      <c r="CY28365" s="34" t="s">
        <v>29291</v>
      </c>
      <c r="CZ28365" s="35">
        <v>1.8520000000000003E-4</v>
      </c>
    </row>
    <row r="28366" spans="103:104" x14ac:dyDescent="0.3">
      <c r="CY28366" s="34" t="s">
        <v>29292</v>
      </c>
      <c r="CZ28366" s="35">
        <v>2.1781999999999999E-3</v>
      </c>
    </row>
    <row r="28367" spans="103:104" x14ac:dyDescent="0.3">
      <c r="CY28367" s="34" t="s">
        <v>29293</v>
      </c>
      <c r="CZ28367" s="35">
        <v>1.9719809999999998E-3</v>
      </c>
    </row>
    <row r="28368" spans="103:104" x14ac:dyDescent="0.3">
      <c r="CY28368" s="34" t="s">
        <v>29294</v>
      </c>
      <c r="CZ28368" s="35">
        <v>4.0834007142857148E-3</v>
      </c>
    </row>
    <row r="28369" spans="103:104" x14ac:dyDescent="0.3">
      <c r="CY28369" s="34" t="s">
        <v>29295</v>
      </c>
      <c r="CZ28369" s="35">
        <v>9.0343124999999989E-3</v>
      </c>
    </row>
    <row r="28370" spans="103:104" x14ac:dyDescent="0.3">
      <c r="CY28370" s="34" t="s">
        <v>29296</v>
      </c>
      <c r="CZ28370" s="35">
        <v>1.621826357142857E-3</v>
      </c>
    </row>
    <row r="28371" spans="103:104" x14ac:dyDescent="0.3">
      <c r="CY28371" s="34" t="s">
        <v>29297</v>
      </c>
      <c r="CZ28371" s="35">
        <v>1.3609671714285717E-3</v>
      </c>
    </row>
    <row r="28372" spans="103:104" x14ac:dyDescent="0.3">
      <c r="CY28372" s="34" t="s">
        <v>29298</v>
      </c>
      <c r="CZ28372" s="35">
        <v>1.660659957142857E-3</v>
      </c>
    </row>
    <row r="28373" spans="103:104" x14ac:dyDescent="0.3">
      <c r="CY28373" s="34" t="s">
        <v>29299</v>
      </c>
      <c r="CZ28373" s="35">
        <v>3.7060783142857144E-3</v>
      </c>
    </row>
    <row r="28374" spans="103:104" x14ac:dyDescent="0.3">
      <c r="CY28374" s="34" t="s">
        <v>29300</v>
      </c>
      <c r="CZ28374" s="35">
        <v>0.22981777999999997</v>
      </c>
    </row>
    <row r="28375" spans="103:104" x14ac:dyDescent="0.3">
      <c r="CY28375" s="34" t="s">
        <v>29301</v>
      </c>
      <c r="CZ28375" s="35">
        <v>0.116106478</v>
      </c>
    </row>
    <row r="28376" spans="103:104" x14ac:dyDescent="0.3">
      <c r="CY28376" s="34" t="s">
        <v>29302</v>
      </c>
      <c r="CZ28376" s="35">
        <v>0.33853911199999998</v>
      </c>
    </row>
    <row r="28377" spans="103:104" x14ac:dyDescent="0.3">
      <c r="CY28377" s="34" t="s">
        <v>29303</v>
      </c>
      <c r="CZ28377" s="35">
        <v>0.29578353200000002</v>
      </c>
    </row>
    <row r="28378" spans="103:104" x14ac:dyDescent="0.3">
      <c r="CY28378" s="34" t="s">
        <v>29304</v>
      </c>
      <c r="CZ28378" s="35">
        <v>0.18026384799999998</v>
      </c>
    </row>
    <row r="28379" spans="103:104" x14ac:dyDescent="0.3">
      <c r="CY28379" s="34" t="s">
        <v>29305</v>
      </c>
      <c r="CZ28379" s="35">
        <v>4.3331298000000003E-4</v>
      </c>
    </row>
    <row r="28380" spans="103:104" x14ac:dyDescent="0.3">
      <c r="CY28380" s="34" t="s">
        <v>29306</v>
      </c>
      <c r="CZ28380" s="35">
        <v>9.8130000000000023E-3</v>
      </c>
    </row>
    <row r="28381" spans="103:104" x14ac:dyDescent="0.3">
      <c r="CY28381" s="34" t="s">
        <v>29307</v>
      </c>
      <c r="CZ28381" s="35">
        <v>0.96608600666666677</v>
      </c>
    </row>
    <row r="28382" spans="103:104" x14ac:dyDescent="0.3">
      <c r="CY28382" s="34" t="s">
        <v>29308</v>
      </c>
      <c r="CZ28382" s="35">
        <v>1.1478802400000002E-2</v>
      </c>
    </row>
    <row r="28383" spans="103:104" x14ac:dyDescent="0.3">
      <c r="CY28383" s="34" t="s">
        <v>29309</v>
      </c>
      <c r="CZ28383" s="35">
        <v>1.0847822499999999</v>
      </c>
    </row>
    <row r="28384" spans="103:104" x14ac:dyDescent="0.3">
      <c r="CY28384" s="34" t="s">
        <v>29310</v>
      </c>
      <c r="CZ28384" s="35">
        <v>1.140339274074074E-3</v>
      </c>
    </row>
    <row r="28385" spans="103:104" x14ac:dyDescent="0.3">
      <c r="CY28385" s="34" t="s">
        <v>29311</v>
      </c>
      <c r="CZ28385" s="35">
        <v>4.5230972000000003E-3</v>
      </c>
    </row>
    <row r="28386" spans="103:104" x14ac:dyDescent="0.3">
      <c r="CY28386" s="34" t="s">
        <v>29312</v>
      </c>
      <c r="CZ28386" s="35">
        <v>2.0384088000000001E-3</v>
      </c>
    </row>
    <row r="28387" spans="103:104" x14ac:dyDescent="0.3">
      <c r="CY28387" s="34" t="s">
        <v>29313</v>
      </c>
      <c r="CZ28387" s="35">
        <v>1.0296642857142858E-3</v>
      </c>
    </row>
    <row r="28388" spans="103:104" x14ac:dyDescent="0.3">
      <c r="CY28388" s="34" t="s">
        <v>29314</v>
      </c>
      <c r="CZ28388" s="35">
        <v>2.7994190000000002E-2</v>
      </c>
    </row>
    <row r="28389" spans="103:104" x14ac:dyDescent="0.3">
      <c r="CY28389" s="34" t="s">
        <v>29315</v>
      </c>
      <c r="CZ28389" s="35">
        <v>4.5611785000000004E-4</v>
      </c>
    </row>
    <row r="28390" spans="103:104" x14ac:dyDescent="0.3">
      <c r="CY28390" s="34" t="s">
        <v>29316</v>
      </c>
      <c r="CZ28390" s="35">
        <v>1.6654143130000001E-3</v>
      </c>
    </row>
    <row r="28391" spans="103:104" x14ac:dyDescent="0.3">
      <c r="CY28391" s="34" t="s">
        <v>29317</v>
      </c>
      <c r="CZ28391" s="35">
        <v>4.3352430000000001E-4</v>
      </c>
    </row>
    <row r="28392" spans="103:104" x14ac:dyDescent="0.3">
      <c r="CY28392" s="34" t="s">
        <v>29318</v>
      </c>
      <c r="CZ28392" s="35">
        <v>0.28872744</v>
      </c>
    </row>
    <row r="28393" spans="103:104" x14ac:dyDescent="0.3">
      <c r="CY28393" s="34" t="s">
        <v>29319</v>
      </c>
      <c r="CZ28393" s="35">
        <v>3.7073472000000007E-3</v>
      </c>
    </row>
    <row r="28394" spans="103:104" x14ac:dyDescent="0.3">
      <c r="CY28394" s="34" t="s">
        <v>29320</v>
      </c>
      <c r="CZ28394" s="35">
        <v>0.12396501599999998</v>
      </c>
    </row>
    <row r="28395" spans="103:104" x14ac:dyDescent="0.3">
      <c r="CY28395" s="34" t="s">
        <v>29321</v>
      </c>
      <c r="CZ28395" s="35">
        <v>0.126252488</v>
      </c>
    </row>
    <row r="28396" spans="103:104" x14ac:dyDescent="0.3">
      <c r="CY28396" s="34" t="s">
        <v>29322</v>
      </c>
      <c r="CZ28396" s="35">
        <v>1.5078809411764706E-2</v>
      </c>
    </row>
    <row r="28397" spans="103:104" x14ac:dyDescent="0.3">
      <c r="CY28397" s="34" t="s">
        <v>29323</v>
      </c>
      <c r="CZ28397" s="35">
        <v>1.03374951E-3</v>
      </c>
    </row>
    <row r="28398" spans="103:104" x14ac:dyDescent="0.3">
      <c r="CY28398" s="34" t="s">
        <v>29324</v>
      </c>
      <c r="CZ28398" s="35">
        <v>9.6750000000000004E-4</v>
      </c>
    </row>
    <row r="28399" spans="103:104" x14ac:dyDescent="0.3">
      <c r="CY28399" s="34" t="s">
        <v>29325</v>
      </c>
      <c r="CZ28399" s="35">
        <v>1.6735416666666667E-3</v>
      </c>
    </row>
    <row r="28400" spans="103:104" x14ac:dyDescent="0.3">
      <c r="CY28400" s="34" t="s">
        <v>29326</v>
      </c>
      <c r="CZ28400" s="35">
        <v>5.3923760000000008E-2</v>
      </c>
    </row>
    <row r="28401" spans="103:104" x14ac:dyDescent="0.3">
      <c r="CY28401" s="34" t="s">
        <v>29327</v>
      </c>
      <c r="CZ28401" s="35">
        <v>1.1994800000000002E-3</v>
      </c>
    </row>
    <row r="28402" spans="103:104" x14ac:dyDescent="0.3">
      <c r="CY28402" s="34" t="s">
        <v>29328</v>
      </c>
      <c r="CZ28402" s="35">
        <v>0.19284003999999999</v>
      </c>
    </row>
    <row r="28403" spans="103:104" x14ac:dyDescent="0.3">
      <c r="CY28403" s="34" t="s">
        <v>29329</v>
      </c>
      <c r="CZ28403" s="35">
        <v>1.20670672E-2</v>
      </c>
    </row>
    <row r="28404" spans="103:104" x14ac:dyDescent="0.3">
      <c r="CY28404" s="34" t="s">
        <v>29330</v>
      </c>
      <c r="CZ28404" s="35">
        <v>7.8025635555555549E-3</v>
      </c>
    </row>
    <row r="28405" spans="103:104" x14ac:dyDescent="0.3">
      <c r="CY28405" s="34" t="s">
        <v>29331</v>
      </c>
      <c r="CZ28405" s="35">
        <v>3.8782903800000002E-3</v>
      </c>
    </row>
    <row r="28406" spans="103:104" x14ac:dyDescent="0.3">
      <c r="CY28406" s="34" t="s">
        <v>29332</v>
      </c>
      <c r="CZ28406" s="35">
        <v>5.8690972000000008E-2</v>
      </c>
    </row>
    <row r="28407" spans="103:104" x14ac:dyDescent="0.3">
      <c r="CY28407" s="34" t="s">
        <v>29333</v>
      </c>
      <c r="CZ28407" s="35">
        <v>3.6142024000000002E-2</v>
      </c>
    </row>
    <row r="28408" spans="103:104" x14ac:dyDescent="0.3">
      <c r="CY28408" s="34" t="s">
        <v>29334</v>
      </c>
      <c r="CZ28408" s="35">
        <v>8.3151845925925928E-3</v>
      </c>
    </row>
    <row r="28409" spans="103:104" x14ac:dyDescent="0.3">
      <c r="CY28409" s="34" t="s">
        <v>29335</v>
      </c>
      <c r="CZ28409" s="35">
        <v>7.5159999999999995E-4</v>
      </c>
    </row>
    <row r="28410" spans="103:104" x14ac:dyDescent="0.3">
      <c r="CY28410" s="34" t="s">
        <v>29336</v>
      </c>
      <c r="CZ28410" s="35">
        <v>2.3460000000000001E-4</v>
      </c>
    </row>
    <row r="28411" spans="103:104" x14ac:dyDescent="0.3">
      <c r="CY28411" s="34" t="s">
        <v>29337</v>
      </c>
      <c r="CZ28411" s="35">
        <v>6.122100000000001E-3</v>
      </c>
    </row>
    <row r="28412" spans="103:104" x14ac:dyDescent="0.3">
      <c r="CY28412" s="34" t="s">
        <v>29338</v>
      </c>
      <c r="CZ28412" s="35">
        <v>7.4036399999999995E-3</v>
      </c>
    </row>
    <row r="28413" spans="103:104" x14ac:dyDescent="0.3">
      <c r="CY28413" s="34" t="s">
        <v>29339</v>
      </c>
      <c r="CZ28413" s="35">
        <v>9.2190805555555553E-4</v>
      </c>
    </row>
    <row r="28414" spans="103:104" x14ac:dyDescent="0.3">
      <c r="CY28414" s="34" t="s">
        <v>29340</v>
      </c>
      <c r="CZ28414" s="35">
        <v>1.38904274E-2</v>
      </c>
    </row>
    <row r="28415" spans="103:104" x14ac:dyDescent="0.3">
      <c r="CY28415" s="34" t="s">
        <v>29341</v>
      </c>
      <c r="CZ28415" s="35">
        <v>1.2400424072727272E-2</v>
      </c>
    </row>
    <row r="28416" spans="103:104" x14ac:dyDescent="0.3">
      <c r="CY28416" s="34" t="s">
        <v>29342</v>
      </c>
      <c r="CZ28416" s="35">
        <v>1.5566563200000001E-2</v>
      </c>
    </row>
    <row r="28417" spans="103:104" x14ac:dyDescent="0.3">
      <c r="CY28417" s="34" t="s">
        <v>29343</v>
      </c>
      <c r="CZ28417" s="35">
        <v>4.5202863999999994E-3</v>
      </c>
    </row>
    <row r="28418" spans="103:104" x14ac:dyDescent="0.3">
      <c r="CY28418" s="34" t="s">
        <v>29344</v>
      </c>
      <c r="CZ28418" s="35">
        <v>7.1968703999999994E-3</v>
      </c>
    </row>
    <row r="28419" spans="103:104" x14ac:dyDescent="0.3">
      <c r="CY28419" s="34" t="s">
        <v>29345</v>
      </c>
      <c r="CZ28419" s="35">
        <v>9.9469840000000007E-3</v>
      </c>
    </row>
    <row r="28420" spans="103:104" x14ac:dyDescent="0.3">
      <c r="CY28420" s="34" t="s">
        <v>29346</v>
      </c>
      <c r="CZ28420" s="35">
        <v>1.0224256000000002E-3</v>
      </c>
    </row>
    <row r="28421" spans="103:104" x14ac:dyDescent="0.3">
      <c r="CY28421" s="34" t="s">
        <v>29347</v>
      </c>
      <c r="CZ28421" s="35">
        <v>1.501844E-3</v>
      </c>
    </row>
    <row r="28422" spans="103:104" x14ac:dyDescent="0.3">
      <c r="CY28422" s="34" t="s">
        <v>29348</v>
      </c>
      <c r="CZ28422" s="35">
        <v>2.4782605599999997E-2</v>
      </c>
    </row>
    <row r="28423" spans="103:104" x14ac:dyDescent="0.3">
      <c r="CY28423" s="34" t="s">
        <v>29349</v>
      </c>
      <c r="CZ28423" s="35">
        <v>2.4782610600000001E-2</v>
      </c>
    </row>
    <row r="28424" spans="103:104" x14ac:dyDescent="0.3">
      <c r="CY28424" s="34" t="s">
        <v>29350</v>
      </c>
      <c r="CZ28424" s="35">
        <v>2.7992354838709682E-2</v>
      </c>
    </row>
    <row r="28425" spans="103:104" x14ac:dyDescent="0.3">
      <c r="CY28425" s="34" t="s">
        <v>29351</v>
      </c>
      <c r="CZ28425" s="35">
        <v>2.47826056E-2</v>
      </c>
    </row>
    <row r="28426" spans="103:104" x14ac:dyDescent="0.3">
      <c r="CY28426" s="34" t="s">
        <v>29352</v>
      </c>
      <c r="CZ28426" s="35">
        <v>2.5783556679999996E-2</v>
      </c>
    </row>
    <row r="28427" spans="103:104" x14ac:dyDescent="0.3">
      <c r="CY28427" s="34" t="s">
        <v>29353</v>
      </c>
      <c r="CZ28427" s="35">
        <v>2.7724254494623655E-2</v>
      </c>
    </row>
    <row r="28428" spans="103:104" x14ac:dyDescent="0.3">
      <c r="CY28428" s="34" t="s">
        <v>29354</v>
      </c>
      <c r="CZ28428" s="35">
        <v>1.7928225609022554E-2</v>
      </c>
    </row>
    <row r="28429" spans="103:104" x14ac:dyDescent="0.3">
      <c r="CY28429" s="34" t="s">
        <v>29355</v>
      </c>
      <c r="CZ28429" s="35">
        <v>1.6489408000000001E-3</v>
      </c>
    </row>
    <row r="28430" spans="103:104" x14ac:dyDescent="0.3">
      <c r="CY28430" s="34" t="s">
        <v>29356</v>
      </c>
      <c r="CZ28430" s="35">
        <v>7.3270208000000003E-3</v>
      </c>
    </row>
    <row r="28431" spans="103:104" x14ac:dyDescent="0.3">
      <c r="CY28431" s="34" t="s">
        <v>29357</v>
      </c>
      <c r="CZ28431" s="35">
        <v>1.1704770566666668E-2</v>
      </c>
    </row>
    <row r="28432" spans="103:104" x14ac:dyDescent="0.3">
      <c r="CY28432" s="34" t="s">
        <v>29358</v>
      </c>
      <c r="CZ28432" s="35">
        <v>1.258496E-3</v>
      </c>
    </row>
    <row r="28433" spans="103:104" x14ac:dyDescent="0.3">
      <c r="CY28433" s="34" t="s">
        <v>29359</v>
      </c>
      <c r="CZ28433" s="35">
        <v>2.5402399999999996E-3</v>
      </c>
    </row>
    <row r="28434" spans="103:104" x14ac:dyDescent="0.3">
      <c r="CY28434" s="34" t="s">
        <v>29360</v>
      </c>
      <c r="CZ28434" s="35">
        <v>4.4934185263157891E-4</v>
      </c>
    </row>
    <row r="28435" spans="103:104" x14ac:dyDescent="0.3">
      <c r="CY28435" s="34" t="s">
        <v>29361</v>
      </c>
      <c r="CZ28435" s="35">
        <v>4.2687476000000005E-4</v>
      </c>
    </row>
    <row r="28436" spans="103:104" x14ac:dyDescent="0.3">
      <c r="CY28436" s="34" t="s">
        <v>29362</v>
      </c>
      <c r="CZ28436" s="35">
        <v>4.8051589473684211E-4</v>
      </c>
    </row>
    <row r="28437" spans="103:104" x14ac:dyDescent="0.3">
      <c r="CY28437" s="34" t="s">
        <v>29363</v>
      </c>
      <c r="CZ28437" s="35">
        <v>8.3250000000000005E-2</v>
      </c>
    </row>
    <row r="28438" spans="103:104" x14ac:dyDescent="0.3">
      <c r="CY28438" s="34" t="s">
        <v>29364</v>
      </c>
      <c r="CZ28438" s="35">
        <v>1.7588E-3</v>
      </c>
    </row>
    <row r="28439" spans="103:104" x14ac:dyDescent="0.3">
      <c r="CY28439" s="34" t="s">
        <v>29365</v>
      </c>
      <c r="CZ28439" s="35">
        <v>5.9746823999999995E-3</v>
      </c>
    </row>
    <row r="28440" spans="103:104" x14ac:dyDescent="0.3">
      <c r="CY28440" s="34" t="s">
        <v>29366</v>
      </c>
      <c r="CZ28440" s="35">
        <v>3.7103747999999992E-3</v>
      </c>
    </row>
    <row r="28441" spans="103:104" x14ac:dyDescent="0.3">
      <c r="CY28441" s="34" t="s">
        <v>29367</v>
      </c>
      <c r="CZ28441" s="35">
        <v>4.7764720000000004E-3</v>
      </c>
    </row>
    <row r="28442" spans="103:104" x14ac:dyDescent="0.3">
      <c r="CY28442" s="34" t="s">
        <v>29368</v>
      </c>
      <c r="CZ28442" s="35">
        <v>3.7555929200000004E-2</v>
      </c>
    </row>
    <row r="28443" spans="103:104" x14ac:dyDescent="0.3">
      <c r="CY28443" s="34" t="s">
        <v>29369</v>
      </c>
      <c r="CZ28443" s="35">
        <v>2.1119504000000002E-3</v>
      </c>
    </row>
    <row r="28444" spans="103:104" x14ac:dyDescent="0.3">
      <c r="CY28444" s="34" t="s">
        <v>29370</v>
      </c>
      <c r="CZ28444" s="35">
        <v>6.9286999999999994E-4</v>
      </c>
    </row>
    <row r="28445" spans="103:104" x14ac:dyDescent="0.3">
      <c r="CY28445" s="34" t="s">
        <v>29371</v>
      </c>
      <c r="CZ28445" s="35">
        <v>5.7670262429999994E-2</v>
      </c>
    </row>
    <row r="28446" spans="103:104" x14ac:dyDescent="0.3">
      <c r="CY28446" s="34" t="s">
        <v>29372</v>
      </c>
      <c r="CZ28446" s="35">
        <v>3.0321999999999999E-4</v>
      </c>
    </row>
    <row r="28447" spans="103:104" x14ac:dyDescent="0.3">
      <c r="CY28447" s="34" t="s">
        <v>29373</v>
      </c>
      <c r="CZ28447" s="35">
        <v>5.9173500000000003E-4</v>
      </c>
    </row>
    <row r="28448" spans="103:104" x14ac:dyDescent="0.3">
      <c r="CY28448" s="34" t="s">
        <v>29374</v>
      </c>
      <c r="CZ28448" s="35">
        <v>0</v>
      </c>
    </row>
    <row r="28449" spans="103:104" x14ac:dyDescent="0.3">
      <c r="CY28449" s="34" t="s">
        <v>29375</v>
      </c>
      <c r="CZ28449" s="35">
        <v>5.0209333333333338E-4</v>
      </c>
    </row>
    <row r="28450" spans="103:104" x14ac:dyDescent="0.3">
      <c r="CY28450" s="34" t="s">
        <v>29376</v>
      </c>
      <c r="CZ28450" s="35">
        <v>0</v>
      </c>
    </row>
    <row r="28451" spans="103:104" x14ac:dyDescent="0.3">
      <c r="CY28451" s="34" t="s">
        <v>29377</v>
      </c>
      <c r="CZ28451" s="35">
        <v>0</v>
      </c>
    </row>
    <row r="28452" spans="103:104" x14ac:dyDescent="0.3">
      <c r="CY28452" s="34" t="s">
        <v>29378</v>
      </c>
      <c r="CZ28452" s="35">
        <v>1.8956313333333334E-3</v>
      </c>
    </row>
    <row r="28453" spans="103:104" x14ac:dyDescent="0.3">
      <c r="CY28453" s="34" t="s">
        <v>29379</v>
      </c>
      <c r="CZ28453" s="35">
        <v>0</v>
      </c>
    </row>
    <row r="28454" spans="103:104" x14ac:dyDescent="0.3">
      <c r="CY28454" s="34" t="s">
        <v>29380</v>
      </c>
      <c r="CZ28454" s="35">
        <v>7.5962863999999998E-4</v>
      </c>
    </row>
    <row r="28455" spans="103:104" x14ac:dyDescent="0.3">
      <c r="CY28455" s="34" t="s">
        <v>29381</v>
      </c>
      <c r="CZ28455" s="35">
        <v>0</v>
      </c>
    </row>
    <row r="28456" spans="103:104" x14ac:dyDescent="0.3">
      <c r="CY28456" s="34" t="s">
        <v>29382</v>
      </c>
      <c r="CZ28456" s="35">
        <v>3.1872391999999999E-2</v>
      </c>
    </row>
    <row r="28457" spans="103:104" x14ac:dyDescent="0.3">
      <c r="CY28457" s="34" t="s">
        <v>29383</v>
      </c>
      <c r="CZ28457" s="35">
        <v>8.1672326624999993E-3</v>
      </c>
    </row>
    <row r="28458" spans="103:104" x14ac:dyDescent="0.3">
      <c r="CY28458" s="34" t="s">
        <v>29384</v>
      </c>
      <c r="CZ28458" s="35">
        <v>2.7850863200000003E-2</v>
      </c>
    </row>
    <row r="28459" spans="103:104" x14ac:dyDescent="0.3">
      <c r="CY28459" s="34" t="s">
        <v>29385</v>
      </c>
      <c r="CZ28459" s="35">
        <v>5.1251999999999999E-2</v>
      </c>
    </row>
    <row r="28460" spans="103:104" x14ac:dyDescent="0.3">
      <c r="CY28460" s="34" t="s">
        <v>29386</v>
      </c>
      <c r="CZ28460" s="35">
        <v>5.1251999999999999E-2</v>
      </c>
    </row>
    <row r="28461" spans="103:104" x14ac:dyDescent="0.3">
      <c r="CY28461" s="34" t="s">
        <v>29387</v>
      </c>
      <c r="CZ28461" s="35">
        <v>4.1877600000000001E-2</v>
      </c>
    </row>
    <row r="28462" spans="103:104" x14ac:dyDescent="0.3">
      <c r="CY28462" s="34" t="s">
        <v>29388</v>
      </c>
      <c r="CZ28462" s="35">
        <v>3.8895936000000006E-2</v>
      </c>
    </row>
    <row r="28463" spans="103:104" x14ac:dyDescent="0.3">
      <c r="CY28463" s="34" t="s">
        <v>29389</v>
      </c>
      <c r="CZ28463" s="35">
        <v>2.1523840000000002E-2</v>
      </c>
    </row>
    <row r="28464" spans="103:104" x14ac:dyDescent="0.3">
      <c r="CY28464" s="34" t="s">
        <v>29390</v>
      </c>
      <c r="CZ28464" s="35">
        <v>8.417931200000001E-3</v>
      </c>
    </row>
    <row r="28465" spans="103:104" x14ac:dyDescent="0.3">
      <c r="CY28465" s="34" t="s">
        <v>29391</v>
      </c>
      <c r="CZ28465" s="35">
        <v>2.6954831999999999E-3</v>
      </c>
    </row>
    <row r="28466" spans="103:104" x14ac:dyDescent="0.3">
      <c r="CY28466" s="34" t="s">
        <v>29392</v>
      </c>
      <c r="CZ28466" s="35">
        <v>0.18464695578947371</v>
      </c>
    </row>
    <row r="28467" spans="103:104" x14ac:dyDescent="0.3">
      <c r="CY28467" s="34" t="s">
        <v>29393</v>
      </c>
      <c r="CZ28467" s="35">
        <v>1.9714644999999998E-3</v>
      </c>
    </row>
    <row r="28468" spans="103:104" x14ac:dyDescent="0.3">
      <c r="CY28468" s="34" t="s">
        <v>29394</v>
      </c>
      <c r="CZ28468" s="35">
        <v>2.1725005000000001E-3</v>
      </c>
    </row>
    <row r="28469" spans="103:104" x14ac:dyDescent="0.3">
      <c r="CY28469" s="34" t="s">
        <v>29395</v>
      </c>
      <c r="CZ28469" s="35">
        <v>3.3301480000000002E-3</v>
      </c>
    </row>
    <row r="28470" spans="103:104" x14ac:dyDescent="0.3">
      <c r="CY28470" s="34" t="s">
        <v>29396</v>
      </c>
      <c r="CZ28470" s="35">
        <v>2.7944567000000005E-3</v>
      </c>
    </row>
    <row r="28471" spans="103:104" x14ac:dyDescent="0.3">
      <c r="CY28471" s="34" t="s">
        <v>29397</v>
      </c>
      <c r="CZ28471" s="35">
        <v>5.6507809999999997E-3</v>
      </c>
    </row>
    <row r="28472" spans="103:104" x14ac:dyDescent="0.3">
      <c r="CY28472" s="34" t="s">
        <v>29398</v>
      </c>
      <c r="CZ28472" s="35">
        <v>1.6242057999999999E-3</v>
      </c>
    </row>
    <row r="28473" spans="103:104" x14ac:dyDescent="0.3">
      <c r="CY28473" s="34" t="s">
        <v>29399</v>
      </c>
      <c r="CZ28473" s="35">
        <v>3.30438E-3</v>
      </c>
    </row>
    <row r="28474" spans="103:104" x14ac:dyDescent="0.3">
      <c r="CY28474" s="34" t="s">
        <v>29400</v>
      </c>
      <c r="CZ28474" s="35">
        <v>3.4002480000000002E-3</v>
      </c>
    </row>
    <row r="28475" spans="103:104" x14ac:dyDescent="0.3">
      <c r="CY28475" s="34" t="s">
        <v>29401</v>
      </c>
      <c r="CZ28475" s="35">
        <v>4.1023112E-3</v>
      </c>
    </row>
    <row r="28476" spans="103:104" x14ac:dyDescent="0.3">
      <c r="CY28476" s="34" t="s">
        <v>29402</v>
      </c>
      <c r="CZ28476" s="35">
        <v>3.3874513999999998E-3</v>
      </c>
    </row>
    <row r="28477" spans="103:104" x14ac:dyDescent="0.3">
      <c r="CY28477" s="34" t="s">
        <v>29403</v>
      </c>
      <c r="CZ28477" s="35">
        <v>1.5897057999999999E-3</v>
      </c>
    </row>
    <row r="28478" spans="103:104" x14ac:dyDescent="0.3">
      <c r="CY28478" s="34" t="s">
        <v>29404</v>
      </c>
      <c r="CZ28478" s="35">
        <v>7.5438421833333331E-3</v>
      </c>
    </row>
    <row r="28479" spans="103:104" x14ac:dyDescent="0.3">
      <c r="CY28479" s="34" t="s">
        <v>29405</v>
      </c>
      <c r="CZ28479" s="35">
        <v>1.8424240000000001E-3</v>
      </c>
    </row>
    <row r="28480" spans="103:104" x14ac:dyDescent="0.3">
      <c r="CY28480" s="34" t="s">
        <v>29406</v>
      </c>
      <c r="CZ28480" s="35">
        <v>1.8473369599999998E-3</v>
      </c>
    </row>
    <row r="28481" spans="103:104" x14ac:dyDescent="0.3">
      <c r="CY28481" s="34" t="s">
        <v>29407</v>
      </c>
      <c r="CZ28481" s="35">
        <v>1.3601032000000002E-3</v>
      </c>
    </row>
    <row r="28482" spans="103:104" x14ac:dyDescent="0.3">
      <c r="CY28482" s="34" t="s">
        <v>29408</v>
      </c>
      <c r="CZ28482" s="35">
        <v>1.8473369599999998E-3</v>
      </c>
    </row>
    <row r="28483" spans="103:104" x14ac:dyDescent="0.3">
      <c r="CY28483" s="34" t="s">
        <v>29409</v>
      </c>
      <c r="CZ28483" s="35">
        <v>6.4560511999999992E-3</v>
      </c>
    </row>
    <row r="28484" spans="103:104" x14ac:dyDescent="0.3">
      <c r="CY28484" s="34" t="s">
        <v>29410</v>
      </c>
      <c r="CZ28484" s="35">
        <v>2.6822988800000004E-3</v>
      </c>
    </row>
    <row r="28485" spans="103:104" x14ac:dyDescent="0.3">
      <c r="CY28485" s="34" t="s">
        <v>29411</v>
      </c>
      <c r="CZ28485" s="35">
        <v>0.40699228660000009</v>
      </c>
    </row>
    <row r="28486" spans="103:104" x14ac:dyDescent="0.3">
      <c r="CY28486" s="34" t="s">
        <v>29412</v>
      </c>
      <c r="CZ28486" s="35">
        <v>0.40174913600000001</v>
      </c>
    </row>
    <row r="28487" spans="103:104" x14ac:dyDescent="0.3">
      <c r="CY28487" s="34" t="s">
        <v>29413</v>
      </c>
      <c r="CZ28487" s="35">
        <v>1.7625080000000001E-2</v>
      </c>
    </row>
    <row r="28488" spans="103:104" x14ac:dyDescent="0.3">
      <c r="CY28488" s="34" t="s">
        <v>29414</v>
      </c>
      <c r="CZ28488" s="35">
        <v>3.5652879999999994E-3</v>
      </c>
    </row>
    <row r="28489" spans="103:104" x14ac:dyDescent="0.3">
      <c r="CY28489" s="34" t="s">
        <v>29415</v>
      </c>
      <c r="CZ28489" s="35">
        <v>0.46144740500000003</v>
      </c>
    </row>
    <row r="28490" spans="103:104" x14ac:dyDescent="0.3">
      <c r="CY28490" s="34" t="s">
        <v>29416</v>
      </c>
      <c r="CZ28490" s="35">
        <v>0.2474415610526316</v>
      </c>
    </row>
    <row r="28491" spans="103:104" x14ac:dyDescent="0.3">
      <c r="CY28491" s="34" t="s">
        <v>29417</v>
      </c>
      <c r="CZ28491" s="35">
        <v>4.0722881249999994E-3</v>
      </c>
    </row>
    <row r="28492" spans="103:104" x14ac:dyDescent="0.3">
      <c r="CY28492" s="34" t="s">
        <v>29418</v>
      </c>
      <c r="CZ28492" s="35">
        <v>1.8199766E-3</v>
      </c>
    </row>
    <row r="28493" spans="103:104" x14ac:dyDescent="0.3">
      <c r="CY28493" s="34" t="s">
        <v>29419</v>
      </c>
      <c r="CZ28493" s="35">
        <v>1.7490671999999999E-2</v>
      </c>
    </row>
    <row r="28494" spans="103:104" x14ac:dyDescent="0.3">
      <c r="CY28494" s="34" t="s">
        <v>29420</v>
      </c>
      <c r="CZ28494" s="35">
        <v>5.2015928888888882E-2</v>
      </c>
    </row>
    <row r="28495" spans="103:104" x14ac:dyDescent="0.3">
      <c r="CY28495" s="34" t="s">
        <v>29421</v>
      </c>
      <c r="CZ28495" s="35">
        <v>0.45981635500000001</v>
      </c>
    </row>
    <row r="28496" spans="103:104" x14ac:dyDescent="0.3">
      <c r="CY28496" s="34" t="s">
        <v>29422</v>
      </c>
      <c r="CZ28496" s="35">
        <v>0.73644808325</v>
      </c>
    </row>
    <row r="28497" spans="103:104" x14ac:dyDescent="0.3">
      <c r="CY28497" s="34" t="s">
        <v>29423</v>
      </c>
      <c r="CZ28497" s="35">
        <v>2.37285568E-3</v>
      </c>
    </row>
    <row r="28498" spans="103:104" x14ac:dyDescent="0.3">
      <c r="CY28498" s="34" t="s">
        <v>29424</v>
      </c>
      <c r="CZ28498" s="35">
        <v>6.9458542666666664E-2</v>
      </c>
    </row>
    <row r="28499" spans="103:104" x14ac:dyDescent="0.3">
      <c r="CY28499" s="34" t="s">
        <v>29425</v>
      </c>
      <c r="CZ28499" s="35">
        <v>7.6316278862499989E-2</v>
      </c>
    </row>
    <row r="28500" spans="103:104" x14ac:dyDescent="0.3">
      <c r="CY28500" s="34" t="s">
        <v>29426</v>
      </c>
      <c r="CZ28500" s="35">
        <v>0.22430967599999999</v>
      </c>
    </row>
    <row r="28501" spans="103:104" x14ac:dyDescent="0.3">
      <c r="CY28501" s="34" t="s">
        <v>29427</v>
      </c>
      <c r="CZ28501" s="35">
        <v>6.9779108874999995E-2</v>
      </c>
    </row>
    <row r="28502" spans="103:104" x14ac:dyDescent="0.3">
      <c r="CY28502" s="34" t="s">
        <v>29428</v>
      </c>
      <c r="CZ28502" s="35">
        <v>0.13457303760000003</v>
      </c>
    </row>
    <row r="28503" spans="103:104" x14ac:dyDescent="0.3">
      <c r="CY28503" s="34" t="s">
        <v>29429</v>
      </c>
      <c r="CZ28503" s="35">
        <v>0.23922605466000002</v>
      </c>
    </row>
    <row r="28504" spans="103:104" x14ac:dyDescent="0.3">
      <c r="CY28504" s="34" t="s">
        <v>29430</v>
      </c>
      <c r="CZ28504" s="35">
        <v>2.3711505999999997E-2</v>
      </c>
    </row>
    <row r="28505" spans="103:104" x14ac:dyDescent="0.3">
      <c r="CY28505" s="34" t="s">
        <v>29431</v>
      </c>
      <c r="CZ28505" s="35">
        <v>1.9882076669565218E-3</v>
      </c>
    </row>
    <row r="28506" spans="103:104" x14ac:dyDescent="0.3">
      <c r="CY28506" s="34" t="s">
        <v>29432</v>
      </c>
      <c r="CZ28506" s="35">
        <v>7.2926559999999998E-4</v>
      </c>
    </row>
    <row r="28507" spans="103:104" x14ac:dyDescent="0.3">
      <c r="CY28507" s="34" t="s">
        <v>29433</v>
      </c>
      <c r="CZ28507" s="35">
        <v>5.7116479999999997E-3</v>
      </c>
    </row>
    <row r="28508" spans="103:104" x14ac:dyDescent="0.3">
      <c r="CY28508" s="34" t="s">
        <v>29434</v>
      </c>
      <c r="CZ28508" s="35">
        <v>3.4115910000000003E-3</v>
      </c>
    </row>
    <row r="28509" spans="103:104" x14ac:dyDescent="0.3">
      <c r="CY28509" s="34" t="s">
        <v>29435</v>
      </c>
      <c r="CZ28509" s="35">
        <v>1.7451504000000001E-3</v>
      </c>
    </row>
    <row r="28510" spans="103:104" x14ac:dyDescent="0.3">
      <c r="CY28510" s="34" t="s">
        <v>29436</v>
      </c>
      <c r="CZ28510" s="35">
        <v>9.149462399999999E-3</v>
      </c>
    </row>
    <row r="28511" spans="103:104" x14ac:dyDescent="0.3">
      <c r="CY28511" s="34" t="s">
        <v>29437</v>
      </c>
      <c r="CZ28511" s="35">
        <v>2.2138798000000001E-2</v>
      </c>
    </row>
    <row r="28512" spans="103:104" x14ac:dyDescent="0.3">
      <c r="CY28512" s="34" t="s">
        <v>29438</v>
      </c>
      <c r="CZ28512" s="35">
        <v>3.6206070999999999E-2</v>
      </c>
    </row>
    <row r="28513" spans="103:104" x14ac:dyDescent="0.3">
      <c r="CY28513" s="34" t="s">
        <v>29439</v>
      </c>
      <c r="CZ28513" s="35">
        <v>0.46837447999999998</v>
      </c>
    </row>
    <row r="28514" spans="103:104" x14ac:dyDescent="0.3">
      <c r="CY28514" s="34" t="s">
        <v>29440</v>
      </c>
      <c r="CZ28514" s="35">
        <v>8.3426488999999993E-3</v>
      </c>
    </row>
    <row r="28515" spans="103:104" x14ac:dyDescent="0.3">
      <c r="CY28515" s="34" t="s">
        <v>29441</v>
      </c>
      <c r="CZ28515" s="35">
        <v>2.1289968334999999E-2</v>
      </c>
    </row>
    <row r="28516" spans="103:104" x14ac:dyDescent="0.3">
      <c r="CY28516" s="34" t="s">
        <v>29442</v>
      </c>
      <c r="CZ28516" s="35">
        <v>3.6329404999999995E-2</v>
      </c>
    </row>
    <row r="28517" spans="103:104" x14ac:dyDescent="0.3">
      <c r="CY28517" s="34" t="s">
        <v>29443</v>
      </c>
      <c r="CZ28517" s="35">
        <v>1.3221600000000002E-2</v>
      </c>
    </row>
    <row r="28518" spans="103:104" x14ac:dyDescent="0.3">
      <c r="CY28518" s="34" t="s">
        <v>29444</v>
      </c>
      <c r="CZ28518" s="35">
        <v>0.26067972266666667</v>
      </c>
    </row>
    <row r="28519" spans="103:104" x14ac:dyDescent="0.3">
      <c r="CY28519" s="34" t="s">
        <v>29445</v>
      </c>
      <c r="CZ28519" s="35">
        <v>0.23429492000000002</v>
      </c>
    </row>
    <row r="28520" spans="103:104" x14ac:dyDescent="0.3">
      <c r="CY28520" s="34" t="s">
        <v>29446</v>
      </c>
      <c r="CZ28520" s="35">
        <v>4.3217433E-3</v>
      </c>
    </row>
    <row r="28521" spans="103:104" x14ac:dyDescent="0.3">
      <c r="CY28521" s="34" t="s">
        <v>29447</v>
      </c>
      <c r="CZ28521" s="35">
        <v>0.24944988631578949</v>
      </c>
    </row>
    <row r="28522" spans="103:104" x14ac:dyDescent="0.3">
      <c r="CY28522" s="34" t="s">
        <v>29448</v>
      </c>
      <c r="CZ28522" s="35">
        <v>0.14907525052631579</v>
      </c>
    </row>
    <row r="28523" spans="103:104" x14ac:dyDescent="0.3">
      <c r="CY28523" s="34" t="s">
        <v>29449</v>
      </c>
      <c r="CZ28523" s="35">
        <v>0.113262405</v>
      </c>
    </row>
    <row r="28524" spans="103:104" x14ac:dyDescent="0.3">
      <c r="CY28524" s="34" t="s">
        <v>29450</v>
      </c>
      <c r="CZ28524" s="35">
        <v>3.2378827999999999E-3</v>
      </c>
    </row>
    <row r="28525" spans="103:104" x14ac:dyDescent="0.3">
      <c r="CY28525" s="34" t="s">
        <v>29451</v>
      </c>
      <c r="CZ28525" s="35">
        <v>0.28798312000000004</v>
      </c>
    </row>
    <row r="28526" spans="103:104" x14ac:dyDescent="0.3">
      <c r="CY28526" s="34" t="s">
        <v>29452</v>
      </c>
      <c r="CZ28526" s="35">
        <v>3.7909011999999999E-2</v>
      </c>
    </row>
    <row r="28527" spans="103:104" x14ac:dyDescent="0.3">
      <c r="CY28527" s="34" t="s">
        <v>29453</v>
      </c>
      <c r="CZ28527" s="35">
        <v>1.2199999999999999E-3</v>
      </c>
    </row>
    <row r="28528" spans="103:104" x14ac:dyDescent="0.3">
      <c r="CY28528" s="34" t="s">
        <v>29454</v>
      </c>
      <c r="CZ28528" s="35">
        <v>1.4934660000000004E-3</v>
      </c>
    </row>
    <row r="28529" spans="103:104" x14ac:dyDescent="0.3">
      <c r="CY28529" s="34" t="s">
        <v>29455</v>
      </c>
      <c r="CZ28529" s="35">
        <v>2.6396193333333333E-3</v>
      </c>
    </row>
    <row r="28530" spans="103:104" x14ac:dyDescent="0.3">
      <c r="CY28530" s="34" t="s">
        <v>29456</v>
      </c>
      <c r="CZ28530" s="35">
        <v>3.8471990000000004E-3</v>
      </c>
    </row>
    <row r="28531" spans="103:104" x14ac:dyDescent="0.3">
      <c r="CY28531" s="34" t="s">
        <v>29457</v>
      </c>
      <c r="CZ28531" s="35">
        <v>6.9608553333333333E-3</v>
      </c>
    </row>
    <row r="28532" spans="103:104" x14ac:dyDescent="0.3">
      <c r="CY28532" s="34" t="s">
        <v>29458</v>
      </c>
      <c r="CZ28532" s="35">
        <v>1.0528843400000001</v>
      </c>
    </row>
    <row r="28533" spans="103:104" x14ac:dyDescent="0.3">
      <c r="CY28533" s="34" t="s">
        <v>29459</v>
      </c>
      <c r="CZ28533" s="35">
        <v>0.55997319999999995</v>
      </c>
    </row>
    <row r="28534" spans="103:104" x14ac:dyDescent="0.3">
      <c r="CY28534" s="34" t="s">
        <v>29460</v>
      </c>
      <c r="CZ28534" s="35">
        <v>0.62749304500000014</v>
      </c>
    </row>
    <row r="28535" spans="103:104" x14ac:dyDescent="0.3">
      <c r="CY28535" s="34" t="s">
        <v>29461</v>
      </c>
      <c r="CZ28535" s="35">
        <v>1.9752904999999998E-2</v>
      </c>
    </row>
    <row r="28536" spans="103:104" x14ac:dyDescent="0.3">
      <c r="CY28536" s="34" t="s">
        <v>29462</v>
      </c>
      <c r="CZ28536" s="35">
        <v>7.9162500000000001E-4</v>
      </c>
    </row>
    <row r="28537" spans="103:104" x14ac:dyDescent="0.3">
      <c r="CY28537" s="34" t="s">
        <v>29463</v>
      </c>
      <c r="CZ28537" s="35">
        <v>1.9384904999999997E-2</v>
      </c>
    </row>
    <row r="28538" spans="103:104" x14ac:dyDescent="0.3">
      <c r="CY28538" s="34" t="s">
        <v>29464</v>
      </c>
      <c r="CZ28538" s="35">
        <v>3.0183394285714288E-2</v>
      </c>
    </row>
    <row r="28539" spans="103:104" x14ac:dyDescent="0.3">
      <c r="CY28539" s="34" t="s">
        <v>29465</v>
      </c>
      <c r="CZ28539" s="35">
        <v>1.9828620977777777E-2</v>
      </c>
    </row>
    <row r="28540" spans="103:104" x14ac:dyDescent="0.3">
      <c r="CY28540" s="34" t="s">
        <v>29466</v>
      </c>
      <c r="CZ28540" s="35">
        <v>1.9828620977777777E-2</v>
      </c>
    </row>
    <row r="28541" spans="103:104" x14ac:dyDescent="0.3">
      <c r="CY28541" s="34" t="s">
        <v>29467</v>
      </c>
      <c r="CZ28541" s="35">
        <v>4.6574119999999997E-3</v>
      </c>
    </row>
    <row r="28542" spans="103:104" x14ac:dyDescent="0.3">
      <c r="CY28542" s="34" t="s">
        <v>29468</v>
      </c>
      <c r="CZ28542" s="35">
        <v>0.55448541176470589</v>
      </c>
    </row>
    <row r="28543" spans="103:104" x14ac:dyDescent="0.3">
      <c r="CY28543" s="34" t="s">
        <v>29469</v>
      </c>
      <c r="CZ28543" s="35">
        <v>9.6396320000000004E-3</v>
      </c>
    </row>
    <row r="28544" spans="103:104" x14ac:dyDescent="0.3">
      <c r="CY28544" s="34" t="s">
        <v>29470</v>
      </c>
      <c r="CZ28544" s="35">
        <v>2.1515928705882356E-2</v>
      </c>
    </row>
    <row r="28545" spans="103:104" x14ac:dyDescent="0.3">
      <c r="CY28545" s="34" t="s">
        <v>29471</v>
      </c>
      <c r="CZ28545" s="35">
        <v>0.19695539866666667</v>
      </c>
    </row>
    <row r="28546" spans="103:104" x14ac:dyDescent="0.3">
      <c r="CY28546" s="34" t="s">
        <v>29472</v>
      </c>
      <c r="CZ28546" s="35">
        <v>0.5872157400000001</v>
      </c>
    </row>
    <row r="28547" spans="103:104" x14ac:dyDescent="0.3">
      <c r="CY28547" s="34" t="s">
        <v>29473</v>
      </c>
      <c r="CZ28547" s="35">
        <v>2.4663361113043476E-2</v>
      </c>
    </row>
    <row r="28548" spans="103:104" x14ac:dyDescent="0.3">
      <c r="CY28548" s="34" t="s">
        <v>29474</v>
      </c>
      <c r="CZ28548" s="35">
        <v>2.3312827778260874E-2</v>
      </c>
    </row>
    <row r="28549" spans="103:104" x14ac:dyDescent="0.3">
      <c r="CY28549" s="34" t="s">
        <v>29475</v>
      </c>
      <c r="CZ28549" s="35">
        <v>2.331282777826087E-2</v>
      </c>
    </row>
    <row r="28550" spans="103:104" x14ac:dyDescent="0.3">
      <c r="CY28550" s="34" t="s">
        <v>29476</v>
      </c>
      <c r="CZ28550" s="35">
        <v>2.9123589999999998E-3</v>
      </c>
    </row>
    <row r="28551" spans="103:104" x14ac:dyDescent="0.3">
      <c r="CY28551" s="34" t="s">
        <v>29477</v>
      </c>
      <c r="CZ28551" s="35">
        <v>0.19043732666000002</v>
      </c>
    </row>
    <row r="28552" spans="103:104" x14ac:dyDescent="0.3">
      <c r="CY28552" s="34" t="s">
        <v>29478</v>
      </c>
      <c r="CZ28552" s="35">
        <v>1.5250000000000001E-3</v>
      </c>
    </row>
    <row r="28553" spans="103:104" x14ac:dyDescent="0.3">
      <c r="CY28553" s="34" t="s">
        <v>29479</v>
      </c>
      <c r="CZ28553" s="35">
        <v>1.819904E-3</v>
      </c>
    </row>
    <row r="28554" spans="103:104" x14ac:dyDescent="0.3">
      <c r="CY28554" s="34" t="s">
        <v>29480</v>
      </c>
      <c r="CZ28554" s="35">
        <v>5.7152800000000005E-3</v>
      </c>
    </row>
    <row r="28555" spans="103:104" x14ac:dyDescent="0.3">
      <c r="CY28555" s="34" t="s">
        <v>29481</v>
      </c>
      <c r="CZ28555" s="35">
        <v>5.3665662000000006E-3</v>
      </c>
    </row>
    <row r="28556" spans="103:104" x14ac:dyDescent="0.3">
      <c r="CY28556" s="34" t="s">
        <v>29482</v>
      </c>
      <c r="CZ28556" s="35">
        <v>5.3252662000000004E-3</v>
      </c>
    </row>
    <row r="28557" spans="103:104" x14ac:dyDescent="0.3">
      <c r="CY28557" s="34" t="s">
        <v>29483</v>
      </c>
      <c r="CZ28557" s="35">
        <v>1.621679386111111E-2</v>
      </c>
    </row>
    <row r="28558" spans="103:104" x14ac:dyDescent="0.3">
      <c r="CY28558" s="34" t="s">
        <v>29484</v>
      </c>
      <c r="CZ28558" s="35">
        <v>2.0434439999999998E-2</v>
      </c>
    </row>
    <row r="28559" spans="103:104" x14ac:dyDescent="0.3">
      <c r="CY28559" s="34" t="s">
        <v>29485</v>
      </c>
      <c r="CZ28559" s="35">
        <v>1.0523308E-2</v>
      </c>
    </row>
    <row r="28560" spans="103:104" x14ac:dyDescent="0.3">
      <c r="CY28560" s="34" t="s">
        <v>29486</v>
      </c>
      <c r="CZ28560" s="35">
        <v>1.6339999999999999E-4</v>
      </c>
    </row>
    <row r="28561" spans="103:104" x14ac:dyDescent="0.3">
      <c r="CY28561" s="34" t="s">
        <v>29487</v>
      </c>
      <c r="CZ28561" s="35">
        <v>9.200092E-3</v>
      </c>
    </row>
    <row r="28562" spans="103:104" x14ac:dyDescent="0.3">
      <c r="CY28562" s="34" t="s">
        <v>29488</v>
      </c>
      <c r="CZ28562" s="35">
        <v>0.17909777600000001</v>
      </c>
    </row>
    <row r="28563" spans="103:104" x14ac:dyDescent="0.3">
      <c r="CY28563" s="34" t="s">
        <v>29489</v>
      </c>
      <c r="CZ28563" s="35">
        <v>0.13325041052631578</v>
      </c>
    </row>
    <row r="28564" spans="103:104" x14ac:dyDescent="0.3">
      <c r="CY28564" s="34" t="s">
        <v>29490</v>
      </c>
      <c r="CZ28564" s="35">
        <v>2.7803530000000002E-3</v>
      </c>
    </row>
    <row r="28565" spans="103:104" x14ac:dyDescent="0.3">
      <c r="CY28565" s="34" t="s">
        <v>29491</v>
      </c>
      <c r="CZ28565" s="35">
        <v>3.4752062800000004E-2</v>
      </c>
    </row>
    <row r="28566" spans="103:104" x14ac:dyDescent="0.3">
      <c r="CY28566" s="34" t="s">
        <v>29492</v>
      </c>
      <c r="CZ28566" s="35">
        <v>5.3814733333333335E-3</v>
      </c>
    </row>
    <row r="28567" spans="103:104" x14ac:dyDescent="0.3">
      <c r="CY28567" s="34" t="s">
        <v>29493</v>
      </c>
      <c r="CZ28567" s="35">
        <v>1.7165662399999997E-2</v>
      </c>
    </row>
    <row r="28568" spans="103:104" x14ac:dyDescent="0.3">
      <c r="CY28568" s="34" t="s">
        <v>29494</v>
      </c>
      <c r="CZ28568" s="35">
        <v>5.7363559999999997E-3</v>
      </c>
    </row>
    <row r="28569" spans="103:104" x14ac:dyDescent="0.3">
      <c r="CY28569" s="34" t="s">
        <v>29495</v>
      </c>
      <c r="CZ28569" s="35">
        <v>2.0105181199999997E-3</v>
      </c>
    </row>
    <row r="28570" spans="103:104" x14ac:dyDescent="0.3">
      <c r="CY28570" s="34" t="s">
        <v>29496</v>
      </c>
      <c r="CZ28570" s="35">
        <v>3.8639712E-3</v>
      </c>
    </row>
    <row r="28571" spans="103:104" x14ac:dyDescent="0.3">
      <c r="CY28571" s="34" t="s">
        <v>29497</v>
      </c>
      <c r="CZ28571" s="35">
        <v>2.6339816000000003E-3</v>
      </c>
    </row>
    <row r="28572" spans="103:104" x14ac:dyDescent="0.3">
      <c r="CY28572" s="34" t="s">
        <v>29498</v>
      </c>
      <c r="CZ28572" s="35">
        <v>8.3526360000000001E-3</v>
      </c>
    </row>
    <row r="28573" spans="103:104" x14ac:dyDescent="0.3">
      <c r="CY28573" s="34" t="s">
        <v>29499</v>
      </c>
      <c r="CZ28573" s="35">
        <v>1.6165983999999998E-2</v>
      </c>
    </row>
    <row r="28574" spans="103:104" x14ac:dyDescent="0.3">
      <c r="CY28574" s="34" t="s">
        <v>29500</v>
      </c>
      <c r="CZ28574" s="35">
        <v>3.3534094E-3</v>
      </c>
    </row>
    <row r="28575" spans="103:104" x14ac:dyDescent="0.3">
      <c r="CY28575" s="34" t="s">
        <v>29501</v>
      </c>
      <c r="CZ28575" s="35">
        <v>3.6540352E-3</v>
      </c>
    </row>
    <row r="28576" spans="103:104" x14ac:dyDescent="0.3">
      <c r="CY28576" s="34" t="s">
        <v>29502</v>
      </c>
      <c r="CZ28576" s="35">
        <v>7.6403840000000001E-3</v>
      </c>
    </row>
    <row r="28577" spans="103:104" x14ac:dyDescent="0.3">
      <c r="CY28577" s="34" t="s">
        <v>29503</v>
      </c>
      <c r="CZ28577" s="35">
        <v>0.70991395000000002</v>
      </c>
    </row>
    <row r="28578" spans="103:104" x14ac:dyDescent="0.3">
      <c r="CY28578" s="34" t="s">
        <v>29504</v>
      </c>
      <c r="CZ28578" s="35">
        <v>0.72759070000000015</v>
      </c>
    </row>
    <row r="28579" spans="103:104" x14ac:dyDescent="0.3">
      <c r="CY28579" s="34" t="s">
        <v>29505</v>
      </c>
      <c r="CZ28579" s="35">
        <v>0.57455464000000012</v>
      </c>
    </row>
    <row r="28580" spans="103:104" x14ac:dyDescent="0.3">
      <c r="CY28580" s="34" t="s">
        <v>29506</v>
      </c>
      <c r="CZ28580" s="35">
        <v>0.73112604999999997</v>
      </c>
    </row>
    <row r="28581" spans="103:104" x14ac:dyDescent="0.3">
      <c r="CY28581" s="34" t="s">
        <v>29507</v>
      </c>
      <c r="CZ28581" s="35">
        <v>0.30890699999999999</v>
      </c>
    </row>
    <row r="28582" spans="103:104" x14ac:dyDescent="0.3">
      <c r="CY28582" s="34" t="s">
        <v>29508</v>
      </c>
      <c r="CZ28582" s="35">
        <v>0.38846550000000007</v>
      </c>
    </row>
    <row r="28583" spans="103:104" x14ac:dyDescent="0.3">
      <c r="CY28583" s="34" t="s">
        <v>29509</v>
      </c>
      <c r="CZ28583" s="35">
        <v>0.38322742799999998</v>
      </c>
    </row>
    <row r="28584" spans="103:104" x14ac:dyDescent="0.3">
      <c r="CY28584" s="34" t="s">
        <v>29510</v>
      </c>
      <c r="CZ28584" s="35">
        <v>0.41912180400000004</v>
      </c>
    </row>
    <row r="28585" spans="103:104" x14ac:dyDescent="0.3">
      <c r="CY28585" s="34" t="s">
        <v>29511</v>
      </c>
      <c r="CZ28585" s="35">
        <v>0.41912180399999999</v>
      </c>
    </row>
    <row r="28586" spans="103:104" x14ac:dyDescent="0.3">
      <c r="CY28586" s="34" t="s">
        <v>29512</v>
      </c>
      <c r="CZ28586" s="35">
        <v>4.9195672799999994E-3</v>
      </c>
    </row>
    <row r="28587" spans="103:104" x14ac:dyDescent="0.3">
      <c r="CY28587" s="34" t="s">
        <v>29513</v>
      </c>
      <c r="CZ28587" s="35">
        <v>6.3641855999999997E-2</v>
      </c>
    </row>
    <row r="28588" spans="103:104" x14ac:dyDescent="0.3">
      <c r="CY28588" s="34" t="s">
        <v>29514</v>
      </c>
      <c r="CZ28588" s="35">
        <v>1.1342164000000002E-2</v>
      </c>
    </row>
    <row r="28589" spans="103:104" x14ac:dyDescent="0.3">
      <c r="CY28589" s="34" t="s">
        <v>29515</v>
      </c>
      <c r="CZ28589" s="35">
        <v>1.1687164E-2</v>
      </c>
    </row>
    <row r="28590" spans="103:104" x14ac:dyDescent="0.3">
      <c r="CY28590" s="34" t="s">
        <v>29516</v>
      </c>
      <c r="CZ28590" s="35">
        <v>1.1342164000000002E-2</v>
      </c>
    </row>
    <row r="28591" spans="103:104" x14ac:dyDescent="0.3">
      <c r="CY28591" s="34" t="s">
        <v>29517</v>
      </c>
      <c r="CZ28591" s="35">
        <v>1.1244444000000001E-2</v>
      </c>
    </row>
    <row r="28592" spans="103:104" x14ac:dyDescent="0.3">
      <c r="CY28592" s="34" t="s">
        <v>29518</v>
      </c>
      <c r="CZ28592" s="35">
        <v>1.0957384000000001E-2</v>
      </c>
    </row>
    <row r="28593" spans="103:104" x14ac:dyDescent="0.3">
      <c r="CY28593" s="34" t="s">
        <v>29519</v>
      </c>
      <c r="CZ28593" s="35">
        <v>3.1736336000000001E-3</v>
      </c>
    </row>
    <row r="28594" spans="103:104" x14ac:dyDescent="0.3">
      <c r="CY28594" s="34" t="s">
        <v>29520</v>
      </c>
      <c r="CZ28594" s="35">
        <v>3.3072551999999999E-3</v>
      </c>
    </row>
    <row r="28595" spans="103:104" x14ac:dyDescent="0.3">
      <c r="CY28595" s="34" t="s">
        <v>29521</v>
      </c>
      <c r="CZ28595" s="35">
        <v>1.7847399999999999E-3</v>
      </c>
    </row>
    <row r="28596" spans="103:104" x14ac:dyDescent="0.3">
      <c r="CY28596" s="34" t="s">
        <v>29522</v>
      </c>
      <c r="CZ28596" s="35">
        <v>5.6446177777777777E-4</v>
      </c>
    </row>
    <row r="28597" spans="103:104" x14ac:dyDescent="0.3">
      <c r="CY28597" s="34" t="s">
        <v>29523</v>
      </c>
      <c r="CZ28597" s="35">
        <v>3.251772210526316E-3</v>
      </c>
    </row>
    <row r="28598" spans="103:104" x14ac:dyDescent="0.3">
      <c r="CY28598" s="34" t="s">
        <v>29524</v>
      </c>
      <c r="CZ28598" s="35">
        <v>9.1810393333333323E-2</v>
      </c>
    </row>
    <row r="28599" spans="103:104" x14ac:dyDescent="0.3">
      <c r="CY28599" s="34" t="s">
        <v>29525</v>
      </c>
      <c r="CZ28599" s="35">
        <v>4.7776760000000001E-2</v>
      </c>
    </row>
    <row r="28600" spans="103:104" x14ac:dyDescent="0.3">
      <c r="CY28600" s="34" t="s">
        <v>29526</v>
      </c>
      <c r="CZ28600" s="35">
        <v>4.3159800000000005E-2</v>
      </c>
    </row>
    <row r="28601" spans="103:104" x14ac:dyDescent="0.3">
      <c r="CY28601" s="34" t="s">
        <v>29527</v>
      </c>
      <c r="CZ28601" s="35">
        <v>8.4060770000000014E-3</v>
      </c>
    </row>
    <row r="28602" spans="103:104" x14ac:dyDescent="0.3">
      <c r="CY28602" s="34" t="s">
        <v>29528</v>
      </c>
      <c r="CZ28602" s="35">
        <v>2.2913575000000001E-3</v>
      </c>
    </row>
    <row r="28603" spans="103:104" x14ac:dyDescent="0.3">
      <c r="CY28603" s="34" t="s">
        <v>29529</v>
      </c>
      <c r="CZ28603" s="35">
        <v>7.3054884000000007E-3</v>
      </c>
    </row>
    <row r="28604" spans="103:104" x14ac:dyDescent="0.3">
      <c r="CY28604" s="34" t="s">
        <v>29530</v>
      </c>
      <c r="CZ28604" s="35">
        <v>1.7910999599999998E-3</v>
      </c>
    </row>
    <row r="28605" spans="103:104" x14ac:dyDescent="0.3">
      <c r="CY28605" s="34" t="s">
        <v>29531</v>
      </c>
      <c r="CZ28605" s="35">
        <v>6.3686373999999985E-4</v>
      </c>
    </row>
    <row r="28606" spans="103:104" x14ac:dyDescent="0.3">
      <c r="CY28606" s="34" t="s">
        <v>29532</v>
      </c>
      <c r="CZ28606" s="35">
        <v>9.3961552999999992E-4</v>
      </c>
    </row>
    <row r="28607" spans="103:104" x14ac:dyDescent="0.3">
      <c r="CY28607" s="34" t="s">
        <v>29533</v>
      </c>
      <c r="CZ28607" s="35">
        <v>0.17527519468000002</v>
      </c>
    </row>
    <row r="28608" spans="103:104" x14ac:dyDescent="0.3">
      <c r="CY28608" s="34" t="s">
        <v>29534</v>
      </c>
      <c r="CZ28608" s="35">
        <v>0.22243586666666665</v>
      </c>
    </row>
    <row r="28609" spans="103:104" x14ac:dyDescent="0.3">
      <c r="CY28609" s="34" t="s">
        <v>29535</v>
      </c>
      <c r="CZ28609" s="35">
        <v>2.2224358666666668</v>
      </c>
    </row>
    <row r="28610" spans="103:104" x14ac:dyDescent="0.3">
      <c r="CY28610" s="34" t="s">
        <v>29536</v>
      </c>
      <c r="CZ28610" s="35">
        <v>0.18171043200000001</v>
      </c>
    </row>
    <row r="28611" spans="103:104" x14ac:dyDescent="0.3">
      <c r="CY28611" s="34" t="s">
        <v>29537</v>
      </c>
      <c r="CZ28611" s="35">
        <v>0.31028336666666667</v>
      </c>
    </row>
    <row r="28612" spans="103:104" x14ac:dyDescent="0.3">
      <c r="CY28612" s="34" t="s">
        <v>29538</v>
      </c>
      <c r="CZ28612" s="35">
        <v>2.3102833666666669</v>
      </c>
    </row>
    <row r="28613" spans="103:104" x14ac:dyDescent="0.3">
      <c r="CY28613" s="34" t="s">
        <v>29539</v>
      </c>
      <c r="CZ28613" s="35">
        <v>2.181710432</v>
      </c>
    </row>
    <row r="28614" spans="103:104" x14ac:dyDescent="0.3">
      <c r="CY28614" s="34" t="s">
        <v>29540</v>
      </c>
      <c r="CZ28614" s="35">
        <v>0.35656993999999992</v>
      </c>
    </row>
    <row r="28615" spans="103:104" x14ac:dyDescent="0.3">
      <c r="CY28615" s="34" t="s">
        <v>29541</v>
      </c>
      <c r="CZ28615" s="35">
        <v>0.35764064600000001</v>
      </c>
    </row>
    <row r="28616" spans="103:104" x14ac:dyDescent="0.3">
      <c r="CY28616" s="34" t="s">
        <v>29542</v>
      </c>
      <c r="CZ28616" s="35">
        <v>0.18380414399999997</v>
      </c>
    </row>
    <row r="28617" spans="103:104" x14ac:dyDescent="0.3">
      <c r="CY28617" s="34" t="s">
        <v>29543</v>
      </c>
      <c r="CZ28617" s="35">
        <v>0.20160069600000002</v>
      </c>
    </row>
    <row r="28618" spans="103:104" x14ac:dyDescent="0.3">
      <c r="CY28618" s="34" t="s">
        <v>29544</v>
      </c>
      <c r="CZ28618" s="35">
        <v>1.9449535200000003E-2</v>
      </c>
    </row>
    <row r="28619" spans="103:104" x14ac:dyDescent="0.3">
      <c r="CY28619" s="34" t="s">
        <v>29545</v>
      </c>
      <c r="CZ28619" s="35">
        <v>5.6937778851199996E-3</v>
      </c>
    </row>
    <row r="28620" spans="103:104" x14ac:dyDescent="0.3">
      <c r="CY28620" s="34" t="s">
        <v>29546</v>
      </c>
      <c r="CZ28620" s="35">
        <v>1.1263820000000001E-2</v>
      </c>
    </row>
    <row r="28621" spans="103:104" x14ac:dyDescent="0.3">
      <c r="CY28621" s="34" t="s">
        <v>29547</v>
      </c>
      <c r="CZ28621" s="35">
        <v>2.0908329999999999E-2</v>
      </c>
    </row>
    <row r="28622" spans="103:104" x14ac:dyDescent="0.3">
      <c r="CY28622" s="34" t="s">
        <v>29548</v>
      </c>
      <c r="CZ28622" s="35">
        <v>2.4692944449999997E-2</v>
      </c>
    </row>
    <row r="28623" spans="103:104" x14ac:dyDescent="0.3">
      <c r="CY28623" s="34" t="s">
        <v>29549</v>
      </c>
      <c r="CZ28623" s="35">
        <v>2.3407744450000004E-2</v>
      </c>
    </row>
    <row r="28624" spans="103:104" x14ac:dyDescent="0.3">
      <c r="CY28624" s="34" t="s">
        <v>29550</v>
      </c>
      <c r="CZ28624" s="35">
        <v>2.340774445E-2</v>
      </c>
    </row>
    <row r="28625" spans="103:104" x14ac:dyDescent="0.3">
      <c r="CY28625" s="34" t="s">
        <v>29551</v>
      </c>
      <c r="CZ28625" s="35">
        <v>8.8948059999999999E-3</v>
      </c>
    </row>
    <row r="28626" spans="103:104" x14ac:dyDescent="0.3">
      <c r="CY28626" s="34" t="s">
        <v>29552</v>
      </c>
      <c r="CZ28626" s="35">
        <v>1.5949999937499998E-3</v>
      </c>
    </row>
    <row r="28627" spans="103:104" x14ac:dyDescent="0.3">
      <c r="CY28627" s="34" t="s">
        <v>29553</v>
      </c>
      <c r="CZ28627" s="35">
        <v>1.8582673599999999E-3</v>
      </c>
    </row>
    <row r="28628" spans="103:104" x14ac:dyDescent="0.3">
      <c r="CY28628" s="34" t="s">
        <v>29554</v>
      </c>
      <c r="CZ28628" s="35">
        <v>1.6605032000000002E-2</v>
      </c>
    </row>
    <row r="28629" spans="103:104" x14ac:dyDescent="0.3">
      <c r="CY28629" s="34" t="s">
        <v>29555</v>
      </c>
      <c r="CZ28629" s="35">
        <v>1.7544152E-2</v>
      </c>
    </row>
    <row r="28630" spans="103:104" x14ac:dyDescent="0.3">
      <c r="CY28630" s="34" t="s">
        <v>29556</v>
      </c>
      <c r="CZ28630" s="35">
        <v>9.5572640000000011E-3</v>
      </c>
    </row>
    <row r="28631" spans="103:104" x14ac:dyDescent="0.3">
      <c r="CY28631" s="34" t="s">
        <v>29557</v>
      </c>
      <c r="CZ28631" s="35">
        <v>1.2387728000000001E-2</v>
      </c>
    </row>
    <row r="28632" spans="103:104" x14ac:dyDescent="0.3">
      <c r="CY28632" s="34" t="s">
        <v>29558</v>
      </c>
      <c r="CZ28632" s="35">
        <v>1.6529698675000003E-2</v>
      </c>
    </row>
    <row r="28633" spans="103:104" x14ac:dyDescent="0.3">
      <c r="CY28633" s="34" t="s">
        <v>29559</v>
      </c>
      <c r="CZ28633" s="35">
        <v>1.6605031999999999E-2</v>
      </c>
    </row>
    <row r="28634" spans="103:104" x14ac:dyDescent="0.3">
      <c r="CY28634" s="34" t="s">
        <v>29560</v>
      </c>
      <c r="CZ28634" s="35">
        <v>0.50664323328571426</v>
      </c>
    </row>
    <row r="28635" spans="103:104" x14ac:dyDescent="0.3">
      <c r="CY28635" s="34" t="s">
        <v>29561</v>
      </c>
      <c r="CZ28635" s="35">
        <v>0.44874033328571428</v>
      </c>
    </row>
    <row r="28636" spans="103:104" x14ac:dyDescent="0.3">
      <c r="CY28636" s="34" t="s">
        <v>29562</v>
      </c>
      <c r="CZ28636" s="35">
        <v>0.41555912535</v>
      </c>
    </row>
    <row r="28637" spans="103:104" x14ac:dyDescent="0.3">
      <c r="CY28637" s="34" t="s">
        <v>29563</v>
      </c>
      <c r="CZ28637" s="35">
        <v>2.7547764999999997E-3</v>
      </c>
    </row>
    <row r="28638" spans="103:104" x14ac:dyDescent="0.3">
      <c r="CY28638" s="34" t="s">
        <v>29564</v>
      </c>
      <c r="CZ28638" s="35">
        <v>7.7187500666666672E-5</v>
      </c>
    </row>
    <row r="28639" spans="103:104" x14ac:dyDescent="0.3">
      <c r="CY28639" s="34" t="s">
        <v>29565</v>
      </c>
      <c r="CZ28639" s="35">
        <v>2.7547764999999997E-3</v>
      </c>
    </row>
    <row r="28640" spans="103:104" x14ac:dyDescent="0.3">
      <c r="CY28640" s="34" t="s">
        <v>29566</v>
      </c>
      <c r="CZ28640" s="35">
        <v>1.9933466999999998E-3</v>
      </c>
    </row>
    <row r="28641" spans="103:104" x14ac:dyDescent="0.3">
      <c r="CY28641" s="34" t="s">
        <v>29567</v>
      </c>
      <c r="CZ28641" s="35">
        <v>2.0012466999999997E-3</v>
      </c>
    </row>
    <row r="28642" spans="103:104" x14ac:dyDescent="0.3">
      <c r="CY28642" s="34" t="s">
        <v>29568</v>
      </c>
      <c r="CZ28642" s="35">
        <v>5.1061249999999998E-4</v>
      </c>
    </row>
    <row r="28643" spans="103:104" x14ac:dyDescent="0.3">
      <c r="CY28643" s="34" t="s">
        <v>29569</v>
      </c>
      <c r="CZ28643" s="35">
        <v>0.72094220000000009</v>
      </c>
    </row>
    <row r="28644" spans="103:104" x14ac:dyDescent="0.3">
      <c r="CY28644" s="34" t="s">
        <v>29570</v>
      </c>
      <c r="CZ28644" s="35">
        <v>0.43227769999999999</v>
      </c>
    </row>
    <row r="28645" spans="103:104" x14ac:dyDescent="0.3">
      <c r="CY28645" s="34" t="s">
        <v>29571</v>
      </c>
      <c r="CZ28645" s="35">
        <v>1.7731225E-3</v>
      </c>
    </row>
    <row r="28646" spans="103:104" x14ac:dyDescent="0.3">
      <c r="CY28646" s="34" t="s">
        <v>29572</v>
      </c>
      <c r="CZ28646" s="35">
        <v>1.1441372700000001E-2</v>
      </c>
    </row>
    <row r="28647" spans="103:104" x14ac:dyDescent="0.3">
      <c r="CY28647" s="34" t="s">
        <v>29573</v>
      </c>
      <c r="CZ28647" s="35">
        <v>1.1441372699999999E-2</v>
      </c>
    </row>
    <row r="28648" spans="103:104" x14ac:dyDescent="0.3">
      <c r="CY28648" s="34" t="s">
        <v>29574</v>
      </c>
      <c r="CZ28648" s="35">
        <v>1.14413732E-2</v>
      </c>
    </row>
    <row r="28649" spans="103:104" x14ac:dyDescent="0.3">
      <c r="CY28649" s="34" t="s">
        <v>29575</v>
      </c>
      <c r="CZ28649" s="35">
        <v>1.43298651E-2</v>
      </c>
    </row>
    <row r="28650" spans="103:104" x14ac:dyDescent="0.3">
      <c r="CY28650" s="34" t="s">
        <v>29576</v>
      </c>
      <c r="CZ28650" s="35">
        <v>1.5058249500000001E-2</v>
      </c>
    </row>
    <row r="28651" spans="103:104" x14ac:dyDescent="0.3">
      <c r="CY28651" s="34" t="s">
        <v>29577</v>
      </c>
      <c r="CZ28651" s="35">
        <v>2.3549999999999999E-3</v>
      </c>
    </row>
    <row r="28652" spans="103:104" x14ac:dyDescent="0.3">
      <c r="CY28652" s="34" t="s">
        <v>29578</v>
      </c>
      <c r="CZ28652" s="35">
        <v>0.32315411800000005</v>
      </c>
    </row>
    <row r="28653" spans="103:104" x14ac:dyDescent="0.3">
      <c r="CY28653" s="34" t="s">
        <v>29579</v>
      </c>
      <c r="CZ28653" s="35">
        <v>1.5848501250000001E-2</v>
      </c>
    </row>
    <row r="28654" spans="103:104" x14ac:dyDescent="0.3">
      <c r="CY28654" s="34" t="s">
        <v>29580</v>
      </c>
      <c r="CZ28654" s="35">
        <v>1.5939813333333334E-2</v>
      </c>
    </row>
    <row r="28655" spans="103:104" x14ac:dyDescent="0.3">
      <c r="CY28655" s="34" t="s">
        <v>29581</v>
      </c>
      <c r="CZ28655" s="35">
        <v>1.6852933333333334E-2</v>
      </c>
    </row>
    <row r="28656" spans="103:104" x14ac:dyDescent="0.3">
      <c r="CY28656" s="34" t="s">
        <v>29582</v>
      </c>
      <c r="CZ28656" s="35">
        <v>1.7663925333333334E-2</v>
      </c>
    </row>
    <row r="28657" spans="103:104" x14ac:dyDescent="0.3">
      <c r="CY28657" s="34" t="s">
        <v>29583</v>
      </c>
      <c r="CZ28657" s="35">
        <v>1.9108277333333333E-2</v>
      </c>
    </row>
    <row r="28658" spans="103:104" x14ac:dyDescent="0.3">
      <c r="CY28658" s="34" t="s">
        <v>29584</v>
      </c>
      <c r="CZ28658" s="35">
        <v>2.0372085333333338E-2</v>
      </c>
    </row>
    <row r="28659" spans="103:104" x14ac:dyDescent="0.3">
      <c r="CY28659" s="34" t="s">
        <v>29585</v>
      </c>
      <c r="CZ28659" s="35">
        <v>2.4207472000000001E-2</v>
      </c>
    </row>
    <row r="28660" spans="103:104" x14ac:dyDescent="0.3">
      <c r="CY28660" s="34" t="s">
        <v>29586</v>
      </c>
      <c r="CZ28660" s="35">
        <v>4.3028351999999999E-2</v>
      </c>
    </row>
    <row r="28661" spans="103:104" x14ac:dyDescent="0.3">
      <c r="CY28661" s="34" t="s">
        <v>29587</v>
      </c>
      <c r="CZ28661" s="35">
        <v>5.2190855999999994E-2</v>
      </c>
    </row>
    <row r="28662" spans="103:104" x14ac:dyDescent="0.3">
      <c r="CY28662" s="34" t="s">
        <v>29588</v>
      </c>
      <c r="CZ28662" s="35">
        <v>2.58494868E-3</v>
      </c>
    </row>
    <row r="28663" spans="103:104" x14ac:dyDescent="0.3">
      <c r="CY28663" s="34" t="s">
        <v>29589</v>
      </c>
      <c r="CZ28663" s="35">
        <v>3.0059367999999997E-3</v>
      </c>
    </row>
    <row r="28664" spans="103:104" x14ac:dyDescent="0.3">
      <c r="CY28664" s="34" t="s">
        <v>29590</v>
      </c>
      <c r="CZ28664" s="35">
        <v>0.35964818856000003</v>
      </c>
    </row>
    <row r="28665" spans="103:104" x14ac:dyDescent="0.3">
      <c r="CY28665" s="34" t="s">
        <v>29591</v>
      </c>
      <c r="CZ28665" s="35">
        <v>1.5084775999999999E-2</v>
      </c>
    </row>
    <row r="28666" spans="103:104" x14ac:dyDescent="0.3">
      <c r="CY28666" s="34" t="s">
        <v>29592</v>
      </c>
      <c r="CZ28666" s="35">
        <v>3.0083600000000002E-2</v>
      </c>
    </row>
    <row r="28667" spans="103:104" x14ac:dyDescent="0.3">
      <c r="CY28667" s="34" t="s">
        <v>29593</v>
      </c>
      <c r="CZ28667" s="35">
        <v>1.0298378082219999</v>
      </c>
    </row>
    <row r="28668" spans="103:104" x14ac:dyDescent="0.3">
      <c r="CY28668" s="34" t="s">
        <v>29594</v>
      </c>
      <c r="CZ28668" s="35">
        <v>0.76715319999999987</v>
      </c>
    </row>
    <row r="28669" spans="103:104" x14ac:dyDescent="0.3">
      <c r="CY28669" s="34" t="s">
        <v>29595</v>
      </c>
      <c r="CZ28669" s="35">
        <v>3.0875650799999993E-3</v>
      </c>
    </row>
    <row r="28670" spans="103:104" x14ac:dyDescent="0.3">
      <c r="CY28670" s="34" t="s">
        <v>29596</v>
      </c>
      <c r="CZ28670" s="35">
        <v>2.8933783466666666E-3</v>
      </c>
    </row>
    <row r="28671" spans="103:104" x14ac:dyDescent="0.3">
      <c r="CY28671" s="34" t="s">
        <v>29597</v>
      </c>
      <c r="CZ28671" s="35">
        <v>1.0845355199999998E-2</v>
      </c>
    </row>
    <row r="28672" spans="103:104" x14ac:dyDescent="0.3">
      <c r="CY28672" s="34" t="s">
        <v>29598</v>
      </c>
      <c r="CZ28672" s="35">
        <v>3.8257810133333335E-3</v>
      </c>
    </row>
    <row r="28673" spans="103:104" x14ac:dyDescent="0.3">
      <c r="CY28673" s="34" t="s">
        <v>29599</v>
      </c>
      <c r="CZ28673" s="35">
        <v>5.3055848000000003E-2</v>
      </c>
    </row>
    <row r="28674" spans="103:104" x14ac:dyDescent="0.3">
      <c r="CY28674" s="34" t="s">
        <v>29600</v>
      </c>
      <c r="CZ28674" s="35">
        <v>3.5945182800000003E-2</v>
      </c>
    </row>
    <row r="28675" spans="103:104" x14ac:dyDescent="0.3">
      <c r="CY28675" s="34" t="s">
        <v>29601</v>
      </c>
      <c r="CZ28675" s="35">
        <v>6.6637783999999992E-2</v>
      </c>
    </row>
    <row r="28676" spans="103:104" x14ac:dyDescent="0.3">
      <c r="CY28676" s="34" t="s">
        <v>29602</v>
      </c>
      <c r="CZ28676" s="35">
        <v>7.4582128000000011E-2</v>
      </c>
    </row>
    <row r="28677" spans="103:104" x14ac:dyDescent="0.3">
      <c r="CY28677" s="34" t="s">
        <v>29603</v>
      </c>
      <c r="CZ28677" s="35">
        <v>166.69431999999998</v>
      </c>
    </row>
    <row r="28678" spans="103:104" x14ac:dyDescent="0.3">
      <c r="CY28678" s="34" t="s">
        <v>29604</v>
      </c>
      <c r="CZ28678" s="35">
        <v>2.578E-3</v>
      </c>
    </row>
    <row r="28679" spans="103:104" x14ac:dyDescent="0.3">
      <c r="CY28679" s="34" t="s">
        <v>29605</v>
      </c>
      <c r="CZ28679" s="35">
        <v>2.578E-3</v>
      </c>
    </row>
    <row r="28680" spans="103:104" x14ac:dyDescent="0.3">
      <c r="CY28680" s="34" t="s">
        <v>29606</v>
      </c>
      <c r="CZ28680" s="35">
        <v>2.3528760000000003E-2</v>
      </c>
    </row>
    <row r="28681" spans="103:104" x14ac:dyDescent="0.3">
      <c r="CY28681" s="34" t="s">
        <v>29607</v>
      </c>
      <c r="CZ28681" s="35">
        <v>0.10609704799999999</v>
      </c>
    </row>
    <row r="28682" spans="103:104" x14ac:dyDescent="0.3">
      <c r="CY28682" s="34" t="s">
        <v>29608</v>
      </c>
      <c r="CZ28682" s="35">
        <v>0.10609704799999999</v>
      </c>
    </row>
    <row r="28683" spans="103:104" x14ac:dyDescent="0.3">
      <c r="CY28683" s="34" t="s">
        <v>29609</v>
      </c>
      <c r="CZ28683" s="35">
        <v>8.5135193294599981E-3</v>
      </c>
    </row>
    <row r="28684" spans="103:104" x14ac:dyDescent="0.3">
      <c r="CY28684" s="34" t="s">
        <v>29610</v>
      </c>
      <c r="CZ28684" s="35">
        <v>8.8503056000000004E-3</v>
      </c>
    </row>
    <row r="28685" spans="103:104" x14ac:dyDescent="0.3">
      <c r="CY28685" s="34" t="s">
        <v>29611</v>
      </c>
      <c r="CZ28685" s="35">
        <v>1.1966632470588236E-2</v>
      </c>
    </row>
    <row r="28686" spans="103:104" x14ac:dyDescent="0.3">
      <c r="CY28686" s="34" t="s">
        <v>29612</v>
      </c>
      <c r="CZ28686" s="35">
        <v>7.4511727999999992E-3</v>
      </c>
    </row>
    <row r="28687" spans="103:104" x14ac:dyDescent="0.3">
      <c r="CY28687" s="34" t="s">
        <v>29613</v>
      </c>
      <c r="CZ28687" s="35">
        <v>7.3855299199999998E-3</v>
      </c>
    </row>
    <row r="28688" spans="103:104" x14ac:dyDescent="0.3">
      <c r="CY28688" s="34" t="s">
        <v>29614</v>
      </c>
      <c r="CZ28688" s="35">
        <v>5.8051080000000007E-3</v>
      </c>
    </row>
    <row r="28689" spans="103:104" x14ac:dyDescent="0.3">
      <c r="CY28689" s="34" t="s">
        <v>29615</v>
      </c>
      <c r="CZ28689" s="35">
        <v>1.55667008E-2</v>
      </c>
    </row>
    <row r="28690" spans="103:104" x14ac:dyDescent="0.3">
      <c r="CY28690" s="34" t="s">
        <v>29616</v>
      </c>
      <c r="CZ28690" s="35">
        <v>6.2711000000000008E-3</v>
      </c>
    </row>
    <row r="28691" spans="103:104" x14ac:dyDescent="0.3">
      <c r="CY28691" s="34" t="s">
        <v>29617</v>
      </c>
      <c r="CZ28691" s="35">
        <v>1.4505286933333333E-2</v>
      </c>
    </row>
    <row r="28692" spans="103:104" x14ac:dyDescent="0.3">
      <c r="CY28692" s="34" t="s">
        <v>29618</v>
      </c>
      <c r="CZ28692" s="35">
        <v>1.2598916799999998E-2</v>
      </c>
    </row>
    <row r="28693" spans="103:104" x14ac:dyDescent="0.3">
      <c r="CY28693" s="34" t="s">
        <v>29619</v>
      </c>
      <c r="CZ28693" s="35">
        <v>0.68547383399999995</v>
      </c>
    </row>
    <row r="28694" spans="103:104" x14ac:dyDescent="0.3">
      <c r="CY28694" s="34" t="s">
        <v>29620</v>
      </c>
      <c r="CZ28694" s="35">
        <v>0.28714299600000004</v>
      </c>
    </row>
    <row r="28695" spans="103:104" x14ac:dyDescent="0.3">
      <c r="CY28695" s="34" t="s">
        <v>29621</v>
      </c>
      <c r="CZ28695" s="35">
        <v>0.30350854799999999</v>
      </c>
    </row>
    <row r="28696" spans="103:104" x14ac:dyDescent="0.3">
      <c r="CY28696" s="34" t="s">
        <v>29622</v>
      </c>
      <c r="CZ28696" s="35">
        <v>0.40524186000000001</v>
      </c>
    </row>
    <row r="28697" spans="103:104" x14ac:dyDescent="0.3">
      <c r="CY28697" s="34" t="s">
        <v>29623</v>
      </c>
      <c r="CZ28697" s="35">
        <v>0.18593830377777779</v>
      </c>
    </row>
    <row r="28698" spans="103:104" x14ac:dyDescent="0.3">
      <c r="CY28698" s="34" t="s">
        <v>29624</v>
      </c>
      <c r="CZ28698" s="35">
        <v>7.9032944000000001E-3</v>
      </c>
    </row>
    <row r="28699" spans="103:104" x14ac:dyDescent="0.3">
      <c r="CY28699" s="34" t="s">
        <v>29625</v>
      </c>
      <c r="CZ28699" s="35">
        <v>7.9032944000000001E-3</v>
      </c>
    </row>
    <row r="28700" spans="103:104" x14ac:dyDescent="0.3">
      <c r="CY28700" s="34" t="s">
        <v>29626</v>
      </c>
      <c r="CZ28700" s="35">
        <v>4.5798680000000001E-2</v>
      </c>
    </row>
    <row r="28701" spans="103:104" x14ac:dyDescent="0.3">
      <c r="CY28701" s="34" t="s">
        <v>29627</v>
      </c>
      <c r="CZ28701" s="35">
        <v>4.5798680000000001E-2</v>
      </c>
    </row>
    <row r="28702" spans="103:104" x14ac:dyDescent="0.3">
      <c r="CY28702" s="34" t="s">
        <v>29628</v>
      </c>
      <c r="CZ28702" s="35">
        <v>4.9309999999999996E-3</v>
      </c>
    </row>
    <row r="28703" spans="103:104" x14ac:dyDescent="0.3">
      <c r="CY28703" s="34" t="s">
        <v>29629</v>
      </c>
      <c r="CZ28703" s="35">
        <v>6.2979328000000001E-2</v>
      </c>
    </row>
    <row r="28704" spans="103:104" x14ac:dyDescent="0.3">
      <c r="CY28704" s="34" t="s">
        <v>29630</v>
      </c>
      <c r="CZ28704" s="35">
        <v>5.6579680000000007E-2</v>
      </c>
    </row>
    <row r="28705" spans="103:104" x14ac:dyDescent="0.3">
      <c r="CY28705" s="34" t="s">
        <v>29631</v>
      </c>
      <c r="CZ28705" s="35">
        <v>6.378732799999999E-2</v>
      </c>
    </row>
    <row r="28706" spans="103:104" x14ac:dyDescent="0.3">
      <c r="CY28706" s="34" t="s">
        <v>29632</v>
      </c>
      <c r="CZ28706" s="35">
        <v>2.10115E-3</v>
      </c>
    </row>
    <row r="28707" spans="103:104" x14ac:dyDescent="0.3">
      <c r="CY28707" s="34" t="s">
        <v>29633</v>
      </c>
      <c r="CZ28707" s="35">
        <v>3.3872890199999998E-2</v>
      </c>
    </row>
    <row r="28708" spans="103:104" x14ac:dyDescent="0.3">
      <c r="CY28708" s="34" t="s">
        <v>29634</v>
      </c>
      <c r="CZ28708" s="35">
        <v>3.3872890199999998E-2</v>
      </c>
    </row>
    <row r="28709" spans="103:104" x14ac:dyDescent="0.3">
      <c r="CY28709" s="34" t="s">
        <v>29635</v>
      </c>
      <c r="CZ28709" s="35">
        <v>8.7582345166666645E-2</v>
      </c>
    </row>
    <row r="28710" spans="103:104" x14ac:dyDescent="0.3">
      <c r="CY28710" s="34" t="s">
        <v>29636</v>
      </c>
      <c r="CZ28710" s="35">
        <v>3.2768907E-2</v>
      </c>
    </row>
    <row r="28711" spans="103:104" x14ac:dyDescent="0.3">
      <c r="CY28711" s="34" t="s">
        <v>29637</v>
      </c>
      <c r="CZ28711" s="35">
        <v>3.3331615340000002E-2</v>
      </c>
    </row>
    <row r="28712" spans="103:104" x14ac:dyDescent="0.3">
      <c r="CY28712" s="34" t="s">
        <v>29638</v>
      </c>
      <c r="CZ28712" s="35">
        <v>0.16200322</v>
      </c>
    </row>
    <row r="28713" spans="103:104" x14ac:dyDescent="0.3">
      <c r="CY28713" s="34" t="s">
        <v>29639</v>
      </c>
      <c r="CZ28713" s="35">
        <v>0.1681212</v>
      </c>
    </row>
    <row r="28714" spans="103:104" x14ac:dyDescent="0.3">
      <c r="CY28714" s="34" t="s">
        <v>29640</v>
      </c>
      <c r="CZ28714" s="35">
        <v>0.1681212</v>
      </c>
    </row>
    <row r="28715" spans="103:104" x14ac:dyDescent="0.3">
      <c r="CY28715" s="34" t="s">
        <v>29641</v>
      </c>
      <c r="CZ28715" s="35">
        <v>0.24116119999999996</v>
      </c>
    </row>
    <row r="28716" spans="103:104" x14ac:dyDescent="0.3">
      <c r="CY28716" s="34" t="s">
        <v>29642</v>
      </c>
      <c r="CZ28716" s="35">
        <v>0.10300990000000002</v>
      </c>
    </row>
    <row r="28717" spans="103:104" x14ac:dyDescent="0.3">
      <c r="CY28717" s="34" t="s">
        <v>29643</v>
      </c>
      <c r="CZ28717" s="35">
        <v>9.0418048000000001E-2</v>
      </c>
    </row>
    <row r="28718" spans="103:104" x14ac:dyDescent="0.3">
      <c r="CY28718" s="34" t="s">
        <v>29644</v>
      </c>
      <c r="CZ28718" s="35">
        <v>1.8420000000000001E-4</v>
      </c>
    </row>
    <row r="28719" spans="103:104" x14ac:dyDescent="0.3">
      <c r="CY28719" s="34" t="s">
        <v>29645</v>
      </c>
      <c r="CZ28719" s="35">
        <v>3.0499999999999999E-4</v>
      </c>
    </row>
    <row r="28720" spans="103:104" x14ac:dyDescent="0.3">
      <c r="CY28720" s="34" t="s">
        <v>29646</v>
      </c>
      <c r="CZ28720" s="35">
        <v>3.0499999999999999E-4</v>
      </c>
    </row>
    <row r="28721" spans="103:104" x14ac:dyDescent="0.3">
      <c r="CY28721" s="34" t="s">
        <v>29647</v>
      </c>
      <c r="CZ28721" s="35">
        <v>5.4167366000000002E-2</v>
      </c>
    </row>
    <row r="28722" spans="103:104" x14ac:dyDescent="0.3">
      <c r="CY28722" s="34" t="s">
        <v>29648</v>
      </c>
      <c r="CZ28722" s="35">
        <v>1.6348374523535001</v>
      </c>
    </row>
    <row r="28723" spans="103:104" x14ac:dyDescent="0.3">
      <c r="CY28723" s="34" t="s">
        <v>29649</v>
      </c>
      <c r="CZ28723" s="35">
        <v>1.6233035949999999E-2</v>
      </c>
    </row>
    <row r="28724" spans="103:104" x14ac:dyDescent="0.3">
      <c r="CY28724" s="34" t="s">
        <v>29650</v>
      </c>
      <c r="CZ28724" s="35">
        <v>4.5913479999999993E-2</v>
      </c>
    </row>
    <row r="28725" spans="103:104" x14ac:dyDescent="0.3">
      <c r="CY28725" s="34" t="s">
        <v>29651</v>
      </c>
      <c r="CZ28725" s="35">
        <v>1.300214775510204E-2</v>
      </c>
    </row>
    <row r="28726" spans="103:104" x14ac:dyDescent="0.3">
      <c r="CY28726" s="34" t="s">
        <v>29652</v>
      </c>
      <c r="CZ28726" s="35">
        <v>1.7770839733333332E-2</v>
      </c>
    </row>
    <row r="28727" spans="103:104" x14ac:dyDescent="0.3">
      <c r="CY28727" s="34" t="s">
        <v>29653</v>
      </c>
      <c r="CZ28727" s="35">
        <v>1.9933292933333333E-2</v>
      </c>
    </row>
    <row r="28728" spans="103:104" x14ac:dyDescent="0.3">
      <c r="CY28728" s="34" t="s">
        <v>29654</v>
      </c>
      <c r="CZ28728" s="35">
        <v>0.44950656999999999</v>
      </c>
    </row>
    <row r="28729" spans="103:104" x14ac:dyDescent="0.3">
      <c r="CY28729" s="34" t="s">
        <v>29655</v>
      </c>
      <c r="CZ28729" s="35">
        <v>1.8864167099999999E-3</v>
      </c>
    </row>
    <row r="28730" spans="103:104" x14ac:dyDescent="0.3">
      <c r="CY28730" s="34" t="s">
        <v>29656</v>
      </c>
      <c r="CZ28730" s="35">
        <v>5.7110655600000008E-3</v>
      </c>
    </row>
    <row r="28731" spans="103:104" x14ac:dyDescent="0.3">
      <c r="CY28731" s="34" t="s">
        <v>29657</v>
      </c>
      <c r="CZ28731" s="35">
        <v>5.4173679599999998E-3</v>
      </c>
    </row>
    <row r="28732" spans="103:104" x14ac:dyDescent="0.3">
      <c r="CY28732" s="34" t="s">
        <v>29658</v>
      </c>
      <c r="CZ28732" s="35">
        <v>1.9866880898876404E-2</v>
      </c>
    </row>
    <row r="28733" spans="103:104" x14ac:dyDescent="0.3">
      <c r="CY28733" s="34" t="s">
        <v>29659</v>
      </c>
      <c r="CZ28733" s="35">
        <v>7.5834740000000006E-3</v>
      </c>
    </row>
    <row r="28734" spans="103:104" x14ac:dyDescent="0.3">
      <c r="CY28734" s="34" t="s">
        <v>29660</v>
      </c>
      <c r="CZ28734" s="35">
        <v>3.9096740000000001E-4</v>
      </c>
    </row>
    <row r="28735" spans="103:104" x14ac:dyDescent="0.3">
      <c r="CY28735" s="34" t="s">
        <v>29661</v>
      </c>
      <c r="CZ28735" s="35">
        <v>2.0246729999999998E-2</v>
      </c>
    </row>
    <row r="28736" spans="103:104" x14ac:dyDescent="0.3">
      <c r="CY28736" s="34" t="s">
        <v>29662</v>
      </c>
      <c r="CZ28736" s="35">
        <v>0.11986345299999999</v>
      </c>
    </row>
    <row r="28737" spans="103:104" x14ac:dyDescent="0.3">
      <c r="CY28737" s="34" t="s">
        <v>29663</v>
      </c>
      <c r="CZ28737" s="35">
        <v>6.5110640000000011E-2</v>
      </c>
    </row>
    <row r="28738" spans="103:104" x14ac:dyDescent="0.3">
      <c r="CY28738" s="34" t="s">
        <v>29664</v>
      </c>
      <c r="CZ28738" s="35">
        <v>2.7510425462857143E-2</v>
      </c>
    </row>
    <row r="28739" spans="103:104" x14ac:dyDescent="0.3">
      <c r="CY28739" s="34" t="s">
        <v>29665</v>
      </c>
      <c r="CZ28739" s="35">
        <v>3.8926278800000005E-2</v>
      </c>
    </row>
    <row r="28740" spans="103:104" x14ac:dyDescent="0.3">
      <c r="CY28740" s="34" t="s">
        <v>29666</v>
      </c>
      <c r="CZ28740" s="35">
        <v>0.21576965999999997</v>
      </c>
    </row>
    <row r="28741" spans="103:104" x14ac:dyDescent="0.3">
      <c r="CY28741" s="34" t="s">
        <v>29667</v>
      </c>
      <c r="CZ28741" s="35">
        <v>9.7743864000000014E-3</v>
      </c>
    </row>
    <row r="28742" spans="103:104" x14ac:dyDescent="0.3">
      <c r="CY28742" s="34" t="s">
        <v>29668</v>
      </c>
      <c r="CZ28742" s="35">
        <v>6.6073599999999996E-3</v>
      </c>
    </row>
    <row r="28743" spans="103:104" x14ac:dyDescent="0.3">
      <c r="CY28743" s="34" t="s">
        <v>29669</v>
      </c>
      <c r="CZ28743" s="35">
        <v>4.8765624999999998E-3</v>
      </c>
    </row>
    <row r="28744" spans="103:104" x14ac:dyDescent="0.3">
      <c r="CY28744" s="34" t="s">
        <v>29670</v>
      </c>
      <c r="CZ28744" s="35">
        <v>1.0121178E-2</v>
      </c>
    </row>
    <row r="28745" spans="103:104" x14ac:dyDescent="0.3">
      <c r="CY28745" s="34" t="s">
        <v>29671</v>
      </c>
      <c r="CZ28745" s="35">
        <v>2.6343107999999998E-3</v>
      </c>
    </row>
    <row r="28746" spans="103:104" x14ac:dyDescent="0.3">
      <c r="CY28746" s="34" t="s">
        <v>29672</v>
      </c>
      <c r="CZ28746" s="35">
        <v>1.7753040800000001E-2</v>
      </c>
    </row>
    <row r="28747" spans="103:104" x14ac:dyDescent="0.3">
      <c r="CY28747" s="34" t="s">
        <v>29673</v>
      </c>
      <c r="CZ28747" s="35">
        <v>0.13939860266666668</v>
      </c>
    </row>
    <row r="28748" spans="103:104" x14ac:dyDescent="0.3">
      <c r="CY28748" s="34" t="s">
        <v>29674</v>
      </c>
      <c r="CZ28748" s="35">
        <v>2.3012885000000004E-2</v>
      </c>
    </row>
    <row r="28749" spans="103:104" x14ac:dyDescent="0.3">
      <c r="CY28749" s="34" t="s">
        <v>29675</v>
      </c>
      <c r="CZ28749" s="35">
        <v>1.1659112499999999E-2</v>
      </c>
    </row>
    <row r="28750" spans="103:104" x14ac:dyDescent="0.3">
      <c r="CY28750" s="34" t="s">
        <v>29676</v>
      </c>
      <c r="CZ28750" s="35">
        <v>2.7124475000000002E-2</v>
      </c>
    </row>
    <row r="28751" spans="103:104" x14ac:dyDescent="0.3">
      <c r="CY28751" s="34" t="s">
        <v>29677</v>
      </c>
      <c r="CZ28751" s="35">
        <v>4.3851220000000003E-2</v>
      </c>
    </row>
    <row r="28752" spans="103:104" x14ac:dyDescent="0.3">
      <c r="CY28752" s="34" t="s">
        <v>29678</v>
      </c>
      <c r="CZ28752" s="35">
        <v>3.015804E-3</v>
      </c>
    </row>
    <row r="28753" spans="103:104" x14ac:dyDescent="0.3">
      <c r="CY28753" s="34" t="s">
        <v>29679</v>
      </c>
      <c r="CZ28753" s="35">
        <v>0.39180723999999995</v>
      </c>
    </row>
    <row r="28754" spans="103:104" x14ac:dyDescent="0.3">
      <c r="CY28754" s="34" t="s">
        <v>29680</v>
      </c>
      <c r="CZ28754" s="35">
        <v>1.9961035000000002E-2</v>
      </c>
    </row>
    <row r="28755" spans="103:104" x14ac:dyDescent="0.3">
      <c r="CY28755" s="34" t="s">
        <v>29681</v>
      </c>
      <c r="CZ28755" s="35">
        <v>3.2017231857142864E-2</v>
      </c>
    </row>
    <row r="28756" spans="103:104" x14ac:dyDescent="0.3">
      <c r="CY28756" s="34" t="s">
        <v>29682</v>
      </c>
      <c r="CZ28756" s="35">
        <v>2.9882749740000002E-2</v>
      </c>
    </row>
    <row r="28757" spans="103:104" x14ac:dyDescent="0.3">
      <c r="CY28757" s="34" t="s">
        <v>29683</v>
      </c>
      <c r="CZ28757" s="35">
        <v>3.3400754285714283E-2</v>
      </c>
    </row>
    <row r="28758" spans="103:104" x14ac:dyDescent="0.3">
      <c r="CY28758" s="34" t="s">
        <v>29684</v>
      </c>
      <c r="CZ28758" s="35">
        <v>5.6778946894736851E-2</v>
      </c>
    </row>
    <row r="28759" spans="103:104" x14ac:dyDescent="0.3">
      <c r="CY28759" s="34" t="s">
        <v>29685</v>
      </c>
      <c r="CZ28759" s="35">
        <v>7.0849069473684217E-2</v>
      </c>
    </row>
    <row r="28760" spans="103:104" x14ac:dyDescent="0.3">
      <c r="CY28760" s="34" t="s">
        <v>29686</v>
      </c>
      <c r="CZ28760" s="35">
        <v>7.9251126111111111E-2</v>
      </c>
    </row>
    <row r="28761" spans="103:104" x14ac:dyDescent="0.3">
      <c r="CY28761" s="34" t="s">
        <v>29687</v>
      </c>
      <c r="CZ28761" s="35">
        <v>2.3429888888888889E-2</v>
      </c>
    </row>
    <row r="28762" spans="103:104" x14ac:dyDescent="0.3">
      <c r="CY28762" s="34" t="s">
        <v>29688</v>
      </c>
      <c r="CZ28762" s="35">
        <v>8.4766717473684208E-2</v>
      </c>
    </row>
    <row r="28763" spans="103:104" x14ac:dyDescent="0.3">
      <c r="CY28763" s="34" t="s">
        <v>29689</v>
      </c>
      <c r="CZ28763" s="35">
        <v>5.1132480000000008E-2</v>
      </c>
    </row>
    <row r="28764" spans="103:104" x14ac:dyDescent="0.3">
      <c r="CY28764" s="34" t="s">
        <v>29690</v>
      </c>
      <c r="CZ28764" s="35">
        <v>6.1987680000000003E-2</v>
      </c>
    </row>
    <row r="28765" spans="103:104" x14ac:dyDescent="0.3">
      <c r="CY28765" s="34" t="s">
        <v>29691</v>
      </c>
      <c r="CZ28765" s="35">
        <v>0.693490092</v>
      </c>
    </row>
    <row r="28766" spans="103:104" x14ac:dyDescent="0.3">
      <c r="CY28766" s="34" t="s">
        <v>29692</v>
      </c>
      <c r="CZ28766" s="35">
        <v>4.0118371999999999E-2</v>
      </c>
    </row>
    <row r="28767" spans="103:104" x14ac:dyDescent="0.3">
      <c r="CY28767" s="34" t="s">
        <v>29693</v>
      </c>
      <c r="CZ28767" s="35">
        <v>4.0118371999999999E-2</v>
      </c>
    </row>
    <row r="28768" spans="103:104" x14ac:dyDescent="0.3">
      <c r="CY28768" s="34" t="s">
        <v>29694</v>
      </c>
      <c r="CZ28768" s="35">
        <v>4.0484671999999999E-2</v>
      </c>
    </row>
    <row r="28769" spans="103:104" x14ac:dyDescent="0.3">
      <c r="CY28769" s="34" t="s">
        <v>29695</v>
      </c>
      <c r="CZ28769" s="35">
        <v>4.1523871999999996E-2</v>
      </c>
    </row>
    <row r="28770" spans="103:104" x14ac:dyDescent="0.3">
      <c r="CY28770" s="34" t="s">
        <v>29696</v>
      </c>
      <c r="CZ28770" s="35">
        <v>0.54777119200000002</v>
      </c>
    </row>
    <row r="28771" spans="103:104" x14ac:dyDescent="0.3">
      <c r="CY28771" s="34" t="s">
        <v>29697</v>
      </c>
      <c r="CZ28771" s="35">
        <v>4.4663257500000001E-4</v>
      </c>
    </row>
    <row r="28772" spans="103:104" x14ac:dyDescent="0.3">
      <c r="CY28772" s="34" t="s">
        <v>29698</v>
      </c>
      <c r="CZ28772" s="35">
        <v>1.8646144E-3</v>
      </c>
    </row>
    <row r="28773" spans="103:104" x14ac:dyDescent="0.3">
      <c r="CY28773" s="34" t="s">
        <v>29699</v>
      </c>
      <c r="CZ28773" s="35">
        <v>3.7029257142000006E-4</v>
      </c>
    </row>
    <row r="28774" spans="103:104" x14ac:dyDescent="0.3">
      <c r="CY28774" s="34" t="s">
        <v>29700</v>
      </c>
      <c r="CZ28774" s="35">
        <v>3.8973599999999996E-4</v>
      </c>
    </row>
    <row r="28775" spans="103:104" x14ac:dyDescent="0.3">
      <c r="CY28775" s="34" t="s">
        <v>29701</v>
      </c>
      <c r="CZ28775" s="35">
        <v>7.0266160000000003E-4</v>
      </c>
    </row>
    <row r="28776" spans="103:104" x14ac:dyDescent="0.3">
      <c r="CY28776" s="34" t="s">
        <v>29702</v>
      </c>
      <c r="CZ28776" s="35">
        <v>7.8854219999999989E-4</v>
      </c>
    </row>
    <row r="28777" spans="103:104" x14ac:dyDescent="0.3">
      <c r="CY28777" s="34" t="s">
        <v>29703</v>
      </c>
      <c r="CZ28777" s="35">
        <v>0.13494429090909088</v>
      </c>
    </row>
    <row r="28778" spans="103:104" x14ac:dyDescent="0.3">
      <c r="CY28778" s="34" t="s">
        <v>29704</v>
      </c>
      <c r="CZ28778" s="35">
        <v>0.11647432727272725</v>
      </c>
    </row>
    <row r="28779" spans="103:104" x14ac:dyDescent="0.3">
      <c r="CY28779" s="34" t="s">
        <v>29705</v>
      </c>
      <c r="CZ28779" s="35">
        <v>1.699288E-3</v>
      </c>
    </row>
    <row r="28780" spans="103:104" x14ac:dyDescent="0.3">
      <c r="CY28780" s="34" t="s">
        <v>29706</v>
      </c>
      <c r="CZ28780" s="35">
        <v>6.4060880000000001E-2</v>
      </c>
    </row>
    <row r="28781" spans="103:104" x14ac:dyDescent="0.3">
      <c r="CY28781" s="34" t="s">
        <v>29707</v>
      </c>
      <c r="CZ28781" s="35">
        <v>7.4801540000000014E-2</v>
      </c>
    </row>
    <row r="28782" spans="103:104" x14ac:dyDescent="0.3">
      <c r="CY28782" s="34" t="s">
        <v>29708</v>
      </c>
      <c r="CZ28782" s="35">
        <v>0.25074992000000002</v>
      </c>
    </row>
    <row r="28783" spans="103:104" x14ac:dyDescent="0.3">
      <c r="CY28783" s="34" t="s">
        <v>29709</v>
      </c>
      <c r="CZ28783" s="35">
        <v>1.9909999999999997E-3</v>
      </c>
    </row>
    <row r="28784" spans="103:104" x14ac:dyDescent="0.3">
      <c r="CY28784" s="34" t="s">
        <v>29710</v>
      </c>
      <c r="CZ28784" s="35">
        <v>1.7829999999999999E-3</v>
      </c>
    </row>
    <row r="28785" spans="103:104" x14ac:dyDescent="0.3">
      <c r="CY28785" s="34" t="s">
        <v>29711</v>
      </c>
      <c r="CZ28785" s="35">
        <v>2.6078179199999999E-2</v>
      </c>
    </row>
    <row r="28786" spans="103:104" x14ac:dyDescent="0.3">
      <c r="CY28786" s="34" t="s">
        <v>29712</v>
      </c>
      <c r="CZ28786" s="35">
        <v>0.41915411800000002</v>
      </c>
    </row>
    <row r="28787" spans="103:104" x14ac:dyDescent="0.3">
      <c r="CY28787" s="34" t="s">
        <v>29713</v>
      </c>
      <c r="CZ28787" s="35">
        <v>3.3038749999999997E-4</v>
      </c>
    </row>
    <row r="28788" spans="103:104" x14ac:dyDescent="0.3">
      <c r="CY28788" s="34" t="s">
        <v>29714</v>
      </c>
      <c r="CZ28788" s="35">
        <v>1.523E-3</v>
      </c>
    </row>
    <row r="28789" spans="103:104" x14ac:dyDescent="0.3">
      <c r="CY28789" s="34" t="s">
        <v>29715</v>
      </c>
      <c r="CZ28789" s="35">
        <v>3.6315740000000005E-4</v>
      </c>
    </row>
    <row r="28790" spans="103:104" x14ac:dyDescent="0.3">
      <c r="CY28790" s="34" t="s">
        <v>29716</v>
      </c>
      <c r="CZ28790" s="35">
        <v>3.2480659999999995E-4</v>
      </c>
    </row>
    <row r="28791" spans="103:104" x14ac:dyDescent="0.3">
      <c r="CY28791" s="34" t="s">
        <v>29717</v>
      </c>
      <c r="CZ28791" s="35">
        <v>2.8685000000000001E-5</v>
      </c>
    </row>
    <row r="28792" spans="103:104" x14ac:dyDescent="0.3">
      <c r="CY28792" s="34" t="s">
        <v>29718</v>
      </c>
      <c r="CZ28792" s="35">
        <v>2.8685000000000001E-5</v>
      </c>
    </row>
    <row r="28793" spans="103:104" x14ac:dyDescent="0.3">
      <c r="CY28793" s="34" t="s">
        <v>29719</v>
      </c>
      <c r="CZ28793" s="35">
        <v>1.6308130000000003E-4</v>
      </c>
    </row>
    <row r="28794" spans="103:104" x14ac:dyDescent="0.3">
      <c r="CY28794" s="34" t="s">
        <v>29720</v>
      </c>
      <c r="CZ28794" s="35">
        <v>0.15380289350000001</v>
      </c>
    </row>
    <row r="28795" spans="103:104" x14ac:dyDescent="0.3">
      <c r="CY28795" s="34" t="s">
        <v>29721</v>
      </c>
      <c r="CZ28795" s="35">
        <v>1.44393835E-2</v>
      </c>
    </row>
    <row r="28796" spans="103:104" x14ac:dyDescent="0.3">
      <c r="CY28796" s="34" t="s">
        <v>29722</v>
      </c>
      <c r="CZ28796" s="35">
        <v>5.131081</v>
      </c>
    </row>
    <row r="28797" spans="103:104" x14ac:dyDescent="0.3">
      <c r="CY28797" s="34" t="s">
        <v>29723</v>
      </c>
      <c r="CZ28797" s="35">
        <v>2.7973649999999996E-3</v>
      </c>
    </row>
    <row r="28798" spans="103:104" x14ac:dyDescent="0.3">
      <c r="CY28798" s="34" t="s">
        <v>29724</v>
      </c>
      <c r="CZ28798" s="35">
        <v>1.24725254E-2</v>
      </c>
    </row>
    <row r="28799" spans="103:104" x14ac:dyDescent="0.3">
      <c r="CY28799" s="34" t="s">
        <v>29725</v>
      </c>
      <c r="CZ28799" s="35">
        <v>2.8134046719999993E-3</v>
      </c>
    </row>
    <row r="28800" spans="103:104" x14ac:dyDescent="0.3">
      <c r="CY28800" s="34" t="s">
        <v>29726</v>
      </c>
      <c r="CZ28800" s="35">
        <v>2.8134046719999997E-3</v>
      </c>
    </row>
    <row r="28801" spans="103:104" x14ac:dyDescent="0.3">
      <c r="CY28801" s="34" t="s">
        <v>29727</v>
      </c>
      <c r="CZ28801" s="35">
        <v>0.14063389340000002</v>
      </c>
    </row>
    <row r="28802" spans="103:104" x14ac:dyDescent="0.3">
      <c r="CY28802" s="34" t="s">
        <v>29728</v>
      </c>
      <c r="CZ28802" s="35">
        <v>7.9881456000000003E-2</v>
      </c>
    </row>
    <row r="28803" spans="103:104" x14ac:dyDescent="0.3">
      <c r="CY28803" s="34" t="s">
        <v>29729</v>
      </c>
      <c r="CZ28803" s="35">
        <v>5.1697960000000008E-2</v>
      </c>
    </row>
    <row r="28804" spans="103:104" x14ac:dyDescent="0.3">
      <c r="CY28804" s="34" t="s">
        <v>29730</v>
      </c>
      <c r="CZ28804" s="35">
        <v>5.3458502222222225E-2</v>
      </c>
    </row>
    <row r="28805" spans="103:104" x14ac:dyDescent="0.3">
      <c r="CY28805" s="34" t="s">
        <v>29731</v>
      </c>
      <c r="CZ28805" s="35">
        <v>5.6019966666666671E-2</v>
      </c>
    </row>
    <row r="28806" spans="103:104" x14ac:dyDescent="0.3">
      <c r="CY28806" s="34" t="s">
        <v>29732</v>
      </c>
      <c r="CZ28806" s="35">
        <v>0.34007870000000001</v>
      </c>
    </row>
    <row r="28807" spans="103:104" x14ac:dyDescent="0.3">
      <c r="CY28807" s="34" t="s">
        <v>29733</v>
      </c>
      <c r="CZ28807" s="35">
        <v>0.44237870000000001</v>
      </c>
    </row>
    <row r="28808" spans="103:104" x14ac:dyDescent="0.3">
      <c r="CY28808" s="34" t="s">
        <v>29734</v>
      </c>
      <c r="CZ28808" s="35">
        <v>0.10229999999999999</v>
      </c>
    </row>
    <row r="28809" spans="103:104" x14ac:dyDescent="0.3">
      <c r="CY28809" s="34" t="s">
        <v>29735</v>
      </c>
      <c r="CZ28809" s="35">
        <v>2.1160054399999998E-3</v>
      </c>
    </row>
    <row r="28810" spans="103:104" x14ac:dyDescent="0.3">
      <c r="CY28810" s="34" t="s">
        <v>29736</v>
      </c>
      <c r="CZ28810" s="35">
        <v>1.8473838383838388E-2</v>
      </c>
    </row>
    <row r="28811" spans="103:104" x14ac:dyDescent="0.3">
      <c r="CY28811" s="34" t="s">
        <v>29737</v>
      </c>
      <c r="CZ28811" s="35">
        <v>2.7690282352941173E-3</v>
      </c>
    </row>
    <row r="28812" spans="103:104" x14ac:dyDescent="0.3">
      <c r="CY28812" s="34" t="s">
        <v>29738</v>
      </c>
      <c r="CZ28812" s="35">
        <v>1.6416650526315791E-3</v>
      </c>
    </row>
    <row r="28813" spans="103:104" x14ac:dyDescent="0.3">
      <c r="CY28813" s="34" t="s">
        <v>29739</v>
      </c>
      <c r="CZ28813" s="35">
        <v>0.24829190972222223</v>
      </c>
    </row>
    <row r="28814" spans="103:104" x14ac:dyDescent="0.3">
      <c r="CY28814" s="34" t="s">
        <v>29740</v>
      </c>
      <c r="CZ28814" s="35">
        <v>5.1221032000000007E-2</v>
      </c>
    </row>
    <row r="28815" spans="103:104" x14ac:dyDescent="0.3">
      <c r="CY28815" s="34" t="s">
        <v>29741</v>
      </c>
      <c r="CZ28815" s="35">
        <v>3.5479827503703702E-2</v>
      </c>
    </row>
    <row r="28816" spans="103:104" x14ac:dyDescent="0.3">
      <c r="CY28816" s="34" t="s">
        <v>29742</v>
      </c>
      <c r="CZ28816" s="35">
        <v>0.25092296671428571</v>
      </c>
    </row>
    <row r="28817" spans="103:104" x14ac:dyDescent="0.3">
      <c r="CY28817" s="34" t="s">
        <v>29743</v>
      </c>
      <c r="CZ28817" s="35">
        <v>2.8593963999999999E-2</v>
      </c>
    </row>
    <row r="28818" spans="103:104" x14ac:dyDescent="0.3">
      <c r="CY28818" s="34" t="s">
        <v>29744</v>
      </c>
      <c r="CZ28818" s="35">
        <v>4.5452151578947372E-2</v>
      </c>
    </row>
    <row r="28819" spans="103:104" x14ac:dyDescent="0.3">
      <c r="CY28819" s="34" t="s">
        <v>29745</v>
      </c>
      <c r="CZ28819" s="35">
        <v>6.9715673684210527E-2</v>
      </c>
    </row>
    <row r="28820" spans="103:104" x14ac:dyDescent="0.3">
      <c r="CY28820" s="34" t="s">
        <v>29746</v>
      </c>
      <c r="CZ28820" s="35">
        <v>1.23131356</v>
      </c>
    </row>
    <row r="28821" spans="103:104" x14ac:dyDescent="0.3">
      <c r="CY28821" s="34" t="s">
        <v>29747</v>
      </c>
      <c r="CZ28821" s="35">
        <v>1.040954973333333E-2</v>
      </c>
    </row>
    <row r="28822" spans="103:104" x14ac:dyDescent="0.3">
      <c r="CY28822" s="34" t="s">
        <v>29748</v>
      </c>
      <c r="CZ28822" s="35">
        <v>0.32404875</v>
      </c>
    </row>
    <row r="28823" spans="103:104" x14ac:dyDescent="0.3">
      <c r="CY28823" s="34" t="s">
        <v>29749</v>
      </c>
      <c r="CZ28823" s="35">
        <v>5.8302988E-2</v>
      </c>
    </row>
    <row r="28824" spans="103:104" x14ac:dyDescent="0.3">
      <c r="CY28824" s="34" t="s">
        <v>29750</v>
      </c>
      <c r="CZ28824" s="35">
        <v>1.9903776000000001E-2</v>
      </c>
    </row>
    <row r="28825" spans="103:104" x14ac:dyDescent="0.3">
      <c r="CY28825" s="34" t="s">
        <v>29751</v>
      </c>
      <c r="CZ28825" s="35">
        <v>8.8813E-3</v>
      </c>
    </row>
    <row r="28826" spans="103:104" x14ac:dyDescent="0.3">
      <c r="CY28826" s="34" t="s">
        <v>29752</v>
      </c>
      <c r="CZ28826" s="35">
        <v>8.0190899999999996E-3</v>
      </c>
    </row>
    <row r="28827" spans="103:104" x14ac:dyDescent="0.3">
      <c r="CY28827" s="34" t="s">
        <v>29753</v>
      </c>
      <c r="CZ28827" s="35">
        <v>3.9858300000000001E-3</v>
      </c>
    </row>
    <row r="28828" spans="103:104" x14ac:dyDescent="0.3">
      <c r="CY28828" s="34" t="s">
        <v>29754</v>
      </c>
      <c r="CZ28828" s="35">
        <v>6.4728467999999994E-3</v>
      </c>
    </row>
    <row r="28829" spans="103:104" x14ac:dyDescent="0.3">
      <c r="CY28829" s="34" t="s">
        <v>29755</v>
      </c>
      <c r="CZ28829" s="35">
        <v>0.1691735</v>
      </c>
    </row>
    <row r="28830" spans="103:104" x14ac:dyDescent="0.3">
      <c r="CY28830" s="34" t="s">
        <v>29756</v>
      </c>
      <c r="CZ28830" s="35">
        <v>0.37684869999999998</v>
      </c>
    </row>
    <row r="28831" spans="103:104" x14ac:dyDescent="0.3">
      <c r="CY28831" s="34" t="s">
        <v>29757</v>
      </c>
      <c r="CZ28831" s="35">
        <v>0.36790230000000002</v>
      </c>
    </row>
    <row r="28832" spans="103:104" x14ac:dyDescent="0.3">
      <c r="CY28832" s="34" t="s">
        <v>29758</v>
      </c>
      <c r="CZ28832" s="35">
        <v>0.13138486000000002</v>
      </c>
    </row>
    <row r="28833" spans="103:104" x14ac:dyDescent="0.3">
      <c r="CY28833" s="34" t="s">
        <v>29759</v>
      </c>
      <c r="CZ28833" s="35">
        <v>0.10371574908</v>
      </c>
    </row>
    <row r="28834" spans="103:104" x14ac:dyDescent="0.3">
      <c r="CY28834" s="34" t="s">
        <v>29760</v>
      </c>
      <c r="CZ28834" s="35">
        <v>0.15818766000000004</v>
      </c>
    </row>
    <row r="28835" spans="103:104" x14ac:dyDescent="0.3">
      <c r="CY28835" s="34" t="s">
        <v>29761</v>
      </c>
      <c r="CZ28835" s="35">
        <v>6.4911670000000006E-4</v>
      </c>
    </row>
    <row r="28836" spans="103:104" x14ac:dyDescent="0.3">
      <c r="CY28836" s="34" t="s">
        <v>29762</v>
      </c>
      <c r="CZ28836" s="35">
        <v>6.5766570000000001E-4</v>
      </c>
    </row>
    <row r="28837" spans="103:104" x14ac:dyDescent="0.3">
      <c r="CY28837" s="34" t="s">
        <v>29763</v>
      </c>
      <c r="CZ28837" s="35">
        <v>6.7078132499999996E-4</v>
      </c>
    </row>
    <row r="28838" spans="103:104" x14ac:dyDescent="0.3">
      <c r="CY28838" s="34" t="s">
        <v>29764</v>
      </c>
      <c r="CZ28838" s="35">
        <v>6.8514770666666669E-4</v>
      </c>
    </row>
    <row r="28839" spans="103:104" x14ac:dyDescent="0.3">
      <c r="CY28839" s="34" t="s">
        <v>29765</v>
      </c>
      <c r="CZ28839" s="35">
        <v>6.3287214000000002E-4</v>
      </c>
    </row>
    <row r="28840" spans="103:104" x14ac:dyDescent="0.3">
      <c r="CY28840" s="34" t="s">
        <v>29766</v>
      </c>
      <c r="CZ28840" s="35">
        <v>0.10114104</v>
      </c>
    </row>
    <row r="28841" spans="103:104" x14ac:dyDescent="0.3">
      <c r="CY28841" s="34" t="s">
        <v>29767</v>
      </c>
      <c r="CZ28841" s="35">
        <v>6.0736920799999997E-2</v>
      </c>
    </row>
    <row r="28842" spans="103:104" x14ac:dyDescent="0.3">
      <c r="CY28842" s="34" t="s">
        <v>29768</v>
      </c>
      <c r="CZ28842" s="35">
        <v>0.20598830739999999</v>
      </c>
    </row>
    <row r="28843" spans="103:104" x14ac:dyDescent="0.3">
      <c r="CY28843" s="34" t="s">
        <v>29769</v>
      </c>
      <c r="CZ28843" s="35">
        <v>9.4992770000000004E-2</v>
      </c>
    </row>
    <row r="28844" spans="103:104" x14ac:dyDescent="0.3">
      <c r="CY28844" s="34" t="s">
        <v>29770</v>
      </c>
      <c r="CZ28844" s="35">
        <v>2.3091708399999997E-2</v>
      </c>
    </row>
    <row r="28845" spans="103:104" x14ac:dyDescent="0.3">
      <c r="CY28845" s="34" t="s">
        <v>29771</v>
      </c>
      <c r="CZ28845" s="35">
        <v>8.6247225263157909E-3</v>
      </c>
    </row>
    <row r="28846" spans="103:104" x14ac:dyDescent="0.3">
      <c r="CY28846" s="34" t="s">
        <v>29772</v>
      </c>
      <c r="CZ28846" s="35">
        <v>9.6857546500000002E-2</v>
      </c>
    </row>
    <row r="28847" spans="103:104" x14ac:dyDescent="0.3">
      <c r="CY28847" s="34" t="s">
        <v>29773</v>
      </c>
      <c r="CZ28847" s="35">
        <v>0.72014754999999997</v>
      </c>
    </row>
    <row r="28848" spans="103:104" x14ac:dyDescent="0.3">
      <c r="CY28848" s="34" t="s">
        <v>29774</v>
      </c>
      <c r="CZ28848" s="35">
        <v>0.43358258</v>
      </c>
    </row>
    <row r="28849" spans="103:104" x14ac:dyDescent="0.3">
      <c r="CY28849" s="34" t="s">
        <v>29775</v>
      </c>
      <c r="CZ28849" s="35">
        <v>9.7914999999999999E-3</v>
      </c>
    </row>
    <row r="28850" spans="103:104" x14ac:dyDescent="0.3">
      <c r="CY28850" s="34" t="s">
        <v>29776</v>
      </c>
      <c r="CZ28850" s="35">
        <v>1.0849353846153847E-3</v>
      </c>
    </row>
    <row r="28851" spans="103:104" x14ac:dyDescent="0.3">
      <c r="CY28851" s="34" t="s">
        <v>29777</v>
      </c>
      <c r="CZ28851" s="35">
        <v>0.23253048333333334</v>
      </c>
    </row>
    <row r="28852" spans="103:104" x14ac:dyDescent="0.3">
      <c r="CY28852" s="34" t="s">
        <v>29778</v>
      </c>
      <c r="CZ28852" s="35">
        <v>1.9625156E-3</v>
      </c>
    </row>
    <row r="28853" spans="103:104" x14ac:dyDescent="0.3">
      <c r="CY28853" s="34" t="s">
        <v>29779</v>
      </c>
      <c r="CZ28853" s="35">
        <v>0.40289008664999998</v>
      </c>
    </row>
    <row r="28854" spans="103:104" x14ac:dyDescent="0.3">
      <c r="CY28854" s="34" t="s">
        <v>29780</v>
      </c>
      <c r="CZ28854" s="35">
        <v>0.12538943999999999</v>
      </c>
    </row>
    <row r="28855" spans="103:104" x14ac:dyDescent="0.3">
      <c r="CY28855" s="34" t="s">
        <v>29781</v>
      </c>
      <c r="CZ28855" s="35">
        <v>0.24372784</v>
      </c>
    </row>
    <row r="28856" spans="103:104" x14ac:dyDescent="0.3">
      <c r="CY28856" s="34" t="s">
        <v>29782</v>
      </c>
      <c r="CZ28856" s="35">
        <v>1.2763749999999999E-3</v>
      </c>
    </row>
    <row r="28857" spans="103:104" x14ac:dyDescent="0.3">
      <c r="CY28857" s="34" t="s">
        <v>29783</v>
      </c>
      <c r="CZ28857" s="35">
        <v>2.2411974222222219E-3</v>
      </c>
    </row>
    <row r="28858" spans="103:104" x14ac:dyDescent="0.3">
      <c r="CY28858" s="34" t="s">
        <v>29784</v>
      </c>
      <c r="CZ28858" s="35">
        <v>6.407528444444445E-2</v>
      </c>
    </row>
    <row r="28859" spans="103:104" x14ac:dyDescent="0.3">
      <c r="CY28859" s="34" t="s">
        <v>29785</v>
      </c>
      <c r="CZ28859" s="35">
        <v>0.42084400000000005</v>
      </c>
    </row>
    <row r="28860" spans="103:104" x14ac:dyDescent="0.3">
      <c r="CY28860" s="34" t="s">
        <v>29786</v>
      </c>
      <c r="CZ28860" s="35">
        <v>0.62444350000000004</v>
      </c>
    </row>
    <row r="28861" spans="103:104" x14ac:dyDescent="0.3">
      <c r="CY28861" s="34" t="s">
        <v>29787</v>
      </c>
      <c r="CZ28861" s="35">
        <v>1.6386039999999998E-2</v>
      </c>
    </row>
    <row r="28862" spans="103:104" x14ac:dyDescent="0.3">
      <c r="CY28862" s="34" t="s">
        <v>29788</v>
      </c>
      <c r="CZ28862" s="35">
        <v>1.5833259999999998E-2</v>
      </c>
    </row>
    <row r="28863" spans="103:104" x14ac:dyDescent="0.3">
      <c r="CY28863" s="34" t="s">
        <v>29789</v>
      </c>
      <c r="CZ28863" s="35">
        <v>1.7019264160000002E-2</v>
      </c>
    </row>
    <row r="28864" spans="103:104" x14ac:dyDescent="0.3">
      <c r="CY28864" s="34" t="s">
        <v>29790</v>
      </c>
      <c r="CZ28864" s="35">
        <v>1.6993124799999999E-2</v>
      </c>
    </row>
    <row r="28865" spans="103:104" x14ac:dyDescent="0.3">
      <c r="CY28865" s="34" t="s">
        <v>29791</v>
      </c>
      <c r="CZ28865" s="35">
        <v>6.8326779777777777E-2</v>
      </c>
    </row>
    <row r="28866" spans="103:104" x14ac:dyDescent="0.3">
      <c r="CY28866" s="34" t="s">
        <v>29792</v>
      </c>
      <c r="CZ28866" s="35">
        <v>0.31807826000000006</v>
      </c>
    </row>
    <row r="28867" spans="103:104" x14ac:dyDescent="0.3">
      <c r="CY28867" s="34" t="s">
        <v>29793</v>
      </c>
      <c r="CZ28867" s="35">
        <v>3.4201039999999995E-2</v>
      </c>
    </row>
    <row r="28868" spans="103:104" x14ac:dyDescent="0.3">
      <c r="CY28868" s="34" t="s">
        <v>29794</v>
      </c>
      <c r="CZ28868" s="35">
        <v>1.0418690499999999</v>
      </c>
    </row>
    <row r="28869" spans="103:104" x14ac:dyDescent="0.3">
      <c r="CY28869" s="34" t="s">
        <v>29795</v>
      </c>
      <c r="CZ28869" s="35">
        <v>1.0532889700000001</v>
      </c>
    </row>
    <row r="28870" spans="103:104" x14ac:dyDescent="0.3">
      <c r="CY28870" s="34" t="s">
        <v>29796</v>
      </c>
      <c r="CZ28870" s="35">
        <v>1.0532889700000001</v>
      </c>
    </row>
    <row r="28871" spans="103:104" x14ac:dyDescent="0.3">
      <c r="CY28871" s="34" t="s">
        <v>29797</v>
      </c>
      <c r="CZ28871" s="35">
        <v>1.0414127999999998</v>
      </c>
    </row>
    <row r="28872" spans="103:104" x14ac:dyDescent="0.3">
      <c r="CY28872" s="34" t="s">
        <v>29798</v>
      </c>
      <c r="CZ28872" s="35">
        <v>1.0530460530000001</v>
      </c>
    </row>
    <row r="28873" spans="103:104" x14ac:dyDescent="0.3">
      <c r="CY28873" s="34" t="s">
        <v>29799</v>
      </c>
      <c r="CZ28873" s="35">
        <v>2.3706450000000007E-3</v>
      </c>
    </row>
    <row r="28874" spans="103:104" x14ac:dyDescent="0.3">
      <c r="CY28874" s="34" t="s">
        <v>29800</v>
      </c>
      <c r="CZ28874" s="35">
        <v>0.30333530000000003</v>
      </c>
    </row>
    <row r="28875" spans="103:104" x14ac:dyDescent="0.3">
      <c r="CY28875" s="34" t="s">
        <v>29801</v>
      </c>
      <c r="CZ28875" s="35">
        <v>0.29878311600000002</v>
      </c>
    </row>
    <row r="28876" spans="103:104" x14ac:dyDescent="0.3">
      <c r="CY28876" s="34" t="s">
        <v>29802</v>
      </c>
      <c r="CZ28876" s="35">
        <v>0.24392240800000001</v>
      </c>
    </row>
    <row r="28877" spans="103:104" x14ac:dyDescent="0.3">
      <c r="CY28877" s="34" t="s">
        <v>29803</v>
      </c>
      <c r="CZ28877" s="35">
        <v>2.47414938E-2</v>
      </c>
    </row>
    <row r="28878" spans="103:104" x14ac:dyDescent="0.3">
      <c r="CY28878" s="34" t="s">
        <v>29804</v>
      </c>
      <c r="CZ28878" s="35">
        <v>2.147E-3</v>
      </c>
    </row>
    <row r="28879" spans="103:104" x14ac:dyDescent="0.3">
      <c r="CY28879" s="34" t="s">
        <v>29805</v>
      </c>
      <c r="CZ28879" s="35">
        <v>2.0430000000000001E-3</v>
      </c>
    </row>
    <row r="28880" spans="103:104" x14ac:dyDescent="0.3">
      <c r="CY28880" s="34" t="s">
        <v>29806</v>
      </c>
      <c r="CZ28880" s="35">
        <v>8.3666000000000001E-3</v>
      </c>
    </row>
    <row r="28881" spans="103:104" x14ac:dyDescent="0.3">
      <c r="CY28881" s="34" t="s">
        <v>29807</v>
      </c>
      <c r="CZ28881" s="35">
        <v>1.18970972</v>
      </c>
    </row>
    <row r="28882" spans="103:104" x14ac:dyDescent="0.3">
      <c r="CY28882" s="34" t="s">
        <v>29808</v>
      </c>
      <c r="CZ28882" s="35">
        <v>0.39726542500000001</v>
      </c>
    </row>
    <row r="28883" spans="103:104" x14ac:dyDescent="0.3">
      <c r="CY28883" s="34" t="s">
        <v>29809</v>
      </c>
      <c r="CZ28883" s="35">
        <v>1.7529067999999998E-2</v>
      </c>
    </row>
    <row r="28884" spans="103:104" x14ac:dyDescent="0.3">
      <c r="CY28884" s="34" t="s">
        <v>29810</v>
      </c>
      <c r="CZ28884" s="35">
        <v>0.20744191999999997</v>
      </c>
    </row>
    <row r="28885" spans="103:104" x14ac:dyDescent="0.3">
      <c r="CY28885" s="34" t="s">
        <v>29811</v>
      </c>
      <c r="CZ28885" s="35">
        <v>4.2313749999999999E-3</v>
      </c>
    </row>
    <row r="28886" spans="103:104" x14ac:dyDescent="0.3">
      <c r="CY28886" s="34" t="s">
        <v>29812</v>
      </c>
      <c r="CZ28886" s="35">
        <v>2.5232233E-2</v>
      </c>
    </row>
    <row r="28887" spans="103:104" x14ac:dyDescent="0.3">
      <c r="CY28887" s="34" t="s">
        <v>29813</v>
      </c>
      <c r="CZ28887" s="35">
        <v>3.2779586660000005E-2</v>
      </c>
    </row>
    <row r="28888" spans="103:104" x14ac:dyDescent="0.3">
      <c r="CY28888" s="34" t="s">
        <v>29814</v>
      </c>
      <c r="CZ28888" s="35">
        <v>0.14225104</v>
      </c>
    </row>
    <row r="28889" spans="103:104" x14ac:dyDescent="0.3">
      <c r="CY28889" s="34" t="s">
        <v>29815</v>
      </c>
      <c r="CZ28889" s="35">
        <v>0.51080332671428574</v>
      </c>
    </row>
    <row r="28890" spans="103:104" x14ac:dyDescent="0.3">
      <c r="CY28890" s="34" t="s">
        <v>29816</v>
      </c>
      <c r="CZ28890" s="35">
        <v>8.1396168421052614E-2</v>
      </c>
    </row>
    <row r="28891" spans="103:104" x14ac:dyDescent="0.3">
      <c r="CY28891" s="34" t="s">
        <v>29817</v>
      </c>
      <c r="CZ28891" s="35">
        <v>1.7088211199999998E-2</v>
      </c>
    </row>
    <row r="28892" spans="103:104" x14ac:dyDescent="0.3">
      <c r="CY28892" s="34" t="s">
        <v>29818</v>
      </c>
      <c r="CZ28892" s="35">
        <v>7.2435793333333338E-4</v>
      </c>
    </row>
    <row r="28893" spans="103:104" x14ac:dyDescent="0.3">
      <c r="CY28893" s="34" t="s">
        <v>29819</v>
      </c>
      <c r="CZ28893" s="35">
        <v>6.3017223999999997E-2</v>
      </c>
    </row>
    <row r="28894" spans="103:104" x14ac:dyDescent="0.3">
      <c r="CY28894" s="34" t="s">
        <v>29820</v>
      </c>
      <c r="CZ28894" s="35">
        <v>0.32424554000000005</v>
      </c>
    </row>
    <row r="28895" spans="103:104" x14ac:dyDescent="0.3">
      <c r="CY28895" s="34" t="s">
        <v>29821</v>
      </c>
      <c r="CZ28895" s="35">
        <v>0.53672067999999995</v>
      </c>
    </row>
    <row r="28896" spans="103:104" x14ac:dyDescent="0.3">
      <c r="CY28896" s="34" t="s">
        <v>29822</v>
      </c>
      <c r="CZ28896" s="35">
        <v>0.47333267999999995</v>
      </c>
    </row>
    <row r="28897" spans="103:104" x14ac:dyDescent="0.3">
      <c r="CY28897" s="34" t="s">
        <v>29823</v>
      </c>
      <c r="CZ28897" s="35">
        <v>0.42794050659999999</v>
      </c>
    </row>
    <row r="28898" spans="103:104" x14ac:dyDescent="0.3">
      <c r="CY28898" s="34" t="s">
        <v>29824</v>
      </c>
      <c r="CZ28898" s="35">
        <v>1.8039365999999999E-3</v>
      </c>
    </row>
    <row r="28899" spans="103:104" x14ac:dyDescent="0.3">
      <c r="CY28899" s="34" t="s">
        <v>29825</v>
      </c>
      <c r="CZ28899" s="35">
        <v>1.341236E-3</v>
      </c>
    </row>
    <row r="28900" spans="103:104" x14ac:dyDescent="0.3">
      <c r="CY28900" s="34" t="s">
        <v>29826</v>
      </c>
      <c r="CZ28900" s="35">
        <v>1.3570822736842106E-3</v>
      </c>
    </row>
    <row r="28901" spans="103:104" x14ac:dyDescent="0.3">
      <c r="CY28901" s="34" t="s">
        <v>29827</v>
      </c>
      <c r="CZ28901" s="35">
        <v>3.036702857142857E-4</v>
      </c>
    </row>
    <row r="28902" spans="103:104" x14ac:dyDescent="0.3">
      <c r="CY28902" s="34" t="s">
        <v>29828</v>
      </c>
      <c r="CZ28902" s="35">
        <v>2.6463161527999998E-3</v>
      </c>
    </row>
    <row r="28903" spans="103:104" x14ac:dyDescent="0.3">
      <c r="CY28903" s="34" t="s">
        <v>29829</v>
      </c>
      <c r="CZ28903" s="35">
        <v>9.5849777999999983E-2</v>
      </c>
    </row>
    <row r="28904" spans="103:104" x14ac:dyDescent="0.3">
      <c r="CY28904" s="34" t="s">
        <v>29830</v>
      </c>
      <c r="CZ28904" s="35">
        <v>2.1206965000000001E-2</v>
      </c>
    </row>
    <row r="28905" spans="103:104" x14ac:dyDescent="0.3">
      <c r="CY28905" s="34" t="s">
        <v>29831</v>
      </c>
      <c r="CZ28905" s="35">
        <v>0.56633900000000004</v>
      </c>
    </row>
    <row r="28906" spans="103:104" x14ac:dyDescent="0.3">
      <c r="CY28906" s="34" t="s">
        <v>29832</v>
      </c>
      <c r="CZ28906" s="35">
        <v>5.1581592000000002E-2</v>
      </c>
    </row>
    <row r="28907" spans="103:104" x14ac:dyDescent="0.3">
      <c r="CY28907" s="34" t="s">
        <v>29833</v>
      </c>
      <c r="CZ28907" s="35">
        <v>0.83014478000000003</v>
      </c>
    </row>
    <row r="28908" spans="103:104" x14ac:dyDescent="0.3">
      <c r="CY28908" s="34" t="s">
        <v>29834</v>
      </c>
      <c r="CZ28908" s="35" t="e">
        <v>#VALUE!</v>
      </c>
    </row>
    <row r="28909" spans="103:104" x14ac:dyDescent="0.3">
      <c r="CY28909" s="34" t="s">
        <v>29835</v>
      </c>
      <c r="CZ28909" s="35">
        <v>4.0994999999999997E-2</v>
      </c>
    </row>
    <row r="28910" spans="103:104" x14ac:dyDescent="0.3">
      <c r="CY28910" s="34" t="s">
        <v>29836</v>
      </c>
      <c r="CZ28910" s="35">
        <v>3.3260171333333336E-3</v>
      </c>
    </row>
    <row r="28911" spans="103:104" x14ac:dyDescent="0.3">
      <c r="CY28911" s="34" t="s">
        <v>29837</v>
      </c>
      <c r="CZ28911" s="35">
        <v>5.8478593999999988E-3</v>
      </c>
    </row>
    <row r="28912" spans="103:104" x14ac:dyDescent="0.3">
      <c r="CY28912" s="34" t="s">
        <v>29838</v>
      </c>
      <c r="CZ28912" s="35">
        <v>6.3135452000000003E-3</v>
      </c>
    </row>
    <row r="28913" spans="103:104" x14ac:dyDescent="0.3">
      <c r="CY28913" s="34" t="s">
        <v>29839</v>
      </c>
      <c r="CZ28913" s="35">
        <v>4.8199395000000006E-2</v>
      </c>
    </row>
    <row r="28914" spans="103:104" x14ac:dyDescent="0.3">
      <c r="CY28914" s="34" t="s">
        <v>29840</v>
      </c>
      <c r="CZ28914" s="35">
        <v>1.6611190224999999</v>
      </c>
    </row>
    <row r="28915" spans="103:104" x14ac:dyDescent="0.3">
      <c r="CY28915" s="34" t="s">
        <v>29841</v>
      </c>
      <c r="CZ28915" s="35">
        <v>0.58604916099999993</v>
      </c>
    </row>
    <row r="28916" spans="103:104" x14ac:dyDescent="0.3">
      <c r="CY28916" s="34" t="s">
        <v>29842</v>
      </c>
      <c r="CZ28916" s="35">
        <v>0.62494980000000011</v>
      </c>
    </row>
    <row r="28917" spans="103:104" x14ac:dyDescent="0.3">
      <c r="CY28917" s="34" t="s">
        <v>29843</v>
      </c>
      <c r="CZ28917" s="35">
        <v>0.351084234</v>
      </c>
    </row>
    <row r="28918" spans="103:104" x14ac:dyDescent="0.3">
      <c r="CY28918" s="34" t="s">
        <v>29844</v>
      </c>
      <c r="CZ28918" s="35">
        <v>0.18240418105263162</v>
      </c>
    </row>
    <row r="28919" spans="103:104" x14ac:dyDescent="0.3">
      <c r="CY28919" s="34" t="s">
        <v>29845</v>
      </c>
      <c r="CZ28919" s="35">
        <v>1.1535556340000003E-2</v>
      </c>
    </row>
    <row r="28920" spans="103:104" x14ac:dyDescent="0.3">
      <c r="CY28920" s="34" t="s">
        <v>29846</v>
      </c>
      <c r="CZ28920" s="35">
        <v>1.37236584E-2</v>
      </c>
    </row>
    <row r="28921" spans="103:104" x14ac:dyDescent="0.3">
      <c r="CY28921" s="34" t="s">
        <v>29847</v>
      </c>
      <c r="CZ28921" s="35">
        <v>1.3723658400000002E-2</v>
      </c>
    </row>
    <row r="28922" spans="103:104" x14ac:dyDescent="0.3">
      <c r="CY28922" s="34" t="s">
        <v>29848</v>
      </c>
      <c r="CZ28922" s="35">
        <v>5.7141319999999994E-3</v>
      </c>
    </row>
    <row r="28923" spans="103:104" x14ac:dyDescent="0.3">
      <c r="CY28923" s="34" t="s">
        <v>29849</v>
      </c>
      <c r="CZ28923" s="35">
        <v>5.7141320000000002E-3</v>
      </c>
    </row>
    <row r="28924" spans="103:104" x14ac:dyDescent="0.3">
      <c r="CY28924" s="34" t="s">
        <v>29850</v>
      </c>
      <c r="CZ28924" s="35">
        <v>1.48623752E-2</v>
      </c>
    </row>
    <row r="28925" spans="103:104" x14ac:dyDescent="0.3">
      <c r="CY28925" s="34" t="s">
        <v>29851</v>
      </c>
      <c r="CZ28925" s="35">
        <v>1.4862375199999998E-2</v>
      </c>
    </row>
    <row r="28926" spans="103:104" x14ac:dyDescent="0.3">
      <c r="CY28926" s="34" t="s">
        <v>29852</v>
      </c>
      <c r="CZ28926" s="35">
        <v>2.9299599999999997E-3</v>
      </c>
    </row>
    <row r="28927" spans="103:104" x14ac:dyDescent="0.3">
      <c r="CY28927" s="34" t="s">
        <v>29853</v>
      </c>
      <c r="CZ28927" s="35">
        <v>2.9299600000000001E-3</v>
      </c>
    </row>
    <row r="28928" spans="103:104" x14ac:dyDescent="0.3">
      <c r="CY28928" s="34" t="s">
        <v>29854</v>
      </c>
      <c r="CZ28928" s="35">
        <v>4.7658240000000001E-3</v>
      </c>
    </row>
    <row r="28929" spans="103:104" x14ac:dyDescent="0.3">
      <c r="CY28929" s="34" t="s">
        <v>29855</v>
      </c>
      <c r="CZ28929" s="35">
        <v>4.7658240000000001E-3</v>
      </c>
    </row>
    <row r="28930" spans="103:104" x14ac:dyDescent="0.3">
      <c r="CY28930" s="34" t="s">
        <v>29856</v>
      </c>
      <c r="CZ28930" s="35">
        <v>1.194638E-3</v>
      </c>
    </row>
    <row r="28931" spans="103:104" x14ac:dyDescent="0.3">
      <c r="CY28931" s="34" t="s">
        <v>29857</v>
      </c>
      <c r="CZ28931" s="35">
        <v>1.1946380000000003E-3</v>
      </c>
    </row>
    <row r="28932" spans="103:104" x14ac:dyDescent="0.3">
      <c r="CY28932" s="34" t="s">
        <v>29858</v>
      </c>
      <c r="CZ28932" s="35">
        <v>1.0538448000000001E-2</v>
      </c>
    </row>
    <row r="28933" spans="103:104" x14ac:dyDescent="0.3">
      <c r="CY28933" s="34" t="s">
        <v>29859</v>
      </c>
      <c r="CZ28933" s="35">
        <v>1.0538447999999999E-2</v>
      </c>
    </row>
    <row r="28934" spans="103:104" x14ac:dyDescent="0.3">
      <c r="CY28934" s="34" t="s">
        <v>29860</v>
      </c>
      <c r="CZ28934" s="35">
        <v>6.3770600000000004E-3</v>
      </c>
    </row>
    <row r="28935" spans="103:104" x14ac:dyDescent="0.3">
      <c r="CY28935" s="34" t="s">
        <v>29861</v>
      </c>
      <c r="CZ28935" s="35">
        <v>6.3770600000000004E-3</v>
      </c>
    </row>
    <row r="28936" spans="103:104" x14ac:dyDescent="0.3">
      <c r="CY28936" s="34" t="s">
        <v>29862</v>
      </c>
      <c r="CZ28936" s="35">
        <v>6.8261518008333341E-2</v>
      </c>
    </row>
    <row r="28937" spans="103:104" x14ac:dyDescent="0.3">
      <c r="CY28937" s="34" t="s">
        <v>29863</v>
      </c>
      <c r="CZ28937" s="35">
        <v>1.5855631363636364E-3</v>
      </c>
    </row>
    <row r="28938" spans="103:104" x14ac:dyDescent="0.3">
      <c r="CY28938" s="34" t="s">
        <v>29864</v>
      </c>
      <c r="CZ28938" s="35">
        <v>0.16386536000000002</v>
      </c>
    </row>
    <row r="28939" spans="103:104" x14ac:dyDescent="0.3">
      <c r="CY28939" s="34" t="s">
        <v>29865</v>
      </c>
      <c r="CZ28939" s="35">
        <v>3.0136596799999998E-2</v>
      </c>
    </row>
    <row r="28940" spans="103:104" x14ac:dyDescent="0.3">
      <c r="CY28940" s="34" t="s">
        <v>29866</v>
      </c>
      <c r="CZ28940" s="35">
        <v>8.4568364000000007E-3</v>
      </c>
    </row>
    <row r="28941" spans="103:104" x14ac:dyDescent="0.3">
      <c r="CY28941" s="34" t="s">
        <v>29867</v>
      </c>
      <c r="CZ28941" s="35">
        <v>6.0148904999999999E-3</v>
      </c>
    </row>
    <row r="28942" spans="103:104" x14ac:dyDescent="0.3">
      <c r="CY28942" s="34" t="s">
        <v>29868</v>
      </c>
      <c r="CZ28942" s="35">
        <v>6.2744800000000007E-3</v>
      </c>
    </row>
    <row r="28943" spans="103:104" x14ac:dyDescent="0.3">
      <c r="CY28943" s="34" t="s">
        <v>29869</v>
      </c>
      <c r="CZ28943" s="35">
        <v>0.39465780200000006</v>
      </c>
    </row>
    <row r="28944" spans="103:104" x14ac:dyDescent="0.3">
      <c r="CY28944" s="34" t="s">
        <v>29870</v>
      </c>
      <c r="CZ28944" s="35">
        <v>0.94733733333333336</v>
      </c>
    </row>
    <row r="28945" spans="103:104" x14ac:dyDescent="0.3">
      <c r="CY28945" s="34" t="s">
        <v>29871</v>
      </c>
      <c r="CZ28945" s="35">
        <v>1.6140025000000002E-2</v>
      </c>
    </row>
    <row r="28946" spans="103:104" x14ac:dyDescent="0.3">
      <c r="CY28946" s="34" t="s">
        <v>29872</v>
      </c>
      <c r="CZ28946" s="35">
        <v>1.2600475E-2</v>
      </c>
    </row>
    <row r="28947" spans="103:104" x14ac:dyDescent="0.3">
      <c r="CY28947" s="34" t="s">
        <v>29873</v>
      </c>
      <c r="CZ28947" s="35">
        <v>1.4235850000000001E-2</v>
      </c>
    </row>
    <row r="28948" spans="103:104" x14ac:dyDescent="0.3">
      <c r="CY28948" s="34" t="s">
        <v>29874</v>
      </c>
      <c r="CZ28948" s="35">
        <v>1.2600475E-2</v>
      </c>
    </row>
    <row r="28949" spans="103:104" x14ac:dyDescent="0.3">
      <c r="CY28949" s="34" t="s">
        <v>29875</v>
      </c>
      <c r="CZ28949" s="35">
        <v>0.12538094</v>
      </c>
    </row>
    <row r="28950" spans="103:104" x14ac:dyDescent="0.3">
      <c r="CY28950" s="34" t="s">
        <v>29876</v>
      </c>
      <c r="CZ28950" s="35">
        <v>6.7137200000000005E-4</v>
      </c>
    </row>
    <row r="28951" spans="103:104" x14ac:dyDescent="0.3">
      <c r="CY28951" s="34" t="s">
        <v>29877</v>
      </c>
      <c r="CZ28951" s="35">
        <v>0.7915610783</v>
      </c>
    </row>
    <row r="28952" spans="103:104" x14ac:dyDescent="0.3">
      <c r="CY28952" s="34" t="s">
        <v>29878</v>
      </c>
      <c r="CZ28952" s="35">
        <v>0.79390711999999997</v>
      </c>
    </row>
    <row r="28953" spans="103:104" x14ac:dyDescent="0.3">
      <c r="CY28953" s="34" t="s">
        <v>29879</v>
      </c>
      <c r="CZ28953" s="35">
        <v>1.0951398733</v>
      </c>
    </row>
    <row r="28954" spans="103:104" x14ac:dyDescent="0.3">
      <c r="CY28954" s="34" t="s">
        <v>29880</v>
      </c>
      <c r="CZ28954" s="35">
        <v>5.7696450000000012E-3</v>
      </c>
    </row>
    <row r="28955" spans="103:104" x14ac:dyDescent="0.3">
      <c r="CY28955" s="34" t="s">
        <v>29881</v>
      </c>
      <c r="CZ28955" s="35">
        <v>3.21364372E-2</v>
      </c>
    </row>
    <row r="28956" spans="103:104" x14ac:dyDescent="0.3">
      <c r="CY28956" s="34" t="s">
        <v>29882</v>
      </c>
      <c r="CZ28956" s="35">
        <v>3.2215437200000002E-2</v>
      </c>
    </row>
    <row r="28957" spans="103:104" x14ac:dyDescent="0.3">
      <c r="CY28957" s="34" t="s">
        <v>29883</v>
      </c>
      <c r="CZ28957" s="35">
        <v>0.33869800400000005</v>
      </c>
    </row>
    <row r="28958" spans="103:104" x14ac:dyDescent="0.3">
      <c r="CY28958" s="34" t="s">
        <v>29884</v>
      </c>
      <c r="CZ28958" s="35">
        <v>2.2838755555555555E-2</v>
      </c>
    </row>
    <row r="28959" spans="103:104" x14ac:dyDescent="0.3">
      <c r="CY28959" s="34" t="s">
        <v>29885</v>
      </c>
      <c r="CZ28959" s="35">
        <v>0.19271718000000002</v>
      </c>
    </row>
    <row r="28960" spans="103:104" x14ac:dyDescent="0.3">
      <c r="CY28960" s="34" t="s">
        <v>29886</v>
      </c>
      <c r="CZ28960" s="35">
        <v>4.2313200000000002E-2</v>
      </c>
    </row>
    <row r="28961" spans="103:104" x14ac:dyDescent="0.3">
      <c r="CY28961" s="34" t="s">
        <v>29887</v>
      </c>
      <c r="CZ28961" s="35">
        <v>1.0117854413294118</v>
      </c>
    </row>
    <row r="28962" spans="103:104" x14ac:dyDescent="0.3">
      <c r="CY28962" s="34" t="s">
        <v>29888</v>
      </c>
      <c r="CZ28962" s="35">
        <v>0.67210102999999999</v>
      </c>
    </row>
    <row r="28963" spans="103:104" x14ac:dyDescent="0.3">
      <c r="CY28963" s="34" t="s">
        <v>29889</v>
      </c>
      <c r="CZ28963" s="35">
        <v>1.5862719999999999E-3</v>
      </c>
    </row>
    <row r="28964" spans="103:104" x14ac:dyDescent="0.3">
      <c r="CY28964" s="34" t="s">
        <v>29890</v>
      </c>
      <c r="CZ28964" s="35">
        <v>3.1443199999999999E-3</v>
      </c>
    </row>
    <row r="28965" spans="103:104" x14ac:dyDescent="0.3">
      <c r="CY28965" s="34" t="s">
        <v>29891</v>
      </c>
      <c r="CZ28965" s="35">
        <v>7.8667733325000003E-2</v>
      </c>
    </row>
    <row r="28966" spans="103:104" x14ac:dyDescent="0.3">
      <c r="CY28966" s="34" t="s">
        <v>29892</v>
      </c>
      <c r="CZ28966" s="35">
        <v>3.4282320000000002E-3</v>
      </c>
    </row>
    <row r="28967" spans="103:104" x14ac:dyDescent="0.3">
      <c r="CY28967" s="34" t="s">
        <v>29893</v>
      </c>
      <c r="CZ28967" s="35">
        <v>8.4759210000000008E-3</v>
      </c>
    </row>
    <row r="28968" spans="103:104" x14ac:dyDescent="0.3">
      <c r="CY28968" s="34" t="s">
        <v>29894</v>
      </c>
      <c r="CZ28968" s="35">
        <v>2.7384448000000002E-2</v>
      </c>
    </row>
    <row r="28969" spans="103:104" x14ac:dyDescent="0.3">
      <c r="CY28969" s="34" t="s">
        <v>29895</v>
      </c>
      <c r="CZ28969" s="35">
        <v>1.3866871999999999E-2</v>
      </c>
    </row>
    <row r="28970" spans="103:104" x14ac:dyDescent="0.3">
      <c r="CY28970" s="34" t="s">
        <v>29896</v>
      </c>
      <c r="CZ28970" s="35">
        <v>2.6594968000000004E-2</v>
      </c>
    </row>
    <row r="28971" spans="103:104" x14ac:dyDescent="0.3">
      <c r="CY28971" s="34" t="s">
        <v>29897</v>
      </c>
      <c r="CZ28971" s="35">
        <v>4.8818602051282052E-3</v>
      </c>
    </row>
    <row r="28972" spans="103:104" x14ac:dyDescent="0.3">
      <c r="CY28972" s="34" t="s">
        <v>29898</v>
      </c>
      <c r="CZ28972" s="35">
        <v>2.2645142222222227E-2</v>
      </c>
    </row>
    <row r="28973" spans="103:104" x14ac:dyDescent="0.3">
      <c r="CY28973" s="34" t="s">
        <v>29899</v>
      </c>
      <c r="CZ28973" s="35">
        <v>3.4415699999999997E-3</v>
      </c>
    </row>
    <row r="28974" spans="103:104" x14ac:dyDescent="0.3">
      <c r="CY28974" s="34" t="s">
        <v>29900</v>
      </c>
      <c r="CZ28974" s="35">
        <v>6.2427639999999992E-4</v>
      </c>
    </row>
    <row r="28975" spans="103:104" x14ac:dyDescent="0.3">
      <c r="CY28975" s="34" t="s">
        <v>29901</v>
      </c>
      <c r="CZ28975" s="35">
        <v>6.2427640000000003E-4</v>
      </c>
    </row>
    <row r="28976" spans="103:104" x14ac:dyDescent="0.3">
      <c r="CY28976" s="34" t="s">
        <v>29902</v>
      </c>
      <c r="CZ28976" s="35">
        <v>9.9501649999999983E-2</v>
      </c>
    </row>
    <row r="28977" spans="103:104" x14ac:dyDescent="0.3">
      <c r="CY28977" s="34" t="s">
        <v>29903</v>
      </c>
      <c r="CZ28977" s="35">
        <v>8.7582345177777771E-2</v>
      </c>
    </row>
    <row r="28978" spans="103:104" x14ac:dyDescent="0.3">
      <c r="CY28978" s="34" t="s">
        <v>29904</v>
      </c>
      <c r="CZ28978" s="35">
        <v>8.7582345177777771E-2</v>
      </c>
    </row>
    <row r="28979" spans="103:104" x14ac:dyDescent="0.3">
      <c r="CY28979" s="34" t="s">
        <v>29905</v>
      </c>
      <c r="CZ28979" s="35">
        <v>0.26815059200000002</v>
      </c>
    </row>
    <row r="28980" spans="103:104" x14ac:dyDescent="0.3">
      <c r="CY28980" s="34" t="s">
        <v>29906</v>
      </c>
      <c r="CZ28980" s="35">
        <v>0.19359287999999999</v>
      </c>
    </row>
    <row r="28981" spans="103:104" x14ac:dyDescent="0.3">
      <c r="CY28981" s="34" t="s">
        <v>29907</v>
      </c>
      <c r="CZ28981" s="35">
        <v>5.8177599999999999E-3</v>
      </c>
    </row>
    <row r="28982" spans="103:104" x14ac:dyDescent="0.3">
      <c r="CY28982" s="34" t="s">
        <v>29908</v>
      </c>
      <c r="CZ28982" s="35">
        <v>0.20396464</v>
      </c>
    </row>
    <row r="28983" spans="103:104" x14ac:dyDescent="0.3">
      <c r="CY28983" s="34" t="s">
        <v>29909</v>
      </c>
      <c r="CZ28983" s="35">
        <v>1.1154747999999999E-2</v>
      </c>
    </row>
    <row r="28984" spans="103:104" x14ac:dyDescent="0.3">
      <c r="CY28984" s="34" t="s">
        <v>29910</v>
      </c>
      <c r="CZ28984" s="35">
        <v>4.8157360000000003E-2</v>
      </c>
    </row>
    <row r="28985" spans="103:104" x14ac:dyDescent="0.3">
      <c r="CY28985" s="34" t="s">
        <v>29911</v>
      </c>
      <c r="CZ28985" s="35">
        <v>4.815736000000001E-2</v>
      </c>
    </row>
    <row r="28986" spans="103:104" x14ac:dyDescent="0.3">
      <c r="CY28986" s="34" t="s">
        <v>29912</v>
      </c>
      <c r="CZ28986" s="35">
        <v>1.1433131999999998E-3</v>
      </c>
    </row>
    <row r="28987" spans="103:104" x14ac:dyDescent="0.3">
      <c r="CY28987" s="34" t="s">
        <v>29913</v>
      </c>
      <c r="CZ28987" s="35">
        <v>0.26331401947368421</v>
      </c>
    </row>
    <row r="28988" spans="103:104" x14ac:dyDescent="0.3">
      <c r="CY28988" s="34" t="s">
        <v>29914</v>
      </c>
      <c r="CZ28988" s="35">
        <v>0.18567082666666665</v>
      </c>
    </row>
    <row r="28989" spans="103:104" x14ac:dyDescent="0.3">
      <c r="CY28989" s="34" t="s">
        <v>29915</v>
      </c>
      <c r="CZ28989" s="35">
        <v>2.1856708266666667</v>
      </c>
    </row>
    <row r="28990" spans="103:104" x14ac:dyDescent="0.3">
      <c r="CY28990" s="34" t="s">
        <v>29916</v>
      </c>
      <c r="CZ28990" s="35">
        <v>0.26139148000000001</v>
      </c>
    </row>
    <row r="28991" spans="103:104" x14ac:dyDescent="0.3">
      <c r="CY28991" s="34" t="s">
        <v>29917</v>
      </c>
      <c r="CZ28991" s="35">
        <v>2.2613914799999999</v>
      </c>
    </row>
    <row r="28992" spans="103:104" x14ac:dyDescent="0.3">
      <c r="CY28992" s="34" t="s">
        <v>29918</v>
      </c>
      <c r="CZ28992" s="35">
        <v>0.26646251999999998</v>
      </c>
    </row>
    <row r="28993" spans="103:104" x14ac:dyDescent="0.3">
      <c r="CY28993" s="34" t="s">
        <v>29919</v>
      </c>
      <c r="CZ28993" s="35">
        <v>2.2664625200000001</v>
      </c>
    </row>
    <row r="28994" spans="103:104" x14ac:dyDescent="0.3">
      <c r="CY28994" s="34" t="s">
        <v>29920</v>
      </c>
      <c r="CZ28994" s="35">
        <v>0.30956635999999993</v>
      </c>
    </row>
    <row r="28995" spans="103:104" x14ac:dyDescent="0.3">
      <c r="CY28995" s="34" t="s">
        <v>29921</v>
      </c>
      <c r="CZ28995" s="35">
        <v>2.3095663599999998</v>
      </c>
    </row>
    <row r="28996" spans="103:104" x14ac:dyDescent="0.3">
      <c r="CY28996" s="34" t="s">
        <v>29922</v>
      </c>
      <c r="CZ28996" s="35">
        <v>0.42783965338461544</v>
      </c>
    </row>
    <row r="28997" spans="103:104" x14ac:dyDescent="0.3">
      <c r="CY28997" s="34" t="s">
        <v>29923</v>
      </c>
      <c r="CZ28997" s="35">
        <v>0.23021476000000005</v>
      </c>
    </row>
    <row r="28998" spans="103:104" x14ac:dyDescent="0.3">
      <c r="CY28998" s="34" t="s">
        <v>29924</v>
      </c>
      <c r="CZ28998" s="35">
        <v>0.49899868000000003</v>
      </c>
    </row>
    <row r="28999" spans="103:104" x14ac:dyDescent="0.3">
      <c r="CY28999" s="34" t="s">
        <v>29925</v>
      </c>
      <c r="CZ28999" s="35">
        <v>4.796299999999999E-3</v>
      </c>
    </row>
    <row r="29000" spans="103:104" x14ac:dyDescent="0.3">
      <c r="CY29000" s="34" t="s">
        <v>29926</v>
      </c>
      <c r="CZ29000" s="35">
        <v>1.3855420000000002E-3</v>
      </c>
    </row>
    <row r="29001" spans="103:104" x14ac:dyDescent="0.3">
      <c r="CY29001" s="34" t="s">
        <v>29927</v>
      </c>
      <c r="CZ29001" s="35">
        <v>2.2227748000000002E-2</v>
      </c>
    </row>
    <row r="29002" spans="103:104" x14ac:dyDescent="0.3">
      <c r="CY29002" s="34" t="s">
        <v>29928</v>
      </c>
      <c r="CZ29002" s="35">
        <v>2.0815064800000001E-2</v>
      </c>
    </row>
    <row r="29003" spans="103:104" x14ac:dyDescent="0.3">
      <c r="CY29003" s="34" t="s">
        <v>29929</v>
      </c>
      <c r="CZ29003" s="35">
        <v>9.4381500000000007E-2</v>
      </c>
    </row>
    <row r="29004" spans="103:104" x14ac:dyDescent="0.3">
      <c r="CY29004" s="34" t="s">
        <v>29930</v>
      </c>
      <c r="CZ29004" s="35">
        <v>1.8652694736842106E-2</v>
      </c>
    </row>
    <row r="29005" spans="103:104" x14ac:dyDescent="0.3">
      <c r="CY29005" s="34" t="s">
        <v>29931</v>
      </c>
      <c r="CZ29005" s="35">
        <v>1.2997785263157898E-2</v>
      </c>
    </row>
    <row r="29006" spans="103:104" x14ac:dyDescent="0.3">
      <c r="CY29006" s="34" t="s">
        <v>29932</v>
      </c>
      <c r="CZ29006" s="35">
        <v>2.1193300000000002E-2</v>
      </c>
    </row>
    <row r="29007" spans="103:104" x14ac:dyDescent="0.3">
      <c r="CY29007" s="34" t="s">
        <v>29933</v>
      </c>
      <c r="CZ29007" s="35">
        <v>2.1193300000000002E-2</v>
      </c>
    </row>
    <row r="29008" spans="103:104" x14ac:dyDescent="0.3">
      <c r="CY29008" s="34" t="s">
        <v>29934</v>
      </c>
      <c r="CZ29008" s="35">
        <v>0.55954538669999998</v>
      </c>
    </row>
    <row r="29009" spans="103:104" x14ac:dyDescent="0.3">
      <c r="CY29009" s="34" t="s">
        <v>29935</v>
      </c>
      <c r="CZ29009" s="35">
        <v>0.57284620499999994</v>
      </c>
    </row>
    <row r="29010" spans="103:104" x14ac:dyDescent="0.3">
      <c r="CY29010" s="34" t="s">
        <v>29936</v>
      </c>
      <c r="CZ29010" s="35">
        <v>0.47124652499999997</v>
      </c>
    </row>
    <row r="29011" spans="103:104" x14ac:dyDescent="0.3">
      <c r="CY29011" s="34" t="s">
        <v>29937</v>
      </c>
      <c r="CZ29011" s="35">
        <v>5.3191760000000005E-2</v>
      </c>
    </row>
    <row r="29012" spans="103:104" x14ac:dyDescent="0.3">
      <c r="CY29012" s="34" t="s">
        <v>29938</v>
      </c>
      <c r="CZ29012" s="35">
        <v>1.9834238222222224E-2</v>
      </c>
    </row>
    <row r="29013" spans="103:104" x14ac:dyDescent="0.3">
      <c r="CY29013" s="34" t="s">
        <v>29939</v>
      </c>
      <c r="CZ29013" s="35">
        <v>3.0577499999999997E-3</v>
      </c>
    </row>
    <row r="29014" spans="103:104" x14ac:dyDescent="0.3">
      <c r="CY29014" s="34" t="s">
        <v>29940</v>
      </c>
      <c r="CZ29014" s="35">
        <v>3.0577499999999997E-3</v>
      </c>
    </row>
    <row r="29015" spans="103:104" x14ac:dyDescent="0.3">
      <c r="CY29015" s="34" t="s">
        <v>29941</v>
      </c>
      <c r="CZ29015" s="35">
        <v>2.3029999999999999E-3</v>
      </c>
    </row>
    <row r="29016" spans="103:104" x14ac:dyDescent="0.3">
      <c r="CY29016" s="34" t="s">
        <v>29942</v>
      </c>
      <c r="CZ29016" s="35">
        <v>5.5796803319999996E-3</v>
      </c>
    </row>
    <row r="29017" spans="103:104" x14ac:dyDescent="0.3">
      <c r="CY29017" s="34" t="s">
        <v>29943</v>
      </c>
      <c r="CZ29017" s="35">
        <v>8.2731329999999985E-3</v>
      </c>
    </row>
    <row r="29018" spans="103:104" x14ac:dyDescent="0.3">
      <c r="CY29018" s="34" t="s">
        <v>29944</v>
      </c>
      <c r="CZ29018" s="35">
        <v>1.1239522105263161E-2</v>
      </c>
    </row>
    <row r="29019" spans="103:104" x14ac:dyDescent="0.3">
      <c r="CY29019" s="34" t="s">
        <v>29945</v>
      </c>
      <c r="CZ29019" s="35">
        <v>0.36125187999999997</v>
      </c>
    </row>
    <row r="29020" spans="103:104" x14ac:dyDescent="0.3">
      <c r="CY29020" s="34" t="s">
        <v>29946</v>
      </c>
      <c r="CZ29020" s="35">
        <v>0.37741191999999996</v>
      </c>
    </row>
    <row r="29021" spans="103:104" x14ac:dyDescent="0.3">
      <c r="CY29021" s="34" t="s">
        <v>29947</v>
      </c>
      <c r="CZ29021" s="35">
        <v>0.38010582664999998</v>
      </c>
    </row>
    <row r="29022" spans="103:104" x14ac:dyDescent="0.3">
      <c r="CY29022" s="34" t="s">
        <v>29948</v>
      </c>
      <c r="CZ29022" s="35">
        <v>0.39288832000000007</v>
      </c>
    </row>
    <row r="29023" spans="103:104" x14ac:dyDescent="0.3">
      <c r="CY29023" s="34" t="s">
        <v>29949</v>
      </c>
      <c r="CZ29023" s="35">
        <v>4.9080343999999996E-3</v>
      </c>
    </row>
    <row r="29024" spans="103:104" x14ac:dyDescent="0.3">
      <c r="CY29024" s="34" t="s">
        <v>29950</v>
      </c>
      <c r="CZ29024" s="35">
        <v>4.8942940000000004E-3</v>
      </c>
    </row>
    <row r="29025" spans="103:104" x14ac:dyDescent="0.3">
      <c r="CY29025" s="34" t="s">
        <v>29951</v>
      </c>
      <c r="CZ29025" s="35">
        <v>2.4962574000000001E-3</v>
      </c>
    </row>
    <row r="29026" spans="103:104" x14ac:dyDescent="0.3">
      <c r="CY29026" s="34" t="s">
        <v>29952</v>
      </c>
      <c r="CZ29026" s="35">
        <v>8.8902409999999984E-3</v>
      </c>
    </row>
    <row r="29027" spans="103:104" x14ac:dyDescent="0.3">
      <c r="CY29027" s="34" t="s">
        <v>29953</v>
      </c>
      <c r="CZ29027" s="35">
        <v>9.8557799999999997E-3</v>
      </c>
    </row>
    <row r="29028" spans="103:104" x14ac:dyDescent="0.3">
      <c r="CY29028" s="34" t="s">
        <v>29954</v>
      </c>
      <c r="CZ29028" s="35">
        <v>3.737057274999999E-2</v>
      </c>
    </row>
    <row r="29029" spans="103:104" x14ac:dyDescent="0.3">
      <c r="CY29029" s="34" t="s">
        <v>29955</v>
      </c>
      <c r="CZ29029" s="35">
        <v>3.4376970000000004E-3</v>
      </c>
    </row>
    <row r="29030" spans="103:104" x14ac:dyDescent="0.3">
      <c r="CY29030" s="34" t="s">
        <v>29956</v>
      </c>
      <c r="CZ29030" s="35">
        <v>1.4378368000000002E-2</v>
      </c>
    </row>
    <row r="29031" spans="103:104" x14ac:dyDescent="0.3">
      <c r="CY29031" s="34" t="s">
        <v>29957</v>
      </c>
      <c r="CZ29031" s="35">
        <v>3.2581060000000002E-3</v>
      </c>
    </row>
    <row r="29032" spans="103:104" x14ac:dyDescent="0.3">
      <c r="CY29032" s="34" t="s">
        <v>29958</v>
      </c>
      <c r="CZ29032" s="35">
        <v>4.2392332000000003E-3</v>
      </c>
    </row>
    <row r="29033" spans="103:104" x14ac:dyDescent="0.3">
      <c r="CY29033" s="34" t="s">
        <v>29959</v>
      </c>
      <c r="CZ29033" s="35">
        <v>2.0783330000000004E-3</v>
      </c>
    </row>
    <row r="29034" spans="103:104" x14ac:dyDescent="0.3">
      <c r="CY29034" s="34" t="s">
        <v>29960</v>
      </c>
      <c r="CZ29034" s="35">
        <v>2.8949683999999996E-2</v>
      </c>
    </row>
    <row r="29035" spans="103:104" x14ac:dyDescent="0.3">
      <c r="CY29035" s="34" t="s">
        <v>29961</v>
      </c>
      <c r="CZ29035" s="35">
        <v>1.0417281999999999E-3</v>
      </c>
    </row>
    <row r="29036" spans="103:104" x14ac:dyDescent="0.3">
      <c r="CY29036" s="34" t="s">
        <v>29962</v>
      </c>
      <c r="CZ29036" s="35">
        <v>7.4577799999999989E-4</v>
      </c>
    </row>
    <row r="29037" spans="103:104" x14ac:dyDescent="0.3">
      <c r="CY29037" s="34" t="s">
        <v>29963</v>
      </c>
      <c r="CZ29037" s="35">
        <v>1.8867072583349999E-2</v>
      </c>
    </row>
    <row r="29038" spans="103:104" x14ac:dyDescent="0.3">
      <c r="CY29038" s="34" t="s">
        <v>29964</v>
      </c>
      <c r="CZ29038" s="35">
        <v>0.25571758023529417</v>
      </c>
    </row>
    <row r="29039" spans="103:104" x14ac:dyDescent="0.3">
      <c r="CY29039" s="34" t="s">
        <v>29965</v>
      </c>
      <c r="CZ29039" s="35">
        <v>1.0934739999999998E-2</v>
      </c>
    </row>
    <row r="29040" spans="103:104" x14ac:dyDescent="0.3">
      <c r="CY29040" s="34" t="s">
        <v>29966</v>
      </c>
      <c r="CZ29040" s="35">
        <v>8.8717759999999996E-3</v>
      </c>
    </row>
    <row r="29041" spans="103:104" x14ac:dyDescent="0.3">
      <c r="CY29041" s="34" t="s">
        <v>29967</v>
      </c>
      <c r="CZ29041" s="35">
        <v>3.5068180000000001E-3</v>
      </c>
    </row>
    <row r="29042" spans="103:104" x14ac:dyDescent="0.3">
      <c r="CY29042" s="34" t="s">
        <v>29968</v>
      </c>
      <c r="CZ29042" s="35">
        <v>1.8522101333333332E-2</v>
      </c>
    </row>
    <row r="29043" spans="103:104" x14ac:dyDescent="0.3">
      <c r="CY29043" s="34" t="s">
        <v>29969</v>
      </c>
      <c r="CZ29043" s="35">
        <v>4.725406666666666E-3</v>
      </c>
    </row>
    <row r="29044" spans="103:104" x14ac:dyDescent="0.3">
      <c r="CY29044" s="34" t="s">
        <v>29970</v>
      </c>
      <c r="CZ29044" s="35">
        <v>0.47818780999999999</v>
      </c>
    </row>
    <row r="29045" spans="103:104" x14ac:dyDescent="0.3">
      <c r="CY29045" s="34" t="s">
        <v>29971</v>
      </c>
      <c r="CZ29045" s="35">
        <v>1.4481049999999999E-3</v>
      </c>
    </row>
    <row r="29046" spans="103:104" x14ac:dyDescent="0.3">
      <c r="CY29046" s="34" t="s">
        <v>29972</v>
      </c>
      <c r="CZ29046" s="35">
        <v>6.5601999999999995E-3</v>
      </c>
    </row>
    <row r="29047" spans="103:104" x14ac:dyDescent="0.3">
      <c r="CY29047" s="34" t="s">
        <v>29973</v>
      </c>
      <c r="CZ29047" s="35">
        <v>2.38375E-3</v>
      </c>
    </row>
    <row r="29048" spans="103:104" x14ac:dyDescent="0.3">
      <c r="CY29048" s="34" t="s">
        <v>29974</v>
      </c>
      <c r="CZ29048" s="35">
        <v>9.6474427777777771E-3</v>
      </c>
    </row>
    <row r="29049" spans="103:104" x14ac:dyDescent="0.3">
      <c r="CY29049" s="34" t="s">
        <v>29975</v>
      </c>
      <c r="CZ29049" s="35">
        <v>1.1237268888888889E-2</v>
      </c>
    </row>
    <row r="29050" spans="103:104" x14ac:dyDescent="0.3">
      <c r="CY29050" s="34" t="s">
        <v>29976</v>
      </c>
      <c r="CZ29050" s="35">
        <v>1.3765552E-2</v>
      </c>
    </row>
    <row r="29051" spans="103:104" x14ac:dyDescent="0.3">
      <c r="CY29051" s="34" t="s">
        <v>29977</v>
      </c>
      <c r="CZ29051" s="35">
        <v>1.6144614505263159E-2</v>
      </c>
    </row>
    <row r="29052" spans="103:104" x14ac:dyDescent="0.3">
      <c r="CY29052" s="34" t="s">
        <v>29978</v>
      </c>
      <c r="CZ29052" s="35">
        <v>0.10724644000000003</v>
      </c>
    </row>
    <row r="29053" spans="103:104" x14ac:dyDescent="0.3">
      <c r="CY29053" s="34" t="s">
        <v>29979</v>
      </c>
      <c r="CZ29053" s="35">
        <v>1.5370333333333333E-3</v>
      </c>
    </row>
    <row r="29054" spans="103:104" x14ac:dyDescent="0.3">
      <c r="CY29054" s="34" t="s">
        <v>29980</v>
      </c>
      <c r="CZ29054" s="35">
        <v>0.31249477333333331</v>
      </c>
    </row>
    <row r="29055" spans="103:104" x14ac:dyDescent="0.3">
      <c r="CY29055" s="34" t="s">
        <v>29981</v>
      </c>
      <c r="CZ29055" s="35">
        <v>3.6608063999999996E-2</v>
      </c>
    </row>
    <row r="29056" spans="103:104" x14ac:dyDescent="0.3">
      <c r="CY29056" s="34" t="s">
        <v>29982</v>
      </c>
      <c r="CZ29056" s="35">
        <v>8.5446419999999999E-3</v>
      </c>
    </row>
    <row r="29057" spans="103:104" x14ac:dyDescent="0.3">
      <c r="CY29057" s="34" t="s">
        <v>29983</v>
      </c>
      <c r="CZ29057" s="35">
        <v>9.0156760000000002E-3</v>
      </c>
    </row>
    <row r="29058" spans="103:104" x14ac:dyDescent="0.3">
      <c r="CY29058" s="34" t="s">
        <v>29984</v>
      </c>
      <c r="CZ29058" s="35">
        <v>3.8177888000000007E-2</v>
      </c>
    </row>
    <row r="29059" spans="103:104" x14ac:dyDescent="0.3">
      <c r="CY29059" s="34" t="s">
        <v>29985</v>
      </c>
      <c r="CZ29059" s="35">
        <v>4.2918545781249979E-3</v>
      </c>
    </row>
    <row r="29060" spans="103:104" x14ac:dyDescent="0.3">
      <c r="CY29060" s="34" t="s">
        <v>29986</v>
      </c>
      <c r="CZ29060" s="35">
        <v>2.5938408E-2</v>
      </c>
    </row>
    <row r="29061" spans="103:104" x14ac:dyDescent="0.3">
      <c r="CY29061" s="34" t="s">
        <v>29987</v>
      </c>
      <c r="CZ29061" s="35">
        <v>9.0962740000000001E-4</v>
      </c>
    </row>
    <row r="29062" spans="103:104" x14ac:dyDescent="0.3">
      <c r="CY29062" s="34" t="s">
        <v>29988</v>
      </c>
      <c r="CZ29062" s="35">
        <v>0.10346808842105262</v>
      </c>
    </row>
    <row r="29063" spans="103:104" x14ac:dyDescent="0.3">
      <c r="CY29063" s="34" t="s">
        <v>29989</v>
      </c>
      <c r="CZ29063" s="35">
        <v>4.5221940000000002E-3</v>
      </c>
    </row>
    <row r="29064" spans="103:104" x14ac:dyDescent="0.3">
      <c r="CY29064" s="34" t="s">
        <v>29990</v>
      </c>
      <c r="CZ29064" s="35">
        <v>0.16880940625714286</v>
      </c>
    </row>
    <row r="29065" spans="103:104" x14ac:dyDescent="0.3">
      <c r="CY29065" s="34" t="s">
        <v>29991</v>
      </c>
      <c r="CZ29065" s="35">
        <v>0.29156464659999998</v>
      </c>
    </row>
    <row r="29066" spans="103:104" x14ac:dyDescent="0.3">
      <c r="CY29066" s="34" t="s">
        <v>29992</v>
      </c>
      <c r="CZ29066" s="35">
        <v>0.79212261000000006</v>
      </c>
    </row>
    <row r="29067" spans="103:104" x14ac:dyDescent="0.3">
      <c r="CY29067" s="34" t="s">
        <v>29993</v>
      </c>
      <c r="CZ29067" s="35">
        <v>0.750186625</v>
      </c>
    </row>
    <row r="29068" spans="103:104" x14ac:dyDescent="0.3">
      <c r="CY29068" s="34" t="s">
        <v>29994</v>
      </c>
      <c r="CZ29068" s="35">
        <v>5.2855599999999996E-2</v>
      </c>
    </row>
    <row r="29069" spans="103:104" x14ac:dyDescent="0.3">
      <c r="CY29069" s="34" t="s">
        <v>29995</v>
      </c>
      <c r="CZ29069" s="35">
        <v>0.33521928888888891</v>
      </c>
    </row>
    <row r="29070" spans="103:104" x14ac:dyDescent="0.3">
      <c r="CY29070" s="34" t="s">
        <v>29996</v>
      </c>
      <c r="CZ29070" s="35">
        <v>0.29416855111111112</v>
      </c>
    </row>
    <row r="29071" spans="103:104" x14ac:dyDescent="0.3">
      <c r="CY29071" s="34" t="s">
        <v>29997</v>
      </c>
      <c r="CZ29071" s="35">
        <v>0.276384337882353</v>
      </c>
    </row>
    <row r="29072" spans="103:104" x14ac:dyDescent="0.3">
      <c r="CY29072" s="34" t="s">
        <v>29998</v>
      </c>
      <c r="CZ29072" s="35">
        <v>0.23902519905882358</v>
      </c>
    </row>
    <row r="29073" spans="103:104" x14ac:dyDescent="0.3">
      <c r="CY29073" s="34" t="s">
        <v>29999</v>
      </c>
      <c r="CZ29073" s="35">
        <v>2.6082230000000002E-3</v>
      </c>
    </row>
    <row r="29074" spans="103:104" x14ac:dyDescent="0.3">
      <c r="CY29074" s="34" t="s">
        <v>30000</v>
      </c>
      <c r="CZ29074" s="35">
        <v>1.3471674999999998E-3</v>
      </c>
    </row>
    <row r="29075" spans="103:104" x14ac:dyDescent="0.3">
      <c r="CY29075" s="34" t="s">
        <v>30001</v>
      </c>
      <c r="CZ29075" s="35">
        <v>1.1257623999999999E-2</v>
      </c>
    </row>
    <row r="29076" spans="103:104" x14ac:dyDescent="0.3">
      <c r="CY29076" s="34" t="s">
        <v>30002</v>
      </c>
      <c r="CZ29076" s="35">
        <v>3.1509249999999997E-3</v>
      </c>
    </row>
    <row r="29077" spans="103:104" x14ac:dyDescent="0.3">
      <c r="CY29077" s="34" t="s">
        <v>30003</v>
      </c>
      <c r="CZ29077" s="35">
        <v>1.1555725066666666E-2</v>
      </c>
    </row>
    <row r="29078" spans="103:104" x14ac:dyDescent="0.3">
      <c r="CY29078" s="34" t="s">
        <v>30004</v>
      </c>
      <c r="CZ29078" s="35">
        <v>1.1555725066666666E-2</v>
      </c>
    </row>
    <row r="29079" spans="103:104" x14ac:dyDescent="0.3">
      <c r="CY29079" s="34" t="s">
        <v>30005</v>
      </c>
      <c r="CZ29079" s="35">
        <v>5.7695079999999987E-3</v>
      </c>
    </row>
    <row r="29080" spans="103:104" x14ac:dyDescent="0.3">
      <c r="CY29080" s="34" t="s">
        <v>30006</v>
      </c>
      <c r="CZ29080" s="35">
        <v>5.7695079999999987E-3</v>
      </c>
    </row>
    <row r="29081" spans="103:104" x14ac:dyDescent="0.3">
      <c r="CY29081" s="34" t="s">
        <v>30007</v>
      </c>
      <c r="CZ29081" s="35">
        <v>3.424982E-3</v>
      </c>
    </row>
    <row r="29082" spans="103:104" x14ac:dyDescent="0.3">
      <c r="CY29082" s="34" t="s">
        <v>30008</v>
      </c>
      <c r="CZ29082" s="35">
        <v>3.4249820000000005E-3</v>
      </c>
    </row>
    <row r="29083" spans="103:104" x14ac:dyDescent="0.3">
      <c r="CY29083" s="34" t="s">
        <v>30009</v>
      </c>
      <c r="CZ29083" s="35">
        <v>1.0610974145313001</v>
      </c>
    </row>
    <row r="29084" spans="103:104" x14ac:dyDescent="0.3">
      <c r="CY29084" s="34" t="s">
        <v>30010</v>
      </c>
      <c r="CZ29084" s="35">
        <v>0.77339015249999987</v>
      </c>
    </row>
    <row r="29085" spans="103:104" x14ac:dyDescent="0.3">
      <c r="CY29085" s="34" t="s">
        <v>30011</v>
      </c>
      <c r="CZ29085" s="35">
        <v>2.5838449999999999E-2</v>
      </c>
    </row>
    <row r="29086" spans="103:104" x14ac:dyDescent="0.3">
      <c r="CY29086" s="34" t="s">
        <v>30012</v>
      </c>
      <c r="CZ29086" s="35">
        <v>0.95879584400000006</v>
      </c>
    </row>
    <row r="29087" spans="103:104" x14ac:dyDescent="0.3">
      <c r="CY29087" s="34" t="s">
        <v>30013</v>
      </c>
      <c r="CZ29087" s="35">
        <v>0.95879584400000006</v>
      </c>
    </row>
    <row r="29088" spans="103:104" x14ac:dyDescent="0.3">
      <c r="CY29088" s="34" t="s">
        <v>30014</v>
      </c>
      <c r="CZ29088" s="35">
        <v>2.4989250000000005E-2</v>
      </c>
    </row>
    <row r="29089" spans="103:104" x14ac:dyDescent="0.3">
      <c r="CY29089" s="34" t="s">
        <v>30015</v>
      </c>
      <c r="CZ29089" s="35">
        <v>1.6771169999999998E-2</v>
      </c>
    </row>
    <row r="29090" spans="103:104" x14ac:dyDescent="0.3">
      <c r="CY29090" s="34" t="s">
        <v>30016</v>
      </c>
      <c r="CZ29090" s="35">
        <v>3.3427585066666668E-2</v>
      </c>
    </row>
    <row r="29091" spans="103:104" x14ac:dyDescent="0.3">
      <c r="CY29091" s="34" t="s">
        <v>30017</v>
      </c>
      <c r="CZ29091" s="35">
        <v>1.3790265700000002</v>
      </c>
    </row>
    <row r="29092" spans="103:104" x14ac:dyDescent="0.3">
      <c r="CY29092" s="34" t="s">
        <v>30018</v>
      </c>
      <c r="CZ29092" s="35">
        <v>3.0397936E-2</v>
      </c>
    </row>
    <row r="29093" spans="103:104" x14ac:dyDescent="0.3">
      <c r="CY29093" s="34" t="s">
        <v>30019</v>
      </c>
      <c r="CZ29093" s="35">
        <v>0.25524008888888888</v>
      </c>
    </row>
    <row r="29094" spans="103:104" x14ac:dyDescent="0.3">
      <c r="CY29094" s="34" t="s">
        <v>30020</v>
      </c>
      <c r="CZ29094" s="35">
        <v>0.48226239999999992</v>
      </c>
    </row>
    <row r="29095" spans="103:104" x14ac:dyDescent="0.3">
      <c r="CY29095" s="34" t="s">
        <v>30021</v>
      </c>
      <c r="CZ29095" s="35">
        <v>4.2594791666666666E-3</v>
      </c>
    </row>
    <row r="29096" spans="103:104" x14ac:dyDescent="0.3">
      <c r="CY29096" s="34" t="s">
        <v>30022</v>
      </c>
      <c r="CZ29096" s="35">
        <v>1.852627037037037E-3</v>
      </c>
    </row>
    <row r="29097" spans="103:104" x14ac:dyDescent="0.3">
      <c r="CY29097" s="34" t="s">
        <v>30023</v>
      </c>
      <c r="CZ29097" s="35">
        <v>2.3171347368421056E-2</v>
      </c>
    </row>
    <row r="29098" spans="103:104" x14ac:dyDescent="0.3">
      <c r="CY29098" s="34" t="s">
        <v>30024</v>
      </c>
      <c r="CZ29098" s="35">
        <v>0.10342302</v>
      </c>
    </row>
    <row r="29099" spans="103:104" x14ac:dyDescent="0.3">
      <c r="CY29099" s="34" t="s">
        <v>30025</v>
      </c>
      <c r="CZ29099" s="35">
        <v>9.4142321999999973E-2</v>
      </c>
    </row>
    <row r="29100" spans="103:104" x14ac:dyDescent="0.3">
      <c r="CY29100" s="34" t="s">
        <v>30026</v>
      </c>
      <c r="CZ29100" s="35">
        <v>9.8213441999999998E-2</v>
      </c>
    </row>
    <row r="29101" spans="103:104" x14ac:dyDescent="0.3">
      <c r="CY29101" s="34" t="s">
        <v>30027</v>
      </c>
      <c r="CZ29101" s="35">
        <v>3.5273503999999997E-2</v>
      </c>
    </row>
    <row r="29102" spans="103:104" x14ac:dyDescent="0.3">
      <c r="CY29102" s="34" t="s">
        <v>30028</v>
      </c>
      <c r="CZ29102" s="35">
        <v>3.5273503999999997E-2</v>
      </c>
    </row>
    <row r="29103" spans="103:104" x14ac:dyDescent="0.3">
      <c r="CY29103" s="34" t="s">
        <v>30029</v>
      </c>
      <c r="CZ29103" s="35">
        <v>5.4112612842105272E-4</v>
      </c>
    </row>
    <row r="29104" spans="103:104" x14ac:dyDescent="0.3">
      <c r="CY29104" s="34" t="s">
        <v>30030</v>
      </c>
      <c r="CZ29104" s="35">
        <v>5.6572147578947372E-4</v>
      </c>
    </row>
    <row r="29105" spans="103:104" x14ac:dyDescent="0.3">
      <c r="CY29105" s="34" t="s">
        <v>30031</v>
      </c>
      <c r="CZ29105" s="35">
        <v>0.22012872000000003</v>
      </c>
    </row>
    <row r="29106" spans="103:104" x14ac:dyDescent="0.3">
      <c r="CY29106" s="34" t="s">
        <v>30032</v>
      </c>
      <c r="CZ29106" s="35">
        <v>9.6335759999999996E-4</v>
      </c>
    </row>
    <row r="29107" spans="103:104" x14ac:dyDescent="0.3">
      <c r="CY29107" s="34" t="s">
        <v>30033</v>
      </c>
      <c r="CZ29107" s="35">
        <v>1.0153999999999999E-3</v>
      </c>
    </row>
    <row r="29108" spans="103:104" x14ac:dyDescent="0.3">
      <c r="CY29108" s="34" t="s">
        <v>30034</v>
      </c>
      <c r="CZ29108" s="35">
        <v>0.71581197333333324</v>
      </c>
    </row>
    <row r="29109" spans="103:104" x14ac:dyDescent="0.3">
      <c r="CY29109" s="34" t="s">
        <v>30035</v>
      </c>
      <c r="CZ29109" s="35">
        <v>0.64636289300000005</v>
      </c>
    </row>
    <row r="29110" spans="103:104" x14ac:dyDescent="0.3">
      <c r="CY29110" s="34" t="s">
        <v>30036</v>
      </c>
      <c r="CZ29110" s="35">
        <v>0.70532751300000007</v>
      </c>
    </row>
    <row r="29111" spans="103:104" x14ac:dyDescent="0.3">
      <c r="CY29111" s="34" t="s">
        <v>30037</v>
      </c>
      <c r="CZ29111" s="35">
        <v>0.75835613333333329</v>
      </c>
    </row>
    <row r="29112" spans="103:104" x14ac:dyDescent="0.3">
      <c r="CY29112" s="34" t="s">
        <v>30038</v>
      </c>
      <c r="CZ29112" s="35">
        <v>0.78802023300000001</v>
      </c>
    </row>
    <row r="29113" spans="103:104" x14ac:dyDescent="0.3">
      <c r="CY29113" s="34" t="s">
        <v>30039</v>
      </c>
      <c r="CZ29113" s="35">
        <v>0.27842312499999999</v>
      </c>
    </row>
    <row r="29114" spans="103:104" x14ac:dyDescent="0.3">
      <c r="CY29114" s="34" t="s">
        <v>30040</v>
      </c>
      <c r="CZ29114" s="35">
        <v>2.2418427777777784E-2</v>
      </c>
    </row>
    <row r="29115" spans="103:104" x14ac:dyDescent="0.3">
      <c r="CY29115" s="34" t="s">
        <v>30041</v>
      </c>
      <c r="CZ29115" s="35">
        <v>6.1626706000000005E-3</v>
      </c>
    </row>
    <row r="29116" spans="103:104" x14ac:dyDescent="0.3">
      <c r="CY29116" s="34" t="s">
        <v>30042</v>
      </c>
      <c r="CZ29116" s="35">
        <v>7.5930912000000003E-2</v>
      </c>
    </row>
    <row r="29117" spans="103:104" x14ac:dyDescent="0.3">
      <c r="CY29117" s="34" t="s">
        <v>30043</v>
      </c>
      <c r="CZ29117" s="35">
        <v>0.12841135805000001</v>
      </c>
    </row>
    <row r="29118" spans="103:104" x14ac:dyDescent="0.3">
      <c r="CY29118" s="34" t="s">
        <v>30044</v>
      </c>
      <c r="CZ29118" s="35">
        <v>0.12832824125</v>
      </c>
    </row>
    <row r="29119" spans="103:104" x14ac:dyDescent="0.3">
      <c r="CY29119" s="34" t="s">
        <v>30045</v>
      </c>
      <c r="CZ29119" s="35">
        <v>3.602903542857143E-4</v>
      </c>
    </row>
    <row r="29120" spans="103:104" x14ac:dyDescent="0.3">
      <c r="CY29120" s="34" t="s">
        <v>30046</v>
      </c>
      <c r="CZ29120" s="35">
        <v>1.4713861371428571E-3</v>
      </c>
    </row>
    <row r="29121" spans="103:104" x14ac:dyDescent="0.3">
      <c r="CY29121" s="34" t="s">
        <v>30047</v>
      </c>
      <c r="CZ29121" s="35">
        <v>7.9293128571428576E-4</v>
      </c>
    </row>
    <row r="29122" spans="103:104" x14ac:dyDescent="0.3">
      <c r="CY29122" s="34" t="s">
        <v>30048</v>
      </c>
      <c r="CZ29122" s="35">
        <v>1.6705388888888886E-3</v>
      </c>
    </row>
    <row r="29123" spans="103:104" x14ac:dyDescent="0.3">
      <c r="CY29123" s="34" t="s">
        <v>30049</v>
      </c>
      <c r="CZ29123" s="35">
        <v>3.5213000000000001E-2</v>
      </c>
    </row>
    <row r="29124" spans="103:104" x14ac:dyDescent="0.3">
      <c r="CY29124" s="34" t="s">
        <v>30050</v>
      </c>
      <c r="CZ29124" s="35">
        <v>7.631657E-2</v>
      </c>
    </row>
    <row r="29125" spans="103:104" x14ac:dyDescent="0.3">
      <c r="CY29125" s="34" t="s">
        <v>30051</v>
      </c>
      <c r="CZ29125" s="35">
        <v>8.280875E-2</v>
      </c>
    </row>
    <row r="29126" spans="103:104" x14ac:dyDescent="0.3">
      <c r="CY29126" s="34" t="s">
        <v>30052</v>
      </c>
      <c r="CZ29126" s="35">
        <v>2.2283750000000001E-2</v>
      </c>
    </row>
    <row r="29127" spans="103:104" x14ac:dyDescent="0.3">
      <c r="CY29127" s="34" t="s">
        <v>30053</v>
      </c>
      <c r="CZ29127" s="35">
        <v>4.3094199999999996E-3</v>
      </c>
    </row>
    <row r="29128" spans="103:104" x14ac:dyDescent="0.3">
      <c r="CY29128" s="34" t="s">
        <v>30054</v>
      </c>
      <c r="CZ29128" s="35">
        <v>9.3629821999999998E-3</v>
      </c>
    </row>
    <row r="29129" spans="103:104" x14ac:dyDescent="0.3">
      <c r="CY29129" s="34" t="s">
        <v>30055</v>
      </c>
      <c r="CZ29129" s="35">
        <v>1.9867862222222223E-2</v>
      </c>
    </row>
    <row r="29130" spans="103:104" x14ac:dyDescent="0.3">
      <c r="CY29130" s="34" t="s">
        <v>30056</v>
      </c>
      <c r="CZ29130" s="35">
        <v>1.5545000000000001E-3</v>
      </c>
    </row>
    <row r="29131" spans="103:104" x14ac:dyDescent="0.3">
      <c r="CY29131" s="34" t="s">
        <v>30057</v>
      </c>
      <c r="CZ29131" s="35">
        <v>1.4401849263157897E-3</v>
      </c>
    </row>
    <row r="29132" spans="103:104" x14ac:dyDescent="0.3">
      <c r="CY29132" s="34" t="s">
        <v>30058</v>
      </c>
      <c r="CZ29132" s="35">
        <v>7.8099205000000005E-2</v>
      </c>
    </row>
    <row r="29133" spans="103:104" x14ac:dyDescent="0.3">
      <c r="CY29133" s="34" t="s">
        <v>30059</v>
      </c>
      <c r="CZ29133" s="35">
        <v>4.2360050000000003E-2</v>
      </c>
    </row>
    <row r="29134" spans="103:104" x14ac:dyDescent="0.3">
      <c r="CY29134" s="34" t="s">
        <v>30060</v>
      </c>
      <c r="CZ29134" s="35">
        <v>0.55794529000000004</v>
      </c>
    </row>
    <row r="29135" spans="103:104" x14ac:dyDescent="0.3">
      <c r="CY29135" s="34" t="s">
        <v>30061</v>
      </c>
      <c r="CZ29135" s="35">
        <v>0.55908929000000007</v>
      </c>
    </row>
    <row r="29136" spans="103:104" x14ac:dyDescent="0.3">
      <c r="CY29136" s="34" t="s">
        <v>30062</v>
      </c>
      <c r="CZ29136" s="35">
        <v>1.1440000000000001E-3</v>
      </c>
    </row>
    <row r="29137" spans="103:104" x14ac:dyDescent="0.3">
      <c r="CY29137" s="34" t="s">
        <v>30063</v>
      </c>
      <c r="CZ29137" s="35">
        <v>1.2083591599999999</v>
      </c>
    </row>
    <row r="29138" spans="103:104" x14ac:dyDescent="0.3">
      <c r="CY29138" s="34" t="s">
        <v>30064</v>
      </c>
      <c r="CZ29138" s="35">
        <v>0.39726542500000001</v>
      </c>
    </row>
    <row r="29139" spans="103:104" x14ac:dyDescent="0.3">
      <c r="CY29139" s="34" t="s">
        <v>30065</v>
      </c>
      <c r="CZ29139" s="35">
        <v>0.22481881263157893</v>
      </c>
    </row>
    <row r="29140" spans="103:104" x14ac:dyDescent="0.3">
      <c r="CY29140" s="34" t="s">
        <v>30066</v>
      </c>
      <c r="CZ29140" s="35">
        <v>0.10714799999999999</v>
      </c>
    </row>
    <row r="29141" spans="103:104" x14ac:dyDescent="0.3">
      <c r="CY29141" s="34" t="s">
        <v>30067</v>
      </c>
      <c r="CZ29141" s="35">
        <v>2.025186E-2</v>
      </c>
    </row>
    <row r="29142" spans="103:104" x14ac:dyDescent="0.3">
      <c r="CY29142" s="34" t="s">
        <v>30068</v>
      </c>
      <c r="CZ29142" s="35">
        <v>3.6126353600000001E-2</v>
      </c>
    </row>
    <row r="29143" spans="103:104" x14ac:dyDescent="0.3">
      <c r="CY29143" s="34" t="s">
        <v>30069</v>
      </c>
      <c r="CZ29143" s="35">
        <v>8.1786199999999993E-3</v>
      </c>
    </row>
    <row r="29144" spans="103:104" x14ac:dyDescent="0.3">
      <c r="CY29144" s="34" t="s">
        <v>30070</v>
      </c>
      <c r="CZ29144" s="35">
        <v>8.2657200000000007E-3</v>
      </c>
    </row>
    <row r="29145" spans="103:104" x14ac:dyDescent="0.3">
      <c r="CY29145" s="34" t="s">
        <v>30071</v>
      </c>
      <c r="CZ29145" s="35">
        <v>7.9756084210526337E-2</v>
      </c>
    </row>
    <row r="29146" spans="103:104" x14ac:dyDescent="0.3">
      <c r="CY29146" s="34" t="s">
        <v>30072</v>
      </c>
      <c r="CZ29146" s="35">
        <v>6.079383368421053E-3</v>
      </c>
    </row>
    <row r="29147" spans="103:104" x14ac:dyDescent="0.3">
      <c r="CY29147" s="34" t="s">
        <v>30073</v>
      </c>
      <c r="CZ29147" s="35">
        <v>5.2363922105263163E-3</v>
      </c>
    </row>
    <row r="29148" spans="103:104" x14ac:dyDescent="0.3">
      <c r="CY29148" s="34" t="s">
        <v>30074</v>
      </c>
      <c r="CZ29148" s="35">
        <v>3.1855500000000002E-2</v>
      </c>
    </row>
    <row r="29149" spans="103:104" x14ac:dyDescent="0.3">
      <c r="CY29149" s="34" t="s">
        <v>30075</v>
      </c>
      <c r="CZ29149" s="35">
        <v>3.1855500000000002E-2</v>
      </c>
    </row>
    <row r="29150" spans="103:104" x14ac:dyDescent="0.3">
      <c r="CY29150" s="34" t="s">
        <v>30076</v>
      </c>
      <c r="CZ29150" s="35">
        <v>1.2671872999999998E-3</v>
      </c>
    </row>
    <row r="29151" spans="103:104" x14ac:dyDescent="0.3">
      <c r="CY29151" s="34" t="s">
        <v>30077</v>
      </c>
      <c r="CZ29151" s="35">
        <v>1.78513384E-2</v>
      </c>
    </row>
    <row r="29152" spans="103:104" x14ac:dyDescent="0.3">
      <c r="CY29152" s="34" t="s">
        <v>30078</v>
      </c>
      <c r="CZ29152" s="35">
        <v>0.12782024444444445</v>
      </c>
    </row>
    <row r="29153" spans="103:104" x14ac:dyDescent="0.3">
      <c r="CY29153" s="34" t="s">
        <v>30079</v>
      </c>
      <c r="CZ29153" s="35">
        <v>7.0479539999999995E-3</v>
      </c>
    </row>
    <row r="29154" spans="103:104" x14ac:dyDescent="0.3">
      <c r="CY29154" s="34" t="s">
        <v>30080</v>
      </c>
      <c r="CZ29154" s="35">
        <v>1.0984198679999998E-2</v>
      </c>
    </row>
    <row r="29155" spans="103:104" x14ac:dyDescent="0.3">
      <c r="CY29155" s="34" t="s">
        <v>30081</v>
      </c>
      <c r="CZ29155" s="35">
        <v>7.02027888244E-3</v>
      </c>
    </row>
    <row r="29156" spans="103:104" x14ac:dyDescent="0.3">
      <c r="CY29156" s="34" t="s">
        <v>30082</v>
      </c>
      <c r="CZ29156" s="35">
        <v>1.9618301333333334E-3</v>
      </c>
    </row>
    <row r="29157" spans="103:104" x14ac:dyDescent="0.3">
      <c r="CY29157" s="34" t="s">
        <v>30083</v>
      </c>
      <c r="CZ29157" s="35">
        <v>6.9638629999999998E-3</v>
      </c>
    </row>
    <row r="29158" spans="103:104" x14ac:dyDescent="0.3">
      <c r="CY29158" s="34" t="s">
        <v>30084</v>
      </c>
      <c r="CZ29158" s="35">
        <v>6.9638630000000007E-3</v>
      </c>
    </row>
    <row r="29159" spans="103:104" x14ac:dyDescent="0.3">
      <c r="CY29159" s="34" t="s">
        <v>30085</v>
      </c>
      <c r="CZ29159" s="35">
        <v>6.9638630000000007E-3</v>
      </c>
    </row>
    <row r="29160" spans="103:104" x14ac:dyDescent="0.3">
      <c r="CY29160" s="34" t="s">
        <v>30086</v>
      </c>
      <c r="CZ29160" s="35">
        <v>0.38802387999999999</v>
      </c>
    </row>
    <row r="29161" spans="103:104" x14ac:dyDescent="0.3">
      <c r="CY29161" s="34" t="s">
        <v>30087</v>
      </c>
      <c r="CZ29161" s="35">
        <v>0.42464102000000004</v>
      </c>
    </row>
    <row r="29162" spans="103:104" x14ac:dyDescent="0.3">
      <c r="CY29162" s="34" t="s">
        <v>30088</v>
      </c>
      <c r="CZ29162" s="35">
        <v>9.7889600000000007E-2</v>
      </c>
    </row>
    <row r="29163" spans="103:104" x14ac:dyDescent="0.3">
      <c r="CY29163" s="34" t="s">
        <v>30089</v>
      </c>
      <c r="CZ29163" s="35">
        <v>5.5660200000000012E-4</v>
      </c>
    </row>
    <row r="29164" spans="103:104" x14ac:dyDescent="0.3">
      <c r="CY29164" s="34" t="s">
        <v>30090</v>
      </c>
      <c r="CZ29164" s="35">
        <v>1.98324816E-2</v>
      </c>
    </row>
    <row r="29165" spans="103:104" x14ac:dyDescent="0.3">
      <c r="CY29165" s="34" t="s">
        <v>30091</v>
      </c>
      <c r="CZ29165" s="35">
        <v>2.6454132000000002E-2</v>
      </c>
    </row>
    <row r="29166" spans="103:104" x14ac:dyDescent="0.3">
      <c r="CY29166" s="34" t="s">
        <v>30092</v>
      </c>
      <c r="CZ29166" s="35">
        <v>2.1953795999999998E-2</v>
      </c>
    </row>
    <row r="29167" spans="103:104" x14ac:dyDescent="0.3">
      <c r="CY29167" s="34" t="s">
        <v>30093</v>
      </c>
      <c r="CZ29167" s="35">
        <v>2.4169619999999996E-2</v>
      </c>
    </row>
    <row r="29168" spans="103:104" x14ac:dyDescent="0.3">
      <c r="CY29168" s="34" t="s">
        <v>30094</v>
      </c>
      <c r="CZ29168" s="35">
        <v>0.19932462073684212</v>
      </c>
    </row>
    <row r="29169" spans="103:104" x14ac:dyDescent="0.3">
      <c r="CY29169" s="34" t="s">
        <v>30095</v>
      </c>
      <c r="CZ29169" s="35">
        <v>0.11443095881578945</v>
      </c>
    </row>
    <row r="29170" spans="103:104" x14ac:dyDescent="0.3">
      <c r="CY29170" s="34" t="s">
        <v>30096</v>
      </c>
      <c r="CZ29170" s="35">
        <v>0.18920829971428574</v>
      </c>
    </row>
    <row r="29171" spans="103:104" x14ac:dyDescent="0.3">
      <c r="CY29171" s="34" t="s">
        <v>30097</v>
      </c>
      <c r="CZ29171" s="35">
        <v>9.9189232857142859E-2</v>
      </c>
    </row>
    <row r="29172" spans="103:104" x14ac:dyDescent="0.3">
      <c r="CY29172" s="34" t="s">
        <v>30098</v>
      </c>
      <c r="CZ29172" s="35">
        <v>6.0696188999999998E-2</v>
      </c>
    </row>
    <row r="29173" spans="103:104" x14ac:dyDescent="0.3">
      <c r="CY29173" s="34" t="s">
        <v>30099</v>
      </c>
      <c r="CZ29173" s="35">
        <v>0.18172753777777781</v>
      </c>
    </row>
    <row r="29174" spans="103:104" x14ac:dyDescent="0.3">
      <c r="CY29174" s="34" t="s">
        <v>30100</v>
      </c>
      <c r="CZ29174" s="35">
        <v>0.14988340444444445</v>
      </c>
    </row>
    <row r="29175" spans="103:104" x14ac:dyDescent="0.3">
      <c r="CY29175" s="34" t="s">
        <v>30101</v>
      </c>
      <c r="CZ29175" s="35">
        <v>0.46011104000000008</v>
      </c>
    </row>
    <row r="29176" spans="103:104" x14ac:dyDescent="0.3">
      <c r="CY29176" s="34" t="s">
        <v>30102</v>
      </c>
      <c r="CZ29176" s="35">
        <v>5.3034610400000001E-2</v>
      </c>
    </row>
    <row r="29177" spans="103:104" x14ac:dyDescent="0.3">
      <c r="CY29177" s="34" t="s">
        <v>30103</v>
      </c>
      <c r="CZ29177" s="35">
        <v>0.2753753584210526</v>
      </c>
    </row>
    <row r="29178" spans="103:104" x14ac:dyDescent="0.3">
      <c r="CY29178" s="34" t="s">
        <v>30104</v>
      </c>
      <c r="CZ29178" s="35">
        <v>0.13634772763508773</v>
      </c>
    </row>
    <row r="29179" spans="103:104" x14ac:dyDescent="0.3">
      <c r="CY29179" s="34" t="s">
        <v>30105</v>
      </c>
      <c r="CZ29179" s="35">
        <v>5.0402548499999991E-2</v>
      </c>
    </row>
    <row r="29180" spans="103:104" x14ac:dyDescent="0.3">
      <c r="CY29180" s="34" t="s">
        <v>30106</v>
      </c>
      <c r="CZ29180" s="35">
        <v>4.9920036520000002E-2</v>
      </c>
    </row>
    <row r="29181" spans="103:104" x14ac:dyDescent="0.3">
      <c r="CY29181" s="34" t="s">
        <v>30107</v>
      </c>
      <c r="CZ29181" s="35">
        <v>0.31535532263157895</v>
      </c>
    </row>
    <row r="29182" spans="103:104" x14ac:dyDescent="0.3">
      <c r="CY29182" s="34" t="s">
        <v>30108</v>
      </c>
      <c r="CZ29182" s="35">
        <v>0.2989779879157895</v>
      </c>
    </row>
    <row r="29183" spans="103:104" x14ac:dyDescent="0.3">
      <c r="CY29183" s="34" t="s">
        <v>30109</v>
      </c>
      <c r="CZ29183" s="35">
        <v>0.14056719709473683</v>
      </c>
    </row>
    <row r="29184" spans="103:104" x14ac:dyDescent="0.3">
      <c r="CY29184" s="34" t="s">
        <v>30110</v>
      </c>
      <c r="CZ29184" s="35">
        <v>0.2903076342105263</v>
      </c>
    </row>
    <row r="29185" spans="103:104" x14ac:dyDescent="0.3">
      <c r="CY29185" s="34" t="s">
        <v>30111</v>
      </c>
      <c r="CZ29185" s="35">
        <v>0.33462277526315787</v>
      </c>
    </row>
    <row r="29186" spans="103:104" x14ac:dyDescent="0.3">
      <c r="CY29186" s="34" t="s">
        <v>30112</v>
      </c>
      <c r="CZ29186" s="35">
        <v>0.11841498236842105</v>
      </c>
    </row>
    <row r="29187" spans="103:104" x14ac:dyDescent="0.3">
      <c r="CY29187" s="34" t="s">
        <v>30113</v>
      </c>
      <c r="CZ29187" s="35">
        <v>4.857002052E-2</v>
      </c>
    </row>
    <row r="29188" spans="103:104" x14ac:dyDescent="0.3">
      <c r="CY29188" s="34" t="s">
        <v>30114</v>
      </c>
      <c r="CZ29188" s="35">
        <v>1.9813020000000001E-2</v>
      </c>
    </row>
    <row r="29189" spans="103:104" x14ac:dyDescent="0.3">
      <c r="CY29189" s="34" t="s">
        <v>30115</v>
      </c>
      <c r="CZ29189" s="35">
        <v>2.6454132000000002E-2</v>
      </c>
    </row>
    <row r="29190" spans="103:104" x14ac:dyDescent="0.3">
      <c r="CY29190" s="34" t="s">
        <v>30116</v>
      </c>
      <c r="CZ29190" s="35">
        <v>0.22763047000000003</v>
      </c>
    </row>
    <row r="29191" spans="103:104" x14ac:dyDescent="0.3">
      <c r="CY29191" s="34" t="s">
        <v>30117</v>
      </c>
      <c r="CZ29191" s="35">
        <v>0.51791068462000001</v>
      </c>
    </row>
    <row r="29192" spans="103:104" x14ac:dyDescent="0.3">
      <c r="CY29192" s="34" t="s">
        <v>30118</v>
      </c>
      <c r="CZ29192" s="35">
        <v>0.62021068462000006</v>
      </c>
    </row>
    <row r="29193" spans="103:104" x14ac:dyDescent="0.3">
      <c r="CY29193" s="34" t="s">
        <v>30119</v>
      </c>
      <c r="CZ29193" s="35">
        <v>0.54205748461999992</v>
      </c>
    </row>
    <row r="29194" spans="103:104" x14ac:dyDescent="0.3">
      <c r="CY29194" s="34" t="s">
        <v>30120</v>
      </c>
      <c r="CZ29194" s="35">
        <v>0.64435748461999998</v>
      </c>
    </row>
    <row r="29195" spans="103:104" x14ac:dyDescent="0.3">
      <c r="CY29195" s="34" t="s">
        <v>30121</v>
      </c>
      <c r="CZ29195" s="35">
        <v>0.5083430846235294</v>
      </c>
    </row>
    <row r="29196" spans="103:104" x14ac:dyDescent="0.3">
      <c r="CY29196" s="34" t="s">
        <v>30122</v>
      </c>
      <c r="CZ29196" s="35">
        <v>0.5566047300000001</v>
      </c>
    </row>
    <row r="29197" spans="103:104" x14ac:dyDescent="0.3">
      <c r="CY29197" s="34" t="s">
        <v>30123</v>
      </c>
      <c r="CZ29197" s="35">
        <v>0.64691068462352952</v>
      </c>
    </row>
    <row r="29198" spans="103:104" x14ac:dyDescent="0.3">
      <c r="CY29198" s="34" t="s">
        <v>30124</v>
      </c>
      <c r="CZ29198" s="35">
        <v>0.56703797</v>
      </c>
    </row>
    <row r="29199" spans="103:104" x14ac:dyDescent="0.3">
      <c r="CY29199" s="34" t="s">
        <v>30125</v>
      </c>
      <c r="CZ29199" s="35">
        <v>0.64435748461999987</v>
      </c>
    </row>
    <row r="29200" spans="103:104" x14ac:dyDescent="0.3">
      <c r="CY29200" s="34" t="s">
        <v>30126</v>
      </c>
      <c r="CZ29200" s="35">
        <v>4.6047500000000003E-3</v>
      </c>
    </row>
    <row r="29201" spans="103:104" x14ac:dyDescent="0.3">
      <c r="CY29201" s="34" t="s">
        <v>30127</v>
      </c>
      <c r="CZ29201" s="35">
        <v>6.7791549600000013E-3</v>
      </c>
    </row>
    <row r="29202" spans="103:104" x14ac:dyDescent="0.3">
      <c r="CY29202" s="34" t="s">
        <v>30128</v>
      </c>
      <c r="CZ29202" s="35">
        <v>6.8588676000000005E-3</v>
      </c>
    </row>
    <row r="29203" spans="103:104" x14ac:dyDescent="0.3">
      <c r="CY29203" s="34" t="s">
        <v>30129</v>
      </c>
      <c r="CZ29203" s="35">
        <v>6.6981583200000005E-3</v>
      </c>
    </row>
    <row r="29204" spans="103:104" x14ac:dyDescent="0.3">
      <c r="CY29204" s="34" t="s">
        <v>30130</v>
      </c>
      <c r="CZ29204" s="35">
        <v>2.9626213333333335E-2</v>
      </c>
    </row>
    <row r="29205" spans="103:104" x14ac:dyDescent="0.3">
      <c r="CY29205" s="34" t="s">
        <v>30131</v>
      </c>
      <c r="CZ29205" s="35">
        <v>1.7286254000000001E-2</v>
      </c>
    </row>
    <row r="29206" spans="103:104" x14ac:dyDescent="0.3">
      <c r="CY29206" s="34" t="s">
        <v>30132</v>
      </c>
      <c r="CZ29206" s="35">
        <v>1.5436703465517242E-2</v>
      </c>
    </row>
    <row r="29207" spans="103:104" x14ac:dyDescent="0.3">
      <c r="CY29207" s="34" t="s">
        <v>30133</v>
      </c>
      <c r="CZ29207" s="35">
        <v>4.5139355714285722E-3</v>
      </c>
    </row>
    <row r="29208" spans="103:104" x14ac:dyDescent="0.3">
      <c r="CY29208" s="34" t="s">
        <v>30134</v>
      </c>
      <c r="CZ29208" s="35">
        <v>1.0911472222222222E-3</v>
      </c>
    </row>
    <row r="29209" spans="103:104" x14ac:dyDescent="0.3">
      <c r="CY29209" s="34" t="s">
        <v>30135</v>
      </c>
      <c r="CZ29209" s="35">
        <v>1.0830146167000003</v>
      </c>
    </row>
    <row r="29210" spans="103:104" x14ac:dyDescent="0.3">
      <c r="CY29210" s="34" t="s">
        <v>30136</v>
      </c>
      <c r="CZ29210" s="35">
        <v>0.15854113333333333</v>
      </c>
    </row>
    <row r="29211" spans="103:104" x14ac:dyDescent="0.3">
      <c r="CY29211" s="34" t="s">
        <v>30137</v>
      </c>
      <c r="CZ29211" s="35">
        <v>2.2447574000000001E-2</v>
      </c>
    </row>
    <row r="29212" spans="103:104" x14ac:dyDescent="0.3">
      <c r="CY29212" s="34" t="s">
        <v>30138</v>
      </c>
      <c r="CZ29212" s="35">
        <v>2.3532756000000002E-2</v>
      </c>
    </row>
    <row r="29213" spans="103:104" x14ac:dyDescent="0.3">
      <c r="CY29213" s="34" t="s">
        <v>30139</v>
      </c>
      <c r="CZ29213" s="35">
        <v>2.4534358000000003E-2</v>
      </c>
    </row>
    <row r="29214" spans="103:104" x14ac:dyDescent="0.3">
      <c r="CY29214" s="34" t="s">
        <v>30140</v>
      </c>
      <c r="CZ29214" s="35">
        <v>2.4212723999999998E-2</v>
      </c>
    </row>
    <row r="29215" spans="103:104" x14ac:dyDescent="0.3">
      <c r="CY29215" s="34" t="s">
        <v>30141</v>
      </c>
      <c r="CZ29215" s="35">
        <v>0.10182673</v>
      </c>
    </row>
    <row r="29216" spans="103:104" x14ac:dyDescent="0.3">
      <c r="CY29216" s="34" t="s">
        <v>30142</v>
      </c>
      <c r="CZ29216" s="35">
        <v>7.5854809999999995E-2</v>
      </c>
    </row>
    <row r="29217" spans="103:104" x14ac:dyDescent="0.3">
      <c r="CY29217" s="34" t="s">
        <v>30143</v>
      </c>
      <c r="CZ29217" s="35">
        <v>7.5854810000000009E-2</v>
      </c>
    </row>
    <row r="29218" spans="103:104" x14ac:dyDescent="0.3">
      <c r="CY29218" s="34" t="s">
        <v>30144</v>
      </c>
      <c r="CZ29218" s="35">
        <v>7.1886666666666661E-3</v>
      </c>
    </row>
    <row r="29219" spans="103:104" x14ac:dyDescent="0.3">
      <c r="CY29219" s="34" t="s">
        <v>30145</v>
      </c>
      <c r="CZ29219" s="35">
        <v>8.5643333333333335E-3</v>
      </c>
    </row>
    <row r="29220" spans="103:104" x14ac:dyDescent="0.3">
      <c r="CY29220" s="34" t="s">
        <v>30146</v>
      </c>
      <c r="CZ29220" s="35">
        <v>0.42841249999999997</v>
      </c>
    </row>
    <row r="29221" spans="103:104" x14ac:dyDescent="0.3">
      <c r="CY29221" s="34" t="s">
        <v>30147</v>
      </c>
      <c r="CZ29221" s="35">
        <v>1.1810301599999997</v>
      </c>
    </row>
    <row r="29222" spans="103:104" x14ac:dyDescent="0.3">
      <c r="CY29222" s="34" t="s">
        <v>30148</v>
      </c>
      <c r="CZ29222" s="35">
        <v>1.04157069335</v>
      </c>
    </row>
    <row r="29223" spans="103:104" x14ac:dyDescent="0.3">
      <c r="CY29223" s="34" t="s">
        <v>30149</v>
      </c>
      <c r="CZ29223" s="35">
        <v>1.0375729333499999</v>
      </c>
    </row>
    <row r="29224" spans="103:104" x14ac:dyDescent="0.3">
      <c r="CY29224" s="34" t="s">
        <v>30150</v>
      </c>
      <c r="CZ29224" s="35">
        <v>1.0623646315999999</v>
      </c>
    </row>
    <row r="29225" spans="103:104" x14ac:dyDescent="0.3">
      <c r="CY29225" s="34" t="s">
        <v>30151</v>
      </c>
      <c r="CZ29225" s="35">
        <v>1.0637341999999999</v>
      </c>
    </row>
    <row r="29226" spans="103:104" x14ac:dyDescent="0.3">
      <c r="CY29226" s="34" t="s">
        <v>30152</v>
      </c>
      <c r="CZ29226" s="35">
        <v>2.0943622334E-2</v>
      </c>
    </row>
    <row r="29227" spans="103:104" x14ac:dyDescent="0.3">
      <c r="CY29227" s="34" t="s">
        <v>30153</v>
      </c>
      <c r="CZ29227" s="35">
        <v>6.8968290526315779E-4</v>
      </c>
    </row>
    <row r="29228" spans="103:104" x14ac:dyDescent="0.3">
      <c r="CY29228" s="34" t="s">
        <v>30154</v>
      </c>
      <c r="CZ29228" s="35">
        <v>6.5661636000000001E-3</v>
      </c>
    </row>
    <row r="29229" spans="103:104" x14ac:dyDescent="0.3">
      <c r="CY29229" s="34" t="s">
        <v>30155</v>
      </c>
      <c r="CZ29229" s="35">
        <v>1.1080432E-3</v>
      </c>
    </row>
    <row r="29230" spans="103:104" x14ac:dyDescent="0.3">
      <c r="CY29230" s="34" t="s">
        <v>30156</v>
      </c>
      <c r="CZ29230" s="35">
        <v>0.38262849999999998</v>
      </c>
    </row>
    <row r="29231" spans="103:104" x14ac:dyDescent="0.3">
      <c r="CY29231" s="34" t="s">
        <v>30157</v>
      </c>
      <c r="CZ29231" s="35">
        <v>0.24896951109999998</v>
      </c>
    </row>
    <row r="29232" spans="103:104" x14ac:dyDescent="0.3">
      <c r="CY29232" s="34" t="s">
        <v>30158</v>
      </c>
      <c r="CZ29232" s="35">
        <v>0.24299022599999998</v>
      </c>
    </row>
    <row r="29233" spans="103:104" x14ac:dyDescent="0.3">
      <c r="CY29233" s="34" t="s">
        <v>30159</v>
      </c>
      <c r="CZ29233" s="35">
        <v>2.7313282455789473E-2</v>
      </c>
    </row>
    <row r="29234" spans="103:104" x14ac:dyDescent="0.3">
      <c r="CY29234" s="34" t="s">
        <v>30160</v>
      </c>
      <c r="CZ29234" s="35">
        <v>8.768200000000001E-2</v>
      </c>
    </row>
    <row r="29235" spans="103:104" x14ac:dyDescent="0.3">
      <c r="CY29235" s="34" t="s">
        <v>30161</v>
      </c>
      <c r="CZ29235" s="35">
        <v>3.4141165263157892E-2</v>
      </c>
    </row>
    <row r="29236" spans="103:104" x14ac:dyDescent="0.3">
      <c r="CY29236" s="34" t="s">
        <v>30162</v>
      </c>
      <c r="CZ29236" s="35">
        <v>5.5242141666666675E-2</v>
      </c>
    </row>
    <row r="29237" spans="103:104" x14ac:dyDescent="0.3">
      <c r="CY29237" s="34" t="s">
        <v>30163</v>
      </c>
      <c r="CZ29237" s="35">
        <v>6.3223000000000003E-3</v>
      </c>
    </row>
    <row r="29238" spans="103:104" x14ac:dyDescent="0.3">
      <c r="CY29238" s="34" t="s">
        <v>30164</v>
      </c>
      <c r="CZ29238" s="35">
        <v>0.60439851999999994</v>
      </c>
    </row>
    <row r="29239" spans="103:104" x14ac:dyDescent="0.3">
      <c r="CY29239" s="34" t="s">
        <v>30165</v>
      </c>
      <c r="CZ29239" s="35">
        <v>1.1348374523539999</v>
      </c>
    </row>
    <row r="29240" spans="103:104" x14ac:dyDescent="0.3">
      <c r="CY29240" s="34" t="s">
        <v>30166</v>
      </c>
      <c r="CZ29240" s="35">
        <v>0.72754720000000006</v>
      </c>
    </row>
    <row r="29241" spans="103:104" x14ac:dyDescent="0.3">
      <c r="CY29241" s="34" t="s">
        <v>30167</v>
      </c>
      <c r="CZ29241" s="35">
        <v>0.66476552</v>
      </c>
    </row>
    <row r="29242" spans="103:104" x14ac:dyDescent="0.3">
      <c r="CY29242" s="34" t="s">
        <v>30168</v>
      </c>
      <c r="CZ29242" s="35">
        <v>1.2371374523539997</v>
      </c>
    </row>
    <row r="29243" spans="103:104" x14ac:dyDescent="0.3">
      <c r="CY29243" s="34" t="s">
        <v>30169</v>
      </c>
      <c r="CZ29243" s="35">
        <v>0.17869470000000001</v>
      </c>
    </row>
    <row r="29244" spans="103:104" x14ac:dyDescent="0.3">
      <c r="CY29244" s="34" t="s">
        <v>30170</v>
      </c>
      <c r="CZ29244" s="35">
        <v>1.0959895789473686</v>
      </c>
    </row>
    <row r="29245" spans="103:104" x14ac:dyDescent="0.3">
      <c r="CY29245" s="34" t="s">
        <v>30171</v>
      </c>
      <c r="CZ29245" s="35">
        <v>2.1012257999999998E-3</v>
      </c>
    </row>
    <row r="29246" spans="103:104" x14ac:dyDescent="0.3">
      <c r="CY29246" s="34" t="s">
        <v>30172</v>
      </c>
      <c r="CZ29246" s="35">
        <v>1.0484197200000001</v>
      </c>
    </row>
    <row r="29247" spans="103:104" x14ac:dyDescent="0.3">
      <c r="CY29247" s="34" t="s">
        <v>30173</v>
      </c>
      <c r="CZ29247" s="35">
        <v>6.6293007999999997E-3</v>
      </c>
    </row>
    <row r="29248" spans="103:104" x14ac:dyDescent="0.3">
      <c r="CY29248" s="34" t="s">
        <v>30174</v>
      </c>
      <c r="CZ29248" s="35">
        <v>2.7509842857142853E-3</v>
      </c>
    </row>
    <row r="29249" spans="103:104" x14ac:dyDescent="0.3">
      <c r="CY29249" s="34" t="s">
        <v>30175</v>
      </c>
      <c r="CZ29249" s="35">
        <v>1.0540676571428572E-3</v>
      </c>
    </row>
    <row r="29250" spans="103:104" x14ac:dyDescent="0.3">
      <c r="CY29250" s="34" t="s">
        <v>30176</v>
      </c>
      <c r="CZ29250" s="35">
        <v>2.4767541333333329E-3</v>
      </c>
    </row>
    <row r="29251" spans="103:104" x14ac:dyDescent="0.3">
      <c r="CY29251" s="34" t="s">
        <v>30177</v>
      </c>
      <c r="CZ29251" s="35">
        <v>1.35654744E-3</v>
      </c>
    </row>
    <row r="29252" spans="103:104" x14ac:dyDescent="0.3">
      <c r="CY29252" s="34" t="s">
        <v>30178</v>
      </c>
      <c r="CZ29252" s="35">
        <v>7.4300492000000003E-4</v>
      </c>
    </row>
    <row r="29253" spans="103:104" x14ac:dyDescent="0.3">
      <c r="CY29253" s="34" t="s">
        <v>30179</v>
      </c>
      <c r="CZ29253" s="35">
        <v>1.0537125E-3</v>
      </c>
    </row>
    <row r="29254" spans="103:104" x14ac:dyDescent="0.3">
      <c r="CY29254" s="34" t="s">
        <v>30180</v>
      </c>
      <c r="CZ29254" s="35">
        <v>1.4475530400000001E-3</v>
      </c>
    </row>
    <row r="29255" spans="103:104" x14ac:dyDescent="0.3">
      <c r="CY29255" s="34" t="s">
        <v>30181</v>
      </c>
      <c r="CZ29255" s="35">
        <v>2.3205114875000004E-3</v>
      </c>
    </row>
    <row r="29256" spans="103:104" x14ac:dyDescent="0.3">
      <c r="CY29256" s="34" t="s">
        <v>30182</v>
      </c>
      <c r="CZ29256" s="35">
        <v>3.7777669600000002E-3</v>
      </c>
    </row>
    <row r="29257" spans="103:104" x14ac:dyDescent="0.3">
      <c r="CY29257" s="34" t="s">
        <v>30183</v>
      </c>
      <c r="CZ29257" s="35">
        <v>5.0726159573333332E-3</v>
      </c>
    </row>
    <row r="29258" spans="103:104" x14ac:dyDescent="0.3">
      <c r="CY29258" s="34" t="s">
        <v>30184</v>
      </c>
      <c r="CZ29258" s="35">
        <v>9.2299058000000012E-4</v>
      </c>
    </row>
    <row r="29259" spans="103:104" x14ac:dyDescent="0.3">
      <c r="CY29259" s="34" t="s">
        <v>30185</v>
      </c>
      <c r="CZ29259" s="35">
        <v>9.1963133333333325E-3</v>
      </c>
    </row>
    <row r="29260" spans="103:104" x14ac:dyDescent="0.3">
      <c r="CY29260" s="34" t="s">
        <v>30186</v>
      </c>
      <c r="CZ29260" s="35">
        <v>0.14641190222222222</v>
      </c>
    </row>
    <row r="29261" spans="103:104" x14ac:dyDescent="0.3">
      <c r="CY29261" s="34" t="s">
        <v>30187</v>
      </c>
      <c r="CZ29261" s="35">
        <v>0.66281397330000003</v>
      </c>
    </row>
    <row r="29262" spans="103:104" x14ac:dyDescent="0.3">
      <c r="CY29262" s="34" t="s">
        <v>30188</v>
      </c>
      <c r="CZ29262" s="35">
        <v>0.66499909329999995</v>
      </c>
    </row>
    <row r="29263" spans="103:104" x14ac:dyDescent="0.3">
      <c r="CY29263" s="34" t="s">
        <v>30189</v>
      </c>
      <c r="CZ29263" s="35">
        <v>0.67483213350000015</v>
      </c>
    </row>
    <row r="29264" spans="103:104" x14ac:dyDescent="0.3">
      <c r="CY29264" s="34" t="s">
        <v>30190</v>
      </c>
      <c r="CZ29264" s="35">
        <v>0.90185893324999999</v>
      </c>
    </row>
    <row r="29265" spans="103:104" x14ac:dyDescent="0.3">
      <c r="CY29265" s="34" t="s">
        <v>30191</v>
      </c>
      <c r="CZ29265" s="35">
        <v>0.90185893324999999</v>
      </c>
    </row>
    <row r="29266" spans="103:104" x14ac:dyDescent="0.3">
      <c r="CY29266" s="34" t="s">
        <v>30192</v>
      </c>
      <c r="CZ29266" s="35">
        <v>0.59507691325000001</v>
      </c>
    </row>
    <row r="29267" spans="103:104" x14ac:dyDescent="0.3">
      <c r="CY29267" s="34" t="s">
        <v>30193</v>
      </c>
      <c r="CZ29267" s="35">
        <v>0.90185893324999999</v>
      </c>
    </row>
    <row r="29268" spans="103:104" x14ac:dyDescent="0.3">
      <c r="CY29268" s="34" t="s">
        <v>30194</v>
      </c>
      <c r="CZ29268" s="35">
        <v>0.90185893324999999</v>
      </c>
    </row>
    <row r="29269" spans="103:104" x14ac:dyDescent="0.3">
      <c r="CY29269" s="34" t="s">
        <v>30195</v>
      </c>
      <c r="CZ29269" s="35">
        <v>0.90531877324999999</v>
      </c>
    </row>
    <row r="29270" spans="103:104" x14ac:dyDescent="0.3">
      <c r="CY29270" s="34" t="s">
        <v>30196</v>
      </c>
      <c r="CZ29270" s="35">
        <v>0.87900533325000008</v>
      </c>
    </row>
    <row r="29271" spans="103:104" x14ac:dyDescent="0.3">
      <c r="CY29271" s="34" t="s">
        <v>30197</v>
      </c>
      <c r="CZ29271" s="35">
        <v>0.87900533325000008</v>
      </c>
    </row>
    <row r="29272" spans="103:104" x14ac:dyDescent="0.3">
      <c r="CY29272" s="34" t="s">
        <v>30198</v>
      </c>
      <c r="CZ29272" s="35">
        <v>0.90185893324999999</v>
      </c>
    </row>
    <row r="29273" spans="103:104" x14ac:dyDescent="0.3">
      <c r="CY29273" s="34" t="s">
        <v>30199</v>
      </c>
      <c r="CZ29273" s="35">
        <v>0.90185893324999999</v>
      </c>
    </row>
    <row r="29274" spans="103:104" x14ac:dyDescent="0.3">
      <c r="CY29274" s="34" t="s">
        <v>30200</v>
      </c>
      <c r="CZ29274" s="35">
        <v>0.65079581325000002</v>
      </c>
    </row>
    <row r="29275" spans="103:104" x14ac:dyDescent="0.3">
      <c r="CY29275" s="34" t="s">
        <v>30201</v>
      </c>
      <c r="CZ29275" s="35">
        <v>0.6989516132500001</v>
      </c>
    </row>
    <row r="29276" spans="103:104" x14ac:dyDescent="0.3">
      <c r="CY29276" s="34" t="s">
        <v>30202</v>
      </c>
      <c r="CZ29276" s="35">
        <v>0.9491404</v>
      </c>
    </row>
    <row r="29277" spans="103:104" x14ac:dyDescent="0.3">
      <c r="CY29277" s="34" t="s">
        <v>30203</v>
      </c>
      <c r="CZ29277" s="35">
        <v>0.94222373324999997</v>
      </c>
    </row>
    <row r="29278" spans="103:104" x14ac:dyDescent="0.3">
      <c r="CY29278" s="34" t="s">
        <v>30204</v>
      </c>
      <c r="CZ29278" s="35">
        <v>0.94222373324999997</v>
      </c>
    </row>
    <row r="29279" spans="103:104" x14ac:dyDescent="0.3">
      <c r="CY29279" s="34" t="s">
        <v>30205</v>
      </c>
      <c r="CZ29279" s="35">
        <v>0.94222373324999997</v>
      </c>
    </row>
    <row r="29280" spans="103:104" x14ac:dyDescent="0.3">
      <c r="CY29280" s="34" t="s">
        <v>30206</v>
      </c>
      <c r="CZ29280" s="35">
        <v>0.94222373324999997</v>
      </c>
    </row>
    <row r="29281" spans="103:104" x14ac:dyDescent="0.3">
      <c r="CY29281" s="34" t="s">
        <v>30207</v>
      </c>
      <c r="CZ29281" s="35">
        <v>0.92394933325000006</v>
      </c>
    </row>
    <row r="29282" spans="103:104" x14ac:dyDescent="0.3">
      <c r="CY29282" s="34" t="s">
        <v>30208</v>
      </c>
      <c r="CZ29282" s="35">
        <v>0.92394933325000006</v>
      </c>
    </row>
    <row r="29283" spans="103:104" x14ac:dyDescent="0.3">
      <c r="CY29283" s="34" t="s">
        <v>30209</v>
      </c>
      <c r="CZ29283" s="35">
        <v>8.2906367100000003E-2</v>
      </c>
    </row>
    <row r="29284" spans="103:104" x14ac:dyDescent="0.3">
      <c r="CY29284" s="34" t="s">
        <v>30210</v>
      </c>
      <c r="CZ29284" s="35">
        <v>1.1165000000000001E-3</v>
      </c>
    </row>
    <row r="29285" spans="103:104" x14ac:dyDescent="0.3">
      <c r="CY29285" s="34" t="s">
        <v>30211</v>
      </c>
      <c r="CZ29285" s="35">
        <v>1.2386236000000001E-3</v>
      </c>
    </row>
    <row r="29286" spans="103:104" x14ac:dyDescent="0.3">
      <c r="CY29286" s="34" t="s">
        <v>30212</v>
      </c>
      <c r="CZ29286" s="35">
        <v>0.213662934</v>
      </c>
    </row>
    <row r="29287" spans="103:104" x14ac:dyDescent="0.3">
      <c r="CY29287" s="34" t="s">
        <v>30213</v>
      </c>
      <c r="CZ29287" s="35">
        <v>1.3152031200000001E-2</v>
      </c>
    </row>
    <row r="29288" spans="103:104" x14ac:dyDescent="0.3">
      <c r="CY29288" s="34" t="s">
        <v>30214</v>
      </c>
      <c r="CZ29288" s="35">
        <v>0.28815365999999998</v>
      </c>
    </row>
    <row r="29289" spans="103:104" x14ac:dyDescent="0.3">
      <c r="CY29289" s="34" t="s">
        <v>30215</v>
      </c>
      <c r="CZ29289" s="35">
        <v>4.744581333333333E-2</v>
      </c>
    </row>
    <row r="29290" spans="103:104" x14ac:dyDescent="0.3">
      <c r="CY29290" s="34" t="s">
        <v>30216</v>
      </c>
      <c r="CZ29290" s="35">
        <v>1.3071473200000001E-3</v>
      </c>
    </row>
    <row r="29291" spans="103:104" x14ac:dyDescent="0.3">
      <c r="CY29291" s="34" t="s">
        <v>30217</v>
      </c>
      <c r="CZ29291" s="35">
        <v>1.6792981442857142E-2</v>
      </c>
    </row>
    <row r="29292" spans="103:104" x14ac:dyDescent="0.3">
      <c r="CY29292" s="34" t="s">
        <v>30218</v>
      </c>
      <c r="CZ29292" s="35">
        <v>2.9891625999999998E-3</v>
      </c>
    </row>
    <row r="29293" spans="103:104" x14ac:dyDescent="0.3">
      <c r="CY29293" s="34" t="s">
        <v>30219</v>
      </c>
      <c r="CZ29293" s="35">
        <v>4.8920423999999994E-3</v>
      </c>
    </row>
    <row r="29294" spans="103:104" x14ac:dyDescent="0.3">
      <c r="CY29294" s="34" t="s">
        <v>30220</v>
      </c>
      <c r="CZ29294" s="35">
        <v>6.9501850746268661E-4</v>
      </c>
    </row>
    <row r="29295" spans="103:104" x14ac:dyDescent="0.3">
      <c r="CY29295" s="34" t="s">
        <v>30221</v>
      </c>
      <c r="CZ29295" s="35">
        <v>4.814211666666666E-3</v>
      </c>
    </row>
    <row r="29296" spans="103:104" x14ac:dyDescent="0.3">
      <c r="CY29296" s="34" t="s">
        <v>30222</v>
      </c>
      <c r="CZ29296" s="35">
        <v>7.6612809999999996E-4</v>
      </c>
    </row>
    <row r="29297" spans="103:104" x14ac:dyDescent="0.3">
      <c r="CY29297" s="34" t="s">
        <v>30223</v>
      </c>
      <c r="CZ29297" s="35">
        <v>6.3404587999999996E-3</v>
      </c>
    </row>
    <row r="29298" spans="103:104" x14ac:dyDescent="0.3">
      <c r="CY29298" s="34" t="s">
        <v>30224</v>
      </c>
      <c r="CZ29298" s="35">
        <v>4.7786852363636357E-3</v>
      </c>
    </row>
    <row r="29299" spans="103:104" x14ac:dyDescent="0.3">
      <c r="CY29299" s="34" t="s">
        <v>30225</v>
      </c>
      <c r="CZ29299" s="35">
        <v>0.112589222</v>
      </c>
    </row>
    <row r="29300" spans="103:104" x14ac:dyDescent="0.3">
      <c r="CY29300" s="34" t="s">
        <v>30226</v>
      </c>
      <c r="CZ29300" s="35">
        <v>5.2589500000000001E-3</v>
      </c>
    </row>
    <row r="29301" spans="103:104" x14ac:dyDescent="0.3">
      <c r="CY29301" s="34" t="s">
        <v>30227</v>
      </c>
      <c r="CZ29301" s="35">
        <v>5.2589500000000001E-3</v>
      </c>
    </row>
    <row r="29302" spans="103:104" x14ac:dyDescent="0.3">
      <c r="CY29302" s="34" t="s">
        <v>30228</v>
      </c>
      <c r="CZ29302" s="35">
        <v>3.1493234249999999E-3</v>
      </c>
    </row>
    <row r="29303" spans="103:104" x14ac:dyDescent="0.3">
      <c r="CY29303" s="34" t="s">
        <v>30229</v>
      </c>
      <c r="CZ29303" s="35">
        <v>2.9409412063157894E-3</v>
      </c>
    </row>
    <row r="29304" spans="103:104" x14ac:dyDescent="0.3">
      <c r="CY29304" s="34" t="s">
        <v>30230</v>
      </c>
      <c r="CZ29304" s="35">
        <v>8.7458706251968502E-3</v>
      </c>
    </row>
    <row r="29305" spans="103:104" x14ac:dyDescent="0.3">
      <c r="CY29305" s="34" t="s">
        <v>30231</v>
      </c>
      <c r="CZ29305" s="35">
        <v>3.4302291E-3</v>
      </c>
    </row>
    <row r="29306" spans="103:104" x14ac:dyDescent="0.3">
      <c r="CY29306" s="34" t="s">
        <v>30232</v>
      </c>
      <c r="CZ29306" s="35">
        <v>1.1425274626229508E-2</v>
      </c>
    </row>
    <row r="29307" spans="103:104" x14ac:dyDescent="0.3">
      <c r="CY29307" s="34" t="s">
        <v>30233</v>
      </c>
      <c r="CZ29307" s="35">
        <v>1.5300800000000003E-3</v>
      </c>
    </row>
    <row r="29308" spans="103:104" x14ac:dyDescent="0.3">
      <c r="CY29308" s="34" t="s">
        <v>30234</v>
      </c>
      <c r="CZ29308" s="35">
        <v>5.0416053333333335E-2</v>
      </c>
    </row>
    <row r="29309" spans="103:104" x14ac:dyDescent="0.3">
      <c r="CY29309" s="34" t="s">
        <v>30235</v>
      </c>
      <c r="CZ29309" s="35">
        <v>4.9611559999999996E-3</v>
      </c>
    </row>
    <row r="29310" spans="103:104" x14ac:dyDescent="0.3">
      <c r="CY29310" s="34" t="s">
        <v>30236</v>
      </c>
      <c r="CZ29310" s="35">
        <v>4.1970873599999998E-3</v>
      </c>
    </row>
    <row r="29311" spans="103:104" x14ac:dyDescent="0.3">
      <c r="CY29311" s="34" t="s">
        <v>30237</v>
      </c>
      <c r="CZ29311" s="35">
        <v>7.6160020000000004E-4</v>
      </c>
    </row>
    <row r="29312" spans="103:104" x14ac:dyDescent="0.3">
      <c r="CY29312" s="34" t="s">
        <v>30238</v>
      </c>
      <c r="CZ29312" s="35">
        <v>1.6405119999999998E-3</v>
      </c>
    </row>
    <row r="29313" spans="103:104" x14ac:dyDescent="0.3">
      <c r="CY29313" s="34" t="s">
        <v>30239</v>
      </c>
      <c r="CZ29313" s="35">
        <v>4.3630849684210523E-3</v>
      </c>
    </row>
    <row r="29314" spans="103:104" x14ac:dyDescent="0.3">
      <c r="CY29314" s="34" t="s">
        <v>30240</v>
      </c>
      <c r="CZ29314" s="35">
        <v>5.6817964625850339E-3</v>
      </c>
    </row>
    <row r="29315" spans="103:104" x14ac:dyDescent="0.3">
      <c r="CY29315" s="34" t="s">
        <v>30241</v>
      </c>
      <c r="CZ29315" s="35">
        <v>1.1215185777777777E-2</v>
      </c>
    </row>
    <row r="29316" spans="103:104" x14ac:dyDescent="0.3">
      <c r="CY29316" s="34" t="s">
        <v>30242</v>
      </c>
      <c r="CZ29316" s="35">
        <v>1.1894040778947372E-2</v>
      </c>
    </row>
    <row r="29317" spans="103:104" x14ac:dyDescent="0.3">
      <c r="CY29317" s="34" t="s">
        <v>30243</v>
      </c>
      <c r="CZ29317" s="35">
        <v>0.32061828499999995</v>
      </c>
    </row>
    <row r="29318" spans="103:104" x14ac:dyDescent="0.3">
      <c r="CY29318" s="34" t="s">
        <v>30244</v>
      </c>
      <c r="CZ29318" s="35">
        <v>0.33277665499999998</v>
      </c>
    </row>
    <row r="29319" spans="103:104" x14ac:dyDescent="0.3">
      <c r="CY29319" s="34" t="s">
        <v>30245</v>
      </c>
      <c r="CZ29319" s="35">
        <v>0.41884620499999997</v>
      </c>
    </row>
    <row r="29320" spans="103:104" x14ac:dyDescent="0.3">
      <c r="CY29320" s="34" t="s">
        <v>30246</v>
      </c>
      <c r="CZ29320" s="35">
        <v>0.50628212000000006</v>
      </c>
    </row>
    <row r="29321" spans="103:104" x14ac:dyDescent="0.3">
      <c r="CY29321" s="34" t="s">
        <v>30247</v>
      </c>
      <c r="CZ29321" s="35">
        <v>0.50628211999999995</v>
      </c>
    </row>
    <row r="29322" spans="103:104" x14ac:dyDescent="0.3">
      <c r="CY29322" s="34" t="s">
        <v>30248</v>
      </c>
      <c r="CZ29322" s="35">
        <v>0.65626243999999989</v>
      </c>
    </row>
    <row r="29323" spans="103:104" x14ac:dyDescent="0.3">
      <c r="CY29323" s="34" t="s">
        <v>30249</v>
      </c>
      <c r="CZ29323" s="35">
        <v>0.55172717000000016</v>
      </c>
    </row>
    <row r="29324" spans="103:104" x14ac:dyDescent="0.3">
      <c r="CY29324" s="34" t="s">
        <v>30250</v>
      </c>
      <c r="CZ29324" s="35">
        <v>0.55951774999999992</v>
      </c>
    </row>
    <row r="29325" spans="103:104" x14ac:dyDescent="0.3">
      <c r="CY29325" s="34" t="s">
        <v>30251</v>
      </c>
      <c r="CZ29325" s="35">
        <v>0.5357132</v>
      </c>
    </row>
    <row r="29326" spans="103:104" x14ac:dyDescent="0.3">
      <c r="CY29326" s="34" t="s">
        <v>30252</v>
      </c>
      <c r="CZ29326" s="35">
        <v>0.98111517200000009</v>
      </c>
    </row>
    <row r="29327" spans="103:104" x14ac:dyDescent="0.3">
      <c r="CY29327" s="34" t="s">
        <v>30253</v>
      </c>
      <c r="CZ29327" s="35">
        <v>0.42589165000000001</v>
      </c>
    </row>
    <row r="29328" spans="103:104" x14ac:dyDescent="0.3">
      <c r="CY29328" s="34" t="s">
        <v>30254</v>
      </c>
      <c r="CZ29328" s="35">
        <v>0.420648466</v>
      </c>
    </row>
    <row r="29329" spans="103:104" x14ac:dyDescent="0.3">
      <c r="CY29329" s="34" t="s">
        <v>30255</v>
      </c>
      <c r="CZ29329" s="35">
        <v>6.0003313999999995E-3</v>
      </c>
    </row>
    <row r="29330" spans="103:104" x14ac:dyDescent="0.3">
      <c r="CY29330" s="34" t="s">
        <v>30256</v>
      </c>
      <c r="CZ29330" s="35">
        <v>0.29613808000000003</v>
      </c>
    </row>
    <row r="29331" spans="103:104" x14ac:dyDescent="0.3">
      <c r="CY29331" s="34" t="s">
        <v>30257</v>
      </c>
      <c r="CZ29331" s="35">
        <v>0.27901967999999999</v>
      </c>
    </row>
    <row r="29332" spans="103:104" x14ac:dyDescent="0.3">
      <c r="CY29332" s="34" t="s">
        <v>30258</v>
      </c>
      <c r="CZ29332" s="35">
        <v>3.5353780000000001E-2</v>
      </c>
    </row>
    <row r="29333" spans="103:104" x14ac:dyDescent="0.3">
      <c r="CY29333" s="34" t="s">
        <v>30259</v>
      </c>
      <c r="CZ29333" s="35">
        <v>2.3186499999999995E-2</v>
      </c>
    </row>
    <row r="29334" spans="103:104" x14ac:dyDescent="0.3">
      <c r="CY29334" s="34" t="s">
        <v>30260</v>
      </c>
      <c r="CZ29334" s="35">
        <v>2.4163963199999999E-2</v>
      </c>
    </row>
    <row r="29335" spans="103:104" x14ac:dyDescent="0.3">
      <c r="CY29335" s="34" t="s">
        <v>30261</v>
      </c>
      <c r="CZ29335" s="35">
        <v>6.9293785999999996E-2</v>
      </c>
    </row>
    <row r="29336" spans="103:104" x14ac:dyDescent="0.3">
      <c r="CY29336" s="34" t="s">
        <v>30262</v>
      </c>
      <c r="CZ29336" s="35">
        <v>0.20252648000000001</v>
      </c>
    </row>
    <row r="29337" spans="103:104" x14ac:dyDescent="0.3">
      <c r="CY29337" s="34" t="s">
        <v>30263</v>
      </c>
      <c r="CZ29337" s="35">
        <v>0.17331955999999998</v>
      </c>
    </row>
    <row r="29338" spans="103:104" x14ac:dyDescent="0.3">
      <c r="CY29338" s="34" t="s">
        <v>30264</v>
      </c>
      <c r="CZ29338" s="35">
        <v>0.17832193600000001</v>
      </c>
    </row>
    <row r="29339" spans="103:104" x14ac:dyDescent="0.3">
      <c r="CY29339" s="34" t="s">
        <v>30265</v>
      </c>
      <c r="CZ29339" s="35">
        <v>9.2443125600000009E-2</v>
      </c>
    </row>
    <row r="29340" spans="103:104" x14ac:dyDescent="0.3">
      <c r="CY29340" s="34" t="s">
        <v>30266</v>
      </c>
      <c r="CZ29340" s="35">
        <v>0.26188044499999996</v>
      </c>
    </row>
    <row r="29341" spans="103:104" x14ac:dyDescent="0.3">
      <c r="CY29341" s="34" t="s">
        <v>30267</v>
      </c>
      <c r="CZ29341" s="35">
        <v>0.26291002000000002</v>
      </c>
    </row>
    <row r="29342" spans="103:104" x14ac:dyDescent="0.3">
      <c r="CY29342" s="34" t="s">
        <v>30268</v>
      </c>
      <c r="CZ29342" s="35">
        <v>0.23734315085714289</v>
      </c>
    </row>
    <row r="29343" spans="103:104" x14ac:dyDescent="0.3">
      <c r="CY29343" s="34" t="s">
        <v>30269</v>
      </c>
      <c r="CZ29343" s="35">
        <v>0.56060279999999996</v>
      </c>
    </row>
    <row r="29344" spans="103:104" x14ac:dyDescent="0.3">
      <c r="CY29344" s="34" t="s">
        <v>30270</v>
      </c>
      <c r="CZ29344" s="35">
        <v>0.52074900000000002</v>
      </c>
    </row>
    <row r="29345" spans="103:104" x14ac:dyDescent="0.3">
      <c r="CY29345" s="34" t="s">
        <v>30271</v>
      </c>
      <c r="CZ29345" s="35">
        <v>0.84032619999999991</v>
      </c>
    </row>
    <row r="29346" spans="103:104" x14ac:dyDescent="0.3">
      <c r="CY29346" s="34" t="s">
        <v>30272</v>
      </c>
      <c r="CZ29346" s="35">
        <v>0.97253495000000001</v>
      </c>
    </row>
    <row r="29347" spans="103:104" x14ac:dyDescent="0.3">
      <c r="CY29347" s="34" t="s">
        <v>30273</v>
      </c>
      <c r="CZ29347" s="35">
        <v>0.63827874669999995</v>
      </c>
    </row>
    <row r="29348" spans="103:104" x14ac:dyDescent="0.3">
      <c r="CY29348" s="34" t="s">
        <v>30274</v>
      </c>
      <c r="CZ29348" s="35">
        <v>0.42082882000000005</v>
      </c>
    </row>
    <row r="29349" spans="103:104" x14ac:dyDescent="0.3">
      <c r="CY29349" s="34" t="s">
        <v>30275</v>
      </c>
      <c r="CZ29349" s="35">
        <v>0.5117599450000001</v>
      </c>
    </row>
    <row r="29350" spans="103:104" x14ac:dyDescent="0.3">
      <c r="CY29350" s="34" t="s">
        <v>30276</v>
      </c>
      <c r="CZ29350" s="35">
        <v>1.0676000000000001E-3</v>
      </c>
    </row>
    <row r="29351" spans="103:104" x14ac:dyDescent="0.3">
      <c r="CY29351" s="34" t="s">
        <v>30277</v>
      </c>
      <c r="CZ29351" s="35">
        <v>1.1411428571428571E-3</v>
      </c>
    </row>
    <row r="29352" spans="103:104" x14ac:dyDescent="0.3">
      <c r="CY29352" s="34" t="s">
        <v>30278</v>
      </c>
      <c r="CZ29352" s="35">
        <v>0.28321492074999999</v>
      </c>
    </row>
    <row r="29353" spans="103:104" x14ac:dyDescent="0.3">
      <c r="CY29353" s="34" t="s">
        <v>30279</v>
      </c>
      <c r="CZ29353" s="35">
        <v>0.29227442274999998</v>
      </c>
    </row>
    <row r="29354" spans="103:104" x14ac:dyDescent="0.3">
      <c r="CY29354" s="34" t="s">
        <v>30280</v>
      </c>
      <c r="CZ29354" s="35">
        <v>0.36378785274999997</v>
      </c>
    </row>
    <row r="29355" spans="103:104" x14ac:dyDescent="0.3">
      <c r="CY29355" s="34" t="s">
        <v>30281</v>
      </c>
      <c r="CZ29355" s="35">
        <v>0.37092589275000004</v>
      </c>
    </row>
    <row r="29356" spans="103:104" x14ac:dyDescent="0.3">
      <c r="CY29356" s="34" t="s">
        <v>30282</v>
      </c>
      <c r="CZ29356" s="35">
        <v>0.46903663074999991</v>
      </c>
    </row>
    <row r="29357" spans="103:104" x14ac:dyDescent="0.3">
      <c r="CY29357" s="34" t="s">
        <v>30283</v>
      </c>
      <c r="CZ29357" s="35">
        <v>0.46947356275000002</v>
      </c>
    </row>
    <row r="29358" spans="103:104" x14ac:dyDescent="0.3">
      <c r="CY29358" s="34" t="s">
        <v>30284</v>
      </c>
      <c r="CZ29358" s="35">
        <v>0.47777527074999998</v>
      </c>
    </row>
    <row r="29359" spans="103:104" x14ac:dyDescent="0.3">
      <c r="CY29359" s="34" t="s">
        <v>30285</v>
      </c>
      <c r="CZ29359" s="35">
        <v>0.48170765875000005</v>
      </c>
    </row>
    <row r="29360" spans="103:104" x14ac:dyDescent="0.3">
      <c r="CY29360" s="34" t="s">
        <v>30286</v>
      </c>
      <c r="CZ29360" s="35">
        <v>0.47821220274999998</v>
      </c>
    </row>
    <row r="29361" spans="103:104" x14ac:dyDescent="0.3">
      <c r="CY29361" s="34" t="s">
        <v>30287</v>
      </c>
      <c r="CZ29361" s="35">
        <v>0.28321492074999999</v>
      </c>
    </row>
    <row r="29362" spans="103:104" x14ac:dyDescent="0.3">
      <c r="CY29362" s="34" t="s">
        <v>30288</v>
      </c>
      <c r="CZ29362" s="35">
        <v>0.29227442274999998</v>
      </c>
    </row>
    <row r="29363" spans="103:104" x14ac:dyDescent="0.3">
      <c r="CY29363" s="34" t="s">
        <v>30289</v>
      </c>
      <c r="CZ29363" s="35">
        <v>0.36378785274999997</v>
      </c>
    </row>
    <row r="29364" spans="103:104" x14ac:dyDescent="0.3">
      <c r="CY29364" s="34" t="s">
        <v>30290</v>
      </c>
      <c r="CZ29364" s="35">
        <v>0.37092589275000004</v>
      </c>
    </row>
    <row r="29365" spans="103:104" x14ac:dyDescent="0.3">
      <c r="CY29365" s="34" t="s">
        <v>30291</v>
      </c>
      <c r="CZ29365" s="35">
        <v>0.38484507074999996</v>
      </c>
    </row>
    <row r="29366" spans="103:104" x14ac:dyDescent="0.3">
      <c r="CY29366" s="34" t="s">
        <v>30292</v>
      </c>
      <c r="CZ29366" s="35">
        <v>0.38520197274999995</v>
      </c>
    </row>
    <row r="29367" spans="103:104" x14ac:dyDescent="0.3">
      <c r="CY29367" s="34" t="s">
        <v>30293</v>
      </c>
      <c r="CZ29367" s="35">
        <v>0.39198311074999997</v>
      </c>
    </row>
    <row r="29368" spans="103:104" x14ac:dyDescent="0.3">
      <c r="CY29368" s="34" t="s">
        <v>30294</v>
      </c>
      <c r="CZ29368" s="35">
        <v>0.29211973999999996</v>
      </c>
    </row>
    <row r="29369" spans="103:104" x14ac:dyDescent="0.3">
      <c r="CY29369" s="34" t="s">
        <v>30295</v>
      </c>
      <c r="CZ29369" s="35">
        <v>0.47293499275000001</v>
      </c>
    </row>
    <row r="29370" spans="103:104" x14ac:dyDescent="0.3">
      <c r="CY29370" s="34" t="s">
        <v>30296</v>
      </c>
      <c r="CZ29370" s="35">
        <v>0.28321492074999999</v>
      </c>
    </row>
    <row r="29371" spans="103:104" x14ac:dyDescent="0.3">
      <c r="CY29371" s="34" t="s">
        <v>30297</v>
      </c>
      <c r="CZ29371" s="35">
        <v>0.29227442274999998</v>
      </c>
    </row>
    <row r="29372" spans="103:104" x14ac:dyDescent="0.3">
      <c r="CY29372" s="34" t="s">
        <v>30298</v>
      </c>
      <c r="CZ29372" s="35">
        <v>0.36378785274999997</v>
      </c>
    </row>
    <row r="29373" spans="103:104" x14ac:dyDescent="0.3">
      <c r="CY29373" s="34" t="s">
        <v>30299</v>
      </c>
      <c r="CZ29373" s="35">
        <v>0.37092589275000004</v>
      </c>
    </row>
    <row r="29374" spans="103:104" x14ac:dyDescent="0.3">
      <c r="CY29374" s="34" t="s">
        <v>30300</v>
      </c>
      <c r="CZ29374" s="35">
        <v>0.38484507074999996</v>
      </c>
    </row>
    <row r="29375" spans="103:104" x14ac:dyDescent="0.3">
      <c r="CY29375" s="34" t="s">
        <v>30301</v>
      </c>
      <c r="CZ29375" s="35">
        <v>0.46947356275000002</v>
      </c>
    </row>
    <row r="29376" spans="103:104" x14ac:dyDescent="0.3">
      <c r="CY29376" s="34" t="s">
        <v>30302</v>
      </c>
      <c r="CZ29376" s="35">
        <v>0.38520197274999995</v>
      </c>
    </row>
    <row r="29377" spans="103:104" x14ac:dyDescent="0.3">
      <c r="CY29377" s="34" t="s">
        <v>30303</v>
      </c>
      <c r="CZ29377" s="35">
        <v>0.47777527074999998</v>
      </c>
    </row>
    <row r="29378" spans="103:104" x14ac:dyDescent="0.3">
      <c r="CY29378" s="34" t="s">
        <v>30304</v>
      </c>
      <c r="CZ29378" s="35">
        <v>0.28119191075</v>
      </c>
    </row>
    <row r="29379" spans="103:104" x14ac:dyDescent="0.3">
      <c r="CY29379" s="34" t="s">
        <v>30305</v>
      </c>
      <c r="CZ29379" s="35">
        <v>0.47777527074999998</v>
      </c>
    </row>
    <row r="29380" spans="103:104" x14ac:dyDescent="0.3">
      <c r="CY29380" s="34" t="s">
        <v>30306</v>
      </c>
      <c r="CZ29380" s="35">
        <v>0.47777527074999998</v>
      </c>
    </row>
    <row r="29381" spans="103:104" x14ac:dyDescent="0.3">
      <c r="CY29381" s="34" t="s">
        <v>30307</v>
      </c>
      <c r="CZ29381" s="35">
        <v>0.15003106667500002</v>
      </c>
    </row>
    <row r="29382" spans="103:104" x14ac:dyDescent="0.3">
      <c r="CY29382" s="34" t="s">
        <v>30308</v>
      </c>
      <c r="CZ29382" s="35">
        <v>0.5437326333000001</v>
      </c>
    </row>
    <row r="29383" spans="103:104" x14ac:dyDescent="0.3">
      <c r="CY29383" s="34" t="s">
        <v>30309</v>
      </c>
      <c r="CZ29383" s="35">
        <v>0.18602962660000003</v>
      </c>
    </row>
    <row r="29384" spans="103:104" x14ac:dyDescent="0.3">
      <c r="CY29384" s="34" t="s">
        <v>30310</v>
      </c>
      <c r="CZ29384" s="35">
        <v>0.46586519999999998</v>
      </c>
    </row>
    <row r="29385" spans="103:104" x14ac:dyDescent="0.3">
      <c r="CY29385" s="34" t="s">
        <v>30311</v>
      </c>
      <c r="CZ29385" s="35">
        <v>0.43966788000000001</v>
      </c>
    </row>
    <row r="29386" spans="103:104" x14ac:dyDescent="0.3">
      <c r="CY29386" s="34" t="s">
        <v>30312</v>
      </c>
      <c r="CZ29386" s="35">
        <v>0.8999815699999999</v>
      </c>
    </row>
    <row r="29387" spans="103:104" x14ac:dyDescent="0.3">
      <c r="CY29387" s="34" t="s">
        <v>30313</v>
      </c>
      <c r="CZ29387" s="35">
        <v>0.32503202660000002</v>
      </c>
    </row>
    <row r="29388" spans="103:104" x14ac:dyDescent="0.3">
      <c r="CY29388" s="34" t="s">
        <v>30314</v>
      </c>
      <c r="CZ29388" s="35">
        <v>7.7499156526315796E-2</v>
      </c>
    </row>
    <row r="29389" spans="103:104" x14ac:dyDescent="0.3">
      <c r="CY29389" s="34" t="s">
        <v>30315</v>
      </c>
      <c r="CZ29389" s="35">
        <v>1.2890526315789474E-2</v>
      </c>
    </row>
    <row r="29390" spans="103:104" x14ac:dyDescent="0.3">
      <c r="CY29390" s="34" t="s">
        <v>30316</v>
      </c>
      <c r="CZ29390" s="35">
        <v>3.5352942222222218E-2</v>
      </c>
    </row>
    <row r="29391" spans="103:104" x14ac:dyDescent="0.3">
      <c r="CY29391" s="34" t="s">
        <v>30317</v>
      </c>
      <c r="CZ29391" s="35">
        <v>6.4479284000000005E-4</v>
      </c>
    </row>
    <row r="29392" spans="103:104" x14ac:dyDescent="0.3">
      <c r="CY29392" s="34" t="s">
        <v>30318</v>
      </c>
      <c r="CZ29392" s="35">
        <v>5.7309271333333335E-2</v>
      </c>
    </row>
    <row r="29393" spans="103:104" x14ac:dyDescent="0.3">
      <c r="CY29393" s="34" t="s">
        <v>30319</v>
      </c>
      <c r="CZ29393" s="35">
        <v>6.1210716000000005E-2</v>
      </c>
    </row>
    <row r="29394" spans="103:104" x14ac:dyDescent="0.3">
      <c r="CY29394" s="34" t="s">
        <v>30320</v>
      </c>
      <c r="CZ29394" s="35">
        <v>5.6384535999999999E-2</v>
      </c>
    </row>
    <row r="29395" spans="103:104" x14ac:dyDescent="0.3">
      <c r="CY29395" s="34" t="s">
        <v>30321</v>
      </c>
      <c r="CZ29395" s="35">
        <v>0.16520688000000003</v>
      </c>
    </row>
    <row r="29396" spans="103:104" x14ac:dyDescent="0.3">
      <c r="CY29396" s="34" t="s">
        <v>30322</v>
      </c>
      <c r="CZ29396" s="35">
        <v>0.18000572000000001</v>
      </c>
    </row>
    <row r="29397" spans="103:104" x14ac:dyDescent="0.3">
      <c r="CY29397" s="34" t="s">
        <v>30323</v>
      </c>
      <c r="CZ29397" s="35">
        <v>0.66880000000000006</v>
      </c>
    </row>
    <row r="29398" spans="103:104" x14ac:dyDescent="0.3">
      <c r="CY29398" s="34" t="s">
        <v>30324</v>
      </c>
      <c r="CZ29398" s="35">
        <v>0.37959999999999999</v>
      </c>
    </row>
    <row r="29399" spans="103:104" x14ac:dyDescent="0.3">
      <c r="CY29399" s="34" t="s">
        <v>30325</v>
      </c>
      <c r="CZ29399" s="35">
        <v>5.3995302000000002E-2</v>
      </c>
    </row>
    <row r="29400" spans="103:104" x14ac:dyDescent="0.3">
      <c r="CY29400" s="34" t="s">
        <v>30326</v>
      </c>
      <c r="CZ29400" s="35">
        <v>0.10741190800000003</v>
      </c>
    </row>
    <row r="29401" spans="103:104" x14ac:dyDescent="0.3">
      <c r="CY29401" s="34" t="s">
        <v>30327</v>
      </c>
      <c r="CZ29401" s="35">
        <v>3.9870662575759996E-2</v>
      </c>
    </row>
    <row r="29402" spans="103:104" x14ac:dyDescent="0.3">
      <c r="CY29402" s="34" t="s">
        <v>30328</v>
      </c>
      <c r="CZ29402" s="35">
        <v>5.2651625000000001E-3</v>
      </c>
    </row>
    <row r="29403" spans="103:104" x14ac:dyDescent="0.3">
      <c r="CY29403" s="34" t="s">
        <v>30329</v>
      </c>
      <c r="CZ29403" s="35">
        <v>1.0931986000000001E-3</v>
      </c>
    </row>
    <row r="29404" spans="103:104" x14ac:dyDescent="0.3">
      <c r="CY29404" s="34" t="s">
        <v>30330</v>
      </c>
      <c r="CZ29404" s="35">
        <v>5.4473468148148144E-4</v>
      </c>
    </row>
    <row r="29405" spans="103:104" x14ac:dyDescent="0.3">
      <c r="CY29405" s="34" t="s">
        <v>30331</v>
      </c>
      <c r="CZ29405" s="35">
        <v>6.4076814814814816E-4</v>
      </c>
    </row>
    <row r="29406" spans="103:104" x14ac:dyDescent="0.3">
      <c r="CY29406" s="34" t="s">
        <v>30332</v>
      </c>
      <c r="CZ29406" s="35">
        <v>1.7234028799999999E-2</v>
      </c>
    </row>
    <row r="29407" spans="103:104" x14ac:dyDescent="0.3">
      <c r="CY29407" s="34" t="s">
        <v>30333</v>
      </c>
      <c r="CZ29407" s="35">
        <v>1.7474028799999999E-2</v>
      </c>
    </row>
    <row r="29408" spans="103:104" x14ac:dyDescent="0.3">
      <c r="CY29408" s="34" t="s">
        <v>30334</v>
      </c>
      <c r="CZ29408" s="35">
        <v>1.3025699999999999E-2</v>
      </c>
    </row>
    <row r="29409" spans="103:104" x14ac:dyDescent="0.3">
      <c r="CY29409" s="34" t="s">
        <v>30335</v>
      </c>
      <c r="CZ29409" s="35">
        <v>6.0409519999999998E-4</v>
      </c>
    </row>
    <row r="29410" spans="103:104" x14ac:dyDescent="0.3">
      <c r="CY29410" s="34" t="s">
        <v>30336</v>
      </c>
      <c r="CZ29410" s="35">
        <v>3.8186399999999999E-3</v>
      </c>
    </row>
    <row r="29411" spans="103:104" x14ac:dyDescent="0.3">
      <c r="CY29411" s="34" t="s">
        <v>30337</v>
      </c>
      <c r="CZ29411" s="35">
        <v>2.5920399999999994E-3</v>
      </c>
    </row>
    <row r="29412" spans="103:104" x14ac:dyDescent="0.3">
      <c r="CY29412" s="34" t="s">
        <v>30338</v>
      </c>
      <c r="CZ29412" s="35">
        <v>6.2270336842105275E-3</v>
      </c>
    </row>
    <row r="29413" spans="103:104" x14ac:dyDescent="0.3">
      <c r="CY29413" s="34" t="s">
        <v>30339</v>
      </c>
      <c r="CZ29413" s="35">
        <v>2.6836384444444444E-2</v>
      </c>
    </row>
    <row r="29414" spans="103:104" x14ac:dyDescent="0.3">
      <c r="CY29414" s="34" t="s">
        <v>30340</v>
      </c>
      <c r="CZ29414" s="35">
        <v>4.6879999999999998E-2</v>
      </c>
    </row>
    <row r="29415" spans="103:104" x14ac:dyDescent="0.3">
      <c r="CY29415" s="34" t="s">
        <v>30341</v>
      </c>
      <c r="CZ29415" s="35">
        <v>9.8912613325000009E-2</v>
      </c>
    </row>
    <row r="29416" spans="103:104" x14ac:dyDescent="0.3">
      <c r="CY29416" s="34" t="s">
        <v>30342</v>
      </c>
      <c r="CZ29416" s="35">
        <v>1.03131E-2</v>
      </c>
    </row>
    <row r="29417" spans="103:104" x14ac:dyDescent="0.3">
      <c r="CY29417" s="34" t="s">
        <v>30343</v>
      </c>
      <c r="CZ29417" s="35">
        <v>0.45077597200000002</v>
      </c>
    </row>
    <row r="29418" spans="103:104" x14ac:dyDescent="0.3">
      <c r="CY29418" s="34" t="s">
        <v>30344</v>
      </c>
      <c r="CZ29418" s="35">
        <v>0.74257351400000016</v>
      </c>
    </row>
    <row r="29419" spans="103:104" x14ac:dyDescent="0.3">
      <c r="CY29419" s="34" t="s">
        <v>30345</v>
      </c>
      <c r="CZ29419" s="35">
        <v>1.0731818959999999</v>
      </c>
    </row>
    <row r="29420" spans="103:104" x14ac:dyDescent="0.3">
      <c r="CY29420" s="34" t="s">
        <v>30346</v>
      </c>
      <c r="CZ29420" s="35">
        <v>0.98417719400000003</v>
      </c>
    </row>
    <row r="29421" spans="103:104" x14ac:dyDescent="0.3">
      <c r="CY29421" s="34" t="s">
        <v>30347</v>
      </c>
      <c r="CZ29421" s="35">
        <v>1.06597538</v>
      </c>
    </row>
    <row r="29422" spans="103:104" x14ac:dyDescent="0.3">
      <c r="CY29422" s="34" t="s">
        <v>30348</v>
      </c>
      <c r="CZ29422" s="35">
        <v>1.31711588</v>
      </c>
    </row>
    <row r="29423" spans="103:104" x14ac:dyDescent="0.3">
      <c r="CY29423" s="34" t="s">
        <v>30349</v>
      </c>
      <c r="CZ29423" s="35">
        <v>2.1861584E-2</v>
      </c>
    </row>
    <row r="29424" spans="103:104" x14ac:dyDescent="0.3">
      <c r="CY29424" s="34" t="s">
        <v>30350</v>
      </c>
      <c r="CZ29424" s="35">
        <v>0.42628317999999998</v>
      </c>
    </row>
    <row r="29425" spans="103:104" x14ac:dyDescent="0.3">
      <c r="CY29425" s="34" t="s">
        <v>30351</v>
      </c>
      <c r="CZ29425" s="35">
        <v>9.1597399999999978E-3</v>
      </c>
    </row>
    <row r="29426" spans="103:104" x14ac:dyDescent="0.3">
      <c r="CY29426" s="34" t="s">
        <v>30352</v>
      </c>
      <c r="CZ29426" s="35">
        <v>2.7652915999999996E-2</v>
      </c>
    </row>
    <row r="29427" spans="103:104" x14ac:dyDescent="0.3">
      <c r="CY29427" s="34" t="s">
        <v>30353</v>
      </c>
      <c r="CZ29427" s="35">
        <v>1.3757640799999997E-3</v>
      </c>
    </row>
    <row r="29428" spans="103:104" x14ac:dyDescent="0.3">
      <c r="CY29428" s="34" t="s">
        <v>30354</v>
      </c>
      <c r="CZ29428" s="35">
        <v>5.2850003034482767E-3</v>
      </c>
    </row>
    <row r="29429" spans="103:104" x14ac:dyDescent="0.3">
      <c r="CY29429" s="34" t="s">
        <v>30355</v>
      </c>
      <c r="CZ29429" s="35">
        <v>3.8835171034482759E-3</v>
      </c>
    </row>
    <row r="29430" spans="103:104" x14ac:dyDescent="0.3">
      <c r="CY29430" s="34" t="s">
        <v>30356</v>
      </c>
      <c r="CZ29430" s="35">
        <v>4.629696303448276E-3</v>
      </c>
    </row>
    <row r="29431" spans="103:104" x14ac:dyDescent="0.3">
      <c r="CY29431" s="34" t="s">
        <v>30357</v>
      </c>
      <c r="CZ29431" s="35">
        <v>2.3580565434482758E-3</v>
      </c>
    </row>
    <row r="29432" spans="103:104" x14ac:dyDescent="0.3">
      <c r="CY29432" s="34" t="s">
        <v>30358</v>
      </c>
      <c r="CZ29432" s="35">
        <v>6.1876422068965512E-3</v>
      </c>
    </row>
    <row r="29433" spans="103:104" x14ac:dyDescent="0.3">
      <c r="CY29433" s="34" t="s">
        <v>30359</v>
      </c>
      <c r="CZ29433" s="35">
        <v>1.55968974E-3</v>
      </c>
    </row>
    <row r="29434" spans="103:104" x14ac:dyDescent="0.3">
      <c r="CY29434" s="34" t="s">
        <v>30360</v>
      </c>
      <c r="CZ29434" s="35">
        <v>2.4019399999999995E-3</v>
      </c>
    </row>
    <row r="29435" spans="103:104" x14ac:dyDescent="0.3">
      <c r="CY29435" s="34" t="s">
        <v>30361</v>
      </c>
      <c r="CZ29435" s="35">
        <v>6.9331233333333325E-3</v>
      </c>
    </row>
    <row r="29436" spans="103:104" x14ac:dyDescent="0.3">
      <c r="CY29436" s="34" t="s">
        <v>30362</v>
      </c>
      <c r="CZ29436" s="35">
        <v>4.0288333333333336E-2</v>
      </c>
    </row>
    <row r="29437" spans="103:104" x14ac:dyDescent="0.3">
      <c r="CY29437" s="34" t="s">
        <v>30363</v>
      </c>
      <c r="CZ29437" s="35">
        <v>3.9341500000000008E-3</v>
      </c>
    </row>
    <row r="29438" spans="103:104" x14ac:dyDescent="0.3">
      <c r="CY29438" s="34" t="s">
        <v>30364</v>
      </c>
      <c r="CZ29438" s="35">
        <v>0.10947106999999999</v>
      </c>
    </row>
    <row r="29439" spans="103:104" x14ac:dyDescent="0.3">
      <c r="CY29439" s="34" t="s">
        <v>30365</v>
      </c>
      <c r="CZ29439" s="35">
        <v>8.5641199999999997E-3</v>
      </c>
    </row>
    <row r="29440" spans="103:104" x14ac:dyDescent="0.3">
      <c r="CY29440" s="34" t="s">
        <v>30366</v>
      </c>
      <c r="CZ29440" s="35">
        <v>0.10680186999999999</v>
      </c>
    </row>
    <row r="29441" spans="103:104" x14ac:dyDescent="0.3">
      <c r="CY29441" s="34" t="s">
        <v>30367</v>
      </c>
      <c r="CZ29441" s="35">
        <v>0.11223422000000001</v>
      </c>
    </row>
    <row r="29442" spans="103:104" x14ac:dyDescent="0.3">
      <c r="CY29442" s="34" t="s">
        <v>30368</v>
      </c>
      <c r="CZ29442" s="35">
        <v>1.2541609320000001E-2</v>
      </c>
    </row>
    <row r="29443" spans="103:104" x14ac:dyDescent="0.3">
      <c r="CY29443" s="34" t="s">
        <v>30369</v>
      </c>
      <c r="CZ29443" s="35">
        <v>0.36841127999999995</v>
      </c>
    </row>
    <row r="29444" spans="103:104" x14ac:dyDescent="0.3">
      <c r="CY29444" s="34" t="s">
        <v>30370</v>
      </c>
      <c r="CZ29444" s="35">
        <v>0.37690847999999999</v>
      </c>
    </row>
    <row r="29445" spans="103:104" x14ac:dyDescent="0.3">
      <c r="CY29445" s="34" t="s">
        <v>30371</v>
      </c>
      <c r="CZ29445" s="35">
        <v>2.2228451999999994E-3</v>
      </c>
    </row>
    <row r="29446" spans="103:104" x14ac:dyDescent="0.3">
      <c r="CY29446" s="34" t="s">
        <v>30372</v>
      </c>
      <c r="CZ29446" s="35">
        <v>1.6518572000000002E-2</v>
      </c>
    </row>
    <row r="29447" spans="103:104" x14ac:dyDescent="0.3">
      <c r="CY29447" s="34" t="s">
        <v>30373</v>
      </c>
      <c r="CZ29447" s="35">
        <v>5.2346540000000009E-3</v>
      </c>
    </row>
    <row r="29448" spans="103:104" x14ac:dyDescent="0.3">
      <c r="CY29448" s="34" t="s">
        <v>30374</v>
      </c>
      <c r="CZ29448" s="35">
        <v>5.1010564E-4</v>
      </c>
    </row>
    <row r="29449" spans="103:104" x14ac:dyDescent="0.3">
      <c r="CY29449" s="34" t="s">
        <v>30375</v>
      </c>
      <c r="CZ29449" s="35">
        <v>4.3497954000000002E-3</v>
      </c>
    </row>
    <row r="29450" spans="103:104" x14ac:dyDescent="0.3">
      <c r="CY29450" s="34" t="s">
        <v>30376</v>
      </c>
      <c r="CZ29450" s="35">
        <v>7.0777972666666664E-3</v>
      </c>
    </row>
    <row r="29451" spans="103:104" x14ac:dyDescent="0.3">
      <c r="CY29451" s="34" t="s">
        <v>30377</v>
      </c>
      <c r="CZ29451" s="35">
        <v>2.9768953999999997E-2</v>
      </c>
    </row>
    <row r="29452" spans="103:104" x14ac:dyDescent="0.3">
      <c r="CY29452" s="34" t="s">
        <v>30378</v>
      </c>
      <c r="CZ29452" s="35">
        <v>2.8702682000000004E-2</v>
      </c>
    </row>
    <row r="29453" spans="103:104" x14ac:dyDescent="0.3">
      <c r="CY29453" s="34" t="s">
        <v>30379</v>
      </c>
      <c r="CZ29453" s="35">
        <v>3.9520319999999996E-4</v>
      </c>
    </row>
    <row r="29454" spans="103:104" x14ac:dyDescent="0.3">
      <c r="CY29454" s="34" t="s">
        <v>30380</v>
      </c>
      <c r="CZ29454" s="35">
        <v>9.599959999999999E-2</v>
      </c>
    </row>
    <row r="29455" spans="103:104" x14ac:dyDescent="0.3">
      <c r="CY29455" s="34" t="s">
        <v>30381</v>
      </c>
      <c r="CZ29455" s="35">
        <v>3.4756784000000006E-2</v>
      </c>
    </row>
    <row r="29456" spans="103:104" x14ac:dyDescent="0.3">
      <c r="CY29456" s="34" t="s">
        <v>30382</v>
      </c>
      <c r="CZ29456" s="35">
        <v>4.7858480000000009E-2</v>
      </c>
    </row>
    <row r="29457" spans="103:104" x14ac:dyDescent="0.3">
      <c r="CY29457" s="34" t="s">
        <v>30383</v>
      </c>
      <c r="CZ29457" s="35">
        <v>3.6158836000000005E-3</v>
      </c>
    </row>
    <row r="29458" spans="103:104" x14ac:dyDescent="0.3">
      <c r="CY29458" s="34" t="s">
        <v>30384</v>
      </c>
      <c r="CZ29458" s="35">
        <v>2.3607159999999999E-2</v>
      </c>
    </row>
    <row r="29459" spans="103:104" x14ac:dyDescent="0.3">
      <c r="CY29459" s="34" t="s">
        <v>30385</v>
      </c>
      <c r="CZ29459" s="35">
        <v>1.6280941960784316E-3</v>
      </c>
    </row>
    <row r="29460" spans="103:104" x14ac:dyDescent="0.3">
      <c r="CY29460" s="34" t="s">
        <v>30386</v>
      </c>
      <c r="CZ29460" s="35">
        <v>1.8651848000000003E-3</v>
      </c>
    </row>
    <row r="29461" spans="103:104" x14ac:dyDescent="0.3">
      <c r="CY29461" s="34" t="s">
        <v>30387</v>
      </c>
      <c r="CZ29461" s="35">
        <v>1.4974608800000001E-2</v>
      </c>
    </row>
    <row r="29462" spans="103:104" x14ac:dyDescent="0.3">
      <c r="CY29462" s="34" t="s">
        <v>30388</v>
      </c>
      <c r="CZ29462" s="35">
        <v>1.3603742E-2</v>
      </c>
    </row>
    <row r="29463" spans="103:104" x14ac:dyDescent="0.3">
      <c r="CY29463" s="34" t="s">
        <v>30389</v>
      </c>
      <c r="CZ29463" s="35">
        <v>1.53104672E-2</v>
      </c>
    </row>
    <row r="29464" spans="103:104" x14ac:dyDescent="0.3">
      <c r="CY29464" s="34" t="s">
        <v>30390</v>
      </c>
      <c r="CZ29464" s="35">
        <v>1.3767099000000001E-2</v>
      </c>
    </row>
    <row r="29465" spans="103:104" x14ac:dyDescent="0.3">
      <c r="CY29465" s="34" t="s">
        <v>30391</v>
      </c>
      <c r="CZ29465" s="35">
        <v>1.42014842E-2</v>
      </c>
    </row>
    <row r="29466" spans="103:104" x14ac:dyDescent="0.3">
      <c r="CY29466" s="34" t="s">
        <v>30392</v>
      </c>
      <c r="CZ29466" s="35">
        <v>3.834256E-4</v>
      </c>
    </row>
    <row r="29467" spans="103:104" x14ac:dyDescent="0.3">
      <c r="CY29467" s="34" t="s">
        <v>30393</v>
      </c>
      <c r="CZ29467" s="35">
        <v>2.4863511999999996E-3</v>
      </c>
    </row>
    <row r="29468" spans="103:104" x14ac:dyDescent="0.3">
      <c r="CY29468" s="34" t="s">
        <v>30394</v>
      </c>
      <c r="CZ29468" s="35">
        <v>1.3055844736842107E-2</v>
      </c>
    </row>
    <row r="29469" spans="103:104" x14ac:dyDescent="0.3">
      <c r="CY29469" s="34" t="s">
        <v>30395</v>
      </c>
      <c r="CZ29469" s="35">
        <v>3.5451712000000002E-3</v>
      </c>
    </row>
    <row r="29470" spans="103:104" x14ac:dyDescent="0.3">
      <c r="CY29470" s="34" t="s">
        <v>30396</v>
      </c>
      <c r="CZ29470" s="35">
        <v>4.2332000000000003E-4</v>
      </c>
    </row>
    <row r="29471" spans="103:104" x14ac:dyDescent="0.3">
      <c r="CY29471" s="34" t="s">
        <v>30397</v>
      </c>
      <c r="CZ29471" s="35">
        <v>3.6640639999999999E-5</v>
      </c>
    </row>
    <row r="29472" spans="103:104" x14ac:dyDescent="0.3">
      <c r="CY29472" s="34" t="s">
        <v>30398</v>
      </c>
      <c r="CZ29472" s="35">
        <v>3.7775999999999999E-3</v>
      </c>
    </row>
    <row r="29473" spans="103:104" x14ac:dyDescent="0.3">
      <c r="CY29473" s="34" t="s">
        <v>30399</v>
      </c>
      <c r="CZ29473" s="35">
        <v>1.171088E-3</v>
      </c>
    </row>
    <row r="29474" spans="103:104" x14ac:dyDescent="0.3">
      <c r="CY29474" s="34" t="s">
        <v>30400</v>
      </c>
      <c r="CZ29474" s="35">
        <v>2.0227896470588233E-3</v>
      </c>
    </row>
    <row r="29475" spans="103:104" x14ac:dyDescent="0.3">
      <c r="CY29475" s="34" t="s">
        <v>30401</v>
      </c>
      <c r="CZ29475" s="35">
        <v>9.6459266666666682E-2</v>
      </c>
    </row>
    <row r="29476" spans="103:104" x14ac:dyDescent="0.3">
      <c r="CY29476" s="34" t="s">
        <v>30402</v>
      </c>
      <c r="CZ29476" s="35">
        <v>3.9122746600000003E-3</v>
      </c>
    </row>
    <row r="29477" spans="103:104" x14ac:dyDescent="0.3">
      <c r="CY29477" s="34" t="s">
        <v>30403</v>
      </c>
      <c r="CZ29477" s="35">
        <v>4.8569849999999996E-4</v>
      </c>
    </row>
    <row r="29478" spans="103:104" x14ac:dyDescent="0.3">
      <c r="CY29478" s="34" t="s">
        <v>30404</v>
      </c>
      <c r="CZ29478" s="35">
        <v>1.2050115200000001E-2</v>
      </c>
    </row>
    <row r="29479" spans="103:104" x14ac:dyDescent="0.3">
      <c r="CY29479" s="34" t="s">
        <v>30405</v>
      </c>
      <c r="CZ29479" s="35">
        <v>9.8817519999999989E-3</v>
      </c>
    </row>
    <row r="29480" spans="103:104" x14ac:dyDescent="0.3">
      <c r="CY29480" s="34" t="s">
        <v>30406</v>
      </c>
      <c r="CZ29480" s="35">
        <v>2.9985939999999999E-2</v>
      </c>
    </row>
    <row r="29481" spans="103:104" x14ac:dyDescent="0.3">
      <c r="CY29481" s="34" t="s">
        <v>30407</v>
      </c>
      <c r="CZ29481" s="35">
        <v>2.9985939999999999E-2</v>
      </c>
    </row>
    <row r="29482" spans="103:104" x14ac:dyDescent="0.3">
      <c r="CY29482" s="34" t="s">
        <v>30408</v>
      </c>
      <c r="CZ29482" s="35">
        <v>0.42297213333333333</v>
      </c>
    </row>
    <row r="29483" spans="103:104" x14ac:dyDescent="0.3">
      <c r="CY29483" s="34" t="s">
        <v>30409</v>
      </c>
      <c r="CZ29483" s="35">
        <v>0.29031352999999999</v>
      </c>
    </row>
    <row r="29484" spans="103:104" x14ac:dyDescent="0.3">
      <c r="CY29484" s="34" t="s">
        <v>30410</v>
      </c>
      <c r="CZ29484" s="35">
        <v>3.8015205333333333E-3</v>
      </c>
    </row>
    <row r="29485" spans="103:104" x14ac:dyDescent="0.3">
      <c r="CY29485" s="34" t="s">
        <v>30411</v>
      </c>
      <c r="CZ29485" s="35">
        <v>1.9397056000000001E-3</v>
      </c>
    </row>
    <row r="29486" spans="103:104" x14ac:dyDescent="0.3">
      <c r="CY29486" s="34" t="s">
        <v>30412</v>
      </c>
      <c r="CZ29486" s="35">
        <v>9.5639000000000002E-2</v>
      </c>
    </row>
    <row r="29487" spans="103:104" x14ac:dyDescent="0.3">
      <c r="CY29487" s="34" t="s">
        <v>30413</v>
      </c>
      <c r="CZ29487" s="35">
        <v>3.004990305E-2</v>
      </c>
    </row>
    <row r="29488" spans="103:104" x14ac:dyDescent="0.3">
      <c r="CY29488" s="34" t="s">
        <v>30414</v>
      </c>
      <c r="CZ29488" s="35">
        <v>1.1524910000000001E-3</v>
      </c>
    </row>
    <row r="29489" spans="103:104" x14ac:dyDescent="0.3">
      <c r="CY29489" s="34" t="s">
        <v>30415</v>
      </c>
      <c r="CZ29489" s="35">
        <v>8.392964E-2</v>
      </c>
    </row>
    <row r="29490" spans="103:104" x14ac:dyDescent="0.3">
      <c r="CY29490" s="34" t="s">
        <v>30416</v>
      </c>
      <c r="CZ29490" s="35">
        <v>2.44913808E-2</v>
      </c>
    </row>
    <row r="29491" spans="103:104" x14ac:dyDescent="0.3">
      <c r="CY29491" s="34" t="s">
        <v>30417</v>
      </c>
      <c r="CZ29491" s="35">
        <v>2.4199999999999999E-5</v>
      </c>
    </row>
    <row r="29492" spans="103:104" x14ac:dyDescent="0.3">
      <c r="CY29492" s="34" t="s">
        <v>30418</v>
      </c>
      <c r="CZ29492" s="35">
        <v>6.8887560000000002E-3</v>
      </c>
    </row>
    <row r="29493" spans="103:104" x14ac:dyDescent="0.3">
      <c r="CY29493" s="34" t="s">
        <v>30419</v>
      </c>
      <c r="CZ29493" s="35">
        <v>5.3374688000000003E-2</v>
      </c>
    </row>
    <row r="29494" spans="103:104" x14ac:dyDescent="0.3">
      <c r="CY29494" s="34" t="s">
        <v>30420</v>
      </c>
      <c r="CZ29494" s="35">
        <v>3.4007142857142862E-4</v>
      </c>
    </row>
    <row r="29495" spans="103:104" x14ac:dyDescent="0.3">
      <c r="CY29495" s="34" t="s">
        <v>30421</v>
      </c>
      <c r="CZ29495" s="35">
        <v>9.2919999999999982E-3</v>
      </c>
    </row>
    <row r="29496" spans="103:104" x14ac:dyDescent="0.3">
      <c r="CY29496" s="34" t="s">
        <v>30422</v>
      </c>
      <c r="CZ29496" s="35">
        <v>1.5329275999999997E-3</v>
      </c>
    </row>
    <row r="29497" spans="103:104" x14ac:dyDescent="0.3">
      <c r="CY29497" s="34" t="s">
        <v>30423</v>
      </c>
      <c r="CZ29497" s="35">
        <v>8.8482039999999995E-4</v>
      </c>
    </row>
    <row r="29498" spans="103:104" x14ac:dyDescent="0.3">
      <c r="CY29498" s="34" t="s">
        <v>30424</v>
      </c>
      <c r="CZ29498" s="35">
        <v>1.0078659199999999E-2</v>
      </c>
    </row>
    <row r="29499" spans="103:104" x14ac:dyDescent="0.3">
      <c r="CY29499" s="34" t="s">
        <v>30425</v>
      </c>
      <c r="CZ29499" s="35">
        <v>4.3702728E-3</v>
      </c>
    </row>
    <row r="29500" spans="103:104" x14ac:dyDescent="0.3">
      <c r="CY29500" s="34" t="s">
        <v>30426</v>
      </c>
      <c r="CZ29500" s="35">
        <v>9.5497957249999987E-2</v>
      </c>
    </row>
    <row r="29501" spans="103:104" x14ac:dyDescent="0.3">
      <c r="CY29501" s="34" t="s">
        <v>30427</v>
      </c>
      <c r="CZ29501" s="35">
        <v>0.20142926399999997</v>
      </c>
    </row>
    <row r="29502" spans="103:104" x14ac:dyDescent="0.3">
      <c r="CY29502" s="34" t="s">
        <v>30428</v>
      </c>
      <c r="CZ29502" s="35">
        <v>0.31625587999999999</v>
      </c>
    </row>
    <row r="29503" spans="103:104" x14ac:dyDescent="0.3">
      <c r="CY29503" s="34" t="s">
        <v>30429</v>
      </c>
      <c r="CZ29503" s="35">
        <v>0.16277112400000002</v>
      </c>
    </row>
    <row r="29504" spans="103:104" x14ac:dyDescent="0.3">
      <c r="CY29504" s="34" t="s">
        <v>30430</v>
      </c>
      <c r="CZ29504" s="35">
        <v>0.24373449999999999</v>
      </c>
    </row>
    <row r="29505" spans="103:104" x14ac:dyDescent="0.3">
      <c r="CY29505" s="34" t="s">
        <v>30431</v>
      </c>
      <c r="CZ29505" s="35">
        <v>0.25084185999999997</v>
      </c>
    </row>
    <row r="29506" spans="103:104" x14ac:dyDescent="0.3">
      <c r="CY29506" s="34" t="s">
        <v>30432</v>
      </c>
      <c r="CZ29506" s="35">
        <v>2.7016864000000005E-2</v>
      </c>
    </row>
    <row r="29507" spans="103:104" x14ac:dyDescent="0.3">
      <c r="CY29507" s="34" t="s">
        <v>30433</v>
      </c>
      <c r="CZ29507" s="35">
        <v>0.1612377111111111</v>
      </c>
    </row>
    <row r="29508" spans="103:104" x14ac:dyDescent="0.3">
      <c r="CY29508" s="34" t="s">
        <v>30434</v>
      </c>
      <c r="CZ29508" s="35">
        <v>4.2106783080000003</v>
      </c>
    </row>
    <row r="29509" spans="103:104" x14ac:dyDescent="0.3">
      <c r="CY29509" s="34" t="s">
        <v>30435</v>
      </c>
      <c r="CZ29509" s="35">
        <v>5.366351499999999E-3</v>
      </c>
    </row>
    <row r="29510" spans="103:104" x14ac:dyDescent="0.3">
      <c r="CY29510" s="34" t="s">
        <v>30436</v>
      </c>
      <c r="CZ29510" s="35">
        <v>5.0820120000000003E-3</v>
      </c>
    </row>
    <row r="29511" spans="103:104" x14ac:dyDescent="0.3">
      <c r="CY29511" s="34" t="s">
        <v>30437</v>
      </c>
      <c r="CZ29511" s="35">
        <v>5.7288839999999983E-3</v>
      </c>
    </row>
    <row r="29512" spans="103:104" x14ac:dyDescent="0.3">
      <c r="CY29512" s="34" t="s">
        <v>30438</v>
      </c>
      <c r="CZ29512" s="35">
        <v>3.6777760000000002E-3</v>
      </c>
    </row>
    <row r="29513" spans="103:104" x14ac:dyDescent="0.3">
      <c r="CY29513" s="34" t="s">
        <v>30439</v>
      </c>
      <c r="CZ29513" s="35">
        <v>0.10236514400000001</v>
      </c>
    </row>
    <row r="29514" spans="103:104" x14ac:dyDescent="0.3">
      <c r="CY29514" s="34" t="s">
        <v>30440</v>
      </c>
      <c r="CZ29514" s="35">
        <v>1.9114453333333333E-2</v>
      </c>
    </row>
    <row r="29515" spans="103:104" x14ac:dyDescent="0.3">
      <c r="CY29515" s="34" t="s">
        <v>30441</v>
      </c>
      <c r="CZ29515" s="35">
        <v>2.5016464000000006E-2</v>
      </c>
    </row>
    <row r="29516" spans="103:104" x14ac:dyDescent="0.3">
      <c r="CY29516" s="34" t="s">
        <v>30442</v>
      </c>
      <c r="CZ29516" s="35">
        <v>2.1626589999999998E-2</v>
      </c>
    </row>
    <row r="29517" spans="103:104" x14ac:dyDescent="0.3">
      <c r="CY29517" s="34" t="s">
        <v>30443</v>
      </c>
      <c r="CZ29517" s="35">
        <v>7.6333730666666676E-3</v>
      </c>
    </row>
    <row r="29518" spans="103:104" x14ac:dyDescent="0.3">
      <c r="CY29518" s="34" t="s">
        <v>30444</v>
      </c>
      <c r="CZ29518" s="35">
        <v>6.5346853333333333E-3</v>
      </c>
    </row>
    <row r="29519" spans="103:104" x14ac:dyDescent="0.3">
      <c r="CY29519" s="34" t="s">
        <v>30445</v>
      </c>
      <c r="CZ29519" s="35">
        <v>9.8552027428571443E-3</v>
      </c>
    </row>
    <row r="29520" spans="103:104" x14ac:dyDescent="0.3">
      <c r="CY29520" s="34" t="s">
        <v>30446</v>
      </c>
      <c r="CZ29520" s="35">
        <v>1.06142576E-2</v>
      </c>
    </row>
    <row r="29521" spans="103:104" x14ac:dyDescent="0.3">
      <c r="CY29521" s="34" t="s">
        <v>30447</v>
      </c>
      <c r="CZ29521" s="35">
        <v>8.7757655999999989E-3</v>
      </c>
    </row>
    <row r="29522" spans="103:104" x14ac:dyDescent="0.3">
      <c r="CY29522" s="34" t="s">
        <v>30448</v>
      </c>
      <c r="CZ29522" s="35">
        <v>3.7828046000000001E-3</v>
      </c>
    </row>
    <row r="29523" spans="103:104" x14ac:dyDescent="0.3">
      <c r="CY29523" s="34" t="s">
        <v>30449</v>
      </c>
      <c r="CZ29523" s="35">
        <v>4.4500575999999997E-3</v>
      </c>
    </row>
    <row r="29524" spans="103:104" x14ac:dyDescent="0.3">
      <c r="CY29524" s="34" t="s">
        <v>30450</v>
      </c>
      <c r="CZ29524" s="35">
        <v>9.0289546079999998E-3</v>
      </c>
    </row>
    <row r="29525" spans="103:104" x14ac:dyDescent="0.3">
      <c r="CY29525" s="34" t="s">
        <v>30451</v>
      </c>
      <c r="CZ29525" s="35">
        <v>1.0249989199999998E-2</v>
      </c>
    </row>
    <row r="29526" spans="103:104" x14ac:dyDescent="0.3">
      <c r="CY29526" s="34" t="s">
        <v>30452</v>
      </c>
      <c r="CZ29526" s="35">
        <v>1.6177856000000001E-2</v>
      </c>
    </row>
    <row r="29527" spans="103:104" x14ac:dyDescent="0.3">
      <c r="CY29527" s="34" t="s">
        <v>30453</v>
      </c>
      <c r="CZ29527" s="35">
        <v>2.5480223999999998E-3</v>
      </c>
    </row>
    <row r="29528" spans="103:104" x14ac:dyDescent="0.3">
      <c r="CY29528" s="34" t="s">
        <v>30454</v>
      </c>
      <c r="CZ29528" s="35">
        <v>7.5756406666666661E-3</v>
      </c>
    </row>
    <row r="29529" spans="103:104" x14ac:dyDescent="0.3">
      <c r="CY29529" s="34" t="s">
        <v>30455</v>
      </c>
      <c r="CZ29529" s="35">
        <v>2.2789116E-3</v>
      </c>
    </row>
    <row r="29530" spans="103:104" x14ac:dyDescent="0.3">
      <c r="CY29530" s="34" t="s">
        <v>30456</v>
      </c>
      <c r="CZ29530" s="35">
        <v>9.7519066689655161E-3</v>
      </c>
    </row>
    <row r="29531" spans="103:104" x14ac:dyDescent="0.3">
      <c r="CY29531" s="34" t="s">
        <v>30457</v>
      </c>
      <c r="CZ29531" s="35">
        <v>1.1662155927999998E-2</v>
      </c>
    </row>
    <row r="29532" spans="103:104" x14ac:dyDescent="0.3">
      <c r="CY29532" s="34" t="s">
        <v>30458</v>
      </c>
      <c r="CZ29532" s="35">
        <v>7.3901466666666674E-3</v>
      </c>
    </row>
    <row r="29533" spans="103:104" x14ac:dyDescent="0.3">
      <c r="CY29533" s="34" t="s">
        <v>30459</v>
      </c>
      <c r="CZ29533" s="35">
        <v>3.1455456000000002E-3</v>
      </c>
    </row>
    <row r="29534" spans="103:104" x14ac:dyDescent="0.3">
      <c r="CY29534" s="34" t="s">
        <v>30460</v>
      </c>
      <c r="CZ29534" s="35">
        <v>9.3647829999999981E-3</v>
      </c>
    </row>
    <row r="29535" spans="103:104" x14ac:dyDescent="0.3">
      <c r="CY29535" s="34" t="s">
        <v>30461</v>
      </c>
      <c r="CZ29535" s="35">
        <v>5.8206624999999998E-2</v>
      </c>
    </row>
    <row r="29536" spans="103:104" x14ac:dyDescent="0.3">
      <c r="CY29536" s="34" t="s">
        <v>30462</v>
      </c>
      <c r="CZ29536" s="35">
        <v>2.4362024400000001E-2</v>
      </c>
    </row>
    <row r="29537" spans="103:104" x14ac:dyDescent="0.3">
      <c r="CY29537" s="34" t="s">
        <v>30463</v>
      </c>
      <c r="CZ29537" s="35">
        <v>5.0078304000000004E-2</v>
      </c>
    </row>
    <row r="29538" spans="103:104" x14ac:dyDescent="0.3">
      <c r="CY29538" s="34" t="s">
        <v>30464</v>
      </c>
      <c r="CZ29538" s="35">
        <v>5.0078304000000011E-2</v>
      </c>
    </row>
    <row r="29539" spans="103:104" x14ac:dyDescent="0.3">
      <c r="CY29539" s="34" t="s">
        <v>30465</v>
      </c>
      <c r="CZ29539" s="35">
        <v>2.3929060000000002E-3</v>
      </c>
    </row>
    <row r="29540" spans="103:104" x14ac:dyDescent="0.3">
      <c r="CY29540" s="34" t="s">
        <v>30466</v>
      </c>
      <c r="CZ29540" s="35">
        <v>8.5205491999999997E-3</v>
      </c>
    </row>
    <row r="29541" spans="103:104" x14ac:dyDescent="0.3">
      <c r="CY29541" s="34" t="s">
        <v>30467</v>
      </c>
      <c r="CZ29541" s="35">
        <v>1.8782790400000002E-2</v>
      </c>
    </row>
    <row r="29542" spans="103:104" x14ac:dyDescent="0.3">
      <c r="CY29542" s="34" t="s">
        <v>30468</v>
      </c>
      <c r="CZ29542" s="35">
        <v>0.13616281399999999</v>
      </c>
    </row>
    <row r="29543" spans="103:104" x14ac:dyDescent="0.3">
      <c r="CY29543" s="34" t="s">
        <v>30469</v>
      </c>
      <c r="CZ29543" s="35">
        <v>2.1759942666666667E-2</v>
      </c>
    </row>
    <row r="29544" spans="103:104" x14ac:dyDescent="0.3">
      <c r="CY29544" s="34" t="s">
        <v>30470</v>
      </c>
      <c r="CZ29544" s="35">
        <v>4.9879251999999999E-2</v>
      </c>
    </row>
    <row r="29545" spans="103:104" x14ac:dyDescent="0.3">
      <c r="CY29545" s="34" t="s">
        <v>30471</v>
      </c>
      <c r="CZ29545" s="35">
        <v>4.2013123519999994E-2</v>
      </c>
    </row>
    <row r="29546" spans="103:104" x14ac:dyDescent="0.3">
      <c r="CY29546" s="34" t="s">
        <v>30472</v>
      </c>
      <c r="CZ29546" s="35">
        <v>5.4339479199999999E-2</v>
      </c>
    </row>
    <row r="29547" spans="103:104" x14ac:dyDescent="0.3">
      <c r="CY29547" s="34" t="s">
        <v>30473</v>
      </c>
      <c r="CZ29547" s="35">
        <v>5.7391213599999998E-2</v>
      </c>
    </row>
    <row r="29548" spans="103:104" x14ac:dyDescent="0.3">
      <c r="CY29548" s="34" t="s">
        <v>30474</v>
      </c>
      <c r="CZ29548" s="35">
        <v>4.9879251999999999E-2</v>
      </c>
    </row>
    <row r="29549" spans="103:104" x14ac:dyDescent="0.3">
      <c r="CY29549" s="34" t="s">
        <v>30475</v>
      </c>
      <c r="CZ29549" s="35">
        <v>4.9879251999999999E-2</v>
      </c>
    </row>
    <row r="29550" spans="103:104" x14ac:dyDescent="0.3">
      <c r="CY29550" s="34" t="s">
        <v>30476</v>
      </c>
      <c r="CZ29550" s="35">
        <v>4.6211333333333335E-3</v>
      </c>
    </row>
    <row r="29551" spans="103:104" x14ac:dyDescent="0.3">
      <c r="CY29551" s="34" t="s">
        <v>30477</v>
      </c>
      <c r="CZ29551" s="35">
        <v>0.13896156000000001</v>
      </c>
    </row>
    <row r="29552" spans="103:104" x14ac:dyDescent="0.3">
      <c r="CY29552" s="34" t="s">
        <v>30478</v>
      </c>
      <c r="CZ29552" s="35">
        <v>6.4841488000000003E-2</v>
      </c>
    </row>
    <row r="29553" spans="103:104" x14ac:dyDescent="0.3">
      <c r="CY29553" s="34" t="s">
        <v>30479</v>
      </c>
      <c r="CZ29553" s="35">
        <v>0.15593031999999996</v>
      </c>
    </row>
    <row r="29554" spans="103:104" x14ac:dyDescent="0.3">
      <c r="CY29554" s="34" t="s">
        <v>30480</v>
      </c>
      <c r="CZ29554" s="35">
        <v>0.23974347300000001</v>
      </c>
    </row>
    <row r="29555" spans="103:104" x14ac:dyDescent="0.3">
      <c r="CY29555" s="34" t="s">
        <v>30481</v>
      </c>
      <c r="CZ29555" s="35">
        <v>0.24122196100000001</v>
      </c>
    </row>
    <row r="29556" spans="103:104" x14ac:dyDescent="0.3">
      <c r="CY29556" s="34" t="s">
        <v>30482</v>
      </c>
      <c r="CZ29556" s="35">
        <v>0.20829949999999997</v>
      </c>
    </row>
    <row r="29557" spans="103:104" x14ac:dyDescent="0.3">
      <c r="CY29557" s="34" t="s">
        <v>30483</v>
      </c>
      <c r="CZ29557" s="35">
        <v>1.9528897122807018E-2</v>
      </c>
    </row>
    <row r="29558" spans="103:104" x14ac:dyDescent="0.3">
      <c r="CY29558" s="34" t="s">
        <v>30484</v>
      </c>
      <c r="CZ29558" s="35">
        <v>2.7157017461538462E-2</v>
      </c>
    </row>
    <row r="29559" spans="103:104" x14ac:dyDescent="0.3">
      <c r="CY29559" s="34" t="s">
        <v>30485</v>
      </c>
      <c r="CZ29559" s="35">
        <v>0.1597799</v>
      </c>
    </row>
    <row r="29560" spans="103:104" x14ac:dyDescent="0.3">
      <c r="CY29560" s="34" t="s">
        <v>30486</v>
      </c>
      <c r="CZ29560" s="35">
        <v>0.15580512799999996</v>
      </c>
    </row>
    <row r="29561" spans="103:104" x14ac:dyDescent="0.3">
      <c r="CY29561" s="34" t="s">
        <v>30487</v>
      </c>
      <c r="CZ29561" s="35">
        <v>7.285896E-3</v>
      </c>
    </row>
    <row r="29562" spans="103:104" x14ac:dyDescent="0.3">
      <c r="CY29562" s="34" t="s">
        <v>30488</v>
      </c>
      <c r="CZ29562" s="35">
        <v>6.6622880000000006E-3</v>
      </c>
    </row>
    <row r="29563" spans="103:104" x14ac:dyDescent="0.3">
      <c r="CY29563" s="34" t="s">
        <v>30489</v>
      </c>
      <c r="CZ29563" s="35">
        <v>1.1084284E-2</v>
      </c>
    </row>
    <row r="29564" spans="103:104" x14ac:dyDescent="0.3">
      <c r="CY29564" s="34" t="s">
        <v>30490</v>
      </c>
      <c r="CZ29564" s="35">
        <v>1.2000518666666666E-2</v>
      </c>
    </row>
    <row r="29565" spans="103:104" x14ac:dyDescent="0.3">
      <c r="CY29565" s="34" t="s">
        <v>30491</v>
      </c>
      <c r="CZ29565" s="35">
        <v>1.2986456230769231E-3</v>
      </c>
    </row>
    <row r="29566" spans="103:104" x14ac:dyDescent="0.3">
      <c r="CY29566" s="34" t="s">
        <v>30492</v>
      </c>
      <c r="CZ29566" s="35">
        <v>0</v>
      </c>
    </row>
    <row r="29567" spans="103:104" x14ac:dyDescent="0.3">
      <c r="CY29567" s="34" t="s">
        <v>30493</v>
      </c>
      <c r="CZ29567" s="35">
        <v>1.6537189321692007E-2</v>
      </c>
    </row>
    <row r="29568" spans="103:104" x14ac:dyDescent="0.3">
      <c r="CY29568" s="34" t="s">
        <v>30494</v>
      </c>
      <c r="CZ29568" s="35">
        <v>1.1710427201374999E-2</v>
      </c>
    </row>
    <row r="29569" spans="103:104" x14ac:dyDescent="0.3">
      <c r="CY29569" s="34" t="s">
        <v>30495</v>
      </c>
      <c r="CZ29569" s="35">
        <v>0.15643731599999997</v>
      </c>
    </row>
    <row r="29570" spans="103:104" x14ac:dyDescent="0.3">
      <c r="CY29570" s="34" t="s">
        <v>30496</v>
      </c>
      <c r="CZ29570" s="35">
        <v>0.23852243599999995</v>
      </c>
    </row>
    <row r="29571" spans="103:104" x14ac:dyDescent="0.3">
      <c r="CY29571" s="34" t="s">
        <v>30497</v>
      </c>
      <c r="CZ29571" s="35">
        <v>0.17167269199999999</v>
      </c>
    </row>
    <row r="29572" spans="103:104" x14ac:dyDescent="0.3">
      <c r="CY29572" s="34" t="s">
        <v>30498</v>
      </c>
      <c r="CZ29572" s="35">
        <v>1.1046734324137929E-2</v>
      </c>
    </row>
    <row r="29573" spans="103:104" x14ac:dyDescent="0.3">
      <c r="CY29573" s="34" t="s">
        <v>30499</v>
      </c>
      <c r="CZ29573" s="35">
        <v>3.9362771999999997E-2</v>
      </c>
    </row>
    <row r="29574" spans="103:104" x14ac:dyDescent="0.3">
      <c r="CY29574" s="34" t="s">
        <v>30500</v>
      </c>
      <c r="CZ29574" s="35">
        <v>2.8766297777777776E-2</v>
      </c>
    </row>
    <row r="29575" spans="103:104" x14ac:dyDescent="0.3">
      <c r="CY29575" s="34" t="s">
        <v>30501</v>
      </c>
      <c r="CZ29575" s="35">
        <v>1.3554325000000001E-2</v>
      </c>
    </row>
    <row r="29576" spans="103:104" x14ac:dyDescent="0.3">
      <c r="CY29576" s="34" t="s">
        <v>30502</v>
      </c>
      <c r="CZ29576" s="35">
        <v>1.6962967999999998E-2</v>
      </c>
    </row>
    <row r="29577" spans="103:104" x14ac:dyDescent="0.3">
      <c r="CY29577" s="34" t="s">
        <v>30503</v>
      </c>
      <c r="CZ29577" s="35">
        <v>0.24576108799999999</v>
      </c>
    </row>
    <row r="29578" spans="103:104" x14ac:dyDescent="0.3">
      <c r="CY29578" s="34" t="s">
        <v>30504</v>
      </c>
      <c r="CZ29578" s="35">
        <v>7.6515680000000007E-4</v>
      </c>
    </row>
    <row r="29579" spans="103:104" x14ac:dyDescent="0.3">
      <c r="CY29579" s="34" t="s">
        <v>30505</v>
      </c>
      <c r="CZ29579" s="35">
        <v>1.8781648000000001E-2</v>
      </c>
    </row>
    <row r="29580" spans="103:104" x14ac:dyDescent="0.3">
      <c r="CY29580" s="34" t="s">
        <v>30506</v>
      </c>
      <c r="CZ29580" s="35">
        <v>5.7982319999999995E-3</v>
      </c>
    </row>
    <row r="29581" spans="103:104" x14ac:dyDescent="0.3">
      <c r="CY29581" s="34" t="s">
        <v>30507</v>
      </c>
      <c r="CZ29581" s="35">
        <v>6.9343760000000008E-3</v>
      </c>
    </row>
    <row r="29582" spans="103:104" x14ac:dyDescent="0.3">
      <c r="CY29582" s="34" t="s">
        <v>30508</v>
      </c>
      <c r="CZ29582" s="35">
        <v>3.5439364680000002E-2</v>
      </c>
    </row>
    <row r="29583" spans="103:104" x14ac:dyDescent="0.3">
      <c r="CY29583" s="34" t="s">
        <v>30509</v>
      </c>
      <c r="CZ29583" s="35">
        <v>3.5106743000000003E-2</v>
      </c>
    </row>
    <row r="29584" spans="103:104" x14ac:dyDescent="0.3">
      <c r="CY29584" s="34" t="s">
        <v>30510</v>
      </c>
      <c r="CZ29584" s="35">
        <v>0.15445191599999997</v>
      </c>
    </row>
    <row r="29585" spans="103:104" x14ac:dyDescent="0.3">
      <c r="CY29585" s="34" t="s">
        <v>30511</v>
      </c>
      <c r="CZ29585" s="35">
        <v>1.33258002E-2</v>
      </c>
    </row>
    <row r="29586" spans="103:104" x14ac:dyDescent="0.3">
      <c r="CY29586" s="34" t="s">
        <v>30512</v>
      </c>
      <c r="CZ29586" s="35">
        <v>0.10093510133333335</v>
      </c>
    </row>
    <row r="29587" spans="103:104" x14ac:dyDescent="0.3">
      <c r="CY29587" s="34" t="s">
        <v>30513</v>
      </c>
      <c r="CZ29587" s="35">
        <v>5.2478624599999996E-2</v>
      </c>
    </row>
    <row r="29588" spans="103:104" x14ac:dyDescent="0.3">
      <c r="CY29588" s="34" t="s">
        <v>30514</v>
      </c>
      <c r="CZ29588" s="35">
        <v>4.1119990000000002E-2</v>
      </c>
    </row>
    <row r="29589" spans="103:104" x14ac:dyDescent="0.3">
      <c r="CY29589" s="34" t="s">
        <v>30515</v>
      </c>
      <c r="CZ29589" s="35">
        <v>0.10927608</v>
      </c>
    </row>
    <row r="29590" spans="103:104" x14ac:dyDescent="0.3">
      <c r="CY29590" s="34" t="s">
        <v>30516</v>
      </c>
      <c r="CZ29590" s="35">
        <v>0.40539168674999998</v>
      </c>
    </row>
    <row r="29591" spans="103:104" x14ac:dyDescent="0.3">
      <c r="CY29591" s="34" t="s">
        <v>30517</v>
      </c>
      <c r="CZ29591" s="35">
        <v>1.1636014999999997E-3</v>
      </c>
    </row>
    <row r="29592" spans="103:104" x14ac:dyDescent="0.3">
      <c r="CY29592" s="34" t="s">
        <v>30518</v>
      </c>
      <c r="CZ29592" s="35">
        <v>9.2769160000000001E-4</v>
      </c>
    </row>
    <row r="29593" spans="103:104" x14ac:dyDescent="0.3">
      <c r="CY29593" s="34" t="s">
        <v>30519</v>
      </c>
      <c r="CZ29593" s="35">
        <v>9.2769160000000012E-4</v>
      </c>
    </row>
    <row r="29594" spans="103:104" x14ac:dyDescent="0.3">
      <c r="CY29594" s="34" t="s">
        <v>30520</v>
      </c>
      <c r="CZ29594" s="35">
        <v>8.6999740000000009E-4</v>
      </c>
    </row>
    <row r="29595" spans="103:104" x14ac:dyDescent="0.3">
      <c r="CY29595" s="34" t="s">
        <v>30521</v>
      </c>
      <c r="CZ29595" s="35">
        <v>2.3776040000000002E-2</v>
      </c>
    </row>
    <row r="29596" spans="103:104" x14ac:dyDescent="0.3">
      <c r="CY29596" s="34" t="s">
        <v>30522</v>
      </c>
      <c r="CZ29596" s="35">
        <v>1.1046734324137931E-2</v>
      </c>
    </row>
    <row r="29597" spans="103:104" x14ac:dyDescent="0.3">
      <c r="CY29597" s="34" t="s">
        <v>30523</v>
      </c>
      <c r="CZ29597" s="35">
        <v>7.9429600000000006E-3</v>
      </c>
    </row>
    <row r="29598" spans="103:104" x14ac:dyDescent="0.3">
      <c r="CY29598" s="34" t="s">
        <v>30524</v>
      </c>
      <c r="CZ29598" s="35">
        <v>9.0837839999999993E-3</v>
      </c>
    </row>
    <row r="29599" spans="103:104" x14ac:dyDescent="0.3">
      <c r="CY29599" s="34" t="s">
        <v>30525</v>
      </c>
      <c r="CZ29599" s="35">
        <v>3.1805066600000001E-2</v>
      </c>
    </row>
    <row r="29600" spans="103:104" x14ac:dyDescent="0.3">
      <c r="CY29600" s="34" t="s">
        <v>30526</v>
      </c>
      <c r="CZ29600" s="35">
        <v>2.1933825600000002E-2</v>
      </c>
    </row>
    <row r="29601" spans="103:104" x14ac:dyDescent="0.3">
      <c r="CY29601" s="34" t="s">
        <v>30527</v>
      </c>
      <c r="CZ29601" s="35">
        <v>2.3089715815400001E-2</v>
      </c>
    </row>
    <row r="29602" spans="103:104" x14ac:dyDescent="0.3">
      <c r="CY29602" s="34" t="s">
        <v>30528</v>
      </c>
      <c r="CZ29602" s="35">
        <v>4.7225157800000001E-2</v>
      </c>
    </row>
    <row r="29603" spans="103:104" x14ac:dyDescent="0.3">
      <c r="CY29603" s="34" t="s">
        <v>30529</v>
      </c>
      <c r="CZ29603" s="35">
        <v>0.35453018599999997</v>
      </c>
    </row>
    <row r="29604" spans="103:104" x14ac:dyDescent="0.3">
      <c r="CY29604" s="34" t="s">
        <v>30530</v>
      </c>
      <c r="CZ29604" s="35">
        <v>0.35365345999999998</v>
      </c>
    </row>
    <row r="29605" spans="103:104" x14ac:dyDescent="0.3">
      <c r="CY29605" s="34" t="s">
        <v>30531</v>
      </c>
      <c r="CZ29605" s="35">
        <v>0.29812748000000006</v>
      </c>
    </row>
    <row r="29606" spans="103:104" x14ac:dyDescent="0.3">
      <c r="CY29606" s="34" t="s">
        <v>30532</v>
      </c>
      <c r="CZ29606" s="35">
        <v>0.53411289500000003</v>
      </c>
    </row>
    <row r="29607" spans="103:104" x14ac:dyDescent="0.3">
      <c r="CY29607" s="34" t="s">
        <v>30533</v>
      </c>
      <c r="CZ29607" s="35">
        <v>0.1776287</v>
      </c>
    </row>
    <row r="29608" spans="103:104" x14ac:dyDescent="0.3">
      <c r="CY29608" s="34" t="s">
        <v>30534</v>
      </c>
      <c r="CZ29608" s="35">
        <v>1.5229999999999998E-3</v>
      </c>
    </row>
    <row r="29609" spans="103:104" x14ac:dyDescent="0.3">
      <c r="CY29609" s="34" t="s">
        <v>30535</v>
      </c>
      <c r="CZ29609" s="35">
        <v>4.2921757333333338E-3</v>
      </c>
    </row>
    <row r="29610" spans="103:104" x14ac:dyDescent="0.3">
      <c r="CY29610" s="34" t="s">
        <v>30536</v>
      </c>
      <c r="CZ29610" s="35">
        <v>4.2823437068421052E-2</v>
      </c>
    </row>
    <row r="29611" spans="103:104" x14ac:dyDescent="0.3">
      <c r="CY29611" s="34" t="s">
        <v>30537</v>
      </c>
      <c r="CZ29611" s="35">
        <v>4.7690619330000003E-2</v>
      </c>
    </row>
    <row r="29612" spans="103:104" x14ac:dyDescent="0.3">
      <c r="CY29612" s="34" t="s">
        <v>30538</v>
      </c>
      <c r="CZ29612" s="35">
        <v>2.6515935999999997E-2</v>
      </c>
    </row>
    <row r="29613" spans="103:104" x14ac:dyDescent="0.3">
      <c r="CY29613" s="34" t="s">
        <v>30539</v>
      </c>
      <c r="CZ29613" s="35">
        <v>8.1003679999999995E-2</v>
      </c>
    </row>
    <row r="29614" spans="103:104" x14ac:dyDescent="0.3">
      <c r="CY29614" s="34" t="s">
        <v>30540</v>
      </c>
      <c r="CZ29614" s="35">
        <v>1.2774152499999998E-2</v>
      </c>
    </row>
    <row r="29615" spans="103:104" x14ac:dyDescent="0.3">
      <c r="CY29615" s="34" t="s">
        <v>30541</v>
      </c>
      <c r="CZ29615" s="35">
        <v>2.4583193999999999E-2</v>
      </c>
    </row>
    <row r="29616" spans="103:104" x14ac:dyDescent="0.3">
      <c r="CY29616" s="34" t="s">
        <v>30542</v>
      </c>
      <c r="CZ29616" s="35">
        <v>0.20848169599999999</v>
      </c>
    </row>
    <row r="29617" spans="103:104" x14ac:dyDescent="0.3">
      <c r="CY29617" s="34" t="s">
        <v>30543</v>
      </c>
      <c r="CZ29617" s="35">
        <v>7.1563599999999996E-3</v>
      </c>
    </row>
    <row r="29618" spans="103:104" x14ac:dyDescent="0.3">
      <c r="CY29618" s="34" t="s">
        <v>30544</v>
      </c>
      <c r="CZ29618" s="35">
        <v>8.8855010000000005E-3</v>
      </c>
    </row>
    <row r="29619" spans="103:104" x14ac:dyDescent="0.3">
      <c r="CY29619" s="34" t="s">
        <v>30545</v>
      </c>
      <c r="CZ29619" s="35">
        <v>8.8855009999999988E-3</v>
      </c>
    </row>
    <row r="29620" spans="103:104" x14ac:dyDescent="0.3">
      <c r="CY29620" s="34" t="s">
        <v>30546</v>
      </c>
      <c r="CZ29620" s="35">
        <v>0.55982966000000001</v>
      </c>
    </row>
    <row r="29621" spans="103:104" x14ac:dyDescent="0.3">
      <c r="CY29621" s="34" t="s">
        <v>30547</v>
      </c>
      <c r="CZ29621" s="35">
        <v>0.22363039999999998</v>
      </c>
    </row>
    <row r="29622" spans="103:104" x14ac:dyDescent="0.3">
      <c r="CY29622" s="34" t="s">
        <v>30548</v>
      </c>
      <c r="CZ29622" s="35">
        <v>3.0675296000000001E-2</v>
      </c>
    </row>
    <row r="29623" spans="103:104" x14ac:dyDescent="0.3">
      <c r="CY29623" s="34" t="s">
        <v>30549</v>
      </c>
      <c r="CZ29623" s="35">
        <v>1.0772317999999999E-2</v>
      </c>
    </row>
    <row r="29624" spans="103:104" x14ac:dyDescent="0.3">
      <c r="CY29624" s="34" t="s">
        <v>30550</v>
      </c>
      <c r="CZ29624" s="35">
        <v>1.0772317999999999E-2</v>
      </c>
    </row>
    <row r="29625" spans="103:104" x14ac:dyDescent="0.3">
      <c r="CY29625" s="34" t="s">
        <v>30551</v>
      </c>
      <c r="CZ29625" s="35">
        <v>1.119827E-2</v>
      </c>
    </row>
    <row r="29626" spans="103:104" x14ac:dyDescent="0.3">
      <c r="CY29626" s="34" t="s">
        <v>30552</v>
      </c>
      <c r="CZ29626" s="35">
        <v>6.8961930000000001E-3</v>
      </c>
    </row>
    <row r="29627" spans="103:104" x14ac:dyDescent="0.3">
      <c r="CY29627" s="34" t="s">
        <v>30553</v>
      </c>
      <c r="CZ29627" s="35">
        <v>9.1303680000000005E-4</v>
      </c>
    </row>
    <row r="29628" spans="103:104" x14ac:dyDescent="0.3">
      <c r="CY29628" s="34" t="s">
        <v>30554</v>
      </c>
      <c r="CZ29628" s="35">
        <v>3.4402402877192977E-2</v>
      </c>
    </row>
    <row r="29629" spans="103:104" x14ac:dyDescent="0.3">
      <c r="CY29629" s="34" t="s">
        <v>30555</v>
      </c>
      <c r="CZ29629" s="35">
        <v>0.16885708333333335</v>
      </c>
    </row>
    <row r="29630" spans="103:104" x14ac:dyDescent="0.3">
      <c r="CY29630" s="34" t="s">
        <v>30556</v>
      </c>
      <c r="CZ29630" s="35">
        <v>1.029704E-3</v>
      </c>
    </row>
    <row r="29631" spans="103:104" x14ac:dyDescent="0.3">
      <c r="CY29631" s="34" t="s">
        <v>30557</v>
      </c>
      <c r="CZ29631" s="35">
        <v>1.3601660000000001E-3</v>
      </c>
    </row>
    <row r="29632" spans="103:104" x14ac:dyDescent="0.3">
      <c r="CY29632" s="34" t="s">
        <v>30558</v>
      </c>
      <c r="CZ29632" s="35">
        <v>0.1519250472</v>
      </c>
    </row>
    <row r="29633" spans="103:104" x14ac:dyDescent="0.3">
      <c r="CY29633" s="34" t="s">
        <v>30559</v>
      </c>
      <c r="CZ29633" s="35">
        <v>6.4352839999999994E-2</v>
      </c>
    </row>
    <row r="29634" spans="103:104" x14ac:dyDescent="0.3">
      <c r="CY29634" s="34" t="s">
        <v>30560</v>
      </c>
      <c r="CZ29634" s="35">
        <v>0.5967472439999999</v>
      </c>
    </row>
    <row r="29635" spans="103:104" x14ac:dyDescent="0.3">
      <c r="CY29635" s="34" t="s">
        <v>30561</v>
      </c>
      <c r="CZ29635" s="35">
        <v>0.11874832</v>
      </c>
    </row>
    <row r="29636" spans="103:104" x14ac:dyDescent="0.3">
      <c r="CY29636" s="34" t="s">
        <v>30562</v>
      </c>
      <c r="CZ29636" s="35">
        <v>0.19071444000000001</v>
      </c>
    </row>
    <row r="29637" spans="103:104" x14ac:dyDescent="0.3">
      <c r="CY29637" s="34" t="s">
        <v>30563</v>
      </c>
      <c r="CZ29637" s="35">
        <v>0.42627044000000003</v>
      </c>
    </row>
    <row r="29638" spans="103:104" x14ac:dyDescent="0.3">
      <c r="CY29638" s="34" t="s">
        <v>30564</v>
      </c>
      <c r="CZ29638" s="35">
        <v>0.41283610999999998</v>
      </c>
    </row>
    <row r="29639" spans="103:104" x14ac:dyDescent="0.3">
      <c r="CY29639" s="34" t="s">
        <v>30565</v>
      </c>
      <c r="CZ29639" s="35">
        <v>0.19606970000000001</v>
      </c>
    </row>
    <row r="29640" spans="103:104" x14ac:dyDescent="0.3">
      <c r="CY29640" s="34" t="s">
        <v>30566</v>
      </c>
      <c r="CZ29640" s="35">
        <v>0.33277665499999998</v>
      </c>
    </row>
    <row r="29641" spans="103:104" x14ac:dyDescent="0.3">
      <c r="CY29641" s="34" t="s">
        <v>30567</v>
      </c>
      <c r="CZ29641" s="35">
        <v>0.41884620499999997</v>
      </c>
    </row>
    <row r="29642" spans="103:104" x14ac:dyDescent="0.3">
      <c r="CY29642" s="34" t="s">
        <v>30568</v>
      </c>
      <c r="CZ29642" s="35">
        <v>0.41495731999999996</v>
      </c>
    </row>
    <row r="29643" spans="103:104" x14ac:dyDescent="0.3">
      <c r="CY29643" s="34" t="s">
        <v>30569</v>
      </c>
      <c r="CZ29643" s="35">
        <v>0.59507691325000001</v>
      </c>
    </row>
    <row r="29644" spans="103:104" x14ac:dyDescent="0.3">
      <c r="CY29644" s="34" t="s">
        <v>30570</v>
      </c>
      <c r="CZ29644" s="35">
        <v>1.6030971368421052E-2</v>
      </c>
    </row>
    <row r="29645" spans="103:104" x14ac:dyDescent="0.3">
      <c r="CY29645" s="34" t="s">
        <v>30571</v>
      </c>
      <c r="CZ29645" s="35">
        <v>3.6311650000000001E-2</v>
      </c>
    </row>
    <row r="29646" spans="103:104" x14ac:dyDescent="0.3">
      <c r="CY29646" s="34" t="s">
        <v>30572</v>
      </c>
      <c r="CZ29646" s="35">
        <v>2.31385125E-2</v>
      </c>
    </row>
    <row r="29647" spans="103:104" x14ac:dyDescent="0.3">
      <c r="CY29647" s="34" t="s">
        <v>30573</v>
      </c>
      <c r="CZ29647" s="35">
        <v>1.165074E-2</v>
      </c>
    </row>
    <row r="29648" spans="103:104" x14ac:dyDescent="0.3">
      <c r="CY29648" s="34" t="s">
        <v>30574</v>
      </c>
      <c r="CZ29648" s="35">
        <v>2.5513049999999999E-2</v>
      </c>
    </row>
    <row r="29649" spans="103:104" x14ac:dyDescent="0.3">
      <c r="CY29649" s="34" t="s">
        <v>30575</v>
      </c>
      <c r="CZ29649" s="35">
        <v>4.2022735999999996E-3</v>
      </c>
    </row>
    <row r="29650" spans="103:104" x14ac:dyDescent="0.3">
      <c r="CY29650" s="34" t="s">
        <v>30576</v>
      </c>
      <c r="CZ29650" s="35">
        <v>3.8143349999999999E-2</v>
      </c>
    </row>
    <row r="29651" spans="103:104" x14ac:dyDescent="0.3">
      <c r="CY29651" s="34" t="s">
        <v>30577</v>
      </c>
      <c r="CZ29651" s="35">
        <v>8.4847915999999995E-2</v>
      </c>
    </row>
    <row r="29652" spans="103:104" x14ac:dyDescent="0.3">
      <c r="CY29652" s="34" t="s">
        <v>30578</v>
      </c>
      <c r="CZ29652" s="35">
        <v>8.9334578000000012E-2</v>
      </c>
    </row>
    <row r="29653" spans="103:104" x14ac:dyDescent="0.3">
      <c r="CY29653" s="34" t="s">
        <v>30579</v>
      </c>
      <c r="CZ29653" s="35">
        <v>0.104788636</v>
      </c>
    </row>
    <row r="29654" spans="103:104" x14ac:dyDescent="0.3">
      <c r="CY29654" s="34" t="s">
        <v>30580</v>
      </c>
      <c r="CZ29654" s="35">
        <v>7.8865700000000011E-2</v>
      </c>
    </row>
    <row r="29655" spans="103:104" x14ac:dyDescent="0.3">
      <c r="CY29655" s="34" t="s">
        <v>30581</v>
      </c>
      <c r="CZ29655" s="35">
        <v>3.9523349999999999E-2</v>
      </c>
    </row>
    <row r="29656" spans="103:104" x14ac:dyDescent="0.3">
      <c r="CY29656" s="34" t="s">
        <v>30582</v>
      </c>
      <c r="CZ29656" s="35">
        <v>9.188080400000001E-2</v>
      </c>
    </row>
    <row r="29657" spans="103:104" x14ac:dyDescent="0.3">
      <c r="CY29657" s="34" t="s">
        <v>30583</v>
      </c>
      <c r="CZ29657" s="35">
        <v>7.4124955999999992E-2</v>
      </c>
    </row>
    <row r="29658" spans="103:104" x14ac:dyDescent="0.3">
      <c r="CY29658" s="34" t="s">
        <v>30584</v>
      </c>
      <c r="CZ29658" s="35">
        <v>3.8290304999999997E-2</v>
      </c>
    </row>
    <row r="29659" spans="103:104" x14ac:dyDescent="0.3">
      <c r="CY29659" s="34" t="s">
        <v>30585</v>
      </c>
      <c r="CZ29659" s="35">
        <v>3.5070197999999997E-2</v>
      </c>
    </row>
    <row r="29660" spans="103:104" x14ac:dyDescent="0.3">
      <c r="CY29660" s="34" t="s">
        <v>30586</v>
      </c>
      <c r="CZ29660" s="35">
        <v>9.1134368000000007E-2</v>
      </c>
    </row>
    <row r="29661" spans="103:104" x14ac:dyDescent="0.3">
      <c r="CY29661" s="34" t="s">
        <v>30587</v>
      </c>
      <c r="CZ29661" s="35">
        <v>9.2467700000000014E-3</v>
      </c>
    </row>
    <row r="29662" spans="103:104" x14ac:dyDescent="0.3">
      <c r="CY29662" s="34" t="s">
        <v>30588</v>
      </c>
      <c r="CZ29662" s="35">
        <v>2.1548765000000001E-2</v>
      </c>
    </row>
    <row r="29663" spans="103:104" x14ac:dyDescent="0.3">
      <c r="CY29663" s="34" t="s">
        <v>30589</v>
      </c>
      <c r="CZ29663" s="35">
        <v>3.3838340199999997E-2</v>
      </c>
    </row>
    <row r="29664" spans="103:104" x14ac:dyDescent="0.3">
      <c r="CY29664" s="34" t="s">
        <v>30590</v>
      </c>
      <c r="CZ29664" s="35">
        <v>6.5100160000000004E-2</v>
      </c>
    </row>
    <row r="29665" spans="103:104" x14ac:dyDescent="0.3">
      <c r="CY29665" s="34" t="s">
        <v>30591</v>
      </c>
      <c r="CZ29665" s="35">
        <v>2.0156540000000001E-2</v>
      </c>
    </row>
    <row r="29666" spans="103:104" x14ac:dyDescent="0.3">
      <c r="CY29666" s="34" t="s">
        <v>30592</v>
      </c>
      <c r="CZ29666" s="35">
        <v>3.0472556000000002E-3</v>
      </c>
    </row>
    <row r="29667" spans="103:104" x14ac:dyDescent="0.3">
      <c r="CY29667" s="34" t="s">
        <v>30593</v>
      </c>
      <c r="CZ29667" s="35">
        <v>3.3688937199999998E-2</v>
      </c>
    </row>
    <row r="29668" spans="103:104" x14ac:dyDescent="0.3">
      <c r="CY29668" s="34" t="s">
        <v>30594</v>
      </c>
      <c r="CZ29668" s="35">
        <v>3.2215437200000002E-2</v>
      </c>
    </row>
    <row r="29669" spans="103:104" x14ac:dyDescent="0.3">
      <c r="CY29669" s="34" t="s">
        <v>30595</v>
      </c>
      <c r="CZ29669" s="35">
        <v>0.49942913999999999</v>
      </c>
    </row>
    <row r="29670" spans="103:104" x14ac:dyDescent="0.3">
      <c r="CY29670" s="34" t="s">
        <v>30596</v>
      </c>
      <c r="CZ29670" s="35">
        <v>0.49942913999999999</v>
      </c>
    </row>
    <row r="29671" spans="103:104" x14ac:dyDescent="0.3">
      <c r="CY29671" s="34" t="s">
        <v>30597</v>
      </c>
      <c r="CZ29671" s="35">
        <v>0.46179651999999999</v>
      </c>
    </row>
    <row r="29672" spans="103:104" x14ac:dyDescent="0.3">
      <c r="CY29672" s="34" t="s">
        <v>30598</v>
      </c>
      <c r="CZ29672" s="35">
        <v>0.43164799999999998</v>
      </c>
    </row>
    <row r="29673" spans="103:104" x14ac:dyDescent="0.3">
      <c r="CY29673" s="34" t="s">
        <v>30599</v>
      </c>
      <c r="CZ29673" s="35">
        <v>0.37558883999999998</v>
      </c>
    </row>
    <row r="29674" spans="103:104" x14ac:dyDescent="0.3">
      <c r="CY29674" s="34" t="s">
        <v>30600</v>
      </c>
      <c r="CZ29674" s="35">
        <v>0.32741396</v>
      </c>
    </row>
    <row r="29675" spans="103:104" x14ac:dyDescent="0.3">
      <c r="CY29675" s="34" t="s">
        <v>30601</v>
      </c>
      <c r="CZ29675" s="35">
        <v>7.4472237999999996E-3</v>
      </c>
    </row>
    <row r="29676" spans="103:104" x14ac:dyDescent="0.3">
      <c r="CY29676" s="34" t="s">
        <v>30602</v>
      </c>
      <c r="CZ29676" s="35">
        <v>1.36935732E-2</v>
      </c>
    </row>
    <row r="29677" spans="103:104" x14ac:dyDescent="0.3">
      <c r="CY29677" s="34" t="s">
        <v>30603</v>
      </c>
      <c r="CZ29677" s="35">
        <v>5.6102700000000005E-3</v>
      </c>
    </row>
    <row r="29678" spans="103:104" x14ac:dyDescent="0.3">
      <c r="CY29678" s="34" t="s">
        <v>30604</v>
      </c>
      <c r="CZ29678" s="35">
        <v>5.6102700000000005E-3</v>
      </c>
    </row>
    <row r="29679" spans="103:104" x14ac:dyDescent="0.3">
      <c r="CY29679" s="34" t="s">
        <v>30605</v>
      </c>
      <c r="CZ29679" s="35">
        <v>2.4019941481481479E-2</v>
      </c>
    </row>
    <row r="29680" spans="103:104" x14ac:dyDescent="0.3">
      <c r="CY29680" s="34" t="s">
        <v>30606</v>
      </c>
      <c r="CZ29680" s="35">
        <v>4.2098006666666674E-2</v>
      </c>
    </row>
    <row r="29681" spans="103:104" x14ac:dyDescent="0.3">
      <c r="CY29681" s="34" t="s">
        <v>30607</v>
      </c>
      <c r="CZ29681" s="35">
        <v>1.7181925252525251E-2</v>
      </c>
    </row>
    <row r="29682" spans="103:104" x14ac:dyDescent="0.3">
      <c r="CY29682" s="34" t="s">
        <v>30608</v>
      </c>
      <c r="CZ29682" s="35">
        <v>1.8371659999999998E-2</v>
      </c>
    </row>
    <row r="29683" spans="103:104" x14ac:dyDescent="0.3">
      <c r="CY29683" s="34" t="s">
        <v>30609</v>
      </c>
      <c r="CZ29683" s="35">
        <v>1.8371659999999998E-2</v>
      </c>
    </row>
    <row r="29684" spans="103:104" x14ac:dyDescent="0.3">
      <c r="CY29684" s="34" t="s">
        <v>30610</v>
      </c>
      <c r="CZ29684" s="35">
        <v>5.1231163340000004E-2</v>
      </c>
    </row>
    <row r="29685" spans="103:104" x14ac:dyDescent="0.3">
      <c r="CY29685" s="34" t="s">
        <v>30611</v>
      </c>
      <c r="CZ29685" s="35">
        <v>2.7741616842105261E-2</v>
      </c>
    </row>
    <row r="29686" spans="103:104" x14ac:dyDescent="0.3">
      <c r="CY29686" s="34" t="s">
        <v>30612</v>
      </c>
      <c r="CZ29686" s="35">
        <v>0.22782367000000003</v>
      </c>
    </row>
    <row r="29687" spans="103:104" x14ac:dyDescent="0.3">
      <c r="CY29687" s="34" t="s">
        <v>30613</v>
      </c>
      <c r="CZ29687" s="35">
        <v>1.6619396000000002</v>
      </c>
    </row>
    <row r="29688" spans="103:104" x14ac:dyDescent="0.3">
      <c r="CY29688" s="34" t="s">
        <v>30614</v>
      </c>
      <c r="CZ29688" s="35">
        <v>9.0960260000000001E-4</v>
      </c>
    </row>
    <row r="29689" spans="103:104" x14ac:dyDescent="0.3">
      <c r="CY29689" s="34" t="s">
        <v>30615</v>
      </c>
      <c r="CZ29689" s="35">
        <v>1.60414E-3</v>
      </c>
    </row>
    <row r="29690" spans="103:104" x14ac:dyDescent="0.3">
      <c r="CY29690" s="34" t="s">
        <v>30616</v>
      </c>
      <c r="CZ29690" s="35">
        <v>3.1338979999999995E-3</v>
      </c>
    </row>
    <row r="29691" spans="103:104" x14ac:dyDescent="0.3">
      <c r="CY29691" s="34" t="s">
        <v>30617</v>
      </c>
      <c r="CZ29691" s="35">
        <v>1.9586213333333335E-2</v>
      </c>
    </row>
    <row r="29692" spans="103:104" x14ac:dyDescent="0.3">
      <c r="CY29692" s="34" t="s">
        <v>30618</v>
      </c>
      <c r="CZ29692" s="35">
        <v>6.8247776000000008E-3</v>
      </c>
    </row>
    <row r="29693" spans="103:104" x14ac:dyDescent="0.3">
      <c r="CY29693" s="34" t="s">
        <v>30619</v>
      </c>
      <c r="CZ29693" s="35">
        <v>3.0752606E-3</v>
      </c>
    </row>
    <row r="29694" spans="103:104" x14ac:dyDescent="0.3">
      <c r="CY29694" s="34" t="s">
        <v>30620</v>
      </c>
      <c r="CZ29694" s="35">
        <v>0.12960513200000001</v>
      </c>
    </row>
    <row r="29695" spans="103:104" x14ac:dyDescent="0.3">
      <c r="CY29695" s="34" t="s">
        <v>30621</v>
      </c>
      <c r="CZ29695" s="35">
        <v>9.0464636000000001E-2</v>
      </c>
    </row>
    <row r="29696" spans="103:104" x14ac:dyDescent="0.3">
      <c r="CY29696" s="34" t="s">
        <v>30622</v>
      </c>
      <c r="CZ29696" s="35">
        <v>1.8442615555555555E-2</v>
      </c>
    </row>
    <row r="29697" spans="103:104" x14ac:dyDescent="0.3">
      <c r="CY29697" s="34" t="s">
        <v>30623</v>
      </c>
      <c r="CZ29697" s="35">
        <v>4.2823162105263157E-2</v>
      </c>
    </row>
    <row r="29698" spans="103:104" x14ac:dyDescent="0.3">
      <c r="CY29698" s="34" t="s">
        <v>30624</v>
      </c>
      <c r="CZ29698" s="35">
        <v>3.2302631110000001E-3</v>
      </c>
    </row>
    <row r="29699" spans="103:104" x14ac:dyDescent="0.3">
      <c r="CY29699" s="34" t="s">
        <v>30625</v>
      </c>
      <c r="CZ29699" s="35">
        <v>2.9200193700000001E-3</v>
      </c>
    </row>
    <row r="29700" spans="103:104" x14ac:dyDescent="0.3">
      <c r="CY29700" s="34" t="s">
        <v>30626</v>
      </c>
      <c r="CZ29700" s="35">
        <v>3.2061543800000003E-3</v>
      </c>
    </row>
    <row r="29701" spans="103:104" x14ac:dyDescent="0.3">
      <c r="CY29701" s="34" t="s">
        <v>30627</v>
      </c>
      <c r="CZ29701" s="35">
        <v>3.7866114600000004E-3</v>
      </c>
    </row>
    <row r="29702" spans="103:104" x14ac:dyDescent="0.3">
      <c r="CY29702" s="34" t="s">
        <v>30628</v>
      </c>
      <c r="CZ29702" s="35">
        <v>2.8174706947368421E-2</v>
      </c>
    </row>
    <row r="29703" spans="103:104" x14ac:dyDescent="0.3">
      <c r="CY29703" s="34" t="s">
        <v>30629</v>
      </c>
      <c r="CZ29703" s="35">
        <v>3.3898944799999999E-3</v>
      </c>
    </row>
    <row r="29704" spans="103:104" x14ac:dyDescent="0.3">
      <c r="CY29704" s="34" t="s">
        <v>30630</v>
      </c>
      <c r="CZ29704" s="35">
        <v>1.7476755999999996E-2</v>
      </c>
    </row>
    <row r="29705" spans="103:104" x14ac:dyDescent="0.3">
      <c r="CY29705" s="34" t="s">
        <v>30631</v>
      </c>
      <c r="CZ29705" s="35">
        <v>1.3514396982456142E-2</v>
      </c>
    </row>
    <row r="29706" spans="103:104" x14ac:dyDescent="0.3">
      <c r="CY29706" s="34" t="s">
        <v>30632</v>
      </c>
      <c r="CZ29706" s="35">
        <v>2.0935302777777776E-2</v>
      </c>
    </row>
    <row r="29707" spans="103:104" x14ac:dyDescent="0.3">
      <c r="CY29707" s="34" t="s">
        <v>30633</v>
      </c>
      <c r="CZ29707" s="35">
        <v>2.709490181111111E-2</v>
      </c>
    </row>
    <row r="29708" spans="103:104" x14ac:dyDescent="0.3">
      <c r="CY29708" s="34" t="s">
        <v>30634</v>
      </c>
      <c r="CZ29708" s="35">
        <v>3.1435709473684209E-2</v>
      </c>
    </row>
    <row r="29709" spans="103:104" x14ac:dyDescent="0.3">
      <c r="CY29709" s="34" t="s">
        <v>30635</v>
      </c>
      <c r="CZ29709" s="35">
        <v>3.9998575019999996E-3</v>
      </c>
    </row>
    <row r="29710" spans="103:104" x14ac:dyDescent="0.3">
      <c r="CY29710" s="34" t="s">
        <v>30636</v>
      </c>
      <c r="CZ29710" s="35">
        <v>2.6767913885714289E-3</v>
      </c>
    </row>
    <row r="29711" spans="103:104" x14ac:dyDescent="0.3">
      <c r="CY29711" s="34" t="s">
        <v>30637</v>
      </c>
      <c r="CZ29711" s="35">
        <v>2.0206079999999998E-2</v>
      </c>
    </row>
    <row r="29712" spans="103:104" x14ac:dyDescent="0.3">
      <c r="CY29712" s="34" t="s">
        <v>30638</v>
      </c>
      <c r="CZ29712" s="35">
        <v>2.4692309999999999E-2</v>
      </c>
    </row>
    <row r="29713" spans="103:104" x14ac:dyDescent="0.3">
      <c r="CY29713" s="34" t="s">
        <v>30639</v>
      </c>
      <c r="CZ29713" s="35">
        <v>0.33750037799999993</v>
      </c>
    </row>
    <row r="29714" spans="103:104" x14ac:dyDescent="0.3">
      <c r="CY29714" s="34" t="s">
        <v>30640</v>
      </c>
      <c r="CZ29714" s="35">
        <v>3.9275660000000004E-3</v>
      </c>
    </row>
    <row r="29715" spans="103:104" x14ac:dyDescent="0.3">
      <c r="CY29715" s="34" t="s">
        <v>30641</v>
      </c>
      <c r="CZ29715" s="35">
        <v>3.4765973333333332E-2</v>
      </c>
    </row>
    <row r="29716" spans="103:104" x14ac:dyDescent="0.3">
      <c r="CY29716" s="34" t="s">
        <v>30642</v>
      </c>
      <c r="CZ29716" s="35">
        <v>3.4765973333333332E-2</v>
      </c>
    </row>
    <row r="29717" spans="103:104" x14ac:dyDescent="0.3">
      <c r="CY29717" s="34" t="s">
        <v>30643</v>
      </c>
      <c r="CZ29717" s="35">
        <v>5.4129831999999998E-3</v>
      </c>
    </row>
    <row r="29718" spans="103:104" x14ac:dyDescent="0.3">
      <c r="CY29718" s="34" t="s">
        <v>30644</v>
      </c>
      <c r="CZ29718" s="35">
        <v>3.6512939000000008E-2</v>
      </c>
    </row>
    <row r="29719" spans="103:104" x14ac:dyDescent="0.3">
      <c r="CY29719" s="34" t="s">
        <v>30645</v>
      </c>
      <c r="CZ29719" s="35">
        <v>0.59193911999999993</v>
      </c>
    </row>
    <row r="29720" spans="103:104" x14ac:dyDescent="0.3">
      <c r="CY29720" s="34" t="s">
        <v>30646</v>
      </c>
      <c r="CZ29720" s="35">
        <v>5.7618421999999997E-3</v>
      </c>
    </row>
    <row r="29721" spans="103:104" x14ac:dyDescent="0.3">
      <c r="CY29721" s="34" t="s">
        <v>30647</v>
      </c>
      <c r="CZ29721" s="35">
        <v>2.4228242857142861E-2</v>
      </c>
    </row>
    <row r="29722" spans="103:104" x14ac:dyDescent="0.3">
      <c r="CY29722" s="34" t="s">
        <v>30648</v>
      </c>
      <c r="CZ29722" s="35">
        <v>0.38251044044444449</v>
      </c>
    </row>
    <row r="29723" spans="103:104" x14ac:dyDescent="0.3">
      <c r="CY29723" s="34" t="s">
        <v>30649</v>
      </c>
      <c r="CZ29723" s="35">
        <v>3.2928280000000002E-3</v>
      </c>
    </row>
    <row r="29724" spans="103:104" x14ac:dyDescent="0.3">
      <c r="CY29724" s="34" t="s">
        <v>30650</v>
      </c>
      <c r="CZ29724" s="35">
        <v>6.0833333333333334E-4</v>
      </c>
    </row>
    <row r="29725" spans="103:104" x14ac:dyDescent="0.3">
      <c r="CY29725" s="34" t="s">
        <v>30651</v>
      </c>
      <c r="CZ29725" s="35">
        <v>2.5170209200000004E-4</v>
      </c>
    </row>
    <row r="29726" spans="103:104" x14ac:dyDescent="0.3">
      <c r="CY29726" s="34" t="s">
        <v>30652</v>
      </c>
      <c r="CZ29726" s="35">
        <v>1.84417976E-3</v>
      </c>
    </row>
    <row r="29727" spans="103:104" x14ac:dyDescent="0.3">
      <c r="CY29727" s="34" t="s">
        <v>30653</v>
      </c>
      <c r="CZ29727" s="35">
        <v>3.3351571999999996E-2</v>
      </c>
    </row>
    <row r="29728" spans="103:104" x14ac:dyDescent="0.3">
      <c r="CY29728" s="34" t="s">
        <v>30654</v>
      </c>
      <c r="CZ29728" s="35">
        <v>3.2859047999999995E-3</v>
      </c>
    </row>
    <row r="29729" spans="103:104" x14ac:dyDescent="0.3">
      <c r="CY29729" s="34" t="s">
        <v>30655</v>
      </c>
      <c r="CZ29729" s="35">
        <v>5.9953960000000001E-3</v>
      </c>
    </row>
    <row r="29730" spans="103:104" x14ac:dyDescent="0.3">
      <c r="CY29730" s="34" t="s">
        <v>30656</v>
      </c>
      <c r="CZ29730" s="35">
        <v>9.3314579999999997E-4</v>
      </c>
    </row>
    <row r="29731" spans="103:104" x14ac:dyDescent="0.3">
      <c r="CY29731" s="34" t="s">
        <v>30657</v>
      </c>
      <c r="CZ29731" s="35">
        <v>1.6324584400000001E-2</v>
      </c>
    </row>
    <row r="29732" spans="103:104" x14ac:dyDescent="0.3">
      <c r="CY29732" s="34" t="s">
        <v>30658</v>
      </c>
      <c r="CZ29732" s="35">
        <v>4.2730310353535361E-2</v>
      </c>
    </row>
    <row r="29733" spans="103:104" x14ac:dyDescent="0.3">
      <c r="CY29733" s="34" t="s">
        <v>30659</v>
      </c>
      <c r="CZ29733" s="35">
        <v>0.1068651575757576</v>
      </c>
    </row>
    <row r="29734" spans="103:104" x14ac:dyDescent="0.3">
      <c r="CY29734" s="34" t="s">
        <v>30660</v>
      </c>
      <c r="CZ29734" s="35">
        <v>0.10802616484500001</v>
      </c>
    </row>
    <row r="29735" spans="103:104" x14ac:dyDescent="0.3">
      <c r="CY29735" s="34" t="s">
        <v>30661</v>
      </c>
      <c r="CZ29735" s="35">
        <v>5.1727099999999996E-3</v>
      </c>
    </row>
    <row r="29736" spans="103:104" x14ac:dyDescent="0.3">
      <c r="CY29736" s="34" t="s">
        <v>30662</v>
      </c>
      <c r="CZ29736" s="35">
        <v>4.2561224000000003E-4</v>
      </c>
    </row>
    <row r="29737" spans="103:104" x14ac:dyDescent="0.3">
      <c r="CY29737" s="34" t="s">
        <v>30663</v>
      </c>
      <c r="CZ29737" s="35">
        <v>8.3273776000000008E-2</v>
      </c>
    </row>
    <row r="29738" spans="103:104" x14ac:dyDescent="0.3">
      <c r="CY29738" s="34" t="s">
        <v>30664</v>
      </c>
      <c r="CZ29738" s="35">
        <v>3.7934126666666665E-2</v>
      </c>
    </row>
    <row r="29739" spans="103:104" x14ac:dyDescent="0.3">
      <c r="CY29739" s="34" t="s">
        <v>30665</v>
      </c>
      <c r="CZ29739" s="35">
        <v>5.3238456999999996E-2</v>
      </c>
    </row>
    <row r="29740" spans="103:104" x14ac:dyDescent="0.3">
      <c r="CY29740" s="34" t="s">
        <v>30666</v>
      </c>
      <c r="CZ29740" s="35">
        <v>4.0639895999999998E-3</v>
      </c>
    </row>
    <row r="29741" spans="103:104" x14ac:dyDescent="0.3">
      <c r="CY29741" s="34" t="s">
        <v>30667</v>
      </c>
      <c r="CZ29741" s="35">
        <v>8.4539260000000003E-4</v>
      </c>
    </row>
    <row r="29742" spans="103:104" x14ac:dyDescent="0.3">
      <c r="CY29742" s="34" t="s">
        <v>30668</v>
      </c>
      <c r="CZ29742" s="35">
        <v>1.4766051999999998E-3</v>
      </c>
    </row>
    <row r="29743" spans="103:104" x14ac:dyDescent="0.3">
      <c r="CY29743" s="34" t="s">
        <v>30669</v>
      </c>
      <c r="CZ29743" s="35">
        <v>1.05254332E-2</v>
      </c>
    </row>
    <row r="29744" spans="103:104" x14ac:dyDescent="0.3">
      <c r="CY29744" s="34" t="s">
        <v>30670</v>
      </c>
      <c r="CZ29744" s="35">
        <v>1.0852742E-2</v>
      </c>
    </row>
    <row r="29745" spans="103:104" x14ac:dyDescent="0.3">
      <c r="CY29745" s="34" t="s">
        <v>30671</v>
      </c>
      <c r="CZ29745" s="35">
        <v>1.1638462E-2</v>
      </c>
    </row>
    <row r="29746" spans="103:104" x14ac:dyDescent="0.3">
      <c r="CY29746" s="34" t="s">
        <v>30672</v>
      </c>
      <c r="CZ29746" s="35">
        <v>7.2092774000000002E-3</v>
      </c>
    </row>
    <row r="29747" spans="103:104" x14ac:dyDescent="0.3">
      <c r="CY29747" s="34" t="s">
        <v>30673</v>
      </c>
      <c r="CZ29747" s="35">
        <v>3.7528387999999999E-3</v>
      </c>
    </row>
    <row r="29748" spans="103:104" x14ac:dyDescent="0.3">
      <c r="CY29748" s="34" t="s">
        <v>30674</v>
      </c>
      <c r="CZ29748" s="35">
        <v>7.0717475555555544E-3</v>
      </c>
    </row>
    <row r="29749" spans="103:104" x14ac:dyDescent="0.3">
      <c r="CY29749" s="34" t="s">
        <v>30675</v>
      </c>
      <c r="CZ29749" s="35">
        <v>6.8298835555555557E-3</v>
      </c>
    </row>
    <row r="29750" spans="103:104" x14ac:dyDescent="0.3">
      <c r="CY29750" s="34" t="s">
        <v>30676</v>
      </c>
      <c r="CZ29750" s="35">
        <v>6.6571235555555565E-3</v>
      </c>
    </row>
    <row r="29751" spans="103:104" x14ac:dyDescent="0.3">
      <c r="CY29751" s="34" t="s">
        <v>30677</v>
      </c>
      <c r="CZ29751" s="35">
        <v>6.4498115555555562E-3</v>
      </c>
    </row>
    <row r="29752" spans="103:104" x14ac:dyDescent="0.3">
      <c r="CY29752" s="34" t="s">
        <v>30678</v>
      </c>
      <c r="CZ29752" s="35">
        <v>6.2770515555555561E-3</v>
      </c>
    </row>
    <row r="29753" spans="103:104" x14ac:dyDescent="0.3">
      <c r="CY29753" s="34" t="s">
        <v>30679</v>
      </c>
      <c r="CZ29753" s="35">
        <v>4.2292918367346942E-3</v>
      </c>
    </row>
    <row r="29754" spans="103:104" x14ac:dyDescent="0.3">
      <c r="CY29754" s="34" t="s">
        <v>30680</v>
      </c>
      <c r="CZ29754" s="35">
        <v>1.0380536000000001E-3</v>
      </c>
    </row>
    <row r="29755" spans="103:104" x14ac:dyDescent="0.3">
      <c r="CY29755" s="34" t="s">
        <v>30681</v>
      </c>
      <c r="CZ29755" s="35">
        <v>1.0380536000000001E-3</v>
      </c>
    </row>
    <row r="29756" spans="103:104" x14ac:dyDescent="0.3">
      <c r="CY29756" s="34" t="s">
        <v>30682</v>
      </c>
      <c r="CZ29756" s="35">
        <v>1.0380536000000001E-3</v>
      </c>
    </row>
    <row r="29757" spans="103:104" x14ac:dyDescent="0.3">
      <c r="CY29757" s="34" t="s">
        <v>30683</v>
      </c>
      <c r="CZ29757" s="35">
        <v>1.2625536000000002E-3</v>
      </c>
    </row>
    <row r="29758" spans="103:104" x14ac:dyDescent="0.3">
      <c r="CY29758" s="34" t="s">
        <v>30684</v>
      </c>
      <c r="CZ29758" s="35">
        <v>8.985361E-2</v>
      </c>
    </row>
    <row r="29759" spans="103:104" x14ac:dyDescent="0.3">
      <c r="CY29759" s="34" t="s">
        <v>30685</v>
      </c>
      <c r="CZ29759" s="35">
        <v>8.985361E-2</v>
      </c>
    </row>
    <row r="29760" spans="103:104" x14ac:dyDescent="0.3">
      <c r="CY29760" s="34" t="s">
        <v>30686</v>
      </c>
      <c r="CZ29760" s="35">
        <v>0.22964813133333331</v>
      </c>
    </row>
    <row r="29761" spans="103:104" x14ac:dyDescent="0.3">
      <c r="CY29761" s="34" t="s">
        <v>30687</v>
      </c>
      <c r="CZ29761" s="35">
        <v>1.7502883999999999E-3</v>
      </c>
    </row>
    <row r="29762" spans="103:104" x14ac:dyDescent="0.3">
      <c r="CY29762" s="34" t="s">
        <v>30688</v>
      </c>
      <c r="CZ29762" s="35">
        <v>3.5781207999999995E-2</v>
      </c>
    </row>
    <row r="29763" spans="103:104" x14ac:dyDescent="0.3">
      <c r="CY29763" s="34" t="s">
        <v>30689</v>
      </c>
      <c r="CZ29763" s="35">
        <v>3.5781207999999995E-2</v>
      </c>
    </row>
    <row r="29764" spans="103:104" x14ac:dyDescent="0.3">
      <c r="CY29764" s="34" t="s">
        <v>30690</v>
      </c>
      <c r="CZ29764" s="35">
        <v>4.2983274650000007E-2</v>
      </c>
    </row>
    <row r="29765" spans="103:104" x14ac:dyDescent="0.3">
      <c r="CY29765" s="34" t="s">
        <v>30691</v>
      </c>
      <c r="CZ29765" s="35">
        <v>4.3417449141414148E-2</v>
      </c>
    </row>
    <row r="29766" spans="103:104" x14ac:dyDescent="0.3">
      <c r="CY29766" s="34" t="s">
        <v>30692</v>
      </c>
      <c r="CZ29766" s="35">
        <v>0.52149194666666665</v>
      </c>
    </row>
    <row r="29767" spans="103:104" x14ac:dyDescent="0.3">
      <c r="CY29767" s="34" t="s">
        <v>30693</v>
      </c>
      <c r="CZ29767" s="35">
        <v>3.242048E-3</v>
      </c>
    </row>
    <row r="29768" spans="103:104" x14ac:dyDescent="0.3">
      <c r="CY29768" s="34" t="s">
        <v>30694</v>
      </c>
      <c r="CZ29768" s="35">
        <v>0.28323827210884694</v>
      </c>
    </row>
    <row r="29769" spans="103:104" x14ac:dyDescent="0.3">
      <c r="CY29769" s="34" t="s">
        <v>30695</v>
      </c>
      <c r="CZ29769" s="35">
        <v>5.9149999999999993E-3</v>
      </c>
    </row>
    <row r="29770" spans="103:104" x14ac:dyDescent="0.3">
      <c r="CY29770" s="34" t="s">
        <v>30696</v>
      </c>
      <c r="CZ29770" s="35">
        <v>1.1167825666666667E-2</v>
      </c>
    </row>
    <row r="29771" spans="103:104" x14ac:dyDescent="0.3">
      <c r="CY29771" s="34" t="s">
        <v>30697</v>
      </c>
      <c r="CZ29771" s="35">
        <v>1.3638602666666666E-2</v>
      </c>
    </row>
    <row r="29772" spans="103:104" x14ac:dyDescent="0.3">
      <c r="CY29772" s="34" t="s">
        <v>30698</v>
      </c>
      <c r="CZ29772" s="35">
        <v>7.7252500000000003E-3</v>
      </c>
    </row>
    <row r="29773" spans="103:104" x14ac:dyDescent="0.3">
      <c r="CY29773" s="34" t="s">
        <v>30699</v>
      </c>
      <c r="CZ29773" s="35">
        <v>4.7223916666666666E-3</v>
      </c>
    </row>
    <row r="29774" spans="103:104" x14ac:dyDescent="0.3">
      <c r="CY29774" s="34" t="s">
        <v>30700</v>
      </c>
      <c r="CZ29774" s="35">
        <v>2.9271916666666667E-3</v>
      </c>
    </row>
    <row r="29775" spans="103:104" x14ac:dyDescent="0.3">
      <c r="CY29775" s="34" t="s">
        <v>30701</v>
      </c>
      <c r="CZ29775" s="35">
        <v>3.5095851259259259E-3</v>
      </c>
    </row>
    <row r="29776" spans="103:104" x14ac:dyDescent="0.3">
      <c r="CY29776" s="34" t="s">
        <v>30702</v>
      </c>
      <c r="CZ29776" s="35">
        <v>3.3292501299999999E-2</v>
      </c>
    </row>
    <row r="29777" spans="103:104" x14ac:dyDescent="0.3">
      <c r="CY29777" s="34" t="s">
        <v>30703</v>
      </c>
      <c r="CZ29777" s="35">
        <v>0.11946388000000001</v>
      </c>
    </row>
    <row r="29778" spans="103:104" x14ac:dyDescent="0.3">
      <c r="CY29778" s="34" t="s">
        <v>30704</v>
      </c>
      <c r="CZ29778" s="35">
        <v>1.7086188833333335E-2</v>
      </c>
    </row>
    <row r="29779" spans="103:104" x14ac:dyDescent="0.3">
      <c r="CY29779" s="34" t="s">
        <v>30705</v>
      </c>
      <c r="CZ29779" s="35">
        <v>7.0491746000000003E-3</v>
      </c>
    </row>
    <row r="29780" spans="103:104" x14ac:dyDescent="0.3">
      <c r="CY29780" s="34" t="s">
        <v>30706</v>
      </c>
      <c r="CZ29780" s="35">
        <v>0.14285663799999998</v>
      </c>
    </row>
    <row r="29781" spans="103:104" x14ac:dyDescent="0.3">
      <c r="CY29781" s="34" t="s">
        <v>30707</v>
      </c>
      <c r="CZ29781" s="35">
        <v>6.7025836E-3</v>
      </c>
    </row>
    <row r="29782" spans="103:104" x14ac:dyDescent="0.3">
      <c r="CY29782" s="34" t="s">
        <v>30708</v>
      </c>
      <c r="CZ29782" s="35">
        <v>0.14045611258000001</v>
      </c>
    </row>
    <row r="29783" spans="103:104" x14ac:dyDescent="0.3">
      <c r="CY29783" s="34" t="s">
        <v>30709</v>
      </c>
      <c r="CZ29783" s="35">
        <v>1.112558E-3</v>
      </c>
    </row>
    <row r="29784" spans="103:104" x14ac:dyDescent="0.3">
      <c r="CY29784" s="34" t="s">
        <v>30710</v>
      </c>
      <c r="CZ29784" s="35">
        <v>2.1737990000000001E-3</v>
      </c>
    </row>
    <row r="29785" spans="103:104" x14ac:dyDescent="0.3">
      <c r="CY29785" s="34" t="s">
        <v>30711</v>
      </c>
      <c r="CZ29785" s="35">
        <v>2.8511218999999999</v>
      </c>
    </row>
    <row r="29786" spans="103:104" x14ac:dyDescent="0.3">
      <c r="CY29786" s="34" t="s">
        <v>30712</v>
      </c>
      <c r="CZ29786" s="35">
        <v>2.1356223999999999</v>
      </c>
    </row>
    <row r="29787" spans="103:104" x14ac:dyDescent="0.3">
      <c r="CY29787" s="34" t="s">
        <v>30713</v>
      </c>
      <c r="CZ29787" s="35">
        <v>2.6395166100000002E-2</v>
      </c>
    </row>
    <row r="29788" spans="103:104" x14ac:dyDescent="0.3">
      <c r="CY29788" s="34" t="s">
        <v>30714</v>
      </c>
      <c r="CZ29788" s="35">
        <v>1.1376882000000001E-2</v>
      </c>
    </row>
    <row r="29789" spans="103:104" x14ac:dyDescent="0.3">
      <c r="CY29789" s="34" t="s">
        <v>30715</v>
      </c>
      <c r="CZ29789" s="35">
        <v>3.5629533300000002E-2</v>
      </c>
    </row>
    <row r="29790" spans="103:104" x14ac:dyDescent="0.3">
      <c r="CY29790" s="34" t="s">
        <v>30716</v>
      </c>
      <c r="CZ29790" s="35">
        <v>3.5781033300000001E-2</v>
      </c>
    </row>
    <row r="29791" spans="103:104" x14ac:dyDescent="0.3">
      <c r="CY29791" s="34" t="s">
        <v>30717</v>
      </c>
      <c r="CZ29791" s="35">
        <v>3.3030240551564997E-2</v>
      </c>
    </row>
    <row r="29792" spans="103:104" x14ac:dyDescent="0.3">
      <c r="CY29792" s="34" t="s">
        <v>30718</v>
      </c>
      <c r="CZ29792" s="35">
        <v>2.6268435300000004E-2</v>
      </c>
    </row>
    <row r="29793" spans="103:104" x14ac:dyDescent="0.3">
      <c r="CY29793" s="34" t="s">
        <v>30719</v>
      </c>
      <c r="CZ29793" s="35">
        <v>3.5629533300000002E-2</v>
      </c>
    </row>
    <row r="29794" spans="103:104" x14ac:dyDescent="0.3">
      <c r="CY29794" s="34" t="s">
        <v>30720</v>
      </c>
      <c r="CZ29794" s="35">
        <v>3.5781033300000001E-2</v>
      </c>
    </row>
    <row r="29795" spans="103:104" x14ac:dyDescent="0.3">
      <c r="CY29795" s="34" t="s">
        <v>30721</v>
      </c>
      <c r="CZ29795" s="35">
        <v>3.3030240551564997E-2</v>
      </c>
    </row>
    <row r="29796" spans="103:104" x14ac:dyDescent="0.3">
      <c r="CY29796" s="34" t="s">
        <v>30722</v>
      </c>
      <c r="CZ29796" s="35">
        <v>2.6268435300000004E-2</v>
      </c>
    </row>
    <row r="29797" spans="103:104" x14ac:dyDescent="0.3">
      <c r="CY29797" s="34" t="s">
        <v>30723</v>
      </c>
      <c r="CZ29797" s="35">
        <v>3.0380972999999999E-2</v>
      </c>
    </row>
    <row r="29798" spans="103:104" x14ac:dyDescent="0.3">
      <c r="CY29798" s="34" t="s">
        <v>30724</v>
      </c>
      <c r="CZ29798" s="35">
        <v>5.6340228000000006E-2</v>
      </c>
    </row>
    <row r="29799" spans="103:104" x14ac:dyDescent="0.3">
      <c r="CY29799" s="34" t="s">
        <v>30725</v>
      </c>
      <c r="CZ29799" s="35">
        <v>0.31900351999999998</v>
      </c>
    </row>
    <row r="29800" spans="103:104" x14ac:dyDescent="0.3">
      <c r="CY29800" s="34" t="s">
        <v>30726</v>
      </c>
      <c r="CZ29800" s="35">
        <v>0.59202869999999996</v>
      </c>
    </row>
    <row r="29801" spans="103:104" x14ac:dyDescent="0.3">
      <c r="CY29801" s="34" t="s">
        <v>30727</v>
      </c>
      <c r="CZ29801" s="35">
        <v>0.59202869999999996</v>
      </c>
    </row>
    <row r="29802" spans="103:104" x14ac:dyDescent="0.3">
      <c r="CY29802" s="34" t="s">
        <v>30728</v>
      </c>
      <c r="CZ29802" s="35">
        <v>6.4162000000000004E-3</v>
      </c>
    </row>
    <row r="29803" spans="103:104" x14ac:dyDescent="0.3">
      <c r="CY29803" s="34" t="s">
        <v>30729</v>
      </c>
      <c r="CZ29803" s="35">
        <v>0.13252414653846153</v>
      </c>
    </row>
    <row r="29804" spans="103:104" x14ac:dyDescent="0.3">
      <c r="CY29804" s="34" t="s">
        <v>30730</v>
      </c>
      <c r="CZ29804" s="35">
        <v>7.3532538461538455E-3</v>
      </c>
    </row>
    <row r="29805" spans="103:104" x14ac:dyDescent="0.3">
      <c r="CY29805" s="34" t="s">
        <v>30731</v>
      </c>
      <c r="CZ29805" s="35">
        <v>1.5826873E-3</v>
      </c>
    </row>
    <row r="29806" spans="103:104" x14ac:dyDescent="0.3">
      <c r="CY29806" s="34" t="s">
        <v>30732</v>
      </c>
      <c r="CZ29806" s="35">
        <v>3.6880336999999992E-2</v>
      </c>
    </row>
    <row r="29807" spans="103:104" x14ac:dyDescent="0.3">
      <c r="CY29807" s="34" t="s">
        <v>30733</v>
      </c>
      <c r="CZ29807" s="35">
        <v>0.41660479066666661</v>
      </c>
    </row>
    <row r="29808" spans="103:104" x14ac:dyDescent="0.3">
      <c r="CY29808" s="34" t="s">
        <v>30734</v>
      </c>
      <c r="CZ29808" s="35">
        <v>0.44631616666666662</v>
      </c>
    </row>
    <row r="29809" spans="103:104" x14ac:dyDescent="0.3">
      <c r="CY29809" s="34" t="s">
        <v>30735</v>
      </c>
      <c r="CZ29809" s="35">
        <v>0.48564004666666666</v>
      </c>
    </row>
    <row r="29810" spans="103:104" x14ac:dyDescent="0.3">
      <c r="CY29810" s="34" t="s">
        <v>30736</v>
      </c>
      <c r="CZ29810" s="35">
        <v>0.3420168306666666</v>
      </c>
    </row>
    <row r="29811" spans="103:104" x14ac:dyDescent="0.3">
      <c r="CY29811" s="34" t="s">
        <v>30737</v>
      </c>
      <c r="CZ29811" s="35">
        <v>0.44631616666666668</v>
      </c>
    </row>
    <row r="29812" spans="103:104" x14ac:dyDescent="0.3">
      <c r="CY29812" s="34" t="s">
        <v>30738</v>
      </c>
      <c r="CZ29812" s="35">
        <v>0.4856400466666666</v>
      </c>
    </row>
    <row r="29813" spans="103:104" x14ac:dyDescent="0.3">
      <c r="CY29813" s="34" t="s">
        <v>30739</v>
      </c>
      <c r="CZ29813" s="35">
        <v>0.17461293866666666</v>
      </c>
    </row>
    <row r="29814" spans="103:104" x14ac:dyDescent="0.3">
      <c r="CY29814" s="34" t="s">
        <v>30740</v>
      </c>
      <c r="CZ29814" s="35">
        <v>0.36628616666666669</v>
      </c>
    </row>
    <row r="29815" spans="103:104" x14ac:dyDescent="0.3">
      <c r="CY29815" s="34" t="s">
        <v>30741</v>
      </c>
      <c r="CZ29815" s="35">
        <v>0.48564004666666666</v>
      </c>
    </row>
    <row r="29816" spans="103:104" x14ac:dyDescent="0.3">
      <c r="CY29816" s="34" t="s">
        <v>30742</v>
      </c>
      <c r="CZ29816" s="35">
        <v>0.42397157866666668</v>
      </c>
    </row>
    <row r="29817" spans="103:104" x14ac:dyDescent="0.3">
      <c r="CY29817" s="34" t="s">
        <v>30743</v>
      </c>
      <c r="CZ29817" s="35">
        <v>0.45068548666666669</v>
      </c>
    </row>
    <row r="29818" spans="103:104" x14ac:dyDescent="0.3">
      <c r="CY29818" s="34" t="s">
        <v>30744</v>
      </c>
      <c r="CZ29818" s="35">
        <v>0.46379344666666661</v>
      </c>
    </row>
    <row r="29819" spans="103:104" x14ac:dyDescent="0.3">
      <c r="CY29819" s="34" t="s">
        <v>30745</v>
      </c>
      <c r="CZ29819" s="35">
        <v>0.17025103866666666</v>
      </c>
    </row>
    <row r="29820" spans="103:104" x14ac:dyDescent="0.3">
      <c r="CY29820" s="34" t="s">
        <v>30746</v>
      </c>
      <c r="CZ29820" s="35">
        <v>0.45068548666666663</v>
      </c>
    </row>
    <row r="29821" spans="103:104" x14ac:dyDescent="0.3">
      <c r="CY29821" s="34" t="s">
        <v>30747</v>
      </c>
      <c r="CZ29821" s="35">
        <v>0.46379344666666661</v>
      </c>
    </row>
    <row r="29822" spans="103:104" x14ac:dyDescent="0.3">
      <c r="CY29822" s="34" t="s">
        <v>30748</v>
      </c>
      <c r="CZ29822" s="35">
        <v>0.33273737866666669</v>
      </c>
    </row>
    <row r="29823" spans="103:104" x14ac:dyDescent="0.3">
      <c r="CY29823" s="34" t="s">
        <v>30749</v>
      </c>
      <c r="CZ29823" s="35">
        <v>0.45068548666666663</v>
      </c>
    </row>
    <row r="29824" spans="103:104" x14ac:dyDescent="0.3">
      <c r="CY29824" s="34" t="s">
        <v>30750</v>
      </c>
      <c r="CZ29824" s="35">
        <v>0.46379344666666661</v>
      </c>
    </row>
    <row r="29825" spans="103:104" x14ac:dyDescent="0.3">
      <c r="CY29825" s="34" t="s">
        <v>30751</v>
      </c>
      <c r="CZ29825" s="35">
        <v>0.1676338986666667</v>
      </c>
    </row>
    <row r="29826" spans="103:104" x14ac:dyDescent="0.3">
      <c r="CY29826" s="34" t="s">
        <v>30752</v>
      </c>
      <c r="CZ29826" s="35">
        <v>8.1697475499999984E-3</v>
      </c>
    </row>
    <row r="29827" spans="103:104" x14ac:dyDescent="0.3">
      <c r="CY29827" s="34" t="s">
        <v>30753</v>
      </c>
      <c r="CZ29827" s="35">
        <v>5.8116619999999994E-2</v>
      </c>
    </row>
    <row r="29828" spans="103:104" x14ac:dyDescent="0.3">
      <c r="CY29828" s="34" t="s">
        <v>30754</v>
      </c>
      <c r="CZ29828" s="35">
        <v>8.6176786666666654E-4</v>
      </c>
    </row>
    <row r="29829" spans="103:104" x14ac:dyDescent="0.3">
      <c r="CY29829" s="34" t="s">
        <v>30755</v>
      </c>
      <c r="CZ29829" s="35">
        <v>0.49032275999999991</v>
      </c>
    </row>
    <row r="29830" spans="103:104" x14ac:dyDescent="0.3">
      <c r="CY29830" s="34" t="s">
        <v>30756</v>
      </c>
      <c r="CZ29830" s="35">
        <v>0.51314243999999998</v>
      </c>
    </row>
    <row r="29831" spans="103:104" x14ac:dyDescent="0.3">
      <c r="CY29831" s="34" t="s">
        <v>30757</v>
      </c>
      <c r="CZ29831" s="35">
        <v>0.16753856</v>
      </c>
    </row>
    <row r="29832" spans="103:104" x14ac:dyDescent="0.3">
      <c r="CY29832" s="34" t="s">
        <v>30758</v>
      </c>
      <c r="CZ29832" s="35">
        <v>4.8751710000000002E-3</v>
      </c>
    </row>
    <row r="29833" spans="103:104" x14ac:dyDescent="0.3">
      <c r="CY29833" s="34" t="s">
        <v>30759</v>
      </c>
      <c r="CZ29833" s="35">
        <v>1.6113315999999999E-2</v>
      </c>
    </row>
    <row r="29834" spans="103:104" x14ac:dyDescent="0.3">
      <c r="CY29834" s="34" t="s">
        <v>30760</v>
      </c>
      <c r="CZ29834" s="35">
        <v>6.1228788888888885E-2</v>
      </c>
    </row>
    <row r="29835" spans="103:104" x14ac:dyDescent="0.3">
      <c r="CY29835" s="34" t="s">
        <v>30761</v>
      </c>
      <c r="CZ29835" s="35">
        <v>2.0334675000000003E-3</v>
      </c>
    </row>
    <row r="29836" spans="103:104" x14ac:dyDescent="0.3">
      <c r="CY29836" s="34" t="s">
        <v>30762</v>
      </c>
      <c r="CZ29836" s="35">
        <v>1.6916532000000001E-2</v>
      </c>
    </row>
    <row r="29837" spans="103:104" x14ac:dyDescent="0.3">
      <c r="CY29837" s="34" t="s">
        <v>30763</v>
      </c>
      <c r="CZ29837" s="35">
        <v>1.6916532000000001E-2</v>
      </c>
    </row>
    <row r="29838" spans="103:104" x14ac:dyDescent="0.3">
      <c r="CY29838" s="34" t="s">
        <v>30764</v>
      </c>
      <c r="CZ29838" s="35">
        <v>1.3150961999999999E-2</v>
      </c>
    </row>
    <row r="29839" spans="103:104" x14ac:dyDescent="0.3">
      <c r="CY29839" s="34" t="s">
        <v>30765</v>
      </c>
      <c r="CZ29839" s="35">
        <v>1.2526338000000001E-2</v>
      </c>
    </row>
    <row r="29840" spans="103:104" x14ac:dyDescent="0.3">
      <c r="CY29840" s="34" t="s">
        <v>30766</v>
      </c>
      <c r="CZ29840" s="35">
        <v>2.7959476000000004E-2</v>
      </c>
    </row>
    <row r="29841" spans="103:104" x14ac:dyDescent="0.3">
      <c r="CY29841" s="34" t="s">
        <v>30767</v>
      </c>
      <c r="CZ29841" s="35">
        <v>2.07101295E-2</v>
      </c>
    </row>
    <row r="29842" spans="103:104" x14ac:dyDescent="0.3">
      <c r="CY29842" s="34" t="s">
        <v>30768</v>
      </c>
      <c r="CZ29842" s="35">
        <v>4.7064616727272727E-3</v>
      </c>
    </row>
    <row r="29843" spans="103:104" x14ac:dyDescent="0.3">
      <c r="CY29843" s="34" t="s">
        <v>30769</v>
      </c>
      <c r="CZ29843" s="35">
        <v>4.8266317999999997E-4</v>
      </c>
    </row>
    <row r="29844" spans="103:104" x14ac:dyDescent="0.3">
      <c r="CY29844" s="34" t="s">
        <v>30770</v>
      </c>
      <c r="CZ29844" s="35">
        <v>2.0828610256410254E-3</v>
      </c>
    </row>
    <row r="29845" spans="103:104" x14ac:dyDescent="0.3">
      <c r="CY29845" s="34" t="s">
        <v>30771</v>
      </c>
      <c r="CZ29845" s="35">
        <v>3.4706847999999998E-2</v>
      </c>
    </row>
    <row r="29846" spans="103:104" x14ac:dyDescent="0.3">
      <c r="CY29846" s="34" t="s">
        <v>30772</v>
      </c>
      <c r="CZ29846" s="35">
        <v>6.6512129999999985E-4</v>
      </c>
    </row>
    <row r="29847" spans="103:104" x14ac:dyDescent="0.3">
      <c r="CY29847" s="34" t="s">
        <v>30773</v>
      </c>
      <c r="CZ29847" s="35">
        <v>7.7514809999999995E-4</v>
      </c>
    </row>
    <row r="29848" spans="103:104" x14ac:dyDescent="0.3">
      <c r="CY29848" s="34" t="s">
        <v>30774</v>
      </c>
      <c r="CZ29848" s="35">
        <v>0.46379344666666661</v>
      </c>
    </row>
    <row r="29849" spans="103:104" x14ac:dyDescent="0.3">
      <c r="CY29849" s="34" t="s">
        <v>30775</v>
      </c>
      <c r="CZ29849" s="35">
        <v>0.170251032</v>
      </c>
    </row>
    <row r="29850" spans="103:104" x14ac:dyDescent="0.3">
      <c r="CY29850" s="34" t="s">
        <v>30776</v>
      </c>
      <c r="CZ29850" s="35">
        <v>3.5331256631578947E-2</v>
      </c>
    </row>
    <row r="29851" spans="103:104" x14ac:dyDescent="0.3">
      <c r="CY29851" s="34" t="s">
        <v>30777</v>
      </c>
      <c r="CZ29851" s="35">
        <v>9.4860280000000005E-3</v>
      </c>
    </row>
    <row r="29852" spans="103:104" x14ac:dyDescent="0.3">
      <c r="CY29852" s="34" t="s">
        <v>30778</v>
      </c>
      <c r="CZ29852" s="35">
        <v>7.2083880000000007E-4</v>
      </c>
    </row>
    <row r="29853" spans="103:104" x14ac:dyDescent="0.3">
      <c r="CY29853" s="34" t="s">
        <v>30779</v>
      </c>
      <c r="CZ29853" s="35">
        <v>6.916666666666666E-4</v>
      </c>
    </row>
    <row r="29854" spans="103:104" x14ac:dyDescent="0.3">
      <c r="CY29854" s="34" t="s">
        <v>30780</v>
      </c>
      <c r="CZ29854" s="35">
        <v>1.4004442000000001E-2</v>
      </c>
    </row>
    <row r="29855" spans="103:104" x14ac:dyDescent="0.3">
      <c r="CY29855" s="34" t="s">
        <v>30781</v>
      </c>
      <c r="CZ29855" s="35">
        <v>2.2574140000000003E-2</v>
      </c>
    </row>
    <row r="29856" spans="103:104" x14ac:dyDescent="0.3">
      <c r="CY29856" s="34" t="s">
        <v>30782</v>
      </c>
      <c r="CZ29856" s="35">
        <v>5.9408067333333335E-2</v>
      </c>
    </row>
    <row r="29857" spans="103:104" x14ac:dyDescent="0.3">
      <c r="CY29857" s="34" t="s">
        <v>30783</v>
      </c>
      <c r="CZ29857" s="35">
        <v>7.0252455999999991E-2</v>
      </c>
    </row>
    <row r="29858" spans="103:104" x14ac:dyDescent="0.3">
      <c r="CY29858" s="34" t="s">
        <v>30784</v>
      </c>
      <c r="CZ29858" s="35">
        <v>7.1030376000000006E-2</v>
      </c>
    </row>
    <row r="29859" spans="103:104" x14ac:dyDescent="0.3">
      <c r="CY29859" s="34" t="s">
        <v>30785</v>
      </c>
      <c r="CZ29859" s="35">
        <v>3.9657142857142864E-4</v>
      </c>
    </row>
    <row r="29860" spans="103:104" x14ac:dyDescent="0.3">
      <c r="CY29860" s="34" t="s">
        <v>30786</v>
      </c>
      <c r="CZ29860" s="35">
        <v>0.26718870175438597</v>
      </c>
    </row>
    <row r="29861" spans="103:104" x14ac:dyDescent="0.3">
      <c r="CY29861" s="34" t="s">
        <v>30787</v>
      </c>
      <c r="CZ29861" s="35">
        <v>0.27165511999999997</v>
      </c>
    </row>
    <row r="29862" spans="103:104" x14ac:dyDescent="0.3">
      <c r="CY29862" s="34" t="s">
        <v>30788</v>
      </c>
      <c r="CZ29862" s="35">
        <v>8.5342592000000009E-2</v>
      </c>
    </row>
    <row r="29863" spans="103:104" x14ac:dyDescent="0.3">
      <c r="CY29863" s="34" t="s">
        <v>30789</v>
      </c>
      <c r="CZ29863" s="35">
        <v>2.1583159099999999E-2</v>
      </c>
    </row>
    <row r="29864" spans="103:104" x14ac:dyDescent="0.3">
      <c r="CY29864" s="34" t="s">
        <v>30790</v>
      </c>
      <c r="CZ29864" s="35">
        <v>7.1038537999999998E-2</v>
      </c>
    </row>
    <row r="29865" spans="103:104" x14ac:dyDescent="0.3">
      <c r="CY29865" s="34" t="s">
        <v>30791</v>
      </c>
      <c r="CZ29865" s="35">
        <v>1.4611552E-2</v>
      </c>
    </row>
    <row r="29866" spans="103:104" x14ac:dyDescent="0.3">
      <c r="CY29866" s="34" t="s">
        <v>30792</v>
      </c>
      <c r="CZ29866" s="35">
        <v>2.2031831999999993E-3</v>
      </c>
    </row>
    <row r="29867" spans="103:104" x14ac:dyDescent="0.3">
      <c r="CY29867" s="34" t="s">
        <v>30793</v>
      </c>
      <c r="CZ29867" s="35">
        <v>1.7491759999999999E-2</v>
      </c>
    </row>
    <row r="29868" spans="103:104" x14ac:dyDescent="0.3">
      <c r="CY29868" s="34" t="s">
        <v>30794</v>
      </c>
      <c r="CZ29868" s="35">
        <v>0.25210402526315789</v>
      </c>
    </row>
    <row r="29869" spans="103:104" x14ac:dyDescent="0.3">
      <c r="CY29869" s="34" t="s">
        <v>30795</v>
      </c>
      <c r="CZ29869" s="35">
        <v>1.7306356599999999E-3</v>
      </c>
    </row>
    <row r="29870" spans="103:104" x14ac:dyDescent="0.3">
      <c r="CY29870" s="34" t="s">
        <v>30796</v>
      </c>
      <c r="CZ29870" s="35">
        <v>1.2081708E-3</v>
      </c>
    </row>
    <row r="29871" spans="103:104" x14ac:dyDescent="0.3">
      <c r="CY29871" s="34" t="s">
        <v>30797</v>
      </c>
      <c r="CZ29871" s="35">
        <v>5.8594249999999995E-4</v>
      </c>
    </row>
    <row r="29872" spans="103:104" x14ac:dyDescent="0.3">
      <c r="CY29872" s="34" t="s">
        <v>30798</v>
      </c>
      <c r="CZ29872" s="35">
        <v>1.7751709599999999E-2</v>
      </c>
    </row>
    <row r="29873" spans="103:104" x14ac:dyDescent="0.3">
      <c r="CY29873" s="34" t="s">
        <v>30799</v>
      </c>
      <c r="CZ29873" s="35">
        <v>1.9165909599999999E-2</v>
      </c>
    </row>
    <row r="29874" spans="103:104" x14ac:dyDescent="0.3">
      <c r="CY29874" s="34" t="s">
        <v>30800</v>
      </c>
      <c r="CZ29874" s="35">
        <v>5.7600000000000001E-4</v>
      </c>
    </row>
    <row r="29875" spans="103:104" x14ac:dyDescent="0.3">
      <c r="CY29875" s="34" t="s">
        <v>30801</v>
      </c>
      <c r="CZ29875" s="35">
        <v>5.7600000000000001E-4</v>
      </c>
    </row>
    <row r="29876" spans="103:104" x14ac:dyDescent="0.3">
      <c r="CY29876" s="34" t="s">
        <v>30802</v>
      </c>
      <c r="CZ29876" s="35">
        <v>2.71865744E-2</v>
      </c>
    </row>
    <row r="29877" spans="103:104" x14ac:dyDescent="0.3">
      <c r="CY29877" s="34" t="s">
        <v>30803</v>
      </c>
      <c r="CZ29877" s="35">
        <v>3.9655016669999994E-2</v>
      </c>
    </row>
    <row r="29878" spans="103:104" x14ac:dyDescent="0.3">
      <c r="CY29878" s="34" t="s">
        <v>30804</v>
      </c>
      <c r="CZ29878" s="35">
        <v>5.2184663999999999E-3</v>
      </c>
    </row>
    <row r="29879" spans="103:104" x14ac:dyDescent="0.3">
      <c r="CY29879" s="34" t="s">
        <v>30805</v>
      </c>
      <c r="CZ29879" s="35">
        <v>4.1377258105263163E-3</v>
      </c>
    </row>
    <row r="29880" spans="103:104" x14ac:dyDescent="0.3">
      <c r="CY29880" s="34" t="s">
        <v>30806</v>
      </c>
      <c r="CZ29880" s="35">
        <v>3.3569422399999998E-3</v>
      </c>
    </row>
    <row r="29881" spans="103:104" x14ac:dyDescent="0.3">
      <c r="CY29881" s="34" t="s">
        <v>30807</v>
      </c>
      <c r="CZ29881" s="35">
        <v>0.26553739999999998</v>
      </c>
    </row>
    <row r="29882" spans="103:104" x14ac:dyDescent="0.3">
      <c r="CY29882" s="34" t="s">
        <v>30808</v>
      </c>
      <c r="CZ29882" s="35">
        <v>0.13356812000000004</v>
      </c>
    </row>
    <row r="29883" spans="103:104" x14ac:dyDescent="0.3">
      <c r="CY29883" s="34" t="s">
        <v>30809</v>
      </c>
      <c r="CZ29883" s="35">
        <v>2.1791629999999999E-2</v>
      </c>
    </row>
    <row r="29884" spans="103:104" x14ac:dyDescent="0.3">
      <c r="CY29884" s="34" t="s">
        <v>30810</v>
      </c>
      <c r="CZ29884" s="35">
        <v>3.8411624999999998E-2</v>
      </c>
    </row>
    <row r="29885" spans="103:104" x14ac:dyDescent="0.3">
      <c r="CY29885" s="34" t="s">
        <v>30811</v>
      </c>
      <c r="CZ29885" s="35">
        <v>4.0591546879999996E-2</v>
      </c>
    </row>
    <row r="29886" spans="103:104" x14ac:dyDescent="0.3">
      <c r="CY29886" s="34" t="s">
        <v>30812</v>
      </c>
      <c r="CZ29886" s="35">
        <v>4.0591546880000003E-2</v>
      </c>
    </row>
    <row r="29887" spans="103:104" x14ac:dyDescent="0.3">
      <c r="CY29887" s="34" t="s">
        <v>30813</v>
      </c>
      <c r="CZ29887" s="35">
        <v>4.0629437499999997E-2</v>
      </c>
    </row>
    <row r="29888" spans="103:104" x14ac:dyDescent="0.3">
      <c r="CY29888" s="34" t="s">
        <v>30814</v>
      </c>
      <c r="CZ29888" s="35">
        <v>4.0605468800000008E-3</v>
      </c>
    </row>
    <row r="29889" spans="103:104" x14ac:dyDescent="0.3">
      <c r="CY29889" s="34" t="s">
        <v>30815</v>
      </c>
      <c r="CZ29889" s="35">
        <v>1.2971725333333333E-2</v>
      </c>
    </row>
    <row r="29890" spans="103:104" x14ac:dyDescent="0.3">
      <c r="CY29890" s="34" t="s">
        <v>30816</v>
      </c>
      <c r="CZ29890" s="35">
        <v>1.81015528E-2</v>
      </c>
    </row>
    <row r="29891" spans="103:104" x14ac:dyDescent="0.3">
      <c r="CY29891" s="34" t="s">
        <v>30817</v>
      </c>
      <c r="CZ29891" s="35">
        <v>3.8130311333333332E-3</v>
      </c>
    </row>
    <row r="29892" spans="103:104" x14ac:dyDescent="0.3">
      <c r="CY29892" s="34" t="s">
        <v>30818</v>
      </c>
      <c r="CZ29892" s="35">
        <v>1.6553645999999999E-3</v>
      </c>
    </row>
    <row r="29893" spans="103:104" x14ac:dyDescent="0.3">
      <c r="CY29893" s="34" t="s">
        <v>30819</v>
      </c>
      <c r="CZ29893" s="35">
        <v>2.4388317999999997E-3</v>
      </c>
    </row>
    <row r="29894" spans="103:104" x14ac:dyDescent="0.3">
      <c r="CY29894" s="34" t="s">
        <v>30820</v>
      </c>
      <c r="CZ29894" s="35">
        <v>0.10618433332999999</v>
      </c>
    </row>
    <row r="29895" spans="103:104" x14ac:dyDescent="0.3">
      <c r="CY29895" s="34" t="s">
        <v>30821</v>
      </c>
      <c r="CZ29895" s="35">
        <v>2.7581520999999998</v>
      </c>
    </row>
    <row r="29896" spans="103:104" x14ac:dyDescent="0.3">
      <c r="CY29896" s="34" t="s">
        <v>30822</v>
      </c>
      <c r="CZ29896" s="35">
        <v>0.368502412</v>
      </c>
    </row>
    <row r="29897" spans="103:104" x14ac:dyDescent="0.3">
      <c r="CY29897" s="34" t="s">
        <v>30823</v>
      </c>
      <c r="CZ29897" s="35">
        <v>2.7581520999999998</v>
      </c>
    </row>
    <row r="29898" spans="103:104" x14ac:dyDescent="0.3">
      <c r="CY29898" s="34" t="s">
        <v>30824</v>
      </c>
      <c r="CZ29898" s="35">
        <v>4.5904277199999999E-3</v>
      </c>
    </row>
    <row r="29899" spans="103:104" x14ac:dyDescent="0.3">
      <c r="CY29899" s="34" t="s">
        <v>30825</v>
      </c>
      <c r="CZ29899" s="35">
        <v>4.5904277199999999E-3</v>
      </c>
    </row>
    <row r="29900" spans="103:104" x14ac:dyDescent="0.3">
      <c r="CY29900" s="34" t="s">
        <v>30826</v>
      </c>
      <c r="CZ29900" s="35">
        <v>2.01438296E-3</v>
      </c>
    </row>
    <row r="29901" spans="103:104" x14ac:dyDescent="0.3">
      <c r="CY29901" s="34" t="s">
        <v>30827</v>
      </c>
      <c r="CZ29901" s="35">
        <v>1.5449137200000001E-2</v>
      </c>
    </row>
    <row r="29902" spans="103:104" x14ac:dyDescent="0.3">
      <c r="CY29902" s="34" t="s">
        <v>30828</v>
      </c>
      <c r="CZ29902" s="35">
        <v>1.5449137200000001E-2</v>
      </c>
    </row>
    <row r="29903" spans="103:104" x14ac:dyDescent="0.3">
      <c r="CY29903" s="34" t="s">
        <v>30829</v>
      </c>
      <c r="CZ29903" s="35">
        <v>0.35353960000000001</v>
      </c>
    </row>
    <row r="29904" spans="103:104" x14ac:dyDescent="0.3">
      <c r="CY29904" s="34" t="s">
        <v>30830</v>
      </c>
      <c r="CZ29904" s="35">
        <v>4.4589799999999999E-2</v>
      </c>
    </row>
    <row r="29905" spans="103:104" x14ac:dyDescent="0.3">
      <c r="CY29905" s="34" t="s">
        <v>30831</v>
      </c>
      <c r="CZ29905" s="35">
        <v>1.6968969600000001E-2</v>
      </c>
    </row>
    <row r="29906" spans="103:104" x14ac:dyDescent="0.3">
      <c r="CY29906" s="34" t="s">
        <v>30832</v>
      </c>
      <c r="CZ29906" s="35">
        <v>2.9727122500000001E-3</v>
      </c>
    </row>
    <row r="29907" spans="103:104" x14ac:dyDescent="0.3">
      <c r="CY29907" s="34" t="s">
        <v>30833</v>
      </c>
      <c r="CZ29907" s="35">
        <v>4.4142000000000001E-2</v>
      </c>
    </row>
    <row r="29908" spans="103:104" x14ac:dyDescent="0.3">
      <c r="CY29908" s="34" t="s">
        <v>30834</v>
      </c>
      <c r="CZ29908" s="35">
        <v>7.3487016000000002E-3</v>
      </c>
    </row>
    <row r="29909" spans="103:104" x14ac:dyDescent="0.3">
      <c r="CY29909" s="34" t="s">
        <v>30835</v>
      </c>
      <c r="CZ29909" s="35">
        <v>2.5275512E-2</v>
      </c>
    </row>
    <row r="29910" spans="103:104" x14ac:dyDescent="0.3">
      <c r="CY29910" s="34" t="s">
        <v>30836</v>
      </c>
      <c r="CZ29910" s="35">
        <v>3.6399603999999995E-2</v>
      </c>
    </row>
    <row r="29911" spans="103:104" x14ac:dyDescent="0.3">
      <c r="CY29911" s="34" t="s">
        <v>30837</v>
      </c>
      <c r="CZ29911" s="35">
        <v>1.415098105263158E-3</v>
      </c>
    </row>
    <row r="29912" spans="103:104" x14ac:dyDescent="0.3">
      <c r="CY29912" s="34" t="s">
        <v>30838</v>
      </c>
      <c r="CZ29912" s="35">
        <v>9.7120479999999992E-3</v>
      </c>
    </row>
    <row r="29913" spans="103:104" x14ac:dyDescent="0.3">
      <c r="CY29913" s="34" t="s">
        <v>30839</v>
      </c>
      <c r="CZ29913" s="35">
        <v>3.2172457071157141</v>
      </c>
    </row>
    <row r="29914" spans="103:104" x14ac:dyDescent="0.3">
      <c r="CY29914" s="34" t="s">
        <v>30840</v>
      </c>
      <c r="CZ29914" s="35">
        <v>5.9560000000000004E-3</v>
      </c>
    </row>
    <row r="29915" spans="103:104" x14ac:dyDescent="0.3">
      <c r="CY29915" s="34" t="s">
        <v>30841</v>
      </c>
      <c r="CZ29915" s="35">
        <v>2.5240000000000002E-3</v>
      </c>
    </row>
    <row r="29916" spans="103:104" x14ac:dyDescent="0.3">
      <c r="CY29916" s="34" t="s">
        <v>30842</v>
      </c>
      <c r="CZ29916" s="35">
        <v>5.2883563599999996E-2</v>
      </c>
    </row>
    <row r="29917" spans="103:104" x14ac:dyDescent="0.3">
      <c r="CY29917" s="34" t="s">
        <v>30843</v>
      </c>
      <c r="CZ29917" s="35">
        <v>1.5910511999999998E-2</v>
      </c>
    </row>
    <row r="29918" spans="103:104" x14ac:dyDescent="0.3">
      <c r="CY29918" s="34" t="s">
        <v>30844</v>
      </c>
      <c r="CZ29918" s="35">
        <v>1.93894888E-2</v>
      </c>
    </row>
    <row r="29919" spans="103:104" x14ac:dyDescent="0.3">
      <c r="CY29919" s="34" t="s">
        <v>30845</v>
      </c>
      <c r="CZ29919" s="35">
        <v>0.17042888000000003</v>
      </c>
    </row>
    <row r="29920" spans="103:104" x14ac:dyDescent="0.3">
      <c r="CY29920" s="34" t="s">
        <v>30846</v>
      </c>
      <c r="CZ29920" s="35">
        <v>1.0319300000000002E-2</v>
      </c>
    </row>
    <row r="29921" spans="103:104" x14ac:dyDescent="0.3">
      <c r="CY29921" s="34" t="s">
        <v>30847</v>
      </c>
      <c r="CZ29921" s="35">
        <v>8.8047499999999992E-4</v>
      </c>
    </row>
    <row r="29922" spans="103:104" x14ac:dyDescent="0.3">
      <c r="CY29922" s="34" t="s">
        <v>30848</v>
      </c>
      <c r="CZ29922" s="35">
        <v>0.15367926399999998</v>
      </c>
    </row>
    <row r="29923" spans="103:104" x14ac:dyDescent="0.3">
      <c r="CY29923" s="34" t="s">
        <v>30849</v>
      </c>
      <c r="CZ29923" s="35">
        <v>7.6638513199999994E-2</v>
      </c>
    </row>
    <row r="29924" spans="103:104" x14ac:dyDescent="0.3">
      <c r="CY29924" s="34" t="s">
        <v>30850</v>
      </c>
      <c r="CZ29924" s="35">
        <v>7.6360111428571426E-3</v>
      </c>
    </row>
    <row r="29925" spans="103:104" x14ac:dyDescent="0.3">
      <c r="CY29925" s="34" t="s">
        <v>30851</v>
      </c>
      <c r="CZ29925" s="35">
        <v>3.9014163999999997E-2</v>
      </c>
    </row>
    <row r="29926" spans="103:104" x14ac:dyDescent="0.3">
      <c r="CY29926" s="34" t="s">
        <v>30852</v>
      </c>
      <c r="CZ29926" s="35">
        <v>1.9900307999999998E-2</v>
      </c>
    </row>
    <row r="29927" spans="103:104" x14ac:dyDescent="0.3">
      <c r="CY29927" s="34" t="s">
        <v>30853</v>
      </c>
      <c r="CZ29927" s="35">
        <v>4.4859316000000003E-2</v>
      </c>
    </row>
    <row r="29928" spans="103:104" x14ac:dyDescent="0.3">
      <c r="CY29928" s="34" t="s">
        <v>30854</v>
      </c>
      <c r="CZ29928" s="35">
        <v>2.1209937999999998E-2</v>
      </c>
    </row>
    <row r="29929" spans="103:104" x14ac:dyDescent="0.3">
      <c r="CY29929" s="34" t="s">
        <v>30855</v>
      </c>
      <c r="CZ29929" s="35">
        <v>0.12021826947368422</v>
      </c>
    </row>
    <row r="29930" spans="103:104" x14ac:dyDescent="0.3">
      <c r="CY29930" s="34" t="s">
        <v>30856</v>
      </c>
      <c r="CZ29930" s="35">
        <v>1.2505640000000002E-2</v>
      </c>
    </row>
    <row r="29931" spans="103:104" x14ac:dyDescent="0.3">
      <c r="CY29931" s="34" t="s">
        <v>30857</v>
      </c>
      <c r="CZ29931" s="35">
        <v>8.9696749999999999E-3</v>
      </c>
    </row>
    <row r="29932" spans="103:104" x14ac:dyDescent="0.3">
      <c r="CY29932" s="34" t="s">
        <v>30858</v>
      </c>
      <c r="CZ29932" s="35">
        <v>2.0001729999999998</v>
      </c>
    </row>
    <row r="29933" spans="103:104" x14ac:dyDescent="0.3">
      <c r="CY29933" s="34" t="s">
        <v>30859</v>
      </c>
      <c r="CZ29933" s="35">
        <v>0.1552577822222222</v>
      </c>
    </row>
    <row r="29934" spans="103:104" x14ac:dyDescent="0.3">
      <c r="CY29934" s="34" t="s">
        <v>30860</v>
      </c>
      <c r="CZ29934" s="35">
        <v>5.7813007999999999E-2</v>
      </c>
    </row>
    <row r="29935" spans="103:104" x14ac:dyDescent="0.3">
      <c r="CY29935" s="34" t="s">
        <v>30861</v>
      </c>
      <c r="CZ29935" s="35">
        <v>1.1720181999999999E-2</v>
      </c>
    </row>
    <row r="29936" spans="103:104" x14ac:dyDescent="0.3">
      <c r="CY29936" s="34" t="s">
        <v>30862</v>
      </c>
      <c r="CZ29936" s="35">
        <v>1.1720181999999999E-2</v>
      </c>
    </row>
    <row r="29937" spans="103:104" x14ac:dyDescent="0.3">
      <c r="CY29937" s="34" t="s">
        <v>30863</v>
      </c>
      <c r="CZ29937" s="35">
        <v>9.5074812000000009E-3</v>
      </c>
    </row>
    <row r="29938" spans="103:104" x14ac:dyDescent="0.3">
      <c r="CY29938" s="34" t="s">
        <v>30864</v>
      </c>
      <c r="CZ29938" s="35">
        <v>0.29128377999999999</v>
      </c>
    </row>
    <row r="29939" spans="103:104" x14ac:dyDescent="0.3">
      <c r="CY29939" s="34" t="s">
        <v>30865</v>
      </c>
      <c r="CZ29939" s="35">
        <v>6.5647120000000012E-4</v>
      </c>
    </row>
    <row r="29940" spans="103:104" x14ac:dyDescent="0.3">
      <c r="CY29940" s="34" t="s">
        <v>30866</v>
      </c>
      <c r="CZ29940" s="35">
        <v>0.87215362500000004</v>
      </c>
    </row>
    <row r="29941" spans="103:104" x14ac:dyDescent="0.3">
      <c r="CY29941" s="34" t="s">
        <v>30867</v>
      </c>
      <c r="CZ29941" s="35">
        <v>6.563356699999999E-2</v>
      </c>
    </row>
    <row r="29942" spans="103:104" x14ac:dyDescent="0.3">
      <c r="CY29942" s="34" t="s">
        <v>30868</v>
      </c>
      <c r="CZ29942" s="35">
        <v>4.104004800000001E-2</v>
      </c>
    </row>
    <row r="29943" spans="103:104" x14ac:dyDescent="0.3">
      <c r="CY29943" s="34" t="s">
        <v>30869</v>
      </c>
      <c r="CZ29943" s="35">
        <v>0.14054717334</v>
      </c>
    </row>
    <row r="29944" spans="103:104" x14ac:dyDescent="0.3">
      <c r="CY29944" s="34" t="s">
        <v>30870</v>
      </c>
      <c r="CZ29944" s="35">
        <v>2.4351883999999997E-2</v>
      </c>
    </row>
    <row r="29945" spans="103:104" x14ac:dyDescent="0.3">
      <c r="CY29945" s="34" t="s">
        <v>30871</v>
      </c>
      <c r="CZ29945" s="35">
        <v>1.01979872E-2</v>
      </c>
    </row>
    <row r="29946" spans="103:104" x14ac:dyDescent="0.3">
      <c r="CY29946" s="34" t="s">
        <v>30872</v>
      </c>
      <c r="CZ29946" s="35">
        <v>6.8380648000000002E-2</v>
      </c>
    </row>
    <row r="29947" spans="103:104" x14ac:dyDescent="0.3">
      <c r="CY29947" s="34" t="s">
        <v>30873</v>
      </c>
      <c r="CZ29947" s="35">
        <v>4.0912112E-2</v>
      </c>
    </row>
    <row r="29948" spans="103:104" x14ac:dyDescent="0.3">
      <c r="CY29948" s="34" t="s">
        <v>30874</v>
      </c>
      <c r="CZ29948" s="35">
        <v>0.15830630600000001</v>
      </c>
    </row>
    <row r="29949" spans="103:104" x14ac:dyDescent="0.3">
      <c r="CY29949" s="34" t="s">
        <v>30875</v>
      </c>
      <c r="CZ29949" s="35">
        <v>7.0390560000000001E-3</v>
      </c>
    </row>
    <row r="29950" spans="103:104" x14ac:dyDescent="0.3">
      <c r="CY29950" s="34" t="s">
        <v>30876</v>
      </c>
      <c r="CZ29950" s="35">
        <v>0.39454347300000003</v>
      </c>
    </row>
    <row r="29951" spans="103:104" x14ac:dyDescent="0.3">
      <c r="CY29951" s="34" t="s">
        <v>30877</v>
      </c>
      <c r="CZ29951" s="35">
        <v>3.4418482491933335E-3</v>
      </c>
    </row>
    <row r="29952" spans="103:104" x14ac:dyDescent="0.3">
      <c r="CY29952" s="34" t="s">
        <v>30878</v>
      </c>
      <c r="CZ29952" s="35">
        <v>1.368316E-2</v>
      </c>
    </row>
    <row r="29953" spans="103:104" x14ac:dyDescent="0.3">
      <c r="CY29953" s="34" t="s">
        <v>30879</v>
      </c>
      <c r="CZ29953" s="35">
        <v>6.8220111578947362E-2</v>
      </c>
    </row>
    <row r="29954" spans="103:104" x14ac:dyDescent="0.3">
      <c r="CY29954" s="34" t="s">
        <v>30880</v>
      </c>
      <c r="CZ29954" s="35">
        <v>2.2198328000000003E-2</v>
      </c>
    </row>
    <row r="29955" spans="103:104" x14ac:dyDescent="0.3">
      <c r="CY29955" s="34" t="s">
        <v>30881</v>
      </c>
      <c r="CZ29955" s="35">
        <v>4.8338815200000003E-2</v>
      </c>
    </row>
    <row r="29956" spans="103:104" x14ac:dyDescent="0.3">
      <c r="CY29956" s="34" t="s">
        <v>30882</v>
      </c>
      <c r="CZ29956" s="35">
        <v>5.0654066666666669E-3</v>
      </c>
    </row>
    <row r="29957" spans="103:104" x14ac:dyDescent="0.3">
      <c r="CY29957" s="34" t="s">
        <v>30883</v>
      </c>
      <c r="CZ29957" s="35">
        <v>6.4809106000000005E-2</v>
      </c>
    </row>
    <row r="29958" spans="103:104" x14ac:dyDescent="0.3">
      <c r="CY29958" s="34" t="s">
        <v>30884</v>
      </c>
      <c r="CZ29958" s="35">
        <v>8.7483785263157893E-2</v>
      </c>
    </row>
    <row r="29959" spans="103:104" x14ac:dyDescent="0.3">
      <c r="CY29959" s="34" t="s">
        <v>30885</v>
      </c>
      <c r="CZ29959" s="35">
        <v>6.4809106000000005E-2</v>
      </c>
    </row>
    <row r="29960" spans="103:104" x14ac:dyDescent="0.3">
      <c r="CY29960" s="34" t="s">
        <v>30886</v>
      </c>
      <c r="CZ29960" s="35">
        <v>3.6365120939999995E-2</v>
      </c>
    </row>
    <row r="29961" spans="103:104" x14ac:dyDescent="0.3">
      <c r="CY29961" s="34" t="s">
        <v>30887</v>
      </c>
      <c r="CZ29961" s="35">
        <v>9.99886E-3</v>
      </c>
    </row>
    <row r="29962" spans="103:104" x14ac:dyDescent="0.3">
      <c r="CY29962" s="34" t="s">
        <v>30888</v>
      </c>
      <c r="CZ29962" s="35">
        <v>0.657083733</v>
      </c>
    </row>
    <row r="29963" spans="103:104" x14ac:dyDescent="0.3">
      <c r="CY29963" s="34" t="s">
        <v>30889</v>
      </c>
      <c r="CZ29963" s="35">
        <v>2.6858585263157899E-2</v>
      </c>
    </row>
    <row r="29964" spans="103:104" x14ac:dyDescent="0.3">
      <c r="CY29964" s="34" t="s">
        <v>30890</v>
      </c>
      <c r="CZ29964" s="35">
        <v>1.1274025E-2</v>
      </c>
    </row>
    <row r="29965" spans="103:104" x14ac:dyDescent="0.3">
      <c r="CY29965" s="34" t="s">
        <v>30891</v>
      </c>
      <c r="CZ29965" s="35">
        <v>2.7161150000000002E-2</v>
      </c>
    </row>
    <row r="29966" spans="103:104" x14ac:dyDescent="0.3">
      <c r="CY29966" s="34" t="s">
        <v>30892</v>
      </c>
      <c r="CZ29966" s="35">
        <v>2.4617424999999998E-2</v>
      </c>
    </row>
    <row r="29967" spans="103:104" x14ac:dyDescent="0.3">
      <c r="CY29967" s="34" t="s">
        <v>30893</v>
      </c>
      <c r="CZ29967" s="35">
        <v>0.44184351119999998</v>
      </c>
    </row>
    <row r="29968" spans="103:104" x14ac:dyDescent="0.3">
      <c r="CY29968" s="34" t="s">
        <v>30894</v>
      </c>
      <c r="CZ29968" s="35">
        <v>0.41055622000000003</v>
      </c>
    </row>
    <row r="29969" spans="103:104" x14ac:dyDescent="0.3">
      <c r="CY29969" s="34" t="s">
        <v>30895</v>
      </c>
      <c r="CZ29969" s="35">
        <v>5.9250193333333333E-2</v>
      </c>
    </row>
    <row r="29970" spans="103:104" x14ac:dyDescent="0.3">
      <c r="CY29970" s="34" t="s">
        <v>30896</v>
      </c>
      <c r="CZ29970" s="35">
        <v>0.28015000000000007</v>
      </c>
    </row>
    <row r="29971" spans="103:104" x14ac:dyDescent="0.3">
      <c r="CY29971" s="34" t="s">
        <v>30897</v>
      </c>
      <c r="CZ29971" s="35">
        <v>4.0404631199999999E-2</v>
      </c>
    </row>
    <row r="29972" spans="103:104" x14ac:dyDescent="0.3">
      <c r="CY29972" s="34" t="s">
        <v>30898</v>
      </c>
      <c r="CZ29972" s="35">
        <v>3.3561114060000001E-2</v>
      </c>
    </row>
    <row r="29973" spans="103:104" x14ac:dyDescent="0.3">
      <c r="CY29973" s="34" t="s">
        <v>30899</v>
      </c>
      <c r="CZ29973" s="35">
        <v>0.56095207973750005</v>
      </c>
    </row>
    <row r="29974" spans="103:104" x14ac:dyDescent="0.3">
      <c r="CY29974" s="34" t="s">
        <v>30900</v>
      </c>
      <c r="CZ29974" s="35">
        <v>3.3922093325E-3</v>
      </c>
    </row>
    <row r="29975" spans="103:104" x14ac:dyDescent="0.3">
      <c r="CY29975" s="34" t="s">
        <v>30901</v>
      </c>
      <c r="CZ29975" s="35">
        <v>4.9159133324999998E-3</v>
      </c>
    </row>
    <row r="29976" spans="103:104" x14ac:dyDescent="0.3">
      <c r="CY29976" s="34" t="s">
        <v>30902</v>
      </c>
      <c r="CZ29976" s="35">
        <v>0.51054248000000002</v>
      </c>
    </row>
    <row r="29977" spans="103:104" x14ac:dyDescent="0.3">
      <c r="CY29977" s="34" t="s">
        <v>30903</v>
      </c>
      <c r="CZ29977" s="35">
        <v>3.3087182933333334E-2</v>
      </c>
    </row>
    <row r="29978" spans="103:104" x14ac:dyDescent="0.3">
      <c r="CY29978" s="34" t="s">
        <v>30904</v>
      </c>
      <c r="CZ29978" s="35">
        <v>7.3359559999999994E-3</v>
      </c>
    </row>
    <row r="29979" spans="103:104" x14ac:dyDescent="0.3">
      <c r="CY29979" s="34" t="s">
        <v>30905</v>
      </c>
      <c r="CZ29979" s="35">
        <v>7.3359559999999994E-3</v>
      </c>
    </row>
    <row r="29980" spans="103:104" x14ac:dyDescent="0.3">
      <c r="CY29980" s="34" t="s">
        <v>30906</v>
      </c>
      <c r="CZ29980" s="35">
        <v>5.2259285600000004E-2</v>
      </c>
    </row>
    <row r="29981" spans="103:104" x14ac:dyDescent="0.3">
      <c r="CY29981" s="34" t="s">
        <v>30907</v>
      </c>
      <c r="CZ29981" s="35">
        <v>1.952566E-2</v>
      </c>
    </row>
    <row r="29982" spans="103:104" x14ac:dyDescent="0.3">
      <c r="CY29982" s="34" t="s">
        <v>30908</v>
      </c>
      <c r="CZ29982" s="35">
        <v>4.5515648825000005E-2</v>
      </c>
    </row>
    <row r="29983" spans="103:104" x14ac:dyDescent="0.3">
      <c r="CY29983" s="34" t="s">
        <v>30909</v>
      </c>
      <c r="CZ29983" s="35">
        <v>3.9458800199999998E-2</v>
      </c>
    </row>
    <row r="29984" spans="103:104" x14ac:dyDescent="0.3">
      <c r="CY29984" s="34" t="s">
        <v>30910</v>
      </c>
      <c r="CZ29984" s="35">
        <v>2.5774371200000003E-2</v>
      </c>
    </row>
    <row r="29985" spans="103:104" x14ac:dyDescent="0.3">
      <c r="CY29985" s="34" t="s">
        <v>30911</v>
      </c>
      <c r="CZ29985" s="35">
        <v>2.57743712E-2</v>
      </c>
    </row>
    <row r="29986" spans="103:104" x14ac:dyDescent="0.3">
      <c r="CY29986" s="34" t="s">
        <v>30912</v>
      </c>
      <c r="CZ29986" s="35">
        <v>1.407256E-3</v>
      </c>
    </row>
    <row r="29987" spans="103:104" x14ac:dyDescent="0.3">
      <c r="CY29987" s="34" t="s">
        <v>30913</v>
      </c>
      <c r="CZ29987" s="35">
        <v>0.14739512799999999</v>
      </c>
    </row>
    <row r="29988" spans="103:104" x14ac:dyDescent="0.3">
      <c r="CY29988" s="34" t="s">
        <v>30914</v>
      </c>
      <c r="CZ29988" s="35">
        <v>0.42452476000000006</v>
      </c>
    </row>
    <row r="29989" spans="103:104" x14ac:dyDescent="0.3">
      <c r="CY29989" s="34" t="s">
        <v>30915</v>
      </c>
      <c r="CZ29989" s="35">
        <v>0.28928219999999999</v>
      </c>
    </row>
    <row r="29990" spans="103:104" x14ac:dyDescent="0.3">
      <c r="CY29990" s="34" t="s">
        <v>30916</v>
      </c>
      <c r="CZ29990" s="35">
        <v>0.28167563999999995</v>
      </c>
    </row>
    <row r="29991" spans="103:104" x14ac:dyDescent="0.3">
      <c r="CY29991" s="34" t="s">
        <v>30917</v>
      </c>
      <c r="CZ29991" s="35">
        <v>7.0291177777777769E-2</v>
      </c>
    </row>
    <row r="29992" spans="103:104" x14ac:dyDescent="0.3">
      <c r="CY29992" s="34" t="s">
        <v>30918</v>
      </c>
      <c r="CZ29992" s="35">
        <v>7.8946297777777785E-2</v>
      </c>
    </row>
    <row r="29993" spans="103:104" x14ac:dyDescent="0.3">
      <c r="CY29993" s="34" t="s">
        <v>30919</v>
      </c>
      <c r="CZ29993" s="35">
        <v>0.14024835199999999</v>
      </c>
    </row>
    <row r="29994" spans="103:104" x14ac:dyDescent="0.3">
      <c r="CY29994" s="34" t="s">
        <v>30920</v>
      </c>
      <c r="CZ29994" s="35">
        <v>1.0170331999999999E-3</v>
      </c>
    </row>
    <row r="29995" spans="103:104" x14ac:dyDescent="0.3">
      <c r="CY29995" s="34" t="s">
        <v>30921</v>
      </c>
      <c r="CZ29995" s="35">
        <v>2.1523320000000003E-3</v>
      </c>
    </row>
    <row r="29996" spans="103:104" x14ac:dyDescent="0.3">
      <c r="CY29996" s="34" t="s">
        <v>30922</v>
      </c>
      <c r="CZ29996" s="35">
        <v>2.075E-3</v>
      </c>
    </row>
    <row r="29997" spans="103:104" x14ac:dyDescent="0.3">
      <c r="CY29997" s="34" t="s">
        <v>30923</v>
      </c>
      <c r="CZ29997" s="35">
        <v>1.9857461466666667E-3</v>
      </c>
    </row>
    <row r="29998" spans="103:104" x14ac:dyDescent="0.3">
      <c r="CY29998" s="34" t="s">
        <v>30924</v>
      </c>
      <c r="CZ29998" s="35">
        <v>6.3843199999999998E-3</v>
      </c>
    </row>
    <row r="29999" spans="103:104" x14ac:dyDescent="0.3">
      <c r="CY29999" s="34" t="s">
        <v>30925</v>
      </c>
      <c r="CZ29999" s="35">
        <v>2.1055331999999998E-3</v>
      </c>
    </row>
    <row r="30000" spans="103:104" x14ac:dyDescent="0.3">
      <c r="CY30000" s="34" t="s">
        <v>30926</v>
      </c>
      <c r="CZ30000" s="35">
        <v>1.0661384166666668</v>
      </c>
    </row>
    <row r="30001" spans="103:104" x14ac:dyDescent="0.3">
      <c r="CY30001" s="34" t="s">
        <v>30927</v>
      </c>
      <c r="CZ30001" s="35">
        <v>1.7579133999999998E-3</v>
      </c>
    </row>
    <row r="30002" spans="103:104" x14ac:dyDescent="0.3">
      <c r="CY30002" s="34" t="s">
        <v>30928</v>
      </c>
      <c r="CZ30002" s="35">
        <v>1.6828610800000001E-2</v>
      </c>
    </row>
    <row r="30003" spans="103:104" x14ac:dyDescent="0.3">
      <c r="CY30003" s="34" t="s">
        <v>30929</v>
      </c>
      <c r="CZ30003" s="35">
        <v>3.6524346999999999E-2</v>
      </c>
    </row>
    <row r="30004" spans="103:104" x14ac:dyDescent="0.3">
      <c r="CY30004" s="34" t="s">
        <v>30930</v>
      </c>
      <c r="CZ30004" s="35">
        <v>1.2644799999999999E-2</v>
      </c>
    </row>
    <row r="30005" spans="103:104" x14ac:dyDescent="0.3">
      <c r="CY30005" s="34" t="s">
        <v>30931</v>
      </c>
      <c r="CZ30005" s="35">
        <v>1.1073991666666666E-2</v>
      </c>
    </row>
    <row r="30006" spans="103:104" x14ac:dyDescent="0.3">
      <c r="CY30006" s="34" t="s">
        <v>30932</v>
      </c>
      <c r="CZ30006" s="35">
        <v>1.4884775999999999E-2</v>
      </c>
    </row>
    <row r="30007" spans="103:104" x14ac:dyDescent="0.3">
      <c r="CY30007" s="34" t="s">
        <v>30933</v>
      </c>
      <c r="CZ30007" s="35">
        <v>2.3972260000000002E-2</v>
      </c>
    </row>
    <row r="30008" spans="103:104" x14ac:dyDescent="0.3">
      <c r="CY30008" s="34" t="s">
        <v>30934</v>
      </c>
      <c r="CZ30008" s="35">
        <v>5.0604672E-3</v>
      </c>
    </row>
    <row r="30009" spans="103:104" x14ac:dyDescent="0.3">
      <c r="CY30009" s="34" t="s">
        <v>30935</v>
      </c>
      <c r="CZ30009" s="35">
        <v>7.8099411999999993E-2</v>
      </c>
    </row>
    <row r="30010" spans="103:104" x14ac:dyDescent="0.3">
      <c r="CY30010" s="34" t="s">
        <v>30936</v>
      </c>
      <c r="CZ30010" s="35">
        <v>0.13578040399999999</v>
      </c>
    </row>
    <row r="30011" spans="103:104" x14ac:dyDescent="0.3">
      <c r="CY30011" s="34" t="s">
        <v>30937</v>
      </c>
      <c r="CZ30011" s="35">
        <v>6.8106259999999988E-2</v>
      </c>
    </row>
    <row r="30012" spans="103:104" x14ac:dyDescent="0.3">
      <c r="CY30012" s="34" t="s">
        <v>30938</v>
      </c>
      <c r="CZ30012" s="35">
        <v>6.8996083999999985E-2</v>
      </c>
    </row>
    <row r="30013" spans="103:104" x14ac:dyDescent="0.3">
      <c r="CY30013" s="34" t="s">
        <v>30939</v>
      </c>
      <c r="CZ30013" s="35">
        <v>2.1394140000000001E-3</v>
      </c>
    </row>
    <row r="30014" spans="103:104" x14ac:dyDescent="0.3">
      <c r="CY30014" s="34" t="s">
        <v>30940</v>
      </c>
      <c r="CZ30014" s="35">
        <v>2.4575883999999996E-2</v>
      </c>
    </row>
    <row r="30015" spans="103:104" x14ac:dyDescent="0.3">
      <c r="CY30015" s="34" t="s">
        <v>30941</v>
      </c>
      <c r="CZ30015" s="35">
        <v>1.0101987199999999E-2</v>
      </c>
    </row>
    <row r="30016" spans="103:104" x14ac:dyDescent="0.3">
      <c r="CY30016" s="34" t="s">
        <v>30942</v>
      </c>
      <c r="CZ30016" s="35">
        <v>2.0100000000000001E-4</v>
      </c>
    </row>
    <row r="30017" spans="103:104" x14ac:dyDescent="0.3">
      <c r="CY30017" s="34" t="s">
        <v>30943</v>
      </c>
      <c r="CZ30017" s="35">
        <v>2.0100000000000001E-4</v>
      </c>
    </row>
    <row r="30018" spans="103:104" x14ac:dyDescent="0.3">
      <c r="CY30018" s="34" t="s">
        <v>30944</v>
      </c>
      <c r="CZ30018" s="35">
        <v>2.0100000000000001E-4</v>
      </c>
    </row>
    <row r="30019" spans="103:104" x14ac:dyDescent="0.3">
      <c r="CY30019" s="34" t="s">
        <v>30945</v>
      </c>
      <c r="CZ30019" s="35">
        <v>0.39582916000000001</v>
      </c>
    </row>
    <row r="30020" spans="103:104" x14ac:dyDescent="0.3">
      <c r="CY30020" s="34" t="s">
        <v>30946</v>
      </c>
      <c r="CZ30020" s="35">
        <v>0.41764731999999993</v>
      </c>
    </row>
    <row r="30021" spans="103:104" x14ac:dyDescent="0.3">
      <c r="CY30021" s="34" t="s">
        <v>30947</v>
      </c>
      <c r="CZ30021" s="35">
        <v>0.106883688</v>
      </c>
    </row>
    <row r="30022" spans="103:104" x14ac:dyDescent="0.3">
      <c r="CY30022" s="34" t="s">
        <v>30948</v>
      </c>
      <c r="CZ30022" s="35">
        <v>0.10161134399999999</v>
      </c>
    </row>
    <row r="30023" spans="103:104" x14ac:dyDescent="0.3">
      <c r="CY30023" s="34" t="s">
        <v>30949</v>
      </c>
      <c r="CZ30023" s="35">
        <v>6.2775839999999986E-2</v>
      </c>
    </row>
    <row r="30024" spans="103:104" x14ac:dyDescent="0.3">
      <c r="CY30024" s="34" t="s">
        <v>30950</v>
      </c>
      <c r="CZ30024" s="35">
        <v>4.5247464000000001E-2</v>
      </c>
    </row>
    <row r="30025" spans="103:104" x14ac:dyDescent="0.3">
      <c r="CY30025" s="34" t="s">
        <v>30951</v>
      </c>
      <c r="CZ30025" s="35">
        <v>7.214016999999999E-2</v>
      </c>
    </row>
    <row r="30026" spans="103:104" x14ac:dyDescent="0.3">
      <c r="CY30026" s="34" t="s">
        <v>30952</v>
      </c>
      <c r="CZ30026" s="35">
        <v>7.3753872000000012E-2</v>
      </c>
    </row>
    <row r="30027" spans="103:104" x14ac:dyDescent="0.3">
      <c r="CY30027" s="34" t="s">
        <v>30953</v>
      </c>
      <c r="CZ30027" s="35">
        <v>7.6698128000000004E-2</v>
      </c>
    </row>
    <row r="30028" spans="103:104" x14ac:dyDescent="0.3">
      <c r="CY30028" s="34" t="s">
        <v>30954</v>
      </c>
      <c r="CZ30028" s="35">
        <v>6.6753176000000011E-2</v>
      </c>
    </row>
    <row r="30029" spans="103:104" x14ac:dyDescent="0.3">
      <c r="CY30029" s="34" t="s">
        <v>30955</v>
      </c>
      <c r="CZ30029" s="35">
        <v>8.1593631999999999E-2</v>
      </c>
    </row>
    <row r="30030" spans="103:104" x14ac:dyDescent="0.3">
      <c r="CY30030" s="34" t="s">
        <v>30956</v>
      </c>
      <c r="CZ30030" s="35">
        <v>1.2661733333333333E-2</v>
      </c>
    </row>
    <row r="30031" spans="103:104" x14ac:dyDescent="0.3">
      <c r="CY30031" s="34" t="s">
        <v>30957</v>
      </c>
      <c r="CZ30031" s="35">
        <v>1.9615676000000002E-2</v>
      </c>
    </row>
    <row r="30032" spans="103:104" x14ac:dyDescent="0.3">
      <c r="CY30032" s="34" t="s">
        <v>30958</v>
      </c>
      <c r="CZ30032" s="35">
        <v>1.4107667752941176E-2</v>
      </c>
    </row>
    <row r="30033" spans="103:104" x14ac:dyDescent="0.3">
      <c r="CY30033" s="34" t="s">
        <v>30959</v>
      </c>
      <c r="CZ30033" s="35">
        <v>1.1181906705882351E-2</v>
      </c>
    </row>
    <row r="30034" spans="103:104" x14ac:dyDescent="0.3">
      <c r="CY30034" s="34" t="s">
        <v>30960</v>
      </c>
      <c r="CZ30034" s="35">
        <v>8.1730013529411772E-3</v>
      </c>
    </row>
    <row r="30035" spans="103:104" x14ac:dyDescent="0.3">
      <c r="CY30035" s="34" t="s">
        <v>30961</v>
      </c>
      <c r="CZ30035" s="35">
        <v>1.6693627730769232E-2</v>
      </c>
    </row>
    <row r="30036" spans="103:104" x14ac:dyDescent="0.3">
      <c r="CY30036" s="34" t="s">
        <v>30962</v>
      </c>
      <c r="CZ30036" s="35">
        <v>1.379806894117647E-2</v>
      </c>
    </row>
    <row r="30037" spans="103:104" x14ac:dyDescent="0.3">
      <c r="CY30037" s="34" t="s">
        <v>30963</v>
      </c>
      <c r="CZ30037" s="35">
        <v>6.6477616000000003E-2</v>
      </c>
    </row>
    <row r="30038" spans="103:104" x14ac:dyDescent="0.3">
      <c r="CY30038" s="34" t="s">
        <v>30964</v>
      </c>
      <c r="CZ30038" s="35">
        <v>1.5245530661538463E-2</v>
      </c>
    </row>
    <row r="30039" spans="103:104" x14ac:dyDescent="0.3">
      <c r="CY30039" s="34" t="s">
        <v>30965</v>
      </c>
      <c r="CZ30039" s="35">
        <v>0.10609704799999999</v>
      </c>
    </row>
    <row r="30040" spans="103:104" x14ac:dyDescent="0.3">
      <c r="CY30040" s="34" t="s">
        <v>30966</v>
      </c>
      <c r="CZ30040" s="35">
        <v>0.10609704799999999</v>
      </c>
    </row>
    <row r="30041" spans="103:104" x14ac:dyDescent="0.3">
      <c r="CY30041" s="34" t="s">
        <v>30967</v>
      </c>
      <c r="CZ30041" s="35">
        <v>4.6822525300000001E-2</v>
      </c>
    </row>
    <row r="30042" spans="103:104" x14ac:dyDescent="0.3">
      <c r="CY30042" s="34" t="s">
        <v>30968</v>
      </c>
      <c r="CZ30042" s="35">
        <v>1.0849472799999999E-2</v>
      </c>
    </row>
    <row r="30043" spans="103:104" x14ac:dyDescent="0.3">
      <c r="CY30043" s="34" t="s">
        <v>30969</v>
      </c>
      <c r="CZ30043" s="35">
        <v>5.6165182180666663E-2</v>
      </c>
    </row>
    <row r="30044" spans="103:104" x14ac:dyDescent="0.3">
      <c r="CY30044" s="34" t="s">
        <v>30970</v>
      </c>
      <c r="CZ30044" s="35">
        <v>0.55852875999999985</v>
      </c>
    </row>
    <row r="30045" spans="103:104" x14ac:dyDescent="0.3">
      <c r="CY30045" s="34" t="s">
        <v>30971</v>
      </c>
      <c r="CZ30045" s="35">
        <v>4.2937342000000003E-2</v>
      </c>
    </row>
    <row r="30046" spans="103:104" x14ac:dyDescent="0.3">
      <c r="CY30046" s="34" t="s">
        <v>30972</v>
      </c>
      <c r="CZ30046" s="35">
        <v>5.1603454E-2</v>
      </c>
    </row>
    <row r="30047" spans="103:104" x14ac:dyDescent="0.3">
      <c r="CY30047" s="34" t="s">
        <v>30973</v>
      </c>
      <c r="CZ30047" s="35">
        <v>6.5163188999999996E-2</v>
      </c>
    </row>
    <row r="30048" spans="103:104" x14ac:dyDescent="0.3">
      <c r="CY30048" s="34" t="s">
        <v>30974</v>
      </c>
      <c r="CZ30048" s="35">
        <v>1.56363492E-2</v>
      </c>
    </row>
    <row r="30049" spans="103:104" x14ac:dyDescent="0.3">
      <c r="CY30049" s="34" t="s">
        <v>30975</v>
      </c>
      <c r="CZ30049" s="35">
        <v>0.42998257000000006</v>
      </c>
    </row>
    <row r="30050" spans="103:104" x14ac:dyDescent="0.3">
      <c r="CY30050" s="34" t="s">
        <v>30976</v>
      </c>
      <c r="CZ30050" s="35">
        <v>0.49223212999999999</v>
      </c>
    </row>
    <row r="30051" spans="103:104" x14ac:dyDescent="0.3">
      <c r="CY30051" s="34" t="s">
        <v>30977</v>
      </c>
      <c r="CZ30051" s="35">
        <v>3.1113700000000001E-2</v>
      </c>
    </row>
    <row r="30052" spans="103:104" x14ac:dyDescent="0.3">
      <c r="CY30052" s="34" t="s">
        <v>30978</v>
      </c>
      <c r="CZ30052" s="35">
        <v>2.8076407999999997E-2</v>
      </c>
    </row>
    <row r="30053" spans="103:104" x14ac:dyDescent="0.3">
      <c r="CY30053" s="34" t="s">
        <v>30979</v>
      </c>
      <c r="CZ30053" s="35">
        <v>0.14385515999999998</v>
      </c>
    </row>
    <row r="30054" spans="103:104" x14ac:dyDescent="0.3">
      <c r="CY30054" s="34" t="s">
        <v>30980</v>
      </c>
      <c r="CZ30054" s="35">
        <v>0.12189904999999999</v>
      </c>
    </row>
    <row r="30055" spans="103:104" x14ac:dyDescent="0.3">
      <c r="CY30055" s="34" t="s">
        <v>30981</v>
      </c>
      <c r="CZ30055" s="35">
        <v>1.56363492E-2</v>
      </c>
    </row>
    <row r="30056" spans="103:104" x14ac:dyDescent="0.3">
      <c r="CY30056" s="34" t="s">
        <v>30982</v>
      </c>
      <c r="CZ30056" s="35">
        <v>9.5898399999999995E-2</v>
      </c>
    </row>
    <row r="30057" spans="103:104" x14ac:dyDescent="0.3">
      <c r="CY30057" s="34" t="s">
        <v>30983</v>
      </c>
      <c r="CZ30057" s="35">
        <v>0.10241648</v>
      </c>
    </row>
    <row r="30058" spans="103:104" x14ac:dyDescent="0.3">
      <c r="CY30058" s="34" t="s">
        <v>30984</v>
      </c>
      <c r="CZ30058" s="35">
        <v>0.10241648</v>
      </c>
    </row>
    <row r="30059" spans="103:104" x14ac:dyDescent="0.3">
      <c r="CY30059" s="34" t="s">
        <v>30985</v>
      </c>
      <c r="CZ30059" s="35">
        <v>5.7668565656565666E-3</v>
      </c>
    </row>
    <row r="30060" spans="103:104" x14ac:dyDescent="0.3">
      <c r="CY30060" s="34" t="s">
        <v>30986</v>
      </c>
      <c r="CZ30060" s="35">
        <v>0.94506137000000001</v>
      </c>
    </row>
    <row r="30061" spans="103:104" x14ac:dyDescent="0.3">
      <c r="CY30061" s="34" t="s">
        <v>30987</v>
      </c>
      <c r="CZ30061" s="35">
        <v>1.0225389125000002</v>
      </c>
    </row>
    <row r="30062" spans="103:104" x14ac:dyDescent="0.3">
      <c r="CY30062" s="34" t="s">
        <v>30988</v>
      </c>
      <c r="CZ30062" s="35">
        <v>0.5707546</v>
      </c>
    </row>
    <row r="30063" spans="103:104" x14ac:dyDescent="0.3">
      <c r="CY30063" s="34" t="s">
        <v>30989</v>
      </c>
      <c r="CZ30063" s="35">
        <v>0.49228719999999992</v>
      </c>
    </row>
    <row r="30064" spans="103:104" x14ac:dyDescent="0.3">
      <c r="CY30064" s="34" t="s">
        <v>30990</v>
      </c>
      <c r="CZ30064" s="35">
        <v>0.36546820000000002</v>
      </c>
    </row>
    <row r="30065" spans="103:104" x14ac:dyDescent="0.3">
      <c r="CY30065" s="34" t="s">
        <v>30991</v>
      </c>
      <c r="CZ30065" s="35">
        <v>0.681678334</v>
      </c>
    </row>
    <row r="30066" spans="103:104" x14ac:dyDescent="0.3">
      <c r="CY30066" s="34" t="s">
        <v>30992</v>
      </c>
      <c r="CZ30066" s="35">
        <v>0.54681100000000005</v>
      </c>
    </row>
    <row r="30067" spans="103:104" x14ac:dyDescent="0.3">
      <c r="CY30067" s="34" t="s">
        <v>30993</v>
      </c>
      <c r="CZ30067" s="35">
        <v>0.70418013400000001</v>
      </c>
    </row>
    <row r="30068" spans="103:104" x14ac:dyDescent="0.3">
      <c r="CY30068" s="34" t="s">
        <v>30994</v>
      </c>
      <c r="CZ30068" s="35">
        <v>0.71948373399999999</v>
      </c>
    </row>
    <row r="30069" spans="103:104" x14ac:dyDescent="0.3">
      <c r="CY30069" s="34" t="s">
        <v>30995</v>
      </c>
      <c r="CZ30069" s="35">
        <v>0.60153693399999997</v>
      </c>
    </row>
    <row r="30070" spans="103:104" x14ac:dyDescent="0.3">
      <c r="CY30070" s="34" t="s">
        <v>30996</v>
      </c>
      <c r="CZ30070" s="35">
        <v>3.5537949999999999E-2</v>
      </c>
    </row>
    <row r="30071" spans="103:104" x14ac:dyDescent="0.3">
      <c r="CY30071" s="34" t="s">
        <v>30997</v>
      </c>
      <c r="CZ30071" s="35">
        <v>3.2981213999999995E-2</v>
      </c>
    </row>
    <row r="30072" spans="103:104" x14ac:dyDescent="0.3">
      <c r="CY30072" s="34" t="s">
        <v>30998</v>
      </c>
      <c r="CZ30072" s="35">
        <v>2.9622102000000001E-2</v>
      </c>
    </row>
    <row r="30073" spans="103:104" x14ac:dyDescent="0.3">
      <c r="CY30073" s="34" t="s">
        <v>30999</v>
      </c>
      <c r="CZ30073" s="35">
        <v>0.32224396</v>
      </c>
    </row>
    <row r="30074" spans="103:104" x14ac:dyDescent="0.3">
      <c r="CY30074" s="34" t="s">
        <v>31000</v>
      </c>
      <c r="CZ30074" s="35">
        <v>0.56639106666666661</v>
      </c>
    </row>
    <row r="30075" spans="103:104" x14ac:dyDescent="0.3">
      <c r="CY30075" s="34" t="s">
        <v>31001</v>
      </c>
      <c r="CZ30075" s="35">
        <v>0.56639106666666661</v>
      </c>
    </row>
    <row r="30076" spans="103:104" x14ac:dyDescent="0.3">
      <c r="CY30076" s="34" t="s">
        <v>31002</v>
      </c>
      <c r="CZ30076" s="35">
        <v>0.5749648266666666</v>
      </c>
    </row>
    <row r="30077" spans="103:104" x14ac:dyDescent="0.3">
      <c r="CY30077" s="34" t="s">
        <v>31003</v>
      </c>
      <c r="CZ30077" s="35">
        <v>1.0943123859999999</v>
      </c>
    </row>
    <row r="30078" spans="103:104" x14ac:dyDescent="0.3">
      <c r="CY30078" s="34" t="s">
        <v>31004</v>
      </c>
      <c r="CZ30078" s="35">
        <v>1.0942316842105262</v>
      </c>
    </row>
    <row r="30079" spans="103:104" x14ac:dyDescent="0.3">
      <c r="CY30079" s="34" t="s">
        <v>31005</v>
      </c>
      <c r="CZ30079" s="35">
        <v>0.10609704799999999</v>
      </c>
    </row>
    <row r="30080" spans="103:104" x14ac:dyDescent="0.3">
      <c r="CY30080" s="34" t="s">
        <v>31006</v>
      </c>
      <c r="CZ30080" s="35">
        <v>2.7587839999999998E-3</v>
      </c>
    </row>
    <row r="30081" spans="103:104" x14ac:dyDescent="0.3">
      <c r="CY30081" s="34" t="s">
        <v>31007</v>
      </c>
      <c r="CZ30081" s="35">
        <v>2.8449680000000002E-3</v>
      </c>
    </row>
    <row r="30082" spans="103:104" x14ac:dyDescent="0.3">
      <c r="CY30082" s="34" t="s">
        <v>31008</v>
      </c>
      <c r="CZ30082" s="35">
        <v>9.8174233333333336E-3</v>
      </c>
    </row>
    <row r="30083" spans="103:104" x14ac:dyDescent="0.3">
      <c r="CY30083" s="34" t="s">
        <v>31009</v>
      </c>
      <c r="CZ30083" s="35">
        <v>0.10105053999999999</v>
      </c>
    </row>
    <row r="30084" spans="103:104" x14ac:dyDescent="0.3">
      <c r="CY30084" s="34" t="s">
        <v>31010</v>
      </c>
      <c r="CZ30084" s="35">
        <v>0.31731071999999999</v>
      </c>
    </row>
    <row r="30085" spans="103:104" x14ac:dyDescent="0.3">
      <c r="CY30085" s="34" t="s">
        <v>31011</v>
      </c>
      <c r="CZ30085" s="35">
        <v>0.25306835999999999</v>
      </c>
    </row>
    <row r="30086" spans="103:104" x14ac:dyDescent="0.3">
      <c r="CY30086" s="34" t="s">
        <v>31012</v>
      </c>
      <c r="CZ30086" s="35">
        <v>0.48486336000000002</v>
      </c>
    </row>
    <row r="30087" spans="103:104" x14ac:dyDescent="0.3">
      <c r="CY30087" s="34" t="s">
        <v>31013</v>
      </c>
      <c r="CZ30087" s="35">
        <v>0.61792720000000001</v>
      </c>
    </row>
    <row r="30088" spans="103:104" x14ac:dyDescent="0.3">
      <c r="CY30088" s="34" t="s">
        <v>31014</v>
      </c>
      <c r="CZ30088" s="35">
        <v>0.56615128667999992</v>
      </c>
    </row>
    <row r="30089" spans="103:104" x14ac:dyDescent="0.3">
      <c r="CY30089" s="34" t="s">
        <v>31015</v>
      </c>
      <c r="CZ30089" s="35">
        <v>0.73427208999999993</v>
      </c>
    </row>
    <row r="30090" spans="103:104" x14ac:dyDescent="0.3">
      <c r="CY30090" s="34" t="s">
        <v>31016</v>
      </c>
      <c r="CZ30090" s="35">
        <v>0.83346936999999999</v>
      </c>
    </row>
    <row r="30091" spans="103:104" x14ac:dyDescent="0.3">
      <c r="CY30091" s="34" t="s">
        <v>31017</v>
      </c>
      <c r="CZ30091" s="35">
        <v>0.71129418</v>
      </c>
    </row>
    <row r="30092" spans="103:104" x14ac:dyDescent="0.3">
      <c r="CY30092" s="34" t="s">
        <v>31018</v>
      </c>
      <c r="CZ30092" s="35">
        <v>0.30078592667999998</v>
      </c>
    </row>
    <row r="30093" spans="103:104" x14ac:dyDescent="0.3">
      <c r="CY30093" s="34" t="s">
        <v>31019</v>
      </c>
      <c r="CZ30093" s="35">
        <v>2.5648183199999997E-2</v>
      </c>
    </row>
    <row r="30094" spans="103:104" x14ac:dyDescent="0.3">
      <c r="CY30094" s="34" t="s">
        <v>31020</v>
      </c>
      <c r="CZ30094" s="35">
        <v>2.6084337599999997E-2</v>
      </c>
    </row>
    <row r="30095" spans="103:104" x14ac:dyDescent="0.3">
      <c r="CY30095" s="34" t="s">
        <v>31021</v>
      </c>
      <c r="CZ30095" s="35">
        <v>1.0659488E-2</v>
      </c>
    </row>
    <row r="30096" spans="103:104" x14ac:dyDescent="0.3">
      <c r="CY30096" s="34" t="s">
        <v>31022</v>
      </c>
      <c r="CZ30096" s="35">
        <v>6.9539673160000006E-3</v>
      </c>
    </row>
    <row r="30097" spans="103:104" x14ac:dyDescent="0.3">
      <c r="CY30097" s="34" t="s">
        <v>31023</v>
      </c>
      <c r="CZ30097" s="35">
        <v>6.2834175473684209E-3</v>
      </c>
    </row>
    <row r="30098" spans="103:104" x14ac:dyDescent="0.3">
      <c r="CY30098" s="34" t="s">
        <v>31024</v>
      </c>
      <c r="CZ30098" s="35">
        <v>1.9900335108888889E-2</v>
      </c>
    </row>
    <row r="30099" spans="103:104" x14ac:dyDescent="0.3">
      <c r="CY30099" s="34" t="s">
        <v>31025</v>
      </c>
      <c r="CZ30099" s="35">
        <v>1.0806818526315791E-2</v>
      </c>
    </row>
    <row r="30100" spans="103:104" x14ac:dyDescent="0.3">
      <c r="CY30100" s="34" t="s">
        <v>31026</v>
      </c>
      <c r="CZ30100" s="35">
        <v>4.6880000000000005E-2</v>
      </c>
    </row>
    <row r="30101" spans="103:104" x14ac:dyDescent="0.3">
      <c r="CY30101" s="34" t="s">
        <v>31027</v>
      </c>
      <c r="CZ30101" s="35">
        <v>5.5931599999999998E-3</v>
      </c>
    </row>
    <row r="30102" spans="103:104" x14ac:dyDescent="0.3">
      <c r="CY30102" s="34" t="s">
        <v>31028</v>
      </c>
      <c r="CZ30102" s="35">
        <v>8.9287759999999994E-3</v>
      </c>
    </row>
    <row r="30103" spans="103:104" x14ac:dyDescent="0.3">
      <c r="CY30103" s="34" t="s">
        <v>31029</v>
      </c>
      <c r="CZ30103" s="35">
        <v>1.1648192E-2</v>
      </c>
    </row>
    <row r="30104" spans="103:104" x14ac:dyDescent="0.3">
      <c r="CY30104" s="34" t="s">
        <v>31030</v>
      </c>
      <c r="CZ30104" s="35">
        <v>1.1648192000000002E-2</v>
      </c>
    </row>
    <row r="30105" spans="103:104" x14ac:dyDescent="0.3">
      <c r="CY30105" s="34" t="s">
        <v>31031</v>
      </c>
      <c r="CZ30105" s="35">
        <v>9.0678960000000006E-3</v>
      </c>
    </row>
    <row r="30106" spans="103:104" x14ac:dyDescent="0.3">
      <c r="CY30106" s="34" t="s">
        <v>31032</v>
      </c>
      <c r="CZ30106" s="35">
        <v>2.2711189333333333E-2</v>
      </c>
    </row>
    <row r="30107" spans="103:104" x14ac:dyDescent="0.3">
      <c r="CY30107" s="34" t="s">
        <v>31033</v>
      </c>
      <c r="CZ30107" s="35">
        <v>2.2711189333333333E-2</v>
      </c>
    </row>
    <row r="30108" spans="103:104" x14ac:dyDescent="0.3">
      <c r="CY30108" s="34" t="s">
        <v>31034</v>
      </c>
      <c r="CZ30108" s="35">
        <v>5.349454E-2</v>
      </c>
    </row>
    <row r="30109" spans="103:104" x14ac:dyDescent="0.3">
      <c r="CY30109" s="34" t="s">
        <v>31035</v>
      </c>
      <c r="CZ30109" s="35">
        <v>2.7189769999999999E-2</v>
      </c>
    </row>
    <row r="30110" spans="103:104" x14ac:dyDescent="0.3">
      <c r="CY30110" s="34" t="s">
        <v>31036</v>
      </c>
      <c r="CZ30110" s="35">
        <v>1.0511999333333334E-3</v>
      </c>
    </row>
    <row r="30111" spans="103:104" x14ac:dyDescent="0.3">
      <c r="CY30111" s="34" t="s">
        <v>31037</v>
      </c>
      <c r="CZ30111" s="35">
        <v>0.22636891000000003</v>
      </c>
    </row>
    <row r="30112" spans="103:104" x14ac:dyDescent="0.3">
      <c r="CY30112" s="34" t="s">
        <v>31038</v>
      </c>
      <c r="CZ30112" s="35">
        <v>0.27375409000000001</v>
      </c>
    </row>
    <row r="30113" spans="103:104" x14ac:dyDescent="0.3">
      <c r="CY30113" s="34" t="s">
        <v>31039</v>
      </c>
      <c r="CZ30113" s="35">
        <v>0.22636891000000003</v>
      </c>
    </row>
    <row r="30114" spans="103:104" x14ac:dyDescent="0.3">
      <c r="CY30114" s="34" t="s">
        <v>31040</v>
      </c>
      <c r="CZ30114" s="35">
        <v>0.27375409000000001</v>
      </c>
    </row>
    <row r="30115" spans="103:104" x14ac:dyDescent="0.3">
      <c r="CY30115" s="34" t="s">
        <v>31041</v>
      </c>
      <c r="CZ30115" s="35">
        <v>0.25077222999999998</v>
      </c>
    </row>
    <row r="30116" spans="103:104" x14ac:dyDescent="0.3">
      <c r="CY30116" s="34" t="s">
        <v>31042</v>
      </c>
      <c r="CZ30116" s="35">
        <v>0.30143281</v>
      </c>
    </row>
    <row r="30117" spans="103:104" x14ac:dyDescent="0.3">
      <c r="CY30117" s="34" t="s">
        <v>31043</v>
      </c>
      <c r="CZ30117" s="35">
        <v>0.24670501</v>
      </c>
    </row>
    <row r="30118" spans="103:104" x14ac:dyDescent="0.3">
      <c r="CY30118" s="34" t="s">
        <v>31044</v>
      </c>
      <c r="CZ30118" s="35">
        <v>0.29220657</v>
      </c>
    </row>
    <row r="30119" spans="103:104" x14ac:dyDescent="0.3">
      <c r="CY30119" s="34" t="s">
        <v>31045</v>
      </c>
      <c r="CZ30119" s="35">
        <v>1.6593350000000001E-3</v>
      </c>
    </row>
    <row r="30120" spans="103:104" x14ac:dyDescent="0.3">
      <c r="CY30120" s="34" t="s">
        <v>31046</v>
      </c>
      <c r="CZ30120" s="35">
        <v>1.6593350000000001E-3</v>
      </c>
    </row>
    <row r="30121" spans="103:104" x14ac:dyDescent="0.3">
      <c r="CY30121" s="34" t="s">
        <v>31047</v>
      </c>
      <c r="CZ30121" s="35">
        <v>1.6593350000000001E-3</v>
      </c>
    </row>
    <row r="30122" spans="103:104" x14ac:dyDescent="0.3">
      <c r="CY30122" s="34" t="s">
        <v>31048</v>
      </c>
      <c r="CZ30122" s="35">
        <v>1.6593350000000001E-3</v>
      </c>
    </row>
    <row r="30123" spans="103:104" x14ac:dyDescent="0.3">
      <c r="CY30123" s="34" t="s">
        <v>31049</v>
      </c>
      <c r="CZ30123" s="35">
        <v>1.6593350000000001E-3</v>
      </c>
    </row>
    <row r="30124" spans="103:104" x14ac:dyDescent="0.3">
      <c r="CY30124" s="34" t="s">
        <v>31050</v>
      </c>
      <c r="CZ30124" s="35">
        <v>1.6593350000000001E-3</v>
      </c>
    </row>
    <row r="30125" spans="103:104" x14ac:dyDescent="0.3">
      <c r="CY30125" s="34" t="s">
        <v>31051</v>
      </c>
      <c r="CZ30125" s="35">
        <v>4.1866900000000007E-3</v>
      </c>
    </row>
    <row r="30126" spans="103:104" x14ac:dyDescent="0.3">
      <c r="CY30126" s="34" t="s">
        <v>31052</v>
      </c>
      <c r="CZ30126" s="35">
        <v>4.1866900000000007E-3</v>
      </c>
    </row>
    <row r="30127" spans="103:104" x14ac:dyDescent="0.3">
      <c r="CY30127" s="34" t="s">
        <v>31053</v>
      </c>
      <c r="CZ30127" s="35">
        <v>4.0040308000000007E-3</v>
      </c>
    </row>
    <row r="30128" spans="103:104" x14ac:dyDescent="0.3">
      <c r="CY30128" s="34" t="s">
        <v>31054</v>
      </c>
      <c r="CZ30128" s="35">
        <v>3.6925E-3</v>
      </c>
    </row>
    <row r="30129" spans="103:104" x14ac:dyDescent="0.3">
      <c r="CY30129" s="34" t="s">
        <v>31055</v>
      </c>
      <c r="CZ30129" s="35">
        <v>4.4195507999999998E-3</v>
      </c>
    </row>
    <row r="30130" spans="103:104" x14ac:dyDescent="0.3">
      <c r="CY30130" s="34" t="s">
        <v>31056</v>
      </c>
      <c r="CZ30130" s="35">
        <v>1.32069232E-2</v>
      </c>
    </row>
    <row r="30131" spans="103:104" x14ac:dyDescent="0.3">
      <c r="CY30131" s="34" t="s">
        <v>31057</v>
      </c>
      <c r="CZ30131" s="35">
        <v>8.213577599999999E-3</v>
      </c>
    </row>
    <row r="30132" spans="103:104" x14ac:dyDescent="0.3">
      <c r="CY30132" s="34" t="s">
        <v>31058</v>
      </c>
      <c r="CZ30132" s="35">
        <v>0.106370856</v>
      </c>
    </row>
    <row r="30133" spans="103:104" x14ac:dyDescent="0.3">
      <c r="CY30133" s="34" t="s">
        <v>31059</v>
      </c>
      <c r="CZ30133" s="35">
        <v>0.18592130499999998</v>
      </c>
    </row>
    <row r="30134" spans="103:104" x14ac:dyDescent="0.3">
      <c r="CY30134" s="34" t="s">
        <v>31060</v>
      </c>
      <c r="CZ30134" s="35">
        <v>1.813259866666667E-2</v>
      </c>
    </row>
    <row r="30135" spans="103:104" x14ac:dyDescent="0.3">
      <c r="CY30135" s="34" t="s">
        <v>31061</v>
      </c>
      <c r="CZ30135" s="35">
        <v>1.787400266666667E-2</v>
      </c>
    </row>
    <row r="30136" spans="103:104" x14ac:dyDescent="0.3">
      <c r="CY30136" s="34" t="s">
        <v>31062</v>
      </c>
      <c r="CZ30136" s="35">
        <v>7.7792100000000008E-3</v>
      </c>
    </row>
    <row r="30137" spans="103:104" x14ac:dyDescent="0.3">
      <c r="CY30137" s="34" t="s">
        <v>31063</v>
      </c>
      <c r="CZ30137" s="35">
        <v>0.55850620000000006</v>
      </c>
    </row>
    <row r="30138" spans="103:104" x14ac:dyDescent="0.3">
      <c r="CY30138" s="34" t="s">
        <v>31064</v>
      </c>
      <c r="CZ30138" s="35">
        <v>4.8833771540000001E-2</v>
      </c>
    </row>
    <row r="30139" spans="103:104" x14ac:dyDescent="0.3">
      <c r="CY30139" s="34" t="s">
        <v>31065</v>
      </c>
      <c r="CZ30139" s="35">
        <v>3.65256422E-2</v>
      </c>
    </row>
    <row r="30140" spans="103:104" x14ac:dyDescent="0.3">
      <c r="CY30140" s="34" t="s">
        <v>31066</v>
      </c>
      <c r="CZ30140" s="35">
        <v>7.4557697500000017</v>
      </c>
    </row>
    <row r="30141" spans="103:104" x14ac:dyDescent="0.3">
      <c r="CY30141" s="34" t="s">
        <v>31067</v>
      </c>
      <c r="CZ30141" s="35">
        <v>1.7226278933333332E-2</v>
      </c>
    </row>
    <row r="30142" spans="103:104" x14ac:dyDescent="0.3">
      <c r="CY30142" s="34" t="s">
        <v>31068</v>
      </c>
      <c r="CZ30142" s="35">
        <v>8.1127380000000013E-2</v>
      </c>
    </row>
    <row r="30143" spans="103:104" x14ac:dyDescent="0.3">
      <c r="CY30143" s="34" t="s">
        <v>31069</v>
      </c>
      <c r="CZ30143" s="35">
        <v>8.1127380000000013E-2</v>
      </c>
    </row>
    <row r="30144" spans="103:104" x14ac:dyDescent="0.3">
      <c r="CY30144" s="34" t="s">
        <v>31070</v>
      </c>
      <c r="CZ30144" s="35">
        <v>0.15424599999999999</v>
      </c>
    </row>
    <row r="30145" spans="103:104" x14ac:dyDescent="0.3">
      <c r="CY30145" s="34" t="s">
        <v>31071</v>
      </c>
      <c r="CZ30145" s="35">
        <v>0.15424599999999999</v>
      </c>
    </row>
    <row r="30146" spans="103:104" x14ac:dyDescent="0.3">
      <c r="CY30146" s="34" t="s">
        <v>31072</v>
      </c>
      <c r="CZ30146" s="35">
        <v>2.1807653533333336E-2</v>
      </c>
    </row>
    <row r="30147" spans="103:104" x14ac:dyDescent="0.3">
      <c r="CY30147" s="34" t="s">
        <v>31073</v>
      </c>
      <c r="CZ30147" s="35">
        <v>5.6117069999999988E-3</v>
      </c>
    </row>
    <row r="30148" spans="103:104" x14ac:dyDescent="0.3">
      <c r="CY30148" s="34" t="s">
        <v>31074</v>
      </c>
      <c r="CZ30148" s="35">
        <v>0.11533262000000001</v>
      </c>
    </row>
    <row r="30149" spans="103:104" x14ac:dyDescent="0.3">
      <c r="CY30149" s="34" t="s">
        <v>31075</v>
      </c>
      <c r="CZ30149" s="35">
        <v>0.33390620000000004</v>
      </c>
    </row>
    <row r="30150" spans="103:104" x14ac:dyDescent="0.3">
      <c r="CY30150" s="34" t="s">
        <v>31076</v>
      </c>
      <c r="CZ30150" s="35">
        <v>4.466308799999999E-3</v>
      </c>
    </row>
    <row r="30151" spans="103:104" x14ac:dyDescent="0.3">
      <c r="CY30151" s="34" t="s">
        <v>31077</v>
      </c>
      <c r="CZ30151" s="35">
        <v>0.17961672000000001</v>
      </c>
    </row>
    <row r="30152" spans="103:104" x14ac:dyDescent="0.3">
      <c r="CY30152" s="34" t="s">
        <v>31078</v>
      </c>
      <c r="CZ30152" s="35">
        <v>0.29644349000000003</v>
      </c>
    </row>
    <row r="30153" spans="103:104" x14ac:dyDescent="0.3">
      <c r="CY30153" s="34" t="s">
        <v>31079</v>
      </c>
      <c r="CZ30153" s="35">
        <v>0.36260118999999996</v>
      </c>
    </row>
    <row r="30154" spans="103:104" x14ac:dyDescent="0.3">
      <c r="CY30154" s="34" t="s">
        <v>31080</v>
      </c>
      <c r="CZ30154" s="35">
        <v>0.35536993999999988</v>
      </c>
    </row>
    <row r="30155" spans="103:104" x14ac:dyDescent="0.3">
      <c r="CY30155" s="34" t="s">
        <v>31081</v>
      </c>
      <c r="CZ30155" s="35">
        <v>7.3961650000000006E-3</v>
      </c>
    </row>
    <row r="30156" spans="103:104" x14ac:dyDescent="0.3">
      <c r="CY30156" s="34" t="s">
        <v>31082</v>
      </c>
      <c r="CZ30156" s="35">
        <v>2.5471616000000002E-2</v>
      </c>
    </row>
    <row r="30157" spans="103:104" x14ac:dyDescent="0.3">
      <c r="CY30157" s="34" t="s">
        <v>31083</v>
      </c>
      <c r="CZ30157" s="35">
        <v>7.2438519999999994E-3</v>
      </c>
    </row>
    <row r="30158" spans="103:104" x14ac:dyDescent="0.3">
      <c r="CY30158" s="34" t="s">
        <v>31084</v>
      </c>
      <c r="CZ30158" s="35">
        <v>0.15433147999999999</v>
      </c>
    </row>
    <row r="30159" spans="103:104" x14ac:dyDescent="0.3">
      <c r="CY30159" s="34" t="s">
        <v>31085</v>
      </c>
      <c r="CZ30159" s="35">
        <v>9.3779140000000011E-3</v>
      </c>
    </row>
    <row r="30160" spans="103:104" x14ac:dyDescent="0.3">
      <c r="CY30160" s="34" t="s">
        <v>31086</v>
      </c>
      <c r="CZ30160" s="35">
        <v>1.530882888888889E-2</v>
      </c>
    </row>
    <row r="30161" spans="103:104" x14ac:dyDescent="0.3">
      <c r="CY30161" s="34" t="s">
        <v>31087</v>
      </c>
      <c r="CZ30161" s="35">
        <v>0.80159038649999992</v>
      </c>
    </row>
    <row r="30162" spans="103:104" x14ac:dyDescent="0.3">
      <c r="CY30162" s="34" t="s">
        <v>31088</v>
      </c>
      <c r="CZ30162" s="35">
        <v>0.48099999999999998</v>
      </c>
    </row>
    <row r="30163" spans="103:104" x14ac:dyDescent="0.3">
      <c r="CY30163" s="34" t="s">
        <v>31089</v>
      </c>
      <c r="CZ30163" s="35">
        <v>0.64921332000000009</v>
      </c>
    </row>
    <row r="30164" spans="103:104" x14ac:dyDescent="0.3">
      <c r="CY30164" s="34" t="s">
        <v>31090</v>
      </c>
      <c r="CZ30164" s="35">
        <v>3.979136E-4</v>
      </c>
    </row>
    <row r="30165" spans="103:104" x14ac:dyDescent="0.3">
      <c r="CY30165" s="34" t="s">
        <v>31091</v>
      </c>
      <c r="CZ30165" s="35">
        <v>1.1728541999999999E-3</v>
      </c>
    </row>
    <row r="30166" spans="103:104" x14ac:dyDescent="0.3">
      <c r="CY30166" s="34" t="s">
        <v>31092</v>
      </c>
      <c r="CZ30166" s="35">
        <v>1.0999666666666665E-3</v>
      </c>
    </row>
    <row r="30167" spans="103:104" x14ac:dyDescent="0.3">
      <c r="CY30167" s="34" t="s">
        <v>31093</v>
      </c>
      <c r="CZ30167" s="35">
        <v>5.3844563333333329E-4</v>
      </c>
    </row>
    <row r="30168" spans="103:104" x14ac:dyDescent="0.3">
      <c r="CY30168" s="34" t="s">
        <v>31094</v>
      </c>
      <c r="CZ30168" s="35">
        <v>1.227548E-3</v>
      </c>
    </row>
    <row r="30169" spans="103:104" x14ac:dyDescent="0.3">
      <c r="CY30169" s="34" t="s">
        <v>31095</v>
      </c>
      <c r="CZ30169" s="35">
        <v>9.3181894861111107E-3</v>
      </c>
    </row>
    <row r="30170" spans="103:104" x14ac:dyDescent="0.3">
      <c r="CY30170" s="34" t="s">
        <v>31096</v>
      </c>
      <c r="CZ30170" s="35">
        <v>2.2646943399999998E-3</v>
      </c>
    </row>
    <row r="30171" spans="103:104" x14ac:dyDescent="0.3">
      <c r="CY30171" s="34" t="s">
        <v>31097</v>
      </c>
      <c r="CZ30171" s="35">
        <v>8.9481000000000005E-3</v>
      </c>
    </row>
    <row r="30172" spans="103:104" x14ac:dyDescent="0.3">
      <c r="CY30172" s="34" t="s">
        <v>31098</v>
      </c>
      <c r="CZ30172" s="35">
        <v>4.4784180000000005E-3</v>
      </c>
    </row>
    <row r="30173" spans="103:104" x14ac:dyDescent="0.3">
      <c r="CY30173" s="34" t="s">
        <v>31099</v>
      </c>
      <c r="CZ30173" s="35">
        <v>9.4590386666666675E-3</v>
      </c>
    </row>
    <row r="30174" spans="103:104" x14ac:dyDescent="0.3">
      <c r="CY30174" s="34" t="s">
        <v>31100</v>
      </c>
      <c r="CZ30174" s="35">
        <v>1.2108832E-2</v>
      </c>
    </row>
    <row r="30175" spans="103:104" x14ac:dyDescent="0.3">
      <c r="CY30175" s="34" t="s">
        <v>31101</v>
      </c>
      <c r="CZ30175" s="35">
        <v>5.3513333333333338E-3</v>
      </c>
    </row>
    <row r="30176" spans="103:104" x14ac:dyDescent="0.3">
      <c r="CY30176" s="34" t="s">
        <v>31102</v>
      </c>
      <c r="CZ30176" s="35">
        <v>7.608160000000001E-4</v>
      </c>
    </row>
    <row r="30177" spans="103:104" x14ac:dyDescent="0.3">
      <c r="CY30177" s="34" t="s">
        <v>31103</v>
      </c>
      <c r="CZ30177" s="35">
        <v>7.3621600000000004E-4</v>
      </c>
    </row>
    <row r="30178" spans="103:104" x14ac:dyDescent="0.3">
      <c r="CY30178" s="34" t="s">
        <v>31104</v>
      </c>
      <c r="CZ30178" s="35">
        <v>0.39346677600000002</v>
      </c>
    </row>
    <row r="30179" spans="103:104" x14ac:dyDescent="0.3">
      <c r="CY30179" s="34" t="s">
        <v>31105</v>
      </c>
      <c r="CZ30179" s="35">
        <v>0.11217381865000001</v>
      </c>
    </row>
    <row r="30180" spans="103:104" x14ac:dyDescent="0.3">
      <c r="CY30180" s="34" t="s">
        <v>31106</v>
      </c>
      <c r="CZ30180" s="35">
        <v>3.9809249999999997E-3</v>
      </c>
    </row>
    <row r="30181" spans="103:104" x14ac:dyDescent="0.3">
      <c r="CY30181" s="34" t="s">
        <v>31107</v>
      </c>
      <c r="CZ30181" s="35">
        <v>5.4334449999999994E-3</v>
      </c>
    </row>
    <row r="30182" spans="103:104" x14ac:dyDescent="0.3">
      <c r="CY30182" s="34" t="s">
        <v>31108</v>
      </c>
      <c r="CZ30182" s="35">
        <v>0.18460812500000001</v>
      </c>
    </row>
    <row r="30183" spans="103:104" x14ac:dyDescent="0.3">
      <c r="CY30183" s="34" t="s">
        <v>31109</v>
      </c>
      <c r="CZ30183" s="35">
        <v>1.259474E-3</v>
      </c>
    </row>
    <row r="30184" spans="103:104" x14ac:dyDescent="0.3">
      <c r="CY30184" s="34" t="s">
        <v>31110</v>
      </c>
      <c r="CZ30184" s="35">
        <v>0.15746441999999999</v>
      </c>
    </row>
    <row r="30185" spans="103:104" x14ac:dyDescent="0.3">
      <c r="CY30185" s="34" t="s">
        <v>31111</v>
      </c>
      <c r="CZ30185" s="35">
        <v>0.19525372000000002</v>
      </c>
    </row>
    <row r="30186" spans="103:104" x14ac:dyDescent="0.3">
      <c r="CY30186" s="34" t="s">
        <v>31112</v>
      </c>
      <c r="CZ30186" s="35">
        <v>3.4271527999999996E-3</v>
      </c>
    </row>
    <row r="30187" spans="103:104" x14ac:dyDescent="0.3">
      <c r="CY30187" s="34" t="s">
        <v>31113</v>
      </c>
      <c r="CZ30187" s="35">
        <v>4.7797240888888893E-3</v>
      </c>
    </row>
    <row r="30188" spans="103:104" x14ac:dyDescent="0.3">
      <c r="CY30188" s="34" t="s">
        <v>31114</v>
      </c>
      <c r="CZ30188" s="35">
        <v>5.5234680000000006E-4</v>
      </c>
    </row>
    <row r="30189" spans="103:104" x14ac:dyDescent="0.3">
      <c r="CY30189" s="34" t="s">
        <v>31115</v>
      </c>
      <c r="CZ30189" s="35">
        <v>4.4965838383838374E-3</v>
      </c>
    </row>
    <row r="30190" spans="103:104" x14ac:dyDescent="0.3">
      <c r="CY30190" s="34" t="s">
        <v>31116</v>
      </c>
      <c r="CZ30190" s="35">
        <v>2.0502464000000005E-2</v>
      </c>
    </row>
    <row r="30191" spans="103:104" x14ac:dyDescent="0.3">
      <c r="CY30191" s="34" t="s">
        <v>31117</v>
      </c>
      <c r="CZ30191" s="35">
        <v>5.8692952800000003E-2</v>
      </c>
    </row>
    <row r="30192" spans="103:104" x14ac:dyDescent="0.3">
      <c r="CY30192" s="34" t="s">
        <v>31118</v>
      </c>
      <c r="CZ30192" s="35">
        <v>0.11355066400000001</v>
      </c>
    </row>
    <row r="30193" spans="103:104" x14ac:dyDescent="0.3">
      <c r="CY30193" s="34" t="s">
        <v>31119</v>
      </c>
      <c r="CZ30193" s="35">
        <v>6.5550250000000003E-4</v>
      </c>
    </row>
    <row r="30194" spans="103:104" x14ac:dyDescent="0.3">
      <c r="CY30194" s="34" t="s">
        <v>31120</v>
      </c>
      <c r="CZ30194" s="35">
        <v>3.0632000000000003E-3</v>
      </c>
    </row>
    <row r="30195" spans="103:104" x14ac:dyDescent="0.3">
      <c r="CY30195" s="34" t="s">
        <v>31121</v>
      </c>
      <c r="CZ30195" s="35">
        <v>5.1506815157894743E-2</v>
      </c>
    </row>
    <row r="30196" spans="103:104" x14ac:dyDescent="0.3">
      <c r="CY30196" s="34" t="s">
        <v>31122</v>
      </c>
      <c r="CZ30196" s="35">
        <v>4.9021046222222217E-3</v>
      </c>
    </row>
    <row r="30197" spans="103:104" x14ac:dyDescent="0.3">
      <c r="CY30197" s="34" t="s">
        <v>31123</v>
      </c>
      <c r="CZ30197" s="35">
        <v>0.15598536000000005</v>
      </c>
    </row>
    <row r="30198" spans="103:104" x14ac:dyDescent="0.3">
      <c r="CY30198" s="34" t="s">
        <v>31124</v>
      </c>
      <c r="CZ30198" s="35">
        <v>1.8634605894736842E-2</v>
      </c>
    </row>
    <row r="30199" spans="103:104" x14ac:dyDescent="0.3">
      <c r="CY30199" s="34" t="s">
        <v>31125</v>
      </c>
      <c r="CZ30199" s="35">
        <v>6.6749799999999996E-3</v>
      </c>
    </row>
    <row r="30200" spans="103:104" x14ac:dyDescent="0.3">
      <c r="CY30200" s="34" t="s">
        <v>31126</v>
      </c>
      <c r="CZ30200" s="35">
        <v>1.5147736000000002E-2</v>
      </c>
    </row>
    <row r="30201" spans="103:104" x14ac:dyDescent="0.3">
      <c r="CY30201" s="34" t="s">
        <v>31127</v>
      </c>
      <c r="CZ30201" s="35">
        <v>2.45003683336</v>
      </c>
    </row>
    <row r="30202" spans="103:104" x14ac:dyDescent="0.3">
      <c r="CY30202" s="34" t="s">
        <v>31128</v>
      </c>
      <c r="CZ30202" s="35">
        <v>2.6656594444444443E-3</v>
      </c>
    </row>
    <row r="30203" spans="103:104" x14ac:dyDescent="0.3">
      <c r="CY30203" s="34" t="s">
        <v>31129</v>
      </c>
      <c r="CZ30203" s="35">
        <v>2.6656594444444443E-3</v>
      </c>
    </row>
    <row r="30204" spans="103:104" x14ac:dyDescent="0.3">
      <c r="CY30204" s="34" t="s">
        <v>31130</v>
      </c>
      <c r="CZ30204" s="35">
        <v>2.6656594444444443E-3</v>
      </c>
    </row>
    <row r="30205" spans="103:104" x14ac:dyDescent="0.3">
      <c r="CY30205" s="34" t="s">
        <v>31131</v>
      </c>
      <c r="CZ30205" s="35">
        <v>2.8685000000000001E-5</v>
      </c>
    </row>
    <row r="30206" spans="103:104" x14ac:dyDescent="0.3">
      <c r="CY30206" s="34" t="s">
        <v>31132</v>
      </c>
      <c r="CZ30206" s="35">
        <v>4.693745E-3</v>
      </c>
    </row>
    <row r="30207" spans="103:104" x14ac:dyDescent="0.3">
      <c r="CY30207" s="34" t="s">
        <v>31133</v>
      </c>
      <c r="CZ30207" s="35">
        <v>3.3995909999999996E-3</v>
      </c>
    </row>
    <row r="30208" spans="103:104" x14ac:dyDescent="0.3">
      <c r="CY30208" s="34" t="s">
        <v>31134</v>
      </c>
      <c r="CZ30208" s="35">
        <v>3.4972381999999998E-3</v>
      </c>
    </row>
    <row r="30209" spans="103:104" x14ac:dyDescent="0.3">
      <c r="CY30209" s="34" t="s">
        <v>31135</v>
      </c>
      <c r="CZ30209" s="35">
        <v>6.6264798999999999E-2</v>
      </c>
    </row>
    <row r="30210" spans="103:104" x14ac:dyDescent="0.3">
      <c r="CY30210" s="34" t="s">
        <v>31136</v>
      </c>
      <c r="CZ30210" s="35">
        <v>7.3266005600000003E-3</v>
      </c>
    </row>
    <row r="30211" spans="103:104" x14ac:dyDescent="0.3">
      <c r="CY30211" s="34" t="s">
        <v>31137</v>
      </c>
      <c r="CZ30211" s="35">
        <v>3.4972381999999998E-3</v>
      </c>
    </row>
    <row r="30212" spans="103:104" x14ac:dyDescent="0.3">
      <c r="CY30212" s="34" t="s">
        <v>31138</v>
      </c>
      <c r="CZ30212" s="35">
        <v>0.42258240666666663</v>
      </c>
    </row>
    <row r="30213" spans="103:104" x14ac:dyDescent="0.3">
      <c r="CY30213" s="34" t="s">
        <v>31139</v>
      </c>
      <c r="CZ30213" s="35">
        <v>1.0448878400000001E-3</v>
      </c>
    </row>
    <row r="30214" spans="103:104" x14ac:dyDescent="0.3">
      <c r="CY30214" s="34" t="s">
        <v>31140</v>
      </c>
      <c r="CZ30214" s="35">
        <v>0.17518731200000001</v>
      </c>
    </row>
    <row r="30215" spans="103:104" x14ac:dyDescent="0.3">
      <c r="CY30215" s="34" t="s">
        <v>31141</v>
      </c>
      <c r="CZ30215" s="35">
        <v>0.10629448000000001</v>
      </c>
    </row>
    <row r="30216" spans="103:104" x14ac:dyDescent="0.3">
      <c r="CY30216" s="34" t="s">
        <v>31142</v>
      </c>
      <c r="CZ30216" s="35">
        <v>0.10568025999999998</v>
      </c>
    </row>
    <row r="30217" spans="103:104" x14ac:dyDescent="0.3">
      <c r="CY30217" s="34" t="s">
        <v>31143</v>
      </c>
      <c r="CZ30217" s="35">
        <v>0.13349938</v>
      </c>
    </row>
    <row r="30218" spans="103:104" x14ac:dyDescent="0.3">
      <c r="CY30218" s="34" t="s">
        <v>31144</v>
      </c>
      <c r="CZ30218" s="35">
        <v>9.9919991111111092E-2</v>
      </c>
    </row>
    <row r="30219" spans="103:104" x14ac:dyDescent="0.3">
      <c r="CY30219" s="34" t="s">
        <v>31145</v>
      </c>
      <c r="CZ30219" s="35">
        <v>6.6536337000000001E-2</v>
      </c>
    </row>
    <row r="30220" spans="103:104" x14ac:dyDescent="0.3">
      <c r="CY30220" s="34" t="s">
        <v>31146</v>
      </c>
      <c r="CZ30220" s="35">
        <v>1.27294248E-2</v>
      </c>
    </row>
    <row r="30221" spans="103:104" x14ac:dyDescent="0.3">
      <c r="CY30221" s="34" t="s">
        <v>31147</v>
      </c>
      <c r="CZ30221" s="35">
        <v>1.27294248E-2</v>
      </c>
    </row>
    <row r="30222" spans="103:104" x14ac:dyDescent="0.3">
      <c r="CY30222" s="34" t="s">
        <v>31148</v>
      </c>
      <c r="CZ30222" s="35">
        <v>6.1044433200000012E-2</v>
      </c>
    </row>
    <row r="30223" spans="103:104" x14ac:dyDescent="0.3">
      <c r="CY30223" s="34" t="s">
        <v>31149</v>
      </c>
      <c r="CZ30223" s="35">
        <v>1.13255128E-2</v>
      </c>
    </row>
    <row r="30224" spans="103:104" x14ac:dyDescent="0.3">
      <c r="CY30224" s="34" t="s">
        <v>31150</v>
      </c>
      <c r="CZ30224" s="35">
        <v>1.1325512800000001E-2</v>
      </c>
    </row>
    <row r="30225" spans="103:104" x14ac:dyDescent="0.3">
      <c r="CY30225" s="34" t="s">
        <v>31151</v>
      </c>
      <c r="CZ30225" s="35">
        <v>1.6818797600000001E-2</v>
      </c>
    </row>
    <row r="30226" spans="103:104" x14ac:dyDescent="0.3">
      <c r="CY30226" s="34" t="s">
        <v>31152</v>
      </c>
      <c r="CZ30226" s="35">
        <v>1.6818797599999998E-2</v>
      </c>
    </row>
    <row r="30227" spans="103:104" x14ac:dyDescent="0.3">
      <c r="CY30227" s="34" t="s">
        <v>31153</v>
      </c>
      <c r="CZ30227" s="35">
        <v>1.4436120000000002E-2</v>
      </c>
    </row>
    <row r="30228" spans="103:104" x14ac:dyDescent="0.3">
      <c r="CY30228" s="34" t="s">
        <v>31154</v>
      </c>
      <c r="CZ30228" s="35">
        <v>2.5704899999999999E-2</v>
      </c>
    </row>
    <row r="30229" spans="103:104" x14ac:dyDescent="0.3">
      <c r="CY30229" s="34" t="s">
        <v>31155</v>
      </c>
      <c r="CZ30229" s="35">
        <v>1.1617550999999999E-2</v>
      </c>
    </row>
    <row r="30230" spans="103:104" x14ac:dyDescent="0.3">
      <c r="CY30230" s="34" t="s">
        <v>31156</v>
      </c>
      <c r="CZ30230" s="35">
        <v>5.5430676000000005E-2</v>
      </c>
    </row>
    <row r="30231" spans="103:104" x14ac:dyDescent="0.3">
      <c r="CY30231" s="34" t="s">
        <v>31157</v>
      </c>
      <c r="CZ30231" s="35">
        <v>2.0204215533333333E-3</v>
      </c>
    </row>
    <row r="30232" spans="103:104" x14ac:dyDescent="0.3">
      <c r="CY30232" s="34" t="s">
        <v>31158</v>
      </c>
      <c r="CZ30232" s="35">
        <v>1.764734375E-3</v>
      </c>
    </row>
    <row r="30233" spans="103:104" x14ac:dyDescent="0.3">
      <c r="CY30233" s="34" t="s">
        <v>31159</v>
      </c>
      <c r="CZ30233" s="35">
        <v>5.8021066666666676E-3</v>
      </c>
    </row>
    <row r="30234" spans="103:104" x14ac:dyDescent="0.3">
      <c r="CY30234" s="34" t="s">
        <v>31160</v>
      </c>
      <c r="CZ30234" s="35">
        <v>1.5847520740740742E-3</v>
      </c>
    </row>
    <row r="30235" spans="103:104" x14ac:dyDescent="0.3">
      <c r="CY30235" s="34" t="s">
        <v>31161</v>
      </c>
      <c r="CZ30235" s="35">
        <v>3.4785360000000004E-3</v>
      </c>
    </row>
    <row r="30236" spans="103:104" x14ac:dyDescent="0.3">
      <c r="CY30236" s="34" t="s">
        <v>31162</v>
      </c>
      <c r="CZ30236" s="35">
        <v>4.1413199999999987E-3</v>
      </c>
    </row>
    <row r="30237" spans="103:104" x14ac:dyDescent="0.3">
      <c r="CY30237" s="34" t="s">
        <v>31163</v>
      </c>
      <c r="CZ30237" s="35">
        <v>2.5278321600000001E-3</v>
      </c>
    </row>
    <row r="30238" spans="103:104" x14ac:dyDescent="0.3">
      <c r="CY30238" s="34" t="s">
        <v>31164</v>
      </c>
      <c r="CZ30238" s="35">
        <v>8.9594040000000007E-3</v>
      </c>
    </row>
    <row r="30239" spans="103:104" x14ac:dyDescent="0.3">
      <c r="CY30239" s="34" t="s">
        <v>31165</v>
      </c>
      <c r="CZ30239" s="35">
        <v>4.8544162000000005E-4</v>
      </c>
    </row>
    <row r="30240" spans="103:104" x14ac:dyDescent="0.3">
      <c r="CY30240" s="34" t="s">
        <v>31166</v>
      </c>
      <c r="CZ30240" s="35">
        <v>5.3480051999999997E-4</v>
      </c>
    </row>
    <row r="30241" spans="103:104" x14ac:dyDescent="0.3">
      <c r="CY30241" s="34" t="s">
        <v>31167</v>
      </c>
      <c r="CZ30241" s="35">
        <v>0.14237425000000001</v>
      </c>
    </row>
    <row r="30242" spans="103:104" x14ac:dyDescent="0.3">
      <c r="CY30242" s="34" t="s">
        <v>31168</v>
      </c>
      <c r="CZ30242" s="35">
        <v>4.09984823E-2</v>
      </c>
    </row>
    <row r="30243" spans="103:104" x14ac:dyDescent="0.3">
      <c r="CY30243" s="34" t="s">
        <v>31169</v>
      </c>
      <c r="CZ30243" s="35">
        <v>6.5960449340000005E-2</v>
      </c>
    </row>
    <row r="30244" spans="103:104" x14ac:dyDescent="0.3">
      <c r="CY30244" s="34" t="s">
        <v>31170</v>
      </c>
      <c r="CZ30244" s="35">
        <v>8.1103821200000009E-2</v>
      </c>
    </row>
    <row r="30245" spans="103:104" x14ac:dyDescent="0.3">
      <c r="CY30245" s="34" t="s">
        <v>31171</v>
      </c>
      <c r="CZ30245" s="35">
        <v>1.3004010400000002E-2</v>
      </c>
    </row>
    <row r="30246" spans="103:104" x14ac:dyDescent="0.3">
      <c r="CY30246" s="34" t="s">
        <v>31172</v>
      </c>
      <c r="CZ30246" s="35">
        <v>1.3004010400000003E-2</v>
      </c>
    </row>
    <row r="30247" spans="103:104" x14ac:dyDescent="0.3">
      <c r="CY30247" s="34" t="s">
        <v>31173</v>
      </c>
      <c r="CZ30247" s="35">
        <v>2.1137522399999997E-2</v>
      </c>
    </row>
    <row r="30248" spans="103:104" x14ac:dyDescent="0.3">
      <c r="CY30248" s="34" t="s">
        <v>31174</v>
      </c>
      <c r="CZ30248" s="35">
        <v>2.1137522399999997E-2</v>
      </c>
    </row>
    <row r="30249" spans="103:104" x14ac:dyDescent="0.3">
      <c r="CY30249" s="34" t="s">
        <v>31175</v>
      </c>
      <c r="CZ30249" s="35">
        <v>1.6523744E-3</v>
      </c>
    </row>
    <row r="30250" spans="103:104" x14ac:dyDescent="0.3">
      <c r="CY30250" s="34" t="s">
        <v>31176</v>
      </c>
      <c r="CZ30250" s="35">
        <v>1.5591754333333332E-2</v>
      </c>
    </row>
    <row r="30251" spans="103:104" x14ac:dyDescent="0.3">
      <c r="CY30251" s="34" t="s">
        <v>31177</v>
      </c>
      <c r="CZ30251" s="35">
        <v>1.3890075999999999E-2</v>
      </c>
    </row>
    <row r="30252" spans="103:104" x14ac:dyDescent="0.3">
      <c r="CY30252" s="34" t="s">
        <v>31178</v>
      </c>
      <c r="CZ30252" s="35">
        <v>2.1337632E-3</v>
      </c>
    </row>
    <row r="30253" spans="103:104" x14ac:dyDescent="0.3">
      <c r="CY30253" s="34" t="s">
        <v>31179</v>
      </c>
      <c r="CZ30253" s="35">
        <v>2.537712E-2</v>
      </c>
    </row>
    <row r="30254" spans="103:104" x14ac:dyDescent="0.3">
      <c r="CY30254" s="34" t="s">
        <v>31180</v>
      </c>
      <c r="CZ30254" s="35">
        <v>2.6756965300000005E-2</v>
      </c>
    </row>
    <row r="30255" spans="103:104" x14ac:dyDescent="0.3">
      <c r="CY30255" s="34" t="s">
        <v>31181</v>
      </c>
      <c r="CZ30255" s="35">
        <v>6.4858359999999998E-4</v>
      </c>
    </row>
    <row r="30256" spans="103:104" x14ac:dyDescent="0.3">
      <c r="CY30256" s="34" t="s">
        <v>31182</v>
      </c>
      <c r="CZ30256" s="35">
        <v>6.4858359999999998E-4</v>
      </c>
    </row>
    <row r="30257" spans="103:104" x14ac:dyDescent="0.3">
      <c r="CY30257" s="34" t="s">
        <v>31183</v>
      </c>
      <c r="CZ30257" s="35">
        <v>6.4858359999999998E-4</v>
      </c>
    </row>
    <row r="30258" spans="103:104" x14ac:dyDescent="0.3">
      <c r="CY30258" s="34" t="s">
        <v>31184</v>
      </c>
      <c r="CZ30258" s="35">
        <v>3.4810264000000003E-4</v>
      </c>
    </row>
    <row r="30259" spans="103:104" x14ac:dyDescent="0.3">
      <c r="CY30259" s="34" t="s">
        <v>31185</v>
      </c>
      <c r="CZ30259" s="35">
        <v>0.53126521199999999</v>
      </c>
    </row>
    <row r="30260" spans="103:104" x14ac:dyDescent="0.3">
      <c r="CY30260" s="34" t="s">
        <v>31186</v>
      </c>
      <c r="CZ30260" s="35">
        <v>1.3029539999999998E-3</v>
      </c>
    </row>
    <row r="30261" spans="103:104" x14ac:dyDescent="0.3">
      <c r="CY30261" s="34" t="s">
        <v>31187</v>
      </c>
      <c r="CZ30261" s="35">
        <v>7.3406166666666669E-4</v>
      </c>
    </row>
    <row r="30262" spans="103:104" x14ac:dyDescent="0.3">
      <c r="CY30262" s="34" t="s">
        <v>31188</v>
      </c>
      <c r="CZ30262" s="35">
        <v>3.9692E-3</v>
      </c>
    </row>
    <row r="30263" spans="103:104" x14ac:dyDescent="0.3">
      <c r="CY30263" s="34" t="s">
        <v>31189</v>
      </c>
      <c r="CZ30263" s="35">
        <v>9.8886695999999996E-2</v>
      </c>
    </row>
    <row r="30264" spans="103:104" x14ac:dyDescent="0.3">
      <c r="CY30264" s="34" t="s">
        <v>31190</v>
      </c>
      <c r="CZ30264" s="35">
        <v>9.888669600000001E-2</v>
      </c>
    </row>
    <row r="30265" spans="103:104" x14ac:dyDescent="0.3">
      <c r="CY30265" s="34" t="s">
        <v>31191</v>
      </c>
      <c r="CZ30265" s="35">
        <v>8.0891098666666661E-2</v>
      </c>
    </row>
    <row r="30266" spans="103:104" x14ac:dyDescent="0.3">
      <c r="CY30266" s="34" t="s">
        <v>31192</v>
      </c>
      <c r="CZ30266" s="35">
        <v>0.3334695946666667</v>
      </c>
    </row>
    <row r="30267" spans="103:104" x14ac:dyDescent="0.3">
      <c r="CY30267" s="34" t="s">
        <v>31193</v>
      </c>
      <c r="CZ30267" s="35">
        <v>8.2731258666666654E-2</v>
      </c>
    </row>
    <row r="30268" spans="103:104" x14ac:dyDescent="0.3">
      <c r="CY30268" s="34" t="s">
        <v>31194</v>
      </c>
      <c r="CZ30268" s="35">
        <v>1.8029104000000001E-2</v>
      </c>
    </row>
    <row r="30269" spans="103:104" x14ac:dyDescent="0.3">
      <c r="CY30269" s="34" t="s">
        <v>31195</v>
      </c>
      <c r="CZ30269" s="35">
        <v>2.4472453299999999E-2</v>
      </c>
    </row>
    <row r="30270" spans="103:104" x14ac:dyDescent="0.3">
      <c r="CY30270" s="34" t="s">
        <v>31196</v>
      </c>
      <c r="CZ30270" s="35">
        <v>0.88173508</v>
      </c>
    </row>
    <row r="30271" spans="103:104" x14ac:dyDescent="0.3">
      <c r="CY30271" s="34" t="s">
        <v>31197</v>
      </c>
      <c r="CZ30271" s="35">
        <v>0.68649949399999999</v>
      </c>
    </row>
    <row r="30272" spans="103:104" x14ac:dyDescent="0.3">
      <c r="CY30272" s="34" t="s">
        <v>31198</v>
      </c>
      <c r="CZ30272" s="35">
        <v>0.83223031000000003</v>
      </c>
    </row>
    <row r="30273" spans="103:104" x14ac:dyDescent="0.3">
      <c r="CY30273" s="34" t="s">
        <v>31199</v>
      </c>
      <c r="CZ30273" s="35">
        <v>0.48837970000000003</v>
      </c>
    </row>
    <row r="30274" spans="103:104" x14ac:dyDescent="0.3">
      <c r="CY30274" s="34" t="s">
        <v>31200</v>
      </c>
      <c r="CZ30274" s="35">
        <v>6.7641963999999999E-2</v>
      </c>
    </row>
    <row r="30275" spans="103:104" x14ac:dyDescent="0.3">
      <c r="CY30275" s="34" t="s">
        <v>31201</v>
      </c>
      <c r="CZ30275" s="35">
        <v>7.3700340000000001E-3</v>
      </c>
    </row>
    <row r="30276" spans="103:104" x14ac:dyDescent="0.3">
      <c r="CY30276" s="34" t="s">
        <v>31202</v>
      </c>
      <c r="CZ30276" s="35">
        <v>2.2101592519999998E-2</v>
      </c>
    </row>
    <row r="30277" spans="103:104" x14ac:dyDescent="0.3">
      <c r="CY30277" s="34" t="s">
        <v>31203</v>
      </c>
      <c r="CZ30277" s="35">
        <v>5.0321594400000003E-2</v>
      </c>
    </row>
    <row r="30278" spans="103:104" x14ac:dyDescent="0.3">
      <c r="CY30278" s="34" t="s">
        <v>31204</v>
      </c>
      <c r="CZ30278" s="35">
        <v>1.3801293333333332E-2</v>
      </c>
    </row>
    <row r="30279" spans="103:104" x14ac:dyDescent="0.3">
      <c r="CY30279" s="34" t="s">
        <v>31205</v>
      </c>
      <c r="CZ30279" s="35">
        <v>4.6959999999999998E-4</v>
      </c>
    </row>
    <row r="30280" spans="103:104" x14ac:dyDescent="0.3">
      <c r="CY30280" s="34" t="s">
        <v>31206</v>
      </c>
      <c r="CZ30280" s="35">
        <v>7.8946297777777785E-2</v>
      </c>
    </row>
    <row r="30281" spans="103:104" x14ac:dyDescent="0.3">
      <c r="CY30281" s="34" t="s">
        <v>31207</v>
      </c>
      <c r="CZ30281" s="35">
        <v>9.2183290000000008E-3</v>
      </c>
    </row>
    <row r="30282" spans="103:104" x14ac:dyDescent="0.3">
      <c r="CY30282" s="34" t="s">
        <v>31208</v>
      </c>
      <c r="CZ30282" s="35">
        <v>1.0678037600000002E-2</v>
      </c>
    </row>
    <row r="30283" spans="103:104" x14ac:dyDescent="0.3">
      <c r="CY30283" s="34" t="s">
        <v>31209</v>
      </c>
      <c r="CZ30283" s="35">
        <v>2.9677872999999997E-2</v>
      </c>
    </row>
    <row r="30284" spans="103:104" x14ac:dyDescent="0.3">
      <c r="CY30284" s="34" t="s">
        <v>31210</v>
      </c>
      <c r="CZ30284" s="35">
        <v>7.7294580000000002E-2</v>
      </c>
    </row>
    <row r="30285" spans="103:104" x14ac:dyDescent="0.3">
      <c r="CY30285" s="34" t="s">
        <v>31211</v>
      </c>
      <c r="CZ30285" s="35">
        <v>4.6959999999999998E-4</v>
      </c>
    </row>
    <row r="30286" spans="103:104" x14ac:dyDescent="0.3">
      <c r="CY30286" s="34" t="s">
        <v>31212</v>
      </c>
      <c r="CZ30286" s="35">
        <v>8.8226068000000005E-3</v>
      </c>
    </row>
    <row r="30287" spans="103:104" x14ac:dyDescent="0.3">
      <c r="CY30287" s="34" t="s">
        <v>31213</v>
      </c>
      <c r="CZ30287" s="35">
        <v>3.1132867000000005E-3</v>
      </c>
    </row>
    <row r="30288" spans="103:104" x14ac:dyDescent="0.3">
      <c r="CY30288" s="34" t="s">
        <v>31214</v>
      </c>
      <c r="CZ30288" s="35">
        <v>1.2355831176470589E-3</v>
      </c>
    </row>
    <row r="30289" spans="103:104" x14ac:dyDescent="0.3">
      <c r="CY30289" s="34" t="s">
        <v>31215</v>
      </c>
      <c r="CZ30289" s="35">
        <v>0.26157291111111108</v>
      </c>
    </row>
    <row r="30290" spans="103:104" x14ac:dyDescent="0.3">
      <c r="CY30290" s="34" t="s">
        <v>31216</v>
      </c>
      <c r="CZ30290" s="35">
        <v>5.0448874210526325E-3</v>
      </c>
    </row>
    <row r="30291" spans="103:104" x14ac:dyDescent="0.3">
      <c r="CY30291" s="34" t="s">
        <v>31217</v>
      </c>
      <c r="CZ30291" s="35">
        <v>1.3798736000000002E-3</v>
      </c>
    </row>
    <row r="30292" spans="103:104" x14ac:dyDescent="0.3">
      <c r="CY30292" s="34" t="s">
        <v>31218</v>
      </c>
      <c r="CZ30292" s="35">
        <v>1.1353372800000001E-2</v>
      </c>
    </row>
    <row r="30293" spans="103:104" x14ac:dyDescent="0.3">
      <c r="CY30293" s="34" t="s">
        <v>31219</v>
      </c>
      <c r="CZ30293" s="35">
        <v>0.28101419111111114</v>
      </c>
    </row>
    <row r="30294" spans="103:104" x14ac:dyDescent="0.3">
      <c r="CY30294" s="34" t="s">
        <v>31220</v>
      </c>
      <c r="CZ30294" s="35">
        <v>0.28101419111111114</v>
      </c>
    </row>
    <row r="30295" spans="103:104" x14ac:dyDescent="0.3">
      <c r="CY30295" s="34" t="s">
        <v>31221</v>
      </c>
      <c r="CZ30295" s="35">
        <v>2.4891612E-2</v>
      </c>
    </row>
    <row r="30296" spans="103:104" x14ac:dyDescent="0.3">
      <c r="CY30296" s="34" t="s">
        <v>31222</v>
      </c>
      <c r="CZ30296" s="35">
        <v>2.4891612E-2</v>
      </c>
    </row>
    <row r="30297" spans="103:104" x14ac:dyDescent="0.3">
      <c r="CY30297" s="34" t="s">
        <v>31223</v>
      </c>
      <c r="CZ30297" s="35">
        <v>2.4692943999999998E-2</v>
      </c>
    </row>
    <row r="30298" spans="103:104" x14ac:dyDescent="0.3">
      <c r="CY30298" s="34" t="s">
        <v>31224</v>
      </c>
      <c r="CZ30298" s="35">
        <v>0.174787418</v>
      </c>
    </row>
    <row r="30299" spans="103:104" x14ac:dyDescent="0.3">
      <c r="CY30299" s="34" t="s">
        <v>31225</v>
      </c>
      <c r="CZ30299" s="35">
        <v>0.18089407799999999</v>
      </c>
    </row>
    <row r="30300" spans="103:104" x14ac:dyDescent="0.3">
      <c r="CY30300" s="34" t="s">
        <v>31226</v>
      </c>
      <c r="CZ30300" s="35">
        <v>0.18560493</v>
      </c>
    </row>
    <row r="30301" spans="103:104" x14ac:dyDescent="0.3">
      <c r="CY30301" s="34" t="s">
        <v>31227</v>
      </c>
      <c r="CZ30301" s="35">
        <v>0.18909444999999997</v>
      </c>
    </row>
    <row r="30302" spans="103:104" x14ac:dyDescent="0.3">
      <c r="CY30302" s="34" t="s">
        <v>31228</v>
      </c>
      <c r="CZ30302" s="35">
        <v>0.19607349000000002</v>
      </c>
    </row>
    <row r="30303" spans="103:104" x14ac:dyDescent="0.3">
      <c r="CY30303" s="34" t="s">
        <v>31229</v>
      </c>
      <c r="CZ30303" s="35">
        <v>0.19607349000000002</v>
      </c>
    </row>
    <row r="30304" spans="103:104" x14ac:dyDescent="0.3">
      <c r="CY30304" s="34" t="s">
        <v>31230</v>
      </c>
      <c r="CZ30304" s="35">
        <v>0.19956300999999999</v>
      </c>
    </row>
    <row r="30305" spans="103:104" x14ac:dyDescent="0.3">
      <c r="CY30305" s="34" t="s">
        <v>31231</v>
      </c>
      <c r="CZ30305" s="35">
        <v>0.20130777</v>
      </c>
    </row>
    <row r="30306" spans="103:104" x14ac:dyDescent="0.3">
      <c r="CY30306" s="34" t="s">
        <v>31232</v>
      </c>
      <c r="CZ30306" s="35">
        <v>0.20130777</v>
      </c>
    </row>
    <row r="30307" spans="103:104" x14ac:dyDescent="0.3">
      <c r="CY30307" s="34" t="s">
        <v>31233</v>
      </c>
      <c r="CZ30307" s="35">
        <v>9.0565469999999999E-3</v>
      </c>
    </row>
    <row r="30308" spans="103:104" x14ac:dyDescent="0.3">
      <c r="CY30308" s="34" t="s">
        <v>31234</v>
      </c>
      <c r="CZ30308" s="35">
        <v>7.4351929999999997E-3</v>
      </c>
    </row>
    <row r="30309" spans="103:104" x14ac:dyDescent="0.3">
      <c r="CY30309" s="34" t="s">
        <v>31235</v>
      </c>
      <c r="CZ30309" s="35">
        <v>1.5893441599999999E-2</v>
      </c>
    </row>
    <row r="30310" spans="103:104" x14ac:dyDescent="0.3">
      <c r="CY30310" s="34" t="s">
        <v>31236</v>
      </c>
      <c r="CZ30310" s="35">
        <v>0.33393624</v>
      </c>
    </row>
    <row r="30311" spans="103:104" x14ac:dyDescent="0.3">
      <c r="CY30311" s="34" t="s">
        <v>31237</v>
      </c>
      <c r="CZ30311" s="35">
        <v>0.39355314000000002</v>
      </c>
    </row>
    <row r="30312" spans="103:104" x14ac:dyDescent="0.3">
      <c r="CY30312" s="34" t="s">
        <v>31238</v>
      </c>
      <c r="CZ30312" s="35">
        <v>0.117408</v>
      </c>
    </row>
    <row r="30313" spans="103:104" x14ac:dyDescent="0.3">
      <c r="CY30313" s="34" t="s">
        <v>31239</v>
      </c>
      <c r="CZ30313" s="35">
        <v>0.16193032499999999</v>
      </c>
    </row>
    <row r="30314" spans="103:104" x14ac:dyDescent="0.3">
      <c r="CY30314" s="34" t="s">
        <v>31240</v>
      </c>
      <c r="CZ30314" s="35">
        <v>4.1969403999999995E-2</v>
      </c>
    </row>
    <row r="30315" spans="103:104" x14ac:dyDescent="0.3">
      <c r="CY30315" s="34" t="s">
        <v>31241</v>
      </c>
      <c r="CZ30315" s="35">
        <v>5.4989026666666665E-4</v>
      </c>
    </row>
    <row r="30316" spans="103:104" x14ac:dyDescent="0.3">
      <c r="CY30316" s="34" t="s">
        <v>31242</v>
      </c>
      <c r="CZ30316" s="35">
        <v>5.3964596666666669E-4</v>
      </c>
    </row>
    <row r="30317" spans="103:104" x14ac:dyDescent="0.3">
      <c r="CY30317" s="34" t="s">
        <v>31243</v>
      </c>
      <c r="CZ30317" s="35">
        <v>3.1210398222222224E-2</v>
      </c>
    </row>
    <row r="30318" spans="103:104" x14ac:dyDescent="0.3">
      <c r="CY30318" s="34" t="s">
        <v>31244</v>
      </c>
      <c r="CZ30318" s="35">
        <v>1.7602291911111109E-2</v>
      </c>
    </row>
    <row r="30319" spans="103:104" x14ac:dyDescent="0.3">
      <c r="CY30319" s="34" t="s">
        <v>31245</v>
      </c>
      <c r="CZ30319" s="35">
        <v>4.9073500000000006E-4</v>
      </c>
    </row>
    <row r="30320" spans="103:104" x14ac:dyDescent="0.3">
      <c r="CY30320" s="34" t="s">
        <v>31246</v>
      </c>
      <c r="CZ30320" s="35">
        <v>6.1790949999999999E-4</v>
      </c>
    </row>
    <row r="30321" spans="103:104" x14ac:dyDescent="0.3">
      <c r="CY30321" s="34" t="s">
        <v>31247</v>
      </c>
      <c r="CZ30321" s="35">
        <v>1.2504046666666666E-3</v>
      </c>
    </row>
    <row r="30322" spans="103:104" x14ac:dyDescent="0.3">
      <c r="CY30322" s="34" t="s">
        <v>31248</v>
      </c>
      <c r="CZ30322" s="35">
        <v>1.47348128E-3</v>
      </c>
    </row>
    <row r="30323" spans="103:104" x14ac:dyDescent="0.3">
      <c r="CY30323" s="34" t="s">
        <v>31249</v>
      </c>
      <c r="CZ30323" s="35">
        <v>4.1645774999999996E-2</v>
      </c>
    </row>
    <row r="30324" spans="103:104" x14ac:dyDescent="0.3">
      <c r="CY30324" s="34" t="s">
        <v>31250</v>
      </c>
      <c r="CZ30324" s="35">
        <v>0.111448325</v>
      </c>
    </row>
    <row r="30325" spans="103:104" x14ac:dyDescent="0.3">
      <c r="CY30325" s="34" t="s">
        <v>31251</v>
      </c>
      <c r="CZ30325" s="35">
        <v>5.5503404000000001E-3</v>
      </c>
    </row>
    <row r="30326" spans="103:104" x14ac:dyDescent="0.3">
      <c r="CY30326" s="34" t="s">
        <v>31252</v>
      </c>
      <c r="CZ30326" s="35">
        <v>7.6201026909090905E-2</v>
      </c>
    </row>
    <row r="30327" spans="103:104" x14ac:dyDescent="0.3">
      <c r="CY30327" s="34" t="s">
        <v>31253</v>
      </c>
      <c r="CZ30327" s="35">
        <v>2.5256368000000001E-2</v>
      </c>
    </row>
    <row r="30328" spans="103:104" x14ac:dyDescent="0.3">
      <c r="CY30328" s="34" t="s">
        <v>31254</v>
      </c>
      <c r="CZ30328" s="35">
        <v>2.4583193999999999E-2</v>
      </c>
    </row>
    <row r="30329" spans="103:104" x14ac:dyDescent="0.3">
      <c r="CY30329" s="34" t="s">
        <v>31255</v>
      </c>
      <c r="CZ30329" s="35">
        <v>2.4583194999999999E-2</v>
      </c>
    </row>
    <row r="30330" spans="103:104" x14ac:dyDescent="0.3">
      <c r="CY30330" s="34" t="s">
        <v>31256</v>
      </c>
      <c r="CZ30330" s="35">
        <v>2.4583193999999999E-2</v>
      </c>
    </row>
    <row r="30331" spans="103:104" x14ac:dyDescent="0.3">
      <c r="CY30331" s="34" t="s">
        <v>31257</v>
      </c>
      <c r="CZ30331" s="35">
        <v>0.39755415999999999</v>
      </c>
    </row>
    <row r="30332" spans="103:104" x14ac:dyDescent="0.3">
      <c r="CY30332" s="34" t="s">
        <v>31258</v>
      </c>
      <c r="CZ30332" s="35">
        <v>0.63920682000000006</v>
      </c>
    </row>
    <row r="30333" spans="103:104" x14ac:dyDescent="0.3">
      <c r="CY30333" s="34" t="s">
        <v>31259</v>
      </c>
      <c r="CZ30333" s="35">
        <v>0.11703095849999999</v>
      </c>
    </row>
    <row r="30334" spans="103:104" x14ac:dyDescent="0.3">
      <c r="CY30334" s="34" t="s">
        <v>31260</v>
      </c>
      <c r="CZ30334" s="35">
        <v>5.9654226000000005E-2</v>
      </c>
    </row>
    <row r="30335" spans="103:104" x14ac:dyDescent="0.3">
      <c r="CY30335" s="34" t="s">
        <v>31261</v>
      </c>
      <c r="CZ30335" s="35">
        <v>2.7758579777777775E-2</v>
      </c>
    </row>
    <row r="30336" spans="103:104" x14ac:dyDescent="0.3">
      <c r="CY30336" s="34" t="s">
        <v>31262</v>
      </c>
      <c r="CZ30336" s="35">
        <v>1.5126604000000003E-4</v>
      </c>
    </row>
    <row r="30337" spans="103:104" x14ac:dyDescent="0.3">
      <c r="CY30337" s="34" t="s">
        <v>31263</v>
      </c>
      <c r="CZ30337" s="35">
        <v>3.2423798666666663E-2</v>
      </c>
    </row>
    <row r="30338" spans="103:104" x14ac:dyDescent="0.3">
      <c r="CY30338" s="34" t="s">
        <v>31264</v>
      </c>
      <c r="CZ30338" s="35">
        <v>0.50990946660000003</v>
      </c>
    </row>
    <row r="30339" spans="103:104" x14ac:dyDescent="0.3">
      <c r="CY30339" s="34" t="s">
        <v>31265</v>
      </c>
      <c r="CZ30339" s="35">
        <v>0.4004834746</v>
      </c>
    </row>
    <row r="30340" spans="103:104" x14ac:dyDescent="0.3">
      <c r="CY30340" s="34" t="s">
        <v>31266</v>
      </c>
      <c r="CZ30340" s="35">
        <v>1.3904167999999998E-2</v>
      </c>
    </row>
    <row r="30341" spans="103:104" x14ac:dyDescent="0.3">
      <c r="CY30341" s="34" t="s">
        <v>31267</v>
      </c>
      <c r="CZ30341" s="35">
        <v>0.48676060829999995</v>
      </c>
    </row>
    <row r="30342" spans="103:104" x14ac:dyDescent="0.3">
      <c r="CY30342" s="34" t="s">
        <v>31268</v>
      </c>
      <c r="CZ30342" s="35">
        <v>0.48676060829999995</v>
      </c>
    </row>
    <row r="30343" spans="103:104" x14ac:dyDescent="0.3">
      <c r="CY30343" s="34" t="s">
        <v>31269</v>
      </c>
      <c r="CZ30343" s="35">
        <v>0.80573254400000016</v>
      </c>
    </row>
    <row r="30344" spans="103:104" x14ac:dyDescent="0.3">
      <c r="CY30344" s="34" t="s">
        <v>31270</v>
      </c>
      <c r="CZ30344" s="35">
        <v>0.80573254400000016</v>
      </c>
    </row>
    <row r="30345" spans="103:104" x14ac:dyDescent="0.3">
      <c r="CY30345" s="34" t="s">
        <v>31271</v>
      </c>
      <c r="CZ30345" s="35">
        <v>9.5757845833333334E-3</v>
      </c>
    </row>
    <row r="30346" spans="103:104" x14ac:dyDescent="0.3">
      <c r="CY30346" s="34" t="s">
        <v>31272</v>
      </c>
      <c r="CZ30346" s="35">
        <v>1.30782568E-2</v>
      </c>
    </row>
    <row r="30347" spans="103:104" x14ac:dyDescent="0.3">
      <c r="CY30347" s="34" t="s">
        <v>31273</v>
      </c>
      <c r="CZ30347" s="35">
        <v>4.4536563999999996E-3</v>
      </c>
    </row>
    <row r="30348" spans="103:104" x14ac:dyDescent="0.3">
      <c r="CY30348" s="34" t="s">
        <v>31274</v>
      </c>
      <c r="CZ30348" s="35">
        <v>0.65902278133333347</v>
      </c>
    </row>
    <row r="30349" spans="103:104" x14ac:dyDescent="0.3">
      <c r="CY30349" s="34" t="s">
        <v>31275</v>
      </c>
      <c r="CZ30349" s="35">
        <v>5.9416428000000007E-2</v>
      </c>
    </row>
    <row r="30350" spans="103:104" x14ac:dyDescent="0.3">
      <c r="CY30350" s="34" t="s">
        <v>31276</v>
      </c>
      <c r="CZ30350" s="35">
        <v>8.4625220000000001E-3</v>
      </c>
    </row>
    <row r="30351" spans="103:104" x14ac:dyDescent="0.3">
      <c r="CY30351" s="34" t="s">
        <v>31277</v>
      </c>
      <c r="CZ30351" s="35">
        <v>8.4625164399999998E-3</v>
      </c>
    </row>
    <row r="30352" spans="103:104" x14ac:dyDescent="0.3">
      <c r="CY30352" s="34" t="s">
        <v>31278</v>
      </c>
      <c r="CZ30352" s="35">
        <v>4.4049166666666667E-2</v>
      </c>
    </row>
    <row r="30353" spans="103:104" x14ac:dyDescent="0.3">
      <c r="CY30353" s="34" t="s">
        <v>31279</v>
      </c>
      <c r="CZ30353" s="35">
        <v>0.46879639999999995</v>
      </c>
    </row>
    <row r="30354" spans="103:104" x14ac:dyDescent="0.3">
      <c r="CY30354" s="34" t="s">
        <v>31280</v>
      </c>
      <c r="CZ30354" s="35">
        <v>3.4129308520000005E-2</v>
      </c>
    </row>
    <row r="30355" spans="103:104" x14ac:dyDescent="0.3">
      <c r="CY30355" s="34" t="s">
        <v>31281</v>
      </c>
      <c r="CZ30355" s="35">
        <v>0.143235688</v>
      </c>
    </row>
    <row r="30356" spans="103:104" x14ac:dyDescent="0.3">
      <c r="CY30356" s="34" t="s">
        <v>31282</v>
      </c>
      <c r="CZ30356" s="35">
        <v>4.4803799999999991E-3</v>
      </c>
    </row>
    <row r="30357" spans="103:104" x14ac:dyDescent="0.3">
      <c r="CY30357" s="34" t="s">
        <v>31283</v>
      </c>
      <c r="CZ30357" s="35">
        <v>5.9707449999999991E-4</v>
      </c>
    </row>
    <row r="30358" spans="103:104" x14ac:dyDescent="0.3">
      <c r="CY30358" s="34" t="s">
        <v>31284</v>
      </c>
      <c r="CZ30358" s="35">
        <v>0.27532438666666664</v>
      </c>
    </row>
    <row r="30359" spans="103:104" x14ac:dyDescent="0.3">
      <c r="CY30359" s="34" t="s">
        <v>31285</v>
      </c>
      <c r="CZ30359" s="35">
        <v>0.11403598999999999</v>
      </c>
    </row>
    <row r="30360" spans="103:104" x14ac:dyDescent="0.3">
      <c r="CY30360" s="34" t="s">
        <v>31286</v>
      </c>
      <c r="CZ30360" s="35">
        <v>1.7633771122807014E-2</v>
      </c>
    </row>
    <row r="30361" spans="103:104" x14ac:dyDescent="0.3">
      <c r="CY30361" s="34" t="s">
        <v>31287</v>
      </c>
      <c r="CZ30361" s="35">
        <v>0.32702694666666665</v>
      </c>
    </row>
    <row r="30362" spans="103:104" x14ac:dyDescent="0.3">
      <c r="CY30362" s="34" t="s">
        <v>31288</v>
      </c>
      <c r="CZ30362" s="35">
        <v>0.28409164666666675</v>
      </c>
    </row>
    <row r="30363" spans="103:104" x14ac:dyDescent="0.3">
      <c r="CY30363" s="34" t="s">
        <v>31289</v>
      </c>
      <c r="CZ30363" s="35">
        <v>0.35379459666666668</v>
      </c>
    </row>
    <row r="30364" spans="103:104" x14ac:dyDescent="0.3">
      <c r="CY30364" s="34" t="s">
        <v>31290</v>
      </c>
      <c r="CZ30364" s="35">
        <v>0.36271714666666666</v>
      </c>
    </row>
    <row r="30365" spans="103:104" x14ac:dyDescent="0.3">
      <c r="CY30365" s="34" t="s">
        <v>31291</v>
      </c>
      <c r="CZ30365" s="35">
        <v>0.36271714666666666</v>
      </c>
    </row>
    <row r="30366" spans="103:104" x14ac:dyDescent="0.3">
      <c r="CY30366" s="34" t="s">
        <v>31292</v>
      </c>
      <c r="CZ30366" s="35">
        <v>0.45505480666666676</v>
      </c>
    </row>
    <row r="30367" spans="103:104" x14ac:dyDescent="0.3">
      <c r="CY30367" s="34" t="s">
        <v>31293</v>
      </c>
      <c r="CZ30367" s="35">
        <v>0.4550548066666667</v>
      </c>
    </row>
    <row r="30368" spans="103:104" x14ac:dyDescent="0.3">
      <c r="CY30368" s="34" t="s">
        <v>31294</v>
      </c>
      <c r="CZ30368" s="35">
        <v>0.30065626666666667</v>
      </c>
    </row>
    <row r="30369" spans="103:104" x14ac:dyDescent="0.3">
      <c r="CY30369" s="34" t="s">
        <v>31295</v>
      </c>
      <c r="CZ30369" s="35">
        <v>3.5573556499999995E-3</v>
      </c>
    </row>
    <row r="30370" spans="103:104" x14ac:dyDescent="0.3">
      <c r="CY30370" s="34" t="s">
        <v>31296</v>
      </c>
      <c r="CZ30370" s="35">
        <v>6.8371289052631574E-3</v>
      </c>
    </row>
    <row r="30371" spans="103:104" x14ac:dyDescent="0.3">
      <c r="CY30371" s="34" t="s">
        <v>31297</v>
      </c>
      <c r="CZ30371" s="35">
        <v>2.351422778947369E-3</v>
      </c>
    </row>
    <row r="30372" spans="103:104" x14ac:dyDescent="0.3">
      <c r="CY30372" s="34" t="s">
        <v>31298</v>
      </c>
      <c r="CZ30372" s="35">
        <v>9.1118872631578956E-3</v>
      </c>
    </row>
    <row r="30373" spans="103:104" x14ac:dyDescent="0.3">
      <c r="CY30373" s="34" t="s">
        <v>31299</v>
      </c>
      <c r="CZ30373" s="35">
        <v>4.0853761000000002E-2</v>
      </c>
    </row>
    <row r="30374" spans="103:104" x14ac:dyDescent="0.3">
      <c r="CY30374" s="34" t="s">
        <v>31300</v>
      </c>
      <c r="CZ30374" s="35">
        <v>1.6300463720000002E-2</v>
      </c>
    </row>
    <row r="30375" spans="103:104" x14ac:dyDescent="0.3">
      <c r="CY30375" s="34" t="s">
        <v>31301</v>
      </c>
      <c r="CZ30375" s="35">
        <v>5.4304871999999987E-3</v>
      </c>
    </row>
    <row r="30376" spans="103:104" x14ac:dyDescent="0.3">
      <c r="CY30376" s="34" t="s">
        <v>31302</v>
      </c>
      <c r="CZ30376" s="35">
        <v>1.041577824E-2</v>
      </c>
    </row>
    <row r="30377" spans="103:104" x14ac:dyDescent="0.3">
      <c r="CY30377" s="34" t="s">
        <v>31303</v>
      </c>
      <c r="CZ30377" s="35">
        <v>4.4026201199999998E-3</v>
      </c>
    </row>
    <row r="30378" spans="103:104" x14ac:dyDescent="0.3">
      <c r="CY30378" s="34" t="s">
        <v>31304</v>
      </c>
      <c r="CZ30378" s="35">
        <v>1.7346278900000001E-2</v>
      </c>
    </row>
    <row r="30379" spans="103:104" x14ac:dyDescent="0.3">
      <c r="CY30379" s="34" t="s">
        <v>31305</v>
      </c>
      <c r="CZ30379" s="35">
        <v>3.9671787999999999E-2</v>
      </c>
    </row>
    <row r="30380" spans="103:104" x14ac:dyDescent="0.3">
      <c r="CY30380" s="34" t="s">
        <v>31306</v>
      </c>
      <c r="CZ30380" s="35">
        <v>3.5796225000000001E-2</v>
      </c>
    </row>
    <row r="30381" spans="103:104" x14ac:dyDescent="0.3">
      <c r="CY30381" s="34" t="s">
        <v>31307</v>
      </c>
      <c r="CZ30381" s="35">
        <v>2.4251603333333331E-3</v>
      </c>
    </row>
    <row r="30382" spans="103:104" x14ac:dyDescent="0.3">
      <c r="CY30382" s="34" t="s">
        <v>31308</v>
      </c>
      <c r="CZ30382" s="35">
        <v>2.4251603333333331E-3</v>
      </c>
    </row>
    <row r="30383" spans="103:104" x14ac:dyDescent="0.3">
      <c r="CY30383" s="34" t="s">
        <v>31309</v>
      </c>
      <c r="CZ30383" s="35">
        <v>6.8506869999999996E-4</v>
      </c>
    </row>
    <row r="30384" spans="103:104" x14ac:dyDescent="0.3">
      <c r="CY30384" s="34" t="s">
        <v>31310</v>
      </c>
      <c r="CZ30384" s="35">
        <v>0.13643672713333335</v>
      </c>
    </row>
    <row r="30385" spans="103:104" x14ac:dyDescent="0.3">
      <c r="CY30385" s="34" t="s">
        <v>31311</v>
      </c>
      <c r="CZ30385" s="35">
        <v>0.11683877200000001</v>
      </c>
    </row>
    <row r="30386" spans="103:104" x14ac:dyDescent="0.3">
      <c r="CY30386" s="34" t="s">
        <v>31312</v>
      </c>
      <c r="CZ30386" s="35">
        <v>3.3252279209999999E-2</v>
      </c>
    </row>
    <row r="30387" spans="103:104" x14ac:dyDescent="0.3">
      <c r="CY30387" s="34" t="s">
        <v>31313</v>
      </c>
      <c r="CZ30387" s="35">
        <v>4.5189271999999999E-3</v>
      </c>
    </row>
    <row r="30388" spans="103:104" x14ac:dyDescent="0.3">
      <c r="CY30388" s="34" t="s">
        <v>31314</v>
      </c>
      <c r="CZ30388" s="35">
        <v>5.2160819999999997E-4</v>
      </c>
    </row>
    <row r="30389" spans="103:104" x14ac:dyDescent="0.3">
      <c r="CY30389" s="34" t="s">
        <v>31315</v>
      </c>
      <c r="CZ30389" s="35">
        <v>9.9960544444444438E-3</v>
      </c>
    </row>
    <row r="30390" spans="103:104" x14ac:dyDescent="0.3">
      <c r="CY30390" s="34" t="s">
        <v>31316</v>
      </c>
      <c r="CZ30390" s="35">
        <v>1.0189387777777776E-2</v>
      </c>
    </row>
    <row r="30391" spans="103:104" x14ac:dyDescent="0.3">
      <c r="CY30391" s="34" t="s">
        <v>31317</v>
      </c>
      <c r="CZ30391" s="35">
        <v>4.5886279999999999E-4</v>
      </c>
    </row>
    <row r="30392" spans="103:104" x14ac:dyDescent="0.3">
      <c r="CY30392" s="34" t="s">
        <v>31318</v>
      </c>
      <c r="CZ30392" s="35">
        <v>3.4171216000000004E-2</v>
      </c>
    </row>
    <row r="30393" spans="103:104" x14ac:dyDescent="0.3">
      <c r="CY30393" s="34" t="s">
        <v>31319</v>
      </c>
      <c r="CZ30393" s="35">
        <v>4.4815918888888889E-2</v>
      </c>
    </row>
    <row r="30394" spans="103:104" x14ac:dyDescent="0.3">
      <c r="CY30394" s="34" t="s">
        <v>31320</v>
      </c>
      <c r="CZ30394" s="35">
        <v>0.49082372489588888</v>
      </c>
    </row>
    <row r="30395" spans="103:104" x14ac:dyDescent="0.3">
      <c r="CY30395" s="34" t="s">
        <v>31321</v>
      </c>
      <c r="CZ30395" s="35">
        <v>3.4376712000000004E-2</v>
      </c>
    </row>
    <row r="30396" spans="103:104" x14ac:dyDescent="0.3">
      <c r="CY30396" s="34" t="s">
        <v>31322</v>
      </c>
      <c r="CZ30396" s="35">
        <v>3.4376712000000004E-2</v>
      </c>
    </row>
    <row r="30397" spans="103:104" x14ac:dyDescent="0.3">
      <c r="CY30397" s="34" t="s">
        <v>31323</v>
      </c>
      <c r="CZ30397" s="35">
        <v>5.3534785999999996E-4</v>
      </c>
    </row>
    <row r="30398" spans="103:104" x14ac:dyDescent="0.3">
      <c r="CY30398" s="34" t="s">
        <v>31324</v>
      </c>
      <c r="CZ30398" s="35">
        <v>2.9660005066666668E-3</v>
      </c>
    </row>
    <row r="30399" spans="103:104" x14ac:dyDescent="0.3">
      <c r="CY30399" s="34" t="s">
        <v>31325</v>
      </c>
      <c r="CZ30399" s="35">
        <v>7.2914439999999997E-2</v>
      </c>
    </row>
    <row r="30400" spans="103:104" x14ac:dyDescent="0.3">
      <c r="CY30400" s="34" t="s">
        <v>31326</v>
      </c>
      <c r="CZ30400" s="35">
        <v>1.1196817893750002</v>
      </c>
    </row>
    <row r="30401" spans="103:104" x14ac:dyDescent="0.3">
      <c r="CY30401" s="34" t="s">
        <v>31327</v>
      </c>
      <c r="CZ30401" s="35">
        <v>1.5074447493750001</v>
      </c>
    </row>
    <row r="30402" spans="103:104" x14ac:dyDescent="0.3">
      <c r="CY30402" s="34" t="s">
        <v>31328</v>
      </c>
      <c r="CZ30402" s="35">
        <v>2.8459782368421056</v>
      </c>
    </row>
    <row r="30403" spans="103:104" x14ac:dyDescent="0.3">
      <c r="CY30403" s="34" t="s">
        <v>31329</v>
      </c>
      <c r="CZ30403" s="35">
        <v>2.8459782421052635</v>
      </c>
    </row>
    <row r="30404" spans="103:104" x14ac:dyDescent="0.3">
      <c r="CY30404" s="34" t="s">
        <v>31330</v>
      </c>
      <c r="CZ30404" s="35">
        <v>0.23554933199999997</v>
      </c>
    </row>
    <row r="30405" spans="103:104" x14ac:dyDescent="0.3">
      <c r="CY30405" s="34" t="s">
        <v>31331</v>
      </c>
      <c r="CZ30405" s="35">
        <v>0.23554933199999997</v>
      </c>
    </row>
    <row r="30406" spans="103:104" x14ac:dyDescent="0.3">
      <c r="CY30406" s="34" t="s">
        <v>31332</v>
      </c>
      <c r="CZ30406" s="35">
        <v>0</v>
      </c>
    </row>
    <row r="30407" spans="103:104" x14ac:dyDescent="0.3">
      <c r="CY30407" s="34" t="s">
        <v>31333</v>
      </c>
      <c r="CZ30407" s="35">
        <v>1.5401814399999998E-3</v>
      </c>
    </row>
    <row r="30408" spans="103:104" x14ac:dyDescent="0.3">
      <c r="CY30408" s="34" t="s">
        <v>31334</v>
      </c>
      <c r="CZ30408" s="35">
        <v>1.57114096E-3</v>
      </c>
    </row>
    <row r="30409" spans="103:104" x14ac:dyDescent="0.3">
      <c r="CY30409" s="34" t="s">
        <v>31335</v>
      </c>
      <c r="CZ30409" s="35">
        <v>8.9268959999999994E-2</v>
      </c>
    </row>
    <row r="30410" spans="103:104" x14ac:dyDescent="0.3">
      <c r="CY30410" s="34" t="s">
        <v>31336</v>
      </c>
      <c r="CZ30410" s="35">
        <v>0.12862468400000002</v>
      </c>
    </row>
    <row r="30411" spans="103:104" x14ac:dyDescent="0.3">
      <c r="CY30411" s="34" t="s">
        <v>31337</v>
      </c>
      <c r="CZ30411" s="35">
        <v>0.17014997199999998</v>
      </c>
    </row>
    <row r="30412" spans="103:104" x14ac:dyDescent="0.3">
      <c r="CY30412" s="34" t="s">
        <v>31338</v>
      </c>
      <c r="CZ30412" s="35">
        <v>3.3250527999999996E-3</v>
      </c>
    </row>
    <row r="30413" spans="103:104" x14ac:dyDescent="0.3">
      <c r="CY30413" s="34" t="s">
        <v>31339</v>
      </c>
      <c r="CZ30413" s="35">
        <v>2.3866795199999999E-2</v>
      </c>
    </row>
    <row r="30414" spans="103:104" x14ac:dyDescent="0.3">
      <c r="CY30414" s="34" t="s">
        <v>31340</v>
      </c>
      <c r="CZ30414" s="35">
        <v>6.5334499999999995E-4</v>
      </c>
    </row>
    <row r="30415" spans="103:104" x14ac:dyDescent="0.3">
      <c r="CY30415" s="34" t="s">
        <v>31341</v>
      </c>
      <c r="CZ30415" s="35">
        <v>9.5032677894736836E-3</v>
      </c>
    </row>
    <row r="30416" spans="103:104" x14ac:dyDescent="0.3">
      <c r="CY30416" s="34" t="s">
        <v>31342</v>
      </c>
      <c r="CZ30416" s="35">
        <v>2.2618151999999999E-2</v>
      </c>
    </row>
    <row r="30417" spans="103:104" x14ac:dyDescent="0.3">
      <c r="CY30417" s="34" t="s">
        <v>31343</v>
      </c>
      <c r="CZ30417" s="35">
        <v>4.9506728999999992E-2</v>
      </c>
    </row>
    <row r="30418" spans="103:104" x14ac:dyDescent="0.3">
      <c r="CY30418" s="34" t="s">
        <v>31344</v>
      </c>
      <c r="CZ30418" s="35">
        <v>1.7939606122448982E-2</v>
      </c>
    </row>
    <row r="30419" spans="103:104" x14ac:dyDescent="0.3">
      <c r="CY30419" s="34" t="s">
        <v>31345</v>
      </c>
      <c r="CZ30419" s="35">
        <v>2.6471323999999997E-2</v>
      </c>
    </row>
    <row r="30420" spans="103:104" x14ac:dyDescent="0.3">
      <c r="CY30420" s="34" t="s">
        <v>31346</v>
      </c>
      <c r="CZ30420" s="35">
        <v>3.6253564000000002E-2</v>
      </c>
    </row>
    <row r="30421" spans="103:104" x14ac:dyDescent="0.3">
      <c r="CY30421" s="34" t="s">
        <v>31347</v>
      </c>
      <c r="CZ30421" s="35">
        <v>2.4582306000000002E-2</v>
      </c>
    </row>
    <row r="30422" spans="103:104" x14ac:dyDescent="0.3">
      <c r="CY30422" s="34" t="s">
        <v>31348</v>
      </c>
      <c r="CZ30422" s="35">
        <v>3.2387825263157895E-4</v>
      </c>
    </row>
    <row r="30423" spans="103:104" x14ac:dyDescent="0.3">
      <c r="CY30423" s="34" t="s">
        <v>31349</v>
      </c>
      <c r="CZ30423" s="35">
        <v>5.6927954000000002E-4</v>
      </c>
    </row>
    <row r="30424" spans="103:104" x14ac:dyDescent="0.3">
      <c r="CY30424" s="34" t="s">
        <v>31350</v>
      </c>
      <c r="CZ30424" s="35">
        <v>4.0116239999999992E-3</v>
      </c>
    </row>
    <row r="30425" spans="103:104" x14ac:dyDescent="0.3">
      <c r="CY30425" s="34" t="s">
        <v>31351</v>
      </c>
      <c r="CZ30425" s="35">
        <v>2.7439864000000001E-2</v>
      </c>
    </row>
    <row r="30426" spans="103:104" x14ac:dyDescent="0.3">
      <c r="CY30426" s="34" t="s">
        <v>31352</v>
      </c>
      <c r="CZ30426" s="35">
        <v>0.14086616421052633</v>
      </c>
    </row>
    <row r="30427" spans="103:104" x14ac:dyDescent="0.3">
      <c r="CY30427" s="34" t="s">
        <v>31353</v>
      </c>
      <c r="CZ30427" s="35">
        <v>5.7692420000000008E-2</v>
      </c>
    </row>
    <row r="30428" spans="103:104" x14ac:dyDescent="0.3">
      <c r="CY30428" s="34" t="s">
        <v>31354</v>
      </c>
      <c r="CZ30428" s="35">
        <v>6.0748919999999998E-5</v>
      </c>
    </row>
    <row r="30429" spans="103:104" x14ac:dyDescent="0.3">
      <c r="CY30429" s="34" t="s">
        <v>31355</v>
      </c>
      <c r="CZ30429" s="35">
        <v>0.50781663999999993</v>
      </c>
    </row>
    <row r="30430" spans="103:104" x14ac:dyDescent="0.3">
      <c r="CY30430" s="34" t="s">
        <v>31356</v>
      </c>
      <c r="CZ30430" s="35">
        <v>0.11861672800000002</v>
      </c>
    </row>
    <row r="30431" spans="103:104" x14ac:dyDescent="0.3">
      <c r="CY30431" s="34" t="s">
        <v>31357</v>
      </c>
      <c r="CZ30431" s="35">
        <v>0.17767819333999998</v>
      </c>
    </row>
    <row r="30432" spans="103:104" x14ac:dyDescent="0.3">
      <c r="CY30432" s="34" t="s">
        <v>31358</v>
      </c>
      <c r="CZ30432" s="35">
        <v>4.1678640000000003E-3</v>
      </c>
    </row>
    <row r="30433" spans="103:104" x14ac:dyDescent="0.3">
      <c r="CY30433" s="34" t="s">
        <v>31359</v>
      </c>
      <c r="CZ30433" s="35">
        <v>4.67194758095238E-3</v>
      </c>
    </row>
    <row r="30434" spans="103:104" x14ac:dyDescent="0.3">
      <c r="CY30434" s="34" t="s">
        <v>31360</v>
      </c>
      <c r="CZ30434" s="35">
        <v>4.7849382980000004E-3</v>
      </c>
    </row>
    <row r="30435" spans="103:104" x14ac:dyDescent="0.3">
      <c r="CY30435" s="34" t="s">
        <v>31361</v>
      </c>
      <c r="CZ30435" s="35">
        <v>4.8104056380952375E-3</v>
      </c>
    </row>
    <row r="30436" spans="103:104" x14ac:dyDescent="0.3">
      <c r="CY30436" s="34" t="s">
        <v>31362</v>
      </c>
      <c r="CZ30436" s="35">
        <v>4.2679682000000005E-3</v>
      </c>
    </row>
    <row r="30437" spans="103:104" x14ac:dyDescent="0.3">
      <c r="CY30437" s="34" t="s">
        <v>31363</v>
      </c>
      <c r="CZ30437" s="35">
        <v>0.27774964646938771</v>
      </c>
    </row>
    <row r="30438" spans="103:104" x14ac:dyDescent="0.3">
      <c r="CY30438" s="34" t="s">
        <v>31364</v>
      </c>
      <c r="CZ30438" s="35">
        <v>0.30247124537415304</v>
      </c>
    </row>
    <row r="30439" spans="103:104" x14ac:dyDescent="0.3">
      <c r="CY30439" s="34" t="s">
        <v>31365</v>
      </c>
      <c r="CZ30439" s="35">
        <v>0.3024712453741531</v>
      </c>
    </row>
    <row r="30440" spans="103:104" x14ac:dyDescent="0.3">
      <c r="CY30440" s="34" t="s">
        <v>31366</v>
      </c>
      <c r="CZ30440" s="35">
        <v>0.34711239999999999</v>
      </c>
    </row>
    <row r="30441" spans="103:104" x14ac:dyDescent="0.3">
      <c r="CY30441" s="34" t="s">
        <v>31367</v>
      </c>
      <c r="CZ30441" s="35">
        <v>4.4991639999999999E-2</v>
      </c>
    </row>
    <row r="30442" spans="103:104" x14ac:dyDescent="0.3">
      <c r="CY30442" s="34" t="s">
        <v>31368</v>
      </c>
      <c r="CZ30442" s="35">
        <v>0.12465324800000001</v>
      </c>
    </row>
    <row r="30443" spans="103:104" x14ac:dyDescent="0.3">
      <c r="CY30443" s="34" t="s">
        <v>31369</v>
      </c>
      <c r="CZ30443" s="35">
        <v>1.0192425199999999E-2</v>
      </c>
    </row>
    <row r="30444" spans="103:104" x14ac:dyDescent="0.3">
      <c r="CY30444" s="34" t="s">
        <v>31370</v>
      </c>
      <c r="CZ30444" s="35">
        <v>1.8059885599999999E-2</v>
      </c>
    </row>
    <row r="30445" spans="103:104" x14ac:dyDescent="0.3">
      <c r="CY30445" s="34" t="s">
        <v>31371</v>
      </c>
      <c r="CZ30445" s="35">
        <v>0.21105715200000003</v>
      </c>
    </row>
    <row r="30446" spans="103:104" x14ac:dyDescent="0.3">
      <c r="CY30446" s="34" t="s">
        <v>31372</v>
      </c>
      <c r="CZ30446" s="35">
        <v>0.9239493333333334</v>
      </c>
    </row>
    <row r="30447" spans="103:104" x14ac:dyDescent="0.3">
      <c r="CY30447" s="34" t="s">
        <v>31373</v>
      </c>
      <c r="CZ30447" s="35">
        <v>1.1351649333333333</v>
      </c>
    </row>
    <row r="30448" spans="103:104" x14ac:dyDescent="0.3">
      <c r="CY30448" s="34" t="s">
        <v>31374</v>
      </c>
      <c r="CZ30448" s="35">
        <v>1.6606801000000001E-2</v>
      </c>
    </row>
    <row r="30449" spans="103:104" x14ac:dyDescent="0.3">
      <c r="CY30449" s="34" t="s">
        <v>31375</v>
      </c>
      <c r="CZ30449" s="35">
        <v>3.8587455999999999E-2</v>
      </c>
    </row>
    <row r="30450" spans="103:104" x14ac:dyDescent="0.3">
      <c r="CY30450" s="34" t="s">
        <v>31376</v>
      </c>
      <c r="CZ30450" s="35">
        <v>4.1257984999999997E-2</v>
      </c>
    </row>
    <row r="30451" spans="103:104" x14ac:dyDescent="0.3">
      <c r="CY30451" s="34" t="s">
        <v>31377</v>
      </c>
      <c r="CZ30451" s="35">
        <v>3.17024704E-3</v>
      </c>
    </row>
    <row r="30452" spans="103:104" x14ac:dyDescent="0.3">
      <c r="CY30452" s="34" t="s">
        <v>31378</v>
      </c>
      <c r="CZ30452" s="35">
        <v>3.17024704E-3</v>
      </c>
    </row>
    <row r="30453" spans="103:104" x14ac:dyDescent="0.3">
      <c r="CY30453" s="34" t="s">
        <v>31379</v>
      </c>
      <c r="CZ30453" s="35">
        <v>1.516258E-2</v>
      </c>
    </row>
    <row r="30454" spans="103:104" x14ac:dyDescent="0.3">
      <c r="CY30454" s="34" t="s">
        <v>31380</v>
      </c>
      <c r="CZ30454" s="35">
        <v>1.5162580000000002E-2</v>
      </c>
    </row>
    <row r="30455" spans="103:104" x14ac:dyDescent="0.3">
      <c r="CY30455" s="34" t="s">
        <v>31381</v>
      </c>
      <c r="CZ30455" s="35">
        <v>2.655964064E-2</v>
      </c>
    </row>
    <row r="30456" spans="103:104" x14ac:dyDescent="0.3">
      <c r="CY30456" s="34" t="s">
        <v>31382</v>
      </c>
      <c r="CZ30456" s="35">
        <v>6.8193840000000007E-5</v>
      </c>
    </row>
    <row r="30457" spans="103:104" x14ac:dyDescent="0.3">
      <c r="CY30457" s="34" t="s">
        <v>31383</v>
      </c>
      <c r="CZ30457" s="35">
        <v>4.1524868E-4</v>
      </c>
    </row>
    <row r="30458" spans="103:104" x14ac:dyDescent="0.3">
      <c r="CY30458" s="34" t="s">
        <v>31384</v>
      </c>
      <c r="CZ30458" s="35">
        <v>9.0597755699999991E-2</v>
      </c>
    </row>
    <row r="30459" spans="103:104" x14ac:dyDescent="0.3">
      <c r="CY30459" s="34" t="s">
        <v>31385</v>
      </c>
      <c r="CZ30459" s="35">
        <v>4.2772550000000006E-3</v>
      </c>
    </row>
    <row r="30460" spans="103:104" x14ac:dyDescent="0.3">
      <c r="CY30460" s="34" t="s">
        <v>31386</v>
      </c>
      <c r="CZ30460" s="35">
        <v>0.98975946666666659</v>
      </c>
    </row>
    <row r="30461" spans="103:104" x14ac:dyDescent="0.3">
      <c r="CY30461" s="34" t="s">
        <v>31387</v>
      </c>
      <c r="CZ30461" s="35">
        <v>1.4877594666666667</v>
      </c>
    </row>
    <row r="30462" spans="103:104" x14ac:dyDescent="0.3">
      <c r="CY30462" s="34" t="s">
        <v>31388</v>
      </c>
      <c r="CZ30462" s="35">
        <v>0.91200000000000003</v>
      </c>
    </row>
    <row r="30463" spans="103:104" x14ac:dyDescent="0.3">
      <c r="CY30463" s="34" t="s">
        <v>31389</v>
      </c>
      <c r="CZ30463" s="35">
        <v>1.4207594666666667</v>
      </c>
    </row>
    <row r="30464" spans="103:104" x14ac:dyDescent="0.3">
      <c r="CY30464" s="34" t="s">
        <v>31390</v>
      </c>
      <c r="CZ30464" s="35">
        <v>0.91200000000000003</v>
      </c>
    </row>
    <row r="30465" spans="103:104" x14ac:dyDescent="0.3">
      <c r="CY30465" s="34" t="s">
        <v>31391</v>
      </c>
      <c r="CZ30465" s="35">
        <v>4.3261359999999995E-3</v>
      </c>
    </row>
    <row r="30466" spans="103:104" x14ac:dyDescent="0.3">
      <c r="CY30466" s="34" t="s">
        <v>31392</v>
      </c>
      <c r="CZ30466" s="35">
        <v>1.0835813999999997E-2</v>
      </c>
    </row>
    <row r="30467" spans="103:104" x14ac:dyDescent="0.3">
      <c r="CY30467" s="34" t="s">
        <v>31393</v>
      </c>
      <c r="CZ30467" s="35">
        <v>1.3332292600000004E-2</v>
      </c>
    </row>
    <row r="30468" spans="103:104" x14ac:dyDescent="0.3">
      <c r="CY30468" s="34" t="s">
        <v>31394</v>
      </c>
      <c r="CZ30468" s="35">
        <v>1.3332292600000004E-2</v>
      </c>
    </row>
    <row r="30469" spans="103:104" x14ac:dyDescent="0.3">
      <c r="CY30469" s="34" t="s">
        <v>31395</v>
      </c>
      <c r="CZ30469" s="35">
        <v>1.1918544000000001E-2</v>
      </c>
    </row>
    <row r="30470" spans="103:104" x14ac:dyDescent="0.3">
      <c r="CY30470" s="34" t="s">
        <v>31396</v>
      </c>
      <c r="CZ30470" s="35">
        <v>0.52424710000000008</v>
      </c>
    </row>
    <row r="30471" spans="103:104" x14ac:dyDescent="0.3">
      <c r="CY30471" s="34" t="s">
        <v>31397</v>
      </c>
      <c r="CZ30471" s="35">
        <v>0.8082471</v>
      </c>
    </row>
    <row r="30472" spans="103:104" x14ac:dyDescent="0.3">
      <c r="CY30472" s="34" t="s">
        <v>31398</v>
      </c>
      <c r="CZ30472" s="35">
        <v>2.9183599999999996E-3</v>
      </c>
    </row>
    <row r="30473" spans="103:104" x14ac:dyDescent="0.3">
      <c r="CY30473" s="34" t="s">
        <v>31399</v>
      </c>
      <c r="CZ30473" s="35">
        <v>4.1531479999999997E-3</v>
      </c>
    </row>
    <row r="30474" spans="103:104" x14ac:dyDescent="0.3">
      <c r="CY30474" s="34" t="s">
        <v>31400</v>
      </c>
      <c r="CZ30474" s="35">
        <v>3.5489748000000002E-3</v>
      </c>
    </row>
    <row r="30475" spans="103:104" x14ac:dyDescent="0.3">
      <c r="CY30475" s="34" t="s">
        <v>31401</v>
      </c>
      <c r="CZ30475" s="35">
        <v>3.5489748000000002E-3</v>
      </c>
    </row>
    <row r="30476" spans="103:104" x14ac:dyDescent="0.3">
      <c r="CY30476" s="34" t="s">
        <v>31402</v>
      </c>
      <c r="CZ30476" s="35">
        <v>8.5014367346938777E-2</v>
      </c>
    </row>
    <row r="30477" spans="103:104" x14ac:dyDescent="0.3">
      <c r="CY30477" s="34" t="s">
        <v>31403</v>
      </c>
      <c r="CZ30477" s="35">
        <v>3.6549664000000003E-2</v>
      </c>
    </row>
    <row r="30478" spans="103:104" x14ac:dyDescent="0.3">
      <c r="CY30478" s="34" t="s">
        <v>31404</v>
      </c>
      <c r="CZ30478" s="35">
        <v>2.1324391999999998E-2</v>
      </c>
    </row>
    <row r="30479" spans="103:104" x14ac:dyDescent="0.3">
      <c r="CY30479" s="34" t="s">
        <v>31405</v>
      </c>
      <c r="CZ30479" s="35">
        <v>2.4662828999999997E-2</v>
      </c>
    </row>
    <row r="30480" spans="103:104" x14ac:dyDescent="0.3">
      <c r="CY30480" s="34" t="s">
        <v>31406</v>
      </c>
      <c r="CZ30480" s="35">
        <v>5.776038823529412E-3</v>
      </c>
    </row>
    <row r="30481" spans="103:104" x14ac:dyDescent="0.3">
      <c r="CY30481" s="34" t="s">
        <v>31407</v>
      </c>
      <c r="CZ30481" s="35">
        <v>3.1796399999999996E-3</v>
      </c>
    </row>
    <row r="30482" spans="103:104" x14ac:dyDescent="0.3">
      <c r="CY30482" s="34" t="s">
        <v>31408</v>
      </c>
      <c r="CZ30482" s="35">
        <v>3.2899088799999997E-2</v>
      </c>
    </row>
    <row r="30483" spans="103:104" x14ac:dyDescent="0.3">
      <c r="CY30483" s="34" t="s">
        <v>31409</v>
      </c>
      <c r="CZ30483" s="35">
        <v>7.5330320000000006E-2</v>
      </c>
    </row>
    <row r="30484" spans="103:104" x14ac:dyDescent="0.3">
      <c r="CY30484" s="34" t="s">
        <v>31410</v>
      </c>
      <c r="CZ30484" s="35">
        <v>1.8407851199999999E-3</v>
      </c>
    </row>
    <row r="30485" spans="103:104" x14ac:dyDescent="0.3">
      <c r="CY30485" s="34" t="s">
        <v>31411</v>
      </c>
      <c r="CZ30485" s="35">
        <v>5.2832599999999997E-4</v>
      </c>
    </row>
    <row r="30486" spans="103:104" x14ac:dyDescent="0.3">
      <c r="CY30486" s="34" t="s">
        <v>31412</v>
      </c>
      <c r="CZ30486" s="35">
        <v>2.3769107999999997E-3</v>
      </c>
    </row>
    <row r="30487" spans="103:104" x14ac:dyDescent="0.3">
      <c r="CY30487" s="34" t="s">
        <v>31413</v>
      </c>
      <c r="CZ30487" s="35">
        <v>3.390906E-3</v>
      </c>
    </row>
    <row r="30488" spans="103:104" x14ac:dyDescent="0.3">
      <c r="CY30488" s="34" t="s">
        <v>31414</v>
      </c>
      <c r="CZ30488" s="35">
        <v>4.5130699999999992E-3</v>
      </c>
    </row>
    <row r="30489" spans="103:104" x14ac:dyDescent="0.3">
      <c r="CY30489" s="34" t="s">
        <v>31415</v>
      </c>
      <c r="CZ30489" s="35">
        <v>4.5130699999999984E-3</v>
      </c>
    </row>
    <row r="30490" spans="103:104" x14ac:dyDescent="0.3">
      <c r="CY30490" s="34" t="s">
        <v>31416</v>
      </c>
      <c r="CZ30490" s="35">
        <v>0.16878796799999998</v>
      </c>
    </row>
    <row r="30491" spans="103:104" x14ac:dyDescent="0.3">
      <c r="CY30491" s="34" t="s">
        <v>31417</v>
      </c>
      <c r="CZ30491" s="35">
        <v>0.17944146999999999</v>
      </c>
    </row>
    <row r="30492" spans="103:104" x14ac:dyDescent="0.3">
      <c r="CY30492" s="34" t="s">
        <v>31418</v>
      </c>
      <c r="CZ30492" s="35">
        <v>0.17360439599999999</v>
      </c>
    </row>
    <row r="30493" spans="103:104" x14ac:dyDescent="0.3">
      <c r="CY30493" s="34" t="s">
        <v>31419</v>
      </c>
      <c r="CZ30493" s="35">
        <v>1.76829872E-2</v>
      </c>
    </row>
    <row r="30494" spans="103:104" x14ac:dyDescent="0.3">
      <c r="CY30494" s="34" t="s">
        <v>31420</v>
      </c>
      <c r="CZ30494" s="35">
        <v>2.8392199999999999E-2</v>
      </c>
    </row>
    <row r="30495" spans="103:104" x14ac:dyDescent="0.3">
      <c r="CY30495" s="34" t="s">
        <v>31421</v>
      </c>
      <c r="CZ30495" s="35">
        <v>4.4288533333333333E-4</v>
      </c>
    </row>
    <row r="30496" spans="103:104" x14ac:dyDescent="0.3">
      <c r="CY30496" s="34" t="s">
        <v>31422</v>
      </c>
      <c r="CZ30496" s="35">
        <v>8.5195159999999995E-3</v>
      </c>
    </row>
    <row r="30497" spans="103:104" x14ac:dyDescent="0.3">
      <c r="CY30497" s="34" t="s">
        <v>31423</v>
      </c>
      <c r="CZ30497" s="35">
        <v>0.66499909299999993</v>
      </c>
    </row>
    <row r="30498" spans="103:104" x14ac:dyDescent="0.3">
      <c r="CY30498" s="34" t="s">
        <v>31424</v>
      </c>
      <c r="CZ30498" s="35">
        <v>0.39582916000000001</v>
      </c>
    </row>
    <row r="30499" spans="103:104" x14ac:dyDescent="0.3">
      <c r="CY30499" s="34" t="s">
        <v>31425</v>
      </c>
      <c r="CZ30499" s="35">
        <v>5.6739835555555558E-4</v>
      </c>
    </row>
    <row r="30500" spans="103:104" x14ac:dyDescent="0.3">
      <c r="CY30500" s="34" t="s">
        <v>31426</v>
      </c>
      <c r="CZ30500" s="35">
        <v>1.1902983200000001</v>
      </c>
    </row>
    <row r="30501" spans="103:104" x14ac:dyDescent="0.3">
      <c r="CY30501" s="34" t="s">
        <v>31427</v>
      </c>
      <c r="CZ30501" s="35">
        <v>0.60907138662499993</v>
      </c>
    </row>
    <row r="30502" spans="103:104" x14ac:dyDescent="0.3">
      <c r="CY30502" s="34" t="s">
        <v>31428</v>
      </c>
      <c r="CZ30502" s="35">
        <v>1.1902983200000001</v>
      </c>
    </row>
    <row r="30503" spans="103:104" x14ac:dyDescent="0.3">
      <c r="CY30503" s="34" t="s">
        <v>31429</v>
      </c>
      <c r="CZ30503" s="35">
        <v>0.60907138662499993</v>
      </c>
    </row>
    <row r="30504" spans="103:104" x14ac:dyDescent="0.3">
      <c r="CY30504" s="34" t="s">
        <v>31430</v>
      </c>
      <c r="CZ30504" s="35">
        <v>0.107993168</v>
      </c>
    </row>
    <row r="30505" spans="103:104" x14ac:dyDescent="0.3">
      <c r="CY30505" s="34" t="s">
        <v>31431</v>
      </c>
      <c r="CZ30505" s="35">
        <v>0.11193040000000001</v>
      </c>
    </row>
    <row r="30506" spans="103:104" x14ac:dyDescent="0.3">
      <c r="CY30506" s="34" t="s">
        <v>31432</v>
      </c>
      <c r="CZ30506" s="35">
        <v>2.7315240000000004E-3</v>
      </c>
    </row>
    <row r="30507" spans="103:104" x14ac:dyDescent="0.3">
      <c r="CY30507" s="34" t="s">
        <v>31433</v>
      </c>
      <c r="CZ30507" s="35">
        <v>1.2718373E-2</v>
      </c>
    </row>
    <row r="30508" spans="103:104" x14ac:dyDescent="0.3">
      <c r="CY30508" s="34" t="s">
        <v>31434</v>
      </c>
      <c r="CZ30508" s="35">
        <v>0.10101452866666666</v>
      </c>
    </row>
    <row r="30509" spans="103:104" x14ac:dyDescent="0.3">
      <c r="CY30509" s="34" t="s">
        <v>31435</v>
      </c>
      <c r="CZ30509" s="35">
        <v>3.6684319999999999E-2</v>
      </c>
    </row>
    <row r="30510" spans="103:104" x14ac:dyDescent="0.3">
      <c r="CY30510" s="34" t="s">
        <v>31436</v>
      </c>
      <c r="CZ30510" s="35">
        <v>2.5582332000000001E-3</v>
      </c>
    </row>
    <row r="30511" spans="103:104" x14ac:dyDescent="0.3">
      <c r="CY30511" s="34" t="s">
        <v>31437</v>
      </c>
      <c r="CZ30511" s="35">
        <v>3.1314114666666664E-3</v>
      </c>
    </row>
    <row r="30512" spans="103:104" x14ac:dyDescent="0.3">
      <c r="CY30512" s="34" t="s">
        <v>31438</v>
      </c>
      <c r="CZ30512" s="35">
        <v>8.4390880000000008E-3</v>
      </c>
    </row>
    <row r="30513" spans="103:104" x14ac:dyDescent="0.3">
      <c r="CY30513" s="34" t="s">
        <v>31439</v>
      </c>
      <c r="CZ30513" s="35">
        <v>6.6479740000000009E-3</v>
      </c>
    </row>
    <row r="30514" spans="103:104" x14ac:dyDescent="0.3">
      <c r="CY30514" s="34" t="s">
        <v>31440</v>
      </c>
      <c r="CZ30514" s="35">
        <v>1.3746766300000001E-2</v>
      </c>
    </row>
    <row r="30515" spans="103:104" x14ac:dyDescent="0.3">
      <c r="CY30515" s="34" t="s">
        <v>31441</v>
      </c>
      <c r="CZ30515" s="35">
        <v>6.613543999999999E-2</v>
      </c>
    </row>
    <row r="30516" spans="103:104" x14ac:dyDescent="0.3">
      <c r="CY30516" s="34" t="s">
        <v>31442</v>
      </c>
      <c r="CZ30516" s="35">
        <v>6.9806325333333322E-2</v>
      </c>
    </row>
    <row r="30517" spans="103:104" x14ac:dyDescent="0.3">
      <c r="CY30517" s="34" t="s">
        <v>31443</v>
      </c>
      <c r="CZ30517" s="35">
        <v>2.3924133E-3</v>
      </c>
    </row>
    <row r="30518" spans="103:104" x14ac:dyDescent="0.3">
      <c r="CY30518" s="34" t="s">
        <v>31444</v>
      </c>
      <c r="CZ30518" s="35">
        <v>1.3006867957520001E-2</v>
      </c>
    </row>
    <row r="30519" spans="103:104" x14ac:dyDescent="0.3">
      <c r="CY30519" s="34" t="s">
        <v>31445</v>
      </c>
      <c r="CZ30519" s="35">
        <v>2.1230723529411764E-3</v>
      </c>
    </row>
    <row r="30520" spans="103:104" x14ac:dyDescent="0.3">
      <c r="CY30520" s="34" t="s">
        <v>31446</v>
      </c>
      <c r="CZ30520" s="35">
        <v>1.27616E-2</v>
      </c>
    </row>
    <row r="30521" spans="103:104" x14ac:dyDescent="0.3">
      <c r="CY30521" s="34" t="s">
        <v>31447</v>
      </c>
      <c r="CZ30521" s="35">
        <v>8.5077339999999994E-3</v>
      </c>
    </row>
    <row r="30522" spans="103:104" x14ac:dyDescent="0.3">
      <c r="CY30522" s="34" t="s">
        <v>31448</v>
      </c>
      <c r="CZ30522" s="35">
        <v>0.10731754499999999</v>
      </c>
    </row>
    <row r="30523" spans="103:104" x14ac:dyDescent="0.3">
      <c r="CY30523" s="34" t="s">
        <v>31449</v>
      </c>
      <c r="CZ30523" s="35">
        <v>9.4057287999999993E-4</v>
      </c>
    </row>
    <row r="30524" spans="103:104" x14ac:dyDescent="0.3">
      <c r="CY30524" s="34" t="s">
        <v>31450</v>
      </c>
      <c r="CZ30524" s="35">
        <v>2.4573780000000001E-3</v>
      </c>
    </row>
    <row r="30525" spans="103:104" x14ac:dyDescent="0.3">
      <c r="CY30525" s="34" t="s">
        <v>31451</v>
      </c>
      <c r="CZ30525" s="35">
        <v>0.511181</v>
      </c>
    </row>
    <row r="30526" spans="103:104" x14ac:dyDescent="0.3">
      <c r="CY30526" s="34" t="s">
        <v>31452</v>
      </c>
      <c r="CZ30526" s="35">
        <v>3.9732429E-2</v>
      </c>
    </row>
    <row r="30527" spans="103:104" x14ac:dyDescent="0.3">
      <c r="CY30527" s="34" t="s">
        <v>31453</v>
      </c>
      <c r="CZ30527" s="35">
        <v>9.5617093E-2</v>
      </c>
    </row>
    <row r="30528" spans="103:104" x14ac:dyDescent="0.3">
      <c r="CY30528" s="34" t="s">
        <v>31454</v>
      </c>
      <c r="CZ30528" s="35">
        <v>4.6351560000000005E-3</v>
      </c>
    </row>
    <row r="30529" spans="103:104" x14ac:dyDescent="0.3">
      <c r="CY30529" s="34" t="s">
        <v>31455</v>
      </c>
      <c r="CZ30529" s="35">
        <v>4.6351559999999997E-3</v>
      </c>
    </row>
    <row r="30530" spans="103:104" x14ac:dyDescent="0.3">
      <c r="CY30530" s="34" t="s">
        <v>31456</v>
      </c>
      <c r="CZ30530" s="35">
        <v>5.4610082999999997E-2</v>
      </c>
    </row>
    <row r="30531" spans="103:104" x14ac:dyDescent="0.3">
      <c r="CY30531" s="34" t="s">
        <v>31457</v>
      </c>
      <c r="CZ30531" s="35">
        <v>1.6356070000000001E-3</v>
      </c>
    </row>
    <row r="30532" spans="103:104" x14ac:dyDescent="0.3">
      <c r="CY30532" s="34" t="s">
        <v>31458</v>
      </c>
      <c r="CZ30532" s="35">
        <v>3.3024872520000001E-3</v>
      </c>
    </row>
    <row r="30533" spans="103:104" x14ac:dyDescent="0.3">
      <c r="CY30533" s="34" t="s">
        <v>31459</v>
      </c>
      <c r="CZ30533" s="35">
        <v>4.8885210000000007E-3</v>
      </c>
    </row>
    <row r="30534" spans="103:104" x14ac:dyDescent="0.3">
      <c r="CY30534" s="34" t="s">
        <v>31460</v>
      </c>
      <c r="CZ30534" s="35">
        <v>3.667507E-3</v>
      </c>
    </row>
    <row r="30535" spans="103:104" x14ac:dyDescent="0.3">
      <c r="CY30535" s="34" t="s">
        <v>31461</v>
      </c>
      <c r="CZ30535" s="35">
        <v>6.5682850532857149</v>
      </c>
    </row>
    <row r="30536" spans="103:104" x14ac:dyDescent="0.3">
      <c r="CY30536" s="34" t="s">
        <v>31462</v>
      </c>
      <c r="CZ30536" s="35">
        <v>0.90763967328571427</v>
      </c>
    </row>
    <row r="30537" spans="103:104" x14ac:dyDescent="0.3">
      <c r="CY30537" s="34" t="s">
        <v>31463</v>
      </c>
      <c r="CZ30537" s="35">
        <v>0.90763967328571427</v>
      </c>
    </row>
    <row r="30538" spans="103:104" x14ac:dyDescent="0.3">
      <c r="CY30538" s="34" t="s">
        <v>31464</v>
      </c>
      <c r="CZ30538" s="35">
        <v>5.445791000000001E-3</v>
      </c>
    </row>
    <row r="30539" spans="103:104" x14ac:dyDescent="0.3">
      <c r="CY30539" s="34" t="s">
        <v>31465</v>
      </c>
      <c r="CZ30539" s="35">
        <v>5.4457910000000002E-3</v>
      </c>
    </row>
    <row r="30540" spans="103:104" x14ac:dyDescent="0.3">
      <c r="CY30540" s="34" t="s">
        <v>31466</v>
      </c>
      <c r="CZ30540" s="35">
        <v>0.16816133894736843</v>
      </c>
    </row>
    <row r="30541" spans="103:104" x14ac:dyDescent="0.3">
      <c r="CY30541" s="34" t="s">
        <v>31467</v>
      </c>
      <c r="CZ30541" s="35">
        <v>9.7336211999999991E-2</v>
      </c>
    </row>
    <row r="30542" spans="103:104" x14ac:dyDescent="0.3">
      <c r="CY30542" s="34" t="s">
        <v>31468</v>
      </c>
      <c r="CZ30542" s="35">
        <v>3.9855620000000001E-2</v>
      </c>
    </row>
    <row r="30543" spans="103:104" x14ac:dyDescent="0.3">
      <c r="CY30543" s="34" t="s">
        <v>31469</v>
      </c>
      <c r="CZ30543" s="35">
        <v>9.9887631999999991E-4</v>
      </c>
    </row>
    <row r="30544" spans="103:104" x14ac:dyDescent="0.3">
      <c r="CY30544" s="34" t="s">
        <v>31470</v>
      </c>
      <c r="CZ30544" s="35">
        <v>0.45167632000000002</v>
      </c>
    </row>
    <row r="30545" spans="103:104" x14ac:dyDescent="0.3">
      <c r="CY30545" s="34" t="s">
        <v>31471</v>
      </c>
      <c r="CZ30545" s="35">
        <v>1.0947153333333333</v>
      </c>
    </row>
    <row r="30546" spans="103:104" x14ac:dyDescent="0.3">
      <c r="CY30546" s="34" t="s">
        <v>31472</v>
      </c>
      <c r="CZ30546" s="35">
        <v>1.0947153333333335</v>
      </c>
    </row>
    <row r="30547" spans="103:104" x14ac:dyDescent="0.3">
      <c r="CY30547" s="34" t="s">
        <v>31473</v>
      </c>
      <c r="CZ30547" s="35">
        <v>0.28277414666666661</v>
      </c>
    </row>
    <row r="30548" spans="103:104" x14ac:dyDescent="0.3">
      <c r="CY30548" s="34" t="s">
        <v>31474</v>
      </c>
      <c r="CZ30548" s="35">
        <v>0.28277414666666667</v>
      </c>
    </row>
    <row r="30549" spans="103:104" x14ac:dyDescent="0.3">
      <c r="CY30549" s="34" t="s">
        <v>31475</v>
      </c>
      <c r="CZ30549" s="35">
        <v>0.51233514679999992</v>
      </c>
    </row>
    <row r="30550" spans="103:104" x14ac:dyDescent="0.3">
      <c r="CY30550" s="34" t="s">
        <v>31476</v>
      </c>
      <c r="CZ30550" s="35">
        <v>0.83599871999999997</v>
      </c>
    </row>
    <row r="30551" spans="103:104" x14ac:dyDescent="0.3">
      <c r="CY30551" s="34" t="s">
        <v>31477</v>
      </c>
      <c r="CZ30551" s="35">
        <v>3.6669696666666667E-3</v>
      </c>
    </row>
    <row r="30552" spans="103:104" x14ac:dyDescent="0.3">
      <c r="CY30552" s="34" t="s">
        <v>31478</v>
      </c>
      <c r="CZ30552" s="35">
        <v>1.9391804670000002E-2</v>
      </c>
    </row>
    <row r="30553" spans="103:104" x14ac:dyDescent="0.3">
      <c r="CY30553" s="34" t="s">
        <v>31479</v>
      </c>
      <c r="CZ30553" s="35">
        <v>1.3138685933333333E-2</v>
      </c>
    </row>
    <row r="30554" spans="103:104" x14ac:dyDescent="0.3">
      <c r="CY30554" s="34" t="s">
        <v>31480</v>
      </c>
      <c r="CZ30554" s="35">
        <v>1.1235783333333334E-2</v>
      </c>
    </row>
    <row r="30555" spans="103:104" x14ac:dyDescent="0.3">
      <c r="CY30555" s="34" t="s">
        <v>31481</v>
      </c>
      <c r="CZ30555" s="35">
        <v>8.3744904444444466E-3</v>
      </c>
    </row>
    <row r="30556" spans="103:104" x14ac:dyDescent="0.3">
      <c r="CY30556" s="34" t="s">
        <v>31482</v>
      </c>
      <c r="CZ30556" s="35">
        <v>3.6432782222222222E-3</v>
      </c>
    </row>
    <row r="30557" spans="103:104" x14ac:dyDescent="0.3">
      <c r="CY30557" s="34" t="s">
        <v>31483</v>
      </c>
      <c r="CZ30557" s="35">
        <v>3.6432782222222222E-3</v>
      </c>
    </row>
    <row r="30558" spans="103:104" x14ac:dyDescent="0.3">
      <c r="CY30558" s="34" t="s">
        <v>31484</v>
      </c>
      <c r="CZ30558" s="35">
        <v>3.6432782222222222E-3</v>
      </c>
    </row>
    <row r="30559" spans="103:104" x14ac:dyDescent="0.3">
      <c r="CY30559" s="34" t="s">
        <v>31485</v>
      </c>
      <c r="CZ30559" s="35">
        <v>3.6432782222222222E-3</v>
      </c>
    </row>
    <row r="30560" spans="103:104" x14ac:dyDescent="0.3">
      <c r="CY30560" s="34" t="s">
        <v>31486</v>
      </c>
      <c r="CZ30560" s="35">
        <v>3.6432782222222222E-3</v>
      </c>
    </row>
    <row r="30561" spans="103:104" x14ac:dyDescent="0.3">
      <c r="CY30561" s="34" t="s">
        <v>31487</v>
      </c>
      <c r="CZ30561" s="35">
        <v>6.0300000000000002E-5</v>
      </c>
    </row>
    <row r="30562" spans="103:104" x14ac:dyDescent="0.3">
      <c r="CY30562" s="34" t="s">
        <v>31488</v>
      </c>
      <c r="CZ30562" s="35">
        <v>1.399736E-2</v>
      </c>
    </row>
    <row r="30563" spans="103:104" x14ac:dyDescent="0.3">
      <c r="CY30563" s="34" t="s">
        <v>31489</v>
      </c>
      <c r="CZ30563" s="35">
        <v>3.1493234249999999E-3</v>
      </c>
    </row>
    <row r="30564" spans="103:104" x14ac:dyDescent="0.3">
      <c r="CY30564" s="34" t="s">
        <v>31490</v>
      </c>
      <c r="CZ30564" s="35">
        <v>2.9069204799999997E-3</v>
      </c>
    </row>
    <row r="30565" spans="103:104" x14ac:dyDescent="0.3">
      <c r="CY30565" s="34" t="s">
        <v>31491</v>
      </c>
      <c r="CZ30565" s="35">
        <v>1.6163256000000001E-2</v>
      </c>
    </row>
    <row r="30566" spans="103:104" x14ac:dyDescent="0.3">
      <c r="CY30566" s="34" t="s">
        <v>31492</v>
      </c>
      <c r="CZ30566" s="35">
        <v>1.1824460000000002E-3</v>
      </c>
    </row>
    <row r="30567" spans="103:104" x14ac:dyDescent="0.3">
      <c r="CY30567" s="34" t="s">
        <v>31493</v>
      </c>
      <c r="CZ30567" s="35">
        <v>3.1493234249999999E-3</v>
      </c>
    </row>
    <row r="30568" spans="103:104" x14ac:dyDescent="0.3">
      <c r="CY30568" s="34" t="s">
        <v>31494</v>
      </c>
      <c r="CZ30568" s="35">
        <v>2.9069204799999997E-3</v>
      </c>
    </row>
    <row r="30569" spans="103:104" x14ac:dyDescent="0.3">
      <c r="CY30569" s="34" t="s">
        <v>31495</v>
      </c>
      <c r="CZ30569" s="35">
        <v>0.36585866</v>
      </c>
    </row>
    <row r="30570" spans="103:104" x14ac:dyDescent="0.3">
      <c r="CY30570" s="34" t="s">
        <v>31496</v>
      </c>
      <c r="CZ30570" s="35">
        <v>0.68685029337499992</v>
      </c>
    </row>
    <row r="30571" spans="103:104" x14ac:dyDescent="0.3">
      <c r="CY30571" s="34" t="s">
        <v>31497</v>
      </c>
      <c r="CZ30571" s="35">
        <v>6.4327951999999995E-4</v>
      </c>
    </row>
    <row r="30572" spans="103:104" x14ac:dyDescent="0.3">
      <c r="CY30572" s="34" t="s">
        <v>31498</v>
      </c>
      <c r="CZ30572" s="35">
        <v>2.4600214800000002E-2</v>
      </c>
    </row>
    <row r="30573" spans="103:104" x14ac:dyDescent="0.3">
      <c r="CY30573" s="34" t="s">
        <v>31499</v>
      </c>
      <c r="CZ30573" s="35">
        <v>2.1083424571428575E-2</v>
      </c>
    </row>
    <row r="30574" spans="103:104" x14ac:dyDescent="0.3">
      <c r="CY30574" s="34" t="s">
        <v>31500</v>
      </c>
      <c r="CZ30574" s="35">
        <v>1.8601042857142856E-3</v>
      </c>
    </row>
    <row r="30575" spans="103:104" x14ac:dyDescent="0.3">
      <c r="CY30575" s="34" t="s">
        <v>31501</v>
      </c>
      <c r="CZ30575" s="35">
        <v>2.4786927199999999E-2</v>
      </c>
    </row>
    <row r="30576" spans="103:104" x14ac:dyDescent="0.3">
      <c r="CY30576" s="34" t="s">
        <v>31502</v>
      </c>
      <c r="CZ30576" s="35">
        <v>7.7869666000000004E-3</v>
      </c>
    </row>
    <row r="30577" spans="103:104" x14ac:dyDescent="0.3">
      <c r="CY30577" s="34" t="s">
        <v>31503</v>
      </c>
      <c r="CZ30577" s="35">
        <v>2.4786927199999999E-2</v>
      </c>
    </row>
    <row r="30578" spans="103:104" x14ac:dyDescent="0.3">
      <c r="CY30578" s="34" t="s">
        <v>31504</v>
      </c>
      <c r="CZ30578" s="35">
        <v>1.1544192346938778E-2</v>
      </c>
    </row>
    <row r="30579" spans="103:104" x14ac:dyDescent="0.3">
      <c r="CY30579" s="34" t="s">
        <v>31505</v>
      </c>
      <c r="CZ30579" s="35">
        <v>4.2434036E-3</v>
      </c>
    </row>
    <row r="30580" spans="103:104" x14ac:dyDescent="0.3">
      <c r="CY30580" s="34" t="s">
        <v>31506</v>
      </c>
      <c r="CZ30580" s="35">
        <v>4.1879360000000004E-2</v>
      </c>
    </row>
    <row r="30581" spans="103:104" x14ac:dyDescent="0.3">
      <c r="CY30581" s="34" t="s">
        <v>31507</v>
      </c>
      <c r="CZ30581" s="35">
        <v>0.19525372000000002</v>
      </c>
    </row>
    <row r="30582" spans="103:104" x14ac:dyDescent="0.3">
      <c r="CY30582" s="34" t="s">
        <v>31508</v>
      </c>
      <c r="CZ30582" s="35">
        <v>2.3375921999999997E-2</v>
      </c>
    </row>
    <row r="30583" spans="103:104" x14ac:dyDescent="0.3">
      <c r="CY30583" s="34" t="s">
        <v>31509</v>
      </c>
      <c r="CZ30583" s="35">
        <v>2.415958E-2</v>
      </c>
    </row>
    <row r="30584" spans="103:104" x14ac:dyDescent="0.3">
      <c r="CY30584" s="34" t="s">
        <v>31510</v>
      </c>
      <c r="CZ30584" s="35">
        <v>2.2826479600000001E-2</v>
      </c>
    </row>
    <row r="30585" spans="103:104" x14ac:dyDescent="0.3">
      <c r="CY30585" s="34" t="s">
        <v>31511</v>
      </c>
      <c r="CZ30585" s="35">
        <v>2.8258750252E-2</v>
      </c>
    </row>
    <row r="30586" spans="103:104" x14ac:dyDescent="0.3">
      <c r="CY30586" s="34" t="s">
        <v>31512</v>
      </c>
      <c r="CZ30586" s="35">
        <v>2.9681355052000001E-2</v>
      </c>
    </row>
    <row r="30587" spans="103:104" x14ac:dyDescent="0.3">
      <c r="CY30587" s="34" t="s">
        <v>31513</v>
      </c>
      <c r="CZ30587" s="35">
        <v>2.3375921999999997E-2</v>
      </c>
    </row>
    <row r="30588" spans="103:104" x14ac:dyDescent="0.3">
      <c r="CY30588" s="34" t="s">
        <v>31514</v>
      </c>
      <c r="CZ30588" s="35">
        <v>2.415958E-2</v>
      </c>
    </row>
    <row r="30589" spans="103:104" x14ac:dyDescent="0.3">
      <c r="CY30589" s="34" t="s">
        <v>31515</v>
      </c>
      <c r="CZ30589" s="35">
        <v>2.2826479600000001E-2</v>
      </c>
    </row>
    <row r="30590" spans="103:104" x14ac:dyDescent="0.3">
      <c r="CY30590" s="34" t="s">
        <v>31516</v>
      </c>
      <c r="CZ30590" s="35">
        <v>2.8258750252E-2</v>
      </c>
    </row>
    <row r="30591" spans="103:104" x14ac:dyDescent="0.3">
      <c r="CY30591" s="34" t="s">
        <v>31517</v>
      </c>
      <c r="CZ30591" s="35">
        <v>2.9681355052000001E-2</v>
      </c>
    </row>
    <row r="30592" spans="103:104" x14ac:dyDescent="0.3">
      <c r="CY30592" s="34" t="s">
        <v>31518</v>
      </c>
      <c r="CZ30592" s="35">
        <v>1.3437814E-3</v>
      </c>
    </row>
    <row r="30593" spans="103:104" x14ac:dyDescent="0.3">
      <c r="CY30593" s="34" t="s">
        <v>31519</v>
      </c>
      <c r="CZ30593" s="35">
        <v>6.383734666666667E-4</v>
      </c>
    </row>
    <row r="30594" spans="103:104" x14ac:dyDescent="0.3">
      <c r="CY30594" s="34" t="s">
        <v>31520</v>
      </c>
      <c r="CZ30594" s="35">
        <v>4.9595466666666664E-2</v>
      </c>
    </row>
    <row r="30595" spans="103:104" x14ac:dyDescent="0.3">
      <c r="CY30595" s="34" t="s">
        <v>31521</v>
      </c>
      <c r="CZ30595" s="35">
        <v>4.5681336666666669E-2</v>
      </c>
    </row>
    <row r="30596" spans="103:104" x14ac:dyDescent="0.3">
      <c r="CY30596" s="34" t="s">
        <v>31522</v>
      </c>
      <c r="CZ30596" s="35">
        <v>0.1141524111111111</v>
      </c>
    </row>
    <row r="30597" spans="103:104" x14ac:dyDescent="0.3">
      <c r="CY30597" s="34" t="s">
        <v>31523</v>
      </c>
      <c r="CZ30597" s="35">
        <v>4.7459900000000006E-2</v>
      </c>
    </row>
    <row r="30598" spans="103:104" x14ac:dyDescent="0.3">
      <c r="CY30598" s="34" t="s">
        <v>31524</v>
      </c>
      <c r="CZ30598" s="35">
        <v>9.9870977999999989E-3</v>
      </c>
    </row>
    <row r="30599" spans="103:104" x14ac:dyDescent="0.3">
      <c r="CY30599" s="34" t="s">
        <v>31525</v>
      </c>
      <c r="CZ30599" s="35">
        <v>7.9038595999999989E-2</v>
      </c>
    </row>
    <row r="30600" spans="103:104" x14ac:dyDescent="0.3">
      <c r="CY30600" s="34" t="s">
        <v>31526</v>
      </c>
      <c r="CZ30600" s="35">
        <v>5.5697636000000002E-2</v>
      </c>
    </row>
    <row r="30601" spans="103:104" x14ac:dyDescent="0.3">
      <c r="CY30601" s="34" t="s">
        <v>31527</v>
      </c>
      <c r="CZ30601" s="35">
        <v>7.2036307999999993E-2</v>
      </c>
    </row>
    <row r="30602" spans="103:104" x14ac:dyDescent="0.3">
      <c r="CY30602" s="34" t="s">
        <v>31528</v>
      </c>
      <c r="CZ30602" s="35">
        <v>5.5697636000000002E-2</v>
      </c>
    </row>
    <row r="30603" spans="103:104" x14ac:dyDescent="0.3">
      <c r="CY30603" s="34" t="s">
        <v>31529</v>
      </c>
      <c r="CZ30603" s="35">
        <v>1.0339812E-2</v>
      </c>
    </row>
    <row r="30604" spans="103:104" x14ac:dyDescent="0.3">
      <c r="CY30604" s="34" t="s">
        <v>31530</v>
      </c>
      <c r="CZ30604" s="35">
        <v>2.3141006666666665E-2</v>
      </c>
    </row>
    <row r="30605" spans="103:104" x14ac:dyDescent="0.3">
      <c r="CY30605" s="34" t="s">
        <v>31531</v>
      </c>
      <c r="CZ30605" s="35">
        <v>1.1716244000000001E-2</v>
      </c>
    </row>
    <row r="30606" spans="103:104" x14ac:dyDescent="0.3">
      <c r="CY30606" s="34" t="s">
        <v>31532</v>
      </c>
      <c r="CZ30606" s="35">
        <v>1.8645652E-3</v>
      </c>
    </row>
    <row r="30607" spans="103:104" x14ac:dyDescent="0.3">
      <c r="CY30607" s="34" t="s">
        <v>31533</v>
      </c>
      <c r="CZ30607" s="35">
        <v>0.47727541000000001</v>
      </c>
    </row>
    <row r="30608" spans="103:104" x14ac:dyDescent="0.3">
      <c r="CY30608" s="34" t="s">
        <v>31534</v>
      </c>
      <c r="CZ30608" s="35">
        <v>0.11432089444444445</v>
      </c>
    </row>
    <row r="30609" spans="103:104" x14ac:dyDescent="0.3">
      <c r="CY30609" s="34" t="s">
        <v>31535</v>
      </c>
      <c r="CZ30609" s="35">
        <v>0.11432089444444442</v>
      </c>
    </row>
    <row r="30610" spans="103:104" x14ac:dyDescent="0.3">
      <c r="CY30610" s="34" t="s">
        <v>31536</v>
      </c>
      <c r="CZ30610" s="35">
        <v>1.2566951119999999E-3</v>
      </c>
    </row>
    <row r="30611" spans="103:104" x14ac:dyDescent="0.3">
      <c r="CY30611" s="34" t="s">
        <v>31537</v>
      </c>
      <c r="CZ30611" s="35">
        <v>3.3512655119999997E-3</v>
      </c>
    </row>
    <row r="30612" spans="103:104" x14ac:dyDescent="0.3">
      <c r="CY30612" s="34" t="s">
        <v>31538</v>
      </c>
      <c r="CZ30612" s="35">
        <v>1.5396986679999999E-3</v>
      </c>
    </row>
    <row r="30613" spans="103:104" x14ac:dyDescent="0.3">
      <c r="CY30613" s="34" t="s">
        <v>31539</v>
      </c>
      <c r="CZ30613" s="35">
        <v>1.0424886999999999E-2</v>
      </c>
    </row>
    <row r="30614" spans="103:104" x14ac:dyDescent="0.3">
      <c r="CY30614" s="34" t="s">
        <v>31540</v>
      </c>
      <c r="CZ30614" s="35">
        <v>5.5015100000000003E-3</v>
      </c>
    </row>
    <row r="30615" spans="103:104" x14ac:dyDescent="0.3">
      <c r="CY30615" s="34" t="s">
        <v>31541</v>
      </c>
      <c r="CZ30615" s="35">
        <v>0.19925239999999997</v>
      </c>
    </row>
    <row r="30616" spans="103:104" x14ac:dyDescent="0.3">
      <c r="CY30616" s="34" t="s">
        <v>31542</v>
      </c>
      <c r="CZ30616" s="35">
        <v>2.7879960000000001E-3</v>
      </c>
    </row>
    <row r="30617" spans="103:104" x14ac:dyDescent="0.3">
      <c r="CY30617" s="34" t="s">
        <v>31543</v>
      </c>
      <c r="CZ30617" s="35">
        <v>2.1175398000000002E-2</v>
      </c>
    </row>
    <row r="30618" spans="103:104" x14ac:dyDescent="0.3">
      <c r="CY30618" s="34" t="s">
        <v>31544</v>
      </c>
      <c r="CZ30618" s="35">
        <v>3.0880852000000004E-2</v>
      </c>
    </row>
    <row r="30619" spans="103:104" x14ac:dyDescent="0.3">
      <c r="CY30619" s="34" t="s">
        <v>31545</v>
      </c>
      <c r="CZ30619" s="35">
        <v>4.4907535999999998E-2</v>
      </c>
    </row>
    <row r="30620" spans="103:104" x14ac:dyDescent="0.3">
      <c r="CY30620" s="34" t="s">
        <v>31546</v>
      </c>
      <c r="CZ30620" s="35">
        <v>5.2161848000000004E-2</v>
      </c>
    </row>
    <row r="30621" spans="103:104" x14ac:dyDescent="0.3">
      <c r="CY30621" s="34" t="s">
        <v>31547</v>
      </c>
      <c r="CZ30621" s="35">
        <v>3.8704976000000002E-2</v>
      </c>
    </row>
    <row r="30622" spans="103:104" x14ac:dyDescent="0.3">
      <c r="CY30622" s="34" t="s">
        <v>31548</v>
      </c>
      <c r="CZ30622" s="35">
        <v>1.7550442000000003E-2</v>
      </c>
    </row>
    <row r="30623" spans="103:104" x14ac:dyDescent="0.3">
      <c r="CY30623" s="34" t="s">
        <v>31549</v>
      </c>
      <c r="CZ30623" s="35">
        <v>6.9198520000000006E-4</v>
      </c>
    </row>
    <row r="30624" spans="103:104" x14ac:dyDescent="0.3">
      <c r="CY30624" s="34" t="s">
        <v>31550</v>
      </c>
      <c r="CZ30624" s="35">
        <v>0.94236106499999994</v>
      </c>
    </row>
    <row r="30625" spans="103:104" x14ac:dyDescent="0.3">
      <c r="CY30625" s="34" t="s">
        <v>31551</v>
      </c>
      <c r="CZ30625" s="35">
        <v>0.68891930499999998</v>
      </c>
    </row>
    <row r="30626" spans="103:104" x14ac:dyDescent="0.3">
      <c r="CY30626" s="34" t="s">
        <v>31552</v>
      </c>
      <c r="CZ30626" s="35">
        <v>0.67938184000000001</v>
      </c>
    </row>
    <row r="30627" spans="103:104" x14ac:dyDescent="0.3">
      <c r="CY30627" s="34" t="s">
        <v>31553</v>
      </c>
      <c r="CZ30627" s="35">
        <v>0.76361067999999999</v>
      </c>
    </row>
    <row r="30628" spans="103:104" x14ac:dyDescent="0.3">
      <c r="CY30628" s="34" t="s">
        <v>31554</v>
      </c>
      <c r="CZ30628" s="35">
        <v>0.11914863000000001</v>
      </c>
    </row>
    <row r="30629" spans="103:104" x14ac:dyDescent="0.3">
      <c r="CY30629" s="34" t="s">
        <v>31555</v>
      </c>
      <c r="CZ30629" s="35">
        <v>4.8924800000000004E-2</v>
      </c>
    </row>
    <row r="30630" spans="103:104" x14ac:dyDescent="0.3">
      <c r="CY30630" s="34" t="s">
        <v>31556</v>
      </c>
      <c r="CZ30630" s="35">
        <v>1.9996648999999998E-2</v>
      </c>
    </row>
    <row r="30631" spans="103:104" x14ac:dyDescent="0.3">
      <c r="CY30631" s="34" t="s">
        <v>31557</v>
      </c>
      <c r="CZ30631" s="35">
        <v>2.03365142</v>
      </c>
    </row>
    <row r="30632" spans="103:104" x14ac:dyDescent="0.3">
      <c r="CY30632" s="34" t="s">
        <v>31558</v>
      </c>
      <c r="CZ30632" s="35">
        <v>7.9719028499999997E-2</v>
      </c>
    </row>
    <row r="30633" spans="103:104" x14ac:dyDescent="0.3">
      <c r="CY30633" s="34" t="s">
        <v>31559</v>
      </c>
      <c r="CZ30633" s="35">
        <v>5.2778418000000001E-2</v>
      </c>
    </row>
    <row r="30634" spans="103:104" x14ac:dyDescent="0.3">
      <c r="CY30634" s="34" t="s">
        <v>31560</v>
      </c>
      <c r="CZ30634" s="35">
        <v>5.8933140000000011E-3</v>
      </c>
    </row>
    <row r="30635" spans="103:104" x14ac:dyDescent="0.3">
      <c r="CY30635" s="34" t="s">
        <v>31561</v>
      </c>
      <c r="CZ30635" s="35">
        <v>5.0010449999999991E-2</v>
      </c>
    </row>
    <row r="30636" spans="103:104" x14ac:dyDescent="0.3">
      <c r="CY30636" s="34" t="s">
        <v>31562</v>
      </c>
      <c r="CZ30636" s="35">
        <v>5.0010449999999991E-2</v>
      </c>
    </row>
    <row r="30637" spans="103:104" x14ac:dyDescent="0.3">
      <c r="CY30637" s="34" t="s">
        <v>31563</v>
      </c>
      <c r="CZ30637" s="35">
        <v>5.0010449999999991E-2</v>
      </c>
    </row>
    <row r="30638" spans="103:104" x14ac:dyDescent="0.3">
      <c r="CY30638" s="34" t="s">
        <v>31564</v>
      </c>
      <c r="CZ30638" s="35">
        <v>6.3973140000000003E-3</v>
      </c>
    </row>
    <row r="30639" spans="103:104" x14ac:dyDescent="0.3">
      <c r="CY30639" s="34" t="s">
        <v>31565</v>
      </c>
      <c r="CZ30639" s="35">
        <v>2.2991484000000001E-3</v>
      </c>
    </row>
    <row r="30640" spans="103:104" x14ac:dyDescent="0.3">
      <c r="CY30640" s="34" t="s">
        <v>31566</v>
      </c>
      <c r="CZ30640" s="35">
        <v>2.8043832000000002E-3</v>
      </c>
    </row>
    <row r="30641" spans="103:104" x14ac:dyDescent="0.3">
      <c r="CY30641" s="34" t="s">
        <v>31567</v>
      </c>
      <c r="CZ30641" s="35">
        <v>2.4486111999999995E-3</v>
      </c>
    </row>
    <row r="30642" spans="103:104" x14ac:dyDescent="0.3">
      <c r="CY30642" s="34" t="s">
        <v>31568</v>
      </c>
      <c r="CZ30642" s="35">
        <v>3.6858455999999999E-3</v>
      </c>
    </row>
    <row r="30643" spans="103:104" x14ac:dyDescent="0.3">
      <c r="CY30643" s="34" t="s">
        <v>31569</v>
      </c>
      <c r="CZ30643" s="35">
        <v>4.99504938546E-2</v>
      </c>
    </row>
    <row r="30644" spans="103:104" x14ac:dyDescent="0.3">
      <c r="CY30644" s="34" t="s">
        <v>31570</v>
      </c>
      <c r="CZ30644" s="35">
        <v>1.0179105999999998</v>
      </c>
    </row>
    <row r="30645" spans="103:104" x14ac:dyDescent="0.3">
      <c r="CY30645" s="34" t="s">
        <v>31571</v>
      </c>
      <c r="CZ30645" s="35">
        <v>8.7635760000000001E-4</v>
      </c>
    </row>
    <row r="30646" spans="103:104" x14ac:dyDescent="0.3">
      <c r="CY30646" s="34" t="s">
        <v>31572</v>
      </c>
      <c r="CZ30646" s="35">
        <v>0.34693358600000002</v>
      </c>
    </row>
    <row r="30647" spans="103:104" x14ac:dyDescent="0.3">
      <c r="CY30647" s="34" t="s">
        <v>31573</v>
      </c>
      <c r="CZ30647" s="35">
        <v>0.35906825399999998</v>
      </c>
    </row>
    <row r="30648" spans="103:104" x14ac:dyDescent="0.3">
      <c r="CY30648" s="34" t="s">
        <v>31574</v>
      </c>
      <c r="CZ30648" s="35">
        <v>9.4252470588235288E-3</v>
      </c>
    </row>
    <row r="30649" spans="103:104" x14ac:dyDescent="0.3">
      <c r="CY30649" s="34" t="s">
        <v>31575</v>
      </c>
      <c r="CZ30649" s="35">
        <v>2.2980276000000001E-2</v>
      </c>
    </row>
    <row r="30650" spans="103:104" x14ac:dyDescent="0.3">
      <c r="CY30650" s="34" t="s">
        <v>31576</v>
      </c>
      <c r="CZ30650" s="35">
        <v>5.0232879999999994E-2</v>
      </c>
    </row>
    <row r="30651" spans="103:104" x14ac:dyDescent="0.3">
      <c r="CY30651" s="34" t="s">
        <v>31577</v>
      </c>
      <c r="CZ30651" s="35">
        <v>6.7118294736842115E-3</v>
      </c>
    </row>
    <row r="30652" spans="103:104" x14ac:dyDescent="0.3">
      <c r="CY30652" s="34" t="s">
        <v>31578</v>
      </c>
      <c r="CZ30652" s="35">
        <v>6.8335699999999989E-4</v>
      </c>
    </row>
    <row r="30653" spans="103:104" x14ac:dyDescent="0.3">
      <c r="CY30653" s="34" t="s">
        <v>31579</v>
      </c>
      <c r="CZ30653" s="35">
        <v>0.93033134999999978</v>
      </c>
    </row>
    <row r="30654" spans="103:104" x14ac:dyDescent="0.3">
      <c r="CY30654" s="34" t="s">
        <v>31580</v>
      </c>
      <c r="CZ30654" s="35">
        <v>2.3497077999999998E-3</v>
      </c>
    </row>
    <row r="30655" spans="103:104" x14ac:dyDescent="0.3">
      <c r="CY30655" s="34" t="s">
        <v>31581</v>
      </c>
      <c r="CZ30655" s="35">
        <v>1.0998453999999998E-3</v>
      </c>
    </row>
    <row r="30656" spans="103:104" x14ac:dyDescent="0.3">
      <c r="CY30656" s="34" t="s">
        <v>31582</v>
      </c>
      <c r="CZ30656" s="35">
        <v>8.8018541999999988E-3</v>
      </c>
    </row>
    <row r="30657" spans="103:104" x14ac:dyDescent="0.3">
      <c r="CY30657" s="34" t="s">
        <v>31583</v>
      </c>
      <c r="CZ30657" s="35">
        <v>8.8018541999999988E-3</v>
      </c>
    </row>
    <row r="30658" spans="103:104" x14ac:dyDescent="0.3">
      <c r="CY30658" s="34" t="s">
        <v>31584</v>
      </c>
      <c r="CZ30658" s="35">
        <v>8.8018541999999988E-3</v>
      </c>
    </row>
    <row r="30659" spans="103:104" x14ac:dyDescent="0.3">
      <c r="CY30659" s="34" t="s">
        <v>31585</v>
      </c>
      <c r="CZ30659" s="35">
        <v>9.0113653333333331E-4</v>
      </c>
    </row>
    <row r="30660" spans="103:104" x14ac:dyDescent="0.3">
      <c r="CY30660" s="34" t="s">
        <v>31586</v>
      </c>
      <c r="CZ30660" s="35">
        <v>1.4428978000000001E-3</v>
      </c>
    </row>
    <row r="30661" spans="103:104" x14ac:dyDescent="0.3">
      <c r="CY30661" s="34" t="s">
        <v>31587</v>
      </c>
      <c r="CZ30661" s="35">
        <v>3.1891630000000004E-2</v>
      </c>
    </row>
    <row r="30662" spans="103:104" x14ac:dyDescent="0.3">
      <c r="CY30662" s="34" t="s">
        <v>31588</v>
      </c>
      <c r="CZ30662" s="35">
        <v>8.4296806666666665E-3</v>
      </c>
    </row>
    <row r="30663" spans="103:104" x14ac:dyDescent="0.3">
      <c r="CY30663" s="34" t="s">
        <v>31589</v>
      </c>
      <c r="CZ30663" s="35">
        <v>1.71776072E-2</v>
      </c>
    </row>
    <row r="30664" spans="103:104" x14ac:dyDescent="0.3">
      <c r="CY30664" s="34" t="s">
        <v>31590</v>
      </c>
      <c r="CZ30664" s="35">
        <v>7.19996E-3</v>
      </c>
    </row>
    <row r="30665" spans="103:104" x14ac:dyDescent="0.3">
      <c r="CY30665" s="34" t="s">
        <v>31591</v>
      </c>
      <c r="CZ30665" s="35">
        <v>2.4472453333333331E-2</v>
      </c>
    </row>
    <row r="30666" spans="103:104" x14ac:dyDescent="0.3">
      <c r="CY30666" s="34" t="s">
        <v>31592</v>
      </c>
      <c r="CZ30666" s="35">
        <v>3.0776577999999999E-2</v>
      </c>
    </row>
    <row r="30667" spans="103:104" x14ac:dyDescent="0.3">
      <c r="CY30667" s="34" t="s">
        <v>31593</v>
      </c>
      <c r="CZ30667" s="35">
        <v>6.6726083999999991E-2</v>
      </c>
    </row>
    <row r="30668" spans="103:104" x14ac:dyDescent="0.3">
      <c r="CY30668" s="34" t="s">
        <v>31594</v>
      </c>
      <c r="CZ30668" s="35">
        <v>6.6726084000000005E-2</v>
      </c>
    </row>
    <row r="30669" spans="103:104" x14ac:dyDescent="0.3">
      <c r="CY30669" s="34" t="s">
        <v>31595</v>
      </c>
      <c r="CZ30669" s="35">
        <v>0.40240848000000001</v>
      </c>
    </row>
    <row r="30670" spans="103:104" x14ac:dyDescent="0.3">
      <c r="CY30670" s="34" t="s">
        <v>31596</v>
      </c>
      <c r="CZ30670" s="35">
        <v>6.6726083999999991E-2</v>
      </c>
    </row>
    <row r="30671" spans="103:104" x14ac:dyDescent="0.3">
      <c r="CY30671" s="34" t="s">
        <v>31597</v>
      </c>
      <c r="CZ30671" s="35">
        <v>6.6726083999999991E-2</v>
      </c>
    </row>
    <row r="30672" spans="103:104" x14ac:dyDescent="0.3">
      <c r="CY30672" s="34" t="s">
        <v>31598</v>
      </c>
      <c r="CZ30672" s="35">
        <v>4.173438799999999E-2</v>
      </c>
    </row>
    <row r="30673" spans="103:104" x14ac:dyDescent="0.3">
      <c r="CY30673" s="34" t="s">
        <v>31599</v>
      </c>
      <c r="CZ30673" s="35">
        <v>6.4403599999999996E-4</v>
      </c>
    </row>
    <row r="30674" spans="103:104" x14ac:dyDescent="0.3">
      <c r="CY30674" s="34" t="s">
        <v>31600</v>
      </c>
      <c r="CZ30674" s="35">
        <v>3.7767672000000002E-2</v>
      </c>
    </row>
    <row r="30675" spans="103:104" x14ac:dyDescent="0.3">
      <c r="CY30675" s="34" t="s">
        <v>31601</v>
      </c>
      <c r="CZ30675" s="35">
        <v>1.385416825E-2</v>
      </c>
    </row>
    <row r="30676" spans="103:104" x14ac:dyDescent="0.3">
      <c r="CY30676" s="34" t="s">
        <v>31602</v>
      </c>
      <c r="CZ30676" s="35">
        <v>1.5611980749999999E-2</v>
      </c>
    </row>
    <row r="30677" spans="103:104" x14ac:dyDescent="0.3">
      <c r="CY30677" s="34" t="s">
        <v>31603</v>
      </c>
      <c r="CZ30677" s="35">
        <v>0.46429777</v>
      </c>
    </row>
    <row r="30678" spans="103:104" x14ac:dyDescent="0.3">
      <c r="CY30678" s="34" t="s">
        <v>31604</v>
      </c>
      <c r="CZ30678" s="35">
        <v>0.64776417000000008</v>
      </c>
    </row>
    <row r="30679" spans="103:104" x14ac:dyDescent="0.3">
      <c r="CY30679" s="34" t="s">
        <v>31605</v>
      </c>
      <c r="CZ30679" s="35">
        <v>4.9203184599999998E-2</v>
      </c>
    </row>
    <row r="30680" spans="103:104" x14ac:dyDescent="0.3">
      <c r="CY30680" s="34" t="s">
        <v>31606</v>
      </c>
      <c r="CZ30680" s="35">
        <v>7.1068403333333337E-3</v>
      </c>
    </row>
    <row r="30681" spans="103:104" x14ac:dyDescent="0.3">
      <c r="CY30681" s="34" t="s">
        <v>31607</v>
      </c>
      <c r="CZ30681" s="35">
        <v>0.21248285714285714</v>
      </c>
    </row>
    <row r="30682" spans="103:104" x14ac:dyDescent="0.3">
      <c r="CY30682" s="34" t="s">
        <v>31608</v>
      </c>
      <c r="CZ30682" s="35">
        <v>0.69206632999999995</v>
      </c>
    </row>
    <row r="30683" spans="103:104" x14ac:dyDescent="0.3">
      <c r="CY30683" s="34" t="s">
        <v>31609</v>
      </c>
      <c r="CZ30683" s="35">
        <v>0.69911320999999993</v>
      </c>
    </row>
    <row r="30684" spans="103:104" x14ac:dyDescent="0.3">
      <c r="CY30684" s="34" t="s">
        <v>31610</v>
      </c>
      <c r="CZ30684" s="35">
        <v>2.0146859999999999E-2</v>
      </c>
    </row>
    <row r="30685" spans="103:104" x14ac:dyDescent="0.3">
      <c r="CY30685" s="34" t="s">
        <v>31611</v>
      </c>
      <c r="CZ30685" s="35">
        <v>7.8750199999999999E-3</v>
      </c>
    </row>
    <row r="30686" spans="103:104" x14ac:dyDescent="0.3">
      <c r="CY30686" s="34" t="s">
        <v>31612</v>
      </c>
      <c r="CZ30686" s="35">
        <v>4.9405795000000002E-3</v>
      </c>
    </row>
    <row r="30687" spans="103:104" x14ac:dyDescent="0.3">
      <c r="CY30687" s="34" t="s">
        <v>31613</v>
      </c>
      <c r="CZ30687" s="35">
        <v>3.4046560000000003E-2</v>
      </c>
    </row>
    <row r="30688" spans="103:104" x14ac:dyDescent="0.3">
      <c r="CY30688" s="34" t="s">
        <v>31614</v>
      </c>
      <c r="CZ30688" s="35">
        <v>3.719207111111112E-2</v>
      </c>
    </row>
    <row r="30689" spans="103:104" x14ac:dyDescent="0.3">
      <c r="CY30689" s="34" t="s">
        <v>31615</v>
      </c>
      <c r="CZ30689" s="35">
        <v>1.209596852E-2</v>
      </c>
    </row>
    <row r="30690" spans="103:104" x14ac:dyDescent="0.3">
      <c r="CY30690" s="34" t="s">
        <v>31616</v>
      </c>
      <c r="CZ30690" s="35">
        <v>3.8001519999999998E-3</v>
      </c>
    </row>
    <row r="30691" spans="103:104" x14ac:dyDescent="0.3">
      <c r="CY30691" s="34" t="s">
        <v>31617</v>
      </c>
      <c r="CZ30691" s="35">
        <v>5.9696839999999994E-4</v>
      </c>
    </row>
    <row r="30692" spans="103:104" x14ac:dyDescent="0.3">
      <c r="CY30692" s="34" t="s">
        <v>31618</v>
      </c>
      <c r="CZ30692" s="35">
        <v>1.78807484E-2</v>
      </c>
    </row>
    <row r="30693" spans="103:104" x14ac:dyDescent="0.3">
      <c r="CY30693" s="34" t="s">
        <v>31619</v>
      </c>
      <c r="CZ30693" s="35">
        <v>3.2179467999999996E-2</v>
      </c>
    </row>
    <row r="30694" spans="103:104" x14ac:dyDescent="0.3">
      <c r="CY30694" s="34" t="s">
        <v>31620</v>
      </c>
      <c r="CZ30694" s="35">
        <v>0.22856692000000001</v>
      </c>
    </row>
    <row r="30695" spans="103:104" x14ac:dyDescent="0.3">
      <c r="CY30695" s="34" t="s">
        <v>31621</v>
      </c>
      <c r="CZ30695" s="35">
        <v>9.600163199999999E-2</v>
      </c>
    </row>
    <row r="30696" spans="103:104" x14ac:dyDescent="0.3">
      <c r="CY30696" s="34" t="s">
        <v>31622</v>
      </c>
      <c r="CZ30696" s="35">
        <v>0.10875496800000001</v>
      </c>
    </row>
    <row r="30697" spans="103:104" x14ac:dyDescent="0.3">
      <c r="CY30697" s="34" t="s">
        <v>31623</v>
      </c>
      <c r="CZ30697" s="35">
        <v>9.780638400000001E-2</v>
      </c>
    </row>
    <row r="30698" spans="103:104" x14ac:dyDescent="0.3">
      <c r="CY30698" s="34" t="s">
        <v>31624</v>
      </c>
      <c r="CZ30698" s="35">
        <v>1.5444312000000002E-2</v>
      </c>
    </row>
    <row r="30699" spans="103:104" x14ac:dyDescent="0.3">
      <c r="CY30699" s="34" t="s">
        <v>31625</v>
      </c>
      <c r="CZ30699" s="35">
        <v>1.5444312000000002E-2</v>
      </c>
    </row>
    <row r="30700" spans="103:104" x14ac:dyDescent="0.3">
      <c r="CY30700" s="34" t="s">
        <v>31626</v>
      </c>
      <c r="CZ30700" s="35">
        <v>5.0964700000000002E-2</v>
      </c>
    </row>
    <row r="30701" spans="103:104" x14ac:dyDescent="0.3">
      <c r="CY30701" s="34" t="s">
        <v>31627</v>
      </c>
      <c r="CZ30701" s="35">
        <v>5.3273569000000007E-2</v>
      </c>
    </row>
    <row r="30702" spans="103:104" x14ac:dyDescent="0.3">
      <c r="CY30702" s="34" t="s">
        <v>31628</v>
      </c>
      <c r="CZ30702" s="35">
        <v>0.64535824000000008</v>
      </c>
    </row>
    <row r="30703" spans="103:104" x14ac:dyDescent="0.3">
      <c r="CY30703" s="34" t="s">
        <v>31629</v>
      </c>
      <c r="CZ30703" s="35">
        <v>4.1881583999999999E-2</v>
      </c>
    </row>
    <row r="30704" spans="103:104" x14ac:dyDescent="0.3">
      <c r="CY30704" s="34" t="s">
        <v>31630</v>
      </c>
      <c r="CZ30704" s="35">
        <v>0.19138181000000001</v>
      </c>
    </row>
    <row r="30705" spans="103:104" x14ac:dyDescent="0.3">
      <c r="CY30705" s="34" t="s">
        <v>31631</v>
      </c>
      <c r="CZ30705" s="35">
        <v>9.429626499999999E-2</v>
      </c>
    </row>
    <row r="30706" spans="103:104" x14ac:dyDescent="0.3">
      <c r="CY30706" s="34" t="s">
        <v>31632</v>
      </c>
      <c r="CZ30706" s="35">
        <v>9.6956066599999998E-3</v>
      </c>
    </row>
    <row r="30707" spans="103:104" x14ac:dyDescent="0.3">
      <c r="CY30707" s="34" t="s">
        <v>31633</v>
      </c>
      <c r="CZ30707" s="35">
        <v>7.9648719999999996E-3</v>
      </c>
    </row>
    <row r="30708" spans="103:104" x14ac:dyDescent="0.3">
      <c r="CY30708" s="34" t="s">
        <v>31634</v>
      </c>
      <c r="CZ30708" s="35">
        <v>2.2543590000000001E-3</v>
      </c>
    </row>
    <row r="30709" spans="103:104" x14ac:dyDescent="0.3">
      <c r="CY30709" s="34" t="s">
        <v>31635</v>
      </c>
      <c r="CZ30709" s="35">
        <v>2.1653834999999996E-3</v>
      </c>
    </row>
    <row r="30710" spans="103:104" x14ac:dyDescent="0.3">
      <c r="CY30710" s="34" t="s">
        <v>31636</v>
      </c>
      <c r="CZ30710" s="35">
        <v>2.1653834999999996E-3</v>
      </c>
    </row>
    <row r="30711" spans="103:104" x14ac:dyDescent="0.3">
      <c r="CY30711" s="34" t="s">
        <v>31637</v>
      </c>
      <c r="CZ30711" s="35">
        <v>9.79732E-3</v>
      </c>
    </row>
    <row r="30712" spans="103:104" x14ac:dyDescent="0.3">
      <c r="CY30712" s="34" t="s">
        <v>31638</v>
      </c>
      <c r="CZ30712" s="35">
        <v>9.79732E-3</v>
      </c>
    </row>
    <row r="30713" spans="103:104" x14ac:dyDescent="0.3">
      <c r="CY30713" s="34" t="s">
        <v>31639</v>
      </c>
      <c r="CZ30713" s="35">
        <v>9.79732E-3</v>
      </c>
    </row>
    <row r="30714" spans="103:104" x14ac:dyDescent="0.3">
      <c r="CY30714" s="34" t="s">
        <v>31640</v>
      </c>
      <c r="CZ30714" s="35">
        <v>2.2543590000000001E-3</v>
      </c>
    </row>
    <row r="30715" spans="103:104" x14ac:dyDescent="0.3">
      <c r="CY30715" s="34" t="s">
        <v>31641</v>
      </c>
      <c r="CZ30715" s="35">
        <v>2.1653834999999996E-3</v>
      </c>
    </row>
    <row r="30716" spans="103:104" x14ac:dyDescent="0.3">
      <c r="CY30716" s="34" t="s">
        <v>31642</v>
      </c>
      <c r="CZ30716" s="35">
        <v>2.1653834999999996E-3</v>
      </c>
    </row>
    <row r="30717" spans="103:104" x14ac:dyDescent="0.3">
      <c r="CY30717" s="34" t="s">
        <v>31643</v>
      </c>
      <c r="CZ30717" s="35">
        <v>2.2543590000000001E-3</v>
      </c>
    </row>
    <row r="30718" spans="103:104" x14ac:dyDescent="0.3">
      <c r="CY30718" s="34" t="s">
        <v>31644</v>
      </c>
      <c r="CZ30718" s="35">
        <v>2.1653834999999996E-3</v>
      </c>
    </row>
    <row r="30719" spans="103:104" x14ac:dyDescent="0.3">
      <c r="CY30719" s="34" t="s">
        <v>31645</v>
      </c>
      <c r="CZ30719" s="35">
        <v>1.9928234999999996E-3</v>
      </c>
    </row>
    <row r="30720" spans="103:104" x14ac:dyDescent="0.3">
      <c r="CY30720" s="34" t="s">
        <v>31646</v>
      </c>
      <c r="CZ30720" s="35">
        <v>1.9709477145999996E-3</v>
      </c>
    </row>
    <row r="30721" spans="103:104" x14ac:dyDescent="0.3">
      <c r="CY30721" s="34" t="s">
        <v>31647</v>
      </c>
      <c r="CZ30721" s="35">
        <v>0.22845200000000002</v>
      </c>
    </row>
    <row r="30722" spans="103:104" x14ac:dyDescent="0.3">
      <c r="CY30722" s="34" t="s">
        <v>31648</v>
      </c>
      <c r="CZ30722" s="35">
        <v>0.22845200000000002</v>
      </c>
    </row>
    <row r="30723" spans="103:104" x14ac:dyDescent="0.3">
      <c r="CY30723" s="34" t="s">
        <v>31649</v>
      </c>
      <c r="CZ30723" s="35">
        <v>1.6436140000000002E-2</v>
      </c>
    </row>
    <row r="30724" spans="103:104" x14ac:dyDescent="0.3">
      <c r="CY30724" s="34" t="s">
        <v>31650</v>
      </c>
      <c r="CZ30724" s="35">
        <v>6.2118812000000002E-2</v>
      </c>
    </row>
    <row r="30725" spans="103:104" x14ac:dyDescent="0.3">
      <c r="CY30725" s="34" t="s">
        <v>31651</v>
      </c>
      <c r="CZ30725" s="35">
        <v>0.1011808924</v>
      </c>
    </row>
    <row r="30726" spans="103:104" x14ac:dyDescent="0.3">
      <c r="CY30726" s="34" t="s">
        <v>31652</v>
      </c>
      <c r="CZ30726" s="35">
        <v>7.226508533333334E-2</v>
      </c>
    </row>
    <row r="30727" spans="103:104" x14ac:dyDescent="0.3">
      <c r="CY30727" s="34" t="s">
        <v>31653</v>
      </c>
      <c r="CZ30727" s="35">
        <v>0.147062208</v>
      </c>
    </row>
    <row r="30728" spans="103:104" x14ac:dyDescent="0.3">
      <c r="CY30728" s="34" t="s">
        <v>31654</v>
      </c>
      <c r="CZ30728" s="35">
        <v>0.11084454799999999</v>
      </c>
    </row>
    <row r="30729" spans="103:104" x14ac:dyDescent="0.3">
      <c r="CY30729" s="34" t="s">
        <v>31655</v>
      </c>
      <c r="CZ30729" s="35">
        <v>1.2684172000000001E-2</v>
      </c>
    </row>
    <row r="30730" spans="103:104" x14ac:dyDescent="0.3">
      <c r="CY30730" s="34" t="s">
        <v>31656</v>
      </c>
      <c r="CZ30730" s="35">
        <v>4.5544103999999995E-2</v>
      </c>
    </row>
    <row r="30731" spans="103:104" x14ac:dyDescent="0.3">
      <c r="CY30731" s="34" t="s">
        <v>31657</v>
      </c>
      <c r="CZ30731" s="35">
        <v>1.3203122E-3</v>
      </c>
    </row>
    <row r="30732" spans="103:104" x14ac:dyDescent="0.3">
      <c r="CY30732" s="34" t="s">
        <v>31658</v>
      </c>
      <c r="CZ30732" s="35">
        <v>1.4991817999999999E-3</v>
      </c>
    </row>
    <row r="30733" spans="103:104" x14ac:dyDescent="0.3">
      <c r="CY30733" s="34" t="s">
        <v>31659</v>
      </c>
      <c r="CZ30733" s="35">
        <v>9.4499800000000019E-3</v>
      </c>
    </row>
    <row r="30734" spans="103:104" x14ac:dyDescent="0.3">
      <c r="CY30734" s="34" t="s">
        <v>31660</v>
      </c>
      <c r="CZ30734" s="35">
        <v>1.3430151999999999E-2</v>
      </c>
    </row>
    <row r="30735" spans="103:104" x14ac:dyDescent="0.3">
      <c r="CY30735" s="34" t="s">
        <v>31661</v>
      </c>
      <c r="CZ30735" s="35">
        <v>1.5271468E-2</v>
      </c>
    </row>
    <row r="30736" spans="103:104" x14ac:dyDescent="0.3">
      <c r="CY30736" s="34" t="s">
        <v>31662</v>
      </c>
      <c r="CZ30736" s="35">
        <v>0.18314202000000002</v>
      </c>
    </row>
    <row r="30737" spans="103:104" x14ac:dyDescent="0.3">
      <c r="CY30737" s="34" t="s">
        <v>31663</v>
      </c>
      <c r="CZ30737" s="35">
        <v>0.39040623999999996</v>
      </c>
    </row>
    <row r="30738" spans="103:104" x14ac:dyDescent="0.3">
      <c r="CY30738" s="34" t="s">
        <v>31664</v>
      </c>
      <c r="CZ30738" s="35">
        <v>0.39584057332</v>
      </c>
    </row>
    <row r="30739" spans="103:104" x14ac:dyDescent="0.3">
      <c r="CY30739" s="34" t="s">
        <v>31665</v>
      </c>
      <c r="CZ30739" s="35">
        <v>8.7840086680000002E-3</v>
      </c>
    </row>
    <row r="30740" spans="103:104" x14ac:dyDescent="0.3">
      <c r="CY30740" s="34" t="s">
        <v>31666</v>
      </c>
      <c r="CZ30740" s="35">
        <v>9.8924666674999995E-2</v>
      </c>
    </row>
    <row r="30741" spans="103:104" x14ac:dyDescent="0.3">
      <c r="CY30741" s="34" t="s">
        <v>31667</v>
      </c>
      <c r="CZ30741" s="35">
        <v>1.1684489999999999E-2</v>
      </c>
    </row>
    <row r="30742" spans="103:104" x14ac:dyDescent="0.3">
      <c r="CY30742" s="34" t="s">
        <v>31668</v>
      </c>
      <c r="CZ30742" s="35">
        <v>8.6097250000000004E-3</v>
      </c>
    </row>
    <row r="30743" spans="103:104" x14ac:dyDescent="0.3">
      <c r="CY30743" s="34" t="s">
        <v>31669</v>
      </c>
      <c r="CZ30743" s="35">
        <v>8.4887730000000015E-3</v>
      </c>
    </row>
    <row r="30744" spans="103:104" x14ac:dyDescent="0.3">
      <c r="CY30744" s="34" t="s">
        <v>31670</v>
      </c>
      <c r="CZ30744" s="35">
        <v>1.5562024000000001</v>
      </c>
    </row>
    <row r="30745" spans="103:104" x14ac:dyDescent="0.3">
      <c r="CY30745" s="34" t="s">
        <v>31671</v>
      </c>
      <c r="CZ30745" s="35">
        <v>1.0168811578947371E-3</v>
      </c>
    </row>
    <row r="30746" spans="103:104" x14ac:dyDescent="0.3">
      <c r="CY30746" s="34" t="s">
        <v>31672</v>
      </c>
      <c r="CZ30746" s="35">
        <v>1.222558E-2</v>
      </c>
    </row>
    <row r="30747" spans="103:104" x14ac:dyDescent="0.3">
      <c r="CY30747" s="34" t="s">
        <v>31673</v>
      </c>
      <c r="CZ30747" s="35">
        <v>1.8284892000000004E-2</v>
      </c>
    </row>
    <row r="30748" spans="103:104" x14ac:dyDescent="0.3">
      <c r="CY30748" s="34" t="s">
        <v>31674</v>
      </c>
      <c r="CZ30748" s="35">
        <v>4.6844242666666674E-2</v>
      </c>
    </row>
    <row r="30749" spans="103:104" x14ac:dyDescent="0.3">
      <c r="CY30749" s="34" t="s">
        <v>31675</v>
      </c>
      <c r="CZ30749" s="35">
        <v>5.1282516E-2</v>
      </c>
    </row>
    <row r="30750" spans="103:104" x14ac:dyDescent="0.3">
      <c r="CY30750" s="34" t="s">
        <v>31676</v>
      </c>
      <c r="CZ30750" s="35">
        <v>5.3740556000000002E-2</v>
      </c>
    </row>
    <row r="30751" spans="103:104" x14ac:dyDescent="0.3">
      <c r="CY30751" s="34" t="s">
        <v>31677</v>
      </c>
      <c r="CZ30751" s="35">
        <v>1.4267811764705882E-3</v>
      </c>
    </row>
    <row r="30752" spans="103:104" x14ac:dyDescent="0.3">
      <c r="CY30752" s="34" t="s">
        <v>31678</v>
      </c>
      <c r="CZ30752" s="35">
        <v>1.3422223199999999</v>
      </c>
    </row>
    <row r="30753" spans="103:104" x14ac:dyDescent="0.3">
      <c r="CY30753" s="34" t="s">
        <v>31679</v>
      </c>
      <c r="CZ30753" s="35">
        <v>5.45E-2</v>
      </c>
    </row>
    <row r="30754" spans="103:104" x14ac:dyDescent="0.3">
      <c r="CY30754" s="34" t="s">
        <v>31680</v>
      </c>
      <c r="CZ30754" s="35">
        <v>1.26362</v>
      </c>
    </row>
    <row r="30755" spans="103:104" x14ac:dyDescent="0.3">
      <c r="CY30755" s="34" t="s">
        <v>31681</v>
      </c>
      <c r="CZ30755" s="35">
        <v>7.1999999999999995E-2</v>
      </c>
    </row>
    <row r="30756" spans="103:104" x14ac:dyDescent="0.3">
      <c r="CY30756" s="34" t="s">
        <v>31682</v>
      </c>
      <c r="CZ30756" s="35">
        <v>0.14486921999999999</v>
      </c>
    </row>
    <row r="30757" spans="103:104" x14ac:dyDescent="0.3">
      <c r="CY30757" s="34" t="s">
        <v>31683</v>
      </c>
      <c r="CZ30757" s="35">
        <v>1.7744625333333331E-3</v>
      </c>
    </row>
    <row r="30758" spans="103:104" x14ac:dyDescent="0.3">
      <c r="CY30758" s="34" t="s">
        <v>31684</v>
      </c>
      <c r="CZ30758" s="35">
        <v>1.23961688E-3</v>
      </c>
    </row>
    <row r="30759" spans="103:104" x14ac:dyDescent="0.3">
      <c r="CY30759" s="34" t="s">
        <v>31685</v>
      </c>
      <c r="CZ30759" s="35">
        <v>1.8855745999999999E-3</v>
      </c>
    </row>
    <row r="30760" spans="103:104" x14ac:dyDescent="0.3">
      <c r="CY30760" s="34" t="s">
        <v>31686</v>
      </c>
      <c r="CZ30760" s="35">
        <v>2.9852871999999997E-3</v>
      </c>
    </row>
    <row r="30761" spans="103:104" x14ac:dyDescent="0.3">
      <c r="CY30761" s="34" t="s">
        <v>31687</v>
      </c>
      <c r="CZ30761" s="35">
        <v>3.4583333750000004E-4</v>
      </c>
    </row>
    <row r="30762" spans="103:104" x14ac:dyDescent="0.3">
      <c r="CY30762" s="34" t="s">
        <v>31688</v>
      </c>
      <c r="CZ30762" s="35">
        <v>3.6259908222222221E-3</v>
      </c>
    </row>
    <row r="30763" spans="103:104" x14ac:dyDescent="0.3">
      <c r="CY30763" s="34" t="s">
        <v>31689</v>
      </c>
      <c r="CZ30763" s="35">
        <v>2.21779E-2</v>
      </c>
    </row>
    <row r="30764" spans="103:104" x14ac:dyDescent="0.3">
      <c r="CY30764" s="34" t="s">
        <v>31690</v>
      </c>
      <c r="CZ30764" s="35">
        <v>5.5284727638190957E-2</v>
      </c>
    </row>
    <row r="30765" spans="103:104" x14ac:dyDescent="0.3">
      <c r="CY30765" s="34" t="s">
        <v>31691</v>
      </c>
      <c r="CZ30765" s="35">
        <v>5.2298249999999991E-4</v>
      </c>
    </row>
    <row r="30766" spans="103:104" x14ac:dyDescent="0.3">
      <c r="CY30766" s="34" t="s">
        <v>31692</v>
      </c>
      <c r="CZ30766" s="35">
        <v>5.9136315789473681E-4</v>
      </c>
    </row>
    <row r="30767" spans="103:104" x14ac:dyDescent="0.3">
      <c r="CY30767" s="34" t="s">
        <v>31693</v>
      </c>
      <c r="CZ30767" s="35">
        <v>4.5541656E-3</v>
      </c>
    </row>
    <row r="30768" spans="103:104" x14ac:dyDescent="0.3">
      <c r="CY30768" s="34" t="s">
        <v>31694</v>
      </c>
      <c r="CZ30768" s="35">
        <v>2.9681868000000004E-2</v>
      </c>
    </row>
    <row r="30769" spans="103:104" x14ac:dyDescent="0.3">
      <c r="CY30769" s="34" t="s">
        <v>31695</v>
      </c>
      <c r="CZ30769" s="35">
        <v>4.4046475999999994E-2</v>
      </c>
    </row>
    <row r="30770" spans="103:104" x14ac:dyDescent="0.3">
      <c r="CY30770" s="34" t="s">
        <v>31696</v>
      </c>
      <c r="CZ30770" s="35">
        <v>2.81622552E-2</v>
      </c>
    </row>
    <row r="30771" spans="103:104" x14ac:dyDescent="0.3">
      <c r="CY30771" s="34" t="s">
        <v>31697</v>
      </c>
      <c r="CZ30771" s="35">
        <v>1.3488808000000001E-2</v>
      </c>
    </row>
    <row r="30772" spans="103:104" x14ac:dyDescent="0.3">
      <c r="CY30772" s="34" t="s">
        <v>31698</v>
      </c>
      <c r="CZ30772" s="35">
        <v>5.3409391999999993E-2</v>
      </c>
    </row>
    <row r="30773" spans="103:104" x14ac:dyDescent="0.3">
      <c r="CY30773" s="34" t="s">
        <v>31699</v>
      </c>
      <c r="CZ30773" s="35">
        <v>1.1215641260000002E-3</v>
      </c>
    </row>
    <row r="30774" spans="103:104" x14ac:dyDescent="0.3">
      <c r="CY30774" s="34" t="s">
        <v>31700</v>
      </c>
      <c r="CZ30774" s="35">
        <v>7.4835272000000008E-2</v>
      </c>
    </row>
    <row r="30775" spans="103:104" x14ac:dyDescent="0.3">
      <c r="CY30775" s="34" t="s">
        <v>31701</v>
      </c>
      <c r="CZ30775" s="35">
        <v>3.1696504E-2</v>
      </c>
    </row>
    <row r="30776" spans="103:104" x14ac:dyDescent="0.3">
      <c r="CY30776" s="34" t="s">
        <v>31702</v>
      </c>
      <c r="CZ30776" s="35">
        <v>0.16720369500000001</v>
      </c>
    </row>
    <row r="30777" spans="103:104" x14ac:dyDescent="0.3">
      <c r="CY30777" s="34" t="s">
        <v>31703</v>
      </c>
      <c r="CZ30777" s="35">
        <v>0.72589500000000007</v>
      </c>
    </row>
    <row r="30778" spans="103:104" x14ac:dyDescent="0.3">
      <c r="CY30778" s="34" t="s">
        <v>31704</v>
      </c>
      <c r="CZ30778" s="35">
        <v>2.5882039999999997E-4</v>
      </c>
    </row>
    <row r="30779" spans="103:104" x14ac:dyDescent="0.3">
      <c r="CY30779" s="34" t="s">
        <v>31705</v>
      </c>
      <c r="CZ30779" s="35">
        <v>4.8739280000000001E-4</v>
      </c>
    </row>
    <row r="30780" spans="103:104" x14ac:dyDescent="0.3">
      <c r="CY30780" s="34" t="s">
        <v>31706</v>
      </c>
      <c r="CZ30780" s="35">
        <v>0.84919374999999997</v>
      </c>
    </row>
    <row r="30781" spans="103:104" x14ac:dyDescent="0.3">
      <c r="CY30781" s="34" t="s">
        <v>31707</v>
      </c>
      <c r="CZ30781" s="35">
        <v>1.07454048E-2</v>
      </c>
    </row>
    <row r="30782" spans="103:104" x14ac:dyDescent="0.3">
      <c r="CY30782" s="34" t="s">
        <v>31708</v>
      </c>
      <c r="CZ30782" s="35">
        <v>0.53880589999999995</v>
      </c>
    </row>
    <row r="30783" spans="103:104" x14ac:dyDescent="0.3">
      <c r="CY30783" s="34" t="s">
        <v>31709</v>
      </c>
      <c r="CZ30783" s="35">
        <v>0.12470914999999999</v>
      </c>
    </row>
    <row r="30784" spans="103:104" x14ac:dyDescent="0.3">
      <c r="CY30784" s="34" t="s">
        <v>31710</v>
      </c>
      <c r="CZ30784" s="35">
        <v>0.19706432000000002</v>
      </c>
    </row>
    <row r="30785" spans="103:104" x14ac:dyDescent="0.3">
      <c r="CY30785" s="34" t="s">
        <v>31711</v>
      </c>
      <c r="CZ30785" s="35">
        <v>1.2812380808080809E-2</v>
      </c>
    </row>
    <row r="30786" spans="103:104" x14ac:dyDescent="0.3">
      <c r="CY30786" s="34" t="s">
        <v>31712</v>
      </c>
      <c r="CZ30786" s="35">
        <v>1.5839418383838386E-2</v>
      </c>
    </row>
    <row r="30787" spans="103:104" x14ac:dyDescent="0.3">
      <c r="CY30787" s="34" t="s">
        <v>31713</v>
      </c>
      <c r="CZ30787" s="35">
        <v>0.58721447000000004</v>
      </c>
    </row>
    <row r="30788" spans="103:104" x14ac:dyDescent="0.3">
      <c r="CY30788" s="34" t="s">
        <v>31714</v>
      </c>
      <c r="CZ30788" s="35">
        <v>0.73159104000000008</v>
      </c>
    </row>
    <row r="30789" spans="103:104" x14ac:dyDescent="0.3">
      <c r="CY30789" s="34" t="s">
        <v>31715</v>
      </c>
      <c r="CZ30789" s="35">
        <v>3.8900438775510207E-2</v>
      </c>
    </row>
    <row r="30790" spans="103:104" x14ac:dyDescent="0.3">
      <c r="CY30790" s="34" t="s">
        <v>31716</v>
      </c>
      <c r="CZ30790" s="35">
        <v>9.2702199999999974E-3</v>
      </c>
    </row>
    <row r="30791" spans="103:104" x14ac:dyDescent="0.3">
      <c r="CY30791" s="34" t="s">
        <v>31717</v>
      </c>
      <c r="CZ30791" s="35">
        <v>0.13828546799999999</v>
      </c>
    </row>
    <row r="30792" spans="103:104" x14ac:dyDescent="0.3">
      <c r="CY30792" s="34" t="s">
        <v>31718</v>
      </c>
      <c r="CZ30792" s="35">
        <v>2.7274199999999997E-4</v>
      </c>
    </row>
    <row r="30793" spans="103:104" x14ac:dyDescent="0.3">
      <c r="CY30793" s="34" t="s">
        <v>31719</v>
      </c>
      <c r="CZ30793" s="35">
        <v>2.8328814666666667E-2</v>
      </c>
    </row>
    <row r="30794" spans="103:104" x14ac:dyDescent="0.3">
      <c r="CY30794" s="34" t="s">
        <v>31720</v>
      </c>
      <c r="CZ30794" s="35">
        <v>1E-3</v>
      </c>
    </row>
    <row r="30795" spans="103:104" x14ac:dyDescent="0.3">
      <c r="CY30795" s="34" t="s">
        <v>31721</v>
      </c>
      <c r="CZ30795" s="35">
        <v>1E-3</v>
      </c>
    </row>
    <row r="30796" spans="103:104" x14ac:dyDescent="0.3">
      <c r="CY30796" s="34" t="s">
        <v>31722</v>
      </c>
      <c r="CZ30796" s="35">
        <v>1.4935477799999999E-2</v>
      </c>
    </row>
    <row r="30797" spans="103:104" x14ac:dyDescent="0.3">
      <c r="CY30797" s="34" t="s">
        <v>31723</v>
      </c>
      <c r="CZ30797" s="35">
        <v>0.59147889664705877</v>
      </c>
    </row>
    <row r="30798" spans="103:104" x14ac:dyDescent="0.3">
      <c r="CY30798" s="34" t="s">
        <v>31724</v>
      </c>
      <c r="CZ30798" s="35">
        <v>3.1077944000000002E-3</v>
      </c>
    </row>
    <row r="30799" spans="103:104" x14ac:dyDescent="0.3">
      <c r="CY30799" s="34" t="s">
        <v>31725</v>
      </c>
      <c r="CZ30799" s="35">
        <v>3.0453379999999994E-3</v>
      </c>
    </row>
    <row r="30800" spans="103:104" x14ac:dyDescent="0.3">
      <c r="CY30800" s="34" t="s">
        <v>31726</v>
      </c>
      <c r="CZ30800" s="35">
        <v>3.1702508000000002E-3</v>
      </c>
    </row>
    <row r="30801" spans="103:104" x14ac:dyDescent="0.3">
      <c r="CY30801" s="34" t="s">
        <v>31727</v>
      </c>
      <c r="CZ30801" s="35">
        <v>9.9379399999999993E-3</v>
      </c>
    </row>
    <row r="30802" spans="103:104" x14ac:dyDescent="0.3">
      <c r="CY30802" s="34" t="s">
        <v>31728</v>
      </c>
      <c r="CZ30802" s="35">
        <v>0.14486580000000002</v>
      </c>
    </row>
    <row r="30803" spans="103:104" x14ac:dyDescent="0.3">
      <c r="CY30803" s="34" t="s">
        <v>31729</v>
      </c>
      <c r="CZ30803" s="35">
        <v>0.228933</v>
      </c>
    </row>
    <row r="30804" spans="103:104" x14ac:dyDescent="0.3">
      <c r="CY30804" s="34" t="s">
        <v>31730</v>
      </c>
      <c r="CZ30804" s="35">
        <v>1.578912E-2</v>
      </c>
    </row>
    <row r="30805" spans="103:104" x14ac:dyDescent="0.3">
      <c r="CY30805" s="34" t="s">
        <v>31731</v>
      </c>
      <c r="CZ30805" s="35">
        <v>1.6688390000000001E-2</v>
      </c>
    </row>
    <row r="30806" spans="103:104" x14ac:dyDescent="0.3">
      <c r="CY30806" s="34" t="s">
        <v>31732</v>
      </c>
      <c r="CZ30806" s="35">
        <v>0.16016720000000001</v>
      </c>
    </row>
    <row r="30807" spans="103:104" x14ac:dyDescent="0.3">
      <c r="CY30807" s="34" t="s">
        <v>31733</v>
      </c>
      <c r="CZ30807" s="35">
        <v>5.3692199999999995E-2</v>
      </c>
    </row>
    <row r="30808" spans="103:104" x14ac:dyDescent="0.3">
      <c r="CY30808" s="34" t="s">
        <v>31734</v>
      </c>
      <c r="CZ30808" s="35">
        <v>5.9782979999999999E-2</v>
      </c>
    </row>
    <row r="30809" spans="103:104" x14ac:dyDescent="0.3">
      <c r="CY30809" s="34" t="s">
        <v>31735</v>
      </c>
      <c r="CZ30809" s="35">
        <v>4.1664639999999991E-3</v>
      </c>
    </row>
    <row r="30810" spans="103:104" x14ac:dyDescent="0.3">
      <c r="CY30810" s="34" t="s">
        <v>31736</v>
      </c>
      <c r="CZ30810" s="35">
        <v>6.6196303999999997E-2</v>
      </c>
    </row>
    <row r="30811" spans="103:104" x14ac:dyDescent="0.3">
      <c r="CY30811" s="34" t="s">
        <v>31737</v>
      </c>
      <c r="CZ30811" s="35">
        <v>8.4967552000000002E-2</v>
      </c>
    </row>
    <row r="30812" spans="103:104" x14ac:dyDescent="0.3">
      <c r="CY30812" s="34" t="s">
        <v>31738</v>
      </c>
      <c r="CZ30812" s="35">
        <v>3.0721526315789477E-2</v>
      </c>
    </row>
    <row r="30813" spans="103:104" x14ac:dyDescent="0.3">
      <c r="CY30813" s="34" t="s">
        <v>31739</v>
      </c>
      <c r="CZ30813" s="35">
        <v>1.8678765E-2</v>
      </c>
    </row>
    <row r="30814" spans="103:104" x14ac:dyDescent="0.3">
      <c r="CY30814" s="34" t="s">
        <v>31740</v>
      </c>
      <c r="CZ30814" s="35">
        <v>1.514813157894737E-2</v>
      </c>
    </row>
    <row r="30815" spans="103:104" x14ac:dyDescent="0.3">
      <c r="CY30815" s="34" t="s">
        <v>31741</v>
      </c>
      <c r="CZ30815" s="35">
        <v>3.072152631578948E-2</v>
      </c>
    </row>
    <row r="30816" spans="103:104" x14ac:dyDescent="0.3">
      <c r="CY30816" s="34" t="s">
        <v>31742</v>
      </c>
      <c r="CZ30816" s="35">
        <v>2.2898026315789473E-2</v>
      </c>
    </row>
    <row r="30817" spans="103:104" x14ac:dyDescent="0.3">
      <c r="CY30817" s="34" t="s">
        <v>31743</v>
      </c>
      <c r="CZ30817" s="35">
        <v>3.6074406249999996E-2</v>
      </c>
    </row>
    <row r="30818" spans="103:104" x14ac:dyDescent="0.3">
      <c r="CY30818" s="34" t="s">
        <v>31744</v>
      </c>
      <c r="CZ30818" s="35">
        <v>4.7657152000000015E-2</v>
      </c>
    </row>
    <row r="30819" spans="103:104" x14ac:dyDescent="0.3">
      <c r="CY30819" s="34" t="s">
        <v>31745</v>
      </c>
      <c r="CZ30819" s="35">
        <v>1.6504654000000001E-2</v>
      </c>
    </row>
    <row r="30820" spans="103:104" x14ac:dyDescent="0.3">
      <c r="CY30820" s="34" t="s">
        <v>31746</v>
      </c>
      <c r="CZ30820" s="35">
        <v>1.4390384858823529E-2</v>
      </c>
    </row>
    <row r="30821" spans="103:104" x14ac:dyDescent="0.3">
      <c r="CY30821" s="34" t="s">
        <v>31747</v>
      </c>
      <c r="CZ30821" s="35">
        <v>1.2777159999999999E-2</v>
      </c>
    </row>
    <row r="30822" spans="103:104" x14ac:dyDescent="0.3">
      <c r="CY30822" s="34" t="s">
        <v>31748</v>
      </c>
      <c r="CZ30822" s="35">
        <v>1.9136273684210524E-2</v>
      </c>
    </row>
    <row r="30823" spans="103:104" x14ac:dyDescent="0.3">
      <c r="CY30823" s="34" t="s">
        <v>31749</v>
      </c>
      <c r="CZ30823" s="35">
        <v>5.8965601699999997E-3</v>
      </c>
    </row>
    <row r="30824" spans="103:104" x14ac:dyDescent="0.3">
      <c r="CY30824" s="34" t="s">
        <v>31750</v>
      </c>
      <c r="CZ30824" s="35">
        <v>2.6168172999999997E-3</v>
      </c>
    </row>
    <row r="30825" spans="103:104" x14ac:dyDescent="0.3">
      <c r="CY30825" s="34" t="s">
        <v>31751</v>
      </c>
      <c r="CZ30825" s="35">
        <v>6.8660760000000005E-3</v>
      </c>
    </row>
    <row r="30826" spans="103:104" x14ac:dyDescent="0.3">
      <c r="CY30826" s="34" t="s">
        <v>31752</v>
      </c>
      <c r="CZ30826" s="35">
        <v>2.7715637894736847E-4</v>
      </c>
    </row>
    <row r="30827" spans="103:104" x14ac:dyDescent="0.3">
      <c r="CY30827" s="34" t="s">
        <v>31753</v>
      </c>
      <c r="CZ30827" s="35">
        <v>6.5715890526315797E-4</v>
      </c>
    </row>
    <row r="30828" spans="103:104" x14ac:dyDescent="0.3">
      <c r="CY30828" s="34" t="s">
        <v>31754</v>
      </c>
      <c r="CZ30828" s="35">
        <v>2.8585000000000004E-4</v>
      </c>
    </row>
    <row r="30829" spans="103:104" x14ac:dyDescent="0.3">
      <c r="CY30829" s="34" t="s">
        <v>31755</v>
      </c>
      <c r="CZ30829" s="35">
        <v>2.3826596E-4</v>
      </c>
    </row>
    <row r="30830" spans="103:104" x14ac:dyDescent="0.3">
      <c r="CY30830" s="34" t="s">
        <v>31756</v>
      </c>
      <c r="CZ30830" s="35">
        <v>2.0780063157894741E-4</v>
      </c>
    </row>
    <row r="30831" spans="103:104" x14ac:dyDescent="0.3">
      <c r="CY30831" s="34" t="s">
        <v>31757</v>
      </c>
      <c r="CZ30831" s="35">
        <v>1.9845406666666667E-3</v>
      </c>
    </row>
    <row r="30832" spans="103:104" x14ac:dyDescent="0.3">
      <c r="CY30832" s="34" t="s">
        <v>31758</v>
      </c>
      <c r="CZ30832" s="35">
        <v>4.3098419999999999E-4</v>
      </c>
    </row>
    <row r="30833" spans="103:104" x14ac:dyDescent="0.3">
      <c r="CY30833" s="34" t="s">
        <v>31759</v>
      </c>
      <c r="CZ30833" s="35">
        <v>1.7153173600000002E-2</v>
      </c>
    </row>
    <row r="30834" spans="103:104" x14ac:dyDescent="0.3">
      <c r="CY30834" s="34" t="s">
        <v>31760</v>
      </c>
      <c r="CZ30834" s="35">
        <v>1.7229551200000002E-2</v>
      </c>
    </row>
    <row r="30835" spans="103:104" x14ac:dyDescent="0.3">
      <c r="CY30835" s="34" t="s">
        <v>31761</v>
      </c>
      <c r="CZ30835" s="35">
        <v>2.2504263999999996E-2</v>
      </c>
    </row>
    <row r="30836" spans="103:104" x14ac:dyDescent="0.3">
      <c r="CY30836" s="34" t="s">
        <v>31762</v>
      </c>
      <c r="CZ30836" s="35">
        <v>3.3612711999999996E-2</v>
      </c>
    </row>
    <row r="30837" spans="103:104" x14ac:dyDescent="0.3">
      <c r="CY30837" s="34" t="s">
        <v>31763</v>
      </c>
      <c r="CZ30837" s="35">
        <v>5.8234799999999989E-4</v>
      </c>
    </row>
    <row r="30838" spans="103:104" x14ac:dyDescent="0.3">
      <c r="CY30838" s="34" t="s">
        <v>31764</v>
      </c>
      <c r="CZ30838" s="35">
        <v>5.8234799999999989E-4</v>
      </c>
    </row>
    <row r="30839" spans="103:104" x14ac:dyDescent="0.3">
      <c r="CY30839" s="34" t="s">
        <v>31765</v>
      </c>
      <c r="CZ30839" s="35">
        <v>2.0043648000000001E-3</v>
      </c>
    </row>
    <row r="30840" spans="103:104" x14ac:dyDescent="0.3">
      <c r="CY30840" s="34" t="s">
        <v>31766</v>
      </c>
      <c r="CZ30840" s="35">
        <v>2.9757540000000004E-4</v>
      </c>
    </row>
    <row r="30841" spans="103:104" x14ac:dyDescent="0.3">
      <c r="CY30841" s="34" t="s">
        <v>31767</v>
      </c>
      <c r="CZ30841" s="35">
        <v>3.2701920000000002E-2</v>
      </c>
    </row>
    <row r="30842" spans="103:104" x14ac:dyDescent="0.3">
      <c r="CY30842" s="34" t="s">
        <v>31768</v>
      </c>
      <c r="CZ30842" s="35">
        <v>6.2701344000000006E-2</v>
      </c>
    </row>
    <row r="30843" spans="103:104" x14ac:dyDescent="0.3">
      <c r="CY30843" s="34" t="s">
        <v>31769</v>
      </c>
      <c r="CZ30843" s="35">
        <v>1.0212940800000001</v>
      </c>
    </row>
    <row r="30844" spans="103:104" x14ac:dyDescent="0.3">
      <c r="CY30844" s="34" t="s">
        <v>31770</v>
      </c>
      <c r="CZ30844" s="35">
        <v>1.17256738</v>
      </c>
    </row>
    <row r="30845" spans="103:104" x14ac:dyDescent="0.3">
      <c r="CY30845" s="34" t="s">
        <v>31771</v>
      </c>
      <c r="CZ30845" s="35">
        <v>7.1217000000000003E-2</v>
      </c>
    </row>
    <row r="30846" spans="103:104" x14ac:dyDescent="0.3">
      <c r="CY30846" s="34" t="s">
        <v>31772</v>
      </c>
      <c r="CZ30846" s="35">
        <v>9.1262161052631588E-3</v>
      </c>
    </row>
    <row r="30847" spans="103:104" x14ac:dyDescent="0.3">
      <c r="CY30847" s="34" t="s">
        <v>31773</v>
      </c>
      <c r="CZ30847" s="35">
        <v>3.4545254413291798E-3</v>
      </c>
    </row>
    <row r="30848" spans="103:104" x14ac:dyDescent="0.3">
      <c r="CY30848" s="34" t="s">
        <v>31774</v>
      </c>
      <c r="CZ30848" s="35">
        <v>4.1809748237663638E-3</v>
      </c>
    </row>
    <row r="30849" spans="103:104" x14ac:dyDescent="0.3">
      <c r="CY30849" s="34" t="s">
        <v>31775</v>
      </c>
      <c r="CZ30849" s="35">
        <v>0.11122506150000001</v>
      </c>
    </row>
    <row r="30850" spans="103:104" x14ac:dyDescent="0.3">
      <c r="CY30850" s="34" t="s">
        <v>31776</v>
      </c>
      <c r="CZ30850" s="35">
        <v>7.2265085320000005E-2</v>
      </c>
    </row>
    <row r="30851" spans="103:104" x14ac:dyDescent="0.3">
      <c r="CY30851" s="34" t="s">
        <v>31777</v>
      </c>
      <c r="CZ30851" s="35">
        <v>0.34556684800000004</v>
      </c>
    </row>
    <row r="30852" spans="103:104" x14ac:dyDescent="0.3">
      <c r="CY30852" s="34" t="s">
        <v>31778</v>
      </c>
      <c r="CZ30852" s="35">
        <v>3.3757396666666672E-3</v>
      </c>
    </row>
    <row r="30853" spans="103:104" x14ac:dyDescent="0.3">
      <c r="CY30853" s="34" t="s">
        <v>31779</v>
      </c>
      <c r="CZ30853" s="35">
        <v>0.18198520008888888</v>
      </c>
    </row>
    <row r="30854" spans="103:104" x14ac:dyDescent="0.3">
      <c r="CY30854" s="34" t="s">
        <v>31780</v>
      </c>
      <c r="CZ30854" s="35">
        <v>1.531092304E-2</v>
      </c>
    </row>
    <row r="30855" spans="103:104" x14ac:dyDescent="0.3">
      <c r="CY30855" s="34" t="s">
        <v>31781</v>
      </c>
      <c r="CZ30855" s="35">
        <v>4.9883197333333335E-4</v>
      </c>
    </row>
    <row r="30856" spans="103:104" x14ac:dyDescent="0.3">
      <c r="CY30856" s="34" t="s">
        <v>31782</v>
      </c>
      <c r="CZ30856" s="35">
        <v>6.4250878999999996E-4</v>
      </c>
    </row>
    <row r="30857" spans="103:104" x14ac:dyDescent="0.3">
      <c r="CY30857" s="34" t="s">
        <v>31783</v>
      </c>
      <c r="CZ30857" s="35">
        <v>1.23887704E-3</v>
      </c>
    </row>
    <row r="30858" spans="103:104" x14ac:dyDescent="0.3">
      <c r="CY30858" s="34" t="s">
        <v>31784</v>
      </c>
      <c r="CZ30858" s="35">
        <v>1.6814023999999999E-3</v>
      </c>
    </row>
    <row r="30859" spans="103:104" x14ac:dyDescent="0.3">
      <c r="CY30859" s="34" t="s">
        <v>31785</v>
      </c>
      <c r="CZ30859" s="35">
        <v>1.0777893600000001E-3</v>
      </c>
    </row>
    <row r="30860" spans="103:104" x14ac:dyDescent="0.3">
      <c r="CY30860" s="34" t="s">
        <v>31786</v>
      </c>
      <c r="CZ30860" s="35">
        <v>1.4739745280000001E-2</v>
      </c>
    </row>
    <row r="30861" spans="103:104" x14ac:dyDescent="0.3">
      <c r="CY30861" s="34" t="s">
        <v>31787</v>
      </c>
      <c r="CZ30861" s="35">
        <v>1.2328427666666667E-2</v>
      </c>
    </row>
    <row r="30862" spans="103:104" x14ac:dyDescent="0.3">
      <c r="CY30862" s="34" t="s">
        <v>31788</v>
      </c>
      <c r="CZ30862" s="35">
        <v>4.2824746333333333E-3</v>
      </c>
    </row>
    <row r="30863" spans="103:104" x14ac:dyDescent="0.3">
      <c r="CY30863" s="34" t="s">
        <v>31789</v>
      </c>
      <c r="CZ30863" s="35">
        <v>9.7365639999999996E-4</v>
      </c>
    </row>
    <row r="30864" spans="103:104" x14ac:dyDescent="0.3">
      <c r="CY30864" s="34" t="s">
        <v>31790</v>
      </c>
      <c r="CZ30864" s="35">
        <v>4.4292959999999999E-4</v>
      </c>
    </row>
    <row r="30865" spans="103:104" x14ac:dyDescent="0.3">
      <c r="CY30865" s="34" t="s">
        <v>31791</v>
      </c>
      <c r="CZ30865" s="35">
        <v>5.8796472666666668E-4</v>
      </c>
    </row>
    <row r="30866" spans="103:104" x14ac:dyDescent="0.3">
      <c r="CY30866" s="34" t="s">
        <v>31792</v>
      </c>
      <c r="CZ30866" s="35">
        <v>2.8914009999999997E-2</v>
      </c>
    </row>
    <row r="30867" spans="103:104" x14ac:dyDescent="0.3">
      <c r="CY30867" s="34" t="s">
        <v>31793</v>
      </c>
      <c r="CZ30867" s="35">
        <v>8.8577753340000009E-2</v>
      </c>
    </row>
    <row r="30868" spans="103:104" x14ac:dyDescent="0.3">
      <c r="CY30868" s="34" t="s">
        <v>31794</v>
      </c>
      <c r="CZ30868" s="35">
        <v>15.184128397999999</v>
      </c>
    </row>
    <row r="30869" spans="103:104" x14ac:dyDescent="0.3">
      <c r="CY30869" s="34" t="s">
        <v>31795</v>
      </c>
      <c r="CZ30869" s="35">
        <v>1.9539087726315792E-2</v>
      </c>
    </row>
    <row r="30870" spans="103:104" x14ac:dyDescent="0.3">
      <c r="CY30870" s="34" t="s">
        <v>31796</v>
      </c>
      <c r="CZ30870" s="35">
        <v>2.3354950666666666E-2</v>
      </c>
    </row>
    <row r="30871" spans="103:104" x14ac:dyDescent="0.3">
      <c r="CY30871" s="34" t="s">
        <v>31797</v>
      </c>
      <c r="CZ30871" s="35">
        <v>7.0421722666666672E-3</v>
      </c>
    </row>
    <row r="30872" spans="103:104" x14ac:dyDescent="0.3">
      <c r="CY30872" s="34" t="s">
        <v>31798</v>
      </c>
      <c r="CZ30872" s="35">
        <v>9.9178183999999985E-3</v>
      </c>
    </row>
    <row r="30873" spans="103:104" x14ac:dyDescent="0.3">
      <c r="CY30873" s="34" t="s">
        <v>31799</v>
      </c>
      <c r="CZ30873" s="35">
        <v>5.6409106000000001E-3</v>
      </c>
    </row>
    <row r="30874" spans="103:104" x14ac:dyDescent="0.3">
      <c r="CY30874" s="34" t="s">
        <v>31800</v>
      </c>
      <c r="CZ30874" s="35">
        <v>7.0440963999999998E-3</v>
      </c>
    </row>
    <row r="30875" spans="103:104" x14ac:dyDescent="0.3">
      <c r="CY30875" s="34" t="s">
        <v>31801</v>
      </c>
      <c r="CZ30875" s="35">
        <v>6.0588017649999999E-2</v>
      </c>
    </row>
    <row r="30876" spans="103:104" x14ac:dyDescent="0.3">
      <c r="CY30876" s="34" t="s">
        <v>31802</v>
      </c>
      <c r="CZ30876" s="35">
        <v>4.4827051999999992E-2</v>
      </c>
    </row>
    <row r="30877" spans="103:104" x14ac:dyDescent="0.3">
      <c r="CY30877" s="34" t="s">
        <v>31803</v>
      </c>
      <c r="CZ30877" s="35">
        <v>0.13585849684210527</v>
      </c>
    </row>
    <row r="30878" spans="103:104" x14ac:dyDescent="0.3">
      <c r="CY30878" s="34" t="s">
        <v>31804</v>
      </c>
      <c r="CZ30878" s="35">
        <v>5.94E-3</v>
      </c>
    </row>
    <row r="30879" spans="103:104" x14ac:dyDescent="0.3">
      <c r="CY30879" s="34" t="s">
        <v>31805</v>
      </c>
      <c r="CZ30879" s="35">
        <v>7.2558330000000002E-4</v>
      </c>
    </row>
    <row r="30880" spans="103:104" x14ac:dyDescent="0.3">
      <c r="CY30880" s="34" t="s">
        <v>31806</v>
      </c>
      <c r="CZ30880" s="35">
        <v>2.3115216000000002E-3</v>
      </c>
    </row>
    <row r="30881" spans="103:104" x14ac:dyDescent="0.3">
      <c r="CY30881" s="34" t="s">
        <v>31807</v>
      </c>
      <c r="CZ30881" s="35">
        <v>5.0604672E-3</v>
      </c>
    </row>
    <row r="30882" spans="103:104" x14ac:dyDescent="0.3">
      <c r="CY30882" s="34" t="s">
        <v>31808</v>
      </c>
      <c r="CZ30882" s="35">
        <v>7.2220000000000006E-2</v>
      </c>
    </row>
    <row r="30883" spans="103:104" x14ac:dyDescent="0.3">
      <c r="CY30883" s="34" t="s">
        <v>31809</v>
      </c>
      <c r="CZ30883" s="35">
        <v>6.8715200000000004E-2</v>
      </c>
    </row>
    <row r="30884" spans="103:104" x14ac:dyDescent="0.3">
      <c r="CY30884" s="34" t="s">
        <v>31810</v>
      </c>
      <c r="CZ30884" s="35">
        <v>1.6244185599999999E-2</v>
      </c>
    </row>
    <row r="30885" spans="103:104" x14ac:dyDescent="0.3">
      <c r="CY30885" s="34" t="s">
        <v>31811</v>
      </c>
      <c r="CZ30885" s="35">
        <v>3.1279959999999996E-2</v>
      </c>
    </row>
    <row r="30886" spans="103:104" x14ac:dyDescent="0.3">
      <c r="CY30886" s="34" t="s">
        <v>31812</v>
      </c>
      <c r="CZ30886" s="35">
        <v>0.40370536159999998</v>
      </c>
    </row>
    <row r="30887" spans="103:104" x14ac:dyDescent="0.3">
      <c r="CY30887" s="34" t="s">
        <v>31813</v>
      </c>
      <c r="CZ30887" s="35">
        <v>3.68E-4</v>
      </c>
    </row>
    <row r="30888" spans="103:104" x14ac:dyDescent="0.3">
      <c r="CY30888" s="34" t="s">
        <v>31814</v>
      </c>
      <c r="CZ30888" s="35">
        <v>5.1809394000000009E-3</v>
      </c>
    </row>
    <row r="30889" spans="103:104" x14ac:dyDescent="0.3">
      <c r="CY30889" s="34" t="s">
        <v>31815</v>
      </c>
      <c r="CZ30889" s="35">
        <v>4.3821552000000005E-3</v>
      </c>
    </row>
    <row r="30890" spans="103:104" x14ac:dyDescent="0.3">
      <c r="CY30890" s="34" t="s">
        <v>31816</v>
      </c>
      <c r="CZ30890" s="35">
        <v>3.4447008000000001E-2</v>
      </c>
    </row>
    <row r="30891" spans="103:104" x14ac:dyDescent="0.3">
      <c r="CY30891" s="34" t="s">
        <v>31817</v>
      </c>
      <c r="CZ30891" s="35">
        <v>0.26845997499999996</v>
      </c>
    </row>
    <row r="30892" spans="103:104" x14ac:dyDescent="0.3">
      <c r="CY30892" s="34" t="s">
        <v>31818</v>
      </c>
      <c r="CZ30892" s="35">
        <v>1.69706256E-3</v>
      </c>
    </row>
    <row r="30893" spans="103:104" x14ac:dyDescent="0.3">
      <c r="CY30893" s="34" t="s">
        <v>31819</v>
      </c>
      <c r="CZ30893" s="35">
        <v>2.2395754999999999E-3</v>
      </c>
    </row>
    <row r="30894" spans="103:104" x14ac:dyDescent="0.3">
      <c r="CY30894" s="34" t="s">
        <v>31820</v>
      </c>
      <c r="CZ30894" s="35">
        <v>2.7332204999999999E-3</v>
      </c>
    </row>
    <row r="30895" spans="103:104" x14ac:dyDescent="0.3">
      <c r="CY30895" s="34" t="s">
        <v>31821</v>
      </c>
      <c r="CZ30895" s="35">
        <v>2.8209644444444448E-3</v>
      </c>
    </row>
    <row r="30896" spans="103:104" x14ac:dyDescent="0.3">
      <c r="CY30896" s="34" t="s">
        <v>31822</v>
      </c>
      <c r="CZ30896" s="35">
        <v>8.7258940000000003E-4</v>
      </c>
    </row>
    <row r="30897" spans="103:104" x14ac:dyDescent="0.3">
      <c r="CY30897" s="34" t="s">
        <v>31823</v>
      </c>
      <c r="CZ30897" s="35">
        <v>0.56653840000000011</v>
      </c>
    </row>
    <row r="30898" spans="103:104" x14ac:dyDescent="0.3">
      <c r="CY30898" s="34" t="s">
        <v>31824</v>
      </c>
      <c r="CZ30898" s="35">
        <v>0.15665069473684212</v>
      </c>
    </row>
    <row r="30899" spans="103:104" x14ac:dyDescent="0.3">
      <c r="CY30899" s="34" t="s">
        <v>31825</v>
      </c>
      <c r="CZ30899" s="35">
        <v>0.223980768</v>
      </c>
    </row>
    <row r="30900" spans="103:104" x14ac:dyDescent="0.3">
      <c r="CY30900" s="34" t="s">
        <v>31826</v>
      </c>
      <c r="CZ30900" s="35">
        <v>2.186143157894737E-2</v>
      </c>
    </row>
    <row r="30901" spans="103:104" x14ac:dyDescent="0.3">
      <c r="CY30901" s="34" t="s">
        <v>31827</v>
      </c>
      <c r="CZ30901" s="35">
        <v>9.2921047999999992E-3</v>
      </c>
    </row>
    <row r="30902" spans="103:104" x14ac:dyDescent="0.3">
      <c r="CY30902" s="34" t="s">
        <v>31828</v>
      </c>
      <c r="CZ30902" s="35">
        <v>1.6984235E-2</v>
      </c>
    </row>
    <row r="30903" spans="103:104" x14ac:dyDescent="0.3">
      <c r="CY30903" s="34" t="s">
        <v>31829</v>
      </c>
      <c r="CZ30903" s="35">
        <v>0.29094065000000002</v>
      </c>
    </row>
    <row r="30904" spans="103:104" x14ac:dyDescent="0.3">
      <c r="CY30904" s="34" t="s">
        <v>31830</v>
      </c>
      <c r="CZ30904" s="35">
        <v>8.0509261333333321E-3</v>
      </c>
    </row>
    <row r="30905" spans="103:104" x14ac:dyDescent="0.3">
      <c r="CY30905" s="34" t="s">
        <v>31831</v>
      </c>
      <c r="CZ30905" s="35">
        <v>3.5813149999999998E-3</v>
      </c>
    </row>
    <row r="30906" spans="103:104" x14ac:dyDescent="0.3">
      <c r="CY30906" s="34" t="s">
        <v>31832</v>
      </c>
      <c r="CZ30906" s="35">
        <v>5.2817427125719997E-2</v>
      </c>
    </row>
    <row r="30907" spans="103:104" x14ac:dyDescent="0.3">
      <c r="CY30907" s="34" t="s">
        <v>31833</v>
      </c>
      <c r="CZ30907" s="35">
        <v>4.7948265339999997E-2</v>
      </c>
    </row>
    <row r="30908" spans="103:104" x14ac:dyDescent="0.3">
      <c r="CY30908" s="34" t="s">
        <v>31834</v>
      </c>
      <c r="CZ30908" s="35">
        <v>4.7948265339999997E-2</v>
      </c>
    </row>
    <row r="30909" spans="103:104" x14ac:dyDescent="0.3">
      <c r="CY30909" s="34" t="s">
        <v>31835</v>
      </c>
      <c r="CZ30909" s="35">
        <v>4.4059761339999996E-2</v>
      </c>
    </row>
    <row r="30910" spans="103:104" x14ac:dyDescent="0.3">
      <c r="CY30910" s="34" t="s">
        <v>31836</v>
      </c>
      <c r="CZ30910" s="35">
        <v>8.5648421052631596E-2</v>
      </c>
    </row>
    <row r="30911" spans="103:104" x14ac:dyDescent="0.3">
      <c r="CY30911" s="34" t="s">
        <v>31837</v>
      </c>
      <c r="CZ30911" s="35">
        <v>1.6241800000000001E-2</v>
      </c>
    </row>
    <row r="30912" spans="103:104" x14ac:dyDescent="0.3">
      <c r="CY30912" s="34" t="s">
        <v>31838</v>
      </c>
      <c r="CZ30912" s="35">
        <v>1.113718E-2</v>
      </c>
    </row>
    <row r="30913" spans="103:104" x14ac:dyDescent="0.3">
      <c r="CY30913" s="34" t="s">
        <v>31839</v>
      </c>
      <c r="CZ30913" s="35">
        <v>1.4940958399999999E-3</v>
      </c>
    </row>
    <row r="30914" spans="103:104" x14ac:dyDescent="0.3">
      <c r="CY30914" s="34" t="s">
        <v>31840</v>
      </c>
      <c r="CZ30914" s="35">
        <v>7.0252455999999991E-2</v>
      </c>
    </row>
    <row r="30915" spans="103:104" x14ac:dyDescent="0.3">
      <c r="CY30915" s="34" t="s">
        <v>31841</v>
      </c>
      <c r="CZ30915" s="35">
        <v>5.0295085333333329E-2</v>
      </c>
    </row>
    <row r="30916" spans="103:104" x14ac:dyDescent="0.3">
      <c r="CY30916" s="34" t="s">
        <v>31842</v>
      </c>
      <c r="CZ30916" s="35">
        <v>1.0798149824666666E-2</v>
      </c>
    </row>
    <row r="30917" spans="103:104" x14ac:dyDescent="0.3">
      <c r="CY30917" s="34" t="s">
        <v>31843</v>
      </c>
      <c r="CZ30917" s="35">
        <v>6.462050133333333E-2</v>
      </c>
    </row>
    <row r="30918" spans="103:104" x14ac:dyDescent="0.3">
      <c r="CY30918" s="34" t="s">
        <v>31844</v>
      </c>
      <c r="CZ30918" s="35">
        <v>5.1004264999999993E-2</v>
      </c>
    </row>
    <row r="30919" spans="103:104" x14ac:dyDescent="0.3">
      <c r="CY30919" s="34" t="s">
        <v>31845</v>
      </c>
      <c r="CZ30919" s="35">
        <v>0.16719358400000001</v>
      </c>
    </row>
    <row r="30920" spans="103:104" x14ac:dyDescent="0.3">
      <c r="CY30920" s="34" t="s">
        <v>31846</v>
      </c>
      <c r="CZ30920" s="35">
        <v>1.08152744E-2</v>
      </c>
    </row>
    <row r="30921" spans="103:104" x14ac:dyDescent="0.3">
      <c r="CY30921" s="34" t="s">
        <v>31847</v>
      </c>
      <c r="CZ30921" s="35">
        <v>9.9937347999999992E-3</v>
      </c>
    </row>
    <row r="30922" spans="103:104" x14ac:dyDescent="0.3">
      <c r="CY30922" s="34" t="s">
        <v>31848</v>
      </c>
      <c r="CZ30922" s="35">
        <v>1.578912E-2</v>
      </c>
    </row>
    <row r="30923" spans="103:104" x14ac:dyDescent="0.3">
      <c r="CY30923" s="34" t="s">
        <v>31849</v>
      </c>
      <c r="CZ30923" s="35">
        <v>1.6688390000000001E-2</v>
      </c>
    </row>
    <row r="30924" spans="103:104" x14ac:dyDescent="0.3">
      <c r="CY30924" s="34" t="s">
        <v>31850</v>
      </c>
      <c r="CZ30924" s="35">
        <v>1.0246171200000001E-2</v>
      </c>
    </row>
    <row r="30925" spans="103:104" x14ac:dyDescent="0.3">
      <c r="CY30925" s="34" t="s">
        <v>31851</v>
      </c>
      <c r="CZ30925" s="35">
        <v>6.6711296000000003E-2</v>
      </c>
    </row>
    <row r="30926" spans="103:104" x14ac:dyDescent="0.3">
      <c r="CY30926" s="34" t="s">
        <v>31852</v>
      </c>
      <c r="CZ30926" s="35">
        <v>8.8717546000000019E-3</v>
      </c>
    </row>
    <row r="30927" spans="103:104" x14ac:dyDescent="0.3">
      <c r="CY30927" s="34" t="s">
        <v>31853</v>
      </c>
      <c r="CZ30927" s="35">
        <v>8.8717546000000001E-3</v>
      </c>
    </row>
    <row r="30928" spans="103:104" x14ac:dyDescent="0.3">
      <c r="CY30928" s="34" t="s">
        <v>31854</v>
      </c>
      <c r="CZ30928" s="35">
        <v>5.2029240000000003E-3</v>
      </c>
    </row>
    <row r="30929" spans="103:104" x14ac:dyDescent="0.3">
      <c r="CY30929" s="34" t="s">
        <v>31855</v>
      </c>
      <c r="CZ30929" s="35">
        <v>1.5927311578947369E-2</v>
      </c>
    </row>
    <row r="30930" spans="103:104" x14ac:dyDescent="0.3">
      <c r="CY30930" s="34" t="s">
        <v>31856</v>
      </c>
      <c r="CZ30930" s="35">
        <v>7.4343272000000002E-2</v>
      </c>
    </row>
    <row r="30931" spans="103:104" x14ac:dyDescent="0.3">
      <c r="CY30931" s="34" t="s">
        <v>31857</v>
      </c>
      <c r="CZ30931" s="35">
        <v>6.6844938699999995E-2</v>
      </c>
    </row>
    <row r="30932" spans="103:104" x14ac:dyDescent="0.3">
      <c r="CY30932" s="34" t="s">
        <v>31858</v>
      </c>
      <c r="CZ30932" s="35">
        <v>2.0695383999999998E-3</v>
      </c>
    </row>
    <row r="30933" spans="103:104" x14ac:dyDescent="0.3">
      <c r="CY30933" s="34" t="s">
        <v>31859</v>
      </c>
      <c r="CZ30933" s="35">
        <v>1.10497744E-3</v>
      </c>
    </row>
    <row r="30934" spans="103:104" x14ac:dyDescent="0.3">
      <c r="CY30934" s="34" t="s">
        <v>31860</v>
      </c>
      <c r="CZ30934" s="35">
        <v>1.5885835200000001E-3</v>
      </c>
    </row>
    <row r="30935" spans="103:104" x14ac:dyDescent="0.3">
      <c r="CY30935" s="34" t="s">
        <v>31861</v>
      </c>
      <c r="CZ30935" s="35">
        <v>6.852449599999999E-2</v>
      </c>
    </row>
    <row r="30936" spans="103:104" x14ac:dyDescent="0.3">
      <c r="CY30936" s="34" t="s">
        <v>31862</v>
      </c>
      <c r="CZ30936" s="35">
        <v>7.4596682599999992E-2</v>
      </c>
    </row>
    <row r="30937" spans="103:104" x14ac:dyDescent="0.3">
      <c r="CY30937" s="34" t="s">
        <v>31863</v>
      </c>
      <c r="CZ30937" s="35">
        <v>6.852449599999999E-2</v>
      </c>
    </row>
    <row r="30938" spans="103:104" x14ac:dyDescent="0.3">
      <c r="CY30938" s="34" t="s">
        <v>31864</v>
      </c>
      <c r="CZ30938" s="35">
        <v>6.852449599999999E-2</v>
      </c>
    </row>
    <row r="30939" spans="103:104" x14ac:dyDescent="0.3">
      <c r="CY30939" s="34" t="s">
        <v>31865</v>
      </c>
      <c r="CZ30939" s="35">
        <v>6.7978413333333345E-5</v>
      </c>
    </row>
    <row r="30940" spans="103:104" x14ac:dyDescent="0.3">
      <c r="CY30940" s="34" t="s">
        <v>31866</v>
      </c>
      <c r="CZ30940" s="35">
        <v>4.6318402666666668E-2</v>
      </c>
    </row>
    <row r="30941" spans="103:104" x14ac:dyDescent="0.3">
      <c r="CY30941" s="34" t="s">
        <v>31867</v>
      </c>
      <c r="CZ30941" s="35">
        <v>4.6318402666666668E-2</v>
      </c>
    </row>
    <row r="30942" spans="103:104" x14ac:dyDescent="0.3">
      <c r="CY30942" s="34" t="s">
        <v>31868</v>
      </c>
      <c r="CZ30942" s="35">
        <v>2.6117054285714281E-3</v>
      </c>
    </row>
    <row r="30943" spans="103:104" x14ac:dyDescent="0.3">
      <c r="CY30943" s="34" t="s">
        <v>31869</v>
      </c>
      <c r="CZ30943" s="35">
        <v>7.9129907999999999E-2</v>
      </c>
    </row>
    <row r="30944" spans="103:104" x14ac:dyDescent="0.3">
      <c r="CY30944" s="34" t="s">
        <v>31870</v>
      </c>
      <c r="CZ30944" s="35">
        <v>0.11826752799999998</v>
      </c>
    </row>
    <row r="30945" spans="103:104" x14ac:dyDescent="0.3">
      <c r="CY30945" s="34" t="s">
        <v>31871</v>
      </c>
      <c r="CZ30945" s="35">
        <v>1.769133333333333E-4</v>
      </c>
    </row>
    <row r="30946" spans="103:104" x14ac:dyDescent="0.3">
      <c r="CY30946" s="34" t="s">
        <v>31872</v>
      </c>
      <c r="CZ30946" s="35">
        <v>1.8134048000000003E-2</v>
      </c>
    </row>
    <row r="30947" spans="103:104" x14ac:dyDescent="0.3">
      <c r="CY30947" s="34" t="s">
        <v>31873</v>
      </c>
      <c r="CZ30947" s="35">
        <v>2.75532116E-3</v>
      </c>
    </row>
    <row r="30948" spans="103:104" x14ac:dyDescent="0.3">
      <c r="CY30948" s="34" t="s">
        <v>31874</v>
      </c>
      <c r="CZ30948" s="35">
        <v>1.349797E-3</v>
      </c>
    </row>
    <row r="30949" spans="103:104" x14ac:dyDescent="0.3">
      <c r="CY30949" s="34" t="s">
        <v>31875</v>
      </c>
      <c r="CZ30949" s="35">
        <v>2.1559242000000001E-3</v>
      </c>
    </row>
    <row r="30950" spans="103:104" x14ac:dyDescent="0.3">
      <c r="CY30950" s="34" t="s">
        <v>31876</v>
      </c>
      <c r="CZ30950" s="35">
        <v>9.9952668000000003E-4</v>
      </c>
    </row>
    <row r="30951" spans="103:104" x14ac:dyDescent="0.3">
      <c r="CY30951" s="34" t="s">
        <v>31877</v>
      </c>
      <c r="CZ30951" s="35">
        <v>0.53525844999999983</v>
      </c>
    </row>
    <row r="30952" spans="103:104" x14ac:dyDescent="0.3">
      <c r="CY30952" s="34" t="s">
        <v>31878</v>
      </c>
      <c r="CZ30952" s="35">
        <v>0.11579953</v>
      </c>
    </row>
    <row r="30953" spans="103:104" x14ac:dyDescent="0.3">
      <c r="CY30953" s="34" t="s">
        <v>31879</v>
      </c>
      <c r="CZ30953" s="35">
        <v>2.7066489999999999E-2</v>
      </c>
    </row>
    <row r="30954" spans="103:104" x14ac:dyDescent="0.3">
      <c r="CY30954" s="34" t="s">
        <v>31880</v>
      </c>
      <c r="CZ30954" s="35">
        <v>5.2170599999999991E-3</v>
      </c>
    </row>
    <row r="30955" spans="103:104" x14ac:dyDescent="0.3">
      <c r="CY30955" s="34" t="s">
        <v>31881</v>
      </c>
      <c r="CZ30955" s="35">
        <v>0.156454232</v>
      </c>
    </row>
    <row r="30956" spans="103:104" x14ac:dyDescent="0.3">
      <c r="CY30956" s="34" t="s">
        <v>31882</v>
      </c>
      <c r="CZ30956" s="35">
        <v>0.156454232</v>
      </c>
    </row>
    <row r="30957" spans="103:104" x14ac:dyDescent="0.3">
      <c r="CY30957" s="34" t="s">
        <v>31883</v>
      </c>
      <c r="CZ30957" s="35">
        <v>0.19781708913999999</v>
      </c>
    </row>
    <row r="30958" spans="103:104" x14ac:dyDescent="0.3">
      <c r="CY30958" s="34" t="s">
        <v>31884</v>
      </c>
      <c r="CZ30958" s="35">
        <v>0.32704878856000003</v>
      </c>
    </row>
    <row r="30959" spans="103:104" x14ac:dyDescent="0.3">
      <c r="CY30959" s="34" t="s">
        <v>31885</v>
      </c>
      <c r="CZ30959" s="35">
        <v>0.20421708913999997</v>
      </c>
    </row>
    <row r="30960" spans="103:104" x14ac:dyDescent="0.3">
      <c r="CY30960" s="34" t="s">
        <v>31886</v>
      </c>
      <c r="CZ30960" s="35">
        <v>0.197817092</v>
      </c>
    </row>
    <row r="30961" spans="103:104" x14ac:dyDescent="0.3">
      <c r="CY30961" s="34" t="s">
        <v>31887</v>
      </c>
      <c r="CZ30961" s="35">
        <v>0.14623936210526317</v>
      </c>
    </row>
    <row r="30962" spans="103:104" x14ac:dyDescent="0.3">
      <c r="CY30962" s="34" t="s">
        <v>31888</v>
      </c>
      <c r="CZ30962" s="35">
        <v>3.1173199999999998E-3</v>
      </c>
    </row>
    <row r="30963" spans="103:104" x14ac:dyDescent="0.3">
      <c r="CY30963" s="34" t="s">
        <v>31889</v>
      </c>
      <c r="CZ30963" s="35">
        <v>0.27034456800000006</v>
      </c>
    </row>
    <row r="30964" spans="103:104" x14ac:dyDescent="0.3">
      <c r="CY30964" s="34" t="s">
        <v>31890</v>
      </c>
      <c r="CZ30964" s="35">
        <v>0.25827328799999999</v>
      </c>
    </row>
    <row r="30965" spans="103:104" x14ac:dyDescent="0.3">
      <c r="CY30965" s="34" t="s">
        <v>31891</v>
      </c>
      <c r="CZ30965" s="35">
        <v>0.2148660825</v>
      </c>
    </row>
    <row r="30966" spans="103:104" x14ac:dyDescent="0.3">
      <c r="CY30966" s="34" t="s">
        <v>31892</v>
      </c>
      <c r="CZ30966" s="35">
        <v>7.992365600000001E-2</v>
      </c>
    </row>
    <row r="30967" spans="103:104" x14ac:dyDescent="0.3">
      <c r="CY30967" s="34" t="s">
        <v>31893</v>
      </c>
      <c r="CZ30967" s="35">
        <v>0.4954185599999999</v>
      </c>
    </row>
    <row r="30968" spans="103:104" x14ac:dyDescent="0.3">
      <c r="CY30968" s="34" t="s">
        <v>31894</v>
      </c>
      <c r="CZ30968" s="35">
        <v>0.26941121000000001</v>
      </c>
    </row>
    <row r="30969" spans="103:104" x14ac:dyDescent="0.3">
      <c r="CY30969" s="34" t="s">
        <v>31895</v>
      </c>
      <c r="CZ30969" s="35">
        <v>0.21786067999999997</v>
      </c>
    </row>
    <row r="30970" spans="103:104" x14ac:dyDescent="0.3">
      <c r="CY30970" s="34" t="s">
        <v>31896</v>
      </c>
      <c r="CZ30970" s="35">
        <v>0.26508033600000003</v>
      </c>
    </row>
    <row r="30971" spans="103:104" x14ac:dyDescent="0.3">
      <c r="CY30971" s="34" t="s">
        <v>31897</v>
      </c>
      <c r="CZ30971" s="35">
        <v>8.9954686679999993E-2</v>
      </c>
    </row>
    <row r="30972" spans="103:104" x14ac:dyDescent="0.3">
      <c r="CY30972" s="34" t="s">
        <v>31898</v>
      </c>
      <c r="CZ30972" s="35">
        <v>0.23089375399999998</v>
      </c>
    </row>
    <row r="30973" spans="103:104" x14ac:dyDescent="0.3">
      <c r="CY30973" s="34" t="s">
        <v>31899</v>
      </c>
      <c r="CZ30973" s="35">
        <v>0.11726727789473686</v>
      </c>
    </row>
    <row r="30974" spans="103:104" x14ac:dyDescent="0.3">
      <c r="CY30974" s="34" t="s">
        <v>31900</v>
      </c>
      <c r="CZ30974" s="35">
        <v>4.6282723999999997E-2</v>
      </c>
    </row>
    <row r="30975" spans="103:104" x14ac:dyDescent="0.3">
      <c r="CY30975" s="34" t="s">
        <v>31901</v>
      </c>
      <c r="CZ30975" s="35">
        <v>1.834707566E-2</v>
      </c>
    </row>
    <row r="30976" spans="103:104" x14ac:dyDescent="0.3">
      <c r="CY30976" s="34" t="s">
        <v>31902</v>
      </c>
      <c r="CZ30976" s="35">
        <v>0.103329543</v>
      </c>
    </row>
    <row r="30977" spans="103:104" x14ac:dyDescent="0.3">
      <c r="CY30977" s="34" t="s">
        <v>31903</v>
      </c>
      <c r="CZ30977" s="35">
        <v>4.9542804999999988E-2</v>
      </c>
    </row>
    <row r="30978" spans="103:104" x14ac:dyDescent="0.3">
      <c r="CY30978" s="34" t="s">
        <v>31904</v>
      </c>
      <c r="CZ30978" s="35">
        <v>0.12067146399999999</v>
      </c>
    </row>
    <row r="30979" spans="103:104" x14ac:dyDescent="0.3">
      <c r="CY30979" s="34" t="s">
        <v>31905</v>
      </c>
      <c r="CZ30979" s="35">
        <v>0.1470676207368421</v>
      </c>
    </row>
    <row r="30980" spans="103:104" x14ac:dyDescent="0.3">
      <c r="CY30980" s="34" t="s">
        <v>31906</v>
      </c>
      <c r="CZ30980" s="35">
        <v>0.113780326</v>
      </c>
    </row>
    <row r="30981" spans="103:104" x14ac:dyDescent="0.3">
      <c r="CY30981" s="34" t="s">
        <v>31907</v>
      </c>
      <c r="CZ30981" s="35">
        <v>7.9272620000000002E-2</v>
      </c>
    </row>
    <row r="30982" spans="103:104" x14ac:dyDescent="0.3">
      <c r="CY30982" s="34" t="s">
        <v>31908</v>
      </c>
      <c r="CZ30982" s="35">
        <v>4.1496245933333342E-2</v>
      </c>
    </row>
    <row r="30983" spans="103:104" x14ac:dyDescent="0.3">
      <c r="CY30983" s="34" t="s">
        <v>31909</v>
      </c>
      <c r="CZ30983" s="35">
        <v>5.9793169999999996E-3</v>
      </c>
    </row>
    <row r="30984" spans="103:104" x14ac:dyDescent="0.3">
      <c r="CY30984" s="34" t="s">
        <v>31910</v>
      </c>
      <c r="CZ30984" s="35">
        <v>0.27276176842105265</v>
      </c>
    </row>
    <row r="30985" spans="103:104" x14ac:dyDescent="0.3">
      <c r="CY30985" s="34" t="s">
        <v>31911</v>
      </c>
      <c r="CZ30985" s="35">
        <v>4.9590140000000003E-3</v>
      </c>
    </row>
    <row r="30986" spans="103:104" x14ac:dyDescent="0.3">
      <c r="CY30986" s="34" t="s">
        <v>31912</v>
      </c>
      <c r="CZ30986" s="35">
        <v>4.45811965E-3</v>
      </c>
    </row>
    <row r="30987" spans="103:104" x14ac:dyDescent="0.3">
      <c r="CY30987" s="34" t="s">
        <v>31913</v>
      </c>
      <c r="CZ30987" s="35">
        <v>9.2997012000000004E-2</v>
      </c>
    </row>
    <row r="30988" spans="103:104" x14ac:dyDescent="0.3">
      <c r="CY30988" s="34" t="s">
        <v>31914</v>
      </c>
      <c r="CZ30988" s="35">
        <v>4.4184941999999998E-2</v>
      </c>
    </row>
    <row r="30989" spans="103:104" x14ac:dyDescent="0.3">
      <c r="CY30989" s="34" t="s">
        <v>31915</v>
      </c>
      <c r="CZ30989" s="35">
        <v>0.20609102444444444</v>
      </c>
    </row>
    <row r="30990" spans="103:104" x14ac:dyDescent="0.3">
      <c r="CY30990" s="34" t="s">
        <v>31916</v>
      </c>
      <c r="CZ30990" s="35">
        <v>8.1468875555555549E-3</v>
      </c>
    </row>
    <row r="30991" spans="103:104" x14ac:dyDescent="0.3">
      <c r="CY30991" s="34" t="s">
        <v>31917</v>
      </c>
      <c r="CZ30991" s="35">
        <v>4.7782303157894741E-3</v>
      </c>
    </row>
    <row r="30992" spans="103:104" x14ac:dyDescent="0.3">
      <c r="CY30992" s="34" t="s">
        <v>31918</v>
      </c>
      <c r="CZ30992" s="35">
        <v>2.781805348E-2</v>
      </c>
    </row>
    <row r="30993" spans="103:104" x14ac:dyDescent="0.3">
      <c r="CY30993" s="34" t="s">
        <v>31919</v>
      </c>
      <c r="CZ30993" s="35">
        <v>1.4815919999999999E-3</v>
      </c>
    </row>
    <row r="30994" spans="103:104" x14ac:dyDescent="0.3">
      <c r="CY30994" s="34" t="s">
        <v>31920</v>
      </c>
      <c r="CZ30994" s="35">
        <v>4.2195952000000005E-3</v>
      </c>
    </row>
    <row r="30995" spans="103:104" x14ac:dyDescent="0.3">
      <c r="CY30995" s="34" t="s">
        <v>31921</v>
      </c>
      <c r="CZ30995" s="35">
        <v>5.51389866625E-2</v>
      </c>
    </row>
    <row r="30996" spans="103:104" x14ac:dyDescent="0.3">
      <c r="CY30996" s="34" t="s">
        <v>31922</v>
      </c>
      <c r="CZ30996" s="35">
        <v>0.72428362499999999</v>
      </c>
    </row>
    <row r="30997" spans="103:104" x14ac:dyDescent="0.3">
      <c r="CY30997" s="34" t="s">
        <v>31923</v>
      </c>
      <c r="CZ30997" s="35">
        <v>1.3784882199999999</v>
      </c>
    </row>
    <row r="30998" spans="103:104" x14ac:dyDescent="0.3">
      <c r="CY30998" s="34" t="s">
        <v>31924</v>
      </c>
      <c r="CZ30998" s="35">
        <v>1.3511911000000001</v>
      </c>
    </row>
    <row r="30999" spans="103:104" x14ac:dyDescent="0.3">
      <c r="CY30999" s="34" t="s">
        <v>31925</v>
      </c>
      <c r="CZ30999" s="35">
        <v>1.2418796600000002</v>
      </c>
    </row>
    <row r="31000" spans="103:104" x14ac:dyDescent="0.3">
      <c r="CY31000" s="34" t="s">
        <v>31926</v>
      </c>
      <c r="CZ31000" s="35">
        <v>1.3843330600000001</v>
      </c>
    </row>
    <row r="31001" spans="103:104" x14ac:dyDescent="0.3">
      <c r="CY31001" s="34" t="s">
        <v>31927</v>
      </c>
      <c r="CZ31001" s="35">
        <v>8.7389644999999988E-2</v>
      </c>
    </row>
    <row r="31002" spans="103:104" x14ac:dyDescent="0.3">
      <c r="CY31002" s="34" t="s">
        <v>31928</v>
      </c>
      <c r="CZ31002" s="35">
        <v>2.5486746399999996E-2</v>
      </c>
    </row>
    <row r="31003" spans="103:104" x14ac:dyDescent="0.3">
      <c r="CY31003" s="34" t="s">
        <v>31929</v>
      </c>
      <c r="CZ31003" s="35">
        <v>7.4917099999999995E-3</v>
      </c>
    </row>
    <row r="31004" spans="103:104" x14ac:dyDescent="0.3">
      <c r="CY31004" s="34" t="s">
        <v>31930</v>
      </c>
      <c r="CZ31004" s="35">
        <v>8.0377100000000017E-3</v>
      </c>
    </row>
    <row r="31005" spans="103:104" x14ac:dyDescent="0.3">
      <c r="CY31005" s="34" t="s">
        <v>31931</v>
      </c>
      <c r="CZ31005" s="35">
        <v>3.6196163999999996E-2</v>
      </c>
    </row>
    <row r="31006" spans="103:104" x14ac:dyDescent="0.3">
      <c r="CY31006" s="34" t="s">
        <v>31932</v>
      </c>
      <c r="CZ31006" s="35">
        <v>6.6583514128253321E-2</v>
      </c>
    </row>
    <row r="31007" spans="103:104" x14ac:dyDescent="0.3">
      <c r="CY31007" s="34" t="s">
        <v>31933</v>
      </c>
      <c r="CZ31007" s="35">
        <v>0.56258379999999997</v>
      </c>
    </row>
    <row r="31008" spans="103:104" x14ac:dyDescent="0.3">
      <c r="CY31008" s="34" t="s">
        <v>31934</v>
      </c>
      <c r="CZ31008" s="35">
        <v>0.49330108</v>
      </c>
    </row>
    <row r="31009" spans="103:104" x14ac:dyDescent="0.3">
      <c r="CY31009" s="34" t="s">
        <v>31935</v>
      </c>
      <c r="CZ31009" s="35">
        <v>4.0405367999999997E-4</v>
      </c>
    </row>
    <row r="31010" spans="103:104" x14ac:dyDescent="0.3">
      <c r="CY31010" s="34" t="s">
        <v>31936</v>
      </c>
      <c r="CZ31010" s="35">
        <v>8.5703751578947371E-2</v>
      </c>
    </row>
    <row r="31011" spans="103:104" x14ac:dyDescent="0.3">
      <c r="CY31011" s="34" t="s">
        <v>31937</v>
      </c>
      <c r="CZ31011" s="35">
        <v>2.2845466666666667E-4</v>
      </c>
    </row>
    <row r="31012" spans="103:104" x14ac:dyDescent="0.3">
      <c r="CY31012" s="34" t="s">
        <v>31938</v>
      </c>
      <c r="CZ31012" s="35">
        <v>2.3589317647058824E-4</v>
      </c>
    </row>
    <row r="31013" spans="103:104" x14ac:dyDescent="0.3">
      <c r="CY31013" s="34" t="s">
        <v>31939</v>
      </c>
      <c r="CZ31013" s="35">
        <v>1.1452084622222223E-3</v>
      </c>
    </row>
    <row r="31014" spans="103:104" x14ac:dyDescent="0.3">
      <c r="CY31014" s="34" t="s">
        <v>31940</v>
      </c>
      <c r="CZ31014" s="35">
        <v>7.9140040000000007E-4</v>
      </c>
    </row>
    <row r="31015" spans="103:104" x14ac:dyDescent="0.3">
      <c r="CY31015" s="34" t="s">
        <v>31941</v>
      </c>
      <c r="CZ31015" s="35">
        <v>1.3563254133333331E-3</v>
      </c>
    </row>
    <row r="31016" spans="103:104" x14ac:dyDescent="0.3">
      <c r="CY31016" s="34" t="s">
        <v>31942</v>
      </c>
      <c r="CZ31016" s="35">
        <v>0.38843119999999998</v>
      </c>
    </row>
    <row r="31017" spans="103:104" x14ac:dyDescent="0.3">
      <c r="CY31017" s="34" t="s">
        <v>31943</v>
      </c>
      <c r="CZ31017" s="35">
        <v>0.27238426499999996</v>
      </c>
    </row>
    <row r="31018" spans="103:104" x14ac:dyDescent="0.3">
      <c r="CY31018" s="34" t="s">
        <v>31944</v>
      </c>
      <c r="CZ31018" s="35">
        <v>3.0911765882352941E-2</v>
      </c>
    </row>
    <row r="31019" spans="103:104" x14ac:dyDescent="0.3">
      <c r="CY31019" s="34" t="s">
        <v>31945</v>
      </c>
      <c r="CZ31019" s="35">
        <v>0.25186283199999998</v>
      </c>
    </row>
    <row r="31020" spans="103:104" x14ac:dyDescent="0.3">
      <c r="CY31020" s="34" t="s">
        <v>31946</v>
      </c>
      <c r="CZ31020" s="35">
        <v>5.9570000000000001E-5</v>
      </c>
    </row>
    <row r="31021" spans="103:104" x14ac:dyDescent="0.3">
      <c r="CY31021" s="34" t="s">
        <v>31947</v>
      </c>
      <c r="CZ31021" s="35">
        <v>2.7963496000000004E-2</v>
      </c>
    </row>
    <row r="31022" spans="103:104" x14ac:dyDescent="0.3">
      <c r="CY31022" s="34" t="s">
        <v>31948</v>
      </c>
      <c r="CZ31022" s="35">
        <v>2.7963496000000004E-2</v>
      </c>
    </row>
    <row r="31023" spans="103:104" x14ac:dyDescent="0.3">
      <c r="CY31023" s="34" t="s">
        <v>31949</v>
      </c>
      <c r="CZ31023" s="35">
        <v>1.6121764948453608E-3</v>
      </c>
    </row>
    <row r="31024" spans="103:104" x14ac:dyDescent="0.3">
      <c r="CY31024" s="34" t="s">
        <v>31950</v>
      </c>
      <c r="CZ31024" s="35">
        <v>2.0857183333333335E-2</v>
      </c>
    </row>
    <row r="31025" spans="103:104" x14ac:dyDescent="0.3">
      <c r="CY31025" s="34" t="s">
        <v>31951</v>
      </c>
      <c r="CZ31025" s="35">
        <v>3.6336583333333333E-3</v>
      </c>
    </row>
    <row r="31026" spans="103:104" x14ac:dyDescent="0.3">
      <c r="CY31026" s="34" t="s">
        <v>31952</v>
      </c>
      <c r="CZ31026" s="35">
        <v>1.1237406E-3</v>
      </c>
    </row>
    <row r="31027" spans="103:104" x14ac:dyDescent="0.3">
      <c r="CY31027" s="34" t="s">
        <v>31953</v>
      </c>
      <c r="CZ31027" s="35">
        <v>1.0839987600000001E-3</v>
      </c>
    </row>
    <row r="31028" spans="103:104" x14ac:dyDescent="0.3">
      <c r="CY31028" s="34" t="s">
        <v>31954</v>
      </c>
      <c r="CZ31028" s="35">
        <v>2.0298104000000001E-2</v>
      </c>
    </row>
    <row r="31029" spans="103:104" x14ac:dyDescent="0.3">
      <c r="CY31029" s="34" t="s">
        <v>31955</v>
      </c>
      <c r="CZ31029" s="35">
        <v>1.3304137200000001E-3</v>
      </c>
    </row>
    <row r="31030" spans="103:104" x14ac:dyDescent="0.3">
      <c r="CY31030" s="34" t="s">
        <v>31956</v>
      </c>
      <c r="CZ31030" s="35">
        <v>1.4469387308270677E-3</v>
      </c>
    </row>
    <row r="31031" spans="103:104" x14ac:dyDescent="0.3">
      <c r="CY31031" s="34" t="s">
        <v>31957</v>
      </c>
      <c r="CZ31031" s="35">
        <v>5.8942907999999995E-2</v>
      </c>
    </row>
    <row r="31032" spans="103:104" x14ac:dyDescent="0.3">
      <c r="CY31032" s="34" t="s">
        <v>31958</v>
      </c>
      <c r="CZ31032" s="35">
        <v>0.11910662</v>
      </c>
    </row>
    <row r="31033" spans="103:104" x14ac:dyDescent="0.3">
      <c r="CY31033" s="34" t="s">
        <v>31959</v>
      </c>
      <c r="CZ31033" s="35">
        <v>9.4844891999999997E-3</v>
      </c>
    </row>
    <row r="31034" spans="103:104" x14ac:dyDescent="0.3">
      <c r="CY31034" s="34" t="s">
        <v>31960</v>
      </c>
      <c r="CZ31034" s="35">
        <v>9.4844891999999997E-3</v>
      </c>
    </row>
    <row r="31035" spans="103:104" x14ac:dyDescent="0.3">
      <c r="CY31035" s="34" t="s">
        <v>31961</v>
      </c>
      <c r="CZ31035" s="35">
        <v>9.4844892000000014E-3</v>
      </c>
    </row>
    <row r="31036" spans="103:104" x14ac:dyDescent="0.3">
      <c r="CY31036" s="34" t="s">
        <v>31962</v>
      </c>
      <c r="CZ31036" s="35">
        <v>9.4844892000000014E-3</v>
      </c>
    </row>
    <row r="31037" spans="103:104" x14ac:dyDescent="0.3">
      <c r="CY31037" s="34" t="s">
        <v>31963</v>
      </c>
      <c r="CZ31037" s="35">
        <v>9.4466899999999998E-4</v>
      </c>
    </row>
    <row r="31038" spans="103:104" x14ac:dyDescent="0.3">
      <c r="CY31038" s="34" t="s">
        <v>31964</v>
      </c>
      <c r="CZ31038" s="35">
        <v>2.066925396825397E-3</v>
      </c>
    </row>
    <row r="31039" spans="103:104" x14ac:dyDescent="0.3">
      <c r="CY31039" s="34" t="s">
        <v>31965</v>
      </c>
      <c r="CZ31039" s="35">
        <v>0.1711804105263158</v>
      </c>
    </row>
    <row r="31040" spans="103:104" x14ac:dyDescent="0.3">
      <c r="CY31040" s="34" t="s">
        <v>31966</v>
      </c>
      <c r="CZ31040" s="35">
        <v>0.11598307000000001</v>
      </c>
    </row>
    <row r="31041" spans="103:104" x14ac:dyDescent="0.3">
      <c r="CY31041" s="34" t="s">
        <v>31967</v>
      </c>
      <c r="CZ31041" s="35">
        <v>0.1123393367</v>
      </c>
    </row>
    <row r="31042" spans="103:104" x14ac:dyDescent="0.3">
      <c r="CY31042" s="34" t="s">
        <v>31968</v>
      </c>
      <c r="CZ31042" s="35">
        <v>2.5667491660000003E-2</v>
      </c>
    </row>
    <row r="31043" spans="103:104" x14ac:dyDescent="0.3">
      <c r="CY31043" s="34" t="s">
        <v>31969</v>
      </c>
      <c r="CZ31043" s="35">
        <v>2.5553323999999997E-3</v>
      </c>
    </row>
    <row r="31044" spans="103:104" x14ac:dyDescent="0.3">
      <c r="CY31044" s="34" t="s">
        <v>31970</v>
      </c>
      <c r="CZ31044" s="35">
        <v>4.1551807999999998E-4</v>
      </c>
    </row>
    <row r="31045" spans="103:104" x14ac:dyDescent="0.3">
      <c r="CY31045" s="34" t="s">
        <v>31971</v>
      </c>
      <c r="CZ31045" s="35">
        <v>2.2821238666666667E-2</v>
      </c>
    </row>
    <row r="31046" spans="103:104" x14ac:dyDescent="0.3">
      <c r="CY31046" s="34" t="s">
        <v>31972</v>
      </c>
      <c r="CZ31046" s="35">
        <v>7.2035900070175438E-3</v>
      </c>
    </row>
    <row r="31047" spans="103:104" x14ac:dyDescent="0.3">
      <c r="CY31047" s="34" t="s">
        <v>31973</v>
      </c>
      <c r="CZ31047" s="35">
        <v>2.9862084499999997E-2</v>
      </c>
    </row>
    <row r="31048" spans="103:104" x14ac:dyDescent="0.3">
      <c r="CY31048" s="34" t="s">
        <v>31974</v>
      </c>
      <c r="CZ31048" s="35">
        <v>8.5826076799999998E-2</v>
      </c>
    </row>
    <row r="31049" spans="103:104" x14ac:dyDescent="0.3">
      <c r="CY31049" s="34" t="s">
        <v>31975</v>
      </c>
      <c r="CZ31049" s="35">
        <v>8.1782520408163265E-3</v>
      </c>
    </row>
    <row r="31050" spans="103:104" x14ac:dyDescent="0.3">
      <c r="CY31050" s="34" t="s">
        <v>31976</v>
      </c>
      <c r="CZ31050" s="35">
        <v>0.2100301</v>
      </c>
    </row>
    <row r="31051" spans="103:104" x14ac:dyDescent="0.3">
      <c r="CY31051" s="34" t="s">
        <v>31977</v>
      </c>
      <c r="CZ31051" s="35">
        <v>0.2100301</v>
      </c>
    </row>
    <row r="31052" spans="103:104" x14ac:dyDescent="0.3">
      <c r="CY31052" s="34" t="s">
        <v>31978</v>
      </c>
      <c r="CZ31052" s="35">
        <v>0.19927549</v>
      </c>
    </row>
    <row r="31053" spans="103:104" x14ac:dyDescent="0.3">
      <c r="CY31053" s="34" t="s">
        <v>31979</v>
      </c>
      <c r="CZ31053" s="35">
        <v>0.21148881</v>
      </c>
    </row>
    <row r="31054" spans="103:104" x14ac:dyDescent="0.3">
      <c r="CY31054" s="34" t="s">
        <v>31980</v>
      </c>
      <c r="CZ31054" s="35">
        <v>0.29161420999999998</v>
      </c>
    </row>
    <row r="31055" spans="103:104" x14ac:dyDescent="0.3">
      <c r="CY31055" s="34" t="s">
        <v>31981</v>
      </c>
      <c r="CZ31055" s="35">
        <v>0.18423762799999999</v>
      </c>
    </row>
    <row r="31056" spans="103:104" x14ac:dyDescent="0.3">
      <c r="CY31056" s="34" t="s">
        <v>31982</v>
      </c>
      <c r="CZ31056" s="35">
        <v>0.29231989199999997</v>
      </c>
    </row>
    <row r="31057" spans="103:104" x14ac:dyDescent="0.3">
      <c r="CY31057" s="34" t="s">
        <v>31983</v>
      </c>
      <c r="CZ31057" s="35">
        <v>0.28314432</v>
      </c>
    </row>
    <row r="31058" spans="103:104" x14ac:dyDescent="0.3">
      <c r="CY31058" s="34" t="s">
        <v>31984</v>
      </c>
      <c r="CZ31058" s="35">
        <v>2.0521861199999998E-2</v>
      </c>
    </row>
    <row r="31059" spans="103:104" x14ac:dyDescent="0.3">
      <c r="CY31059" s="34" t="s">
        <v>31985</v>
      </c>
      <c r="CZ31059" s="35">
        <v>1.79501213E-2</v>
      </c>
    </row>
    <row r="31060" spans="103:104" x14ac:dyDescent="0.3">
      <c r="CY31060" s="34" t="s">
        <v>31986</v>
      </c>
      <c r="CZ31060" s="35">
        <v>8.3959653000000006E-3</v>
      </c>
    </row>
    <row r="31061" spans="103:104" x14ac:dyDescent="0.3">
      <c r="CY31061" s="34" t="s">
        <v>31987</v>
      </c>
      <c r="CZ31061" s="35">
        <v>0.40201081</v>
      </c>
    </row>
    <row r="31062" spans="103:104" x14ac:dyDescent="0.3">
      <c r="CY31062" s="34" t="s">
        <v>31988</v>
      </c>
      <c r="CZ31062" s="35">
        <v>5.9059193200000004E-3</v>
      </c>
    </row>
    <row r="31063" spans="103:104" x14ac:dyDescent="0.3">
      <c r="CY31063" s="34" t="s">
        <v>31989</v>
      </c>
      <c r="CZ31063" s="35">
        <v>9.4608912E-3</v>
      </c>
    </row>
    <row r="31064" spans="103:104" x14ac:dyDescent="0.3">
      <c r="CY31064" s="34" t="s">
        <v>31990</v>
      </c>
      <c r="CZ31064" s="35">
        <v>0.8438158</v>
      </c>
    </row>
    <row r="31065" spans="103:104" x14ac:dyDescent="0.3">
      <c r="CY31065" s="34" t="s">
        <v>31991</v>
      </c>
      <c r="CZ31065" s="35">
        <v>1.5874491000000001E-2</v>
      </c>
    </row>
    <row r="31066" spans="103:104" x14ac:dyDescent="0.3">
      <c r="CY31066" s="34" t="s">
        <v>31992</v>
      </c>
      <c r="CZ31066" s="35">
        <v>1.2930182E-2</v>
      </c>
    </row>
    <row r="31067" spans="103:104" x14ac:dyDescent="0.3">
      <c r="CY31067" s="34" t="s">
        <v>31993</v>
      </c>
      <c r="CZ31067" s="35">
        <v>2.3538699400000003E-3</v>
      </c>
    </row>
    <row r="31068" spans="103:104" x14ac:dyDescent="0.3">
      <c r="CY31068" s="34" t="s">
        <v>31994</v>
      </c>
      <c r="CZ31068" s="35">
        <v>3.5287046000000003E-3</v>
      </c>
    </row>
    <row r="31069" spans="103:104" x14ac:dyDescent="0.3">
      <c r="CY31069" s="34" t="s">
        <v>31995</v>
      </c>
      <c r="CZ31069" s="35">
        <v>2.4144369999999997E-3</v>
      </c>
    </row>
    <row r="31070" spans="103:104" x14ac:dyDescent="0.3">
      <c r="CY31070" s="34" t="s">
        <v>31996</v>
      </c>
      <c r="CZ31070" s="35">
        <v>5.8338886666000005E-2</v>
      </c>
    </row>
    <row r="31071" spans="103:104" x14ac:dyDescent="0.3">
      <c r="CY31071" s="34" t="s">
        <v>31997</v>
      </c>
      <c r="CZ31071" s="35">
        <v>8.3267903428571426E-3</v>
      </c>
    </row>
    <row r="31072" spans="103:104" x14ac:dyDescent="0.3">
      <c r="CY31072" s="34" t="s">
        <v>31998</v>
      </c>
      <c r="CZ31072" s="35">
        <v>8.9296858947368433E-4</v>
      </c>
    </row>
    <row r="31073" spans="103:104" x14ac:dyDescent="0.3">
      <c r="CY31073" s="34" t="s">
        <v>31999</v>
      </c>
      <c r="CZ31073" s="35">
        <v>2.0784802642857141E-2</v>
      </c>
    </row>
    <row r="31074" spans="103:104" x14ac:dyDescent="0.3">
      <c r="CY31074" s="34" t="s">
        <v>32000</v>
      </c>
      <c r="CZ31074" s="35">
        <v>9.5767150222222219E-3</v>
      </c>
    </row>
    <row r="31075" spans="103:104" x14ac:dyDescent="0.3">
      <c r="CY31075" s="34" t="s">
        <v>32001</v>
      </c>
      <c r="CZ31075" s="35">
        <v>1.3626106742857141E-2</v>
      </c>
    </row>
    <row r="31076" spans="103:104" x14ac:dyDescent="0.3">
      <c r="CY31076" s="34" t="s">
        <v>32002</v>
      </c>
      <c r="CZ31076" s="35">
        <v>0.18128051733333331</v>
      </c>
    </row>
    <row r="31077" spans="103:104" x14ac:dyDescent="0.3">
      <c r="CY31077" s="34" t="s">
        <v>32003</v>
      </c>
      <c r="CZ31077" s="35">
        <v>4.9438405647058833E-3</v>
      </c>
    </row>
    <row r="31078" spans="103:104" x14ac:dyDescent="0.3">
      <c r="CY31078" s="34" t="s">
        <v>32004</v>
      </c>
      <c r="CZ31078" s="35">
        <v>1.8641185999999999E-3</v>
      </c>
    </row>
    <row r="31079" spans="103:104" x14ac:dyDescent="0.3">
      <c r="CY31079" s="34" t="s">
        <v>32005</v>
      </c>
      <c r="CZ31079" s="35">
        <v>4.1469513599999997E-3</v>
      </c>
    </row>
    <row r="31080" spans="103:104" x14ac:dyDescent="0.3">
      <c r="CY31080" s="34" t="s">
        <v>32006</v>
      </c>
      <c r="CZ31080" s="35">
        <v>7.7891647999999997E-3</v>
      </c>
    </row>
    <row r="31081" spans="103:104" x14ac:dyDescent="0.3">
      <c r="CY31081" s="34" t="s">
        <v>32007</v>
      </c>
      <c r="CZ31081" s="35">
        <v>6.4259120000000006E-3</v>
      </c>
    </row>
    <row r="31082" spans="103:104" x14ac:dyDescent="0.3">
      <c r="CY31082" s="34" t="s">
        <v>32008</v>
      </c>
      <c r="CZ31082" s="35">
        <v>1.3178587878787877E-3</v>
      </c>
    </row>
    <row r="31083" spans="103:104" x14ac:dyDescent="0.3">
      <c r="CY31083" s="34" t="s">
        <v>32009</v>
      </c>
      <c r="CZ31083" s="35">
        <v>1.5059247999999997E-3</v>
      </c>
    </row>
    <row r="31084" spans="103:104" x14ac:dyDescent="0.3">
      <c r="CY31084" s="34" t="s">
        <v>32010</v>
      </c>
      <c r="CZ31084" s="35">
        <v>1.9854831999999998E-3</v>
      </c>
    </row>
    <row r="31085" spans="103:104" x14ac:dyDescent="0.3">
      <c r="CY31085" s="34" t="s">
        <v>32011</v>
      </c>
      <c r="CZ31085" s="35">
        <v>2.3044724340000001E-3</v>
      </c>
    </row>
    <row r="31086" spans="103:104" x14ac:dyDescent="0.3">
      <c r="CY31086" s="34" t="s">
        <v>32012</v>
      </c>
      <c r="CZ31086" s="35">
        <v>4.7266950200000003E-3</v>
      </c>
    </row>
    <row r="31087" spans="103:104" x14ac:dyDescent="0.3">
      <c r="CY31087" s="34" t="s">
        <v>32013</v>
      </c>
      <c r="CZ31087" s="35">
        <v>3.6441648235294118E-2</v>
      </c>
    </row>
    <row r="31088" spans="103:104" x14ac:dyDescent="0.3">
      <c r="CY31088" s="34" t="s">
        <v>32014</v>
      </c>
      <c r="CZ31088" s="35">
        <v>1.9578275555555556E-3</v>
      </c>
    </row>
    <row r="31089" spans="103:104" x14ac:dyDescent="0.3">
      <c r="CY31089" s="34" t="s">
        <v>32015</v>
      </c>
      <c r="CZ31089" s="35">
        <v>4.5355057777777784E-3</v>
      </c>
    </row>
    <row r="31090" spans="103:104" x14ac:dyDescent="0.3">
      <c r="CY31090" s="34" t="s">
        <v>32016</v>
      </c>
      <c r="CZ31090" s="35">
        <v>9.1849505882352966E-2</v>
      </c>
    </row>
    <row r="31091" spans="103:104" x14ac:dyDescent="0.3">
      <c r="CY31091" s="34" t="s">
        <v>32017</v>
      </c>
      <c r="CZ31091" s="35">
        <v>1.5147477894736841E-2</v>
      </c>
    </row>
    <row r="31092" spans="103:104" x14ac:dyDescent="0.3">
      <c r="CY31092" s="34" t="s">
        <v>32018</v>
      </c>
      <c r="CZ31092" s="35">
        <v>1.6731538526315787E-2</v>
      </c>
    </row>
    <row r="31093" spans="103:104" x14ac:dyDescent="0.3">
      <c r="CY31093" s="34" t="s">
        <v>32019</v>
      </c>
      <c r="CZ31093" s="35">
        <v>1.6731538526315787E-2</v>
      </c>
    </row>
    <row r="31094" spans="103:104" x14ac:dyDescent="0.3">
      <c r="CY31094" s="34" t="s">
        <v>32020</v>
      </c>
      <c r="CZ31094" s="35">
        <v>8.6663746666666673E-3</v>
      </c>
    </row>
    <row r="31095" spans="103:104" x14ac:dyDescent="0.3">
      <c r="CY31095" s="34" t="s">
        <v>32021</v>
      </c>
      <c r="CZ31095" s="35">
        <v>3.0704688000000001E-3</v>
      </c>
    </row>
    <row r="31096" spans="103:104" x14ac:dyDescent="0.3">
      <c r="CY31096" s="34" t="s">
        <v>32022</v>
      </c>
      <c r="CZ31096" s="35">
        <v>0.13391286260000002</v>
      </c>
    </row>
    <row r="31097" spans="103:104" x14ac:dyDescent="0.3">
      <c r="CY31097" s="34" t="s">
        <v>32023</v>
      </c>
      <c r="CZ31097" s="35">
        <v>6.2529569999999993E-2</v>
      </c>
    </row>
    <row r="31098" spans="103:104" x14ac:dyDescent="0.3">
      <c r="CY31098" s="34" t="s">
        <v>32024</v>
      </c>
      <c r="CZ31098" s="35">
        <v>4.0886986666666672E-3</v>
      </c>
    </row>
    <row r="31099" spans="103:104" x14ac:dyDescent="0.3">
      <c r="CY31099" s="34" t="s">
        <v>32025</v>
      </c>
      <c r="CZ31099" s="35">
        <v>0.83313976000000012</v>
      </c>
    </row>
    <row r="31100" spans="103:104" x14ac:dyDescent="0.3">
      <c r="CY31100" s="34" t="s">
        <v>32026</v>
      </c>
      <c r="CZ31100" s="35">
        <v>0.63239479999999992</v>
      </c>
    </row>
    <row r="31101" spans="103:104" x14ac:dyDescent="0.3">
      <c r="CY31101" s="34" t="s">
        <v>32027</v>
      </c>
      <c r="CZ31101" s="35">
        <v>0.80399883599999988</v>
      </c>
    </row>
    <row r="31102" spans="103:104" x14ac:dyDescent="0.3">
      <c r="CY31102" s="34" t="s">
        <v>32028</v>
      </c>
      <c r="CZ31102" s="35">
        <v>9.8214919999999983E-2</v>
      </c>
    </row>
    <row r="31103" spans="103:104" x14ac:dyDescent="0.3">
      <c r="CY31103" s="34" t="s">
        <v>32029</v>
      </c>
      <c r="CZ31103" s="35">
        <v>0.76224264999999991</v>
      </c>
    </row>
    <row r="31104" spans="103:104" x14ac:dyDescent="0.3">
      <c r="CY31104" s="34" t="s">
        <v>32030</v>
      </c>
      <c r="CZ31104" s="35">
        <v>1.2451420133333332E-3</v>
      </c>
    </row>
    <row r="31105" spans="103:104" x14ac:dyDescent="0.3">
      <c r="CY31105" s="34" t="s">
        <v>32031</v>
      </c>
      <c r="CZ31105" s="35">
        <v>4.0134552000000009E-3</v>
      </c>
    </row>
    <row r="31106" spans="103:104" x14ac:dyDescent="0.3">
      <c r="CY31106" s="34" t="s">
        <v>32032</v>
      </c>
      <c r="CZ31106" s="35">
        <v>2.1829980000000003E-4</v>
      </c>
    </row>
    <row r="31107" spans="103:104" x14ac:dyDescent="0.3">
      <c r="CY31107" s="34" t="s">
        <v>32033</v>
      </c>
      <c r="CZ31107" s="35">
        <v>2.159298E-3</v>
      </c>
    </row>
    <row r="31108" spans="103:104" x14ac:dyDescent="0.3">
      <c r="CY31108" s="34" t="s">
        <v>32034</v>
      </c>
      <c r="CZ31108" s="35">
        <v>4.7074803999999998E-2</v>
      </c>
    </row>
    <row r="31109" spans="103:104" x14ac:dyDescent="0.3">
      <c r="CY31109" s="34" t="s">
        <v>32035</v>
      </c>
      <c r="CZ31109" s="35">
        <v>0.28818560399999998</v>
      </c>
    </row>
    <row r="31110" spans="103:104" x14ac:dyDescent="0.3">
      <c r="CY31110" s="34" t="s">
        <v>32036</v>
      </c>
      <c r="CZ31110" s="35">
        <v>1.6567402363333332E-3</v>
      </c>
    </row>
    <row r="31111" spans="103:104" x14ac:dyDescent="0.3">
      <c r="CY31111" s="34" t="s">
        <v>32037</v>
      </c>
      <c r="CZ31111" s="35">
        <v>1.3990547199999999</v>
      </c>
    </row>
    <row r="31112" spans="103:104" x14ac:dyDescent="0.3">
      <c r="CY31112" s="34" t="s">
        <v>32038</v>
      </c>
      <c r="CZ31112" s="35">
        <v>2.1733826795</v>
      </c>
    </row>
    <row r="31113" spans="103:104" x14ac:dyDescent="0.3">
      <c r="CY31113" s="34" t="s">
        <v>32039</v>
      </c>
      <c r="CZ31113" s="35">
        <v>0.102258</v>
      </c>
    </row>
    <row r="31114" spans="103:104" x14ac:dyDescent="0.3">
      <c r="CY31114" s="34" t="s">
        <v>32040</v>
      </c>
      <c r="CZ31114" s="35">
        <v>1.3984651969999999</v>
      </c>
    </row>
    <row r="31115" spans="103:104" x14ac:dyDescent="0.3">
      <c r="CY31115" s="34" t="s">
        <v>32041</v>
      </c>
      <c r="CZ31115" s="35">
        <v>0.24152848800000001</v>
      </c>
    </row>
    <row r="31116" spans="103:104" x14ac:dyDescent="0.3">
      <c r="CY31116" s="34" t="s">
        <v>32042</v>
      </c>
      <c r="CZ31116" s="35">
        <v>0.15886581599999999</v>
      </c>
    </row>
    <row r="31117" spans="103:104" x14ac:dyDescent="0.3">
      <c r="CY31117" s="34" t="s">
        <v>32043</v>
      </c>
      <c r="CZ31117" s="35">
        <v>3.1682738670000004</v>
      </c>
    </row>
    <row r="31118" spans="103:104" x14ac:dyDescent="0.3">
      <c r="CY31118" s="34" t="s">
        <v>32044</v>
      </c>
      <c r="CZ31118" s="35">
        <v>7.7434520000000014E-3</v>
      </c>
    </row>
    <row r="31119" spans="103:104" x14ac:dyDescent="0.3">
      <c r="CY31119" s="34" t="s">
        <v>32045</v>
      </c>
      <c r="CZ31119" s="35">
        <v>5.9795812666666674E-4</v>
      </c>
    </row>
    <row r="31120" spans="103:104" x14ac:dyDescent="0.3">
      <c r="CY31120" s="34" t="s">
        <v>32046</v>
      </c>
      <c r="CZ31120" s="35">
        <v>3.3027927999999998E-2</v>
      </c>
    </row>
    <row r="31121" spans="103:104" x14ac:dyDescent="0.3">
      <c r="CY31121" s="34" t="s">
        <v>32047</v>
      </c>
      <c r="CZ31121" s="35">
        <v>4.7665960399999999E-2</v>
      </c>
    </row>
    <row r="31122" spans="103:104" x14ac:dyDescent="0.3">
      <c r="CY31122" s="34" t="s">
        <v>32048</v>
      </c>
      <c r="CZ31122" s="35">
        <v>4.7665960399999999E-2</v>
      </c>
    </row>
    <row r="31123" spans="103:104" x14ac:dyDescent="0.3">
      <c r="CY31123" s="34" t="s">
        <v>32049</v>
      </c>
      <c r="CZ31123" s="35">
        <v>1.1854092E-2</v>
      </c>
    </row>
    <row r="31124" spans="103:104" x14ac:dyDescent="0.3">
      <c r="CY31124" s="34" t="s">
        <v>32050</v>
      </c>
      <c r="CZ31124" s="35">
        <v>9.6633280000000005E-3</v>
      </c>
    </row>
    <row r="31125" spans="103:104" x14ac:dyDescent="0.3">
      <c r="CY31125" s="34" t="s">
        <v>32051</v>
      </c>
      <c r="CZ31125" s="35">
        <v>2.6168172999999997E-3</v>
      </c>
    </row>
    <row r="31126" spans="103:104" x14ac:dyDescent="0.3">
      <c r="CY31126" s="34" t="s">
        <v>32052</v>
      </c>
      <c r="CZ31126" s="35">
        <v>1.4580336999999997E-2</v>
      </c>
    </row>
    <row r="31127" spans="103:104" x14ac:dyDescent="0.3">
      <c r="CY31127" s="34" t="s">
        <v>32053</v>
      </c>
      <c r="CZ31127" s="35">
        <v>5.8806997533333337E-3</v>
      </c>
    </row>
    <row r="31128" spans="103:104" x14ac:dyDescent="0.3">
      <c r="CY31128" s="34" t="s">
        <v>32054</v>
      </c>
      <c r="CZ31128" s="35">
        <v>1.4662604858823532E-2</v>
      </c>
    </row>
    <row r="31129" spans="103:104" x14ac:dyDescent="0.3">
      <c r="CY31129" s="34" t="s">
        <v>32055</v>
      </c>
      <c r="CZ31129" s="35">
        <v>5.1853376000000001E-3</v>
      </c>
    </row>
    <row r="31130" spans="103:104" x14ac:dyDescent="0.3">
      <c r="CY31130" s="34" t="s">
        <v>32056</v>
      </c>
      <c r="CZ31130" s="35">
        <v>6.2971379499999992E-3</v>
      </c>
    </row>
    <row r="31131" spans="103:104" x14ac:dyDescent="0.3">
      <c r="CY31131" s="34" t="s">
        <v>32057</v>
      </c>
      <c r="CZ31131" s="35">
        <v>1.6420999999999999E-3</v>
      </c>
    </row>
    <row r="31132" spans="103:104" x14ac:dyDescent="0.3">
      <c r="CY31132" s="34" t="s">
        <v>32058</v>
      </c>
      <c r="CZ31132" s="35">
        <v>1.5403989556666667E-2</v>
      </c>
    </row>
    <row r="31133" spans="103:104" x14ac:dyDescent="0.3">
      <c r="CY31133" s="34" t="s">
        <v>32059</v>
      </c>
      <c r="CZ31133" s="35">
        <v>1.0707415999999999E-2</v>
      </c>
    </row>
    <row r="31134" spans="103:104" x14ac:dyDescent="0.3">
      <c r="CY31134" s="34" t="s">
        <v>32060</v>
      </c>
      <c r="CZ31134" s="35">
        <v>2.9801313999999997E-3</v>
      </c>
    </row>
    <row r="31135" spans="103:104" x14ac:dyDescent="0.3">
      <c r="CY31135" s="34" t="s">
        <v>32061</v>
      </c>
      <c r="CZ31135" s="35">
        <v>1.6911744000000001E-3</v>
      </c>
    </row>
    <row r="31136" spans="103:104" x14ac:dyDescent="0.3">
      <c r="CY31136" s="34" t="s">
        <v>32062</v>
      </c>
      <c r="CZ31136" s="35">
        <v>0.29405435178947364</v>
      </c>
    </row>
    <row r="31137" spans="103:104" x14ac:dyDescent="0.3">
      <c r="CY31137" s="34" t="s">
        <v>32063</v>
      </c>
      <c r="CZ31137" s="35">
        <v>6.5018090000000001E-2</v>
      </c>
    </row>
    <row r="31138" spans="103:104" x14ac:dyDescent="0.3">
      <c r="CY31138" s="34" t="s">
        <v>32064</v>
      </c>
      <c r="CZ31138" s="35">
        <v>0.19198524837499997</v>
      </c>
    </row>
    <row r="31139" spans="103:104" x14ac:dyDescent="0.3">
      <c r="CY31139" s="34" t="s">
        <v>32065</v>
      </c>
      <c r="CZ31139" s="35">
        <v>0.62438849888899994</v>
      </c>
    </row>
    <row r="31140" spans="103:104" x14ac:dyDescent="0.3">
      <c r="CY31140" s="34" t="s">
        <v>32066</v>
      </c>
      <c r="CZ31140" s="35">
        <v>0.62438849888899994</v>
      </c>
    </row>
    <row r="31141" spans="103:104" x14ac:dyDescent="0.3">
      <c r="CY31141" s="34" t="s">
        <v>32067</v>
      </c>
      <c r="CZ31141" s="35">
        <v>0.41604685000000002</v>
      </c>
    </row>
    <row r="31142" spans="103:104" x14ac:dyDescent="0.3">
      <c r="CY31142" s="34" t="s">
        <v>32068</v>
      </c>
      <c r="CZ31142" s="35">
        <v>0.53217169000000009</v>
      </c>
    </row>
    <row r="31143" spans="103:104" x14ac:dyDescent="0.3">
      <c r="CY31143" s="34" t="s">
        <v>32069</v>
      </c>
      <c r="CZ31143" s="35">
        <v>0.26496588499999996</v>
      </c>
    </row>
    <row r="31144" spans="103:104" x14ac:dyDescent="0.3">
      <c r="CY31144" s="34" t="s">
        <v>32070</v>
      </c>
      <c r="CZ31144" s="35">
        <v>0.57385753000000006</v>
      </c>
    </row>
    <row r="31145" spans="103:104" x14ac:dyDescent="0.3">
      <c r="CY31145" s="34" t="s">
        <v>32071</v>
      </c>
      <c r="CZ31145" s="35">
        <v>1.1656799542857144E-2</v>
      </c>
    </row>
    <row r="31146" spans="103:104" x14ac:dyDescent="0.3">
      <c r="CY31146" s="34" t="s">
        <v>32072</v>
      </c>
      <c r="CZ31146" s="35">
        <v>9.8628283428571425E-3</v>
      </c>
    </row>
    <row r="31147" spans="103:104" x14ac:dyDescent="0.3">
      <c r="CY31147" s="34" t="s">
        <v>32073</v>
      </c>
      <c r="CZ31147" s="35">
        <v>1.0719885942857141E-2</v>
      </c>
    </row>
    <row r="31148" spans="103:104" x14ac:dyDescent="0.3">
      <c r="CY31148" s="34" t="s">
        <v>32074</v>
      </c>
      <c r="CZ31148" s="35">
        <v>1.4972111542857141E-2</v>
      </c>
    </row>
    <row r="31149" spans="103:104" x14ac:dyDescent="0.3">
      <c r="CY31149" s="34" t="s">
        <v>32075</v>
      </c>
      <c r="CZ31149" s="35">
        <v>1.5096901942857142E-2</v>
      </c>
    </row>
    <row r="31150" spans="103:104" x14ac:dyDescent="0.3">
      <c r="CY31150" s="34" t="s">
        <v>32076</v>
      </c>
      <c r="CZ31150" s="35">
        <v>8.216697142857143E-3</v>
      </c>
    </row>
    <row r="31151" spans="103:104" x14ac:dyDescent="0.3">
      <c r="CY31151" s="34" t="s">
        <v>32077</v>
      </c>
      <c r="CZ31151" s="35">
        <v>6.7960891428571427E-3</v>
      </c>
    </row>
    <row r="31152" spans="103:104" x14ac:dyDescent="0.3">
      <c r="CY31152" s="34" t="s">
        <v>32078</v>
      </c>
      <c r="CZ31152" s="35">
        <v>7.3252219428571429E-3</v>
      </c>
    </row>
    <row r="31153" spans="103:104" x14ac:dyDescent="0.3">
      <c r="CY31153" s="34" t="s">
        <v>32079</v>
      </c>
      <c r="CZ31153" s="35">
        <v>1.0369337142857144E-2</v>
      </c>
    </row>
    <row r="31154" spans="103:104" x14ac:dyDescent="0.3">
      <c r="CY31154" s="34" t="s">
        <v>32080</v>
      </c>
      <c r="CZ31154" s="35">
        <v>1.1264889142857143E-2</v>
      </c>
    </row>
    <row r="31155" spans="103:104" x14ac:dyDescent="0.3">
      <c r="CY31155" s="34" t="s">
        <v>32081</v>
      </c>
      <c r="CZ31155" s="35">
        <v>5.5653806666666654E-3</v>
      </c>
    </row>
    <row r="31156" spans="103:104" x14ac:dyDescent="0.3">
      <c r="CY31156" s="34" t="s">
        <v>32082</v>
      </c>
      <c r="CZ31156" s="35">
        <v>1.7165202500000001E-3</v>
      </c>
    </row>
    <row r="31157" spans="103:104" x14ac:dyDescent="0.3">
      <c r="CY31157" s="34" t="s">
        <v>32083</v>
      </c>
      <c r="CZ31157" s="35">
        <v>3.3135664000000002E-2</v>
      </c>
    </row>
    <row r="31158" spans="103:104" x14ac:dyDescent="0.3">
      <c r="CY31158" s="34" t="s">
        <v>32084</v>
      </c>
      <c r="CZ31158" s="35">
        <v>0.62308979999999992</v>
      </c>
    </row>
    <row r="31159" spans="103:104" x14ac:dyDescent="0.3">
      <c r="CY31159" s="34" t="s">
        <v>32085</v>
      </c>
      <c r="CZ31159" s="35">
        <v>2.0827266749999997E-2</v>
      </c>
    </row>
    <row r="31160" spans="103:104" x14ac:dyDescent="0.3">
      <c r="CY31160" s="34" t="s">
        <v>32086</v>
      </c>
      <c r="CZ31160" s="35">
        <v>4.0250194943999999E-2</v>
      </c>
    </row>
    <row r="31161" spans="103:104" x14ac:dyDescent="0.3">
      <c r="CY31161" s="34" t="s">
        <v>32087</v>
      </c>
      <c r="CZ31161" s="35">
        <v>0.15060407466666667</v>
      </c>
    </row>
    <row r="31162" spans="103:104" x14ac:dyDescent="0.3">
      <c r="CY31162" s="34" t="s">
        <v>32088</v>
      </c>
      <c r="CZ31162" s="35">
        <v>4.7972452000000004E-4</v>
      </c>
    </row>
    <row r="31163" spans="103:104" x14ac:dyDescent="0.3">
      <c r="CY31163" s="34" t="s">
        <v>32089</v>
      </c>
      <c r="CZ31163" s="35">
        <v>8.3962299999999995E-4</v>
      </c>
    </row>
    <row r="31164" spans="103:104" x14ac:dyDescent="0.3">
      <c r="CY31164" s="34" t="s">
        <v>32090</v>
      </c>
      <c r="CZ31164" s="35">
        <v>3.0887564999999995E-3</v>
      </c>
    </row>
    <row r="31165" spans="103:104" x14ac:dyDescent="0.3">
      <c r="CY31165" s="34" t="s">
        <v>32091</v>
      </c>
      <c r="CZ31165" s="35">
        <v>3.0887564999999995E-3</v>
      </c>
    </row>
    <row r="31166" spans="103:104" x14ac:dyDescent="0.3">
      <c r="CY31166" s="34" t="s">
        <v>32092</v>
      </c>
      <c r="CZ31166" s="35">
        <v>0.210426</v>
      </c>
    </row>
    <row r="31167" spans="103:104" x14ac:dyDescent="0.3">
      <c r="CY31167" s="34" t="s">
        <v>32093</v>
      </c>
      <c r="CZ31167" s="35">
        <v>0.176458</v>
      </c>
    </row>
    <row r="31168" spans="103:104" x14ac:dyDescent="0.3">
      <c r="CY31168" s="34" t="s">
        <v>32094</v>
      </c>
      <c r="CZ31168" s="35">
        <v>0.210426</v>
      </c>
    </row>
    <row r="31169" spans="103:104" x14ac:dyDescent="0.3">
      <c r="CY31169" s="34" t="s">
        <v>32095</v>
      </c>
      <c r="CZ31169" s="35">
        <v>9.9926399999999992E-4</v>
      </c>
    </row>
    <row r="31170" spans="103:104" x14ac:dyDescent="0.3">
      <c r="CY31170" s="34" t="s">
        <v>32096</v>
      </c>
      <c r="CZ31170" s="35">
        <v>6.9924704000000004E-2</v>
      </c>
    </row>
    <row r="31171" spans="103:104" x14ac:dyDescent="0.3">
      <c r="CY31171" s="34" t="s">
        <v>32097</v>
      </c>
      <c r="CZ31171" s="35">
        <v>2.9507000000000002E-2</v>
      </c>
    </row>
    <row r="31172" spans="103:104" x14ac:dyDescent="0.3">
      <c r="CY31172" s="34" t="s">
        <v>32098</v>
      </c>
      <c r="CZ31172" s="35">
        <v>2.0077944E-2</v>
      </c>
    </row>
    <row r="31173" spans="103:104" x14ac:dyDescent="0.3">
      <c r="CY31173" s="34" t="s">
        <v>32099</v>
      </c>
      <c r="CZ31173" s="35">
        <v>4.9104674999999997E-3</v>
      </c>
    </row>
    <row r="31174" spans="103:104" x14ac:dyDescent="0.3">
      <c r="CY31174" s="34" t="s">
        <v>32100</v>
      </c>
      <c r="CZ31174" s="35">
        <v>1.2351877E-3</v>
      </c>
    </row>
    <row r="31175" spans="103:104" x14ac:dyDescent="0.3">
      <c r="CY31175" s="34" t="s">
        <v>32101</v>
      </c>
      <c r="CZ31175" s="35">
        <v>5.2963300000000006E-4</v>
      </c>
    </row>
    <row r="31176" spans="103:104" x14ac:dyDescent="0.3">
      <c r="CY31176" s="34" t="s">
        <v>32102</v>
      </c>
      <c r="CZ31176" s="35">
        <v>5.4709099999999998E-3</v>
      </c>
    </row>
    <row r="31177" spans="103:104" x14ac:dyDescent="0.3">
      <c r="CY31177" s="34" t="s">
        <v>32103</v>
      </c>
      <c r="CZ31177" s="35">
        <v>8.5238940000000006E-3</v>
      </c>
    </row>
    <row r="31178" spans="103:104" x14ac:dyDescent="0.3">
      <c r="CY31178" s="34" t="s">
        <v>32104</v>
      </c>
      <c r="CZ31178" s="35">
        <v>5.9953604000000009E-3</v>
      </c>
    </row>
    <row r="31179" spans="103:104" x14ac:dyDescent="0.3">
      <c r="CY31179" s="34" t="s">
        <v>32105</v>
      </c>
      <c r="CZ31179" s="35">
        <v>2.3033959999999999E-4</v>
      </c>
    </row>
    <row r="31180" spans="103:104" x14ac:dyDescent="0.3">
      <c r="CY31180" s="34" t="s">
        <v>32106</v>
      </c>
      <c r="CZ31180" s="35">
        <v>1.5379272E-3</v>
      </c>
    </row>
    <row r="31181" spans="103:104" x14ac:dyDescent="0.3">
      <c r="CY31181" s="34" t="s">
        <v>32107</v>
      </c>
      <c r="CZ31181" s="35">
        <v>7.0436579999999993E-4</v>
      </c>
    </row>
    <row r="31182" spans="103:104" x14ac:dyDescent="0.3">
      <c r="CY31182" s="34" t="s">
        <v>32108</v>
      </c>
      <c r="CZ31182" s="35">
        <v>4.5434339999999998E-4</v>
      </c>
    </row>
    <row r="31183" spans="103:104" x14ac:dyDescent="0.3">
      <c r="CY31183" s="34" t="s">
        <v>32109</v>
      </c>
      <c r="CZ31183" s="35">
        <v>2.8507699999999995E-4</v>
      </c>
    </row>
    <row r="31184" spans="103:104" x14ac:dyDescent="0.3">
      <c r="CY31184" s="34" t="s">
        <v>32110</v>
      </c>
      <c r="CZ31184" s="35">
        <v>4.97713E-4</v>
      </c>
    </row>
    <row r="31185" spans="103:104" x14ac:dyDescent="0.3">
      <c r="CY31185" s="34" t="s">
        <v>32111</v>
      </c>
      <c r="CZ31185" s="35">
        <v>0.53249297330000012</v>
      </c>
    </row>
    <row r="31186" spans="103:104" x14ac:dyDescent="0.3">
      <c r="CY31186" s="34" t="s">
        <v>32112</v>
      </c>
      <c r="CZ31186" s="35">
        <v>3.8874133000000007E-3</v>
      </c>
    </row>
    <row r="31187" spans="103:104" x14ac:dyDescent="0.3">
      <c r="CY31187" s="34" t="s">
        <v>32113</v>
      </c>
      <c r="CZ31187" s="35">
        <v>0.11848054399999999</v>
      </c>
    </row>
    <row r="31188" spans="103:104" x14ac:dyDescent="0.3">
      <c r="CY31188" s="34" t="s">
        <v>32114</v>
      </c>
      <c r="CZ31188" s="35">
        <v>1.3292413600000001E-2</v>
      </c>
    </row>
    <row r="31189" spans="103:104" x14ac:dyDescent="0.3">
      <c r="CY31189" s="34" t="s">
        <v>32115</v>
      </c>
      <c r="CZ31189" s="35">
        <v>1.7028901599999997E-2</v>
      </c>
    </row>
    <row r="31190" spans="103:104" x14ac:dyDescent="0.3">
      <c r="CY31190" s="34" t="s">
        <v>32116</v>
      </c>
      <c r="CZ31190" s="35">
        <v>1.2093069333333333E-2</v>
      </c>
    </row>
    <row r="31191" spans="103:104" x14ac:dyDescent="0.3">
      <c r="CY31191" s="34" t="s">
        <v>32117</v>
      </c>
      <c r="CZ31191" s="35">
        <v>1.2093069333333331E-2</v>
      </c>
    </row>
    <row r="31192" spans="103:104" x14ac:dyDescent="0.3">
      <c r="CY31192" s="34" t="s">
        <v>32118</v>
      </c>
      <c r="CZ31192" s="35">
        <v>4.6065654000000005E-4</v>
      </c>
    </row>
    <row r="31193" spans="103:104" x14ac:dyDescent="0.3">
      <c r="CY31193" s="34" t="s">
        <v>32119</v>
      </c>
      <c r="CZ31193" s="35">
        <v>1.4371960000000001E-4</v>
      </c>
    </row>
    <row r="31194" spans="103:104" x14ac:dyDescent="0.3">
      <c r="CY31194" s="34" t="s">
        <v>32120</v>
      </c>
      <c r="CZ31194" s="35">
        <v>1.0340796E-3</v>
      </c>
    </row>
    <row r="31195" spans="103:104" x14ac:dyDescent="0.3">
      <c r="CY31195" s="34" t="s">
        <v>32121</v>
      </c>
      <c r="CZ31195" s="35">
        <v>3.7126262E-2</v>
      </c>
    </row>
    <row r="31196" spans="103:104" x14ac:dyDescent="0.3">
      <c r="CY31196" s="34" t="s">
        <v>32122</v>
      </c>
      <c r="CZ31196" s="35">
        <v>2.1454944999999997E-3</v>
      </c>
    </row>
    <row r="31197" spans="103:104" x14ac:dyDescent="0.3">
      <c r="CY31197" s="34" t="s">
        <v>32123</v>
      </c>
      <c r="CZ31197" s="35">
        <v>2.3273227199999999E-3</v>
      </c>
    </row>
    <row r="31198" spans="103:104" x14ac:dyDescent="0.3">
      <c r="CY31198" s="34" t="s">
        <v>32124</v>
      </c>
      <c r="CZ31198" s="35">
        <v>5.7440348799999994E-3</v>
      </c>
    </row>
    <row r="31199" spans="103:104" x14ac:dyDescent="0.3">
      <c r="CY31199" s="34" t="s">
        <v>32125</v>
      </c>
      <c r="CZ31199" s="35">
        <v>8.0346412799999992E-3</v>
      </c>
    </row>
    <row r="31200" spans="103:104" x14ac:dyDescent="0.3">
      <c r="CY31200" s="34" t="s">
        <v>32126</v>
      </c>
      <c r="CZ31200" s="35">
        <v>2.2227264799999997E-2</v>
      </c>
    </row>
    <row r="31201" spans="103:104" x14ac:dyDescent="0.3">
      <c r="CY31201" s="34" t="s">
        <v>32127</v>
      </c>
      <c r="CZ31201" s="35">
        <v>4.0997657799999997E-2</v>
      </c>
    </row>
    <row r="31202" spans="103:104" x14ac:dyDescent="0.3">
      <c r="CY31202" s="34" t="s">
        <v>32128</v>
      </c>
      <c r="CZ31202" s="35">
        <v>4.34572134E-2</v>
      </c>
    </row>
    <row r="31203" spans="103:104" x14ac:dyDescent="0.3">
      <c r="CY31203" s="34" t="s">
        <v>32129</v>
      </c>
      <c r="CZ31203" s="35">
        <v>0.13888274000000003</v>
      </c>
    </row>
    <row r="31204" spans="103:104" x14ac:dyDescent="0.3">
      <c r="CY31204" s="34" t="s">
        <v>32130</v>
      </c>
      <c r="CZ31204" s="35">
        <v>1.6011596428571428E-2</v>
      </c>
    </row>
    <row r="31205" spans="103:104" x14ac:dyDescent="0.3">
      <c r="CY31205" s="34" t="s">
        <v>32131</v>
      </c>
      <c r="CZ31205" s="35">
        <v>1.7401275999999999E-3</v>
      </c>
    </row>
    <row r="31206" spans="103:104" x14ac:dyDescent="0.3">
      <c r="CY31206" s="34" t="s">
        <v>32132</v>
      </c>
      <c r="CZ31206" s="35">
        <v>1.6515180399999999E-3</v>
      </c>
    </row>
    <row r="31207" spans="103:104" x14ac:dyDescent="0.3">
      <c r="CY31207" s="34" t="s">
        <v>32133</v>
      </c>
      <c r="CZ31207" s="35">
        <v>1.686812E-3</v>
      </c>
    </row>
    <row r="31208" spans="103:104" x14ac:dyDescent="0.3">
      <c r="CY31208" s="34" t="s">
        <v>32134</v>
      </c>
      <c r="CZ31208" s="35">
        <v>1.5110779999999999E-3</v>
      </c>
    </row>
    <row r="31209" spans="103:104" x14ac:dyDescent="0.3">
      <c r="CY31209" s="34" t="s">
        <v>32135</v>
      </c>
      <c r="CZ31209" s="35">
        <v>3.672122832E-3</v>
      </c>
    </row>
    <row r="31210" spans="103:104" x14ac:dyDescent="0.3">
      <c r="CY31210" s="34" t="s">
        <v>32136</v>
      </c>
      <c r="CZ31210" s="35">
        <v>3.7244246400000005E-3</v>
      </c>
    </row>
    <row r="31211" spans="103:104" x14ac:dyDescent="0.3">
      <c r="CY31211" s="34" t="s">
        <v>32137</v>
      </c>
      <c r="CZ31211" s="35">
        <v>1.72471E-3</v>
      </c>
    </row>
    <row r="31212" spans="103:104" x14ac:dyDescent="0.3">
      <c r="CY31212" s="34" t="s">
        <v>32138</v>
      </c>
      <c r="CZ31212" s="35">
        <v>1.07334448E-3</v>
      </c>
    </row>
    <row r="31213" spans="103:104" x14ac:dyDescent="0.3">
      <c r="CY31213" s="34" t="s">
        <v>32139</v>
      </c>
      <c r="CZ31213" s="35">
        <v>1.2999998000000001E-4</v>
      </c>
    </row>
    <row r="31214" spans="103:104" x14ac:dyDescent="0.3">
      <c r="CY31214" s="34" t="s">
        <v>32140</v>
      </c>
      <c r="CZ31214" s="35">
        <v>1.9544189599999999E-3</v>
      </c>
    </row>
    <row r="31215" spans="103:104" x14ac:dyDescent="0.3">
      <c r="CY31215" s="34" t="s">
        <v>32141</v>
      </c>
      <c r="CZ31215" s="35">
        <v>2.8071636E-4</v>
      </c>
    </row>
    <row r="31216" spans="103:104" x14ac:dyDescent="0.3">
      <c r="CY31216" s="34" t="s">
        <v>32142</v>
      </c>
      <c r="CZ31216" s="35">
        <v>4.5560339999999998E-4</v>
      </c>
    </row>
    <row r="31217" spans="103:104" x14ac:dyDescent="0.3">
      <c r="CY31217" s="34" t="s">
        <v>32143</v>
      </c>
      <c r="CZ31217" s="35">
        <v>2.6954947058823529E-2</v>
      </c>
    </row>
    <row r="31218" spans="103:104" x14ac:dyDescent="0.3">
      <c r="CY31218" s="34" t="s">
        <v>32144</v>
      </c>
      <c r="CZ31218" s="35">
        <v>2.68749E-2</v>
      </c>
    </row>
    <row r="31219" spans="103:104" x14ac:dyDescent="0.3">
      <c r="CY31219" s="34" t="s">
        <v>32145</v>
      </c>
      <c r="CZ31219" s="35">
        <v>1.9571668E-3</v>
      </c>
    </row>
    <row r="31220" spans="103:104" x14ac:dyDescent="0.3">
      <c r="CY31220" s="34" t="s">
        <v>32146</v>
      </c>
      <c r="CZ31220" s="35">
        <v>2.1785000000000002E-5</v>
      </c>
    </row>
    <row r="31221" spans="103:104" x14ac:dyDescent="0.3">
      <c r="CY31221" s="34" t="s">
        <v>32147</v>
      </c>
      <c r="CZ31221" s="35">
        <v>2.0558503870000001E-2</v>
      </c>
    </row>
    <row r="31222" spans="103:104" x14ac:dyDescent="0.3">
      <c r="CY31222" s="34" t="s">
        <v>32148</v>
      </c>
      <c r="CZ31222" s="35">
        <v>1.3106788999999999E-3</v>
      </c>
    </row>
    <row r="31223" spans="103:104" x14ac:dyDescent="0.3">
      <c r="CY31223" s="34" t="s">
        <v>32149</v>
      </c>
      <c r="CZ31223" s="35">
        <v>0.16148921999999999</v>
      </c>
    </row>
    <row r="31224" spans="103:104" x14ac:dyDescent="0.3">
      <c r="CY31224" s="34" t="s">
        <v>32150</v>
      </c>
      <c r="CZ31224" s="35">
        <v>0.62293731999999991</v>
      </c>
    </row>
    <row r="31225" spans="103:104" x14ac:dyDescent="0.3">
      <c r="CY31225" s="34" t="s">
        <v>32151</v>
      </c>
      <c r="CZ31225" s="35">
        <v>0.42746099999999992</v>
      </c>
    </row>
    <row r="31226" spans="103:104" x14ac:dyDescent="0.3">
      <c r="CY31226" s="34" t="s">
        <v>32152</v>
      </c>
      <c r="CZ31226" s="35">
        <v>0.60125098999999993</v>
      </c>
    </row>
    <row r="31227" spans="103:104" x14ac:dyDescent="0.3">
      <c r="CY31227" s="34" t="s">
        <v>32153</v>
      </c>
      <c r="CZ31227" s="35">
        <v>0.31822008312499994</v>
      </c>
    </row>
    <row r="31228" spans="103:104" x14ac:dyDescent="0.3">
      <c r="CY31228" s="34" t="s">
        <v>32154</v>
      </c>
      <c r="CZ31228" s="35">
        <v>0.21926241699999999</v>
      </c>
    </row>
    <row r="31229" spans="103:104" x14ac:dyDescent="0.3">
      <c r="CY31229" s="34" t="s">
        <v>32155</v>
      </c>
      <c r="CZ31229" s="35">
        <v>0.92102875266666651</v>
      </c>
    </row>
    <row r="31230" spans="103:104" x14ac:dyDescent="0.3">
      <c r="CY31230" s="34" t="s">
        <v>32156</v>
      </c>
      <c r="CZ31230" s="35">
        <v>6.1585890000000011E-2</v>
      </c>
    </row>
    <row r="31231" spans="103:104" x14ac:dyDescent="0.3">
      <c r="CY31231" s="34" t="s">
        <v>32157</v>
      </c>
      <c r="CZ31231" s="35">
        <v>1.3477264477192984E-2</v>
      </c>
    </row>
    <row r="31232" spans="103:104" x14ac:dyDescent="0.3">
      <c r="CY31232" s="34" t="s">
        <v>32158</v>
      </c>
      <c r="CZ31232" s="35">
        <v>8.2198242500000004E-2</v>
      </c>
    </row>
    <row r="31233" spans="103:104" x14ac:dyDescent="0.3">
      <c r="CY31233" s="34" t="s">
        <v>32159</v>
      </c>
      <c r="CZ31233" s="35">
        <v>6.3111140000000013E-3</v>
      </c>
    </row>
    <row r="31234" spans="103:104" x14ac:dyDescent="0.3">
      <c r="CY31234" s="34" t="s">
        <v>32160</v>
      </c>
      <c r="CZ31234" s="35">
        <v>0.95551346940000004</v>
      </c>
    </row>
    <row r="31235" spans="103:104" x14ac:dyDescent="0.3">
      <c r="CY31235" s="34" t="s">
        <v>32161</v>
      </c>
      <c r="CZ31235" s="35">
        <v>3.2048008E-4</v>
      </c>
    </row>
    <row r="31236" spans="103:104" x14ac:dyDescent="0.3">
      <c r="CY31236" s="34" t="s">
        <v>32162</v>
      </c>
      <c r="CZ31236" s="35">
        <v>3.6391525550000005E-2</v>
      </c>
    </row>
    <row r="31237" spans="103:104" x14ac:dyDescent="0.3">
      <c r="CY31237" s="34" t="s">
        <v>32163</v>
      </c>
      <c r="CZ31237" s="35">
        <v>3.8655781333333333E-2</v>
      </c>
    </row>
    <row r="31238" spans="103:104" x14ac:dyDescent="0.3">
      <c r="CY31238" s="34" t="s">
        <v>32164</v>
      </c>
      <c r="CZ31238" s="35">
        <v>3.8735559999999988E-2</v>
      </c>
    </row>
    <row r="31239" spans="103:104" x14ac:dyDescent="0.3">
      <c r="CY31239" s="34" t="s">
        <v>32165</v>
      </c>
      <c r="CZ31239" s="35">
        <v>2.1784999999999996E-5</v>
      </c>
    </row>
    <row r="31240" spans="103:104" x14ac:dyDescent="0.3">
      <c r="CY31240" s="34" t="s">
        <v>32166</v>
      </c>
      <c r="CZ31240" s="35">
        <v>0.22090181000000003</v>
      </c>
    </row>
    <row r="31241" spans="103:104" x14ac:dyDescent="0.3">
      <c r="CY31241" s="34" t="s">
        <v>32167</v>
      </c>
      <c r="CZ31241" s="35">
        <v>7.4357737999999993E-2</v>
      </c>
    </row>
    <row r="31242" spans="103:104" x14ac:dyDescent="0.3">
      <c r="CY31242" s="34" t="s">
        <v>32168</v>
      </c>
      <c r="CZ31242" s="35">
        <v>2.6076200000000001E-2</v>
      </c>
    </row>
    <row r="31243" spans="103:104" x14ac:dyDescent="0.3">
      <c r="CY31243" s="34" t="s">
        <v>32169</v>
      </c>
      <c r="CZ31243" s="35">
        <v>1.3645E-3</v>
      </c>
    </row>
    <row r="31244" spans="103:104" x14ac:dyDescent="0.3">
      <c r="CY31244" s="34" t="s">
        <v>32170</v>
      </c>
      <c r="CZ31244" s="35">
        <v>1.6332699999999999E-2</v>
      </c>
    </row>
    <row r="31245" spans="103:104" x14ac:dyDescent="0.3">
      <c r="CY31245" s="34" t="s">
        <v>32171</v>
      </c>
      <c r="CZ31245" s="35">
        <v>1.3645E-3</v>
      </c>
    </row>
    <row r="31246" spans="103:104" x14ac:dyDescent="0.3">
      <c r="CY31246" s="34" t="s">
        <v>32172</v>
      </c>
      <c r="CZ31246" s="35">
        <v>2.01677E-2</v>
      </c>
    </row>
    <row r="31247" spans="103:104" x14ac:dyDescent="0.3">
      <c r="CY31247" s="34" t="s">
        <v>32173</v>
      </c>
      <c r="CZ31247" s="35">
        <v>1.7086996E-2</v>
      </c>
    </row>
    <row r="31248" spans="103:104" x14ac:dyDescent="0.3">
      <c r="CY31248" s="34" t="s">
        <v>32174</v>
      </c>
      <c r="CZ31248" s="35">
        <v>1.3645E-3</v>
      </c>
    </row>
    <row r="31249" spans="103:104" x14ac:dyDescent="0.3">
      <c r="CY31249" s="34" t="s">
        <v>32175</v>
      </c>
      <c r="CZ31249" s="35">
        <v>1.1778904E-2</v>
      </c>
    </row>
    <row r="31250" spans="103:104" x14ac:dyDescent="0.3">
      <c r="CY31250" s="34" t="s">
        <v>32176</v>
      </c>
      <c r="CZ31250" s="35">
        <v>1.3645E-3</v>
      </c>
    </row>
    <row r="31251" spans="103:104" x14ac:dyDescent="0.3">
      <c r="CY31251" s="34" t="s">
        <v>32177</v>
      </c>
      <c r="CZ31251" s="35">
        <v>1.3236291999999998E-2</v>
      </c>
    </row>
    <row r="31252" spans="103:104" x14ac:dyDescent="0.3">
      <c r="CY31252" s="34" t="s">
        <v>32178</v>
      </c>
      <c r="CZ31252" s="35">
        <v>1.4468952E-2</v>
      </c>
    </row>
    <row r="31253" spans="103:104" x14ac:dyDescent="0.3">
      <c r="CY31253" s="34" t="s">
        <v>32179</v>
      </c>
      <c r="CZ31253" s="35">
        <v>5.3399999999999997E-4</v>
      </c>
    </row>
    <row r="31254" spans="103:104" x14ac:dyDescent="0.3">
      <c r="CY31254" s="34" t="s">
        <v>32180</v>
      </c>
      <c r="CZ31254" s="35">
        <v>8.3174640000000001E-3</v>
      </c>
    </row>
    <row r="31255" spans="103:104" x14ac:dyDescent="0.3">
      <c r="CY31255" s="34" t="s">
        <v>32181</v>
      </c>
      <c r="CZ31255" s="35">
        <v>5.3399999999999997E-4</v>
      </c>
    </row>
    <row r="31256" spans="103:104" x14ac:dyDescent="0.3">
      <c r="CY31256" s="34" t="s">
        <v>32182</v>
      </c>
      <c r="CZ31256" s="35">
        <v>1.1160191999999999E-2</v>
      </c>
    </row>
    <row r="31257" spans="103:104" x14ac:dyDescent="0.3">
      <c r="CY31257" s="34" t="s">
        <v>32183</v>
      </c>
      <c r="CZ31257" s="35">
        <v>1.7940102539999999E-2</v>
      </c>
    </row>
    <row r="31258" spans="103:104" x14ac:dyDescent="0.3">
      <c r="CY31258" s="34" t="s">
        <v>32184</v>
      </c>
      <c r="CZ31258" s="35">
        <v>1.0885000000000001E-3</v>
      </c>
    </row>
    <row r="31259" spans="103:104" x14ac:dyDescent="0.3">
      <c r="CY31259" s="34" t="s">
        <v>32185</v>
      </c>
      <c r="CZ31259" s="35">
        <v>1.1466452000000002E-2</v>
      </c>
    </row>
    <row r="31260" spans="103:104" x14ac:dyDescent="0.3">
      <c r="CY31260" s="34" t="s">
        <v>32186</v>
      </c>
      <c r="CZ31260" s="35">
        <v>1.0885000000000001E-3</v>
      </c>
    </row>
    <row r="31261" spans="103:104" x14ac:dyDescent="0.3">
      <c r="CY31261" s="34" t="s">
        <v>32187</v>
      </c>
      <c r="CZ31261" s="35">
        <v>1.384354254E-2</v>
      </c>
    </row>
    <row r="31262" spans="103:104" x14ac:dyDescent="0.3">
      <c r="CY31262" s="34" t="s">
        <v>32188</v>
      </c>
      <c r="CZ31262" s="35">
        <v>9.6513313999999992E-3</v>
      </c>
    </row>
    <row r="31263" spans="103:104" x14ac:dyDescent="0.3">
      <c r="CY31263" s="34" t="s">
        <v>32189</v>
      </c>
      <c r="CZ31263" s="35">
        <v>6.6866672000000004E-3</v>
      </c>
    </row>
    <row r="31264" spans="103:104" x14ac:dyDescent="0.3">
      <c r="CY31264" s="34" t="s">
        <v>32190</v>
      </c>
      <c r="CZ31264" s="35">
        <v>8.1707146000000001E-3</v>
      </c>
    </row>
    <row r="31265" spans="103:104" x14ac:dyDescent="0.3">
      <c r="CY31265" s="34" t="s">
        <v>32191</v>
      </c>
      <c r="CZ31265" s="35">
        <v>2.2343244212500002E-2</v>
      </c>
    </row>
    <row r="31266" spans="103:104" x14ac:dyDescent="0.3">
      <c r="CY31266" s="34" t="s">
        <v>32192</v>
      </c>
      <c r="CZ31266" s="35">
        <v>1.0884999999999998E-3</v>
      </c>
    </row>
    <row r="31267" spans="103:104" x14ac:dyDescent="0.3">
      <c r="CY31267" s="34" t="s">
        <v>32193</v>
      </c>
      <c r="CZ31267" s="35">
        <v>1.4886699999999999E-2</v>
      </c>
    </row>
    <row r="31268" spans="103:104" x14ac:dyDescent="0.3">
      <c r="CY31268" s="34" t="s">
        <v>32194</v>
      </c>
      <c r="CZ31268" s="35">
        <v>1.0884999999999998E-3</v>
      </c>
    </row>
    <row r="31269" spans="103:104" x14ac:dyDescent="0.3">
      <c r="CY31269" s="34" t="s">
        <v>32195</v>
      </c>
      <c r="CZ31269" s="35">
        <v>1.88984522125E-2</v>
      </c>
    </row>
    <row r="31270" spans="103:104" x14ac:dyDescent="0.3">
      <c r="CY31270" s="34" t="s">
        <v>32196</v>
      </c>
      <c r="CZ31270" s="35">
        <v>2.4555295999999997E-2</v>
      </c>
    </row>
    <row r="31271" spans="103:104" x14ac:dyDescent="0.3">
      <c r="CY31271" s="34" t="s">
        <v>32197</v>
      </c>
      <c r="CZ31271" s="35">
        <v>1.6411563337499997E-2</v>
      </c>
    </row>
    <row r="31272" spans="103:104" x14ac:dyDescent="0.3">
      <c r="CY31272" s="34" t="s">
        <v>32198</v>
      </c>
      <c r="CZ31272" s="35">
        <v>1.859568E-2</v>
      </c>
    </row>
    <row r="31273" spans="103:104" x14ac:dyDescent="0.3">
      <c r="CY31273" s="34" t="s">
        <v>32199</v>
      </c>
      <c r="CZ31273" s="35">
        <v>2.4555295999999997E-2</v>
      </c>
    </row>
    <row r="31274" spans="103:104" x14ac:dyDescent="0.3">
      <c r="CY31274" s="34" t="s">
        <v>32200</v>
      </c>
      <c r="CZ31274" s="35">
        <v>2.4555295999999997E-2</v>
      </c>
    </row>
    <row r="31275" spans="103:104" x14ac:dyDescent="0.3">
      <c r="CY31275" s="34" t="s">
        <v>32201</v>
      </c>
      <c r="CZ31275" s="35">
        <v>4.5955663999999999E-3</v>
      </c>
    </row>
    <row r="31276" spans="103:104" x14ac:dyDescent="0.3">
      <c r="CY31276" s="34" t="s">
        <v>32202</v>
      </c>
      <c r="CZ31276" s="35">
        <v>3.5272592000000001E-3</v>
      </c>
    </row>
    <row r="31277" spans="103:104" x14ac:dyDescent="0.3">
      <c r="CY31277" s="34" t="s">
        <v>32203</v>
      </c>
      <c r="CZ31277" s="35">
        <v>4.5160688000000001E-3</v>
      </c>
    </row>
    <row r="31278" spans="103:104" x14ac:dyDescent="0.3">
      <c r="CY31278" s="34" t="s">
        <v>32204</v>
      </c>
      <c r="CZ31278" s="35">
        <v>1.1040239E-2</v>
      </c>
    </row>
    <row r="31279" spans="103:104" x14ac:dyDescent="0.3">
      <c r="CY31279" s="34" t="s">
        <v>32205</v>
      </c>
      <c r="CZ31279" s="35">
        <v>7.582872E-3</v>
      </c>
    </row>
    <row r="31280" spans="103:104" x14ac:dyDescent="0.3">
      <c r="CY31280" s="34" t="s">
        <v>32206</v>
      </c>
      <c r="CZ31280" s="35">
        <v>9.3497709999999998E-3</v>
      </c>
    </row>
    <row r="31281" spans="103:104" x14ac:dyDescent="0.3">
      <c r="CY31281" s="34" t="s">
        <v>32207</v>
      </c>
      <c r="CZ31281" s="35">
        <v>0.18128172210526317</v>
      </c>
    </row>
    <row r="31282" spans="103:104" x14ac:dyDescent="0.3">
      <c r="CY31282" s="34" t="s">
        <v>32208</v>
      </c>
      <c r="CZ31282" s="35">
        <v>0.14408877684210525</v>
      </c>
    </row>
    <row r="31283" spans="103:104" x14ac:dyDescent="0.3">
      <c r="CY31283" s="34" t="s">
        <v>32209</v>
      </c>
      <c r="CZ31283" s="35">
        <v>1.16213854E-2</v>
      </c>
    </row>
    <row r="31284" spans="103:104" x14ac:dyDescent="0.3">
      <c r="CY31284" s="34" t="s">
        <v>32210</v>
      </c>
      <c r="CZ31284" s="35">
        <v>1.34249998E-2</v>
      </c>
    </row>
    <row r="31285" spans="103:104" x14ac:dyDescent="0.3">
      <c r="CY31285" s="34" t="s">
        <v>32211</v>
      </c>
      <c r="CZ31285" s="35">
        <v>1.34249998E-2</v>
      </c>
    </row>
    <row r="31286" spans="103:104" x14ac:dyDescent="0.3">
      <c r="CY31286" s="34" t="s">
        <v>32212</v>
      </c>
      <c r="CZ31286" s="35">
        <v>7.2689159999999985E-3</v>
      </c>
    </row>
    <row r="31287" spans="103:104" x14ac:dyDescent="0.3">
      <c r="CY31287" s="34" t="s">
        <v>32213</v>
      </c>
      <c r="CZ31287" s="35">
        <v>5.5237960000000001E-3</v>
      </c>
    </row>
    <row r="31288" spans="103:104" x14ac:dyDescent="0.3">
      <c r="CY31288" s="34" t="s">
        <v>32214</v>
      </c>
      <c r="CZ31288" s="35">
        <v>7.8105479999999996E-3</v>
      </c>
    </row>
    <row r="31289" spans="103:104" x14ac:dyDescent="0.3">
      <c r="CY31289" s="34" t="s">
        <v>32215</v>
      </c>
      <c r="CZ31289" s="35">
        <v>2.4638140000000003E-2</v>
      </c>
    </row>
    <row r="31290" spans="103:104" x14ac:dyDescent="0.3">
      <c r="CY31290" s="34" t="s">
        <v>32216</v>
      </c>
      <c r="CZ31290" s="35">
        <v>1.7190685999999997E-2</v>
      </c>
    </row>
    <row r="31291" spans="103:104" x14ac:dyDescent="0.3">
      <c r="CY31291" s="34" t="s">
        <v>32217</v>
      </c>
      <c r="CZ31291" s="35">
        <v>2.6541849999999999E-2</v>
      </c>
    </row>
    <row r="31292" spans="103:104" x14ac:dyDescent="0.3">
      <c r="CY31292" s="34" t="s">
        <v>32218</v>
      </c>
      <c r="CZ31292" s="35">
        <v>4.1679430000000003E-2</v>
      </c>
    </row>
    <row r="31293" spans="103:104" x14ac:dyDescent="0.3">
      <c r="CY31293" s="34" t="s">
        <v>32219</v>
      </c>
      <c r="CZ31293" s="35">
        <v>5.0942499999999998E-3</v>
      </c>
    </row>
    <row r="31294" spans="103:104" x14ac:dyDescent="0.3">
      <c r="CY31294" s="34" t="s">
        <v>32220</v>
      </c>
      <c r="CZ31294" s="35">
        <v>4.7192933333333334E-3</v>
      </c>
    </row>
    <row r="31295" spans="103:104" x14ac:dyDescent="0.3">
      <c r="CY31295" s="34" t="s">
        <v>32221</v>
      </c>
      <c r="CZ31295" s="35">
        <v>9.0205192000000003E-3</v>
      </c>
    </row>
    <row r="31296" spans="103:104" x14ac:dyDescent="0.3">
      <c r="CY31296" s="34" t="s">
        <v>32222</v>
      </c>
      <c r="CZ31296" s="35">
        <v>5.2353440000000001E-4</v>
      </c>
    </row>
    <row r="31297" spans="103:104" x14ac:dyDescent="0.3">
      <c r="CY31297" s="34" t="s">
        <v>32223</v>
      </c>
      <c r="CZ31297" s="35">
        <v>3.3417353340000004E-2</v>
      </c>
    </row>
    <row r="31298" spans="103:104" x14ac:dyDescent="0.3">
      <c r="CY31298" s="34" t="s">
        <v>32224</v>
      </c>
      <c r="CZ31298" s="35">
        <v>6.6128499999999993E-2</v>
      </c>
    </row>
    <row r="31299" spans="103:104" x14ac:dyDescent="0.3">
      <c r="CY31299" s="34" t="s">
        <v>32225</v>
      </c>
      <c r="CZ31299" s="35">
        <v>6.114875789473684E-3</v>
      </c>
    </row>
    <row r="31300" spans="103:104" x14ac:dyDescent="0.3">
      <c r="CY31300" s="34" t="s">
        <v>32226</v>
      </c>
      <c r="CZ31300" s="35">
        <v>0.15236277599999998</v>
      </c>
    </row>
    <row r="31301" spans="103:104" x14ac:dyDescent="0.3">
      <c r="CY31301" s="34" t="s">
        <v>32227</v>
      </c>
      <c r="CZ31301" s="35">
        <v>0.15236277600000003</v>
      </c>
    </row>
    <row r="31302" spans="103:104" x14ac:dyDescent="0.3">
      <c r="CY31302" s="34" t="s">
        <v>32228</v>
      </c>
      <c r="CZ31302" s="35">
        <v>2.2579333999999999E-3</v>
      </c>
    </row>
    <row r="31303" spans="103:104" x14ac:dyDescent="0.3">
      <c r="CY31303" s="34" t="s">
        <v>32229</v>
      </c>
      <c r="CZ31303" s="35">
        <v>0.15038849999999998</v>
      </c>
    </row>
    <row r="31304" spans="103:104" x14ac:dyDescent="0.3">
      <c r="CY31304" s="34" t="s">
        <v>32230</v>
      </c>
      <c r="CZ31304" s="35">
        <v>0.1828494311111111</v>
      </c>
    </row>
    <row r="31305" spans="103:104" x14ac:dyDescent="0.3">
      <c r="CY31305" s="34" t="s">
        <v>32231</v>
      </c>
      <c r="CZ31305" s="35">
        <v>9.1864266666666656E-3</v>
      </c>
    </row>
    <row r="31306" spans="103:104" x14ac:dyDescent="0.3">
      <c r="CY31306" s="34" t="s">
        <v>32232</v>
      </c>
      <c r="CZ31306" s="35">
        <v>1.8366676800000002E-2</v>
      </c>
    </row>
    <row r="31307" spans="103:104" x14ac:dyDescent="0.3">
      <c r="CY31307" s="34" t="s">
        <v>32233</v>
      </c>
      <c r="CZ31307" s="35">
        <v>0.38513862000000004</v>
      </c>
    </row>
    <row r="31308" spans="103:104" x14ac:dyDescent="0.3">
      <c r="CY31308" s="34" t="s">
        <v>32234</v>
      </c>
      <c r="CZ31308" s="35">
        <v>0.34980532200000003</v>
      </c>
    </row>
    <row r="31309" spans="103:104" x14ac:dyDescent="0.3">
      <c r="CY31309" s="34" t="s">
        <v>32235</v>
      </c>
      <c r="CZ31309" s="35">
        <v>5.9595015999999994E-4</v>
      </c>
    </row>
    <row r="31310" spans="103:104" x14ac:dyDescent="0.3">
      <c r="CY31310" s="34" t="s">
        <v>32236</v>
      </c>
      <c r="CZ31310" s="35">
        <v>3.0616658666666664E-2</v>
      </c>
    </row>
    <row r="31311" spans="103:104" x14ac:dyDescent="0.3">
      <c r="CY31311" s="34" t="s">
        <v>32237</v>
      </c>
      <c r="CZ31311" s="35">
        <v>0.27054635199999999</v>
      </c>
    </row>
    <row r="31312" spans="103:104" x14ac:dyDescent="0.3">
      <c r="CY31312" s="34" t="s">
        <v>32238</v>
      </c>
      <c r="CZ31312" s="35">
        <v>0.21247195199999999</v>
      </c>
    </row>
    <row r="31313" spans="103:104" x14ac:dyDescent="0.3">
      <c r="CY31313" s="34" t="s">
        <v>32239</v>
      </c>
      <c r="CZ31313" s="35">
        <v>0.485975245</v>
      </c>
    </row>
    <row r="31314" spans="103:104" x14ac:dyDescent="0.3">
      <c r="CY31314" s="34" t="s">
        <v>32240</v>
      </c>
      <c r="CZ31314" s="35">
        <v>1.2893659999999999E-2</v>
      </c>
    </row>
    <row r="31315" spans="103:104" x14ac:dyDescent="0.3">
      <c r="CY31315" s="34" t="s">
        <v>32241</v>
      </c>
      <c r="CZ31315" s="35">
        <v>2.8549111999999998E-2</v>
      </c>
    </row>
    <row r="31316" spans="103:104" x14ac:dyDescent="0.3">
      <c r="CY31316" s="34" t="s">
        <v>32242</v>
      </c>
      <c r="CZ31316" s="35">
        <v>0.12575563799999998</v>
      </c>
    </row>
    <row r="31317" spans="103:104" x14ac:dyDescent="0.3">
      <c r="CY31317" s="34" t="s">
        <v>32243</v>
      </c>
      <c r="CZ31317" s="35">
        <v>1.9003145573333331E-2</v>
      </c>
    </row>
    <row r="31318" spans="103:104" x14ac:dyDescent="0.3">
      <c r="CY31318" s="34" t="s">
        <v>32244</v>
      </c>
      <c r="CZ31318" s="35">
        <v>1.9003145573333331E-2</v>
      </c>
    </row>
    <row r="31319" spans="103:104" x14ac:dyDescent="0.3">
      <c r="CY31319" s="34" t="s">
        <v>32245</v>
      </c>
      <c r="CZ31319" s="35">
        <v>2.0824890322540004E-2</v>
      </c>
    </row>
    <row r="31320" spans="103:104" x14ac:dyDescent="0.3">
      <c r="CY31320" s="34" t="s">
        <v>32246</v>
      </c>
      <c r="CZ31320" s="35">
        <v>2.0824890322540004E-2</v>
      </c>
    </row>
    <row r="31321" spans="103:104" x14ac:dyDescent="0.3">
      <c r="CY31321" s="34" t="s">
        <v>32247</v>
      </c>
      <c r="CZ31321" s="35">
        <v>1.4261992E-3</v>
      </c>
    </row>
    <row r="31322" spans="103:104" x14ac:dyDescent="0.3">
      <c r="CY31322" s="34" t="s">
        <v>32248</v>
      </c>
      <c r="CZ31322" s="35">
        <v>0.15752936800000003</v>
      </c>
    </row>
    <row r="31323" spans="103:104" x14ac:dyDescent="0.3">
      <c r="CY31323" s="34" t="s">
        <v>32249</v>
      </c>
      <c r="CZ31323" s="35">
        <v>0.15752936800000003</v>
      </c>
    </row>
    <row r="31324" spans="103:104" x14ac:dyDescent="0.3">
      <c r="CY31324" s="34" t="s">
        <v>32250</v>
      </c>
      <c r="CZ31324" s="35">
        <v>0.23016388500000001</v>
      </c>
    </row>
    <row r="31325" spans="103:104" x14ac:dyDescent="0.3">
      <c r="CY31325" s="34" t="s">
        <v>32251</v>
      </c>
      <c r="CZ31325" s="35">
        <v>0.24914512999999999</v>
      </c>
    </row>
    <row r="31326" spans="103:104" x14ac:dyDescent="0.3">
      <c r="CY31326" s="34" t="s">
        <v>32252</v>
      </c>
      <c r="CZ31326" s="35">
        <v>0.13585325600000003</v>
      </c>
    </row>
    <row r="31327" spans="103:104" x14ac:dyDescent="0.3">
      <c r="CY31327" s="34" t="s">
        <v>32253</v>
      </c>
      <c r="CZ31327" s="35">
        <v>6.7749784999999993E-2</v>
      </c>
    </row>
    <row r="31328" spans="103:104" x14ac:dyDescent="0.3">
      <c r="CY31328" s="34" t="s">
        <v>32254</v>
      </c>
      <c r="CZ31328" s="35">
        <v>0.155192784</v>
      </c>
    </row>
    <row r="31329" spans="103:104" x14ac:dyDescent="0.3">
      <c r="CY31329" s="34" t="s">
        <v>32255</v>
      </c>
      <c r="CZ31329" s="35">
        <v>0.121966028</v>
      </c>
    </row>
    <row r="31330" spans="103:104" x14ac:dyDescent="0.3">
      <c r="CY31330" s="34" t="s">
        <v>32256</v>
      </c>
      <c r="CZ31330" s="35">
        <v>0.13755875349999999</v>
      </c>
    </row>
    <row r="31331" spans="103:104" x14ac:dyDescent="0.3">
      <c r="CY31331" s="34" t="s">
        <v>32257</v>
      </c>
      <c r="CZ31331" s="35">
        <v>0.13899058480000001</v>
      </c>
    </row>
    <row r="31332" spans="103:104" x14ac:dyDescent="0.3">
      <c r="CY31332" s="34" t="s">
        <v>32258</v>
      </c>
      <c r="CZ31332" s="35">
        <v>8.1825055999999993E-2</v>
      </c>
    </row>
    <row r="31333" spans="103:104" x14ac:dyDescent="0.3">
      <c r="CY31333" s="34" t="s">
        <v>32259</v>
      </c>
      <c r="CZ31333" s="35">
        <v>0.11419462399999999</v>
      </c>
    </row>
    <row r="31334" spans="103:104" x14ac:dyDescent="0.3">
      <c r="CY31334" s="34" t="s">
        <v>32260</v>
      </c>
      <c r="CZ31334" s="35">
        <v>0.12595516799999998</v>
      </c>
    </row>
    <row r="31335" spans="103:104" x14ac:dyDescent="0.3">
      <c r="CY31335" s="34" t="s">
        <v>32261</v>
      </c>
      <c r="CZ31335" s="35">
        <v>0.13441860799999999</v>
      </c>
    </row>
    <row r="31336" spans="103:104" x14ac:dyDescent="0.3">
      <c r="CY31336" s="34" t="s">
        <v>32262</v>
      </c>
      <c r="CZ31336" s="35">
        <v>0.145280464</v>
      </c>
    </row>
    <row r="31337" spans="103:104" x14ac:dyDescent="0.3">
      <c r="CY31337" s="34" t="s">
        <v>32263</v>
      </c>
      <c r="CZ31337" s="35">
        <v>0.30889309000000004</v>
      </c>
    </row>
    <row r="31338" spans="103:104" x14ac:dyDescent="0.3">
      <c r="CY31338" s="34" t="s">
        <v>32264</v>
      </c>
      <c r="CZ31338" s="35">
        <v>1.4398000000000002E-3</v>
      </c>
    </row>
    <row r="31339" spans="103:104" x14ac:dyDescent="0.3">
      <c r="CY31339" s="34" t="s">
        <v>32265</v>
      </c>
      <c r="CZ31339" s="35">
        <v>4.2128871999999998E-2</v>
      </c>
    </row>
    <row r="31340" spans="103:104" x14ac:dyDescent="0.3">
      <c r="CY31340" s="34" t="s">
        <v>32266</v>
      </c>
      <c r="CZ31340" s="35">
        <v>6.2583986666666661E-2</v>
      </c>
    </row>
    <row r="31341" spans="103:104" x14ac:dyDescent="0.3">
      <c r="CY31341" s="34" t="s">
        <v>32267</v>
      </c>
      <c r="CZ31341" s="35">
        <v>7.3160431111111104E-2</v>
      </c>
    </row>
    <row r="31342" spans="103:104" x14ac:dyDescent="0.3">
      <c r="CY31342" s="34" t="s">
        <v>32268</v>
      </c>
      <c r="CZ31342" s="35">
        <v>0.11032926888888887</v>
      </c>
    </row>
    <row r="31343" spans="103:104" x14ac:dyDescent="0.3">
      <c r="CY31343" s="34" t="s">
        <v>32269</v>
      </c>
      <c r="CZ31343" s="35">
        <v>0.25501625555555557</v>
      </c>
    </row>
    <row r="31344" spans="103:104" x14ac:dyDescent="0.3">
      <c r="CY31344" s="34" t="s">
        <v>32270</v>
      </c>
      <c r="CZ31344" s="35">
        <v>0.3483358793969849</v>
      </c>
    </row>
    <row r="31345" spans="103:104" x14ac:dyDescent="0.3">
      <c r="CY31345" s="34" t="s">
        <v>32271</v>
      </c>
      <c r="CZ31345" s="35">
        <v>6.0871575999999986E-3</v>
      </c>
    </row>
    <row r="31346" spans="103:104" x14ac:dyDescent="0.3">
      <c r="CY31346" s="34" t="s">
        <v>32272</v>
      </c>
      <c r="CZ31346" s="35">
        <v>0.28006458000000006</v>
      </c>
    </row>
    <row r="31347" spans="103:104" x14ac:dyDescent="0.3">
      <c r="CY31347" s="34" t="s">
        <v>32273</v>
      </c>
      <c r="CZ31347" s="35">
        <v>0.91372492000000005</v>
      </c>
    </row>
    <row r="31348" spans="103:104" x14ac:dyDescent="0.3">
      <c r="CY31348" s="34" t="s">
        <v>32274</v>
      </c>
      <c r="CZ31348" s="35">
        <v>0.35422972670000002</v>
      </c>
    </row>
    <row r="31349" spans="103:104" x14ac:dyDescent="0.3">
      <c r="CY31349" s="34" t="s">
        <v>32275</v>
      </c>
      <c r="CZ31349" s="35">
        <v>5.0006816000000001E-3</v>
      </c>
    </row>
    <row r="31350" spans="103:104" x14ac:dyDescent="0.3">
      <c r="CY31350" s="34" t="s">
        <v>32276</v>
      </c>
      <c r="CZ31350" s="35">
        <v>4.1295499999999995E-4</v>
      </c>
    </row>
    <row r="31351" spans="103:104" x14ac:dyDescent="0.3">
      <c r="CY31351" s="34" t="s">
        <v>32277</v>
      </c>
      <c r="CZ31351" s="35">
        <v>1.4002969337499999E-3</v>
      </c>
    </row>
    <row r="31352" spans="103:104" x14ac:dyDescent="0.3">
      <c r="CY31352" s="34" t="s">
        <v>32278</v>
      </c>
      <c r="CZ31352" s="35">
        <v>1.2815282799999998E-3</v>
      </c>
    </row>
    <row r="31353" spans="103:104" x14ac:dyDescent="0.3">
      <c r="CY31353" s="34" t="s">
        <v>32279</v>
      </c>
      <c r="CZ31353" s="35">
        <v>8.8433604666666665E-2</v>
      </c>
    </row>
    <row r="31354" spans="103:104" x14ac:dyDescent="0.3">
      <c r="CY31354" s="34" t="s">
        <v>32280</v>
      </c>
      <c r="CZ31354" s="35">
        <v>3.4656744000000003E-2</v>
      </c>
    </row>
    <row r="31355" spans="103:104" x14ac:dyDescent="0.3">
      <c r="CY31355" s="34" t="s">
        <v>32281</v>
      </c>
      <c r="CZ31355" s="35">
        <v>9.9213575999999998E-3</v>
      </c>
    </row>
    <row r="31356" spans="103:104" x14ac:dyDescent="0.3">
      <c r="CY31356" s="34" t="s">
        <v>32282</v>
      </c>
      <c r="CZ31356" s="35">
        <v>0.12043800400000002</v>
      </c>
    </row>
    <row r="31357" spans="103:104" x14ac:dyDescent="0.3">
      <c r="CY31357" s="34" t="s">
        <v>32283</v>
      </c>
      <c r="CZ31357" s="35">
        <v>2.9847102399999995E-2</v>
      </c>
    </row>
    <row r="31358" spans="103:104" x14ac:dyDescent="0.3">
      <c r="CY31358" s="34" t="s">
        <v>32284</v>
      </c>
      <c r="CZ31358" s="35">
        <v>5.8499408000000003E-2</v>
      </c>
    </row>
    <row r="31359" spans="103:104" x14ac:dyDescent="0.3">
      <c r="CY31359" s="34" t="s">
        <v>32285</v>
      </c>
      <c r="CZ31359" s="35">
        <v>8.9968649999999997E-2</v>
      </c>
    </row>
    <row r="31360" spans="103:104" x14ac:dyDescent="0.3">
      <c r="CY31360" s="34" t="s">
        <v>32286</v>
      </c>
      <c r="CZ31360" s="35">
        <v>7.5068400000000005E-4</v>
      </c>
    </row>
    <row r="31361" spans="103:104" x14ac:dyDescent="0.3">
      <c r="CY31361" s="34" t="s">
        <v>32287</v>
      </c>
      <c r="CZ31361" s="35">
        <v>3.6325240000000003E-3</v>
      </c>
    </row>
    <row r="31362" spans="103:104" x14ac:dyDescent="0.3">
      <c r="CY31362" s="34" t="s">
        <v>32288</v>
      </c>
      <c r="CZ31362" s="35">
        <v>1.1694331199999998E-2</v>
      </c>
    </row>
    <row r="31363" spans="103:104" x14ac:dyDescent="0.3">
      <c r="CY31363" s="34" t="s">
        <v>32289</v>
      </c>
      <c r="CZ31363" s="35">
        <v>0.10754000515463917</v>
      </c>
    </row>
    <row r="31364" spans="103:104" x14ac:dyDescent="0.3">
      <c r="CY31364" s="34" t="s">
        <v>32290</v>
      </c>
      <c r="CZ31364" s="35">
        <v>0.10658253092783505</v>
      </c>
    </row>
    <row r="31365" spans="103:104" x14ac:dyDescent="0.3">
      <c r="CY31365" s="34" t="s">
        <v>32291</v>
      </c>
      <c r="CZ31365" s="35">
        <v>0.13017343333333334</v>
      </c>
    </row>
    <row r="31366" spans="103:104" x14ac:dyDescent="0.3">
      <c r="CY31366" s="34" t="s">
        <v>32292</v>
      </c>
      <c r="CZ31366" s="35">
        <v>6.1963648000000005E-3</v>
      </c>
    </row>
    <row r="31367" spans="103:104" x14ac:dyDescent="0.3">
      <c r="CY31367" s="34" t="s">
        <v>32293</v>
      </c>
      <c r="CZ31367" s="35">
        <v>1.49231116E-2</v>
      </c>
    </row>
    <row r="31368" spans="103:104" x14ac:dyDescent="0.3">
      <c r="CY31368" s="34" t="s">
        <v>32294</v>
      </c>
      <c r="CZ31368" s="35">
        <v>0.11344230800000001</v>
      </c>
    </row>
    <row r="31369" spans="103:104" x14ac:dyDescent="0.3">
      <c r="CY31369" s="34" t="s">
        <v>32295</v>
      </c>
      <c r="CZ31369" s="35">
        <v>0.14950648999999999</v>
      </c>
    </row>
    <row r="31370" spans="103:104" x14ac:dyDescent="0.3">
      <c r="CY31370" s="34" t="s">
        <v>32296</v>
      </c>
      <c r="CZ31370" s="35">
        <v>1.2578903499999999E-2</v>
      </c>
    </row>
    <row r="31371" spans="103:104" x14ac:dyDescent="0.3">
      <c r="CY31371" s="34" t="s">
        <v>32297</v>
      </c>
      <c r="CZ31371" s="35">
        <v>1.9332917300000002E-2</v>
      </c>
    </row>
    <row r="31372" spans="103:104" x14ac:dyDescent="0.3">
      <c r="CY31372" s="34" t="s">
        <v>32298</v>
      </c>
      <c r="CZ31372" s="35">
        <v>2.4424449000000001E-2</v>
      </c>
    </row>
    <row r="31373" spans="103:104" x14ac:dyDescent="0.3">
      <c r="CY31373" s="34" t="s">
        <v>32299</v>
      </c>
      <c r="CZ31373" s="35">
        <v>2.4424449000000001E-2</v>
      </c>
    </row>
    <row r="31374" spans="103:104" x14ac:dyDescent="0.3">
      <c r="CY31374" s="34" t="s">
        <v>32300</v>
      </c>
      <c r="CZ31374" s="35">
        <v>2.4424449000000001E-2</v>
      </c>
    </row>
    <row r="31375" spans="103:104" x14ac:dyDescent="0.3">
      <c r="CY31375" s="34" t="s">
        <v>32301</v>
      </c>
      <c r="CZ31375" s="35">
        <v>2.4424449000000001E-2</v>
      </c>
    </row>
    <row r="31376" spans="103:104" x14ac:dyDescent="0.3">
      <c r="CY31376" s="34" t="s">
        <v>32302</v>
      </c>
      <c r="CZ31376" s="35">
        <v>2.4424449000000001E-2</v>
      </c>
    </row>
    <row r="31377" spans="103:104" x14ac:dyDescent="0.3">
      <c r="CY31377" s="34" t="s">
        <v>32303</v>
      </c>
      <c r="CZ31377" s="35">
        <v>2.4424449000000001E-2</v>
      </c>
    </row>
    <row r="31378" spans="103:104" x14ac:dyDescent="0.3">
      <c r="CY31378" s="34" t="s">
        <v>32304</v>
      </c>
      <c r="CZ31378" s="35">
        <v>1.98733E-2</v>
      </c>
    </row>
    <row r="31379" spans="103:104" x14ac:dyDescent="0.3">
      <c r="CY31379" s="34" t="s">
        <v>32305</v>
      </c>
      <c r="CZ31379" s="35">
        <v>1.0659747058823532E-2</v>
      </c>
    </row>
    <row r="31380" spans="103:104" x14ac:dyDescent="0.3">
      <c r="CY31380" s="34" t="s">
        <v>32306</v>
      </c>
      <c r="CZ31380" s="35">
        <v>1.3544428571428571E-3</v>
      </c>
    </row>
    <row r="31381" spans="103:104" x14ac:dyDescent="0.3">
      <c r="CY31381" s="34" t="s">
        <v>32307</v>
      </c>
      <c r="CZ31381" s="35">
        <v>0.60060834000000007</v>
      </c>
    </row>
    <row r="31382" spans="103:104" x14ac:dyDescent="0.3">
      <c r="CY31382" s="34" t="s">
        <v>32308</v>
      </c>
      <c r="CZ31382" s="35">
        <v>0.606675090909091</v>
      </c>
    </row>
    <row r="31383" spans="103:104" x14ac:dyDescent="0.3">
      <c r="CY31383" s="34" t="s">
        <v>32309</v>
      </c>
      <c r="CZ31383" s="35">
        <v>0.7466148600000001</v>
      </c>
    </row>
    <row r="31384" spans="103:104" x14ac:dyDescent="0.3">
      <c r="CY31384" s="34" t="s">
        <v>32310</v>
      </c>
      <c r="CZ31384" s="35">
        <v>0.76970604123711339</v>
      </c>
    </row>
    <row r="31385" spans="103:104" x14ac:dyDescent="0.3">
      <c r="CY31385" s="34" t="s">
        <v>32311</v>
      </c>
      <c r="CZ31385" s="35">
        <v>4.2239218680000003E-2</v>
      </c>
    </row>
    <row r="31386" spans="103:104" x14ac:dyDescent="0.3">
      <c r="CY31386" s="34" t="s">
        <v>32312</v>
      </c>
      <c r="CZ31386" s="35">
        <v>5.2932235600000002E-2</v>
      </c>
    </row>
    <row r="31387" spans="103:104" x14ac:dyDescent="0.3">
      <c r="CY31387" s="34" t="s">
        <v>32313</v>
      </c>
      <c r="CZ31387" s="35">
        <v>2.7108767999999999E-3</v>
      </c>
    </row>
    <row r="31388" spans="103:104" x14ac:dyDescent="0.3">
      <c r="CY31388" s="34" t="s">
        <v>32314</v>
      </c>
      <c r="CZ31388" s="35">
        <v>0.34394709599999995</v>
      </c>
    </row>
    <row r="31389" spans="103:104" x14ac:dyDescent="0.3">
      <c r="CY31389" s="34" t="s">
        <v>32315</v>
      </c>
      <c r="CZ31389" s="35">
        <v>1.17942288E-4</v>
      </c>
    </row>
    <row r="31390" spans="103:104" x14ac:dyDescent="0.3">
      <c r="CY31390" s="34" t="s">
        <v>32316</v>
      </c>
      <c r="CZ31390" s="35">
        <v>5.3545359999999996E-4</v>
      </c>
    </row>
    <row r="31391" spans="103:104" x14ac:dyDescent="0.3">
      <c r="CY31391" s="34" t="s">
        <v>32317</v>
      </c>
      <c r="CZ31391" s="35">
        <v>3.3623712E-2</v>
      </c>
    </row>
    <row r="31392" spans="103:104" x14ac:dyDescent="0.3">
      <c r="CY31392" s="34" t="s">
        <v>32318</v>
      </c>
      <c r="CZ31392" s="35">
        <v>1.2619017894736841E-3</v>
      </c>
    </row>
    <row r="31393" spans="103:104" x14ac:dyDescent="0.3">
      <c r="CY31393" s="34" t="s">
        <v>32319</v>
      </c>
      <c r="CZ31393" s="35">
        <v>2.017114285714286E-2</v>
      </c>
    </row>
    <row r="31394" spans="103:104" x14ac:dyDescent="0.3">
      <c r="CY31394" s="34" t="s">
        <v>32320</v>
      </c>
      <c r="CZ31394" s="35">
        <v>3.4685519999999997E-2</v>
      </c>
    </row>
    <row r="31395" spans="103:104" x14ac:dyDescent="0.3">
      <c r="CY31395" s="34" t="s">
        <v>32321</v>
      </c>
      <c r="CZ31395" s="35">
        <v>8.4204279999999989E-3</v>
      </c>
    </row>
    <row r="31396" spans="103:104" x14ac:dyDescent="0.3">
      <c r="CY31396" s="34" t="s">
        <v>32322</v>
      </c>
      <c r="CZ31396" s="35">
        <v>8.2710007999999991E-3</v>
      </c>
    </row>
    <row r="31397" spans="103:104" x14ac:dyDescent="0.3">
      <c r="CY31397" s="34" t="s">
        <v>32323</v>
      </c>
      <c r="CZ31397" s="35">
        <v>8.2795147999999985E-2</v>
      </c>
    </row>
    <row r="31398" spans="103:104" x14ac:dyDescent="0.3">
      <c r="CY31398" s="34" t="s">
        <v>32324</v>
      </c>
      <c r="CZ31398" s="35">
        <v>3.6771528000000005E-2</v>
      </c>
    </row>
    <row r="31399" spans="103:104" x14ac:dyDescent="0.3">
      <c r="CY31399" s="34" t="s">
        <v>32325</v>
      </c>
      <c r="CZ31399" s="35">
        <v>2.5632016000000004E-3</v>
      </c>
    </row>
    <row r="31400" spans="103:104" x14ac:dyDescent="0.3">
      <c r="CY31400" s="34" t="s">
        <v>32326</v>
      </c>
      <c r="CZ31400" s="35">
        <v>0.194581384</v>
      </c>
    </row>
    <row r="31401" spans="103:104" x14ac:dyDescent="0.3">
      <c r="CY31401" s="34" t="s">
        <v>32327</v>
      </c>
      <c r="CZ31401" s="35">
        <v>0.22685705600000003</v>
      </c>
    </row>
    <row r="31402" spans="103:104" x14ac:dyDescent="0.3">
      <c r="CY31402" s="34" t="s">
        <v>32328</v>
      </c>
      <c r="CZ31402" s="35">
        <v>0.15093300000000001</v>
      </c>
    </row>
    <row r="31403" spans="103:104" x14ac:dyDescent="0.3">
      <c r="CY31403" s="34" t="s">
        <v>32329</v>
      </c>
      <c r="CZ31403" s="35">
        <v>0.16266836000000001</v>
      </c>
    </row>
    <row r="31404" spans="103:104" x14ac:dyDescent="0.3">
      <c r="CY31404" s="34" t="s">
        <v>32330</v>
      </c>
      <c r="CZ31404" s="35">
        <v>0.19385608800000001</v>
      </c>
    </row>
    <row r="31405" spans="103:104" x14ac:dyDescent="0.3">
      <c r="CY31405" s="34" t="s">
        <v>32331</v>
      </c>
      <c r="CZ31405" s="35">
        <v>0.100293464</v>
      </c>
    </row>
    <row r="31406" spans="103:104" x14ac:dyDescent="0.3">
      <c r="CY31406" s="34" t="s">
        <v>32332</v>
      </c>
      <c r="CZ31406" s="35">
        <v>4.9269042999999998E-3</v>
      </c>
    </row>
    <row r="31407" spans="103:104" x14ac:dyDescent="0.3">
      <c r="CY31407" s="34" t="s">
        <v>32333</v>
      </c>
      <c r="CZ31407" s="35">
        <v>5.3562175999999996E-2</v>
      </c>
    </row>
    <row r="31408" spans="103:104" x14ac:dyDescent="0.3">
      <c r="CY31408" s="34" t="s">
        <v>32334</v>
      </c>
      <c r="CZ31408" s="35">
        <v>0.51985866000000003</v>
      </c>
    </row>
    <row r="31409" spans="103:104" x14ac:dyDescent="0.3">
      <c r="CY31409" s="34" t="s">
        <v>32335</v>
      </c>
      <c r="CZ31409" s="35">
        <v>0.37556208340000002</v>
      </c>
    </row>
    <row r="31410" spans="103:104" x14ac:dyDescent="0.3">
      <c r="CY31410" s="34" t="s">
        <v>32336</v>
      </c>
      <c r="CZ31410" s="35">
        <v>1.0081711999999998E-2</v>
      </c>
    </row>
    <row r="31411" spans="103:104" x14ac:dyDescent="0.3">
      <c r="CY31411" s="34" t="s">
        <v>32337</v>
      </c>
      <c r="CZ31411" s="35">
        <v>4.9786800000000001E-3</v>
      </c>
    </row>
    <row r="31412" spans="103:104" x14ac:dyDescent="0.3">
      <c r="CY31412" s="34" t="s">
        <v>32338</v>
      </c>
      <c r="CZ31412" s="35">
        <v>5.8334299999999999E-2</v>
      </c>
    </row>
    <row r="31413" spans="103:104" x14ac:dyDescent="0.3">
      <c r="CY31413" s="34" t="s">
        <v>32339</v>
      </c>
      <c r="CZ31413" s="35">
        <v>4.3225E-3</v>
      </c>
    </row>
    <row r="31414" spans="103:104" x14ac:dyDescent="0.3">
      <c r="CY31414" s="34" t="s">
        <v>32340</v>
      </c>
      <c r="CZ31414" s="35">
        <v>5.6838745999999996E-2</v>
      </c>
    </row>
    <row r="31415" spans="103:104" x14ac:dyDescent="0.3">
      <c r="CY31415" s="34" t="s">
        <v>32341</v>
      </c>
      <c r="CZ31415" s="35">
        <v>0.73325107700000014</v>
      </c>
    </row>
    <row r="31416" spans="103:104" x14ac:dyDescent="0.3">
      <c r="CY31416" s="34" t="s">
        <v>32342</v>
      </c>
      <c r="CZ31416" s="35">
        <v>1.3674760000000001E-3</v>
      </c>
    </row>
    <row r="31417" spans="103:104" x14ac:dyDescent="0.3">
      <c r="CY31417" s="34" t="s">
        <v>32343</v>
      </c>
      <c r="CZ31417" s="35">
        <v>1.11878E-3</v>
      </c>
    </row>
    <row r="31418" spans="103:104" x14ac:dyDescent="0.3">
      <c r="CY31418" s="34" t="s">
        <v>32344</v>
      </c>
      <c r="CZ31418" s="35">
        <v>3.1290106660000006E-3</v>
      </c>
    </row>
    <row r="31419" spans="103:104" x14ac:dyDescent="0.3">
      <c r="CY31419" s="34" t="s">
        <v>32345</v>
      </c>
      <c r="CZ31419" s="35">
        <v>2.2837600000000001E-3</v>
      </c>
    </row>
    <row r="31420" spans="103:104" x14ac:dyDescent="0.3">
      <c r="CY31420" s="34" t="s">
        <v>32346</v>
      </c>
      <c r="CZ31420" s="35">
        <v>0.55129784000000004</v>
      </c>
    </row>
    <row r="31421" spans="103:104" x14ac:dyDescent="0.3">
      <c r="CY31421" s="34" t="s">
        <v>32347</v>
      </c>
      <c r="CZ31421" s="35">
        <v>0.36334654399999999</v>
      </c>
    </row>
    <row r="31422" spans="103:104" x14ac:dyDescent="0.3">
      <c r="CY31422" s="34" t="s">
        <v>32348</v>
      </c>
      <c r="CZ31422" s="35">
        <v>0.15798767625333332</v>
      </c>
    </row>
    <row r="31423" spans="103:104" x14ac:dyDescent="0.3">
      <c r="CY31423" s="34" t="s">
        <v>32349</v>
      </c>
      <c r="CZ31423" s="35">
        <v>5.5771575999999996E-2</v>
      </c>
    </row>
    <row r="31424" spans="103:104" x14ac:dyDescent="0.3">
      <c r="CY31424" s="34" t="s">
        <v>32350</v>
      </c>
      <c r="CZ31424" s="35">
        <v>9.429626499999999E-2</v>
      </c>
    </row>
    <row r="31425" spans="103:104" x14ac:dyDescent="0.3">
      <c r="CY31425" s="34" t="s">
        <v>32351</v>
      </c>
      <c r="CZ31425" s="35">
        <v>0.33195654400000002</v>
      </c>
    </row>
    <row r="31426" spans="103:104" x14ac:dyDescent="0.3">
      <c r="CY31426" s="34" t="s">
        <v>32352</v>
      </c>
      <c r="CZ31426" s="35">
        <v>0.13889705124999999</v>
      </c>
    </row>
    <row r="31427" spans="103:104" x14ac:dyDescent="0.3">
      <c r="CY31427" s="34" t="s">
        <v>32353</v>
      </c>
      <c r="CZ31427" s="35">
        <v>4.5343175999999999E-2</v>
      </c>
    </row>
    <row r="31428" spans="103:104" x14ac:dyDescent="0.3">
      <c r="CY31428" s="34" t="s">
        <v>32354</v>
      </c>
      <c r="CZ31428" s="35">
        <v>1.0820383599999999</v>
      </c>
    </row>
    <row r="31429" spans="103:104" x14ac:dyDescent="0.3">
      <c r="CY31429" s="34" t="s">
        <v>32355</v>
      </c>
      <c r="CZ31429" s="35">
        <v>0.91132792000000007</v>
      </c>
    </row>
    <row r="31430" spans="103:104" x14ac:dyDescent="0.3">
      <c r="CY31430" s="34" t="s">
        <v>32356</v>
      </c>
      <c r="CZ31430" s="35">
        <v>9.0597757999999987E-2</v>
      </c>
    </row>
    <row r="31431" spans="103:104" x14ac:dyDescent="0.3">
      <c r="CY31431" s="34" t="s">
        <v>32357</v>
      </c>
      <c r="CZ31431" s="35">
        <v>5.4571759999999997E-2</v>
      </c>
    </row>
    <row r="31432" spans="103:104" x14ac:dyDescent="0.3">
      <c r="CY31432" s="34" t="s">
        <v>32358</v>
      </c>
      <c r="CZ31432" s="35">
        <v>0.24067290000000002</v>
      </c>
    </row>
    <row r="31433" spans="103:104" x14ac:dyDescent="0.3">
      <c r="CY31433" s="34" t="s">
        <v>32359</v>
      </c>
      <c r="CZ31433" s="35">
        <v>0.16218757</v>
      </c>
    </row>
    <row r="31434" spans="103:104" x14ac:dyDescent="0.3">
      <c r="CY31434" s="34" t="s">
        <v>32360</v>
      </c>
      <c r="CZ31434" s="35">
        <v>0.60396521331999997</v>
      </c>
    </row>
    <row r="31435" spans="103:104" x14ac:dyDescent="0.3">
      <c r="CY31435" s="34" t="s">
        <v>32361</v>
      </c>
      <c r="CZ31435" s="35">
        <v>0.72166103331999998</v>
      </c>
    </row>
    <row r="31436" spans="103:104" x14ac:dyDescent="0.3">
      <c r="CY31436" s="34" t="s">
        <v>32362</v>
      </c>
      <c r="CZ31436" s="35">
        <v>0.6143511599999999</v>
      </c>
    </row>
    <row r="31437" spans="103:104" x14ac:dyDescent="0.3">
      <c r="CY31437" s="34" t="s">
        <v>32363</v>
      </c>
      <c r="CZ31437" s="35">
        <v>2.3708690666666667E-2</v>
      </c>
    </row>
    <row r="31438" spans="103:104" x14ac:dyDescent="0.3">
      <c r="CY31438" s="34" t="s">
        <v>32364</v>
      </c>
      <c r="CZ31438" s="35">
        <v>4.1334533299999997E-2</v>
      </c>
    </row>
    <row r="31439" spans="103:104" x14ac:dyDescent="0.3">
      <c r="CY31439" s="34" t="s">
        <v>32365</v>
      </c>
      <c r="CZ31439" s="35">
        <v>4.8561871999999999E-2</v>
      </c>
    </row>
    <row r="31440" spans="103:104" x14ac:dyDescent="0.3">
      <c r="CY31440" s="34" t="s">
        <v>32366</v>
      </c>
      <c r="CZ31440" s="35">
        <v>3.0647447999999997E-2</v>
      </c>
    </row>
    <row r="31441" spans="103:104" x14ac:dyDescent="0.3">
      <c r="CY31441" s="34" t="s">
        <v>32367</v>
      </c>
      <c r="CZ31441" s="35">
        <v>5.8100120000000007E-3</v>
      </c>
    </row>
    <row r="31442" spans="103:104" x14ac:dyDescent="0.3">
      <c r="CY31442" s="34" t="s">
        <v>32368</v>
      </c>
      <c r="CZ31442" s="35">
        <v>2.6783765300000002E-2</v>
      </c>
    </row>
    <row r="31443" spans="103:104" x14ac:dyDescent="0.3">
      <c r="CY31443" s="34" t="s">
        <v>32369</v>
      </c>
      <c r="CZ31443" s="35">
        <v>1.33434856E-2</v>
      </c>
    </row>
    <row r="31444" spans="103:104" x14ac:dyDescent="0.3">
      <c r="CY31444" s="34" t="s">
        <v>32370</v>
      </c>
      <c r="CZ31444" s="35">
        <v>5.9895680000000007E-3</v>
      </c>
    </row>
    <row r="31445" spans="103:104" x14ac:dyDescent="0.3">
      <c r="CY31445" s="34" t="s">
        <v>32371</v>
      </c>
      <c r="CZ31445" s="35">
        <v>1.5387594669999998</v>
      </c>
    </row>
    <row r="31446" spans="103:104" x14ac:dyDescent="0.3">
      <c r="CY31446" s="34" t="s">
        <v>32372</v>
      </c>
      <c r="CZ31446" s="35">
        <v>1.4304834745999999</v>
      </c>
    </row>
    <row r="31447" spans="103:104" x14ac:dyDescent="0.3">
      <c r="CY31447" s="34" t="s">
        <v>32373</v>
      </c>
      <c r="CZ31447" s="35">
        <v>1.5210529999999999E-3</v>
      </c>
    </row>
    <row r="31448" spans="103:104" x14ac:dyDescent="0.3">
      <c r="CY31448" s="34" t="s">
        <v>32374</v>
      </c>
      <c r="CZ31448" s="35">
        <v>5.74498E-4</v>
      </c>
    </row>
    <row r="31449" spans="103:104" x14ac:dyDescent="0.3">
      <c r="CY31449" s="34" t="s">
        <v>32375</v>
      </c>
      <c r="CZ31449" s="35">
        <v>5.74498E-4</v>
      </c>
    </row>
    <row r="31450" spans="103:104" x14ac:dyDescent="0.3">
      <c r="CY31450" s="34" t="s">
        <v>32376</v>
      </c>
      <c r="CZ31450" s="35">
        <v>2.9793875665384615</v>
      </c>
    </row>
    <row r="31451" spans="103:104" x14ac:dyDescent="0.3">
      <c r="CY31451" s="34" t="s">
        <v>32377</v>
      </c>
      <c r="CZ31451" s="35">
        <v>1.6490769734615383</v>
      </c>
    </row>
    <row r="31452" spans="103:104" x14ac:dyDescent="0.3">
      <c r="CY31452" s="34" t="s">
        <v>32378</v>
      </c>
      <c r="CZ31452" s="35">
        <v>5.9942262520000004E-2</v>
      </c>
    </row>
    <row r="31453" spans="103:104" x14ac:dyDescent="0.3">
      <c r="CY31453" s="34" t="s">
        <v>32379</v>
      </c>
      <c r="CZ31453" s="35">
        <v>0.42993832669999993</v>
      </c>
    </row>
    <row r="31454" spans="103:104" x14ac:dyDescent="0.3">
      <c r="CY31454" s="34" t="s">
        <v>32380</v>
      </c>
      <c r="CZ31454" s="35">
        <v>1.2499883999999999E-2</v>
      </c>
    </row>
    <row r="31455" spans="103:104" x14ac:dyDescent="0.3">
      <c r="CY31455" s="34" t="s">
        <v>32381</v>
      </c>
      <c r="CZ31455" s="35">
        <v>0.39426990000000001</v>
      </c>
    </row>
    <row r="31456" spans="103:104" x14ac:dyDescent="0.3">
      <c r="CY31456" s="34" t="s">
        <v>32382</v>
      </c>
      <c r="CZ31456" s="35">
        <v>6.9412080315789479E-2</v>
      </c>
    </row>
    <row r="31457" spans="103:104" x14ac:dyDescent="0.3">
      <c r="CY31457" s="34" t="s">
        <v>32383</v>
      </c>
      <c r="CZ31457" s="35">
        <v>4.3806253999999996E-2</v>
      </c>
    </row>
    <row r="31458" spans="103:104" x14ac:dyDescent="0.3">
      <c r="CY31458" s="34" t="s">
        <v>32384</v>
      </c>
      <c r="CZ31458" s="35">
        <v>0</v>
      </c>
    </row>
    <row r="31459" spans="103:104" x14ac:dyDescent="0.3">
      <c r="CY31459" s="34" t="s">
        <v>32385</v>
      </c>
      <c r="CZ31459" s="35">
        <v>8.1298480000000003E-3</v>
      </c>
    </row>
    <row r="31460" spans="103:104" x14ac:dyDescent="0.3">
      <c r="CY31460" s="34" t="s">
        <v>32386</v>
      </c>
      <c r="CZ31460" s="35">
        <v>0</v>
      </c>
    </row>
    <row r="31461" spans="103:104" x14ac:dyDescent="0.3">
      <c r="CY31461" s="34" t="s">
        <v>32387</v>
      </c>
      <c r="CZ31461" s="35">
        <v>2.4924284000000002E-3</v>
      </c>
    </row>
    <row r="31462" spans="103:104" x14ac:dyDescent="0.3">
      <c r="CY31462" s="34" t="s">
        <v>32388</v>
      </c>
      <c r="CZ31462" s="35">
        <v>0.22893284210526318</v>
      </c>
    </row>
    <row r="31463" spans="103:104" x14ac:dyDescent="0.3">
      <c r="CY31463" s="34" t="s">
        <v>32389</v>
      </c>
      <c r="CZ31463" s="35">
        <v>0.10714799999999999</v>
      </c>
    </row>
    <row r="31464" spans="103:104" x14ac:dyDescent="0.3">
      <c r="CY31464" s="34" t="s">
        <v>32390</v>
      </c>
      <c r="CZ31464" s="35">
        <v>4.3806253328571423E-2</v>
      </c>
    </row>
    <row r="31465" spans="103:104" x14ac:dyDescent="0.3">
      <c r="CY31465" s="34" t="s">
        <v>32391</v>
      </c>
      <c r="CZ31465" s="35">
        <v>0</v>
      </c>
    </row>
    <row r="31466" spans="103:104" x14ac:dyDescent="0.3">
      <c r="CY31466" s="34" t="s">
        <v>32392</v>
      </c>
      <c r="CZ31466" s="35">
        <v>8.1298480000000003E-3</v>
      </c>
    </row>
    <row r="31467" spans="103:104" x14ac:dyDescent="0.3">
      <c r="CY31467" s="34" t="s">
        <v>32393</v>
      </c>
      <c r="CZ31467" s="35">
        <v>0</v>
      </c>
    </row>
    <row r="31468" spans="103:104" x14ac:dyDescent="0.3">
      <c r="CY31468" s="34" t="s">
        <v>32394</v>
      </c>
      <c r="CZ31468" s="35">
        <v>3.2255588000000002E-2</v>
      </c>
    </row>
    <row r="31469" spans="103:104" x14ac:dyDescent="0.3">
      <c r="CY31469" s="34" t="s">
        <v>32395</v>
      </c>
      <c r="CZ31469" s="35">
        <v>1.7164336666666669E-2</v>
      </c>
    </row>
    <row r="31470" spans="103:104" x14ac:dyDescent="0.3">
      <c r="CY31470" s="34" t="s">
        <v>32396</v>
      </c>
      <c r="CZ31470" s="35">
        <v>5.5498509499999999E-3</v>
      </c>
    </row>
    <row r="31471" spans="103:104" x14ac:dyDescent="0.3">
      <c r="CY31471" s="34" t="s">
        <v>32397</v>
      </c>
      <c r="CZ31471" s="35">
        <v>5.1113455466799997E-3</v>
      </c>
    </row>
    <row r="31472" spans="103:104" x14ac:dyDescent="0.3">
      <c r="CY31472" s="34" t="s">
        <v>32398</v>
      </c>
      <c r="CZ31472" s="35">
        <v>5.5498509499999999E-3</v>
      </c>
    </row>
    <row r="31473" spans="103:104" x14ac:dyDescent="0.3">
      <c r="CY31473" s="34" t="s">
        <v>32399</v>
      </c>
      <c r="CZ31473" s="35">
        <v>6.8132902609000009E-3</v>
      </c>
    </row>
    <row r="31474" spans="103:104" x14ac:dyDescent="0.3">
      <c r="CY31474" s="34" t="s">
        <v>32400</v>
      </c>
      <c r="CZ31474" s="35">
        <v>5.5498509499999999E-3</v>
      </c>
    </row>
    <row r="31475" spans="103:104" x14ac:dyDescent="0.3">
      <c r="CY31475" s="34" t="s">
        <v>32401</v>
      </c>
      <c r="CZ31475" s="35">
        <v>5.1630900000000004E-3</v>
      </c>
    </row>
    <row r="31476" spans="103:104" x14ac:dyDescent="0.3">
      <c r="CY31476" s="34" t="s">
        <v>32402</v>
      </c>
      <c r="CZ31476" s="35">
        <v>0.20868572631578947</v>
      </c>
    </row>
    <row r="31477" spans="103:104" x14ac:dyDescent="0.3">
      <c r="CY31477" s="34" t="s">
        <v>32403</v>
      </c>
      <c r="CZ31477" s="35">
        <v>0.10714799999999999</v>
      </c>
    </row>
    <row r="31478" spans="103:104" x14ac:dyDescent="0.3">
      <c r="CY31478" s="34" t="s">
        <v>32404</v>
      </c>
      <c r="CZ31478" s="35">
        <v>3.5179850000000004E-3</v>
      </c>
    </row>
    <row r="31479" spans="103:104" x14ac:dyDescent="0.3">
      <c r="CY31479" s="34" t="s">
        <v>32405</v>
      </c>
      <c r="CZ31479" s="35">
        <v>1.2043853599999998E-2</v>
      </c>
    </row>
    <row r="31480" spans="103:104" x14ac:dyDescent="0.3">
      <c r="CY31480" s="34" t="s">
        <v>32406</v>
      </c>
      <c r="CZ31480" s="35">
        <v>2.3481839999999997E-2</v>
      </c>
    </row>
    <row r="31481" spans="103:104" x14ac:dyDescent="0.3">
      <c r="CY31481" s="34" t="s">
        <v>32407</v>
      </c>
      <c r="CZ31481" s="35">
        <v>9.2817439999999998E-3</v>
      </c>
    </row>
    <row r="31482" spans="103:104" x14ac:dyDescent="0.3">
      <c r="CY31482" s="34" t="s">
        <v>32408</v>
      </c>
      <c r="CZ31482" s="35">
        <v>1.5215546666666666E-3</v>
      </c>
    </row>
    <row r="31483" spans="103:104" x14ac:dyDescent="0.3">
      <c r="CY31483" s="34" t="s">
        <v>32409</v>
      </c>
      <c r="CZ31483" s="35">
        <v>1.3493307999999998E-3</v>
      </c>
    </row>
    <row r="31484" spans="103:104" x14ac:dyDescent="0.3">
      <c r="CY31484" s="34" t="s">
        <v>32410</v>
      </c>
      <c r="CZ31484" s="35">
        <v>8.6306575999999982E-2</v>
      </c>
    </row>
    <row r="31485" spans="103:104" x14ac:dyDescent="0.3">
      <c r="CY31485" s="34" t="s">
        <v>32411</v>
      </c>
      <c r="CZ31485" s="35">
        <v>8.6306575999999996E-2</v>
      </c>
    </row>
    <row r="31486" spans="103:104" x14ac:dyDescent="0.3">
      <c r="CY31486" s="34" t="s">
        <v>32412</v>
      </c>
      <c r="CZ31486" s="35">
        <v>3.5154472000000006E-2</v>
      </c>
    </row>
    <row r="31487" spans="103:104" x14ac:dyDescent="0.3">
      <c r="CY31487" s="34" t="s">
        <v>32413</v>
      </c>
      <c r="CZ31487" s="35">
        <v>4.6660440000000004E-2</v>
      </c>
    </row>
    <row r="31488" spans="103:104" x14ac:dyDescent="0.3">
      <c r="CY31488" s="34" t="s">
        <v>32414</v>
      </c>
      <c r="CZ31488" s="35">
        <v>9.2795575000000005E-2</v>
      </c>
    </row>
    <row r="31489" spans="103:104" x14ac:dyDescent="0.3">
      <c r="CY31489" s="34" t="s">
        <v>32415</v>
      </c>
      <c r="CZ31489" s="35">
        <v>5.652848500000001E-2</v>
      </c>
    </row>
    <row r="31490" spans="103:104" x14ac:dyDescent="0.3">
      <c r="CY31490" s="34" t="s">
        <v>32416</v>
      </c>
      <c r="CZ31490" s="35">
        <v>0.13407123500000001</v>
      </c>
    </row>
    <row r="31491" spans="103:104" x14ac:dyDescent="0.3">
      <c r="CY31491" s="34" t="s">
        <v>32417</v>
      </c>
      <c r="CZ31491" s="35">
        <v>1.2468975999999998E-3</v>
      </c>
    </row>
    <row r="31492" spans="103:104" x14ac:dyDescent="0.3">
      <c r="CY31492" s="34" t="s">
        <v>32418</v>
      </c>
      <c r="CZ31492" s="35">
        <v>2.8370177999999999E-2</v>
      </c>
    </row>
    <row r="31493" spans="103:104" x14ac:dyDescent="0.3">
      <c r="CY31493" s="34" t="s">
        <v>32419</v>
      </c>
      <c r="CZ31493" s="35">
        <v>2.8370177999999999E-2</v>
      </c>
    </row>
    <row r="31494" spans="103:104" x14ac:dyDescent="0.3">
      <c r="CY31494" s="34" t="s">
        <v>32420</v>
      </c>
      <c r="CZ31494" s="35">
        <v>5.3773899999999997E-4</v>
      </c>
    </row>
    <row r="31495" spans="103:104" x14ac:dyDescent="0.3">
      <c r="CY31495" s="34" t="s">
        <v>32421</v>
      </c>
      <c r="CZ31495" s="35">
        <v>6.3645680000000014E-4</v>
      </c>
    </row>
    <row r="31496" spans="103:104" x14ac:dyDescent="0.3">
      <c r="CY31496" s="34" t="s">
        <v>32422</v>
      </c>
      <c r="CZ31496" s="35">
        <v>0.71272029999999997</v>
      </c>
    </row>
    <row r="31497" spans="103:104" x14ac:dyDescent="0.3">
      <c r="CY31497" s="34" t="s">
        <v>32423</v>
      </c>
      <c r="CZ31497" s="35">
        <v>0.74661485999999999</v>
      </c>
    </row>
    <row r="31498" spans="103:104" x14ac:dyDescent="0.3">
      <c r="CY31498" s="34" t="s">
        <v>32424</v>
      </c>
      <c r="CZ31498" s="35">
        <v>0.42953175999999998</v>
      </c>
    </row>
    <row r="31499" spans="103:104" x14ac:dyDescent="0.3">
      <c r="CY31499" s="34" t="s">
        <v>32425</v>
      </c>
      <c r="CZ31499" s="35">
        <v>0.74011803999999992</v>
      </c>
    </row>
    <row r="31500" spans="103:104" x14ac:dyDescent="0.3">
      <c r="CY31500" s="34" t="s">
        <v>32426</v>
      </c>
      <c r="CZ31500" s="35">
        <v>0.79936886000000007</v>
      </c>
    </row>
    <row r="31501" spans="103:104" x14ac:dyDescent="0.3">
      <c r="CY31501" s="34" t="s">
        <v>32427</v>
      </c>
      <c r="CZ31501" s="35">
        <v>4.8811060000000003E-2</v>
      </c>
    </row>
    <row r="31502" spans="103:104" x14ac:dyDescent="0.3">
      <c r="CY31502" s="34" t="s">
        <v>32428</v>
      </c>
      <c r="CZ31502" s="35">
        <v>1.0948607999999999E-3</v>
      </c>
    </row>
    <row r="31503" spans="103:104" x14ac:dyDescent="0.3">
      <c r="CY31503" s="34" t="s">
        <v>32429</v>
      </c>
      <c r="CZ31503" s="35">
        <v>1.615256E-3</v>
      </c>
    </row>
    <row r="31504" spans="103:104" x14ac:dyDescent="0.3">
      <c r="CY31504" s="34" t="s">
        <v>32430</v>
      </c>
      <c r="CZ31504" s="35">
        <v>6.1687708045977015E-2</v>
      </c>
    </row>
    <row r="31505" spans="103:104" x14ac:dyDescent="0.3">
      <c r="CY31505" s="34" t="s">
        <v>32431</v>
      </c>
      <c r="CZ31505" s="35">
        <v>5.1001593684210533E-2</v>
      </c>
    </row>
    <row r="31506" spans="103:104" x14ac:dyDescent="0.3">
      <c r="CY31506" s="34" t="s">
        <v>32432</v>
      </c>
      <c r="CZ31506" s="35">
        <v>5.7018976470588227E-2</v>
      </c>
    </row>
    <row r="31507" spans="103:104" x14ac:dyDescent="0.3">
      <c r="CY31507" s="34" t="s">
        <v>32433</v>
      </c>
      <c r="CZ31507" s="35">
        <v>6.8239960000000002E-2</v>
      </c>
    </row>
    <row r="31508" spans="103:104" x14ac:dyDescent="0.3">
      <c r="CY31508" s="34" t="s">
        <v>32434</v>
      </c>
      <c r="CZ31508" s="35">
        <v>2.0349743999999999E-2</v>
      </c>
    </row>
    <row r="31509" spans="103:104" x14ac:dyDescent="0.3">
      <c r="CY31509" s="34" t="s">
        <v>32435</v>
      </c>
      <c r="CZ31509" s="35">
        <v>7.007564E-4</v>
      </c>
    </row>
    <row r="31510" spans="103:104" x14ac:dyDescent="0.3">
      <c r="CY31510" s="34" t="s">
        <v>32436</v>
      </c>
      <c r="CZ31510" s="35">
        <v>0.23042767111111112</v>
      </c>
    </row>
    <row r="31511" spans="103:104" x14ac:dyDescent="0.3">
      <c r="CY31511" s="34" t="s">
        <v>32437</v>
      </c>
      <c r="CZ31511" s="35">
        <v>3.9648253333333335E-2</v>
      </c>
    </row>
    <row r="31512" spans="103:104" x14ac:dyDescent="0.3">
      <c r="CY31512" s="34" t="s">
        <v>32438</v>
      </c>
      <c r="CZ31512" s="35">
        <v>3.9648253333333335E-2</v>
      </c>
    </row>
    <row r="31513" spans="103:104" x14ac:dyDescent="0.3">
      <c r="CY31513" s="34" t="s">
        <v>32439</v>
      </c>
      <c r="CZ31513" s="35">
        <v>0.52103390331999999</v>
      </c>
    </row>
    <row r="31514" spans="103:104" x14ac:dyDescent="0.3">
      <c r="CY31514" s="34" t="s">
        <v>32440</v>
      </c>
      <c r="CZ31514" s="35">
        <v>0.34876049999999997</v>
      </c>
    </row>
    <row r="31515" spans="103:104" x14ac:dyDescent="0.3">
      <c r="CY31515" s="34" t="s">
        <v>32441</v>
      </c>
      <c r="CZ31515" s="35">
        <v>0.15786507</v>
      </c>
    </row>
    <row r="31516" spans="103:104" x14ac:dyDescent="0.3">
      <c r="CY31516" s="34" t="s">
        <v>32442</v>
      </c>
      <c r="CZ31516" s="35">
        <v>0.77218425329999996</v>
      </c>
    </row>
    <row r="31517" spans="103:104" x14ac:dyDescent="0.3">
      <c r="CY31517" s="34" t="s">
        <v>32443</v>
      </c>
      <c r="CZ31517" s="35">
        <v>0.52142551999999998</v>
      </c>
    </row>
    <row r="31518" spans="103:104" x14ac:dyDescent="0.3">
      <c r="CY31518" s="34" t="s">
        <v>32444</v>
      </c>
      <c r="CZ31518" s="35">
        <v>0.23635040000000002</v>
      </c>
    </row>
    <row r="31519" spans="103:104" x14ac:dyDescent="0.3">
      <c r="CY31519" s="34" t="s">
        <v>32445</v>
      </c>
      <c r="CZ31519" s="35">
        <v>0.14667353999999999</v>
      </c>
    </row>
    <row r="31520" spans="103:104" x14ac:dyDescent="0.3">
      <c r="CY31520" s="34" t="s">
        <v>32446</v>
      </c>
      <c r="CZ31520" s="35">
        <v>8.1660930000000007E-2</v>
      </c>
    </row>
    <row r="31521" spans="103:104" x14ac:dyDescent="0.3">
      <c r="CY31521" s="34" t="s">
        <v>32447</v>
      </c>
      <c r="CZ31521" s="35">
        <v>4.4505770000000007E-2</v>
      </c>
    </row>
    <row r="31522" spans="103:104" x14ac:dyDescent="0.3">
      <c r="CY31522" s="34" t="s">
        <v>32448</v>
      </c>
      <c r="CZ31522" s="35">
        <v>0.1408953</v>
      </c>
    </row>
    <row r="31523" spans="103:104" x14ac:dyDescent="0.3">
      <c r="CY31523" s="34" t="s">
        <v>32449</v>
      </c>
      <c r="CZ31523" s="35">
        <v>8.8662626000000008E-2</v>
      </c>
    </row>
    <row r="31524" spans="103:104" x14ac:dyDescent="0.3">
      <c r="CY31524" s="34" t="s">
        <v>32450</v>
      </c>
      <c r="CZ31524" s="35">
        <v>8.8746850000000002E-3</v>
      </c>
    </row>
    <row r="31525" spans="103:104" x14ac:dyDescent="0.3">
      <c r="CY31525" s="34" t="s">
        <v>32451</v>
      </c>
      <c r="CZ31525" s="35">
        <v>1.4414649999999999E-2</v>
      </c>
    </row>
    <row r="31526" spans="103:104" x14ac:dyDescent="0.3">
      <c r="CY31526" s="34" t="s">
        <v>32452</v>
      </c>
      <c r="CZ31526" s="35">
        <v>0.70224725999999993</v>
      </c>
    </row>
    <row r="31527" spans="103:104" x14ac:dyDescent="0.3">
      <c r="CY31527" s="34" t="s">
        <v>32453</v>
      </c>
      <c r="CZ31527" s="35">
        <v>1.2597144000000001E-2</v>
      </c>
    </row>
    <row r="31528" spans="103:104" x14ac:dyDescent="0.3">
      <c r="CY31528" s="34" t="s">
        <v>32454</v>
      </c>
      <c r="CZ31528" s="35">
        <v>1.3220493142857144E-2</v>
      </c>
    </row>
    <row r="31529" spans="103:104" x14ac:dyDescent="0.3">
      <c r="CY31529" s="34" t="s">
        <v>32455</v>
      </c>
      <c r="CZ31529" s="35">
        <v>1.5624824000000001E-2</v>
      </c>
    </row>
    <row r="31530" spans="103:104" x14ac:dyDescent="0.3">
      <c r="CY31530" s="34" t="s">
        <v>32456</v>
      </c>
      <c r="CZ31530" s="35">
        <v>1.6044534736842104E-2</v>
      </c>
    </row>
    <row r="31531" spans="103:104" x14ac:dyDescent="0.3">
      <c r="CY31531" s="34" t="s">
        <v>32457</v>
      </c>
      <c r="CZ31531" s="35">
        <v>1.7062214736842107E-2</v>
      </c>
    </row>
    <row r="31532" spans="103:104" x14ac:dyDescent="0.3">
      <c r="CY31532" s="34" t="s">
        <v>32458</v>
      </c>
      <c r="CZ31532" s="35">
        <v>1.8324412631578947E-2</v>
      </c>
    </row>
    <row r="31533" spans="103:104" x14ac:dyDescent="0.3">
      <c r="CY31533" s="34" t="s">
        <v>32459</v>
      </c>
      <c r="CZ31533" s="35">
        <v>2.3790515666666668E-3</v>
      </c>
    </row>
    <row r="31534" spans="103:104" x14ac:dyDescent="0.3">
      <c r="CY31534" s="34" t="s">
        <v>32460</v>
      </c>
      <c r="CZ31534" s="35">
        <v>2.85613867396E-3</v>
      </c>
    </row>
    <row r="31535" spans="103:104" x14ac:dyDescent="0.3">
      <c r="CY31535" s="34" t="s">
        <v>32461</v>
      </c>
      <c r="CZ31535" s="35">
        <v>2.8251815999999999E-2</v>
      </c>
    </row>
    <row r="31536" spans="103:104" x14ac:dyDescent="0.3">
      <c r="CY31536" s="34" t="s">
        <v>32462</v>
      </c>
      <c r="CZ31536" s="35">
        <v>8.1448010000000006E-4</v>
      </c>
    </row>
    <row r="31537" spans="103:104" x14ac:dyDescent="0.3">
      <c r="CY31537" s="34" t="s">
        <v>32463</v>
      </c>
      <c r="CZ31537" s="35">
        <v>0.43103432499999994</v>
      </c>
    </row>
    <row r="31538" spans="103:104" x14ac:dyDescent="0.3">
      <c r="CY31538" s="34" t="s">
        <v>32464</v>
      </c>
      <c r="CZ31538" s="35">
        <v>2.8044144E-3</v>
      </c>
    </row>
    <row r="31539" spans="103:104" x14ac:dyDescent="0.3">
      <c r="CY31539" s="34" t="s">
        <v>32465</v>
      </c>
      <c r="CZ31539" s="35">
        <v>2.7719483E-2</v>
      </c>
    </row>
    <row r="31540" spans="103:104" x14ac:dyDescent="0.3">
      <c r="CY31540" s="34" t="s">
        <v>32466</v>
      </c>
      <c r="CZ31540" s="35">
        <v>1.1682183066666667E-2</v>
      </c>
    </row>
    <row r="31541" spans="103:104" x14ac:dyDescent="0.3">
      <c r="CY31541" s="34" t="s">
        <v>32467</v>
      </c>
      <c r="CZ31541" s="35">
        <v>1.7350870635400001E-2</v>
      </c>
    </row>
    <row r="31542" spans="103:104" x14ac:dyDescent="0.3">
      <c r="CY31542" s="34" t="s">
        <v>32468</v>
      </c>
      <c r="CZ31542" s="35">
        <v>1.7692448976589999E-2</v>
      </c>
    </row>
    <row r="31543" spans="103:104" x14ac:dyDescent="0.3">
      <c r="CY31543" s="34" t="s">
        <v>32469</v>
      </c>
      <c r="CZ31543" s="35">
        <v>1.0131668800000002E-2</v>
      </c>
    </row>
    <row r="31544" spans="103:104" x14ac:dyDescent="0.3">
      <c r="CY31544" s="34" t="s">
        <v>32470</v>
      </c>
      <c r="CZ31544" s="35">
        <v>1.01316688E-2</v>
      </c>
    </row>
    <row r="31545" spans="103:104" x14ac:dyDescent="0.3">
      <c r="CY31545" s="34" t="s">
        <v>32471</v>
      </c>
      <c r="CZ31545" s="35">
        <v>1.3798330000000001E-2</v>
      </c>
    </row>
    <row r="31546" spans="103:104" x14ac:dyDescent="0.3">
      <c r="CY31546" s="34" t="s">
        <v>32472</v>
      </c>
      <c r="CZ31546" s="35">
        <v>6.3460159999999995E-3</v>
      </c>
    </row>
    <row r="31547" spans="103:104" x14ac:dyDescent="0.3">
      <c r="CY31547" s="34" t="s">
        <v>32473</v>
      </c>
      <c r="CZ31547" s="35">
        <v>3.0929039999999996E-3</v>
      </c>
    </row>
    <row r="31548" spans="103:104" x14ac:dyDescent="0.3">
      <c r="CY31548" s="34" t="s">
        <v>32474</v>
      </c>
      <c r="CZ31548" s="35">
        <v>0.12156036666666667</v>
      </c>
    </row>
    <row r="31549" spans="103:104" x14ac:dyDescent="0.3">
      <c r="CY31549" s="34" t="s">
        <v>32475</v>
      </c>
      <c r="CZ31549" s="35">
        <v>1.13407023E-2</v>
      </c>
    </row>
    <row r="31550" spans="103:104" x14ac:dyDescent="0.3">
      <c r="CY31550" s="34" t="s">
        <v>32476</v>
      </c>
      <c r="CZ31550" s="35">
        <v>6.4742887999999998E-2</v>
      </c>
    </row>
    <row r="31551" spans="103:104" x14ac:dyDescent="0.3">
      <c r="CY31551" s="34" t="s">
        <v>32477</v>
      </c>
      <c r="CZ31551" s="35">
        <v>0.37400884000000001</v>
      </c>
    </row>
    <row r="31552" spans="103:104" x14ac:dyDescent="0.3">
      <c r="CY31552" s="34" t="s">
        <v>32478</v>
      </c>
      <c r="CZ31552" s="35">
        <v>0.46648367200000002</v>
      </c>
    </row>
    <row r="31553" spans="103:104" x14ac:dyDescent="0.3">
      <c r="CY31553" s="34" t="s">
        <v>32479</v>
      </c>
      <c r="CZ31553" s="35">
        <v>3.4409127999999997E-2</v>
      </c>
    </row>
    <row r="31554" spans="103:104" x14ac:dyDescent="0.3">
      <c r="CY31554" s="34" t="s">
        <v>32480</v>
      </c>
      <c r="CZ31554" s="35">
        <v>7.9026767999999983E-2</v>
      </c>
    </row>
    <row r="31555" spans="103:104" x14ac:dyDescent="0.3">
      <c r="CY31555" s="34" t="s">
        <v>32481</v>
      </c>
      <c r="CZ31555" s="35">
        <v>7.5725465999999992E-4</v>
      </c>
    </row>
    <row r="31556" spans="103:104" x14ac:dyDescent="0.3">
      <c r="CY31556" s="34" t="s">
        <v>32482</v>
      </c>
      <c r="CZ31556" s="35">
        <v>3.8529471999999999E-3</v>
      </c>
    </row>
    <row r="31557" spans="103:104" x14ac:dyDescent="0.3">
      <c r="CY31557" s="34" t="s">
        <v>32483</v>
      </c>
      <c r="CZ31557" s="35">
        <v>9.0519319999999986E-3</v>
      </c>
    </row>
    <row r="31558" spans="103:104" x14ac:dyDescent="0.3">
      <c r="CY31558" s="34" t="s">
        <v>32484</v>
      </c>
      <c r="CZ31558" s="35">
        <v>0.19324906315789478</v>
      </c>
    </row>
    <row r="31559" spans="103:104" x14ac:dyDescent="0.3">
      <c r="CY31559" s="34" t="s">
        <v>32485</v>
      </c>
      <c r="CZ31559" s="35">
        <v>0.10151563052631579</v>
      </c>
    </row>
    <row r="31560" spans="103:104" x14ac:dyDescent="0.3">
      <c r="CY31560" s="34" t="s">
        <v>32486</v>
      </c>
      <c r="CZ31560" s="35">
        <v>4.4666746E-2</v>
      </c>
    </row>
    <row r="31561" spans="103:104" x14ac:dyDescent="0.3">
      <c r="CY31561" s="34" t="s">
        <v>32487</v>
      </c>
      <c r="CZ31561" s="35">
        <v>7.6349424905263155E-2</v>
      </c>
    </row>
    <row r="31562" spans="103:104" x14ac:dyDescent="0.3">
      <c r="CY31562" s="34" t="s">
        <v>32488</v>
      </c>
      <c r="CZ31562" s="35">
        <v>0.11813290631578947</v>
      </c>
    </row>
    <row r="31563" spans="103:104" x14ac:dyDescent="0.3">
      <c r="CY31563" s="34" t="s">
        <v>32489</v>
      </c>
      <c r="CZ31563" s="35">
        <v>6.6252405263157899E-2</v>
      </c>
    </row>
    <row r="31564" spans="103:104" x14ac:dyDescent="0.3">
      <c r="CY31564" s="34" t="s">
        <v>32490</v>
      </c>
      <c r="CZ31564" s="35">
        <v>0.18655608595488726</v>
      </c>
    </row>
    <row r="31565" spans="103:104" x14ac:dyDescent="0.3">
      <c r="CY31565" s="34" t="s">
        <v>32491</v>
      </c>
      <c r="CZ31565" s="35">
        <v>8.2898412030075183E-2</v>
      </c>
    </row>
    <row r="31566" spans="103:104" x14ac:dyDescent="0.3">
      <c r="CY31566" s="34" t="s">
        <v>32492</v>
      </c>
      <c r="CZ31566" s="35">
        <v>7.4230248421052636E-2</v>
      </c>
    </row>
    <row r="31567" spans="103:104" x14ac:dyDescent="0.3">
      <c r="CY31567" s="34" t="s">
        <v>32493</v>
      </c>
      <c r="CZ31567" s="35">
        <v>7.8836446315789468E-2</v>
      </c>
    </row>
    <row r="31568" spans="103:104" x14ac:dyDescent="0.3">
      <c r="CY31568" s="34" t="s">
        <v>32494</v>
      </c>
      <c r="CZ31568" s="35">
        <v>7.9283598596491228E-2</v>
      </c>
    </row>
    <row r="31569" spans="103:104" x14ac:dyDescent="0.3">
      <c r="CY31569" s="34" t="s">
        <v>32495</v>
      </c>
      <c r="CZ31569" s="35">
        <v>7.2687791578947364E-2</v>
      </c>
    </row>
    <row r="31570" spans="103:104" x14ac:dyDescent="0.3">
      <c r="CY31570" s="34" t="s">
        <v>32496</v>
      </c>
      <c r="CZ31570" s="35">
        <v>4.9024120000000001E-3</v>
      </c>
    </row>
    <row r="31571" spans="103:104" x14ac:dyDescent="0.3">
      <c r="CY31571" s="34" t="s">
        <v>32497</v>
      </c>
      <c r="CZ31571" s="35">
        <v>1.8811616000000003E-2</v>
      </c>
    </row>
    <row r="31572" spans="103:104" x14ac:dyDescent="0.3">
      <c r="CY31572" s="34" t="s">
        <v>32498</v>
      </c>
      <c r="CZ31572" s="35">
        <v>2.9040017523809521E-2</v>
      </c>
    </row>
    <row r="31573" spans="103:104" x14ac:dyDescent="0.3">
      <c r="CY31573" s="34" t="s">
        <v>32499</v>
      </c>
      <c r="CZ31573" s="35">
        <v>3.0707293000000004E-2</v>
      </c>
    </row>
    <row r="31574" spans="103:104" x14ac:dyDescent="0.3">
      <c r="CY31574" s="34" t="s">
        <v>32500</v>
      </c>
      <c r="CZ31574" s="35">
        <v>1.4360116666666667E-2</v>
      </c>
    </row>
    <row r="31575" spans="103:104" x14ac:dyDescent="0.3">
      <c r="CY31575" s="34" t="s">
        <v>32501</v>
      </c>
      <c r="CZ31575" s="35">
        <v>0.27513642666666666</v>
      </c>
    </row>
    <row r="31576" spans="103:104" x14ac:dyDescent="0.3">
      <c r="CY31576" s="34" t="s">
        <v>32502</v>
      </c>
      <c r="CZ31576" s="35">
        <v>0.10841713719999999</v>
      </c>
    </row>
    <row r="31577" spans="103:104" x14ac:dyDescent="0.3">
      <c r="CY31577" s="34" t="s">
        <v>32503</v>
      </c>
      <c r="CZ31577" s="35">
        <v>2.2388978999999995E-3</v>
      </c>
    </row>
    <row r="31578" spans="103:104" x14ac:dyDescent="0.3">
      <c r="CY31578" s="34" t="s">
        <v>32504</v>
      </c>
      <c r="CZ31578" s="35">
        <v>2.2662199999999998E-3</v>
      </c>
    </row>
    <row r="31579" spans="103:104" x14ac:dyDescent="0.3">
      <c r="CY31579" s="34" t="s">
        <v>32505</v>
      </c>
      <c r="CZ31579" s="35">
        <v>3.2215015E-2</v>
      </c>
    </row>
    <row r="31580" spans="103:104" x14ac:dyDescent="0.3">
      <c r="CY31580" s="34" t="s">
        <v>32506</v>
      </c>
      <c r="CZ31580" s="35">
        <v>6.0277359999999997E-3</v>
      </c>
    </row>
    <row r="31581" spans="103:104" x14ac:dyDescent="0.3">
      <c r="CY31581" s="34" t="s">
        <v>32507</v>
      </c>
      <c r="CZ31581" s="35">
        <v>1.4083028E-3</v>
      </c>
    </row>
    <row r="31582" spans="103:104" x14ac:dyDescent="0.3">
      <c r="CY31582" s="34" t="s">
        <v>32508</v>
      </c>
      <c r="CZ31582" s="35">
        <v>7.4763919999999999E-4</v>
      </c>
    </row>
    <row r="31583" spans="103:104" x14ac:dyDescent="0.3">
      <c r="CY31583" s="34" t="s">
        <v>32509</v>
      </c>
      <c r="CZ31583" s="35">
        <v>0.44813924800000005</v>
      </c>
    </row>
    <row r="31584" spans="103:104" x14ac:dyDescent="0.3">
      <c r="CY31584" s="34" t="s">
        <v>32510</v>
      </c>
      <c r="CZ31584" s="35">
        <v>0.36023191999999993</v>
      </c>
    </row>
    <row r="31585" spans="103:104" x14ac:dyDescent="0.3">
      <c r="CY31585" s="34" t="s">
        <v>32511</v>
      </c>
      <c r="CZ31585" s="35">
        <v>3.854552E-2</v>
      </c>
    </row>
    <row r="31586" spans="103:104" x14ac:dyDescent="0.3">
      <c r="CY31586" s="34" t="s">
        <v>32512</v>
      </c>
      <c r="CZ31586" s="35">
        <v>2.0356551422222226E-2</v>
      </c>
    </row>
    <row r="31587" spans="103:104" x14ac:dyDescent="0.3">
      <c r="CY31587" s="34" t="s">
        <v>32513</v>
      </c>
      <c r="CZ31587" s="35">
        <v>0.15361800888888888</v>
      </c>
    </row>
    <row r="31588" spans="103:104" x14ac:dyDescent="0.3">
      <c r="CY31588" s="34" t="s">
        <v>32514</v>
      </c>
      <c r="CZ31588" s="35">
        <v>3.3311928888888884E-2</v>
      </c>
    </row>
    <row r="31589" spans="103:104" x14ac:dyDescent="0.3">
      <c r="CY31589" s="34" t="s">
        <v>32515</v>
      </c>
      <c r="CZ31589" s="35">
        <v>2.2766006588235296E-2</v>
      </c>
    </row>
    <row r="31590" spans="103:104" x14ac:dyDescent="0.3">
      <c r="CY31590" s="34" t="s">
        <v>32516</v>
      </c>
      <c r="CZ31590" s="35">
        <v>6.9010208888888896E-2</v>
      </c>
    </row>
    <row r="31591" spans="103:104" x14ac:dyDescent="0.3">
      <c r="CY31591" s="34" t="s">
        <v>32517</v>
      </c>
      <c r="CZ31591" s="35">
        <v>2.4852628533333334E-2</v>
      </c>
    </row>
    <row r="31592" spans="103:104" x14ac:dyDescent="0.3">
      <c r="CY31592" s="34" t="s">
        <v>32518</v>
      </c>
      <c r="CZ31592" s="35">
        <v>2.4867350756000002E-2</v>
      </c>
    </row>
    <row r="31593" spans="103:104" x14ac:dyDescent="0.3">
      <c r="CY31593" s="34" t="s">
        <v>32519</v>
      </c>
      <c r="CZ31593" s="35">
        <v>6.3524779816666654E-2</v>
      </c>
    </row>
    <row r="31594" spans="103:104" x14ac:dyDescent="0.3">
      <c r="CY31594" s="34" t="s">
        <v>32520</v>
      </c>
      <c r="CZ31594" s="35">
        <v>0</v>
      </c>
    </row>
    <row r="31595" spans="103:104" x14ac:dyDescent="0.3">
      <c r="CY31595" s="34" t="s">
        <v>32521</v>
      </c>
      <c r="CZ31595" s="35">
        <v>0</v>
      </c>
    </row>
    <row r="31596" spans="103:104" x14ac:dyDescent="0.3">
      <c r="CY31596" s="34" t="s">
        <v>32522</v>
      </c>
      <c r="CZ31596" s="35">
        <v>0</v>
      </c>
    </row>
    <row r="31597" spans="103:104" x14ac:dyDescent="0.3">
      <c r="CY31597" s="34" t="s">
        <v>32523</v>
      </c>
      <c r="CZ31597" s="35">
        <v>0</v>
      </c>
    </row>
    <row r="31598" spans="103:104" x14ac:dyDescent="0.3">
      <c r="CY31598" s="34" t="s">
        <v>32524</v>
      </c>
      <c r="CZ31598" s="35">
        <v>0</v>
      </c>
    </row>
    <row r="31599" spans="103:104" x14ac:dyDescent="0.3">
      <c r="CY31599" s="34" t="s">
        <v>32525</v>
      </c>
      <c r="CZ31599" s="35">
        <v>9.7628064000000007E-3</v>
      </c>
    </row>
    <row r="31600" spans="103:104" x14ac:dyDescent="0.3">
      <c r="CY31600" s="34" t="s">
        <v>32526</v>
      </c>
      <c r="CZ31600" s="35">
        <v>0</v>
      </c>
    </row>
    <row r="31601" spans="103:104" x14ac:dyDescent="0.3">
      <c r="CY31601" s="34" t="s">
        <v>32527</v>
      </c>
      <c r="CZ31601" s="35">
        <v>9.7628064000000007E-3</v>
      </c>
    </row>
    <row r="31602" spans="103:104" x14ac:dyDescent="0.3">
      <c r="CY31602" s="34" t="s">
        <v>32528</v>
      </c>
      <c r="CZ31602" s="35">
        <v>0</v>
      </c>
    </row>
    <row r="31603" spans="103:104" x14ac:dyDescent="0.3">
      <c r="CY31603" s="34" t="s">
        <v>32529</v>
      </c>
      <c r="CZ31603" s="35">
        <v>3.40712912E-3</v>
      </c>
    </row>
    <row r="31604" spans="103:104" x14ac:dyDescent="0.3">
      <c r="CY31604" s="34" t="s">
        <v>32530</v>
      </c>
      <c r="CZ31604" s="35">
        <v>0.57440062099999989</v>
      </c>
    </row>
    <row r="31605" spans="103:104" x14ac:dyDescent="0.3">
      <c r="CY31605" s="34" t="s">
        <v>32531</v>
      </c>
      <c r="CZ31605" s="35">
        <v>0.25942136300000002</v>
      </c>
    </row>
    <row r="31606" spans="103:104" x14ac:dyDescent="0.3">
      <c r="CY31606" s="34" t="s">
        <v>32532</v>
      </c>
      <c r="CZ31606" s="35">
        <v>8.7432651000000005E-4</v>
      </c>
    </row>
    <row r="31607" spans="103:104" x14ac:dyDescent="0.3">
      <c r="CY31607" s="34" t="s">
        <v>32533</v>
      </c>
      <c r="CZ31607" s="35">
        <v>0.24026066999999995</v>
      </c>
    </row>
    <row r="31608" spans="103:104" x14ac:dyDescent="0.3">
      <c r="CY31608" s="34" t="s">
        <v>32534</v>
      </c>
      <c r="CZ31608" s="35">
        <v>3.8728160000000005E-4</v>
      </c>
    </row>
    <row r="31609" spans="103:104" x14ac:dyDescent="0.3">
      <c r="CY31609" s="34" t="s">
        <v>32535</v>
      </c>
      <c r="CZ31609" s="35">
        <v>7.8293167999999996E-2</v>
      </c>
    </row>
    <row r="31610" spans="103:104" x14ac:dyDescent="0.3">
      <c r="CY31610" s="34" t="s">
        <v>32536</v>
      </c>
      <c r="CZ31610" s="35">
        <v>3.4543622400000008E-2</v>
      </c>
    </row>
    <row r="31611" spans="103:104" x14ac:dyDescent="0.3">
      <c r="CY31611" s="34" t="s">
        <v>32537</v>
      </c>
      <c r="CZ31611" s="35">
        <v>0.12633693300000001</v>
      </c>
    </row>
    <row r="31612" spans="103:104" x14ac:dyDescent="0.3">
      <c r="CY31612" s="34" t="s">
        <v>32538</v>
      </c>
      <c r="CZ31612" s="35">
        <v>7.921451999999999E-3</v>
      </c>
    </row>
    <row r="31613" spans="103:104" x14ac:dyDescent="0.3">
      <c r="CY31613" s="34" t="s">
        <v>32539</v>
      </c>
      <c r="CZ31613" s="35">
        <v>0.15733412266666666</v>
      </c>
    </row>
    <row r="31614" spans="103:104" x14ac:dyDescent="0.3">
      <c r="CY31614" s="34" t="s">
        <v>32540</v>
      </c>
      <c r="CZ31614" s="35">
        <v>0.31839251733333335</v>
      </c>
    </row>
    <row r="31615" spans="103:104" x14ac:dyDescent="0.3">
      <c r="CY31615" s="34" t="s">
        <v>32541</v>
      </c>
      <c r="CZ31615" s="35">
        <v>0.46988507999999996</v>
      </c>
    </row>
    <row r="31616" spans="103:104" x14ac:dyDescent="0.3">
      <c r="CY31616" s="34" t="s">
        <v>32542</v>
      </c>
      <c r="CZ31616" s="35">
        <v>0.236384389</v>
      </c>
    </row>
    <row r="31617" spans="103:104" x14ac:dyDescent="0.3">
      <c r="CY31617" s="34" t="s">
        <v>32543</v>
      </c>
      <c r="CZ31617" s="35">
        <v>0.15754115600000002</v>
      </c>
    </row>
    <row r="31618" spans="103:104" x14ac:dyDescent="0.3">
      <c r="CY31618" s="34" t="s">
        <v>32544</v>
      </c>
      <c r="CZ31618" s="35">
        <v>1.1949568000000001E-2</v>
      </c>
    </row>
    <row r="31619" spans="103:104" x14ac:dyDescent="0.3">
      <c r="CY31619" s="34" t="s">
        <v>32545</v>
      </c>
      <c r="CZ31619" s="35">
        <v>2.1465494799999998E-2</v>
      </c>
    </row>
    <row r="31620" spans="103:104" x14ac:dyDescent="0.3">
      <c r="CY31620" s="34" t="s">
        <v>32546</v>
      </c>
      <c r="CZ31620" s="35">
        <v>5.7607314000000007E-2</v>
      </c>
    </row>
    <row r="31621" spans="103:104" x14ac:dyDescent="0.3">
      <c r="CY31621" s="34" t="s">
        <v>32547</v>
      </c>
      <c r="CZ31621" s="35">
        <v>0.116936892</v>
      </c>
    </row>
    <row r="31622" spans="103:104" x14ac:dyDescent="0.3">
      <c r="CY31622" s="34" t="s">
        <v>32548</v>
      </c>
      <c r="CZ31622" s="35">
        <v>0.23825684800000002</v>
      </c>
    </row>
    <row r="31623" spans="103:104" x14ac:dyDescent="0.3">
      <c r="CY31623" s="34" t="s">
        <v>32549</v>
      </c>
      <c r="CZ31623" s="35">
        <v>6.4754069999999996E-4</v>
      </c>
    </row>
    <row r="31624" spans="103:104" x14ac:dyDescent="0.3">
      <c r="CY31624" s="34" t="s">
        <v>32550</v>
      </c>
      <c r="CZ31624" s="35">
        <v>6.4754070000000007E-4</v>
      </c>
    </row>
    <row r="31625" spans="103:104" x14ac:dyDescent="0.3">
      <c r="CY31625" s="34" t="s">
        <v>32551</v>
      </c>
      <c r="CZ31625" s="35">
        <v>3.9432769999999994E-3</v>
      </c>
    </row>
    <row r="31626" spans="103:104" x14ac:dyDescent="0.3">
      <c r="CY31626" s="34" t="s">
        <v>32552</v>
      </c>
      <c r="CZ31626" s="35">
        <v>6.4754070000000007E-4</v>
      </c>
    </row>
    <row r="31627" spans="103:104" x14ac:dyDescent="0.3">
      <c r="CY31627" s="34" t="s">
        <v>32553</v>
      </c>
      <c r="CZ31627" s="35">
        <v>1.7591779500000001E-3</v>
      </c>
    </row>
    <row r="31628" spans="103:104" x14ac:dyDescent="0.3">
      <c r="CY31628" s="34" t="s">
        <v>32554</v>
      </c>
      <c r="CZ31628" s="35">
        <v>4.3415624667999999E-3</v>
      </c>
    </row>
    <row r="31629" spans="103:104" x14ac:dyDescent="0.3">
      <c r="CY31629" s="34" t="s">
        <v>32555</v>
      </c>
      <c r="CZ31629" s="35">
        <v>1.8127815599999996E-2</v>
      </c>
    </row>
    <row r="31630" spans="103:104" x14ac:dyDescent="0.3">
      <c r="CY31630" s="34" t="s">
        <v>32556</v>
      </c>
      <c r="CZ31630" s="35">
        <v>5.3650604000000006E-3</v>
      </c>
    </row>
    <row r="31631" spans="103:104" x14ac:dyDescent="0.3">
      <c r="CY31631" s="34" t="s">
        <v>32557</v>
      </c>
      <c r="CZ31631" s="35">
        <v>7.1438660000000005E-3</v>
      </c>
    </row>
    <row r="31632" spans="103:104" x14ac:dyDescent="0.3">
      <c r="CY31632" s="34" t="s">
        <v>32558</v>
      </c>
      <c r="CZ31632" s="35">
        <v>1.4985638000000003E-2</v>
      </c>
    </row>
    <row r="31633" spans="103:104" x14ac:dyDescent="0.3">
      <c r="CY31633" s="34" t="s">
        <v>32559</v>
      </c>
      <c r="CZ31633" s="35">
        <v>0.19122925600000004</v>
      </c>
    </row>
    <row r="31634" spans="103:104" x14ac:dyDescent="0.3">
      <c r="CY31634" s="34" t="s">
        <v>32560</v>
      </c>
      <c r="CZ31634" s="35">
        <v>0.13923307599999998</v>
      </c>
    </row>
    <row r="31635" spans="103:104" x14ac:dyDescent="0.3">
      <c r="CY31635" s="34" t="s">
        <v>32561</v>
      </c>
      <c r="CZ31635" s="35">
        <v>0.30197264999999995</v>
      </c>
    </row>
    <row r="31636" spans="103:104" x14ac:dyDescent="0.3">
      <c r="CY31636" s="34" t="s">
        <v>32562</v>
      </c>
      <c r="CZ31636" s="35">
        <v>9.2650739999999995E-2</v>
      </c>
    </row>
    <row r="31637" spans="103:104" x14ac:dyDescent="0.3">
      <c r="CY31637" s="34" t="s">
        <v>32563</v>
      </c>
      <c r="CZ31637" s="35">
        <v>0.14202566736842104</v>
      </c>
    </row>
    <row r="31638" spans="103:104" x14ac:dyDescent="0.3">
      <c r="CY31638" s="34" t="s">
        <v>32564</v>
      </c>
      <c r="CZ31638" s="35">
        <v>6.0410588177777773E-2</v>
      </c>
    </row>
    <row r="31639" spans="103:104" x14ac:dyDescent="0.3">
      <c r="CY31639" s="34" t="s">
        <v>32565</v>
      </c>
      <c r="CZ31639" s="35">
        <v>8.9633789473684208E-3</v>
      </c>
    </row>
    <row r="31640" spans="103:104" x14ac:dyDescent="0.3">
      <c r="CY31640" s="34" t="s">
        <v>32566</v>
      </c>
      <c r="CZ31640" s="35">
        <v>2.1459383505154642E-2</v>
      </c>
    </row>
    <row r="31641" spans="103:104" x14ac:dyDescent="0.3">
      <c r="CY31641" s="34" t="s">
        <v>32567</v>
      </c>
      <c r="CZ31641" s="35">
        <v>1.7300152631578948E-2</v>
      </c>
    </row>
    <row r="31642" spans="103:104" x14ac:dyDescent="0.3">
      <c r="CY31642" s="34" t="s">
        <v>32568</v>
      </c>
      <c r="CZ31642" s="35">
        <v>3.7445332989690723E-2</v>
      </c>
    </row>
    <row r="31643" spans="103:104" x14ac:dyDescent="0.3">
      <c r="CY31643" s="34" t="s">
        <v>32569</v>
      </c>
      <c r="CZ31643" s="35">
        <v>7.349352E-3</v>
      </c>
    </row>
    <row r="31644" spans="103:104" x14ac:dyDescent="0.3">
      <c r="CY31644" s="34" t="s">
        <v>32570</v>
      </c>
      <c r="CZ31644" s="35">
        <v>6.5890039999999999E-3</v>
      </c>
    </row>
    <row r="31645" spans="103:104" x14ac:dyDescent="0.3">
      <c r="CY31645" s="34" t="s">
        <v>32571</v>
      </c>
      <c r="CZ31645" s="35">
        <v>7.0306235240000011E-3</v>
      </c>
    </row>
    <row r="31646" spans="103:104" x14ac:dyDescent="0.3">
      <c r="CY31646" s="34" t="s">
        <v>32572</v>
      </c>
      <c r="CZ31646" s="35">
        <v>1.1589988000000001E-2</v>
      </c>
    </row>
    <row r="31647" spans="103:104" x14ac:dyDescent="0.3">
      <c r="CY31647" s="34" t="s">
        <v>32573</v>
      </c>
      <c r="CZ31647" s="35">
        <v>3.9507796670000005E-2</v>
      </c>
    </row>
    <row r="31648" spans="103:104" x14ac:dyDescent="0.3">
      <c r="CY31648" s="34" t="s">
        <v>32574</v>
      </c>
      <c r="CZ31648" s="35">
        <v>9.0479263999999997E-3</v>
      </c>
    </row>
    <row r="31649" spans="103:104" x14ac:dyDescent="0.3">
      <c r="CY31649" s="34" t="s">
        <v>32575</v>
      </c>
      <c r="CZ31649" s="35">
        <v>0.22993650666666668</v>
      </c>
    </row>
    <row r="31650" spans="103:104" x14ac:dyDescent="0.3">
      <c r="CY31650" s="34" t="s">
        <v>32576</v>
      </c>
      <c r="CZ31650" s="35">
        <v>2.8914009999999997E-2</v>
      </c>
    </row>
    <row r="31651" spans="103:104" x14ac:dyDescent="0.3">
      <c r="CY31651" s="34" t="s">
        <v>32577</v>
      </c>
      <c r="CZ31651" s="35">
        <v>2.04731376E-2</v>
      </c>
    </row>
    <row r="31652" spans="103:104" x14ac:dyDescent="0.3">
      <c r="CY31652" s="34" t="s">
        <v>32578</v>
      </c>
      <c r="CZ31652" s="35">
        <v>4.4112499999999994E-3</v>
      </c>
    </row>
    <row r="31653" spans="103:104" x14ac:dyDescent="0.3">
      <c r="CY31653" s="34" t="s">
        <v>32579</v>
      </c>
      <c r="CZ31653" s="35">
        <v>0.1300959984</v>
      </c>
    </row>
    <row r="31654" spans="103:104" x14ac:dyDescent="0.3">
      <c r="CY31654" s="34" t="s">
        <v>32580</v>
      </c>
      <c r="CZ31654" s="35">
        <v>5.9942262500000003E-2</v>
      </c>
    </row>
    <row r="31655" spans="103:104" x14ac:dyDescent="0.3">
      <c r="CY31655" s="34" t="s">
        <v>32581</v>
      </c>
      <c r="CZ31655" s="35">
        <v>1.4300950999999999E-2</v>
      </c>
    </row>
    <row r="31656" spans="103:104" x14ac:dyDescent="0.3">
      <c r="CY31656" s="34" t="s">
        <v>32582</v>
      </c>
      <c r="CZ31656" s="35">
        <v>4.1702776999999998E-3</v>
      </c>
    </row>
    <row r="31657" spans="103:104" x14ac:dyDescent="0.3">
      <c r="CY31657" s="34" t="s">
        <v>32583</v>
      </c>
      <c r="CZ31657" s="35">
        <v>0.51912859999999994</v>
      </c>
    </row>
    <row r="31658" spans="103:104" x14ac:dyDescent="0.3">
      <c r="CY31658" s="34" t="s">
        <v>32584</v>
      </c>
      <c r="CZ31658" s="35">
        <v>0.86465488000000001</v>
      </c>
    </row>
    <row r="31659" spans="103:104" x14ac:dyDescent="0.3">
      <c r="CY31659" s="34" t="s">
        <v>32585</v>
      </c>
      <c r="CZ31659" s="35">
        <v>0.38220011999999998</v>
      </c>
    </row>
    <row r="31660" spans="103:104" x14ac:dyDescent="0.3">
      <c r="CY31660" s="34" t="s">
        <v>32586</v>
      </c>
      <c r="CZ31660" s="35">
        <v>0.62466231999999988</v>
      </c>
    </row>
    <row r="31661" spans="103:104" x14ac:dyDescent="0.3">
      <c r="CY31661" s="34" t="s">
        <v>32587</v>
      </c>
      <c r="CZ31661" s="35">
        <v>1.0689746E-2</v>
      </c>
    </row>
    <row r="31662" spans="103:104" x14ac:dyDescent="0.3">
      <c r="CY31662" s="34" t="s">
        <v>32588</v>
      </c>
      <c r="CZ31662" s="35">
        <v>1.1470994500000001E-2</v>
      </c>
    </row>
    <row r="31663" spans="103:104" x14ac:dyDescent="0.3">
      <c r="CY31663" s="34" t="s">
        <v>32589</v>
      </c>
      <c r="CZ31663" s="35">
        <v>4.9150599999999995E-4</v>
      </c>
    </row>
    <row r="31664" spans="103:104" x14ac:dyDescent="0.3">
      <c r="CY31664" s="34" t="s">
        <v>32590</v>
      </c>
      <c r="CZ31664" s="35">
        <v>1.3232672000000001E-2</v>
      </c>
    </row>
    <row r="31665" spans="103:104" x14ac:dyDescent="0.3">
      <c r="CY31665" s="34" t="s">
        <v>32591</v>
      </c>
      <c r="CZ31665" s="35">
        <v>3.1294385799999998E-2</v>
      </c>
    </row>
    <row r="31666" spans="103:104" x14ac:dyDescent="0.3">
      <c r="CY31666" s="34" t="s">
        <v>32592</v>
      </c>
      <c r="CZ31666" s="35">
        <v>1.5169927999999999E-2</v>
      </c>
    </row>
    <row r="31667" spans="103:104" x14ac:dyDescent="0.3">
      <c r="CY31667" s="34" t="s">
        <v>32593</v>
      </c>
      <c r="CZ31667" s="35">
        <v>2.7425483299999998E-2</v>
      </c>
    </row>
    <row r="31668" spans="103:104" x14ac:dyDescent="0.3">
      <c r="CY31668" s="34" t="s">
        <v>32594</v>
      </c>
      <c r="CZ31668" s="35">
        <v>3.5072374999999996E-2</v>
      </c>
    </row>
    <row r="31669" spans="103:104" x14ac:dyDescent="0.3">
      <c r="CY31669" s="34" t="s">
        <v>32595</v>
      </c>
      <c r="CZ31669" s="35">
        <v>3.1920452000000002E-2</v>
      </c>
    </row>
    <row r="31670" spans="103:104" x14ac:dyDescent="0.3">
      <c r="CY31670" s="34" t="s">
        <v>32596</v>
      </c>
      <c r="CZ31670" s="35">
        <v>3.5038372000000005E-2</v>
      </c>
    </row>
    <row r="31671" spans="103:104" x14ac:dyDescent="0.3">
      <c r="CY31671" s="34" t="s">
        <v>32597</v>
      </c>
      <c r="CZ31671" s="35">
        <v>0.14242690666666666</v>
      </c>
    </row>
    <row r="31672" spans="103:104" x14ac:dyDescent="0.3">
      <c r="CY31672" s="34" t="s">
        <v>32598</v>
      </c>
      <c r="CZ31672" s="35">
        <v>7.7161412000000013E-2</v>
      </c>
    </row>
    <row r="31673" spans="103:104" x14ac:dyDescent="0.3">
      <c r="CY31673" s="34" t="s">
        <v>32599</v>
      </c>
      <c r="CZ31673" s="35">
        <v>7.6709468000000003E-2</v>
      </c>
    </row>
    <row r="31674" spans="103:104" x14ac:dyDescent="0.3">
      <c r="CY31674" s="34" t="s">
        <v>32600</v>
      </c>
      <c r="CZ31674" s="35">
        <v>2.1350267999999999E-2</v>
      </c>
    </row>
    <row r="31675" spans="103:104" x14ac:dyDescent="0.3">
      <c r="CY31675" s="34" t="s">
        <v>32601</v>
      </c>
      <c r="CZ31675" s="35">
        <v>2.0654692E-3</v>
      </c>
    </row>
    <row r="31676" spans="103:104" x14ac:dyDescent="0.3">
      <c r="CY31676" s="34" t="s">
        <v>32602</v>
      </c>
      <c r="CZ31676" s="35">
        <v>9.586839400000001E-2</v>
      </c>
    </row>
    <row r="31677" spans="103:104" x14ac:dyDescent="0.3">
      <c r="CY31677" s="34" t="s">
        <v>32603</v>
      </c>
      <c r="CZ31677" s="35">
        <v>0.18295062105263157</v>
      </c>
    </row>
    <row r="31678" spans="103:104" x14ac:dyDescent="0.3">
      <c r="CY31678" s="34" t="s">
        <v>32604</v>
      </c>
      <c r="CZ31678" s="35">
        <v>9.4828489473684233E-2</v>
      </c>
    </row>
    <row r="31679" spans="103:104" x14ac:dyDescent="0.3">
      <c r="CY31679" s="34" t="s">
        <v>32605</v>
      </c>
      <c r="CZ31679" s="35">
        <v>0.19740114736842104</v>
      </c>
    </row>
    <row r="31680" spans="103:104" x14ac:dyDescent="0.3">
      <c r="CY31680" s="34" t="s">
        <v>32606</v>
      </c>
      <c r="CZ31680" s="35">
        <v>0.10000331052631579</v>
      </c>
    </row>
    <row r="31681" spans="103:104" x14ac:dyDescent="0.3">
      <c r="CY31681" s="34" t="s">
        <v>32607</v>
      </c>
      <c r="CZ31681" s="35">
        <v>3.1131392800000001E-2</v>
      </c>
    </row>
    <row r="31682" spans="103:104" x14ac:dyDescent="0.3">
      <c r="CY31682" s="34" t="s">
        <v>32608</v>
      </c>
      <c r="CZ31682" s="35">
        <v>4.8394267999999997E-2</v>
      </c>
    </row>
    <row r="31683" spans="103:104" x14ac:dyDescent="0.3">
      <c r="CY31683" s="34" t="s">
        <v>32609</v>
      </c>
      <c r="CZ31683" s="35">
        <v>6.0926488000000001E-2</v>
      </c>
    </row>
    <row r="31684" spans="103:104" x14ac:dyDescent="0.3">
      <c r="CY31684" s="34" t="s">
        <v>32610</v>
      </c>
      <c r="CZ31684" s="35">
        <v>0.15730053894736842</v>
      </c>
    </row>
    <row r="31685" spans="103:104" x14ac:dyDescent="0.3">
      <c r="CY31685" s="34" t="s">
        <v>32611</v>
      </c>
      <c r="CZ31685" s="35">
        <v>5.5764118000000001E-2</v>
      </c>
    </row>
    <row r="31686" spans="103:104" x14ac:dyDescent="0.3">
      <c r="CY31686" s="34" t="s">
        <v>32612</v>
      </c>
      <c r="CZ31686" s="35">
        <v>7.0774820999999988E-2</v>
      </c>
    </row>
    <row r="31687" spans="103:104" x14ac:dyDescent="0.3">
      <c r="CY31687" s="34" t="s">
        <v>32613</v>
      </c>
      <c r="CZ31687" s="35">
        <v>0.10859004</v>
      </c>
    </row>
    <row r="31688" spans="103:104" x14ac:dyDescent="0.3">
      <c r="CY31688" s="34" t="s">
        <v>32614</v>
      </c>
      <c r="CZ31688" s="35">
        <v>0.16759117600000004</v>
      </c>
    </row>
    <row r="31689" spans="103:104" x14ac:dyDescent="0.3">
      <c r="CY31689" s="34" t="s">
        <v>32615</v>
      </c>
      <c r="CZ31689" s="35">
        <v>8.0156593999999998E-2</v>
      </c>
    </row>
    <row r="31690" spans="103:104" x14ac:dyDescent="0.3">
      <c r="CY31690" s="34" t="s">
        <v>32616</v>
      </c>
      <c r="CZ31690" s="35">
        <v>0.10216304</v>
      </c>
    </row>
    <row r="31691" spans="103:104" x14ac:dyDescent="0.3">
      <c r="CY31691" s="34" t="s">
        <v>32617</v>
      </c>
      <c r="CZ31691" s="35">
        <v>0.11913238799999999</v>
      </c>
    </row>
    <row r="31692" spans="103:104" x14ac:dyDescent="0.3">
      <c r="CY31692" s="34" t="s">
        <v>32618</v>
      </c>
      <c r="CZ31692" s="35">
        <v>0.24862870400000001</v>
      </c>
    </row>
    <row r="31693" spans="103:104" x14ac:dyDescent="0.3">
      <c r="CY31693" s="34" t="s">
        <v>32619</v>
      </c>
      <c r="CZ31693" s="35">
        <v>4.6139879999999994E-2</v>
      </c>
    </row>
    <row r="31694" spans="103:104" x14ac:dyDescent="0.3">
      <c r="CY31694" s="34" t="s">
        <v>32620</v>
      </c>
      <c r="CZ31694" s="35">
        <v>7.8137480000000023E-3</v>
      </c>
    </row>
    <row r="31695" spans="103:104" x14ac:dyDescent="0.3">
      <c r="CY31695" s="34" t="s">
        <v>32621</v>
      </c>
      <c r="CZ31695" s="35">
        <v>3.8749001999999998E-3</v>
      </c>
    </row>
    <row r="31696" spans="103:104" x14ac:dyDescent="0.3">
      <c r="CY31696" s="34" t="s">
        <v>32622</v>
      </c>
      <c r="CZ31696" s="35">
        <v>1.18294981E-2</v>
      </c>
    </row>
    <row r="31697" spans="103:104" x14ac:dyDescent="0.3">
      <c r="CY31697" s="34" t="s">
        <v>32623</v>
      </c>
      <c r="CZ31697" s="35">
        <v>6.5327369904761906E-3</v>
      </c>
    </row>
    <row r="31698" spans="103:104" x14ac:dyDescent="0.3">
      <c r="CY31698" s="34" t="s">
        <v>32624</v>
      </c>
      <c r="CZ31698" s="35">
        <v>6.5327369904761906E-3</v>
      </c>
    </row>
    <row r="31699" spans="103:104" x14ac:dyDescent="0.3">
      <c r="CY31699" s="34" t="s">
        <v>32625</v>
      </c>
      <c r="CZ31699" s="35">
        <v>7.6219081904761914E-3</v>
      </c>
    </row>
    <row r="31700" spans="103:104" x14ac:dyDescent="0.3">
      <c r="CY31700" s="34" t="s">
        <v>32626</v>
      </c>
      <c r="CZ31700" s="35">
        <v>7.6219081904761914E-3</v>
      </c>
    </row>
    <row r="31701" spans="103:104" x14ac:dyDescent="0.3">
      <c r="CY31701" s="34" t="s">
        <v>32627</v>
      </c>
      <c r="CZ31701" s="35">
        <v>5.1351125546666668E-2</v>
      </c>
    </row>
    <row r="31702" spans="103:104" x14ac:dyDescent="0.3">
      <c r="CY31702" s="34" t="s">
        <v>32628</v>
      </c>
      <c r="CZ31702" s="35">
        <v>5.1719125546666668E-2</v>
      </c>
    </row>
    <row r="31703" spans="103:104" x14ac:dyDescent="0.3">
      <c r="CY31703" s="34" t="s">
        <v>32629</v>
      </c>
      <c r="CZ31703" s="35">
        <v>5.1719125546666668E-2</v>
      </c>
    </row>
    <row r="31704" spans="103:104" x14ac:dyDescent="0.3">
      <c r="CY31704" s="34" t="s">
        <v>32630</v>
      </c>
      <c r="CZ31704" s="35">
        <v>5.1285625544000006E-2</v>
      </c>
    </row>
    <row r="31705" spans="103:104" x14ac:dyDescent="0.3">
      <c r="CY31705" s="34" t="s">
        <v>32631</v>
      </c>
      <c r="CZ31705" s="35">
        <v>5.1351125546666668E-2</v>
      </c>
    </row>
    <row r="31706" spans="103:104" x14ac:dyDescent="0.3">
      <c r="CY31706" s="34" t="s">
        <v>32632</v>
      </c>
      <c r="CZ31706" s="35">
        <v>7.5135583333333332E-3</v>
      </c>
    </row>
    <row r="31707" spans="103:104" x14ac:dyDescent="0.3">
      <c r="CY31707" s="34" t="s">
        <v>32633</v>
      </c>
      <c r="CZ31707" s="35">
        <v>4.3629343216699999E-2</v>
      </c>
    </row>
    <row r="31708" spans="103:104" x14ac:dyDescent="0.3">
      <c r="CY31708" s="34" t="s">
        <v>32634</v>
      </c>
      <c r="CZ31708" s="35">
        <v>5.7611487999999992E-4</v>
      </c>
    </row>
    <row r="31709" spans="103:104" x14ac:dyDescent="0.3">
      <c r="CY31709" s="34" t="s">
        <v>32635</v>
      </c>
      <c r="CZ31709" s="35">
        <v>5.7420511999999993E-2</v>
      </c>
    </row>
    <row r="31710" spans="103:104" x14ac:dyDescent="0.3">
      <c r="CY31710" s="34" t="s">
        <v>32636</v>
      </c>
      <c r="CZ31710" s="35">
        <v>3.9585413350000003E-3</v>
      </c>
    </row>
    <row r="31711" spans="103:104" x14ac:dyDescent="0.3">
      <c r="CY31711" s="34" t="s">
        <v>32637</v>
      </c>
      <c r="CZ31711" s="35">
        <v>2.8898439999999995E-3</v>
      </c>
    </row>
    <row r="31712" spans="103:104" x14ac:dyDescent="0.3">
      <c r="CY31712" s="34" t="s">
        <v>32638</v>
      </c>
      <c r="CZ31712" s="35">
        <v>1.0998975999999998E-3</v>
      </c>
    </row>
    <row r="31713" spans="103:104" x14ac:dyDescent="0.3">
      <c r="CY31713" s="34" t="s">
        <v>32639</v>
      </c>
      <c r="CZ31713" s="35">
        <v>6.8639880000000006E-3</v>
      </c>
    </row>
    <row r="31714" spans="103:104" x14ac:dyDescent="0.3">
      <c r="CY31714" s="34" t="s">
        <v>32640</v>
      </c>
      <c r="CZ31714" s="35">
        <v>4.2040539583333338E-3</v>
      </c>
    </row>
    <row r="31715" spans="103:104" x14ac:dyDescent="0.3">
      <c r="CY31715" s="34" t="s">
        <v>32641</v>
      </c>
      <c r="CZ31715" s="35">
        <v>4.1992550000000007E-3</v>
      </c>
    </row>
    <row r="31716" spans="103:104" x14ac:dyDescent="0.3">
      <c r="CY31716" s="34" t="s">
        <v>32642</v>
      </c>
      <c r="CZ31716" s="35">
        <v>8.3693919999999998E-3</v>
      </c>
    </row>
    <row r="31717" spans="103:104" x14ac:dyDescent="0.3">
      <c r="CY31717" s="34" t="s">
        <v>32643</v>
      </c>
      <c r="CZ31717" s="35">
        <v>8.644391999999999E-3</v>
      </c>
    </row>
    <row r="31718" spans="103:104" x14ac:dyDescent="0.3">
      <c r="CY31718" s="34" t="s">
        <v>32644</v>
      </c>
      <c r="CZ31718" s="35">
        <v>0.1254255</v>
      </c>
    </row>
    <row r="31719" spans="103:104" x14ac:dyDescent="0.3">
      <c r="CY31719" s="34" t="s">
        <v>32645</v>
      </c>
      <c r="CZ31719" s="35">
        <v>0.12317755555555555</v>
      </c>
    </row>
    <row r="31720" spans="103:104" x14ac:dyDescent="0.3">
      <c r="CY31720" s="34" t="s">
        <v>32646</v>
      </c>
      <c r="CZ31720" s="35">
        <v>0.12317755555555555</v>
      </c>
    </row>
    <row r="31721" spans="103:104" x14ac:dyDescent="0.3">
      <c r="CY31721" s="34" t="s">
        <v>32647</v>
      </c>
      <c r="CZ31721" s="35">
        <v>0.12852734444444447</v>
      </c>
    </row>
    <row r="31722" spans="103:104" x14ac:dyDescent="0.3">
      <c r="CY31722" s="34" t="s">
        <v>32648</v>
      </c>
      <c r="CZ31722" s="35">
        <v>0.113036042</v>
      </c>
    </row>
    <row r="31723" spans="103:104" x14ac:dyDescent="0.3">
      <c r="CY31723" s="34" t="s">
        <v>32649</v>
      </c>
      <c r="CZ31723" s="35">
        <v>4.3659662266666663E-2</v>
      </c>
    </row>
    <row r="31724" spans="103:104" x14ac:dyDescent="0.3">
      <c r="CY31724" s="34" t="s">
        <v>32650</v>
      </c>
      <c r="CZ31724" s="35">
        <v>0.55253854999999996</v>
      </c>
    </row>
    <row r="31725" spans="103:104" x14ac:dyDescent="0.3">
      <c r="CY31725" s="34" t="s">
        <v>32651</v>
      </c>
      <c r="CZ31725" s="35">
        <v>0.5568650833333334</v>
      </c>
    </row>
    <row r="31726" spans="103:104" x14ac:dyDescent="0.3">
      <c r="CY31726" s="34" t="s">
        <v>32652</v>
      </c>
      <c r="CZ31726" s="35">
        <v>0.38697251999999999</v>
      </c>
    </row>
    <row r="31727" spans="103:104" x14ac:dyDescent="0.3">
      <c r="CY31727" s="34" t="s">
        <v>32653</v>
      </c>
      <c r="CZ31727" s="35">
        <v>0.15548423</v>
      </c>
    </row>
    <row r="31728" spans="103:104" x14ac:dyDescent="0.3">
      <c r="CY31728" s="34" t="s">
        <v>32654</v>
      </c>
      <c r="CZ31728" s="35">
        <v>0.22295700000000002</v>
      </c>
    </row>
    <row r="31729" spans="103:104" x14ac:dyDescent="0.3">
      <c r="CY31729" s="34" t="s">
        <v>32655</v>
      </c>
      <c r="CZ31729" s="35">
        <v>6.6381949333333325E-3</v>
      </c>
    </row>
    <row r="31730" spans="103:104" x14ac:dyDescent="0.3">
      <c r="CY31730" s="34" t="s">
        <v>32656</v>
      </c>
      <c r="CZ31730" s="35">
        <v>3.0824457142857146E-2</v>
      </c>
    </row>
    <row r="31731" spans="103:104" x14ac:dyDescent="0.3">
      <c r="CY31731" s="34" t="s">
        <v>32657</v>
      </c>
      <c r="CZ31731" s="35">
        <v>0.11288862400000001</v>
      </c>
    </row>
    <row r="31732" spans="103:104" x14ac:dyDescent="0.3">
      <c r="CY31732" s="34" t="s">
        <v>32658</v>
      </c>
      <c r="CZ31732" s="35">
        <v>0.70439800000000008</v>
      </c>
    </row>
    <row r="31733" spans="103:104" x14ac:dyDescent="0.3">
      <c r="CY31733" s="34" t="s">
        <v>32659</v>
      </c>
      <c r="CZ31733" s="35">
        <v>1.870685E-3</v>
      </c>
    </row>
    <row r="31734" spans="103:104" x14ac:dyDescent="0.3">
      <c r="CY31734" s="34" t="s">
        <v>32660</v>
      </c>
      <c r="CZ31734" s="35">
        <v>9.3277699999999998E-4</v>
      </c>
    </row>
    <row r="31735" spans="103:104" x14ac:dyDescent="0.3">
      <c r="CY31735" s="34" t="s">
        <v>32661</v>
      </c>
      <c r="CZ31735" s="35">
        <v>0.13521204999999997</v>
      </c>
    </row>
    <row r="31736" spans="103:104" x14ac:dyDescent="0.3">
      <c r="CY31736" s="34" t="s">
        <v>32662</v>
      </c>
      <c r="CZ31736" s="35">
        <v>2.2898024599999995E-3</v>
      </c>
    </row>
    <row r="31737" spans="103:104" x14ac:dyDescent="0.3">
      <c r="CY31737" s="34" t="s">
        <v>32663</v>
      </c>
      <c r="CZ31737" s="35">
        <v>2.7332204999999999E-3</v>
      </c>
    </row>
    <row r="31738" spans="103:104" x14ac:dyDescent="0.3">
      <c r="CY31738" s="34" t="s">
        <v>32664</v>
      </c>
      <c r="CZ31738" s="35">
        <v>2.0828562533333327E-3</v>
      </c>
    </row>
    <row r="31739" spans="103:104" x14ac:dyDescent="0.3">
      <c r="CY31739" s="34" t="s">
        <v>32665</v>
      </c>
      <c r="CZ31739" s="35">
        <v>1.0261144E-3</v>
      </c>
    </row>
    <row r="31740" spans="103:104" x14ac:dyDescent="0.3">
      <c r="CY31740" s="34" t="s">
        <v>32666</v>
      </c>
      <c r="CZ31740" s="35">
        <v>8.4678365299999989E-2</v>
      </c>
    </row>
    <row r="31741" spans="103:104" x14ac:dyDescent="0.3">
      <c r="CY31741" s="34" t="s">
        <v>32667</v>
      </c>
      <c r="CZ31741" s="35">
        <v>2.2205288000000004E-2</v>
      </c>
    </row>
    <row r="31742" spans="103:104" x14ac:dyDescent="0.3">
      <c r="CY31742" s="34" t="s">
        <v>32668</v>
      </c>
      <c r="CZ31742" s="35">
        <v>1.5116553599999999E-2</v>
      </c>
    </row>
    <row r="31743" spans="103:104" x14ac:dyDescent="0.3">
      <c r="CY31743" s="34" t="s">
        <v>32669</v>
      </c>
      <c r="CZ31743" s="35">
        <v>2.4704549999999994E-3</v>
      </c>
    </row>
    <row r="31744" spans="103:104" x14ac:dyDescent="0.3">
      <c r="CY31744" s="34" t="s">
        <v>32670</v>
      </c>
      <c r="CZ31744" s="35">
        <v>0.14473770899999999</v>
      </c>
    </row>
    <row r="31745" spans="103:104" x14ac:dyDescent="0.3">
      <c r="CY31745" s="34" t="s">
        <v>32671</v>
      </c>
      <c r="CZ31745" s="35">
        <v>1.4640414441666666E-2</v>
      </c>
    </row>
    <row r="31746" spans="103:104" x14ac:dyDescent="0.3">
      <c r="CY31746" s="34" t="s">
        <v>32672</v>
      </c>
      <c r="CZ31746" s="35">
        <v>4.4514959999999999E-2</v>
      </c>
    </row>
    <row r="31747" spans="103:104" x14ac:dyDescent="0.3">
      <c r="CY31747" s="34" t="s">
        <v>32673</v>
      </c>
      <c r="CZ31747" s="35">
        <v>5.1127604999999993E-2</v>
      </c>
    </row>
    <row r="31748" spans="103:104" x14ac:dyDescent="0.3">
      <c r="CY31748" s="34" t="s">
        <v>32674</v>
      </c>
      <c r="CZ31748" s="35">
        <v>1.8949066000000001E-2</v>
      </c>
    </row>
    <row r="31749" spans="103:104" x14ac:dyDescent="0.3">
      <c r="CY31749" s="34" t="s">
        <v>32675</v>
      </c>
      <c r="CZ31749" s="35">
        <v>3.312058823529412E-4</v>
      </c>
    </row>
    <row r="31750" spans="103:104" x14ac:dyDescent="0.3">
      <c r="CY31750" s="34" t="s">
        <v>32676</v>
      </c>
      <c r="CZ31750" s="35">
        <v>0.55060947000000005</v>
      </c>
    </row>
    <row r="31751" spans="103:104" x14ac:dyDescent="0.3">
      <c r="CY31751" s="34" t="s">
        <v>32677</v>
      </c>
      <c r="CZ31751" s="35">
        <v>0.53584667000000008</v>
      </c>
    </row>
    <row r="31752" spans="103:104" x14ac:dyDescent="0.3">
      <c r="CY31752" s="34" t="s">
        <v>32678</v>
      </c>
      <c r="CZ31752" s="35">
        <v>0.43876787</v>
      </c>
    </row>
    <row r="31753" spans="103:104" x14ac:dyDescent="0.3">
      <c r="CY31753" s="34" t="s">
        <v>32679</v>
      </c>
      <c r="CZ31753" s="35">
        <v>0.30354553643877552</v>
      </c>
    </row>
    <row r="31754" spans="103:104" x14ac:dyDescent="0.3">
      <c r="CY31754" s="34" t="s">
        <v>32680</v>
      </c>
      <c r="CZ31754" s="35">
        <v>9.6758000000000011E-2</v>
      </c>
    </row>
    <row r="31755" spans="103:104" x14ac:dyDescent="0.3">
      <c r="CY31755" s="34" t="s">
        <v>32681</v>
      </c>
      <c r="CZ31755" s="35">
        <v>0.48842267</v>
      </c>
    </row>
    <row r="31756" spans="103:104" x14ac:dyDescent="0.3">
      <c r="CY31756" s="34" t="s">
        <v>32682</v>
      </c>
      <c r="CZ31756" s="35">
        <v>0.51977347000000007</v>
      </c>
    </row>
    <row r="31757" spans="103:104" x14ac:dyDescent="0.3">
      <c r="CY31757" s="34" t="s">
        <v>32683</v>
      </c>
      <c r="CZ31757" s="35">
        <v>9.6153149999999993E-2</v>
      </c>
    </row>
    <row r="31758" spans="103:104" x14ac:dyDescent="0.3">
      <c r="CY31758" s="34" t="s">
        <v>32684</v>
      </c>
      <c r="CZ31758" s="35">
        <v>2.5542439999999996E-2</v>
      </c>
    </row>
    <row r="31759" spans="103:104" x14ac:dyDescent="0.3">
      <c r="CY31759" s="34" t="s">
        <v>32685</v>
      </c>
      <c r="CZ31759" s="35">
        <v>0.6143511599999999</v>
      </c>
    </row>
    <row r="31760" spans="103:104" x14ac:dyDescent="0.3">
      <c r="CY31760" s="34" t="s">
        <v>32686</v>
      </c>
      <c r="CZ31760" s="35">
        <v>3.0361438119999996E-3</v>
      </c>
    </row>
    <row r="31761" spans="103:104" x14ac:dyDescent="0.3">
      <c r="CY31761" s="34" t="s">
        <v>32687</v>
      </c>
      <c r="CZ31761" s="35">
        <v>1.661406E-3</v>
      </c>
    </row>
    <row r="31762" spans="103:104" x14ac:dyDescent="0.3">
      <c r="CY31762" s="34" t="s">
        <v>32688</v>
      </c>
      <c r="CZ31762" s="35">
        <v>0.13253582879999998</v>
      </c>
    </row>
    <row r="31763" spans="103:104" x14ac:dyDescent="0.3">
      <c r="CY31763" s="34" t="s">
        <v>32689</v>
      </c>
      <c r="CZ31763" s="35">
        <v>5.8939584000000005E-4</v>
      </c>
    </row>
    <row r="31764" spans="103:104" x14ac:dyDescent="0.3">
      <c r="CY31764" s="34" t="s">
        <v>32690</v>
      </c>
      <c r="CZ31764" s="35">
        <v>3.9616621879999994E-2</v>
      </c>
    </row>
    <row r="31765" spans="103:104" x14ac:dyDescent="0.3">
      <c r="CY31765" s="34" t="s">
        <v>32691</v>
      </c>
      <c r="CZ31765" s="35">
        <v>0.15140184399999998</v>
      </c>
    </row>
    <row r="31766" spans="103:104" x14ac:dyDescent="0.3">
      <c r="CY31766" s="34" t="s">
        <v>32692</v>
      </c>
      <c r="CZ31766" s="35">
        <v>6.0604832000000004E-2</v>
      </c>
    </row>
    <row r="31767" spans="103:104" x14ac:dyDescent="0.3">
      <c r="CY31767" s="34" t="s">
        <v>32693</v>
      </c>
      <c r="CZ31767" s="35">
        <v>7.4950304363636372E-4</v>
      </c>
    </row>
    <row r="31768" spans="103:104" x14ac:dyDescent="0.3">
      <c r="CY31768" s="34" t="s">
        <v>32694</v>
      </c>
      <c r="CZ31768" s="35">
        <v>9.7470181176470584E-3</v>
      </c>
    </row>
    <row r="31769" spans="103:104" x14ac:dyDescent="0.3">
      <c r="CY31769" s="34" t="s">
        <v>32695</v>
      </c>
      <c r="CZ31769" s="35">
        <v>1.0691040000000002E-3</v>
      </c>
    </row>
    <row r="31770" spans="103:104" x14ac:dyDescent="0.3">
      <c r="CY31770" s="34" t="s">
        <v>32696</v>
      </c>
      <c r="CZ31770" s="35">
        <v>2.2105632000000005E-3</v>
      </c>
    </row>
    <row r="31771" spans="103:104" x14ac:dyDescent="0.3">
      <c r="CY31771" s="34" t="s">
        <v>32697</v>
      </c>
      <c r="CZ31771" s="35">
        <v>2.895730315789474E-3</v>
      </c>
    </row>
    <row r="31772" spans="103:104" x14ac:dyDescent="0.3">
      <c r="CY31772" s="34" t="s">
        <v>32698</v>
      </c>
      <c r="CZ31772" s="35">
        <v>1.2426245600000002E-2</v>
      </c>
    </row>
    <row r="31773" spans="103:104" x14ac:dyDescent="0.3">
      <c r="CY31773" s="34" t="s">
        <v>32699</v>
      </c>
      <c r="CZ31773" s="35">
        <v>2.3367352666666671E-2</v>
      </c>
    </row>
    <row r="31774" spans="103:104" x14ac:dyDescent="0.3">
      <c r="CY31774" s="34" t="s">
        <v>32700</v>
      </c>
      <c r="CZ31774" s="35">
        <v>3.346808905263158E-3</v>
      </c>
    </row>
    <row r="31775" spans="103:104" x14ac:dyDescent="0.3">
      <c r="CY31775" s="34" t="s">
        <v>32701</v>
      </c>
      <c r="CZ31775" s="35">
        <v>1.1112340000000002E-2</v>
      </c>
    </row>
    <row r="31776" spans="103:104" x14ac:dyDescent="0.3">
      <c r="CY31776" s="34" t="s">
        <v>32702</v>
      </c>
      <c r="CZ31776" s="35">
        <v>1.1026090000000001E-2</v>
      </c>
    </row>
    <row r="31777" spans="103:104" x14ac:dyDescent="0.3">
      <c r="CY31777" s="34" t="s">
        <v>32703</v>
      </c>
      <c r="CZ31777" s="35">
        <v>0.27335706250000003</v>
      </c>
    </row>
    <row r="31778" spans="103:104" x14ac:dyDescent="0.3">
      <c r="CY31778" s="34" t="s">
        <v>32704</v>
      </c>
      <c r="CZ31778" s="35">
        <v>0.30000169599999998</v>
      </c>
    </row>
    <row r="31779" spans="103:104" x14ac:dyDescent="0.3">
      <c r="CY31779" s="34" t="s">
        <v>32705</v>
      </c>
      <c r="CZ31779" s="35">
        <v>5.8393760000000003E-3</v>
      </c>
    </row>
    <row r="31780" spans="103:104" x14ac:dyDescent="0.3">
      <c r="CY31780" s="34" t="s">
        <v>32706</v>
      </c>
      <c r="CZ31780" s="35">
        <v>7.8825158399999996E-4</v>
      </c>
    </row>
    <row r="31781" spans="103:104" x14ac:dyDescent="0.3">
      <c r="CY31781" s="34" t="s">
        <v>32707</v>
      </c>
      <c r="CZ31781" s="35">
        <v>5.3724416000000006E-3</v>
      </c>
    </row>
    <row r="31782" spans="103:104" x14ac:dyDescent="0.3">
      <c r="CY31782" s="34" t="s">
        <v>32708</v>
      </c>
      <c r="CZ31782" s="35">
        <v>1.5600949999999999E-2</v>
      </c>
    </row>
    <row r="31783" spans="103:104" x14ac:dyDescent="0.3">
      <c r="CY31783" s="34" t="s">
        <v>32709</v>
      </c>
      <c r="CZ31783" s="35">
        <v>1.6988504000000001E-2</v>
      </c>
    </row>
    <row r="31784" spans="103:104" x14ac:dyDescent="0.3">
      <c r="CY31784" s="34" t="s">
        <v>32710</v>
      </c>
      <c r="CZ31784" s="35">
        <v>1.6748504000000001E-2</v>
      </c>
    </row>
    <row r="31785" spans="103:104" x14ac:dyDescent="0.3">
      <c r="CY31785" s="34" t="s">
        <v>32711</v>
      </c>
      <c r="CZ31785" s="35">
        <v>6.8141827999999996E-3</v>
      </c>
    </row>
    <row r="31786" spans="103:104" x14ac:dyDescent="0.3">
      <c r="CY31786" s="34" t="s">
        <v>32712</v>
      </c>
      <c r="CZ31786" s="35">
        <v>6.3812999999999995E-2</v>
      </c>
    </row>
    <row r="31787" spans="103:104" x14ac:dyDescent="0.3">
      <c r="CY31787" s="34" t="s">
        <v>32713</v>
      </c>
      <c r="CZ31787" s="35">
        <v>8.3176660000000005E-4</v>
      </c>
    </row>
    <row r="31788" spans="103:104" x14ac:dyDescent="0.3">
      <c r="CY31788" s="34" t="s">
        <v>32714</v>
      </c>
      <c r="CZ31788" s="35">
        <v>5.3595497999999991E-2</v>
      </c>
    </row>
    <row r="31789" spans="103:104" x14ac:dyDescent="0.3">
      <c r="CY31789" s="34" t="s">
        <v>32715</v>
      </c>
      <c r="CZ31789" s="35">
        <v>5.3595497999999998E-2</v>
      </c>
    </row>
    <row r="31790" spans="103:104" x14ac:dyDescent="0.3">
      <c r="CY31790" s="34" t="s">
        <v>32716</v>
      </c>
      <c r="CZ31790" s="35">
        <v>2.3196554000000001E-2</v>
      </c>
    </row>
    <row r="31791" spans="103:104" x14ac:dyDescent="0.3">
      <c r="CY31791" s="34" t="s">
        <v>32717</v>
      </c>
      <c r="CZ31791" s="35">
        <v>4.4295366799999999E-2</v>
      </c>
    </row>
    <row r="31792" spans="103:104" x14ac:dyDescent="0.3">
      <c r="CY31792" s="34" t="s">
        <v>32718</v>
      </c>
      <c r="CZ31792" s="35">
        <v>3.2912872000000003E-2</v>
      </c>
    </row>
    <row r="31793" spans="103:104" x14ac:dyDescent="0.3">
      <c r="CY31793" s="34" t="s">
        <v>32719</v>
      </c>
      <c r="CZ31793" s="35">
        <v>3.6820147058823534E-2</v>
      </c>
    </row>
    <row r="31794" spans="103:104" x14ac:dyDescent="0.3">
      <c r="CY31794" s="34" t="s">
        <v>32720</v>
      </c>
      <c r="CZ31794" s="35">
        <v>7.0766407955689834E-3</v>
      </c>
    </row>
    <row r="31795" spans="103:104" x14ac:dyDescent="0.3">
      <c r="CY31795" s="34" t="s">
        <v>32721</v>
      </c>
      <c r="CZ31795" s="35">
        <v>7.8645264999999999E-3</v>
      </c>
    </row>
    <row r="31796" spans="103:104" x14ac:dyDescent="0.3">
      <c r="CY31796" s="34" t="s">
        <v>32722</v>
      </c>
      <c r="CZ31796" s="35">
        <v>6.7570455999999999E-3</v>
      </c>
    </row>
    <row r="31797" spans="103:104" x14ac:dyDescent="0.3">
      <c r="CY31797" s="34" t="s">
        <v>32723</v>
      </c>
      <c r="CZ31797" s="35">
        <v>6.3754670099999992E-3</v>
      </c>
    </row>
    <row r="31798" spans="103:104" x14ac:dyDescent="0.3">
      <c r="CY31798" s="34" t="s">
        <v>32724</v>
      </c>
      <c r="CZ31798" s="35">
        <v>6.61903341E-3</v>
      </c>
    </row>
    <row r="31799" spans="103:104" x14ac:dyDescent="0.3">
      <c r="CY31799" s="34" t="s">
        <v>32725</v>
      </c>
      <c r="CZ31799" s="35">
        <v>3.8602080000000004E-3</v>
      </c>
    </row>
    <row r="31800" spans="103:104" x14ac:dyDescent="0.3">
      <c r="CY31800" s="34" t="s">
        <v>32726</v>
      </c>
      <c r="CZ31800" s="35">
        <v>3.0973157333333334E-2</v>
      </c>
    </row>
    <row r="31801" spans="103:104" x14ac:dyDescent="0.3">
      <c r="CY31801" s="34" t="s">
        <v>32727</v>
      </c>
      <c r="CZ31801" s="35">
        <v>1.0441706399999999</v>
      </c>
    </row>
    <row r="31802" spans="103:104" x14ac:dyDescent="0.3">
      <c r="CY31802" s="34" t="s">
        <v>32728</v>
      </c>
      <c r="CZ31802" s="35">
        <v>1.7565345999999999E-3</v>
      </c>
    </row>
    <row r="31803" spans="103:104" x14ac:dyDescent="0.3">
      <c r="CY31803" s="34" t="s">
        <v>32729</v>
      </c>
      <c r="CZ31803" s="35">
        <v>1.1722937999999999E-3</v>
      </c>
    </row>
    <row r="31804" spans="103:104" x14ac:dyDescent="0.3">
      <c r="CY31804" s="34" t="s">
        <v>32730</v>
      </c>
      <c r="CZ31804" s="35">
        <v>1.0136729999999997E-3</v>
      </c>
    </row>
    <row r="31805" spans="103:104" x14ac:dyDescent="0.3">
      <c r="CY31805" s="34" t="s">
        <v>32731</v>
      </c>
      <c r="CZ31805" s="35">
        <v>0.21937776000000003</v>
      </c>
    </row>
    <row r="31806" spans="103:104" x14ac:dyDescent="0.3">
      <c r="CY31806" s="34" t="s">
        <v>32732</v>
      </c>
      <c r="CZ31806" s="35">
        <v>0.153868</v>
      </c>
    </row>
    <row r="31807" spans="103:104" x14ac:dyDescent="0.3">
      <c r="CY31807" s="34" t="s">
        <v>32733</v>
      </c>
      <c r="CZ31807" s="35">
        <v>5.8177599999999999E-3</v>
      </c>
    </row>
    <row r="31808" spans="103:104" x14ac:dyDescent="0.3">
      <c r="CY31808" s="34" t="s">
        <v>32734</v>
      </c>
      <c r="CZ31808" s="35">
        <v>4.9375889999999999E-2</v>
      </c>
    </row>
    <row r="31809" spans="103:104" x14ac:dyDescent="0.3">
      <c r="CY31809" s="34" t="s">
        <v>32735</v>
      </c>
      <c r="CZ31809" s="35">
        <v>0.37279273599999996</v>
      </c>
    </row>
    <row r="31810" spans="103:104" x14ac:dyDescent="0.3">
      <c r="CY31810" s="34" t="s">
        <v>32736</v>
      </c>
      <c r="CZ31810" s="35">
        <v>0.19540589330000002</v>
      </c>
    </row>
    <row r="31811" spans="103:104" x14ac:dyDescent="0.3">
      <c r="CY31811" s="34" t="s">
        <v>32737</v>
      </c>
      <c r="CZ31811" s="35">
        <v>0.25202343199999999</v>
      </c>
    </row>
    <row r="31812" spans="103:104" x14ac:dyDescent="0.3">
      <c r="CY31812" s="34" t="s">
        <v>32738</v>
      </c>
      <c r="CZ31812" s="35">
        <v>0.20905324800000002</v>
      </c>
    </row>
    <row r="31813" spans="103:104" x14ac:dyDescent="0.3">
      <c r="CY31813" s="34" t="s">
        <v>32739</v>
      </c>
      <c r="CZ31813" s="35">
        <v>5.7536035999999992E-2</v>
      </c>
    </row>
    <row r="31814" spans="103:104" x14ac:dyDescent="0.3">
      <c r="CY31814" s="34" t="s">
        <v>32740</v>
      </c>
      <c r="CZ31814" s="35">
        <v>2.9000345400000002E-2</v>
      </c>
    </row>
    <row r="31815" spans="103:104" x14ac:dyDescent="0.3">
      <c r="CY31815" s="34" t="s">
        <v>32741</v>
      </c>
      <c r="CZ31815" s="35">
        <v>0.1220390933</v>
      </c>
    </row>
    <row r="31816" spans="103:104" x14ac:dyDescent="0.3">
      <c r="CY31816" s="34" t="s">
        <v>32742</v>
      </c>
      <c r="CZ31816" s="35">
        <v>0.19094288000000001</v>
      </c>
    </row>
    <row r="31817" spans="103:104" x14ac:dyDescent="0.3">
      <c r="CY31817" s="34" t="s">
        <v>32743</v>
      </c>
      <c r="CZ31817" s="35">
        <v>0.15955605340000001</v>
      </c>
    </row>
    <row r="31818" spans="103:104" x14ac:dyDescent="0.3">
      <c r="CY31818" s="34" t="s">
        <v>32744</v>
      </c>
      <c r="CZ31818" s="35">
        <v>0.1581043174</v>
      </c>
    </row>
    <row r="31819" spans="103:104" x14ac:dyDescent="0.3">
      <c r="CY31819" s="34" t="s">
        <v>32745</v>
      </c>
      <c r="CZ31819" s="35">
        <v>2.1439824E-2</v>
      </c>
    </row>
    <row r="31820" spans="103:104" x14ac:dyDescent="0.3">
      <c r="CY31820" s="34" t="s">
        <v>32746</v>
      </c>
      <c r="CZ31820" s="35">
        <v>2.1439824E-2</v>
      </c>
    </row>
    <row r="31821" spans="103:104" x14ac:dyDescent="0.3">
      <c r="CY31821" s="34" t="s">
        <v>32747</v>
      </c>
      <c r="CZ31821" s="35">
        <v>4.0542746000000005E-2</v>
      </c>
    </row>
    <row r="31822" spans="103:104" x14ac:dyDescent="0.3">
      <c r="CY31822" s="34" t="s">
        <v>32748</v>
      </c>
      <c r="CZ31822" s="35">
        <v>5.6232146521739126E-4</v>
      </c>
    </row>
    <row r="31823" spans="103:104" x14ac:dyDescent="0.3">
      <c r="CY31823" s="34" t="s">
        <v>32749</v>
      </c>
      <c r="CZ31823" s="35">
        <v>3.5502166666666665E-3</v>
      </c>
    </row>
    <row r="31824" spans="103:104" x14ac:dyDescent="0.3">
      <c r="CY31824" s="34" t="s">
        <v>32750</v>
      </c>
      <c r="CZ31824" s="35">
        <v>6.3623208750000001E-4</v>
      </c>
    </row>
    <row r="31825" spans="103:104" x14ac:dyDescent="0.3">
      <c r="CY31825" s="34" t="s">
        <v>32751</v>
      </c>
      <c r="CZ31825" s="35">
        <v>3.1858670833333331E-3</v>
      </c>
    </row>
    <row r="31826" spans="103:104" x14ac:dyDescent="0.3">
      <c r="CY31826" s="34" t="s">
        <v>32752</v>
      </c>
      <c r="CZ31826" s="35">
        <v>0.17258557000000002</v>
      </c>
    </row>
    <row r="31827" spans="103:104" x14ac:dyDescent="0.3">
      <c r="CY31827" s="34" t="s">
        <v>32753</v>
      </c>
      <c r="CZ31827" s="35">
        <v>0.19036707</v>
      </c>
    </row>
    <row r="31828" spans="103:104" x14ac:dyDescent="0.3">
      <c r="CY31828" s="34" t="s">
        <v>32754</v>
      </c>
      <c r="CZ31828" s="35">
        <v>0.1110562442105263</v>
      </c>
    </row>
    <row r="31829" spans="103:104" x14ac:dyDescent="0.3">
      <c r="CY31829" s="34" t="s">
        <v>32755</v>
      </c>
      <c r="CZ31829" s="35">
        <v>1.5246074781000003E-2</v>
      </c>
    </row>
    <row r="31830" spans="103:104" x14ac:dyDescent="0.3">
      <c r="CY31830" s="34" t="s">
        <v>32756</v>
      </c>
      <c r="CZ31830" s="35">
        <v>0.88552249109999992</v>
      </c>
    </row>
    <row r="31831" spans="103:104" x14ac:dyDescent="0.3">
      <c r="CY31831" s="34" t="s">
        <v>32757</v>
      </c>
      <c r="CZ31831" s="35">
        <v>0.61136746000000008</v>
      </c>
    </row>
    <row r="31832" spans="103:104" x14ac:dyDescent="0.3">
      <c r="CY31832" s="34" t="s">
        <v>32758</v>
      </c>
      <c r="CZ31832" s="35">
        <v>0.27089391999999995</v>
      </c>
    </row>
    <row r="31833" spans="103:104" x14ac:dyDescent="0.3">
      <c r="CY31833" s="34" t="s">
        <v>32759</v>
      </c>
      <c r="CZ31833" s="35">
        <v>0.75375485330000003</v>
      </c>
    </row>
    <row r="31834" spans="103:104" x14ac:dyDescent="0.3">
      <c r="CY31834" s="34" t="s">
        <v>32760</v>
      </c>
      <c r="CZ31834" s="35">
        <v>2.2844529500000002E-2</v>
      </c>
    </row>
    <row r="31835" spans="103:104" x14ac:dyDescent="0.3">
      <c r="CY31835" s="34" t="s">
        <v>32761</v>
      </c>
      <c r="CZ31835" s="35">
        <v>4.5383099999999996E-2</v>
      </c>
    </row>
    <row r="31836" spans="103:104" x14ac:dyDescent="0.3">
      <c r="CY31836" s="34" t="s">
        <v>32762</v>
      </c>
      <c r="CZ31836" s="35">
        <v>9.7767859999999998E-2</v>
      </c>
    </row>
    <row r="31837" spans="103:104" x14ac:dyDescent="0.3">
      <c r="CY31837" s="34" t="s">
        <v>32763</v>
      </c>
      <c r="CZ31837" s="35">
        <v>6.14856E-3</v>
      </c>
    </row>
    <row r="31838" spans="103:104" x14ac:dyDescent="0.3">
      <c r="CY31838" s="34" t="s">
        <v>32764</v>
      </c>
      <c r="CZ31838" s="35">
        <v>4.7723674000000001E-2</v>
      </c>
    </row>
    <row r="31839" spans="103:104" x14ac:dyDescent="0.3">
      <c r="CY31839" s="34" t="s">
        <v>32765</v>
      </c>
      <c r="CZ31839" s="35">
        <v>3.478319400000001E-2</v>
      </c>
    </row>
    <row r="31840" spans="103:104" x14ac:dyDescent="0.3">
      <c r="CY31840" s="34" t="s">
        <v>32766</v>
      </c>
      <c r="CZ31840" s="35">
        <v>9.1214800000000013E-3</v>
      </c>
    </row>
    <row r="31841" spans="103:104" x14ac:dyDescent="0.3">
      <c r="CY31841" s="34" t="s">
        <v>32767</v>
      </c>
      <c r="CZ31841" s="35">
        <v>9.6018456000000023E-3</v>
      </c>
    </row>
    <row r="31842" spans="103:104" x14ac:dyDescent="0.3">
      <c r="CY31842" s="34" t="s">
        <v>32768</v>
      </c>
      <c r="CZ31842" s="35">
        <v>1.0753312800000001E-2</v>
      </c>
    </row>
    <row r="31843" spans="103:104" x14ac:dyDescent="0.3">
      <c r="CY31843" s="34" t="s">
        <v>32769</v>
      </c>
      <c r="CZ31843" s="35">
        <v>1.7883416599999999E-3</v>
      </c>
    </row>
    <row r="31844" spans="103:104" x14ac:dyDescent="0.3">
      <c r="CY31844" s="34" t="s">
        <v>32770</v>
      </c>
      <c r="CZ31844" s="35">
        <v>8.5759895999999985E-3</v>
      </c>
    </row>
    <row r="31845" spans="103:104" x14ac:dyDescent="0.3">
      <c r="CY31845" s="34" t="s">
        <v>32771</v>
      </c>
      <c r="CZ31845" s="35">
        <v>5.0864947000000002E-3</v>
      </c>
    </row>
    <row r="31846" spans="103:104" x14ac:dyDescent="0.3">
      <c r="CY31846" s="34" t="s">
        <v>32772</v>
      </c>
      <c r="CZ31846" s="35">
        <v>1.1478870399999999E-2</v>
      </c>
    </row>
    <row r="31847" spans="103:104" x14ac:dyDescent="0.3">
      <c r="CY31847" s="34" t="s">
        <v>32773</v>
      </c>
      <c r="CZ31847" s="35">
        <v>1.4104555999999999E-3</v>
      </c>
    </row>
    <row r="31848" spans="103:104" x14ac:dyDescent="0.3">
      <c r="CY31848" s="34" t="s">
        <v>32774</v>
      </c>
      <c r="CZ31848" s="35">
        <v>1.0388324399999999E-2</v>
      </c>
    </row>
    <row r="31849" spans="103:104" x14ac:dyDescent="0.3">
      <c r="CY31849" s="34" t="s">
        <v>32775</v>
      </c>
      <c r="CZ31849" s="35">
        <v>1.1601027199999999E-2</v>
      </c>
    </row>
    <row r="31850" spans="103:104" x14ac:dyDescent="0.3">
      <c r="CY31850" s="34" t="s">
        <v>32776</v>
      </c>
      <c r="CZ31850" s="35">
        <v>4.8902851999999995E-3</v>
      </c>
    </row>
    <row r="31851" spans="103:104" x14ac:dyDescent="0.3">
      <c r="CY31851" s="34" t="s">
        <v>32777</v>
      </c>
      <c r="CZ31851" s="35">
        <v>3.1369600000000003E-3</v>
      </c>
    </row>
    <row r="31852" spans="103:104" x14ac:dyDescent="0.3">
      <c r="CY31852" s="34" t="s">
        <v>32778</v>
      </c>
      <c r="CZ31852" s="35">
        <v>4.7483712000000004E-2</v>
      </c>
    </row>
    <row r="31853" spans="103:104" x14ac:dyDescent="0.3">
      <c r="CY31853" s="34" t="s">
        <v>32779</v>
      </c>
      <c r="CZ31853" s="35">
        <v>4.4620712000000007E-2</v>
      </c>
    </row>
    <row r="31854" spans="103:104" x14ac:dyDescent="0.3">
      <c r="CY31854" s="34" t="s">
        <v>32780</v>
      </c>
      <c r="CZ31854" s="35">
        <v>4.7483712000000004E-2</v>
      </c>
    </row>
    <row r="31855" spans="103:104" x14ac:dyDescent="0.3">
      <c r="CY31855" s="34" t="s">
        <v>32781</v>
      </c>
      <c r="CZ31855" s="35">
        <v>4.4620712000000007E-2</v>
      </c>
    </row>
    <row r="31856" spans="103:104" x14ac:dyDescent="0.3">
      <c r="CY31856" s="34" t="s">
        <v>32782</v>
      </c>
      <c r="CZ31856" s="35">
        <v>0.43558588000000004</v>
      </c>
    </row>
    <row r="31857" spans="103:104" x14ac:dyDescent="0.3">
      <c r="CY31857" s="34" t="s">
        <v>32783</v>
      </c>
      <c r="CZ31857" s="35">
        <v>0.51060950000000005</v>
      </c>
    </row>
    <row r="31858" spans="103:104" x14ac:dyDescent="0.3">
      <c r="CY31858" s="34" t="s">
        <v>32784</v>
      </c>
      <c r="CZ31858" s="35">
        <v>0.44813309999999995</v>
      </c>
    </row>
    <row r="31859" spans="103:104" x14ac:dyDescent="0.3">
      <c r="CY31859" s="34" t="s">
        <v>32785</v>
      </c>
      <c r="CZ31859" s="35">
        <v>0.51588299999999998</v>
      </c>
    </row>
    <row r="31860" spans="103:104" x14ac:dyDescent="0.3">
      <c r="CY31860" s="34" t="s">
        <v>32786</v>
      </c>
      <c r="CZ31860" s="35">
        <v>0.53575269999999997</v>
      </c>
    </row>
    <row r="31861" spans="103:104" x14ac:dyDescent="0.3">
      <c r="CY31861" s="34" t="s">
        <v>32787</v>
      </c>
      <c r="CZ31861" s="35">
        <v>3.0729323200000002E-2</v>
      </c>
    </row>
    <row r="31862" spans="103:104" x14ac:dyDescent="0.3">
      <c r="CY31862" s="34" t="s">
        <v>32788</v>
      </c>
      <c r="CZ31862" s="35">
        <v>4.7125801777777775E-2</v>
      </c>
    </row>
    <row r="31863" spans="103:104" x14ac:dyDescent="0.3">
      <c r="CY31863" s="34" t="s">
        <v>32789</v>
      </c>
      <c r="CZ31863" s="35">
        <v>0.11085321199999999</v>
      </c>
    </row>
    <row r="31864" spans="103:104" x14ac:dyDescent="0.3">
      <c r="CY31864" s="34" t="s">
        <v>32790</v>
      </c>
      <c r="CZ31864" s="35">
        <v>1.2348054399999997E-2</v>
      </c>
    </row>
    <row r="31865" spans="103:104" x14ac:dyDescent="0.3">
      <c r="CY31865" s="34" t="s">
        <v>32791</v>
      </c>
      <c r="CZ31865" s="35">
        <v>2.5527192000000004E-2</v>
      </c>
    </row>
    <row r="31866" spans="103:104" x14ac:dyDescent="0.3">
      <c r="CY31866" s="34" t="s">
        <v>32792</v>
      </c>
      <c r="CZ31866" s="35">
        <v>4.1610980659999998E-2</v>
      </c>
    </row>
    <row r="31867" spans="103:104" x14ac:dyDescent="0.3">
      <c r="CY31867" s="34" t="s">
        <v>32793</v>
      </c>
      <c r="CZ31867" s="35">
        <v>4.1610980659999998E-2</v>
      </c>
    </row>
    <row r="31868" spans="103:104" x14ac:dyDescent="0.3">
      <c r="CY31868" s="34" t="s">
        <v>32794</v>
      </c>
      <c r="CZ31868" s="35">
        <v>3.2691781749999996E-2</v>
      </c>
    </row>
    <row r="31869" spans="103:104" x14ac:dyDescent="0.3">
      <c r="CY31869" s="34" t="s">
        <v>32795</v>
      </c>
      <c r="CZ31869" s="35">
        <v>3.2691781749999996E-2</v>
      </c>
    </row>
    <row r="31870" spans="103:104" x14ac:dyDescent="0.3">
      <c r="CY31870" s="34" t="s">
        <v>32796</v>
      </c>
      <c r="CZ31870" s="35">
        <v>5.6074368000000004E-4</v>
      </c>
    </row>
    <row r="31871" spans="103:104" x14ac:dyDescent="0.3">
      <c r="CY31871" s="34" t="s">
        <v>32797</v>
      </c>
      <c r="CZ31871" s="35">
        <v>2.1406949999999998E-2</v>
      </c>
    </row>
    <row r="31872" spans="103:104" x14ac:dyDescent="0.3">
      <c r="CY31872" s="34" t="s">
        <v>32798</v>
      </c>
      <c r="CZ31872" s="35">
        <v>4.3780499999999997E-3</v>
      </c>
    </row>
    <row r="31873" spans="103:104" x14ac:dyDescent="0.3">
      <c r="CY31873" s="34" t="s">
        <v>32799</v>
      </c>
      <c r="CZ31873" s="35">
        <v>5.8359499999999995E-3</v>
      </c>
    </row>
    <row r="31874" spans="103:104" x14ac:dyDescent="0.3">
      <c r="CY31874" s="34" t="s">
        <v>32800</v>
      </c>
      <c r="CZ31874" s="35">
        <v>1.3457604249999999</v>
      </c>
    </row>
    <row r="31875" spans="103:104" x14ac:dyDescent="0.3">
      <c r="CY31875" s="34" t="s">
        <v>32801</v>
      </c>
      <c r="CZ31875" s="35">
        <v>1.5282685749999998</v>
      </c>
    </row>
    <row r="31876" spans="103:104" x14ac:dyDescent="0.3">
      <c r="CY31876" s="34" t="s">
        <v>32802</v>
      </c>
      <c r="CZ31876" s="35">
        <v>1.0032599929824563E-2</v>
      </c>
    </row>
    <row r="31877" spans="103:104" x14ac:dyDescent="0.3">
      <c r="CY31877" s="34" t="s">
        <v>32803</v>
      </c>
      <c r="CZ31877" s="35">
        <v>0.91377713000000005</v>
      </c>
    </row>
    <row r="31878" spans="103:104" x14ac:dyDescent="0.3">
      <c r="CY31878" s="34" t="s">
        <v>32804</v>
      </c>
      <c r="CZ31878" s="35">
        <v>0.91377713000000005</v>
      </c>
    </row>
    <row r="31879" spans="103:104" x14ac:dyDescent="0.3">
      <c r="CY31879" s="34" t="s">
        <v>32805</v>
      </c>
      <c r="CZ31879" s="35">
        <v>0.119005944</v>
      </c>
    </row>
    <row r="31880" spans="103:104" x14ac:dyDescent="0.3">
      <c r="CY31880" s="34" t="s">
        <v>32806</v>
      </c>
      <c r="CZ31880" s="35">
        <v>0.12444324800000002</v>
      </c>
    </row>
    <row r="31881" spans="103:104" x14ac:dyDescent="0.3">
      <c r="CY31881" s="34" t="s">
        <v>32807</v>
      </c>
      <c r="CZ31881" s="35">
        <v>0.21011823999999996</v>
      </c>
    </row>
    <row r="31882" spans="103:104" x14ac:dyDescent="0.3">
      <c r="CY31882" s="34" t="s">
        <v>32808</v>
      </c>
      <c r="CZ31882" s="35">
        <v>0.18552099200000002</v>
      </c>
    </row>
    <row r="31883" spans="103:104" x14ac:dyDescent="0.3">
      <c r="CY31883" s="34" t="s">
        <v>32809</v>
      </c>
      <c r="CZ31883" s="35">
        <v>0.11855912000000002</v>
      </c>
    </row>
    <row r="31884" spans="103:104" x14ac:dyDescent="0.3">
      <c r="CY31884" s="34" t="s">
        <v>32810</v>
      </c>
      <c r="CZ31884" s="35">
        <v>0.25046829599999998</v>
      </c>
    </row>
    <row r="31885" spans="103:104" x14ac:dyDescent="0.3">
      <c r="CY31885" s="34" t="s">
        <v>32811</v>
      </c>
      <c r="CZ31885" s="35">
        <v>0.7430038511</v>
      </c>
    </row>
    <row r="31886" spans="103:104" x14ac:dyDescent="0.3">
      <c r="CY31886" s="34" t="s">
        <v>32812</v>
      </c>
      <c r="CZ31886" s="35">
        <v>4.8582156000000019E-3</v>
      </c>
    </row>
    <row r="31887" spans="103:104" x14ac:dyDescent="0.3">
      <c r="CY31887" s="34" t="s">
        <v>32813</v>
      </c>
      <c r="CZ31887" s="35">
        <v>1.4360116666666665E-2</v>
      </c>
    </row>
    <row r="31888" spans="103:104" x14ac:dyDescent="0.3">
      <c r="CY31888" s="34" t="s">
        <v>32814</v>
      </c>
      <c r="CZ31888" s="35">
        <v>1.4360116666666665E-2</v>
      </c>
    </row>
    <row r="31889" spans="103:104" x14ac:dyDescent="0.3">
      <c r="CY31889" s="34" t="s">
        <v>32815</v>
      </c>
      <c r="CZ31889" s="35">
        <v>0.119116578</v>
      </c>
    </row>
    <row r="31890" spans="103:104" x14ac:dyDescent="0.3">
      <c r="CY31890" s="34" t="s">
        <v>32816</v>
      </c>
      <c r="CZ31890" s="35">
        <v>6.9990040000000003E-2</v>
      </c>
    </row>
    <row r="31891" spans="103:104" x14ac:dyDescent="0.3">
      <c r="CY31891" s="34" t="s">
        <v>32817</v>
      </c>
      <c r="CZ31891" s="35">
        <v>0.14378257</v>
      </c>
    </row>
    <row r="31892" spans="103:104" x14ac:dyDescent="0.3">
      <c r="CY31892" s="34" t="s">
        <v>32818</v>
      </c>
      <c r="CZ31892" s="35">
        <v>0.14378257</v>
      </c>
    </row>
    <row r="31893" spans="103:104" x14ac:dyDescent="0.3">
      <c r="CY31893" s="34" t="s">
        <v>32819</v>
      </c>
      <c r="CZ31893" s="35">
        <v>0.10054668999999999</v>
      </c>
    </row>
    <row r="31894" spans="103:104" x14ac:dyDescent="0.3">
      <c r="CY31894" s="34" t="s">
        <v>32820</v>
      </c>
      <c r="CZ31894" s="35">
        <v>0.10988344800000001</v>
      </c>
    </row>
    <row r="31895" spans="103:104" x14ac:dyDescent="0.3">
      <c r="CY31895" s="34" t="s">
        <v>32821</v>
      </c>
      <c r="CZ31895" s="35">
        <v>6.4224279999999995E-2</v>
      </c>
    </row>
    <row r="31896" spans="103:104" x14ac:dyDescent="0.3">
      <c r="CY31896" s="34" t="s">
        <v>32822</v>
      </c>
      <c r="CZ31896" s="35">
        <v>0.13482397800000001</v>
      </c>
    </row>
    <row r="31897" spans="103:104" x14ac:dyDescent="0.3">
      <c r="CY31897" s="34" t="s">
        <v>32823</v>
      </c>
      <c r="CZ31897" s="35">
        <v>9.2692330000000017E-2</v>
      </c>
    </row>
    <row r="31898" spans="103:104" x14ac:dyDescent="0.3">
      <c r="CY31898" s="34" t="s">
        <v>32824</v>
      </c>
      <c r="CZ31898" s="35">
        <v>0.31163728660000006</v>
      </c>
    </row>
    <row r="31899" spans="103:104" x14ac:dyDescent="0.3">
      <c r="CY31899" s="34" t="s">
        <v>32825</v>
      </c>
      <c r="CZ31899" s="35">
        <v>0.11765164999999998</v>
      </c>
    </row>
    <row r="31900" spans="103:104" x14ac:dyDescent="0.3">
      <c r="CY31900" s="34" t="s">
        <v>32826</v>
      </c>
      <c r="CZ31900" s="35">
        <v>0.11765165</v>
      </c>
    </row>
    <row r="31901" spans="103:104" x14ac:dyDescent="0.3">
      <c r="CY31901" s="34" t="s">
        <v>32827</v>
      </c>
      <c r="CZ31901" s="35">
        <v>0.62180003999999989</v>
      </c>
    </row>
    <row r="31902" spans="103:104" x14ac:dyDescent="0.3">
      <c r="CY31902" s="34" t="s">
        <v>32828</v>
      </c>
      <c r="CZ31902" s="35">
        <v>0.25269849999999999</v>
      </c>
    </row>
    <row r="31903" spans="103:104" x14ac:dyDescent="0.3">
      <c r="CY31903" s="34" t="s">
        <v>32829</v>
      </c>
      <c r="CZ31903" s="35">
        <v>6.9783294117647068E-2</v>
      </c>
    </row>
    <row r="31904" spans="103:104" x14ac:dyDescent="0.3">
      <c r="CY31904" s="34" t="s">
        <v>32830</v>
      </c>
      <c r="CZ31904" s="35">
        <v>2.0387678283330001E-2</v>
      </c>
    </row>
    <row r="31905" spans="103:104" x14ac:dyDescent="0.3">
      <c r="CY31905" s="34" t="s">
        <v>32831</v>
      </c>
      <c r="CZ31905" s="35">
        <v>0.10416595200000001</v>
      </c>
    </row>
    <row r="31906" spans="103:104" x14ac:dyDescent="0.3">
      <c r="CY31906" s="34" t="s">
        <v>32832</v>
      </c>
      <c r="CZ31906" s="35">
        <v>1.2558325000000001</v>
      </c>
    </row>
    <row r="31907" spans="103:104" x14ac:dyDescent="0.3">
      <c r="CY31907" s="34" t="s">
        <v>32833</v>
      </c>
      <c r="CZ31907" s="35">
        <v>5.4163520000000001E-3</v>
      </c>
    </row>
    <row r="31908" spans="103:104" x14ac:dyDescent="0.3">
      <c r="CY31908" s="34" t="s">
        <v>32834</v>
      </c>
      <c r="CZ31908" s="35">
        <v>3.4372400000000003E-3</v>
      </c>
    </row>
    <row r="31909" spans="103:104" x14ac:dyDescent="0.3">
      <c r="CY31909" s="34" t="s">
        <v>32835</v>
      </c>
      <c r="CZ31909" s="35">
        <v>0.11260991999999999</v>
      </c>
    </row>
    <row r="31910" spans="103:104" x14ac:dyDescent="0.3">
      <c r="CY31910" s="34" t="s">
        <v>32836</v>
      </c>
      <c r="CZ31910" s="35">
        <v>1.4380874E-2</v>
      </c>
    </row>
    <row r="31911" spans="103:104" x14ac:dyDescent="0.3">
      <c r="CY31911" s="34" t="s">
        <v>32837</v>
      </c>
      <c r="CZ31911" s="35">
        <v>1.85737056E-2</v>
      </c>
    </row>
    <row r="31912" spans="103:104" x14ac:dyDescent="0.3">
      <c r="CY31912" s="34" t="s">
        <v>32838</v>
      </c>
      <c r="CZ31912" s="35">
        <v>5.9916996799999995E-3</v>
      </c>
    </row>
    <row r="31913" spans="103:104" x14ac:dyDescent="0.3">
      <c r="CY31913" s="34" t="s">
        <v>32839</v>
      </c>
      <c r="CZ31913" s="35">
        <v>5.5190635999999994E-2</v>
      </c>
    </row>
    <row r="31914" spans="103:104" x14ac:dyDescent="0.3">
      <c r="CY31914" s="34" t="s">
        <v>32840</v>
      </c>
      <c r="CZ31914" s="35">
        <v>0.32572892500000006</v>
      </c>
    </row>
    <row r="31915" spans="103:104" x14ac:dyDescent="0.3">
      <c r="CY31915" s="34" t="s">
        <v>32841</v>
      </c>
      <c r="CZ31915" s="35">
        <v>0.431662675</v>
      </c>
    </row>
    <row r="31916" spans="103:104" x14ac:dyDescent="0.3">
      <c r="CY31916" s="34" t="s">
        <v>32842</v>
      </c>
      <c r="CZ31916" s="35">
        <v>1.6279382799999999E-2</v>
      </c>
    </row>
    <row r="31917" spans="103:104" x14ac:dyDescent="0.3">
      <c r="CY31917" s="34" t="s">
        <v>32843</v>
      </c>
      <c r="CZ31917" s="35">
        <v>0.18823500000000001</v>
      </c>
    </row>
    <row r="31918" spans="103:104" x14ac:dyDescent="0.3">
      <c r="CY31918" s="34" t="s">
        <v>32844</v>
      </c>
      <c r="CZ31918" s="35">
        <v>0.113258389</v>
      </c>
    </row>
    <row r="31919" spans="103:104" x14ac:dyDescent="0.3">
      <c r="CY31919" s="34" t="s">
        <v>32845</v>
      </c>
      <c r="CZ31919" s="35">
        <v>1.3242658333333331E-3</v>
      </c>
    </row>
    <row r="31920" spans="103:104" x14ac:dyDescent="0.3">
      <c r="CY31920" s="34" t="s">
        <v>32846</v>
      </c>
      <c r="CZ31920" s="35">
        <v>0.11378944400000002</v>
      </c>
    </row>
    <row r="31921" spans="103:104" x14ac:dyDescent="0.3">
      <c r="CY31921" s="34" t="s">
        <v>32847</v>
      </c>
      <c r="CZ31921" s="35">
        <v>4.0621162000000002E-2</v>
      </c>
    </row>
    <row r="31922" spans="103:104" x14ac:dyDescent="0.3">
      <c r="CY31922" s="34" t="s">
        <v>32848</v>
      </c>
      <c r="CZ31922" s="35">
        <v>1.5193993999999999E-2</v>
      </c>
    </row>
    <row r="31923" spans="103:104" x14ac:dyDescent="0.3">
      <c r="CY31923" s="34" t="s">
        <v>32849</v>
      </c>
      <c r="CZ31923" s="35">
        <v>0.27568070588235294</v>
      </c>
    </row>
    <row r="31924" spans="103:104" x14ac:dyDescent="0.3">
      <c r="CY31924" s="34" t="s">
        <v>32850</v>
      </c>
      <c r="CZ31924" s="35">
        <v>5.3315847999999999E-2</v>
      </c>
    </row>
    <row r="31925" spans="103:104" x14ac:dyDescent="0.3">
      <c r="CY31925" s="34" t="s">
        <v>32851</v>
      </c>
      <c r="CZ31925" s="35">
        <v>5.3750432000000013E-3</v>
      </c>
    </row>
    <row r="31926" spans="103:104" x14ac:dyDescent="0.3">
      <c r="CY31926" s="34" t="s">
        <v>32852</v>
      </c>
      <c r="CZ31926" s="35">
        <v>1.4018579999999999E-2</v>
      </c>
    </row>
    <row r="31927" spans="103:104" x14ac:dyDescent="0.3">
      <c r="CY31927" s="34" t="s">
        <v>32853</v>
      </c>
      <c r="CZ31927" s="35">
        <v>7.6766216666666665E-2</v>
      </c>
    </row>
    <row r="31928" spans="103:104" x14ac:dyDescent="0.3">
      <c r="CY31928" s="34" t="s">
        <v>32854</v>
      </c>
      <c r="CZ31928" s="35">
        <v>6.053075444444446E-2</v>
      </c>
    </row>
    <row r="31929" spans="103:104" x14ac:dyDescent="0.3">
      <c r="CY31929" s="34" t="s">
        <v>32855</v>
      </c>
      <c r="CZ31929" s="35">
        <v>8.4007732500000001E-2</v>
      </c>
    </row>
    <row r="31930" spans="103:104" x14ac:dyDescent="0.3">
      <c r="CY31930" s="34" t="s">
        <v>32856</v>
      </c>
      <c r="CZ31930" s="35">
        <v>7.8019380000000004E-3</v>
      </c>
    </row>
    <row r="31931" spans="103:104" x14ac:dyDescent="0.3">
      <c r="CY31931" s="34" t="s">
        <v>32857</v>
      </c>
      <c r="CZ31931" s="35">
        <v>4.6858864666666665E-3</v>
      </c>
    </row>
    <row r="31932" spans="103:104" x14ac:dyDescent="0.3">
      <c r="CY31932" s="34" t="s">
        <v>32858</v>
      </c>
      <c r="CZ31932" s="35">
        <v>4.445535799999999E-3</v>
      </c>
    </row>
    <row r="31933" spans="103:104" x14ac:dyDescent="0.3">
      <c r="CY31933" s="34" t="s">
        <v>32859</v>
      </c>
      <c r="CZ31933" s="35">
        <v>1.3236894444444446E-2</v>
      </c>
    </row>
    <row r="31934" spans="103:104" x14ac:dyDescent="0.3">
      <c r="CY31934" s="34" t="s">
        <v>32860</v>
      </c>
      <c r="CZ31934" s="35">
        <v>1.1378590000000001E-2</v>
      </c>
    </row>
    <row r="31935" spans="103:104" x14ac:dyDescent="0.3">
      <c r="CY31935" s="34" t="s">
        <v>32861</v>
      </c>
      <c r="CZ31935" s="35">
        <v>6.5787500000000004E-3</v>
      </c>
    </row>
    <row r="31936" spans="103:104" x14ac:dyDescent="0.3">
      <c r="CY31936" s="34" t="s">
        <v>32862</v>
      </c>
      <c r="CZ31936" s="35">
        <v>0.50633522664999997</v>
      </c>
    </row>
    <row r="31937" spans="103:104" x14ac:dyDescent="0.3">
      <c r="CY31937" s="34" t="s">
        <v>32863</v>
      </c>
      <c r="CZ31937" s="35">
        <v>0.74194654000000004</v>
      </c>
    </row>
    <row r="31938" spans="103:104" x14ac:dyDescent="0.3">
      <c r="CY31938" s="34" t="s">
        <v>32864</v>
      </c>
      <c r="CZ31938" s="35">
        <v>9.6763900000000006E-4</v>
      </c>
    </row>
    <row r="31939" spans="103:104" x14ac:dyDescent="0.3">
      <c r="CY31939" s="34" t="s">
        <v>32865</v>
      </c>
      <c r="CZ31939" s="35">
        <v>0.11356827554385965</v>
      </c>
    </row>
    <row r="31940" spans="103:104" x14ac:dyDescent="0.3">
      <c r="CY31940" s="34" t="s">
        <v>32866</v>
      </c>
      <c r="CZ31940" s="35">
        <v>1.1986442799999998E-2</v>
      </c>
    </row>
    <row r="31941" spans="103:104" x14ac:dyDescent="0.3">
      <c r="CY31941" s="34" t="s">
        <v>32867</v>
      </c>
      <c r="CZ31941" s="35">
        <v>0.60596479333333342</v>
      </c>
    </row>
    <row r="31942" spans="103:104" x14ac:dyDescent="0.3">
      <c r="CY31942" s="34" t="s">
        <v>32868</v>
      </c>
      <c r="CZ31942" s="35">
        <v>1.18742776E-3</v>
      </c>
    </row>
    <row r="31943" spans="103:104" x14ac:dyDescent="0.3">
      <c r="CY31943" s="34" t="s">
        <v>32869</v>
      </c>
      <c r="CZ31943" s="35">
        <v>7.7024500000000004E-3</v>
      </c>
    </row>
    <row r="31944" spans="103:104" x14ac:dyDescent="0.3">
      <c r="CY31944" s="34" t="s">
        <v>32870</v>
      </c>
      <c r="CZ31944" s="35">
        <v>1.2260211777777778E-3</v>
      </c>
    </row>
    <row r="31945" spans="103:104" x14ac:dyDescent="0.3">
      <c r="CY31945" s="34" t="s">
        <v>32871</v>
      </c>
      <c r="CZ31945" s="35">
        <v>1.3587329066666665E-3</v>
      </c>
    </row>
    <row r="31946" spans="103:104" x14ac:dyDescent="0.3">
      <c r="CY31946" s="34" t="s">
        <v>32872</v>
      </c>
      <c r="CZ31946" s="35">
        <v>9.3968626E-3</v>
      </c>
    </row>
    <row r="31947" spans="103:104" x14ac:dyDescent="0.3">
      <c r="CY31947" s="34" t="s">
        <v>32873</v>
      </c>
      <c r="CZ31947" s="35">
        <v>1.7484277000000003E-2</v>
      </c>
    </row>
    <row r="31948" spans="103:104" x14ac:dyDescent="0.3">
      <c r="CY31948" s="34" t="s">
        <v>32874</v>
      </c>
      <c r="CZ31948" s="35">
        <v>9.8500960000000009E-3</v>
      </c>
    </row>
    <row r="31949" spans="103:104" x14ac:dyDescent="0.3">
      <c r="CY31949" s="34" t="s">
        <v>32875</v>
      </c>
      <c r="CZ31949" s="35">
        <v>1.1715028350000002E-2</v>
      </c>
    </row>
    <row r="31950" spans="103:104" x14ac:dyDescent="0.3">
      <c r="CY31950" s="34" t="s">
        <v>32876</v>
      </c>
      <c r="CZ31950" s="35">
        <v>1.9240605000000001E-2</v>
      </c>
    </row>
    <row r="31951" spans="103:104" x14ac:dyDescent="0.3">
      <c r="CY31951" s="34" t="s">
        <v>32877</v>
      </c>
      <c r="CZ31951" s="35">
        <v>4.2685812500000003E-3</v>
      </c>
    </row>
    <row r="31952" spans="103:104" x14ac:dyDescent="0.3">
      <c r="CY31952" s="34" t="s">
        <v>32878</v>
      </c>
      <c r="CZ31952" s="35">
        <v>4.17337E-3</v>
      </c>
    </row>
    <row r="31953" spans="103:104" x14ac:dyDescent="0.3">
      <c r="CY31953" s="34" t="s">
        <v>32879</v>
      </c>
      <c r="CZ31953" s="35">
        <v>1.5469245853600001E-2</v>
      </c>
    </row>
    <row r="31954" spans="103:104" x14ac:dyDescent="0.3">
      <c r="CY31954" s="34" t="s">
        <v>32880</v>
      </c>
      <c r="CZ31954" s="35">
        <v>4.6218864200000005E-3</v>
      </c>
    </row>
    <row r="31955" spans="103:104" x14ac:dyDescent="0.3">
      <c r="CY31955" s="34" t="s">
        <v>32881</v>
      </c>
      <c r="CZ31955" s="35">
        <v>8.8935283999999996E-3</v>
      </c>
    </row>
    <row r="31956" spans="103:104" x14ac:dyDescent="0.3">
      <c r="CY31956" s="34" t="s">
        <v>32882</v>
      </c>
      <c r="CZ31956" s="35">
        <v>8.4724371330000006E-2</v>
      </c>
    </row>
    <row r="31957" spans="103:104" x14ac:dyDescent="0.3">
      <c r="CY31957" s="34" t="s">
        <v>32883</v>
      </c>
      <c r="CZ31957" s="35">
        <v>3.1525863157894733E-3</v>
      </c>
    </row>
    <row r="31958" spans="103:104" x14ac:dyDescent="0.3">
      <c r="CY31958" s="34" t="s">
        <v>32884</v>
      </c>
      <c r="CZ31958" s="35">
        <v>2.1442487999999999E-3</v>
      </c>
    </row>
    <row r="31959" spans="103:104" x14ac:dyDescent="0.3">
      <c r="CY31959" s="34" t="s">
        <v>32885</v>
      </c>
      <c r="CZ31959" s="35">
        <v>1.8615561999999999E-2</v>
      </c>
    </row>
    <row r="31960" spans="103:104" x14ac:dyDescent="0.3">
      <c r="CY31960" s="34" t="s">
        <v>32886</v>
      </c>
      <c r="CZ31960" s="35">
        <v>2.3069995888888885E-2</v>
      </c>
    </row>
    <row r="31961" spans="103:104" x14ac:dyDescent="0.3">
      <c r="CY31961" s="34" t="s">
        <v>32887</v>
      </c>
      <c r="CZ31961" s="35">
        <v>1.3628434666666666E-2</v>
      </c>
    </row>
    <row r="31962" spans="103:104" x14ac:dyDescent="0.3">
      <c r="CY31962" s="34" t="s">
        <v>32888</v>
      </c>
      <c r="CZ31962" s="35">
        <v>5.5518023999999999E-2</v>
      </c>
    </row>
    <row r="31963" spans="103:104" x14ac:dyDescent="0.3">
      <c r="CY31963" s="34" t="s">
        <v>32889</v>
      </c>
      <c r="CZ31963" s="35">
        <v>6.0574919999999997E-2</v>
      </c>
    </row>
    <row r="31964" spans="103:104" x14ac:dyDescent="0.3">
      <c r="CY31964" s="34" t="s">
        <v>32890</v>
      </c>
      <c r="CZ31964" s="35">
        <v>0.15715704000000003</v>
      </c>
    </row>
    <row r="31965" spans="103:104" x14ac:dyDescent="0.3">
      <c r="CY31965" s="34" t="s">
        <v>32891</v>
      </c>
      <c r="CZ31965" s="35">
        <v>0.15313304</v>
      </c>
    </row>
    <row r="31966" spans="103:104" x14ac:dyDescent="0.3">
      <c r="CY31966" s="34" t="s">
        <v>32892</v>
      </c>
      <c r="CZ31966" s="35">
        <v>0.13956153200000002</v>
      </c>
    </row>
    <row r="31967" spans="103:104" x14ac:dyDescent="0.3">
      <c r="CY31967" s="34" t="s">
        <v>32893</v>
      </c>
      <c r="CZ31967" s="35">
        <v>8.77789E-3</v>
      </c>
    </row>
    <row r="31968" spans="103:104" x14ac:dyDescent="0.3">
      <c r="CY31968" s="34" t="s">
        <v>32894</v>
      </c>
      <c r="CZ31968" s="35">
        <v>2.2010930000000001E-2</v>
      </c>
    </row>
    <row r="31969" spans="103:104" x14ac:dyDescent="0.3">
      <c r="CY31969" s="34" t="s">
        <v>32895</v>
      </c>
      <c r="CZ31969" s="35">
        <v>5.6924999999999999E-4</v>
      </c>
    </row>
    <row r="31970" spans="103:104" x14ac:dyDescent="0.3">
      <c r="CY31970" s="34" t="s">
        <v>32896</v>
      </c>
      <c r="CZ31970" s="35">
        <v>5.1377652000000003E-2</v>
      </c>
    </row>
    <row r="31971" spans="103:104" x14ac:dyDescent="0.3">
      <c r="CY31971" s="34" t="s">
        <v>32897</v>
      </c>
      <c r="CZ31971" s="35">
        <v>5.1377649999999997E-2</v>
      </c>
    </row>
    <row r="31972" spans="103:104" x14ac:dyDescent="0.3">
      <c r="CY31972" s="34" t="s">
        <v>32898</v>
      </c>
      <c r="CZ31972" s="35">
        <v>0.52157693328571431</v>
      </c>
    </row>
    <row r="31973" spans="103:104" x14ac:dyDescent="0.3">
      <c r="CY31973" s="34" t="s">
        <v>32899</v>
      </c>
      <c r="CZ31973" s="35">
        <v>0.36218133328571428</v>
      </c>
    </row>
    <row r="31974" spans="103:104" x14ac:dyDescent="0.3">
      <c r="CY31974" s="34" t="s">
        <v>32900</v>
      </c>
      <c r="CZ31974" s="35">
        <v>9.5090623999999988E-3</v>
      </c>
    </row>
    <row r="31975" spans="103:104" x14ac:dyDescent="0.3">
      <c r="CY31975" s="34" t="s">
        <v>32901</v>
      </c>
      <c r="CZ31975" s="35">
        <v>3.0684530000000001E-3</v>
      </c>
    </row>
    <row r="31976" spans="103:104" x14ac:dyDescent="0.3">
      <c r="CY31976" s="34" t="s">
        <v>32902</v>
      </c>
      <c r="CZ31976" s="35">
        <v>1.7638492499999998E-2</v>
      </c>
    </row>
    <row r="31977" spans="103:104" x14ac:dyDescent="0.3">
      <c r="CY31977" s="34" t="s">
        <v>32903</v>
      </c>
      <c r="CZ31977" s="35">
        <v>1.7638492499999998E-2</v>
      </c>
    </row>
    <row r="31978" spans="103:104" x14ac:dyDescent="0.3">
      <c r="CY31978" s="34" t="s">
        <v>32904</v>
      </c>
      <c r="CZ31978" s="35">
        <v>2.0458652500000001E-2</v>
      </c>
    </row>
    <row r="31979" spans="103:104" x14ac:dyDescent="0.3">
      <c r="CY31979" s="34" t="s">
        <v>32905</v>
      </c>
      <c r="CZ31979" s="35">
        <v>1.9788536470588241E-2</v>
      </c>
    </row>
    <row r="31980" spans="103:104" x14ac:dyDescent="0.3">
      <c r="CY31980" s="34" t="s">
        <v>32906</v>
      </c>
      <c r="CZ31980" s="35">
        <v>2.0458652500000001E-2</v>
      </c>
    </row>
    <row r="31981" spans="103:104" x14ac:dyDescent="0.3">
      <c r="CY31981" s="34" t="s">
        <v>32907</v>
      </c>
      <c r="CZ31981" s="35">
        <v>1.9788536470588241E-2</v>
      </c>
    </row>
    <row r="31982" spans="103:104" x14ac:dyDescent="0.3">
      <c r="CY31982" s="34" t="s">
        <v>32908</v>
      </c>
      <c r="CZ31982" s="35">
        <v>2.4881872941176469E-2</v>
      </c>
    </row>
    <row r="31983" spans="103:104" x14ac:dyDescent="0.3">
      <c r="CY31983" s="34" t="s">
        <v>32909</v>
      </c>
      <c r="CZ31983" s="35">
        <v>0.61162735999999995</v>
      </c>
    </row>
    <row r="31984" spans="103:104" x14ac:dyDescent="0.3">
      <c r="CY31984" s="34" t="s">
        <v>32910</v>
      </c>
      <c r="CZ31984" s="35">
        <v>0.61162735999999995</v>
      </c>
    </row>
    <row r="31985" spans="103:104" x14ac:dyDescent="0.3">
      <c r="CY31985" s="34" t="s">
        <v>32911</v>
      </c>
      <c r="CZ31985" s="35">
        <v>0.31513253335000002</v>
      </c>
    </row>
    <row r="31986" spans="103:104" x14ac:dyDescent="0.3">
      <c r="CY31986" s="34" t="s">
        <v>32912</v>
      </c>
      <c r="CZ31986" s="35">
        <v>0.46336796335000002</v>
      </c>
    </row>
    <row r="31987" spans="103:104" x14ac:dyDescent="0.3">
      <c r="CY31987" s="34" t="s">
        <v>32913</v>
      </c>
      <c r="CZ31987" s="35">
        <v>0.30010900000000001</v>
      </c>
    </row>
    <row r="31988" spans="103:104" x14ac:dyDescent="0.3">
      <c r="CY31988" s="34" t="s">
        <v>32914</v>
      </c>
      <c r="CZ31988" s="35">
        <v>5.6895596E-2</v>
      </c>
    </row>
    <row r="31989" spans="103:104" x14ac:dyDescent="0.3">
      <c r="CY31989" s="34" t="s">
        <v>32915</v>
      </c>
      <c r="CZ31989" s="35">
        <v>1.3414973375E-2</v>
      </c>
    </row>
    <row r="31990" spans="103:104" x14ac:dyDescent="0.3">
      <c r="CY31990" s="34" t="s">
        <v>32916</v>
      </c>
      <c r="CZ31990" s="35">
        <v>1.3414973375E-2</v>
      </c>
    </row>
    <row r="31991" spans="103:104" x14ac:dyDescent="0.3">
      <c r="CY31991" s="34" t="s">
        <v>32917</v>
      </c>
      <c r="CZ31991" s="35">
        <v>7.2434807999999999E-4</v>
      </c>
    </row>
    <row r="31992" spans="103:104" x14ac:dyDescent="0.3">
      <c r="CY31992" s="34" t="s">
        <v>32918</v>
      </c>
      <c r="CZ31992" s="35">
        <v>1.9849336314285714E-2</v>
      </c>
    </row>
    <row r="31993" spans="103:104" x14ac:dyDescent="0.3">
      <c r="CY31993" s="34" t="s">
        <v>32919</v>
      </c>
      <c r="CZ31993" s="35">
        <v>2.4776332800000002E-2</v>
      </c>
    </row>
    <row r="31994" spans="103:104" x14ac:dyDescent="0.3">
      <c r="CY31994" s="34" t="s">
        <v>32920</v>
      </c>
      <c r="CZ31994" s="35">
        <v>2.4776332800000002E-2</v>
      </c>
    </row>
    <row r="31995" spans="103:104" x14ac:dyDescent="0.3">
      <c r="CY31995" s="34" t="s">
        <v>32921</v>
      </c>
      <c r="CZ31995" s="35">
        <v>2.4776332800000002E-2</v>
      </c>
    </row>
    <row r="31996" spans="103:104" x14ac:dyDescent="0.3">
      <c r="CY31996" s="34" t="s">
        <v>32922</v>
      </c>
      <c r="CZ31996" s="35">
        <v>4.1250000000000002E-2</v>
      </c>
    </row>
    <row r="31997" spans="103:104" x14ac:dyDescent="0.3">
      <c r="CY31997" s="34" t="s">
        <v>32923</v>
      </c>
      <c r="CZ31997" s="35">
        <v>4.1250000000000009E-2</v>
      </c>
    </row>
    <row r="31998" spans="103:104" x14ac:dyDescent="0.3">
      <c r="CY31998" s="34" t="s">
        <v>32924</v>
      </c>
      <c r="CZ31998" s="35">
        <v>4.1250000000000002E-2</v>
      </c>
    </row>
    <row r="31999" spans="103:104" x14ac:dyDescent="0.3">
      <c r="CY31999" s="34" t="s">
        <v>32925</v>
      </c>
      <c r="CZ31999" s="35">
        <v>8.0595543000000006E-3</v>
      </c>
    </row>
    <row r="32000" spans="103:104" x14ac:dyDescent="0.3">
      <c r="CY32000" s="34" t="s">
        <v>32926</v>
      </c>
      <c r="CZ32000" s="35">
        <v>0.24526149999999999</v>
      </c>
    </row>
    <row r="32001" spans="103:104" x14ac:dyDescent="0.3">
      <c r="CY32001" s="34" t="s">
        <v>32927</v>
      </c>
      <c r="CZ32001" s="35">
        <v>2.3912469999999998E-2</v>
      </c>
    </row>
    <row r="32002" spans="103:104" x14ac:dyDescent="0.3">
      <c r="CY32002" s="34" t="s">
        <v>32928</v>
      </c>
      <c r="CZ32002" s="35">
        <v>1.2758534000000001E-3</v>
      </c>
    </row>
    <row r="32003" spans="103:104" x14ac:dyDescent="0.3">
      <c r="CY32003" s="34" t="s">
        <v>32929</v>
      </c>
      <c r="CZ32003" s="35">
        <v>1.6230925E-3</v>
      </c>
    </row>
    <row r="32004" spans="103:104" x14ac:dyDescent="0.3">
      <c r="CY32004" s="34" t="s">
        <v>32930</v>
      </c>
      <c r="CZ32004" s="35">
        <v>3.5195779999999996E-2</v>
      </c>
    </row>
    <row r="32005" spans="103:104" x14ac:dyDescent="0.3">
      <c r="CY32005" s="34" t="s">
        <v>32931</v>
      </c>
      <c r="CZ32005" s="35">
        <v>1.2467387222222222</v>
      </c>
    </row>
    <row r="32006" spans="103:104" x14ac:dyDescent="0.3">
      <c r="CY32006" s="34" t="s">
        <v>32932</v>
      </c>
      <c r="CZ32006" s="35">
        <v>4.6598629666666667E-3</v>
      </c>
    </row>
    <row r="32007" spans="103:104" x14ac:dyDescent="0.3">
      <c r="CY32007" s="34" t="s">
        <v>32933</v>
      </c>
      <c r="CZ32007" s="35">
        <v>6.6503039999999999E-2</v>
      </c>
    </row>
    <row r="32008" spans="103:104" x14ac:dyDescent="0.3">
      <c r="CY32008" s="34" t="s">
        <v>32934</v>
      </c>
      <c r="CZ32008" s="35">
        <v>3.0756993399999998E-2</v>
      </c>
    </row>
    <row r="32009" spans="103:104" x14ac:dyDescent="0.3">
      <c r="CY32009" s="34" t="s">
        <v>32935</v>
      </c>
      <c r="CZ32009" s="35">
        <v>0.231348</v>
      </c>
    </row>
    <row r="32010" spans="103:104" x14ac:dyDescent="0.3">
      <c r="CY32010" s="34" t="s">
        <v>32936</v>
      </c>
      <c r="CZ32010" s="35">
        <v>1.77349064E-3</v>
      </c>
    </row>
    <row r="32011" spans="103:104" x14ac:dyDescent="0.3">
      <c r="CY32011" s="34" t="s">
        <v>32937</v>
      </c>
      <c r="CZ32011" s="35">
        <v>1.0400772000000001E-2</v>
      </c>
    </row>
    <row r="32012" spans="103:104" x14ac:dyDescent="0.3">
      <c r="CY32012" s="34" t="s">
        <v>32938</v>
      </c>
      <c r="CZ32012" s="35">
        <v>0.13262370200000001</v>
      </c>
    </row>
    <row r="32013" spans="103:104" x14ac:dyDescent="0.3">
      <c r="CY32013" s="34" t="s">
        <v>32939</v>
      </c>
      <c r="CZ32013" s="35">
        <v>1.9992328714285714E-2</v>
      </c>
    </row>
    <row r="32014" spans="103:104" x14ac:dyDescent="0.3">
      <c r="CY32014" s="34" t="s">
        <v>32940</v>
      </c>
      <c r="CZ32014" s="35">
        <v>0.38260372000000004</v>
      </c>
    </row>
    <row r="32015" spans="103:104" x14ac:dyDescent="0.3">
      <c r="CY32015" s="34" t="s">
        <v>32941</v>
      </c>
      <c r="CZ32015" s="35">
        <v>0.43771747999999994</v>
      </c>
    </row>
    <row r="32016" spans="103:104" x14ac:dyDescent="0.3">
      <c r="CY32016" s="34" t="s">
        <v>32942</v>
      </c>
      <c r="CZ32016" s="35">
        <v>0.38260372000000004</v>
      </c>
    </row>
    <row r="32017" spans="103:104" x14ac:dyDescent="0.3">
      <c r="CY32017" s="34" t="s">
        <v>32943</v>
      </c>
      <c r="CZ32017" s="35">
        <v>0.27150259999999998</v>
      </c>
    </row>
    <row r="32018" spans="103:104" x14ac:dyDescent="0.3">
      <c r="CY32018" s="34" t="s">
        <v>32944</v>
      </c>
      <c r="CZ32018" s="35">
        <v>0.38260372000000004</v>
      </c>
    </row>
    <row r="32019" spans="103:104" x14ac:dyDescent="0.3">
      <c r="CY32019" s="34" t="s">
        <v>32945</v>
      </c>
      <c r="CZ32019" s="35">
        <v>0.27150259999999998</v>
      </c>
    </row>
    <row r="32020" spans="103:104" x14ac:dyDescent="0.3">
      <c r="CY32020" s="34" t="s">
        <v>32946</v>
      </c>
      <c r="CZ32020" s="35">
        <v>0.38260372000000004</v>
      </c>
    </row>
    <row r="32021" spans="103:104" x14ac:dyDescent="0.3">
      <c r="CY32021" s="34" t="s">
        <v>32947</v>
      </c>
      <c r="CZ32021" s="35">
        <v>0.54669699999999999</v>
      </c>
    </row>
    <row r="32022" spans="103:104" x14ac:dyDescent="0.3">
      <c r="CY32022" s="34" t="s">
        <v>32948</v>
      </c>
      <c r="CZ32022" s="35">
        <v>8.2425760204081627E-3</v>
      </c>
    </row>
    <row r="32023" spans="103:104" x14ac:dyDescent="0.3">
      <c r="CY32023" s="34" t="s">
        <v>32949</v>
      </c>
      <c r="CZ32023" s="35">
        <v>1.054154E-2</v>
      </c>
    </row>
    <row r="32024" spans="103:104" x14ac:dyDescent="0.3">
      <c r="CY32024" s="34" t="s">
        <v>32950</v>
      </c>
      <c r="CZ32024" s="35">
        <v>1.1083459749999998E-2</v>
      </c>
    </row>
    <row r="32025" spans="103:104" x14ac:dyDescent="0.3">
      <c r="CY32025" s="34" t="s">
        <v>32951</v>
      </c>
      <c r="CZ32025" s="35">
        <v>1.1462179999999999E-2</v>
      </c>
    </row>
    <row r="32026" spans="103:104" x14ac:dyDescent="0.3">
      <c r="CY32026" s="34" t="s">
        <v>32952</v>
      </c>
      <c r="CZ32026" s="35">
        <v>1.1940476000000002E-2</v>
      </c>
    </row>
    <row r="32027" spans="103:104" x14ac:dyDescent="0.3">
      <c r="CY32027" s="34" t="s">
        <v>32953</v>
      </c>
      <c r="CZ32027" s="35">
        <v>1.3196925E-2</v>
      </c>
    </row>
    <row r="32028" spans="103:104" x14ac:dyDescent="0.3">
      <c r="CY32028" s="34" t="s">
        <v>32954</v>
      </c>
      <c r="CZ32028" s="35">
        <v>0.21327194275</v>
      </c>
    </row>
    <row r="32029" spans="103:104" x14ac:dyDescent="0.3">
      <c r="CY32029" s="34" t="s">
        <v>32955</v>
      </c>
      <c r="CZ32029" s="35">
        <v>6.5102950000000007E-2</v>
      </c>
    </row>
    <row r="32030" spans="103:104" x14ac:dyDescent="0.3">
      <c r="CY32030" s="34" t="s">
        <v>32956</v>
      </c>
      <c r="CZ32030" s="35">
        <v>7.2985747222222216E-2</v>
      </c>
    </row>
    <row r="32031" spans="103:104" x14ac:dyDescent="0.3">
      <c r="CY32031" s="34" t="s">
        <v>32957</v>
      </c>
      <c r="CZ32031" s="35">
        <v>5.6345747222222221E-2</v>
      </c>
    </row>
    <row r="32032" spans="103:104" x14ac:dyDescent="0.3">
      <c r="CY32032" s="34" t="s">
        <v>32958</v>
      </c>
      <c r="CZ32032" s="35">
        <v>6.9639885624999995E-2</v>
      </c>
    </row>
    <row r="32033" spans="103:104" x14ac:dyDescent="0.3">
      <c r="CY32033" s="34" t="s">
        <v>32959</v>
      </c>
      <c r="CZ32033" s="35">
        <v>1.4514201600000002E-3</v>
      </c>
    </row>
    <row r="32034" spans="103:104" x14ac:dyDescent="0.3">
      <c r="CY32034" s="34" t="s">
        <v>32960</v>
      </c>
      <c r="CZ32034" s="35">
        <v>7.0091692000000001E-4</v>
      </c>
    </row>
    <row r="32035" spans="103:104" x14ac:dyDescent="0.3">
      <c r="CY32035" s="34" t="s">
        <v>32961</v>
      </c>
      <c r="CZ32035" s="35">
        <v>1.43237024E-3</v>
      </c>
    </row>
    <row r="32036" spans="103:104" x14ac:dyDescent="0.3">
      <c r="CY32036" s="34" t="s">
        <v>32962</v>
      </c>
      <c r="CZ32036" s="35">
        <v>1.7043695999999998E-3</v>
      </c>
    </row>
    <row r="32037" spans="103:104" x14ac:dyDescent="0.3">
      <c r="CY32037" s="34" t="s">
        <v>32963</v>
      </c>
      <c r="CZ32037" s="35">
        <v>1.4748534399999999E-3</v>
      </c>
    </row>
    <row r="32038" spans="103:104" x14ac:dyDescent="0.3">
      <c r="CY32038" s="34" t="s">
        <v>32964</v>
      </c>
      <c r="CZ32038" s="35">
        <v>1.42317024E-3</v>
      </c>
    </row>
    <row r="32039" spans="103:104" x14ac:dyDescent="0.3">
      <c r="CY32039" s="34" t="s">
        <v>32965</v>
      </c>
      <c r="CZ32039" s="35">
        <v>2.2131367999999999E-3</v>
      </c>
    </row>
    <row r="32040" spans="103:104" x14ac:dyDescent="0.3">
      <c r="CY32040" s="34" t="s">
        <v>32966</v>
      </c>
      <c r="CZ32040" s="35">
        <v>3.9598407999999995E-3</v>
      </c>
    </row>
    <row r="32041" spans="103:104" x14ac:dyDescent="0.3">
      <c r="CY32041" s="34" t="s">
        <v>32967</v>
      </c>
      <c r="CZ32041" s="35">
        <v>1.6614850000000001E-3</v>
      </c>
    </row>
    <row r="32042" spans="103:104" x14ac:dyDescent="0.3">
      <c r="CY32042" s="34" t="s">
        <v>32968</v>
      </c>
      <c r="CZ32042" s="35">
        <v>4.611848E-3</v>
      </c>
    </row>
    <row r="32043" spans="103:104" x14ac:dyDescent="0.3">
      <c r="CY32043" s="34" t="s">
        <v>32969</v>
      </c>
      <c r="CZ32043" s="35">
        <v>3.4303712421052627E-3</v>
      </c>
    </row>
    <row r="32044" spans="103:104" x14ac:dyDescent="0.3">
      <c r="CY32044" s="34" t="s">
        <v>32970</v>
      </c>
      <c r="CZ32044" s="35">
        <v>3.40712912E-3</v>
      </c>
    </row>
    <row r="32045" spans="103:104" x14ac:dyDescent="0.3">
      <c r="CY32045" s="34" t="s">
        <v>32971</v>
      </c>
      <c r="CZ32045" s="35">
        <v>0.310332</v>
      </c>
    </row>
    <row r="32046" spans="103:104" x14ac:dyDescent="0.3">
      <c r="CY32046" s="34" t="s">
        <v>32972</v>
      </c>
      <c r="CZ32046" s="35">
        <v>6.2734353399999995E-3</v>
      </c>
    </row>
    <row r="32047" spans="103:104" x14ac:dyDescent="0.3">
      <c r="CY32047" s="34" t="s">
        <v>32973</v>
      </c>
      <c r="CZ32047" s="35">
        <v>1.8911660686999999E-2</v>
      </c>
    </row>
    <row r="32048" spans="103:104" x14ac:dyDescent="0.3">
      <c r="CY32048" s="34" t="s">
        <v>32974</v>
      </c>
      <c r="CZ32048" s="35">
        <v>0.14587604000000001</v>
      </c>
    </row>
    <row r="32049" spans="103:104" x14ac:dyDescent="0.3">
      <c r="CY32049" s="34" t="s">
        <v>32975</v>
      </c>
      <c r="CZ32049" s="35">
        <v>8.1832666666666672E-4</v>
      </c>
    </row>
    <row r="32050" spans="103:104" x14ac:dyDescent="0.3">
      <c r="CY32050" s="34" t="s">
        <v>32976</v>
      </c>
      <c r="CZ32050" s="35">
        <v>6.4866000000000001E-4</v>
      </c>
    </row>
    <row r="32051" spans="103:104" x14ac:dyDescent="0.3">
      <c r="CY32051" s="34" t="s">
        <v>32977</v>
      </c>
      <c r="CZ32051" s="35">
        <v>1.8052960000000003E-2</v>
      </c>
    </row>
    <row r="32052" spans="103:104" x14ac:dyDescent="0.3">
      <c r="CY32052" s="34" t="s">
        <v>32978</v>
      </c>
      <c r="CZ32052" s="35">
        <v>0.83298030999999995</v>
      </c>
    </row>
    <row r="32053" spans="103:104" x14ac:dyDescent="0.3">
      <c r="CY32053" s="34" t="s">
        <v>32979</v>
      </c>
      <c r="CZ32053" s="35">
        <v>0.78057593062999997</v>
      </c>
    </row>
    <row r="32054" spans="103:104" x14ac:dyDescent="0.3">
      <c r="CY32054" s="34" t="s">
        <v>32980</v>
      </c>
      <c r="CZ32054" s="35">
        <v>0.35383593000000002</v>
      </c>
    </row>
    <row r="32055" spans="103:104" x14ac:dyDescent="0.3">
      <c r="CY32055" s="34" t="s">
        <v>32981</v>
      </c>
      <c r="CZ32055" s="35">
        <v>0.26509273</v>
      </c>
    </row>
    <row r="32056" spans="103:104" x14ac:dyDescent="0.3">
      <c r="CY32056" s="34" t="s">
        <v>32982</v>
      </c>
      <c r="CZ32056" s="35">
        <v>0.30059001000000002</v>
      </c>
    </row>
    <row r="32057" spans="103:104" x14ac:dyDescent="0.3">
      <c r="CY32057" s="34" t="s">
        <v>32983</v>
      </c>
      <c r="CZ32057" s="35">
        <v>7.039678399999999E-2</v>
      </c>
    </row>
    <row r="32058" spans="103:104" x14ac:dyDescent="0.3">
      <c r="CY32058" s="34" t="s">
        <v>32984</v>
      </c>
      <c r="CZ32058" s="35">
        <v>0.12864139399999999</v>
      </c>
    </row>
    <row r="32059" spans="103:104" x14ac:dyDescent="0.3">
      <c r="CY32059" s="34" t="s">
        <v>32985</v>
      </c>
      <c r="CZ32059" s="35">
        <v>0.63714694000000005</v>
      </c>
    </row>
    <row r="32060" spans="103:104" x14ac:dyDescent="0.3">
      <c r="CY32060" s="34" t="s">
        <v>32986</v>
      </c>
      <c r="CZ32060" s="35">
        <v>1.3329953999999997E-3</v>
      </c>
    </row>
    <row r="32061" spans="103:104" x14ac:dyDescent="0.3">
      <c r="CY32061" s="34" t="s">
        <v>32987</v>
      </c>
      <c r="CZ32061" s="35">
        <v>0.86200721999999996</v>
      </c>
    </row>
    <row r="32062" spans="103:104" x14ac:dyDescent="0.3">
      <c r="CY32062" s="34" t="s">
        <v>32988</v>
      </c>
      <c r="CZ32062" s="35">
        <v>0.83123329999999995</v>
      </c>
    </row>
    <row r="32063" spans="103:104" x14ac:dyDescent="0.3">
      <c r="CY32063" s="34" t="s">
        <v>32989</v>
      </c>
      <c r="CZ32063" s="35">
        <v>0.83123330000000006</v>
      </c>
    </row>
    <row r="32064" spans="103:104" x14ac:dyDescent="0.3">
      <c r="CY32064" s="34" t="s">
        <v>32990</v>
      </c>
      <c r="CZ32064" s="35">
        <v>0.78596350000000004</v>
      </c>
    </row>
    <row r="32065" spans="103:104" x14ac:dyDescent="0.3">
      <c r="CY32065" s="34" t="s">
        <v>32991</v>
      </c>
      <c r="CZ32065" s="35">
        <v>0.20358844000000001</v>
      </c>
    </row>
    <row r="32066" spans="103:104" x14ac:dyDescent="0.3">
      <c r="CY32066" s="34" t="s">
        <v>32992</v>
      </c>
      <c r="CZ32066" s="35">
        <v>1.1385000000000001E-2</v>
      </c>
    </row>
    <row r="32067" spans="103:104" x14ac:dyDescent="0.3">
      <c r="CY32067" s="34" t="s">
        <v>32993</v>
      </c>
      <c r="CZ32067" s="35">
        <v>2.7820192999999997E-2</v>
      </c>
    </row>
    <row r="32068" spans="103:104" x14ac:dyDescent="0.3">
      <c r="CY32068" s="34" t="s">
        <v>32994</v>
      </c>
      <c r="CZ32068" s="35">
        <v>2.0740794600000001</v>
      </c>
    </row>
    <row r="32069" spans="103:104" x14ac:dyDescent="0.3">
      <c r="CY32069" s="34" t="s">
        <v>32995</v>
      </c>
      <c r="CZ32069" s="35">
        <v>2.2282955294117652E-3</v>
      </c>
    </row>
    <row r="32070" spans="103:104" x14ac:dyDescent="0.3">
      <c r="CY32070" s="34" t="s">
        <v>32996</v>
      </c>
      <c r="CZ32070" s="35">
        <v>2.0172436000000005E-2</v>
      </c>
    </row>
    <row r="32071" spans="103:104" x14ac:dyDescent="0.3">
      <c r="CY32071" s="34" t="s">
        <v>32997</v>
      </c>
      <c r="CZ32071" s="35">
        <v>1.7588568628279996E-2</v>
      </c>
    </row>
    <row r="32072" spans="103:104" x14ac:dyDescent="0.3">
      <c r="CY32072" s="34" t="s">
        <v>32998</v>
      </c>
      <c r="CZ32072" s="35">
        <v>5.6738976344000006E-2</v>
      </c>
    </row>
    <row r="32073" spans="103:104" x14ac:dyDescent="0.3">
      <c r="CY32073" s="34" t="s">
        <v>32999</v>
      </c>
      <c r="CZ32073" s="35">
        <v>5.6738976344000006E-2</v>
      </c>
    </row>
    <row r="32074" spans="103:104" x14ac:dyDescent="0.3">
      <c r="CY32074" s="34" t="s">
        <v>33000</v>
      </c>
      <c r="CZ32074" s="35">
        <v>1.5235871999999999E-2</v>
      </c>
    </row>
    <row r="32075" spans="103:104" x14ac:dyDescent="0.3">
      <c r="CY32075" s="34" t="s">
        <v>33001</v>
      </c>
      <c r="CZ32075" s="35">
        <v>1.0829259565714285E-2</v>
      </c>
    </row>
    <row r="32076" spans="103:104" x14ac:dyDescent="0.3">
      <c r="CY32076" s="34" t="s">
        <v>33002</v>
      </c>
      <c r="CZ32076" s="35">
        <v>1.6880843263157898E-2</v>
      </c>
    </row>
    <row r="32077" spans="103:104" x14ac:dyDescent="0.3">
      <c r="CY32077" s="34" t="s">
        <v>33003</v>
      </c>
      <c r="CZ32077" s="35">
        <v>1.6880843263157894E-2</v>
      </c>
    </row>
    <row r="32078" spans="103:104" x14ac:dyDescent="0.3">
      <c r="CY32078" s="34" t="s">
        <v>33004</v>
      </c>
      <c r="CZ32078" s="35">
        <v>7.9168415089999992E-3</v>
      </c>
    </row>
    <row r="32079" spans="103:104" x14ac:dyDescent="0.3">
      <c r="CY32079" s="34" t="s">
        <v>33005</v>
      </c>
      <c r="CZ32079" s="35">
        <v>5.1972658000000005E-2</v>
      </c>
    </row>
    <row r="32080" spans="103:104" x14ac:dyDescent="0.3">
      <c r="CY32080" s="34" t="s">
        <v>33006</v>
      </c>
      <c r="CZ32080" s="35">
        <v>1.8358335263157894</v>
      </c>
    </row>
    <row r="32081" spans="103:104" x14ac:dyDescent="0.3">
      <c r="CY32081" s="34" t="s">
        <v>33007</v>
      </c>
      <c r="CZ32081" s="35">
        <v>5.8818480000000003E-3</v>
      </c>
    </row>
    <row r="32082" spans="103:104" x14ac:dyDescent="0.3">
      <c r="CY32082" s="34" t="s">
        <v>33008</v>
      </c>
      <c r="CZ32082" s="35">
        <v>2.2316895999999996E-3</v>
      </c>
    </row>
    <row r="32083" spans="103:104" x14ac:dyDescent="0.3">
      <c r="CY32083" s="34" t="s">
        <v>33009</v>
      </c>
      <c r="CZ32083" s="35">
        <v>2.3657202E-3</v>
      </c>
    </row>
    <row r="32084" spans="103:104" x14ac:dyDescent="0.3">
      <c r="CY32084" s="34" t="s">
        <v>33010</v>
      </c>
      <c r="CZ32084" s="35">
        <v>2.0470487999999995E-3</v>
      </c>
    </row>
    <row r="32085" spans="103:104" x14ac:dyDescent="0.3">
      <c r="CY32085" s="34" t="s">
        <v>33011</v>
      </c>
      <c r="CZ32085" s="35">
        <v>2.5522560000000006E-3</v>
      </c>
    </row>
    <row r="32086" spans="103:104" x14ac:dyDescent="0.3">
      <c r="CY32086" s="34" t="s">
        <v>33012</v>
      </c>
      <c r="CZ32086" s="35">
        <v>2.918292116E-2</v>
      </c>
    </row>
    <row r="32087" spans="103:104" x14ac:dyDescent="0.3">
      <c r="CY32087" s="34" t="s">
        <v>33013</v>
      </c>
      <c r="CZ32087" s="35">
        <v>7.4964980000000007E-3</v>
      </c>
    </row>
    <row r="32088" spans="103:104" x14ac:dyDescent="0.3">
      <c r="CY32088" s="34" t="s">
        <v>33014</v>
      </c>
      <c r="CZ32088" s="35">
        <v>3.2011405999999999E-2</v>
      </c>
    </row>
    <row r="32089" spans="103:104" x14ac:dyDescent="0.3">
      <c r="CY32089" s="34" t="s">
        <v>33015</v>
      </c>
      <c r="CZ32089" s="35">
        <v>4.1515399999999996E-3</v>
      </c>
    </row>
    <row r="32090" spans="103:104" x14ac:dyDescent="0.3">
      <c r="CY32090" s="34" t="s">
        <v>33016</v>
      </c>
      <c r="CZ32090" s="35">
        <v>1.5079060000000003E-3</v>
      </c>
    </row>
    <row r="32091" spans="103:104" x14ac:dyDescent="0.3">
      <c r="CY32091" s="34" t="s">
        <v>33017</v>
      </c>
      <c r="CZ32091" s="35">
        <v>3.1610560000000002E-3</v>
      </c>
    </row>
    <row r="32092" spans="103:104" x14ac:dyDescent="0.3">
      <c r="CY32092" s="34" t="s">
        <v>33018</v>
      </c>
      <c r="CZ32092" s="35">
        <v>2.5204339578947368E-2</v>
      </c>
    </row>
    <row r="32093" spans="103:104" x14ac:dyDescent="0.3">
      <c r="CY32093" s="34" t="s">
        <v>33019</v>
      </c>
      <c r="CZ32093" s="35">
        <v>1.998262E-2</v>
      </c>
    </row>
    <row r="32094" spans="103:104" x14ac:dyDescent="0.3">
      <c r="CY32094" s="34" t="s">
        <v>33020</v>
      </c>
      <c r="CZ32094" s="35">
        <v>1.5742657999999999E-3</v>
      </c>
    </row>
    <row r="32095" spans="103:104" x14ac:dyDescent="0.3">
      <c r="CY32095" s="34" t="s">
        <v>33021</v>
      </c>
      <c r="CZ32095" s="35">
        <v>7.7803999999999998E-3</v>
      </c>
    </row>
    <row r="32096" spans="103:104" x14ac:dyDescent="0.3">
      <c r="CY32096" s="34" t="s">
        <v>33022</v>
      </c>
      <c r="CZ32096" s="35">
        <v>4.3615030400000004E-2</v>
      </c>
    </row>
    <row r="32097" spans="103:104" x14ac:dyDescent="0.3">
      <c r="CY32097" s="34" t="s">
        <v>33023</v>
      </c>
      <c r="CZ32097" s="35">
        <v>2.1771352000000001E-2</v>
      </c>
    </row>
    <row r="32098" spans="103:104" x14ac:dyDescent="0.3">
      <c r="CY32098" s="34" t="s">
        <v>33024</v>
      </c>
      <c r="CZ32098" s="35">
        <v>7.562885000000001E-3</v>
      </c>
    </row>
    <row r="32099" spans="103:104" x14ac:dyDescent="0.3">
      <c r="CY32099" s="34" t="s">
        <v>33025</v>
      </c>
      <c r="CZ32099" s="35">
        <v>7.5628850602409642E-3</v>
      </c>
    </row>
    <row r="32100" spans="103:104" x14ac:dyDescent="0.3">
      <c r="CY32100" s="34" t="s">
        <v>33026</v>
      </c>
      <c r="CZ32100" s="35">
        <v>9.0034020000000008E-4</v>
      </c>
    </row>
    <row r="32101" spans="103:104" x14ac:dyDescent="0.3">
      <c r="CY32101" s="34" t="s">
        <v>33027</v>
      </c>
      <c r="CZ32101" s="35">
        <v>0.59456903999999999</v>
      </c>
    </row>
    <row r="32102" spans="103:104" x14ac:dyDescent="0.3">
      <c r="CY32102" s="34" t="s">
        <v>33028</v>
      </c>
      <c r="CZ32102" s="35">
        <v>0.99803322670000005</v>
      </c>
    </row>
    <row r="32103" spans="103:104" x14ac:dyDescent="0.3">
      <c r="CY32103" s="34" t="s">
        <v>33029</v>
      </c>
      <c r="CZ32103" s="35">
        <v>1.5971694797282353E-2</v>
      </c>
    </row>
    <row r="32104" spans="103:104" x14ac:dyDescent="0.3">
      <c r="CY32104" s="34" t="s">
        <v>33030</v>
      </c>
      <c r="CZ32104" s="35">
        <v>0.56993649329999996</v>
      </c>
    </row>
    <row r="32105" spans="103:104" x14ac:dyDescent="0.3">
      <c r="CY32105" s="34" t="s">
        <v>33031</v>
      </c>
      <c r="CZ32105" s="35">
        <v>0.39576735000000002</v>
      </c>
    </row>
    <row r="32106" spans="103:104" x14ac:dyDescent="0.3">
      <c r="CY32106" s="34" t="s">
        <v>33032</v>
      </c>
      <c r="CZ32106" s="35">
        <v>0.15976081</v>
      </c>
    </row>
    <row r="32107" spans="103:104" x14ac:dyDescent="0.3">
      <c r="CY32107" s="34" t="s">
        <v>33033</v>
      </c>
      <c r="CZ32107" s="35">
        <v>5.8673471999999994E-4</v>
      </c>
    </row>
    <row r="32108" spans="103:104" x14ac:dyDescent="0.3">
      <c r="CY32108" s="34" t="s">
        <v>33034</v>
      </c>
      <c r="CZ32108" s="35">
        <v>3.2352916999999998E-3</v>
      </c>
    </row>
    <row r="32109" spans="103:104" x14ac:dyDescent="0.3">
      <c r="CY32109" s="34" t="s">
        <v>33035</v>
      </c>
      <c r="CZ32109" s="35">
        <v>0.29001890000000002</v>
      </c>
    </row>
    <row r="32110" spans="103:104" x14ac:dyDescent="0.3">
      <c r="CY32110" s="34" t="s">
        <v>33036</v>
      </c>
      <c r="CZ32110" s="35">
        <v>1.0374999999999999E-2</v>
      </c>
    </row>
    <row r="32111" spans="103:104" x14ac:dyDescent="0.3">
      <c r="CY32111" s="34" t="s">
        <v>33037</v>
      </c>
      <c r="CZ32111" s="35">
        <v>0.17612720000000001</v>
      </c>
    </row>
    <row r="32112" spans="103:104" x14ac:dyDescent="0.3">
      <c r="CY32112" s="34" t="s">
        <v>33038</v>
      </c>
      <c r="CZ32112" s="35">
        <v>2.8656000000000001E-2</v>
      </c>
    </row>
    <row r="32113" spans="103:104" x14ac:dyDescent="0.3">
      <c r="CY32113" s="34" t="s">
        <v>33039</v>
      </c>
      <c r="CZ32113" s="35">
        <v>8.6514399936780007E-2</v>
      </c>
    </row>
    <row r="32114" spans="103:104" x14ac:dyDescent="0.3">
      <c r="CY32114" s="34" t="s">
        <v>33040</v>
      </c>
      <c r="CZ32114" s="35">
        <v>2.6761188000000002E-2</v>
      </c>
    </row>
    <row r="32115" spans="103:104" x14ac:dyDescent="0.3">
      <c r="CY32115" s="34" t="s">
        <v>33041</v>
      </c>
      <c r="CZ32115" s="35">
        <v>2.7284099999999999E-2</v>
      </c>
    </row>
    <row r="32116" spans="103:104" x14ac:dyDescent="0.3">
      <c r="CY32116" s="34" t="s">
        <v>33042</v>
      </c>
      <c r="CZ32116" s="35">
        <v>8.2371243999999996E-2</v>
      </c>
    </row>
    <row r="32117" spans="103:104" x14ac:dyDescent="0.3">
      <c r="CY32117" s="34" t="s">
        <v>33043</v>
      </c>
      <c r="CZ32117" s="35">
        <v>5.0013403999999992E-3</v>
      </c>
    </row>
    <row r="32118" spans="103:104" x14ac:dyDescent="0.3">
      <c r="CY32118" s="34" t="s">
        <v>33044</v>
      </c>
      <c r="CZ32118" s="35">
        <v>3.9884120000000002E-3</v>
      </c>
    </row>
    <row r="32119" spans="103:104" x14ac:dyDescent="0.3">
      <c r="CY32119" s="34" t="s">
        <v>33045</v>
      </c>
      <c r="CZ32119" s="35">
        <v>5.8688842129870121E-3</v>
      </c>
    </row>
    <row r="32120" spans="103:104" x14ac:dyDescent="0.3">
      <c r="CY32120" s="34" t="s">
        <v>33046</v>
      </c>
      <c r="CZ32120" s="35">
        <v>1.782910366161616E-2</v>
      </c>
    </row>
    <row r="32121" spans="103:104" x14ac:dyDescent="0.3">
      <c r="CY32121" s="34" t="s">
        <v>33047</v>
      </c>
      <c r="CZ32121" s="35">
        <v>0.45553601333333332</v>
      </c>
    </row>
    <row r="32122" spans="103:104" x14ac:dyDescent="0.3">
      <c r="CY32122" s="34" t="s">
        <v>33048</v>
      </c>
      <c r="CZ32122" s="35">
        <v>0.29171124450000002</v>
      </c>
    </row>
    <row r="32123" spans="103:104" x14ac:dyDescent="0.3">
      <c r="CY32123" s="34" t="s">
        <v>33049</v>
      </c>
      <c r="CZ32123" s="35">
        <v>0.30850778000000001</v>
      </c>
    </row>
    <row r="32124" spans="103:104" x14ac:dyDescent="0.3">
      <c r="CY32124" s="34" t="s">
        <v>33050</v>
      </c>
      <c r="CZ32124" s="35">
        <v>0.58153328000000004</v>
      </c>
    </row>
    <row r="32125" spans="103:104" x14ac:dyDescent="0.3">
      <c r="CY32125" s="34" t="s">
        <v>33051</v>
      </c>
      <c r="CZ32125" s="35">
        <v>3.5472536999999991E-2</v>
      </c>
    </row>
    <row r="32126" spans="103:104" x14ac:dyDescent="0.3">
      <c r="CY32126" s="34" t="s">
        <v>33052</v>
      </c>
      <c r="CZ32126" s="35">
        <v>0.23465016000000005</v>
      </c>
    </row>
    <row r="32127" spans="103:104" x14ac:dyDescent="0.3">
      <c r="CY32127" s="34" t="s">
        <v>33053</v>
      </c>
      <c r="CZ32127" s="35">
        <v>3.0460296000000001E-2</v>
      </c>
    </row>
    <row r="32128" spans="103:104" x14ac:dyDescent="0.3">
      <c r="CY32128" s="34" t="s">
        <v>33054</v>
      </c>
      <c r="CZ32128" s="35">
        <v>0.24419111400000001</v>
      </c>
    </row>
    <row r="32129" spans="103:104" x14ac:dyDescent="0.3">
      <c r="CY32129" s="34" t="s">
        <v>33055</v>
      </c>
      <c r="CZ32129" s="35">
        <v>6.6794325999999987E-2</v>
      </c>
    </row>
    <row r="32130" spans="103:104" x14ac:dyDescent="0.3">
      <c r="CY32130" s="34" t="s">
        <v>33056</v>
      </c>
      <c r="CZ32130" s="35">
        <v>0.20222180199999998</v>
      </c>
    </row>
    <row r="32131" spans="103:104" x14ac:dyDescent="0.3">
      <c r="CY32131" s="34" t="s">
        <v>33057</v>
      </c>
      <c r="CZ32131" s="35">
        <v>6.3561852000000004E-3</v>
      </c>
    </row>
    <row r="32132" spans="103:104" x14ac:dyDescent="0.3">
      <c r="CY32132" s="34" t="s">
        <v>33058</v>
      </c>
      <c r="CZ32132" s="35">
        <v>0.18087709599999999</v>
      </c>
    </row>
    <row r="32133" spans="103:104" x14ac:dyDescent="0.3">
      <c r="CY32133" s="34" t="s">
        <v>33059</v>
      </c>
      <c r="CZ32133" s="35">
        <v>4.8495999999999997E-2</v>
      </c>
    </row>
    <row r="32134" spans="103:104" x14ac:dyDescent="0.3">
      <c r="CY32134" s="34" t="s">
        <v>33060</v>
      </c>
      <c r="CZ32134" s="35">
        <v>0.1071366933</v>
      </c>
    </row>
    <row r="32135" spans="103:104" x14ac:dyDescent="0.3">
      <c r="CY32135" s="34" t="s">
        <v>33061</v>
      </c>
      <c r="CZ32135" s="35">
        <v>0.18837926399999996</v>
      </c>
    </row>
    <row r="32136" spans="103:104" x14ac:dyDescent="0.3">
      <c r="CY32136" s="34" t="s">
        <v>33062</v>
      </c>
      <c r="CZ32136" s="35">
        <v>1.4128978000000001E-4</v>
      </c>
    </row>
    <row r="32137" spans="103:104" x14ac:dyDescent="0.3">
      <c r="CY32137" s="34" t="s">
        <v>33063</v>
      </c>
      <c r="CZ32137" s="35">
        <v>0.13639596666666665</v>
      </c>
    </row>
    <row r="32138" spans="103:104" x14ac:dyDescent="0.3">
      <c r="CY32138" s="34" t="s">
        <v>33064</v>
      </c>
      <c r="CZ32138" s="35">
        <v>0.33403646944444443</v>
      </c>
    </row>
    <row r="32139" spans="103:104" x14ac:dyDescent="0.3">
      <c r="CY32139" s="34" t="s">
        <v>33065</v>
      </c>
      <c r="CZ32139" s="35">
        <v>0.31461726944444446</v>
      </c>
    </row>
    <row r="32140" spans="103:104" x14ac:dyDescent="0.3">
      <c r="CY32140" s="34" t="s">
        <v>33066</v>
      </c>
      <c r="CZ32140" s="35">
        <v>0.15299609888888888</v>
      </c>
    </row>
    <row r="32141" spans="103:104" x14ac:dyDescent="0.3">
      <c r="CY32141" s="34" t="s">
        <v>33067</v>
      </c>
      <c r="CZ32141" s="35">
        <v>0.15299609888888888</v>
      </c>
    </row>
    <row r="32142" spans="103:104" x14ac:dyDescent="0.3">
      <c r="CY32142" s="34" t="s">
        <v>33068</v>
      </c>
      <c r="CZ32142" s="35">
        <v>8.3268229000000013E-2</v>
      </c>
    </row>
    <row r="32143" spans="103:104" x14ac:dyDescent="0.3">
      <c r="CY32143" s="34" t="s">
        <v>33069</v>
      </c>
      <c r="CZ32143" s="35">
        <v>2.0090459066666662</v>
      </c>
    </row>
    <row r="32144" spans="103:104" x14ac:dyDescent="0.3">
      <c r="CY32144" s="34" t="s">
        <v>33070</v>
      </c>
      <c r="CZ32144" s="35">
        <v>5.538822258149998</v>
      </c>
    </row>
    <row r="32145" spans="103:104" x14ac:dyDescent="0.3">
      <c r="CY32145" s="34" t="s">
        <v>33071</v>
      </c>
      <c r="CZ32145" s="35">
        <v>1.21060491E-2</v>
      </c>
    </row>
    <row r="32146" spans="103:104" x14ac:dyDescent="0.3">
      <c r="CY32146" s="34" t="s">
        <v>33072</v>
      </c>
      <c r="CZ32146" s="35">
        <v>1.26632603E-2</v>
      </c>
    </row>
    <row r="32147" spans="103:104" x14ac:dyDescent="0.3">
      <c r="CY32147" s="34" t="s">
        <v>33073</v>
      </c>
      <c r="CZ32147" s="35">
        <v>1.3248468300000003E-2</v>
      </c>
    </row>
    <row r="32148" spans="103:104" x14ac:dyDescent="0.3">
      <c r="CY32148" s="34" t="s">
        <v>33074</v>
      </c>
      <c r="CZ32148" s="35">
        <v>1.3878375500000002E-2</v>
      </c>
    </row>
    <row r="32149" spans="103:104" x14ac:dyDescent="0.3">
      <c r="CY32149" s="34" t="s">
        <v>33075</v>
      </c>
      <c r="CZ32149" s="35">
        <v>1.4534823500000002E-2</v>
      </c>
    </row>
    <row r="32150" spans="103:104" x14ac:dyDescent="0.3">
      <c r="CY32150" s="34" t="s">
        <v>33076</v>
      </c>
      <c r="CZ32150" s="35">
        <v>0.57347475332499998</v>
      </c>
    </row>
    <row r="32151" spans="103:104" x14ac:dyDescent="0.3">
      <c r="CY32151" s="34" t="s">
        <v>33077</v>
      </c>
      <c r="CZ32151" s="35">
        <v>2.6163868999999999E-2</v>
      </c>
    </row>
    <row r="32152" spans="103:104" x14ac:dyDescent="0.3">
      <c r="CY32152" s="34" t="s">
        <v>33078</v>
      </c>
      <c r="CZ32152" s="35">
        <v>2.5586066000000005E-2</v>
      </c>
    </row>
    <row r="32153" spans="103:104" x14ac:dyDescent="0.3">
      <c r="CY32153" s="34" t="s">
        <v>33079</v>
      </c>
      <c r="CZ32153" s="35">
        <v>0.97053031330000006</v>
      </c>
    </row>
    <row r="32154" spans="103:104" x14ac:dyDescent="0.3">
      <c r="CY32154" s="34" t="s">
        <v>33080</v>
      </c>
      <c r="CZ32154" s="35">
        <v>0.66763070000000002</v>
      </c>
    </row>
    <row r="32155" spans="103:104" x14ac:dyDescent="0.3">
      <c r="CY32155" s="34" t="s">
        <v>33081</v>
      </c>
      <c r="CZ32155" s="35">
        <v>0.28849128000000002</v>
      </c>
    </row>
    <row r="32156" spans="103:104" x14ac:dyDescent="0.3">
      <c r="CY32156" s="34" t="s">
        <v>33082</v>
      </c>
      <c r="CZ32156" s="35">
        <v>2.1024120000000001E-3</v>
      </c>
    </row>
    <row r="32157" spans="103:104" x14ac:dyDescent="0.3">
      <c r="CY32157" s="34" t="s">
        <v>33083</v>
      </c>
      <c r="CZ32157" s="35">
        <v>9.7552589473684222E-4</v>
      </c>
    </row>
    <row r="32158" spans="103:104" x14ac:dyDescent="0.3">
      <c r="CY32158" s="34" t="s">
        <v>33084</v>
      </c>
      <c r="CZ32158" s="35">
        <v>0.13001978</v>
      </c>
    </row>
    <row r="32159" spans="103:104" x14ac:dyDescent="0.3">
      <c r="CY32159" s="34" t="s">
        <v>33085</v>
      </c>
      <c r="CZ32159" s="35">
        <v>7.8504511999999988E-3</v>
      </c>
    </row>
    <row r="32160" spans="103:104" x14ac:dyDescent="0.3">
      <c r="CY32160" s="34" t="s">
        <v>33086</v>
      </c>
      <c r="CZ32160" s="35">
        <v>1.4934793599999999E-3</v>
      </c>
    </row>
    <row r="32161" spans="103:104" x14ac:dyDescent="0.3">
      <c r="CY32161" s="34" t="s">
        <v>33087</v>
      </c>
      <c r="CZ32161" s="35">
        <v>7.4964980000000007E-3</v>
      </c>
    </row>
    <row r="32162" spans="103:104" x14ac:dyDescent="0.3">
      <c r="CY32162" s="34" t="s">
        <v>33088</v>
      </c>
      <c r="CZ32162" s="35">
        <v>0.26236709260000002</v>
      </c>
    </row>
    <row r="32163" spans="103:104" x14ac:dyDescent="0.3">
      <c r="CY32163" s="34" t="s">
        <v>33089</v>
      </c>
      <c r="CZ32163" s="35">
        <v>2.2785025E-2</v>
      </c>
    </row>
    <row r="32164" spans="103:104" x14ac:dyDescent="0.3">
      <c r="CY32164" s="34" t="s">
        <v>33090</v>
      </c>
      <c r="CZ32164" s="35">
        <v>0.33901512499999997</v>
      </c>
    </row>
    <row r="32165" spans="103:104" x14ac:dyDescent="0.3">
      <c r="CY32165" s="34" t="s">
        <v>33091</v>
      </c>
      <c r="CZ32165" s="35">
        <v>4.2255482499999992</v>
      </c>
    </row>
    <row r="32166" spans="103:104" x14ac:dyDescent="0.3">
      <c r="CY32166" s="34" t="s">
        <v>33092</v>
      </c>
      <c r="CZ32166" s="35">
        <v>2.1420852333750009</v>
      </c>
    </row>
    <row r="32167" spans="103:104" x14ac:dyDescent="0.3">
      <c r="CY32167" s="34" t="s">
        <v>33093</v>
      </c>
      <c r="CZ32167" s="35">
        <v>1.679292E-3</v>
      </c>
    </row>
    <row r="32168" spans="103:104" x14ac:dyDescent="0.3">
      <c r="CY32168" s="34" t="s">
        <v>33094</v>
      </c>
      <c r="CZ32168" s="35">
        <v>1.9183969548387098E-2</v>
      </c>
    </row>
    <row r="32169" spans="103:104" x14ac:dyDescent="0.3">
      <c r="CY32169" s="34" t="s">
        <v>33095</v>
      </c>
      <c r="CZ32169" s="35">
        <v>8.7081280000000007E-3</v>
      </c>
    </row>
    <row r="32170" spans="103:104" x14ac:dyDescent="0.3">
      <c r="CY32170" s="34" t="s">
        <v>33096</v>
      </c>
      <c r="CZ32170" s="35">
        <v>1.1020984000000001E-2</v>
      </c>
    </row>
    <row r="32171" spans="103:104" x14ac:dyDescent="0.3">
      <c r="CY32171" s="34" t="s">
        <v>33097</v>
      </c>
      <c r="CZ32171" s="35">
        <v>1.3907503999999999E-2</v>
      </c>
    </row>
    <row r="32172" spans="103:104" x14ac:dyDescent="0.3">
      <c r="CY32172" s="34" t="s">
        <v>33098</v>
      </c>
      <c r="CZ32172" s="35">
        <v>1.7451408000000002E-2</v>
      </c>
    </row>
    <row r="32173" spans="103:104" x14ac:dyDescent="0.3">
      <c r="CY32173" s="34" t="s">
        <v>33099</v>
      </c>
      <c r="CZ32173" s="35">
        <v>9.7153033999999991E-4</v>
      </c>
    </row>
    <row r="32174" spans="103:104" x14ac:dyDescent="0.3">
      <c r="CY32174" s="34" t="s">
        <v>33100</v>
      </c>
      <c r="CZ32174" s="35">
        <v>5.5038279999999992E-4</v>
      </c>
    </row>
    <row r="32175" spans="103:104" x14ac:dyDescent="0.3">
      <c r="CY32175" s="34" t="s">
        <v>33101</v>
      </c>
      <c r="CZ32175" s="35">
        <v>5.8962860000000001E-4</v>
      </c>
    </row>
    <row r="32176" spans="103:104" x14ac:dyDescent="0.3">
      <c r="CY32176" s="34" t="s">
        <v>33102</v>
      </c>
      <c r="CZ32176" s="35">
        <v>2.4802850000000005E-2</v>
      </c>
    </row>
    <row r="32177" spans="103:104" x14ac:dyDescent="0.3">
      <c r="CY32177" s="34" t="s">
        <v>33103</v>
      </c>
      <c r="CZ32177" s="35">
        <v>5.0236179999999997E-3</v>
      </c>
    </row>
    <row r="32178" spans="103:104" x14ac:dyDescent="0.3">
      <c r="CY32178" s="34" t="s">
        <v>33104</v>
      </c>
      <c r="CZ32178" s="35">
        <v>1.15873305E-2</v>
      </c>
    </row>
    <row r="32179" spans="103:104" x14ac:dyDescent="0.3">
      <c r="CY32179" s="34" t="s">
        <v>33105</v>
      </c>
      <c r="CZ32179" s="35">
        <v>0.89348610666666661</v>
      </c>
    </row>
    <row r="32180" spans="103:104" x14ac:dyDescent="0.3">
      <c r="CY32180" s="34" t="s">
        <v>33106</v>
      </c>
      <c r="CZ32180" s="35">
        <v>2.2426560000000002E-2</v>
      </c>
    </row>
    <row r="32181" spans="103:104" x14ac:dyDescent="0.3">
      <c r="CY32181" s="34" t="s">
        <v>33107</v>
      </c>
      <c r="CZ32181" s="35">
        <v>0.62537904</v>
      </c>
    </row>
    <row r="32182" spans="103:104" x14ac:dyDescent="0.3">
      <c r="CY32182" s="34" t="s">
        <v>33108</v>
      </c>
      <c r="CZ32182" s="35">
        <v>0.90312848000000001</v>
      </c>
    </row>
    <row r="32183" spans="103:104" x14ac:dyDescent="0.3">
      <c r="CY32183" s="34" t="s">
        <v>33109</v>
      </c>
      <c r="CZ32183" s="35">
        <v>9.018116000000001E-2</v>
      </c>
    </row>
    <row r="32184" spans="103:104" x14ac:dyDescent="0.3">
      <c r="CY32184" s="34" t="s">
        <v>33110</v>
      </c>
      <c r="CZ32184" s="35">
        <v>5.8898698132631589E-3</v>
      </c>
    </row>
    <row r="32185" spans="103:104" x14ac:dyDescent="0.3">
      <c r="CY32185" s="34" t="s">
        <v>33111</v>
      </c>
      <c r="CZ32185" s="35">
        <v>2.3122923948484847E-3</v>
      </c>
    </row>
    <row r="32186" spans="103:104" x14ac:dyDescent="0.3">
      <c r="CY32186" s="34" t="s">
        <v>33112</v>
      </c>
      <c r="CZ32186" s="35">
        <v>1.5607103787878788E-3</v>
      </c>
    </row>
    <row r="32187" spans="103:104" x14ac:dyDescent="0.3">
      <c r="CY32187" s="34" t="s">
        <v>33113</v>
      </c>
      <c r="CZ32187" s="35">
        <v>0.73327129199999996</v>
      </c>
    </row>
    <row r="32188" spans="103:104" x14ac:dyDescent="0.3">
      <c r="CY32188" s="34" t="s">
        <v>33114</v>
      </c>
      <c r="CZ32188" s="35">
        <v>0.81030825200000001</v>
      </c>
    </row>
    <row r="32189" spans="103:104" x14ac:dyDescent="0.3">
      <c r="CY32189" s="34" t="s">
        <v>33115</v>
      </c>
      <c r="CZ32189" s="35">
        <v>1.1076875199999998</v>
      </c>
    </row>
    <row r="32190" spans="103:104" x14ac:dyDescent="0.3">
      <c r="CY32190" s="34" t="s">
        <v>33116</v>
      </c>
      <c r="CZ32190" s="35">
        <v>1.0991137600000001</v>
      </c>
    </row>
    <row r="32191" spans="103:104" x14ac:dyDescent="0.3">
      <c r="CY32191" s="34" t="s">
        <v>33117</v>
      </c>
      <c r="CZ32191" s="35">
        <v>6.2414615999999999E-2</v>
      </c>
    </row>
    <row r="32192" spans="103:104" x14ac:dyDescent="0.3">
      <c r="CY32192" s="34" t="s">
        <v>33118</v>
      </c>
      <c r="CZ32192" s="35">
        <v>3.2025336000000001E-2</v>
      </c>
    </row>
    <row r="32193" spans="103:104" x14ac:dyDescent="0.3">
      <c r="CY32193" s="34" t="s">
        <v>33119</v>
      </c>
      <c r="CZ32193" s="35">
        <v>4.3910027777777777E-2</v>
      </c>
    </row>
    <row r="32194" spans="103:104" x14ac:dyDescent="0.3">
      <c r="CY32194" s="34" t="s">
        <v>33120</v>
      </c>
      <c r="CZ32194" s="35">
        <v>2.2837040000000005E-3</v>
      </c>
    </row>
    <row r="32195" spans="103:104" x14ac:dyDescent="0.3">
      <c r="CY32195" s="34" t="s">
        <v>33121</v>
      </c>
      <c r="CZ32195" s="35">
        <v>1.1571873099999999E-2</v>
      </c>
    </row>
    <row r="32196" spans="103:104" x14ac:dyDescent="0.3">
      <c r="CY32196" s="34" t="s">
        <v>33122</v>
      </c>
      <c r="CZ32196" s="35">
        <v>2.2991149473684212E-2</v>
      </c>
    </row>
    <row r="32197" spans="103:104" x14ac:dyDescent="0.3">
      <c r="CY32197" s="34" t="s">
        <v>33123</v>
      </c>
      <c r="CZ32197" s="35">
        <v>4.4580547368421049E-2</v>
      </c>
    </row>
    <row r="32198" spans="103:104" x14ac:dyDescent="0.3">
      <c r="CY32198" s="34" t="s">
        <v>33124</v>
      </c>
      <c r="CZ32198" s="35">
        <v>5.5890938947368414E-2</v>
      </c>
    </row>
    <row r="32199" spans="103:104" x14ac:dyDescent="0.3">
      <c r="CY32199" s="34" t="s">
        <v>33125</v>
      </c>
      <c r="CZ32199" s="35">
        <v>8.9770807052631574E-2</v>
      </c>
    </row>
    <row r="32200" spans="103:104" x14ac:dyDescent="0.3">
      <c r="CY32200" s="34" t="s">
        <v>33126</v>
      </c>
      <c r="CZ32200" s="35">
        <v>4.328646736842106E-2</v>
      </c>
    </row>
    <row r="32201" spans="103:104" x14ac:dyDescent="0.3">
      <c r="CY32201" s="34" t="s">
        <v>33127</v>
      </c>
      <c r="CZ32201" s="35">
        <v>2.6867923133333336E-3</v>
      </c>
    </row>
    <row r="32202" spans="103:104" x14ac:dyDescent="0.3">
      <c r="CY32202" s="34" t="s">
        <v>33128</v>
      </c>
      <c r="CZ32202" s="35">
        <v>0.43892171200000002</v>
      </c>
    </row>
    <row r="32203" spans="103:104" x14ac:dyDescent="0.3">
      <c r="CY32203" s="34" t="s">
        <v>33129</v>
      </c>
      <c r="CZ32203" s="35">
        <v>6.2200679999999998E-4</v>
      </c>
    </row>
    <row r="32204" spans="103:104" x14ac:dyDescent="0.3">
      <c r="CY32204" s="34" t="s">
        <v>33130</v>
      </c>
      <c r="CZ32204" s="35">
        <v>2.5991371000000001E-3</v>
      </c>
    </row>
    <row r="32205" spans="103:104" x14ac:dyDescent="0.3">
      <c r="CY32205" s="34" t="s">
        <v>33131</v>
      </c>
      <c r="CZ32205" s="35">
        <v>5.935459599999999E-3</v>
      </c>
    </row>
    <row r="32206" spans="103:104" x14ac:dyDescent="0.3">
      <c r="CY32206" s="34" t="s">
        <v>33132</v>
      </c>
      <c r="CZ32206" s="35">
        <v>4.3115450285714285E-2</v>
      </c>
    </row>
    <row r="32207" spans="103:104" x14ac:dyDescent="0.3">
      <c r="CY32207" s="34" t="s">
        <v>33133</v>
      </c>
      <c r="CZ32207" s="35">
        <v>2.8146694400000002E-2</v>
      </c>
    </row>
    <row r="32208" spans="103:104" x14ac:dyDescent="0.3">
      <c r="CY32208" s="34" t="s">
        <v>33134</v>
      </c>
      <c r="CZ32208" s="35">
        <v>3.3267955999999994E-2</v>
      </c>
    </row>
    <row r="32209" spans="103:104" x14ac:dyDescent="0.3">
      <c r="CY32209" s="34" t="s">
        <v>33135</v>
      </c>
      <c r="CZ32209" s="35">
        <v>3.7708676599999998E-2</v>
      </c>
    </row>
    <row r="32210" spans="103:104" x14ac:dyDescent="0.3">
      <c r="CY32210" s="34" t="s">
        <v>33136</v>
      </c>
      <c r="CZ32210" s="35">
        <v>0.12776146399999999</v>
      </c>
    </row>
    <row r="32211" spans="103:104" x14ac:dyDescent="0.3">
      <c r="CY32211" s="34" t="s">
        <v>33137</v>
      </c>
      <c r="CZ32211" s="35">
        <v>0.20029816913333337</v>
      </c>
    </row>
    <row r="32212" spans="103:104" x14ac:dyDescent="0.3">
      <c r="CY32212" s="34" t="s">
        <v>33138</v>
      </c>
      <c r="CZ32212" s="35">
        <v>0.3542049333333333</v>
      </c>
    </row>
    <row r="32213" spans="103:104" x14ac:dyDescent="0.3">
      <c r="CY32213" s="34" t="s">
        <v>33139</v>
      </c>
      <c r="CZ32213" s="35">
        <v>0.20779521999999997</v>
      </c>
    </row>
    <row r="32214" spans="103:104" x14ac:dyDescent="0.3">
      <c r="CY32214" s="34" t="s">
        <v>33140</v>
      </c>
      <c r="CZ32214" s="35">
        <v>0.39941470000000001</v>
      </c>
    </row>
    <row r="32215" spans="103:104" x14ac:dyDescent="0.3">
      <c r="CY32215" s="34" t="s">
        <v>33141</v>
      </c>
      <c r="CZ32215" s="35">
        <v>6.3810083300000001E-2</v>
      </c>
    </row>
    <row r="32216" spans="103:104" x14ac:dyDescent="0.3">
      <c r="CY32216" s="34" t="s">
        <v>33142</v>
      </c>
      <c r="CZ32216" s="35">
        <v>5.880889999999999E-2</v>
      </c>
    </row>
    <row r="32217" spans="103:104" x14ac:dyDescent="0.3">
      <c r="CY32217" s="34" t="s">
        <v>33143</v>
      </c>
      <c r="CZ32217" s="35">
        <v>6.0394290629999993E-2</v>
      </c>
    </row>
    <row r="32218" spans="103:104" x14ac:dyDescent="0.3">
      <c r="CY32218" s="34" t="s">
        <v>33144</v>
      </c>
      <c r="CZ32218" s="35">
        <v>2.6607315555555551E-3</v>
      </c>
    </row>
    <row r="32219" spans="103:104" x14ac:dyDescent="0.3">
      <c r="CY32219" s="34" t="s">
        <v>33145</v>
      </c>
      <c r="CZ32219" s="35">
        <v>1.053165E-2</v>
      </c>
    </row>
    <row r="32220" spans="103:104" x14ac:dyDescent="0.3">
      <c r="CY32220" s="34" t="s">
        <v>33146</v>
      </c>
      <c r="CZ32220" s="35">
        <v>5.3631230999999994E-2</v>
      </c>
    </row>
    <row r="32221" spans="103:104" x14ac:dyDescent="0.3">
      <c r="CY32221" s="34" t="s">
        <v>33147</v>
      </c>
      <c r="CZ32221" s="35">
        <v>4.9751991999999995E-2</v>
      </c>
    </row>
    <row r="32222" spans="103:104" x14ac:dyDescent="0.3">
      <c r="CY32222" s="34" t="s">
        <v>33148</v>
      </c>
      <c r="CZ32222" s="35">
        <v>0.15496751999999997</v>
      </c>
    </row>
    <row r="32223" spans="103:104" x14ac:dyDescent="0.3">
      <c r="CY32223" s="34" t="s">
        <v>33149</v>
      </c>
      <c r="CZ32223" s="35">
        <v>1.63134E-3</v>
      </c>
    </row>
    <row r="32224" spans="103:104" x14ac:dyDescent="0.3">
      <c r="CY32224" s="34" t="s">
        <v>33150</v>
      </c>
      <c r="CZ32224" s="35">
        <v>3.3568435555555561E-2</v>
      </c>
    </row>
    <row r="32225" spans="103:104" x14ac:dyDescent="0.3">
      <c r="CY32225" s="34" t="s">
        <v>33151</v>
      </c>
      <c r="CZ32225" s="35">
        <v>2.2477655555555559E-2</v>
      </c>
    </row>
    <row r="32226" spans="103:104" x14ac:dyDescent="0.3">
      <c r="CY32226" s="34" t="s">
        <v>33152</v>
      </c>
      <c r="CZ32226" s="35">
        <v>0.164874783045977</v>
      </c>
    </row>
    <row r="32227" spans="103:104" x14ac:dyDescent="0.3">
      <c r="CY32227" s="34" t="s">
        <v>33153</v>
      </c>
      <c r="CZ32227" s="35">
        <v>0.164874783045977</v>
      </c>
    </row>
    <row r="32228" spans="103:104" x14ac:dyDescent="0.3">
      <c r="CY32228" s="34" t="s">
        <v>33154</v>
      </c>
      <c r="CZ32228" s="35">
        <v>6.2048424999999992E-3</v>
      </c>
    </row>
    <row r="32229" spans="103:104" x14ac:dyDescent="0.3">
      <c r="CY32229" s="34" t="s">
        <v>33155</v>
      </c>
      <c r="CZ32229" s="35">
        <v>7.4967304999999998E-3</v>
      </c>
    </row>
    <row r="32230" spans="103:104" x14ac:dyDescent="0.3">
      <c r="CY32230" s="34" t="s">
        <v>33156</v>
      </c>
      <c r="CZ32230" s="35">
        <v>0.15757975862068968</v>
      </c>
    </row>
    <row r="32231" spans="103:104" x14ac:dyDescent="0.3">
      <c r="CY32231" s="34" t="s">
        <v>33157</v>
      </c>
      <c r="CZ32231" s="35">
        <v>0.14280665625000005</v>
      </c>
    </row>
    <row r="32232" spans="103:104" x14ac:dyDescent="0.3">
      <c r="CY32232" s="34" t="s">
        <v>33158</v>
      </c>
      <c r="CZ32232" s="35">
        <v>0.36620629400000004</v>
      </c>
    </row>
    <row r="32233" spans="103:104" x14ac:dyDescent="0.3">
      <c r="CY32233" s="34" t="s">
        <v>33159</v>
      </c>
      <c r="CZ32233" s="35">
        <v>1.6271983E-2</v>
      </c>
    </row>
    <row r="32234" spans="103:104" x14ac:dyDescent="0.3">
      <c r="CY32234" s="34" t="s">
        <v>33160</v>
      </c>
      <c r="CZ32234" s="35">
        <v>1.4690304E-2</v>
      </c>
    </row>
    <row r="32235" spans="103:104" x14ac:dyDescent="0.3">
      <c r="CY32235" s="34" t="s">
        <v>33161</v>
      </c>
      <c r="CZ32235" s="35">
        <v>6.280096315789474E-2</v>
      </c>
    </row>
    <row r="32236" spans="103:104" x14ac:dyDescent="0.3">
      <c r="CY32236" s="34" t="s">
        <v>33162</v>
      </c>
      <c r="CZ32236" s="35">
        <v>7.4558235400000006E-2</v>
      </c>
    </row>
    <row r="32237" spans="103:104" x14ac:dyDescent="0.3">
      <c r="CY32237" s="34" t="s">
        <v>33163</v>
      </c>
      <c r="CZ32237" s="35">
        <v>1.5233419999999999E-2</v>
      </c>
    </row>
    <row r="32238" spans="103:104" x14ac:dyDescent="0.3">
      <c r="CY32238" s="34" t="s">
        <v>33164</v>
      </c>
      <c r="CZ32238" s="35">
        <v>0.59250455999999996</v>
      </c>
    </row>
    <row r="32239" spans="103:104" x14ac:dyDescent="0.3">
      <c r="CY32239" s="34" t="s">
        <v>33165</v>
      </c>
      <c r="CZ32239" s="35">
        <v>0.30384675329999999</v>
      </c>
    </row>
    <row r="32240" spans="103:104" x14ac:dyDescent="0.3">
      <c r="CY32240" s="34" t="s">
        <v>33166</v>
      </c>
      <c r="CZ32240" s="35">
        <v>1.5268476607142856E-2</v>
      </c>
    </row>
    <row r="32241" spans="103:104" x14ac:dyDescent="0.3">
      <c r="CY32241" s="34" t="s">
        <v>33167</v>
      </c>
      <c r="CZ32241" s="35">
        <v>3.0097812500000001E-2</v>
      </c>
    </row>
    <row r="32242" spans="103:104" x14ac:dyDescent="0.3">
      <c r="CY32242" s="34" t="s">
        <v>33168</v>
      </c>
      <c r="CZ32242" s="35">
        <v>6.1279316E-2</v>
      </c>
    </row>
    <row r="32243" spans="103:104" x14ac:dyDescent="0.3">
      <c r="CY32243" s="34" t="s">
        <v>33169</v>
      </c>
      <c r="CZ32243" s="35">
        <v>1.4112300000000001E-2</v>
      </c>
    </row>
    <row r="32244" spans="103:104" x14ac:dyDescent="0.3">
      <c r="CY32244" s="34" t="s">
        <v>33170</v>
      </c>
      <c r="CZ32244" s="35">
        <v>3.7408340000000002E-4</v>
      </c>
    </row>
    <row r="32245" spans="103:104" x14ac:dyDescent="0.3">
      <c r="CY32245" s="34" t="s">
        <v>33171</v>
      </c>
      <c r="CZ32245" s="35">
        <v>4.4009811764705886E-4</v>
      </c>
    </row>
    <row r="32246" spans="103:104" x14ac:dyDescent="0.3">
      <c r="CY32246" s="34" t="s">
        <v>33172</v>
      </c>
      <c r="CZ32246" s="35">
        <v>0.22645996000000002</v>
      </c>
    </row>
    <row r="32247" spans="103:104" x14ac:dyDescent="0.3">
      <c r="CY32247" s="34" t="s">
        <v>33173</v>
      </c>
      <c r="CZ32247" s="35">
        <v>0.38685292000000004</v>
      </c>
    </row>
    <row r="32248" spans="103:104" x14ac:dyDescent="0.3">
      <c r="CY32248" s="34" t="s">
        <v>33174</v>
      </c>
      <c r="CZ32248" s="35">
        <v>6.5640047058823526E-3</v>
      </c>
    </row>
    <row r="32249" spans="103:104" x14ac:dyDescent="0.3">
      <c r="CY32249" s="34" t="s">
        <v>33175</v>
      </c>
      <c r="CZ32249" s="35">
        <v>2.7292724999999998E-3</v>
      </c>
    </row>
    <row r="32250" spans="103:104" x14ac:dyDescent="0.3">
      <c r="CY32250" s="34" t="s">
        <v>33176</v>
      </c>
      <c r="CZ32250" s="35">
        <v>2.7292724999999998E-3</v>
      </c>
    </row>
    <row r="32251" spans="103:104" x14ac:dyDescent="0.3">
      <c r="CY32251" s="34" t="s">
        <v>33177</v>
      </c>
      <c r="CZ32251" s="35">
        <v>0.54024843433333325</v>
      </c>
    </row>
    <row r="32252" spans="103:104" x14ac:dyDescent="0.3">
      <c r="CY32252" s="34" t="s">
        <v>33178</v>
      </c>
      <c r="CZ32252" s="35">
        <v>0.11657456000000001</v>
      </c>
    </row>
    <row r="32253" spans="103:104" x14ac:dyDescent="0.3">
      <c r="CY32253" s="34" t="s">
        <v>33179</v>
      </c>
      <c r="CZ32253" s="35">
        <v>2.9153008163265309E-2</v>
      </c>
    </row>
    <row r="32254" spans="103:104" x14ac:dyDescent="0.3">
      <c r="CY32254" s="34" t="s">
        <v>33180</v>
      </c>
      <c r="CZ32254" s="35">
        <v>2.8569947999999998E-2</v>
      </c>
    </row>
    <row r="32255" spans="103:104" x14ac:dyDescent="0.3">
      <c r="CY32255" s="34" t="s">
        <v>33181</v>
      </c>
      <c r="CZ32255" s="35">
        <v>3.7561787999999999E-2</v>
      </c>
    </row>
    <row r="32256" spans="103:104" x14ac:dyDescent="0.3">
      <c r="CY32256" s="34" t="s">
        <v>33182</v>
      </c>
      <c r="CZ32256" s="35">
        <v>4.1962032E-3</v>
      </c>
    </row>
    <row r="32257" spans="103:104" x14ac:dyDescent="0.3">
      <c r="CY32257" s="34" t="s">
        <v>33183</v>
      </c>
      <c r="CZ32257" s="35">
        <v>2.4952975999999998E-3</v>
      </c>
    </row>
    <row r="32258" spans="103:104" x14ac:dyDescent="0.3">
      <c r="CY32258" s="34" t="s">
        <v>33184</v>
      </c>
      <c r="CZ32258" s="35">
        <v>0.31126951111111112</v>
      </c>
    </row>
    <row r="32259" spans="103:104" x14ac:dyDescent="0.3">
      <c r="CY32259" s="34" t="s">
        <v>33185</v>
      </c>
      <c r="CZ32259" s="35">
        <v>0.31664960000000003</v>
      </c>
    </row>
    <row r="32260" spans="103:104" x14ac:dyDescent="0.3">
      <c r="CY32260" s="34" t="s">
        <v>33186</v>
      </c>
      <c r="CZ32260" s="35">
        <v>1.321616111111111E-2</v>
      </c>
    </row>
    <row r="32261" spans="103:104" x14ac:dyDescent="0.3">
      <c r="CY32261" s="34" t="s">
        <v>33187</v>
      </c>
      <c r="CZ32261" s="35">
        <v>5.9005111111111112E-2</v>
      </c>
    </row>
    <row r="32262" spans="103:104" x14ac:dyDescent="0.3">
      <c r="CY32262" s="34" t="s">
        <v>33188</v>
      </c>
      <c r="CZ32262" s="35">
        <v>0.54237785250000004</v>
      </c>
    </row>
    <row r="32263" spans="103:104" x14ac:dyDescent="0.3">
      <c r="CY32263" s="34" t="s">
        <v>33189</v>
      </c>
      <c r="CZ32263" s="35">
        <v>0.15166697333333337</v>
      </c>
    </row>
    <row r="32264" spans="103:104" x14ac:dyDescent="0.3">
      <c r="CY32264" s="34" t="s">
        <v>33190</v>
      </c>
      <c r="CZ32264" s="35">
        <v>0.190793196</v>
      </c>
    </row>
    <row r="32265" spans="103:104" x14ac:dyDescent="0.3">
      <c r="CY32265" s="34" t="s">
        <v>33191</v>
      </c>
      <c r="CZ32265" s="35">
        <v>3.1271400000000001E-4</v>
      </c>
    </row>
    <row r="32266" spans="103:104" x14ac:dyDescent="0.3">
      <c r="CY32266" s="34" t="s">
        <v>33192</v>
      </c>
      <c r="CZ32266" s="35">
        <v>1.054154E-2</v>
      </c>
    </row>
    <row r="32267" spans="103:104" x14ac:dyDescent="0.3">
      <c r="CY32267" s="34" t="s">
        <v>33193</v>
      </c>
      <c r="CZ32267" s="35">
        <v>0.14256759999999999</v>
      </c>
    </row>
    <row r="32268" spans="103:104" x14ac:dyDescent="0.3">
      <c r="CY32268" s="34" t="s">
        <v>33194</v>
      </c>
      <c r="CZ32268" s="35">
        <v>2.2273215000000004</v>
      </c>
    </row>
    <row r="32269" spans="103:104" x14ac:dyDescent="0.3">
      <c r="CY32269" s="34" t="s">
        <v>33195</v>
      </c>
      <c r="CZ32269" s="35">
        <v>2.0192047799999999</v>
      </c>
    </row>
    <row r="32270" spans="103:104" x14ac:dyDescent="0.3">
      <c r="CY32270" s="34" t="s">
        <v>33196</v>
      </c>
      <c r="CZ32270" s="35">
        <v>9.5764500000000002E-2</v>
      </c>
    </row>
    <row r="32271" spans="103:104" x14ac:dyDescent="0.3">
      <c r="CY32271" s="34" t="s">
        <v>33197</v>
      </c>
      <c r="CZ32271" s="35">
        <v>2.0637378999999997E-2</v>
      </c>
    </row>
    <row r="32272" spans="103:104" x14ac:dyDescent="0.3">
      <c r="CY32272" s="34" t="s">
        <v>33198</v>
      </c>
      <c r="CZ32272" s="35">
        <v>1.0460952714285715E-2</v>
      </c>
    </row>
    <row r="32273" spans="103:104" x14ac:dyDescent="0.3">
      <c r="CY32273" s="34" t="s">
        <v>33199</v>
      </c>
      <c r="CZ32273" s="35">
        <v>1.455072E-4</v>
      </c>
    </row>
    <row r="32274" spans="103:104" x14ac:dyDescent="0.3">
      <c r="CY32274" s="34" t="s">
        <v>33200</v>
      </c>
      <c r="CZ32274" s="35">
        <v>2.7175872E-2</v>
      </c>
    </row>
    <row r="32275" spans="103:104" x14ac:dyDescent="0.3">
      <c r="CY32275" s="34" t="s">
        <v>33201</v>
      </c>
      <c r="CZ32275" s="35">
        <v>3.2310882999999999E-2</v>
      </c>
    </row>
    <row r="32276" spans="103:104" x14ac:dyDescent="0.3">
      <c r="CY32276" s="34" t="s">
        <v>33202</v>
      </c>
      <c r="CZ32276" s="35">
        <v>2.7535611999999998E-2</v>
      </c>
    </row>
    <row r="32277" spans="103:104" x14ac:dyDescent="0.3">
      <c r="CY32277" s="34" t="s">
        <v>33203</v>
      </c>
      <c r="CZ32277" s="35">
        <v>6.7334480000000004E-4</v>
      </c>
    </row>
    <row r="32278" spans="103:104" x14ac:dyDescent="0.3">
      <c r="CY32278" s="34" t="s">
        <v>33204</v>
      </c>
      <c r="CZ32278" s="35">
        <v>3.6946940830000002E-3</v>
      </c>
    </row>
    <row r="32279" spans="103:104" x14ac:dyDescent="0.3">
      <c r="CY32279" s="34" t="s">
        <v>33205</v>
      </c>
      <c r="CZ32279" s="35">
        <v>3.2607962352941174E-2</v>
      </c>
    </row>
    <row r="32280" spans="103:104" x14ac:dyDescent="0.3">
      <c r="CY32280" s="34" t="s">
        <v>33206</v>
      </c>
      <c r="CZ32280" s="35">
        <v>0.17451922</v>
      </c>
    </row>
    <row r="32281" spans="103:104" x14ac:dyDescent="0.3">
      <c r="CY32281" s="34" t="s">
        <v>33207</v>
      </c>
      <c r="CZ32281" s="35">
        <v>1.2587760000000001E-3</v>
      </c>
    </row>
    <row r="32282" spans="103:104" x14ac:dyDescent="0.3">
      <c r="CY32282" s="34" t="s">
        <v>33208</v>
      </c>
      <c r="CZ32282" s="35">
        <v>3.8853501999999997E-3</v>
      </c>
    </row>
    <row r="32283" spans="103:104" x14ac:dyDescent="0.3">
      <c r="CY32283" s="34" t="s">
        <v>33209</v>
      </c>
      <c r="CZ32283" s="35">
        <v>3.8145103999999998E-3</v>
      </c>
    </row>
    <row r="32284" spans="103:104" x14ac:dyDescent="0.3">
      <c r="CY32284" s="34" t="s">
        <v>33210</v>
      </c>
      <c r="CZ32284" s="35">
        <v>1.9158460000000001E-3</v>
      </c>
    </row>
    <row r="32285" spans="103:104" x14ac:dyDescent="0.3">
      <c r="CY32285" s="34" t="s">
        <v>33211</v>
      </c>
      <c r="CZ32285" s="35">
        <v>0.12146331500000002</v>
      </c>
    </row>
    <row r="32286" spans="103:104" x14ac:dyDescent="0.3">
      <c r="CY32286" s="34" t="s">
        <v>33212</v>
      </c>
      <c r="CZ32286" s="35">
        <v>5.4167289499999997E-3</v>
      </c>
    </row>
    <row r="32287" spans="103:104" x14ac:dyDescent="0.3">
      <c r="CY32287" s="34" t="s">
        <v>33213</v>
      </c>
      <c r="CZ32287" s="35">
        <v>9.8996961636363637E-2</v>
      </c>
    </row>
    <row r="32288" spans="103:104" x14ac:dyDescent="0.3">
      <c r="CY32288" s="34" t="s">
        <v>33214</v>
      </c>
      <c r="CZ32288" s="35">
        <v>0.114269048</v>
      </c>
    </row>
    <row r="32289" spans="103:104" x14ac:dyDescent="0.3">
      <c r="CY32289" s="34" t="s">
        <v>33215</v>
      </c>
      <c r="CZ32289" s="35">
        <v>4.8005060000000004E-3</v>
      </c>
    </row>
    <row r="32290" spans="103:104" x14ac:dyDescent="0.3">
      <c r="CY32290" s="34" t="s">
        <v>33216</v>
      </c>
      <c r="CZ32290" s="35">
        <v>0.17270182950000001</v>
      </c>
    </row>
    <row r="32291" spans="103:104" x14ac:dyDescent="0.3">
      <c r="CY32291" s="34" t="s">
        <v>33217</v>
      </c>
      <c r="CZ32291" s="35">
        <v>0.14987475458333335</v>
      </c>
    </row>
    <row r="32292" spans="103:104" x14ac:dyDescent="0.3">
      <c r="CY32292" s="34" t="s">
        <v>33218</v>
      </c>
      <c r="CZ32292" s="35">
        <v>5.2714791673539999E-2</v>
      </c>
    </row>
    <row r="32293" spans="103:104" x14ac:dyDescent="0.3">
      <c r="CY32293" s="34" t="s">
        <v>33219</v>
      </c>
      <c r="CZ32293" s="35">
        <v>3.9307963099999996E-2</v>
      </c>
    </row>
    <row r="32294" spans="103:104" x14ac:dyDescent="0.3">
      <c r="CY32294" s="34" t="s">
        <v>33220</v>
      </c>
      <c r="CZ32294" s="35">
        <v>3.6831321E-2</v>
      </c>
    </row>
    <row r="32295" spans="103:104" x14ac:dyDescent="0.3">
      <c r="CY32295" s="34" t="s">
        <v>33221</v>
      </c>
      <c r="CZ32295" s="35">
        <v>7.9417167999999996E-2</v>
      </c>
    </row>
    <row r="32296" spans="103:104" x14ac:dyDescent="0.3">
      <c r="CY32296" s="34" t="s">
        <v>33222</v>
      </c>
      <c r="CZ32296" s="35">
        <v>3.4213325000000003E-2</v>
      </c>
    </row>
    <row r="32297" spans="103:104" x14ac:dyDescent="0.3">
      <c r="CY32297" s="34" t="s">
        <v>33223</v>
      </c>
      <c r="CZ32297" s="35">
        <v>3.7825168999999999E-2</v>
      </c>
    </row>
    <row r="32298" spans="103:104" x14ac:dyDescent="0.3">
      <c r="CY32298" s="34" t="s">
        <v>33224</v>
      </c>
      <c r="CZ32298" s="35">
        <v>7.6488806649999991E-2</v>
      </c>
    </row>
    <row r="32299" spans="103:104" x14ac:dyDescent="0.3">
      <c r="CY32299" s="34" t="s">
        <v>33225</v>
      </c>
      <c r="CZ32299" s="35">
        <v>7.2722222666666658E-4</v>
      </c>
    </row>
    <row r="32300" spans="103:104" x14ac:dyDescent="0.3">
      <c r="CY32300" s="34" t="s">
        <v>33226</v>
      </c>
      <c r="CZ32300" s="35">
        <v>8.4758285555555559E-4</v>
      </c>
    </row>
    <row r="32301" spans="103:104" x14ac:dyDescent="0.3">
      <c r="CY32301" s="34" t="s">
        <v>33227</v>
      </c>
      <c r="CZ32301" s="35">
        <v>0.56198250000000005</v>
      </c>
    </row>
    <row r="32302" spans="103:104" x14ac:dyDescent="0.3">
      <c r="CY32302" s="34" t="s">
        <v>33228</v>
      </c>
      <c r="CZ32302" s="35">
        <v>0.61333484999999988</v>
      </c>
    </row>
    <row r="32303" spans="103:104" x14ac:dyDescent="0.3">
      <c r="CY32303" s="34" t="s">
        <v>33229</v>
      </c>
      <c r="CZ32303" s="35">
        <v>5.7862151111111121E-2</v>
      </c>
    </row>
    <row r="32304" spans="103:104" x14ac:dyDescent="0.3">
      <c r="CY32304" s="34" t="s">
        <v>33230</v>
      </c>
      <c r="CZ32304" s="35">
        <v>4.7948265339999997E-2</v>
      </c>
    </row>
    <row r="32305" spans="103:104" x14ac:dyDescent="0.3">
      <c r="CY32305" s="34" t="s">
        <v>33231</v>
      </c>
      <c r="CZ32305" s="35">
        <v>4.173390934E-2</v>
      </c>
    </row>
    <row r="32306" spans="103:104" x14ac:dyDescent="0.3">
      <c r="CY32306" s="34" t="s">
        <v>33232</v>
      </c>
      <c r="CZ32306" s="35">
        <v>0.12281460800000001</v>
      </c>
    </row>
    <row r="32307" spans="103:104" x14ac:dyDescent="0.3">
      <c r="CY32307" s="34" t="s">
        <v>33233</v>
      </c>
      <c r="CZ32307" s="35">
        <v>0.12281460800000001</v>
      </c>
    </row>
    <row r="32308" spans="103:104" x14ac:dyDescent="0.3">
      <c r="CY32308" s="34" t="s">
        <v>33234</v>
      </c>
      <c r="CZ32308" s="35">
        <v>0.18169399999999999</v>
      </c>
    </row>
    <row r="32309" spans="103:104" x14ac:dyDescent="0.3">
      <c r="CY32309" s="34" t="s">
        <v>33235</v>
      </c>
      <c r="CZ32309" s="35">
        <v>0.16015664000000002</v>
      </c>
    </row>
    <row r="32310" spans="103:104" x14ac:dyDescent="0.3">
      <c r="CY32310" s="34" t="s">
        <v>33236</v>
      </c>
      <c r="CZ32310" s="35">
        <v>2.7122403999999996E-3</v>
      </c>
    </row>
    <row r="32311" spans="103:104" x14ac:dyDescent="0.3">
      <c r="CY32311" s="34" t="s">
        <v>33237</v>
      </c>
      <c r="CZ32311" s="35">
        <v>3.5933872000000005E-3</v>
      </c>
    </row>
    <row r="32312" spans="103:104" x14ac:dyDescent="0.3">
      <c r="CY32312" s="34" t="s">
        <v>33238</v>
      </c>
      <c r="CZ32312" s="35">
        <v>3.0364518917748921E-3</v>
      </c>
    </row>
    <row r="32313" spans="103:104" x14ac:dyDescent="0.3">
      <c r="CY32313" s="34" t="s">
        <v>33239</v>
      </c>
      <c r="CZ32313" s="35">
        <v>2.2320608E-3</v>
      </c>
    </row>
    <row r="32314" spans="103:104" x14ac:dyDescent="0.3">
      <c r="CY32314" s="34" t="s">
        <v>33240</v>
      </c>
      <c r="CZ32314" s="35">
        <v>6.2325666666666661E-2</v>
      </c>
    </row>
    <row r="32315" spans="103:104" x14ac:dyDescent="0.3">
      <c r="CY32315" s="34" t="s">
        <v>33241</v>
      </c>
      <c r="CZ32315" s="35">
        <v>4.5837259999999998E-3</v>
      </c>
    </row>
    <row r="32316" spans="103:104" x14ac:dyDescent="0.3">
      <c r="CY32316" s="34" t="s">
        <v>33242</v>
      </c>
      <c r="CZ32316" s="35">
        <v>3.1473226666666669E-3</v>
      </c>
    </row>
    <row r="32317" spans="103:104" x14ac:dyDescent="0.3">
      <c r="CY32317" s="34" t="s">
        <v>33243</v>
      </c>
      <c r="CZ32317" s="35">
        <v>2.2161368179999998</v>
      </c>
    </row>
    <row r="32318" spans="103:104" x14ac:dyDescent="0.3">
      <c r="CY32318" s="34" t="s">
        <v>33244</v>
      </c>
      <c r="CZ32318" s="35">
        <v>1.57788624</v>
      </c>
    </row>
    <row r="32319" spans="103:104" x14ac:dyDescent="0.3">
      <c r="CY32319" s="34" t="s">
        <v>33245</v>
      </c>
      <c r="CZ32319" s="35">
        <v>0.58421932799999998</v>
      </c>
    </row>
    <row r="32320" spans="103:104" x14ac:dyDescent="0.3">
      <c r="CY32320" s="34" t="s">
        <v>33246</v>
      </c>
      <c r="CZ32320" s="35">
        <v>2.0291201139999999</v>
      </c>
    </row>
    <row r="32321" spans="103:104" x14ac:dyDescent="0.3">
      <c r="CY32321" s="34" t="s">
        <v>33247</v>
      </c>
      <c r="CZ32321" s="35">
        <v>1.5315686399999999</v>
      </c>
    </row>
    <row r="32322" spans="103:104" x14ac:dyDescent="0.3">
      <c r="CY32322" s="34" t="s">
        <v>33248</v>
      </c>
      <c r="CZ32322" s="35">
        <v>0.22176011199999998</v>
      </c>
    </row>
    <row r="32323" spans="103:104" x14ac:dyDescent="0.3">
      <c r="CY32323" s="34" t="s">
        <v>33249</v>
      </c>
      <c r="CZ32323" s="35">
        <v>0.22167559266666667</v>
      </c>
    </row>
    <row r="32324" spans="103:104" x14ac:dyDescent="0.3">
      <c r="CY32324" s="34" t="s">
        <v>33250</v>
      </c>
      <c r="CZ32324" s="35">
        <v>0.25832585000000002</v>
      </c>
    </row>
    <row r="32325" spans="103:104" x14ac:dyDescent="0.3">
      <c r="CY32325" s="34" t="s">
        <v>33251</v>
      </c>
      <c r="CZ32325" s="35">
        <v>2.6435370000000003E-2</v>
      </c>
    </row>
    <row r="32326" spans="103:104" x14ac:dyDescent="0.3">
      <c r="CY32326" s="34" t="s">
        <v>33252</v>
      </c>
      <c r="CZ32326" s="35">
        <v>0.15220380052819998</v>
      </c>
    </row>
    <row r="32327" spans="103:104" x14ac:dyDescent="0.3">
      <c r="CY32327" s="34" t="s">
        <v>33253</v>
      </c>
      <c r="CZ32327" s="35">
        <v>4.6053770370370374E-3</v>
      </c>
    </row>
    <row r="32328" spans="103:104" x14ac:dyDescent="0.3">
      <c r="CY32328" s="34" t="s">
        <v>33254</v>
      </c>
      <c r="CZ32328" s="35">
        <v>2.5770850000000001E-2</v>
      </c>
    </row>
    <row r="32329" spans="103:104" x14ac:dyDescent="0.3">
      <c r="CY32329" s="34" t="s">
        <v>33255</v>
      </c>
      <c r="CZ32329" s="35">
        <v>2.7745962999999999E-3</v>
      </c>
    </row>
    <row r="32330" spans="103:104" x14ac:dyDescent="0.3">
      <c r="CY32330" s="34" t="s">
        <v>33256</v>
      </c>
      <c r="CZ32330" s="35">
        <v>5.8689218866666663E-2</v>
      </c>
    </row>
    <row r="32331" spans="103:104" x14ac:dyDescent="0.3">
      <c r="CY32331" s="34" t="s">
        <v>33257</v>
      </c>
      <c r="CZ32331" s="35">
        <v>2.6716344000000001E-3</v>
      </c>
    </row>
    <row r="32332" spans="103:104" x14ac:dyDescent="0.3">
      <c r="CY32332" s="34" t="s">
        <v>33258</v>
      </c>
      <c r="CZ32332" s="35">
        <v>5.08044095E-3</v>
      </c>
    </row>
    <row r="32333" spans="103:104" x14ac:dyDescent="0.3">
      <c r="CY32333" s="34" t="s">
        <v>33259</v>
      </c>
      <c r="CZ32333" s="35">
        <v>7.0456639999999987E-2</v>
      </c>
    </row>
    <row r="32334" spans="103:104" x14ac:dyDescent="0.3">
      <c r="CY32334" s="34" t="s">
        <v>33260</v>
      </c>
      <c r="CZ32334" s="35">
        <v>7.7252500000000003E-3</v>
      </c>
    </row>
    <row r="32335" spans="103:104" x14ac:dyDescent="0.3">
      <c r="CY32335" s="34" t="s">
        <v>33261</v>
      </c>
      <c r="CZ32335" s="35">
        <v>6.327648E-3</v>
      </c>
    </row>
    <row r="32336" spans="103:104" x14ac:dyDescent="0.3">
      <c r="CY32336" s="34" t="s">
        <v>33262</v>
      </c>
      <c r="CZ32336" s="35">
        <v>5.3271466624999998E-3</v>
      </c>
    </row>
    <row r="32337" spans="103:104" x14ac:dyDescent="0.3">
      <c r="CY32337" s="34" t="s">
        <v>33263</v>
      </c>
      <c r="CZ32337" s="35">
        <v>9.5334700000000005E-3</v>
      </c>
    </row>
    <row r="32338" spans="103:104" x14ac:dyDescent="0.3">
      <c r="CY32338" s="34" t="s">
        <v>33264</v>
      </c>
      <c r="CZ32338" s="35">
        <v>6.522322666666666E-3</v>
      </c>
    </row>
    <row r="32339" spans="103:104" x14ac:dyDescent="0.3">
      <c r="CY32339" s="34" t="s">
        <v>33265</v>
      </c>
      <c r="CZ32339" s="35">
        <v>5.2337430000000011E-2</v>
      </c>
    </row>
    <row r="32340" spans="103:104" x14ac:dyDescent="0.3">
      <c r="CY32340" s="34" t="s">
        <v>33266</v>
      </c>
      <c r="CZ32340" s="35">
        <v>5.2337430000000011E-2</v>
      </c>
    </row>
    <row r="32341" spans="103:104" x14ac:dyDescent="0.3">
      <c r="CY32341" s="34" t="s">
        <v>33267</v>
      </c>
      <c r="CZ32341" s="35">
        <v>3.1292333333333332E-2</v>
      </c>
    </row>
    <row r="32342" spans="103:104" x14ac:dyDescent="0.3">
      <c r="CY32342" s="34" t="s">
        <v>33268</v>
      </c>
      <c r="CZ32342" s="35">
        <v>6.4941968000000014E-4</v>
      </c>
    </row>
    <row r="32343" spans="103:104" x14ac:dyDescent="0.3">
      <c r="CY32343" s="34" t="s">
        <v>33269</v>
      </c>
      <c r="CZ32343" s="35">
        <v>4.9460034500000001</v>
      </c>
    </row>
    <row r="32344" spans="103:104" x14ac:dyDescent="0.3">
      <c r="CY32344" s="34" t="s">
        <v>33270</v>
      </c>
      <c r="CZ32344" s="35">
        <v>3.915197</v>
      </c>
    </row>
    <row r="32345" spans="103:104" x14ac:dyDescent="0.3">
      <c r="CY32345" s="34" t="s">
        <v>33271</v>
      </c>
      <c r="CZ32345" s="35">
        <v>0.95740644999999991</v>
      </c>
    </row>
    <row r="32346" spans="103:104" x14ac:dyDescent="0.3">
      <c r="CY32346" s="34" t="s">
        <v>33272</v>
      </c>
      <c r="CZ32346" s="35">
        <v>2.2906275999999997E-3</v>
      </c>
    </row>
    <row r="32347" spans="103:104" x14ac:dyDescent="0.3">
      <c r="CY32347" s="34" t="s">
        <v>33273</v>
      </c>
      <c r="CZ32347" s="35">
        <v>0.17258556999999999</v>
      </c>
    </row>
    <row r="32348" spans="103:104" x14ac:dyDescent="0.3">
      <c r="CY32348" s="34" t="s">
        <v>33274</v>
      </c>
      <c r="CZ32348" s="35">
        <v>7.1780780000000016E-4</v>
      </c>
    </row>
    <row r="32349" spans="103:104" x14ac:dyDescent="0.3">
      <c r="CY32349" s="34" t="s">
        <v>33275</v>
      </c>
      <c r="CZ32349" s="35">
        <v>7.969716666666668E-2</v>
      </c>
    </row>
    <row r="32350" spans="103:104" x14ac:dyDescent="0.3">
      <c r="CY32350" s="34" t="s">
        <v>33276</v>
      </c>
      <c r="CZ32350" s="35">
        <v>1.1224807700000001</v>
      </c>
    </row>
    <row r="32351" spans="103:104" x14ac:dyDescent="0.3">
      <c r="CY32351" s="34" t="s">
        <v>33277</v>
      </c>
      <c r="CZ32351" s="35">
        <v>0.68542195000000006</v>
      </c>
    </row>
    <row r="32352" spans="103:104" x14ac:dyDescent="0.3">
      <c r="CY32352" s="34" t="s">
        <v>33278</v>
      </c>
      <c r="CZ32352" s="35">
        <v>0.31017694400000001</v>
      </c>
    </row>
    <row r="32353" spans="103:104" x14ac:dyDescent="0.3">
      <c r="CY32353" s="34" t="s">
        <v>33279</v>
      </c>
      <c r="CZ32353" s="35">
        <v>3.1543254E-2</v>
      </c>
    </row>
    <row r="32354" spans="103:104" x14ac:dyDescent="0.3">
      <c r="CY32354" s="34" t="s">
        <v>33280</v>
      </c>
      <c r="CZ32354" s="35">
        <v>2.9799999999999998E-4</v>
      </c>
    </row>
    <row r="32355" spans="103:104" x14ac:dyDescent="0.3">
      <c r="CY32355" s="34" t="s">
        <v>33281</v>
      </c>
      <c r="CZ32355" s="35">
        <v>1.1799044E-3</v>
      </c>
    </row>
    <row r="32356" spans="103:104" x14ac:dyDescent="0.3">
      <c r="CY32356" s="34" t="s">
        <v>33282</v>
      </c>
      <c r="CZ32356" s="35">
        <v>2.8866333000000001E-3</v>
      </c>
    </row>
    <row r="32357" spans="103:104" x14ac:dyDescent="0.3">
      <c r="CY32357" s="34" t="s">
        <v>33283</v>
      </c>
      <c r="CZ32357" s="35">
        <v>6.8676277000000001E-3</v>
      </c>
    </row>
    <row r="32358" spans="103:104" x14ac:dyDescent="0.3">
      <c r="CY32358" s="34" t="s">
        <v>33284</v>
      </c>
      <c r="CZ32358" s="35">
        <v>6.9177466488888895E-3</v>
      </c>
    </row>
    <row r="32359" spans="103:104" x14ac:dyDescent="0.3">
      <c r="CY32359" s="34" t="s">
        <v>33285</v>
      </c>
      <c r="CZ32359" s="35">
        <v>2.2924605778</v>
      </c>
    </row>
    <row r="32360" spans="103:104" x14ac:dyDescent="0.3">
      <c r="CY32360" s="34" t="s">
        <v>33286</v>
      </c>
      <c r="CZ32360" s="35">
        <v>2.0666151777999997</v>
      </c>
    </row>
    <row r="32361" spans="103:104" x14ac:dyDescent="0.3">
      <c r="CY32361" s="34" t="s">
        <v>33287</v>
      </c>
      <c r="CZ32361" s="35">
        <v>0.10685921599999999</v>
      </c>
    </row>
    <row r="32362" spans="103:104" x14ac:dyDescent="0.3">
      <c r="CY32362" s="34" t="s">
        <v>33288</v>
      </c>
      <c r="CZ32362" s="35">
        <v>1.7868593333333332E-3</v>
      </c>
    </row>
    <row r="32363" spans="103:104" x14ac:dyDescent="0.3">
      <c r="CY32363" s="34" t="s">
        <v>33289</v>
      </c>
      <c r="CZ32363" s="35">
        <v>4.9698805000000009E-3</v>
      </c>
    </row>
    <row r="32364" spans="103:104" x14ac:dyDescent="0.3">
      <c r="CY32364" s="34" t="s">
        <v>33290</v>
      </c>
      <c r="CZ32364" s="35">
        <v>1.778153E-2</v>
      </c>
    </row>
    <row r="32365" spans="103:104" x14ac:dyDescent="0.3">
      <c r="CY32365" s="34" t="s">
        <v>33291</v>
      </c>
      <c r="CZ32365" s="35">
        <v>1.3873873E-2</v>
      </c>
    </row>
    <row r="32366" spans="103:104" x14ac:dyDescent="0.3">
      <c r="CY32366" s="34" t="s">
        <v>33292</v>
      </c>
      <c r="CZ32366" s="35">
        <v>7.8870739999999991E-3</v>
      </c>
    </row>
    <row r="32367" spans="103:104" x14ac:dyDescent="0.3">
      <c r="CY32367" s="34" t="s">
        <v>33293</v>
      </c>
      <c r="CZ32367" s="35">
        <v>2.8462499999999998E-3</v>
      </c>
    </row>
    <row r="32368" spans="103:104" x14ac:dyDescent="0.3">
      <c r="CY32368" s="34" t="s">
        <v>33294</v>
      </c>
      <c r="CZ32368" s="35">
        <v>0.24836024000000001</v>
      </c>
    </row>
    <row r="32369" spans="103:104" x14ac:dyDescent="0.3">
      <c r="CY32369" s="34" t="s">
        <v>33295</v>
      </c>
      <c r="CZ32369" s="35">
        <v>0.65858200000000011</v>
      </c>
    </row>
    <row r="32370" spans="103:104" x14ac:dyDescent="0.3">
      <c r="CY32370" s="34" t="s">
        <v>33296</v>
      </c>
      <c r="CZ32370" s="35">
        <v>0.69614704000000005</v>
      </c>
    </row>
    <row r="32371" spans="103:104" x14ac:dyDescent="0.3">
      <c r="CY32371" s="34" t="s">
        <v>33297</v>
      </c>
      <c r="CZ32371" s="35">
        <v>3.7289144000000001E-4</v>
      </c>
    </row>
    <row r="32372" spans="103:104" x14ac:dyDescent="0.3">
      <c r="CY32372" s="34" t="s">
        <v>33298</v>
      </c>
      <c r="CZ32372" s="35">
        <v>3.0933666666666669E-3</v>
      </c>
    </row>
    <row r="32373" spans="103:104" x14ac:dyDescent="0.3">
      <c r="CY32373" s="34" t="s">
        <v>33299</v>
      </c>
      <c r="CZ32373" s="35">
        <v>3.0933666666666669E-3</v>
      </c>
    </row>
    <row r="32374" spans="103:104" x14ac:dyDescent="0.3">
      <c r="CY32374" s="34" t="s">
        <v>33300</v>
      </c>
      <c r="CZ32374" s="35">
        <v>2.7635752000000003E-2</v>
      </c>
    </row>
    <row r="32375" spans="103:104" x14ac:dyDescent="0.3">
      <c r="CY32375" s="34" t="s">
        <v>33301</v>
      </c>
      <c r="CZ32375" s="35">
        <v>1.8789570000000001E-3</v>
      </c>
    </row>
    <row r="32376" spans="103:104" x14ac:dyDescent="0.3">
      <c r="CY32376" s="34" t="s">
        <v>33302</v>
      </c>
      <c r="CZ32376" s="35">
        <v>3.9467889999999996E-4</v>
      </c>
    </row>
    <row r="32377" spans="103:104" x14ac:dyDescent="0.3">
      <c r="CY32377" s="34" t="s">
        <v>33303</v>
      </c>
      <c r="CZ32377" s="35">
        <v>3.9467889999999996E-4</v>
      </c>
    </row>
    <row r="32378" spans="103:104" x14ac:dyDescent="0.3">
      <c r="CY32378" s="34" t="s">
        <v>33304</v>
      </c>
      <c r="CZ32378" s="35">
        <v>0.69614704000000005</v>
      </c>
    </row>
    <row r="32379" spans="103:104" x14ac:dyDescent="0.3">
      <c r="CY32379" s="34" t="s">
        <v>33305</v>
      </c>
      <c r="CZ32379" s="35">
        <v>0.65858200000000011</v>
      </c>
    </row>
    <row r="32380" spans="103:104" x14ac:dyDescent="0.3">
      <c r="CY32380" s="34" t="s">
        <v>33306</v>
      </c>
      <c r="CZ32380" s="35">
        <v>1.1300536E-3</v>
      </c>
    </row>
    <row r="32381" spans="103:104" x14ac:dyDescent="0.3">
      <c r="CY32381" s="34" t="s">
        <v>33307</v>
      </c>
      <c r="CZ32381" s="35">
        <v>0.11306692</v>
      </c>
    </row>
    <row r="32382" spans="103:104" x14ac:dyDescent="0.3">
      <c r="CY32382" s="34" t="s">
        <v>33308</v>
      </c>
      <c r="CZ32382" s="35">
        <v>9.9864286000000014E-4</v>
      </c>
    </row>
    <row r="32383" spans="103:104" x14ac:dyDescent="0.3">
      <c r="CY32383" s="34" t="s">
        <v>33309</v>
      </c>
      <c r="CZ32383" s="35">
        <v>1.069191875E-2</v>
      </c>
    </row>
    <row r="32384" spans="103:104" x14ac:dyDescent="0.3">
      <c r="CY32384" s="34" t="s">
        <v>33310</v>
      </c>
      <c r="CZ32384" s="35">
        <v>6.8248720000000001E-3</v>
      </c>
    </row>
    <row r="32385" spans="103:104" x14ac:dyDescent="0.3">
      <c r="CY32385" s="34" t="s">
        <v>33311</v>
      </c>
      <c r="CZ32385" s="35">
        <v>0.30015809999999998</v>
      </c>
    </row>
    <row r="32386" spans="103:104" x14ac:dyDescent="0.3">
      <c r="CY32386" s="34" t="s">
        <v>33312</v>
      </c>
      <c r="CZ32386" s="35">
        <v>9.9864285800000015E-4</v>
      </c>
    </row>
    <row r="32387" spans="103:104" x14ac:dyDescent="0.3">
      <c r="CY32387" s="34" t="s">
        <v>33313</v>
      </c>
      <c r="CZ32387" s="35">
        <v>3.0703906249999999E-2</v>
      </c>
    </row>
    <row r="32388" spans="103:104" x14ac:dyDescent="0.3">
      <c r="CY32388" s="34" t="s">
        <v>33314</v>
      </c>
      <c r="CZ32388" s="35">
        <v>2.3886532000000002E-2</v>
      </c>
    </row>
    <row r="32389" spans="103:104" x14ac:dyDescent="0.3">
      <c r="CY32389" s="34" t="s">
        <v>33315</v>
      </c>
      <c r="CZ32389" s="35">
        <v>1.9562368E-2</v>
      </c>
    </row>
    <row r="32390" spans="103:104" x14ac:dyDescent="0.3">
      <c r="CY32390" s="34" t="s">
        <v>33316</v>
      </c>
      <c r="CZ32390" s="35">
        <v>1.3958695000000001</v>
      </c>
    </row>
    <row r="32391" spans="103:104" x14ac:dyDescent="0.3">
      <c r="CY32391" s="34" t="s">
        <v>33317</v>
      </c>
      <c r="CZ32391" s="35">
        <v>2.7659500631578944E-3</v>
      </c>
    </row>
    <row r="32392" spans="103:104" x14ac:dyDescent="0.3">
      <c r="CY32392" s="34" t="s">
        <v>33318</v>
      </c>
      <c r="CZ32392" s="35">
        <v>3.4659955555555555E-3</v>
      </c>
    </row>
    <row r="32393" spans="103:104" x14ac:dyDescent="0.3">
      <c r="CY32393" s="34" t="s">
        <v>33319</v>
      </c>
      <c r="CZ32393" s="35">
        <v>1.2761124000000002E-3</v>
      </c>
    </row>
    <row r="32394" spans="103:104" x14ac:dyDescent="0.3">
      <c r="CY32394" s="34" t="s">
        <v>33320</v>
      </c>
      <c r="CZ32394" s="35">
        <v>3.9376824999999997E-2</v>
      </c>
    </row>
    <row r="32395" spans="103:104" x14ac:dyDescent="0.3">
      <c r="CY32395" s="34" t="s">
        <v>33321</v>
      </c>
      <c r="CZ32395" s="35">
        <v>1.6282152000000001E-2</v>
      </c>
    </row>
    <row r="32396" spans="103:104" x14ac:dyDescent="0.3">
      <c r="CY32396" s="34" t="s">
        <v>33322</v>
      </c>
      <c r="CZ32396" s="35">
        <v>1.04582488E-2</v>
      </c>
    </row>
    <row r="32397" spans="103:104" x14ac:dyDescent="0.3">
      <c r="CY32397" s="34" t="s">
        <v>33323</v>
      </c>
      <c r="CZ32397" s="35">
        <v>1.04582488E-2</v>
      </c>
    </row>
    <row r="32398" spans="103:104" x14ac:dyDescent="0.3">
      <c r="CY32398" s="34" t="s">
        <v>33324</v>
      </c>
      <c r="CZ32398" s="35">
        <v>0.48061011999999997</v>
      </c>
    </row>
    <row r="32399" spans="103:104" x14ac:dyDescent="0.3">
      <c r="CY32399" s="34" t="s">
        <v>33325</v>
      </c>
      <c r="CZ32399" s="35">
        <v>7.766801E-4</v>
      </c>
    </row>
    <row r="32400" spans="103:104" x14ac:dyDescent="0.3">
      <c r="CY32400" s="34" t="s">
        <v>33326</v>
      </c>
      <c r="CZ32400" s="35">
        <v>1.1839441000000002E-3</v>
      </c>
    </row>
    <row r="32401" spans="103:104" x14ac:dyDescent="0.3">
      <c r="CY32401" s="34" t="s">
        <v>33327</v>
      </c>
      <c r="CZ32401" s="35">
        <v>9.8618499999999984E-3</v>
      </c>
    </row>
    <row r="32402" spans="103:104" x14ac:dyDescent="0.3">
      <c r="CY32402" s="34" t="s">
        <v>33328</v>
      </c>
      <c r="CZ32402" s="35">
        <v>7.3602288000000002E-3</v>
      </c>
    </row>
    <row r="32403" spans="103:104" x14ac:dyDescent="0.3">
      <c r="CY32403" s="34" t="s">
        <v>33329</v>
      </c>
      <c r="CZ32403" s="35">
        <v>2.0020575800000003E-2</v>
      </c>
    </row>
    <row r="32404" spans="103:104" x14ac:dyDescent="0.3">
      <c r="CY32404" s="34" t="s">
        <v>33330</v>
      </c>
      <c r="CZ32404" s="35">
        <v>4.3143232000000002E-3</v>
      </c>
    </row>
    <row r="32405" spans="103:104" x14ac:dyDescent="0.3">
      <c r="CY32405" s="34" t="s">
        <v>33331</v>
      </c>
      <c r="CZ32405" s="35">
        <v>3.5649709473684213E-3</v>
      </c>
    </row>
    <row r="32406" spans="103:104" x14ac:dyDescent="0.3">
      <c r="CY32406" s="34" t="s">
        <v>33332</v>
      </c>
      <c r="CZ32406" s="35">
        <v>8.0688183999999996E-2</v>
      </c>
    </row>
    <row r="32407" spans="103:104" x14ac:dyDescent="0.3">
      <c r="CY32407" s="34" t="s">
        <v>33333</v>
      </c>
      <c r="CZ32407" s="35">
        <v>0.36144249000000001</v>
      </c>
    </row>
    <row r="32408" spans="103:104" x14ac:dyDescent="0.3">
      <c r="CY32408" s="34" t="s">
        <v>33334</v>
      </c>
      <c r="CZ32408" s="35">
        <v>4.2392259999999994E-2</v>
      </c>
    </row>
    <row r="32409" spans="103:104" x14ac:dyDescent="0.3">
      <c r="CY32409" s="34" t="s">
        <v>33335</v>
      </c>
      <c r="CZ32409" s="35">
        <v>3.4996512E-2</v>
      </c>
    </row>
    <row r="32410" spans="103:104" x14ac:dyDescent="0.3">
      <c r="CY32410" s="34" t="s">
        <v>33336</v>
      </c>
      <c r="CZ32410" s="35">
        <v>3.5413239999999999E-2</v>
      </c>
    </row>
    <row r="32411" spans="103:104" x14ac:dyDescent="0.3">
      <c r="CY32411" s="34" t="s">
        <v>33337</v>
      </c>
      <c r="CZ32411" s="35">
        <v>1.6307852000000001E-2</v>
      </c>
    </row>
    <row r="32412" spans="103:104" x14ac:dyDescent="0.3">
      <c r="CY32412" s="34" t="s">
        <v>33338</v>
      </c>
      <c r="CZ32412" s="35">
        <v>1.3104793999999999E-3</v>
      </c>
    </row>
    <row r="32413" spans="103:104" x14ac:dyDescent="0.3">
      <c r="CY32413" s="34" t="s">
        <v>33339</v>
      </c>
      <c r="CZ32413" s="35">
        <v>2.0847745000000003E-3</v>
      </c>
    </row>
    <row r="32414" spans="103:104" x14ac:dyDescent="0.3">
      <c r="CY32414" s="34" t="s">
        <v>33340</v>
      </c>
      <c r="CZ32414" s="35">
        <v>8.0453410000000001E-4</v>
      </c>
    </row>
    <row r="32415" spans="103:104" x14ac:dyDescent="0.3">
      <c r="CY32415" s="34" t="s">
        <v>33341</v>
      </c>
      <c r="CZ32415" s="35">
        <v>0.17148452894736843</v>
      </c>
    </row>
    <row r="32416" spans="103:104" x14ac:dyDescent="0.3">
      <c r="CY32416" s="34" t="s">
        <v>33342</v>
      </c>
      <c r="CZ32416" s="35">
        <v>9.816815999999999E-3</v>
      </c>
    </row>
    <row r="32417" spans="103:104" x14ac:dyDescent="0.3">
      <c r="CY32417" s="34" t="s">
        <v>33343</v>
      </c>
      <c r="CZ32417" s="35">
        <v>2.8722812800000001E-2</v>
      </c>
    </row>
    <row r="32418" spans="103:104" x14ac:dyDescent="0.3">
      <c r="CY32418" s="34" t="s">
        <v>33344</v>
      </c>
      <c r="CZ32418" s="35">
        <v>0.26570971640350877</v>
      </c>
    </row>
    <row r="32419" spans="103:104" x14ac:dyDescent="0.3">
      <c r="CY32419" s="34" t="s">
        <v>33345</v>
      </c>
      <c r="CZ32419" s="35">
        <v>9.2015494736842104E-2</v>
      </c>
    </row>
    <row r="32420" spans="103:104" x14ac:dyDescent="0.3">
      <c r="CY32420" s="34" t="s">
        <v>33346</v>
      </c>
      <c r="CZ32420" s="35">
        <v>4.5331250000000005E-4</v>
      </c>
    </row>
    <row r="32421" spans="103:104" x14ac:dyDescent="0.3">
      <c r="CY32421" s="34" t="s">
        <v>33347</v>
      </c>
      <c r="CZ32421" s="35">
        <v>4.6742500000000005E-3</v>
      </c>
    </row>
    <row r="32422" spans="103:104" x14ac:dyDescent="0.3">
      <c r="CY32422" s="34" t="s">
        <v>33348</v>
      </c>
      <c r="CZ32422" s="35">
        <v>1.6496862919999997E-2</v>
      </c>
    </row>
    <row r="32423" spans="103:104" x14ac:dyDescent="0.3">
      <c r="CY32423" s="34" t="s">
        <v>33349</v>
      </c>
      <c r="CZ32423" s="35">
        <v>6.6815282000000004E-2</v>
      </c>
    </row>
    <row r="32424" spans="103:104" x14ac:dyDescent="0.3">
      <c r="CY32424" s="34" t="s">
        <v>33350</v>
      </c>
      <c r="CZ32424" s="35">
        <v>0.80448209999999998</v>
      </c>
    </row>
    <row r="32425" spans="103:104" x14ac:dyDescent="0.3">
      <c r="CY32425" s="34" t="s">
        <v>33351</v>
      </c>
      <c r="CZ32425" s="35">
        <v>6.415549999999999E-2</v>
      </c>
    </row>
    <row r="32426" spans="103:104" x14ac:dyDescent="0.3">
      <c r="CY32426" s="34" t="s">
        <v>33352</v>
      </c>
      <c r="CZ32426" s="35">
        <v>0.25883663000000001</v>
      </c>
    </row>
    <row r="32427" spans="103:104" x14ac:dyDescent="0.3">
      <c r="CY32427" s="34" t="s">
        <v>33353</v>
      </c>
      <c r="CZ32427" s="35">
        <v>0.36091382954545453</v>
      </c>
    </row>
    <row r="32428" spans="103:104" x14ac:dyDescent="0.3">
      <c r="CY32428" s="34" t="s">
        <v>33354</v>
      </c>
      <c r="CZ32428" s="35">
        <v>8.2068799999999997E-3</v>
      </c>
    </row>
    <row r="32429" spans="103:104" x14ac:dyDescent="0.3">
      <c r="CY32429" s="34" t="s">
        <v>33355</v>
      </c>
      <c r="CZ32429" s="35">
        <v>4.8042319999999996E-4</v>
      </c>
    </row>
    <row r="32430" spans="103:104" x14ac:dyDescent="0.3">
      <c r="CY32430" s="34" t="s">
        <v>33356</v>
      </c>
      <c r="CZ32430" s="35">
        <v>1.1546843999999997E-3</v>
      </c>
    </row>
    <row r="32431" spans="103:104" x14ac:dyDescent="0.3">
      <c r="CY32431" s="34" t="s">
        <v>33357</v>
      </c>
      <c r="CZ32431" s="35">
        <v>3.2688200000000004E-3</v>
      </c>
    </row>
    <row r="32432" spans="103:104" x14ac:dyDescent="0.3">
      <c r="CY32432" s="34" t="s">
        <v>33358</v>
      </c>
      <c r="CZ32432" s="35">
        <v>5.5604476E-4</v>
      </c>
    </row>
    <row r="32433" spans="103:104" x14ac:dyDescent="0.3">
      <c r="CY32433" s="34" t="s">
        <v>33359</v>
      </c>
      <c r="CZ32433" s="35">
        <v>9.4592250000000014E-4</v>
      </c>
    </row>
    <row r="32434" spans="103:104" x14ac:dyDescent="0.3">
      <c r="CY32434" s="34" t="s">
        <v>33360</v>
      </c>
      <c r="CZ32434" s="35">
        <v>7.2219282000000006E-4</v>
      </c>
    </row>
    <row r="32435" spans="103:104" x14ac:dyDescent="0.3">
      <c r="CY32435" s="34" t="s">
        <v>33361</v>
      </c>
      <c r="CZ32435" s="35">
        <v>1.0078001E-2</v>
      </c>
    </row>
    <row r="32436" spans="103:104" x14ac:dyDescent="0.3">
      <c r="CY32436" s="34" t="s">
        <v>33362</v>
      </c>
      <c r="CZ32436" s="35">
        <v>8.8507862999999999E-3</v>
      </c>
    </row>
    <row r="32437" spans="103:104" x14ac:dyDescent="0.3">
      <c r="CY32437" s="34" t="s">
        <v>33363</v>
      </c>
      <c r="CZ32437" s="35">
        <v>2.7728610000000004E-2</v>
      </c>
    </row>
    <row r="32438" spans="103:104" x14ac:dyDescent="0.3">
      <c r="CY32438" s="34" t="s">
        <v>33364</v>
      </c>
      <c r="CZ32438" s="35">
        <v>1.2790670842105265E-2</v>
      </c>
    </row>
    <row r="32439" spans="103:104" x14ac:dyDescent="0.3">
      <c r="CY32439" s="34" t="s">
        <v>33365</v>
      </c>
      <c r="CZ32439" s="35">
        <v>1.06445386E-3</v>
      </c>
    </row>
    <row r="32440" spans="103:104" x14ac:dyDescent="0.3">
      <c r="CY32440" s="34" t="s">
        <v>33366</v>
      </c>
      <c r="CZ32440" s="35">
        <v>4.5940044000000006E-3</v>
      </c>
    </row>
    <row r="32441" spans="103:104" x14ac:dyDescent="0.3">
      <c r="CY32441" s="34" t="s">
        <v>33367</v>
      </c>
      <c r="CZ32441" s="35">
        <v>5.4464623529411761E-2</v>
      </c>
    </row>
    <row r="32442" spans="103:104" x14ac:dyDescent="0.3">
      <c r="CY32442" s="34" t="s">
        <v>33368</v>
      </c>
      <c r="CZ32442" s="35">
        <v>0.14072489999999999</v>
      </c>
    </row>
    <row r="32443" spans="103:104" x14ac:dyDescent="0.3">
      <c r="CY32443" s="34" t="s">
        <v>33369</v>
      </c>
      <c r="CZ32443" s="35">
        <v>6.1113199999999999E-3</v>
      </c>
    </row>
    <row r="32444" spans="103:104" x14ac:dyDescent="0.3">
      <c r="CY32444" s="34" t="s">
        <v>33370</v>
      </c>
      <c r="CZ32444" s="35">
        <v>0.14129216</v>
      </c>
    </row>
    <row r="32445" spans="103:104" x14ac:dyDescent="0.3">
      <c r="CY32445" s="34" t="s">
        <v>33371</v>
      </c>
      <c r="CZ32445" s="35">
        <v>0.222743</v>
      </c>
    </row>
    <row r="32446" spans="103:104" x14ac:dyDescent="0.3">
      <c r="CY32446" s="34" t="s">
        <v>33372</v>
      </c>
      <c r="CZ32446" s="35">
        <v>8.6162766666666682E-2</v>
      </c>
    </row>
    <row r="32447" spans="103:104" x14ac:dyDescent="0.3">
      <c r="CY32447" s="34" t="s">
        <v>33373</v>
      </c>
      <c r="CZ32447" s="35">
        <v>5.4532488210526312E-3</v>
      </c>
    </row>
    <row r="32448" spans="103:104" x14ac:dyDescent="0.3">
      <c r="CY32448" s="34" t="s">
        <v>33374</v>
      </c>
      <c r="CZ32448" s="35">
        <v>0.25231136941176469</v>
      </c>
    </row>
    <row r="32449" spans="103:104" x14ac:dyDescent="0.3">
      <c r="CY32449" s="34" t="s">
        <v>33375</v>
      </c>
      <c r="CZ32449" s="35">
        <v>2.0040985333333334E-3</v>
      </c>
    </row>
    <row r="32450" spans="103:104" x14ac:dyDescent="0.3">
      <c r="CY32450" s="34" t="s">
        <v>33376</v>
      </c>
      <c r="CZ32450" s="35">
        <v>5.5442217777777782E-2</v>
      </c>
    </row>
    <row r="32451" spans="103:104" x14ac:dyDescent="0.3">
      <c r="CY32451" s="34" t="s">
        <v>33377</v>
      </c>
      <c r="CZ32451" s="35">
        <v>3.4156616000000001E-2</v>
      </c>
    </row>
    <row r="32452" spans="103:104" x14ac:dyDescent="0.3">
      <c r="CY32452" s="34" t="s">
        <v>33378</v>
      </c>
      <c r="CZ32452" s="35">
        <v>0.18745517894736841</v>
      </c>
    </row>
    <row r="32453" spans="103:104" x14ac:dyDescent="0.3">
      <c r="CY32453" s="34" t="s">
        <v>33379</v>
      </c>
      <c r="CZ32453" s="35">
        <v>39.629565839999998</v>
      </c>
    </row>
    <row r="32454" spans="103:104" x14ac:dyDescent="0.3">
      <c r="CY32454" s="34" t="s">
        <v>33380</v>
      </c>
      <c r="CZ32454" s="35">
        <v>3.6168080388888885E-2</v>
      </c>
    </row>
    <row r="32455" spans="103:104" x14ac:dyDescent="0.3">
      <c r="CY32455" s="34" t="s">
        <v>33381</v>
      </c>
      <c r="CZ32455" s="35">
        <v>0.10960616666666666</v>
      </c>
    </row>
    <row r="32456" spans="103:104" x14ac:dyDescent="0.3">
      <c r="CY32456" s="34" t="s">
        <v>33382</v>
      </c>
      <c r="CZ32456" s="35">
        <v>1.7508376664999999E-2</v>
      </c>
    </row>
    <row r="32457" spans="103:104" x14ac:dyDescent="0.3">
      <c r="CY32457" s="34" t="s">
        <v>33383</v>
      </c>
      <c r="CZ32457" s="35">
        <v>3.8006632000000005E-2</v>
      </c>
    </row>
    <row r="32458" spans="103:104" x14ac:dyDescent="0.3">
      <c r="CY32458" s="34" t="s">
        <v>33384</v>
      </c>
      <c r="CZ32458" s="35">
        <v>8.7901746299999996E-3</v>
      </c>
    </row>
    <row r="32459" spans="103:104" x14ac:dyDescent="0.3">
      <c r="CY32459" s="34" t="s">
        <v>33385</v>
      </c>
      <c r="CZ32459" s="35">
        <v>8.0716216000000004E-3</v>
      </c>
    </row>
    <row r="32460" spans="103:104" x14ac:dyDescent="0.3">
      <c r="CY32460" s="34" t="s">
        <v>33386</v>
      </c>
      <c r="CZ32460" s="35">
        <v>7.2910989400000008E-3</v>
      </c>
    </row>
    <row r="32461" spans="103:104" x14ac:dyDescent="0.3">
      <c r="CY32461" s="34" t="s">
        <v>33387</v>
      </c>
      <c r="CZ32461" s="35">
        <v>4.8503291799999997E-3</v>
      </c>
    </row>
    <row r="32462" spans="103:104" x14ac:dyDescent="0.3">
      <c r="CY32462" s="34" t="s">
        <v>33388</v>
      </c>
      <c r="CZ32462" s="35">
        <v>8.5982080000000013E-3</v>
      </c>
    </row>
    <row r="32463" spans="103:104" x14ac:dyDescent="0.3">
      <c r="CY32463" s="34" t="s">
        <v>33389</v>
      </c>
      <c r="CZ32463" s="35">
        <v>1.1476257000000002E-2</v>
      </c>
    </row>
    <row r="32464" spans="103:104" x14ac:dyDescent="0.3">
      <c r="CY32464" s="34" t="s">
        <v>33390</v>
      </c>
      <c r="CZ32464" s="35">
        <v>8.8747519999999996E-3</v>
      </c>
    </row>
    <row r="32465" spans="103:104" x14ac:dyDescent="0.3">
      <c r="CY32465" s="34" t="s">
        <v>33391</v>
      </c>
      <c r="CZ32465" s="35">
        <v>2.2088882000000001E-2</v>
      </c>
    </row>
    <row r="32466" spans="103:104" x14ac:dyDescent="0.3">
      <c r="CY32466" s="34" t="s">
        <v>33392</v>
      </c>
      <c r="CZ32466" s="35">
        <v>1.7450132</v>
      </c>
    </row>
    <row r="32467" spans="103:104" x14ac:dyDescent="0.3">
      <c r="CY32467" s="34" t="s">
        <v>33393</v>
      </c>
      <c r="CZ32467" s="35">
        <v>0.67363399999999996</v>
      </c>
    </row>
    <row r="32468" spans="103:104" x14ac:dyDescent="0.3">
      <c r="CY32468" s="34" t="s">
        <v>33394</v>
      </c>
      <c r="CZ32468" s="35">
        <v>7.3145078000000016E-2</v>
      </c>
    </row>
    <row r="32469" spans="103:104" x14ac:dyDescent="0.3">
      <c r="CY32469" s="34" t="s">
        <v>33395</v>
      </c>
      <c r="CZ32469" s="35">
        <v>2.7411657000000002E-2</v>
      </c>
    </row>
    <row r="32470" spans="103:104" x14ac:dyDescent="0.3">
      <c r="CY32470" s="34" t="s">
        <v>33396</v>
      </c>
      <c r="CZ32470" s="35">
        <v>5.6619892000000002E-3</v>
      </c>
    </row>
    <row r="32471" spans="103:104" x14ac:dyDescent="0.3">
      <c r="CY32471" s="34" t="s">
        <v>33397</v>
      </c>
      <c r="CZ32471" s="35">
        <v>3.5137659999999998E-3</v>
      </c>
    </row>
    <row r="32472" spans="103:104" x14ac:dyDescent="0.3">
      <c r="CY32472" s="34" t="s">
        <v>33398</v>
      </c>
      <c r="CZ32472" s="35">
        <v>7.5434120000000011E-3</v>
      </c>
    </row>
    <row r="32473" spans="103:104" x14ac:dyDescent="0.3">
      <c r="CY32473" s="34" t="s">
        <v>33399</v>
      </c>
      <c r="CZ32473" s="35">
        <v>0.52297548833333329</v>
      </c>
    </row>
    <row r="32474" spans="103:104" x14ac:dyDescent="0.3">
      <c r="CY32474" s="34" t="s">
        <v>33400</v>
      </c>
      <c r="CZ32474" s="35">
        <v>0.43368264833333336</v>
      </c>
    </row>
    <row r="32475" spans="103:104" x14ac:dyDescent="0.3">
      <c r="CY32475" s="34" t="s">
        <v>33401</v>
      </c>
      <c r="CZ32475" s="35">
        <v>0.47395196833333331</v>
      </c>
    </row>
    <row r="32476" spans="103:104" x14ac:dyDescent="0.3">
      <c r="CY32476" s="34" t="s">
        <v>33402</v>
      </c>
      <c r="CZ32476" s="35">
        <v>0.42608408666666658</v>
      </c>
    </row>
    <row r="32477" spans="103:104" x14ac:dyDescent="0.3">
      <c r="CY32477" s="34" t="s">
        <v>33403</v>
      </c>
      <c r="CZ32477" s="35">
        <v>0.57900236833333352</v>
      </c>
    </row>
    <row r="32478" spans="103:104" x14ac:dyDescent="0.3">
      <c r="CY32478" s="34" t="s">
        <v>33404</v>
      </c>
      <c r="CZ32478" s="35">
        <v>0.71669331999999997</v>
      </c>
    </row>
    <row r="32479" spans="103:104" x14ac:dyDescent="0.3">
      <c r="CY32479" s="34" t="s">
        <v>33405</v>
      </c>
      <c r="CZ32479" s="35">
        <v>0.67811140000000003</v>
      </c>
    </row>
    <row r="32480" spans="103:104" x14ac:dyDescent="0.3">
      <c r="CY32480" s="34" t="s">
        <v>33406</v>
      </c>
      <c r="CZ32480" s="35">
        <v>0.38371760659999998</v>
      </c>
    </row>
    <row r="32481" spans="103:104" x14ac:dyDescent="0.3">
      <c r="CY32481" s="34" t="s">
        <v>33407</v>
      </c>
      <c r="CZ32481" s="35">
        <v>0.32273616659999993</v>
      </c>
    </row>
    <row r="32482" spans="103:104" x14ac:dyDescent="0.3">
      <c r="CY32482" s="34" t="s">
        <v>33408</v>
      </c>
      <c r="CZ32482" s="35">
        <v>0.58727433000000007</v>
      </c>
    </row>
    <row r="32483" spans="103:104" x14ac:dyDescent="0.3">
      <c r="CY32483" s="34" t="s">
        <v>33409</v>
      </c>
      <c r="CZ32483" s="35">
        <v>0.49192425000000001</v>
      </c>
    </row>
    <row r="32484" spans="103:104" x14ac:dyDescent="0.3">
      <c r="CY32484" s="34" t="s">
        <v>33410</v>
      </c>
      <c r="CZ32484" s="35">
        <v>4.0211039999999993E-3</v>
      </c>
    </row>
    <row r="32485" spans="103:104" x14ac:dyDescent="0.3">
      <c r="CY32485" s="34" t="s">
        <v>33411</v>
      </c>
      <c r="CZ32485" s="35">
        <v>8.0356186666666676E-3</v>
      </c>
    </row>
    <row r="32486" spans="103:104" x14ac:dyDescent="0.3">
      <c r="CY32486" s="34" t="s">
        <v>33412</v>
      </c>
      <c r="CZ32486" s="35">
        <v>4.6711599999999997E-3</v>
      </c>
    </row>
    <row r="32487" spans="103:104" x14ac:dyDescent="0.3">
      <c r="CY32487" s="34" t="s">
        <v>33413</v>
      </c>
      <c r="CZ32487" s="35">
        <v>2.7320531999999998E-2</v>
      </c>
    </row>
    <row r="32488" spans="103:104" x14ac:dyDescent="0.3">
      <c r="CY32488" s="34" t="s">
        <v>33414</v>
      </c>
      <c r="CZ32488" s="35">
        <v>2.3248100000000004E-2</v>
      </c>
    </row>
    <row r="32489" spans="103:104" x14ac:dyDescent="0.3">
      <c r="CY32489" s="34" t="s">
        <v>33415</v>
      </c>
      <c r="CZ32489" s="35">
        <v>0.1036871</v>
      </c>
    </row>
    <row r="32490" spans="103:104" x14ac:dyDescent="0.3">
      <c r="CY32490" s="34" t="s">
        <v>33416</v>
      </c>
      <c r="CZ32490" s="35">
        <v>1.7608621200000001E-3</v>
      </c>
    </row>
    <row r="32491" spans="103:104" x14ac:dyDescent="0.3">
      <c r="CY32491" s="34" t="s">
        <v>33417</v>
      </c>
      <c r="CZ32491" s="35">
        <v>0.11480478250000001</v>
      </c>
    </row>
    <row r="32492" spans="103:104" x14ac:dyDescent="0.3">
      <c r="CY32492" s="34" t="s">
        <v>33418</v>
      </c>
      <c r="CZ32492" s="35">
        <v>0.11480478250000001</v>
      </c>
    </row>
    <row r="32493" spans="103:104" x14ac:dyDescent="0.3">
      <c r="CY32493" s="34" t="s">
        <v>33419</v>
      </c>
      <c r="CZ32493" s="35">
        <v>0.55089804499999995</v>
      </c>
    </row>
    <row r="32494" spans="103:104" x14ac:dyDescent="0.3">
      <c r="CY32494" s="34" t="s">
        <v>33420</v>
      </c>
      <c r="CZ32494" s="35">
        <v>5.2328500000000007E-2</v>
      </c>
    </row>
    <row r="32495" spans="103:104" x14ac:dyDescent="0.3">
      <c r="CY32495" s="34" t="s">
        <v>33421</v>
      </c>
      <c r="CZ32495" s="35">
        <v>2.8258750252E-2</v>
      </c>
    </row>
    <row r="32496" spans="103:104" x14ac:dyDescent="0.3">
      <c r="CY32496" s="34" t="s">
        <v>33422</v>
      </c>
      <c r="CZ32496" s="35">
        <v>2.8258750252E-2</v>
      </c>
    </row>
    <row r="32497" spans="103:104" x14ac:dyDescent="0.3">
      <c r="CY32497" s="34" t="s">
        <v>33423</v>
      </c>
      <c r="CZ32497" s="35">
        <v>0.48061011999999997</v>
      </c>
    </row>
    <row r="32498" spans="103:104" x14ac:dyDescent="0.3">
      <c r="CY32498" s="34" t="s">
        <v>33424</v>
      </c>
      <c r="CZ32498" s="35">
        <v>1.7441916971428571E-2</v>
      </c>
    </row>
    <row r="32499" spans="103:104" x14ac:dyDescent="0.3">
      <c r="CY32499" s="34" t="s">
        <v>33425</v>
      </c>
      <c r="CZ32499" s="35">
        <v>9.9964200000000002E-4</v>
      </c>
    </row>
    <row r="32500" spans="103:104" x14ac:dyDescent="0.3">
      <c r="CY32500" s="34" t="s">
        <v>33426</v>
      </c>
      <c r="CZ32500" s="35">
        <v>2.8339870408163265E-3</v>
      </c>
    </row>
    <row r="32501" spans="103:104" x14ac:dyDescent="0.3">
      <c r="CY32501" s="34" t="s">
        <v>33427</v>
      </c>
      <c r="CZ32501" s="35">
        <v>6.0160194666666672E-3</v>
      </c>
    </row>
    <row r="32502" spans="103:104" x14ac:dyDescent="0.3">
      <c r="CY32502" s="34" t="s">
        <v>33428</v>
      </c>
      <c r="CZ32502" s="35">
        <v>3.1738917333333336E-3</v>
      </c>
    </row>
    <row r="32503" spans="103:104" x14ac:dyDescent="0.3">
      <c r="CY32503" s="34" t="s">
        <v>33429</v>
      </c>
      <c r="CZ32503" s="35">
        <v>1.1175038571428571E-2</v>
      </c>
    </row>
    <row r="32504" spans="103:104" x14ac:dyDescent="0.3">
      <c r="CY32504" s="34" t="s">
        <v>33430</v>
      </c>
      <c r="CZ32504" s="35">
        <v>1.1175038571428571E-2</v>
      </c>
    </row>
    <row r="32505" spans="103:104" x14ac:dyDescent="0.3">
      <c r="CY32505" s="34" t="s">
        <v>33431</v>
      </c>
      <c r="CZ32505" s="35">
        <v>9.4729015999999999E-2</v>
      </c>
    </row>
    <row r="32506" spans="103:104" x14ac:dyDescent="0.3">
      <c r="CY32506" s="34" t="s">
        <v>33432</v>
      </c>
      <c r="CZ32506" s="35">
        <v>4.1022119999999995E-2</v>
      </c>
    </row>
    <row r="32507" spans="103:104" x14ac:dyDescent="0.3">
      <c r="CY32507" s="34" t="s">
        <v>33433</v>
      </c>
      <c r="CZ32507" s="35">
        <v>6.8032860000000004E-3</v>
      </c>
    </row>
    <row r="32508" spans="103:104" x14ac:dyDescent="0.3">
      <c r="CY32508" s="34" t="s">
        <v>33434</v>
      </c>
      <c r="CZ32508" s="35">
        <v>7.379133999999999E-3</v>
      </c>
    </row>
    <row r="32509" spans="103:104" x14ac:dyDescent="0.3">
      <c r="CY32509" s="34" t="s">
        <v>33435</v>
      </c>
      <c r="CZ32509" s="35">
        <v>5.9132083330434779E-3</v>
      </c>
    </row>
    <row r="32510" spans="103:104" x14ac:dyDescent="0.3">
      <c r="CY32510" s="34" t="s">
        <v>33436</v>
      </c>
      <c r="CZ32510" s="35">
        <v>1.0742822222222221E-3</v>
      </c>
    </row>
    <row r="32511" spans="103:104" x14ac:dyDescent="0.3">
      <c r="CY32511" s="34" t="s">
        <v>33437</v>
      </c>
      <c r="CZ32511" s="35">
        <v>0.63541533333333333</v>
      </c>
    </row>
    <row r="32512" spans="103:104" x14ac:dyDescent="0.3">
      <c r="CY32512" s="34" t="s">
        <v>33438</v>
      </c>
      <c r="CZ32512" s="35">
        <v>7.4778100000000005E-3</v>
      </c>
    </row>
    <row r="32513" spans="103:104" x14ac:dyDescent="0.3">
      <c r="CY32513" s="34" t="s">
        <v>33439</v>
      </c>
      <c r="CZ32513" s="35">
        <v>3.4665111999999994E-3</v>
      </c>
    </row>
    <row r="32514" spans="103:104" x14ac:dyDescent="0.3">
      <c r="CY32514" s="34" t="s">
        <v>33440</v>
      </c>
      <c r="CZ32514" s="35">
        <v>4.3287728571428574E-3</v>
      </c>
    </row>
    <row r="32515" spans="103:104" x14ac:dyDescent="0.3">
      <c r="CY32515" s="34" t="s">
        <v>33441</v>
      </c>
      <c r="CZ32515" s="35">
        <v>7.2132215999999995E-4</v>
      </c>
    </row>
    <row r="32516" spans="103:104" x14ac:dyDescent="0.3">
      <c r="CY32516" s="34" t="s">
        <v>33442</v>
      </c>
      <c r="CZ32516" s="35">
        <v>3.1370727999999997E-3</v>
      </c>
    </row>
    <row r="32517" spans="103:104" x14ac:dyDescent="0.3">
      <c r="CY32517" s="34" t="s">
        <v>33443</v>
      </c>
      <c r="CZ32517" s="35">
        <v>5.3057471999999996E-3</v>
      </c>
    </row>
    <row r="32518" spans="103:104" x14ac:dyDescent="0.3">
      <c r="CY32518" s="34" t="s">
        <v>33444</v>
      </c>
      <c r="CZ32518" s="35">
        <v>2.8690611999999996E-3</v>
      </c>
    </row>
    <row r="32519" spans="103:104" x14ac:dyDescent="0.3">
      <c r="CY32519" s="34" t="s">
        <v>33445</v>
      </c>
      <c r="CZ32519" s="35">
        <v>5.7904162857142852E-3</v>
      </c>
    </row>
    <row r="32520" spans="103:104" x14ac:dyDescent="0.3">
      <c r="CY32520" s="34" t="s">
        <v>33446</v>
      </c>
      <c r="CZ32520" s="35">
        <v>2.5747223999999996E-2</v>
      </c>
    </row>
    <row r="32521" spans="103:104" x14ac:dyDescent="0.3">
      <c r="CY32521" s="34" t="s">
        <v>33447</v>
      </c>
      <c r="CZ32521" s="35">
        <v>1.3521140210526316E-3</v>
      </c>
    </row>
    <row r="32522" spans="103:104" x14ac:dyDescent="0.3">
      <c r="CY32522" s="34" t="s">
        <v>33448</v>
      </c>
      <c r="CZ32522" s="35">
        <v>0.37632139999999997</v>
      </c>
    </row>
    <row r="32523" spans="103:104" x14ac:dyDescent="0.3">
      <c r="CY32523" s="34" t="s">
        <v>33449</v>
      </c>
      <c r="CZ32523" s="35">
        <v>0.8334693700000001</v>
      </c>
    </row>
    <row r="32524" spans="103:104" x14ac:dyDescent="0.3">
      <c r="CY32524" s="34" t="s">
        <v>33450</v>
      </c>
      <c r="CZ32524" s="35">
        <v>1.8438003999999999</v>
      </c>
    </row>
    <row r="32525" spans="103:104" x14ac:dyDescent="0.3">
      <c r="CY32525" s="34" t="s">
        <v>33451</v>
      </c>
      <c r="CZ32525" s="35">
        <v>0.52763934999999995</v>
      </c>
    </row>
    <row r="32526" spans="103:104" x14ac:dyDescent="0.3">
      <c r="CY32526" s="34" t="s">
        <v>33452</v>
      </c>
      <c r="CZ32526" s="35">
        <v>3.0886260000000002E-2</v>
      </c>
    </row>
    <row r="32527" spans="103:104" x14ac:dyDescent="0.3">
      <c r="CY32527" s="34" t="s">
        <v>33453</v>
      </c>
      <c r="CZ32527" s="35">
        <v>0.69031396111999999</v>
      </c>
    </row>
    <row r="32528" spans="103:104" x14ac:dyDescent="0.3">
      <c r="CY32528" s="34" t="s">
        <v>33454</v>
      </c>
      <c r="CZ32528" s="35">
        <v>0.49433009999999999</v>
      </c>
    </row>
    <row r="32529" spans="103:104" x14ac:dyDescent="0.3">
      <c r="CY32529" s="34" t="s">
        <v>33455</v>
      </c>
      <c r="CZ32529" s="35">
        <v>0.19272275</v>
      </c>
    </row>
    <row r="32530" spans="103:104" x14ac:dyDescent="0.3">
      <c r="CY32530" s="34" t="s">
        <v>33456</v>
      </c>
      <c r="CZ32530" s="35">
        <v>0.51040898000000001</v>
      </c>
    </row>
    <row r="32531" spans="103:104" x14ac:dyDescent="0.3">
      <c r="CY32531" s="34" t="s">
        <v>33457</v>
      </c>
      <c r="CZ32531" s="35">
        <v>1.248166E-2</v>
      </c>
    </row>
    <row r="32532" spans="103:104" x14ac:dyDescent="0.3">
      <c r="CY32532" s="34" t="s">
        <v>33458</v>
      </c>
      <c r="CZ32532" s="35">
        <v>0.17960921123076926</v>
      </c>
    </row>
    <row r="32533" spans="103:104" x14ac:dyDescent="0.3">
      <c r="CY32533" s="34" t="s">
        <v>33459</v>
      </c>
      <c r="CZ32533" s="35">
        <v>0.50797510000000001</v>
      </c>
    </row>
    <row r="32534" spans="103:104" x14ac:dyDescent="0.3">
      <c r="CY32534" s="34" t="s">
        <v>33460</v>
      </c>
      <c r="CZ32534" s="35">
        <v>0.60502149999999999</v>
      </c>
    </row>
    <row r="32535" spans="103:104" x14ac:dyDescent="0.3">
      <c r="CY32535" s="34" t="s">
        <v>33461</v>
      </c>
      <c r="CZ32535" s="35">
        <v>0.54102899999999998</v>
      </c>
    </row>
    <row r="32536" spans="103:104" x14ac:dyDescent="0.3">
      <c r="CY32536" s="34" t="s">
        <v>33462</v>
      </c>
      <c r="CZ32536" s="35">
        <v>3.5939130499999999E-2</v>
      </c>
    </row>
    <row r="32537" spans="103:104" x14ac:dyDescent="0.3">
      <c r="CY32537" s="34" t="s">
        <v>33463</v>
      </c>
      <c r="CZ32537" s="35">
        <v>3.5939130499999999E-2</v>
      </c>
    </row>
    <row r="32538" spans="103:104" x14ac:dyDescent="0.3">
      <c r="CY32538" s="34" t="s">
        <v>33464</v>
      </c>
      <c r="CZ32538" s="35">
        <v>0.17883492500000001</v>
      </c>
    </row>
    <row r="32539" spans="103:104" x14ac:dyDescent="0.3">
      <c r="CY32539" s="34" t="s">
        <v>33465</v>
      </c>
      <c r="CZ32539" s="35">
        <v>3.896384E-2</v>
      </c>
    </row>
    <row r="32540" spans="103:104" x14ac:dyDescent="0.3">
      <c r="CY32540" s="34" t="s">
        <v>33466</v>
      </c>
      <c r="CZ32540" s="35">
        <v>0.5738249442857144</v>
      </c>
    </row>
    <row r="32541" spans="103:104" x14ac:dyDescent="0.3">
      <c r="CY32541" s="34" t="s">
        <v>33467</v>
      </c>
      <c r="CZ32541" s="35">
        <v>0.27029096799999996</v>
      </c>
    </row>
    <row r="32542" spans="103:104" x14ac:dyDescent="0.3">
      <c r="CY32542" s="34" t="s">
        <v>33468</v>
      </c>
      <c r="CZ32542" s="35">
        <v>6.5327336571428573E-3</v>
      </c>
    </row>
    <row r="32543" spans="103:104" x14ac:dyDescent="0.3">
      <c r="CY32543" s="34" t="s">
        <v>33469</v>
      </c>
      <c r="CZ32543" s="35">
        <v>0.35197895200000001</v>
      </c>
    </row>
    <row r="32544" spans="103:104" x14ac:dyDescent="0.3">
      <c r="CY32544" s="34" t="s">
        <v>33470</v>
      </c>
      <c r="CZ32544" s="35">
        <v>0.31619483999999998</v>
      </c>
    </row>
    <row r="32545" spans="103:104" x14ac:dyDescent="0.3">
      <c r="CY32545" s="34" t="s">
        <v>33471</v>
      </c>
      <c r="CZ32545" s="35">
        <v>0.56972745000000002</v>
      </c>
    </row>
    <row r="32546" spans="103:104" x14ac:dyDescent="0.3">
      <c r="CY32546" s="34" t="s">
        <v>33472</v>
      </c>
      <c r="CZ32546" s="35">
        <v>0.49661545000000001</v>
      </c>
    </row>
    <row r="32547" spans="103:104" x14ac:dyDescent="0.3">
      <c r="CY32547" s="34" t="s">
        <v>33473</v>
      </c>
      <c r="CZ32547" s="35">
        <v>1.0802083499999998E-4</v>
      </c>
    </row>
    <row r="32548" spans="103:104" x14ac:dyDescent="0.3">
      <c r="CY32548" s="34" t="s">
        <v>33474</v>
      </c>
      <c r="CZ32548" s="35">
        <v>4.7694025200000004E-3</v>
      </c>
    </row>
    <row r="32549" spans="103:104" x14ac:dyDescent="0.3">
      <c r="CY32549" s="34" t="s">
        <v>33475</v>
      </c>
      <c r="CZ32549" s="35">
        <v>8.687874411999999E-2</v>
      </c>
    </row>
    <row r="32550" spans="103:104" x14ac:dyDescent="0.3">
      <c r="CY32550" s="34" t="s">
        <v>33476</v>
      </c>
      <c r="CZ32550" s="35">
        <v>8.7077009719999987E-2</v>
      </c>
    </row>
    <row r="32551" spans="103:104" x14ac:dyDescent="0.3">
      <c r="CY32551" s="34" t="s">
        <v>33477</v>
      </c>
      <c r="CZ32551" s="35">
        <v>1.6883143</v>
      </c>
    </row>
    <row r="32552" spans="103:104" x14ac:dyDescent="0.3">
      <c r="CY32552" s="34" t="s">
        <v>33478</v>
      </c>
      <c r="CZ32552" s="35">
        <v>1.905451025E-2</v>
      </c>
    </row>
    <row r="32553" spans="103:104" x14ac:dyDescent="0.3">
      <c r="CY32553" s="34" t="s">
        <v>33479</v>
      </c>
      <c r="CZ32553" s="35">
        <v>0.52725320199999992</v>
      </c>
    </row>
    <row r="32554" spans="103:104" x14ac:dyDescent="0.3">
      <c r="CY32554" s="34" t="s">
        <v>33480</v>
      </c>
      <c r="CZ32554" s="35">
        <v>0.19781824666666667</v>
      </c>
    </row>
    <row r="32555" spans="103:104" x14ac:dyDescent="0.3">
      <c r="CY32555" s="34" t="s">
        <v>33481</v>
      </c>
      <c r="CZ32555" s="35">
        <v>0.52725320199999992</v>
      </c>
    </row>
    <row r="32556" spans="103:104" x14ac:dyDescent="0.3">
      <c r="CY32556" s="34" t="s">
        <v>33482</v>
      </c>
      <c r="CZ32556" s="35">
        <v>0</v>
      </c>
    </row>
    <row r="32557" spans="103:104" x14ac:dyDescent="0.3">
      <c r="CY32557" s="34" t="s">
        <v>33483</v>
      </c>
      <c r="CZ32557" s="35">
        <v>0.19781824670000001</v>
      </c>
    </row>
    <row r="32558" spans="103:104" x14ac:dyDescent="0.3">
      <c r="CY32558" s="34" t="s">
        <v>33484</v>
      </c>
      <c r="CZ32558" s="35">
        <v>1.7803066666666666E-2</v>
      </c>
    </row>
    <row r="32559" spans="103:104" x14ac:dyDescent="0.3">
      <c r="CY32559" s="34" t="s">
        <v>33485</v>
      </c>
      <c r="CZ32559" s="35">
        <v>1.3517069444444444E-2</v>
      </c>
    </row>
    <row r="32560" spans="103:104" x14ac:dyDescent="0.3">
      <c r="CY32560" s="34" t="s">
        <v>33486</v>
      </c>
      <c r="CZ32560" s="35">
        <v>9.2548666666666668E-3</v>
      </c>
    </row>
    <row r="32561" spans="103:104" x14ac:dyDescent="0.3">
      <c r="CY32561" s="34" t="s">
        <v>33487</v>
      </c>
      <c r="CZ32561" s="35">
        <v>9.6618713333333328E-2</v>
      </c>
    </row>
    <row r="32562" spans="103:104" x14ac:dyDescent="0.3">
      <c r="CY32562" s="34" t="s">
        <v>33488</v>
      </c>
      <c r="CZ32562" s="35">
        <v>1.1029802585000002E-2</v>
      </c>
    </row>
    <row r="32563" spans="103:104" x14ac:dyDescent="0.3">
      <c r="CY32563" s="34" t="s">
        <v>33489</v>
      </c>
      <c r="CZ32563" s="35">
        <v>1.5771999999999998E-2</v>
      </c>
    </row>
    <row r="32564" spans="103:104" x14ac:dyDescent="0.3">
      <c r="CY32564" s="34" t="s">
        <v>33490</v>
      </c>
      <c r="CZ32564" s="35">
        <v>0.17344640222222218</v>
      </c>
    </row>
    <row r="32565" spans="103:104" x14ac:dyDescent="0.3">
      <c r="CY32565" s="34" t="s">
        <v>33491</v>
      </c>
      <c r="CZ32565" s="35">
        <v>6.6154195555555559E-2</v>
      </c>
    </row>
    <row r="32566" spans="103:104" x14ac:dyDescent="0.3">
      <c r="CY32566" s="34" t="s">
        <v>33492</v>
      </c>
      <c r="CZ32566" s="35">
        <v>0.24215133333333333</v>
      </c>
    </row>
    <row r="32567" spans="103:104" x14ac:dyDescent="0.3">
      <c r="CY32567" s="34" t="s">
        <v>33493</v>
      </c>
      <c r="CZ32567" s="35">
        <v>5.3048355555555558E-2</v>
      </c>
    </row>
    <row r="32568" spans="103:104" x14ac:dyDescent="0.3">
      <c r="CY32568" s="34" t="s">
        <v>33494</v>
      </c>
      <c r="CZ32568" s="35">
        <v>0.25535118000000001</v>
      </c>
    </row>
    <row r="32569" spans="103:104" x14ac:dyDescent="0.3">
      <c r="CY32569" s="34" t="s">
        <v>33495</v>
      </c>
      <c r="CZ32569" s="35">
        <v>0.25535118000000001</v>
      </c>
    </row>
    <row r="32570" spans="103:104" x14ac:dyDescent="0.3">
      <c r="CY32570" s="34" t="s">
        <v>33496</v>
      </c>
      <c r="CZ32570" s="35">
        <v>0.25535118000000001</v>
      </c>
    </row>
    <row r="32571" spans="103:104" x14ac:dyDescent="0.3">
      <c r="CY32571" s="34" t="s">
        <v>33497</v>
      </c>
      <c r="CZ32571" s="35">
        <v>0.35715214669999995</v>
      </c>
    </row>
    <row r="32572" spans="103:104" x14ac:dyDescent="0.3">
      <c r="CY32572" s="34" t="s">
        <v>33498</v>
      </c>
      <c r="CZ32572" s="35">
        <v>0.28827970670000003</v>
      </c>
    </row>
    <row r="32573" spans="103:104" x14ac:dyDescent="0.3">
      <c r="CY32573" s="34" t="s">
        <v>33499</v>
      </c>
      <c r="CZ32573" s="35">
        <v>0.49335313000000003</v>
      </c>
    </row>
    <row r="32574" spans="103:104" x14ac:dyDescent="0.3">
      <c r="CY32574" s="34" t="s">
        <v>33500</v>
      </c>
      <c r="CZ32574" s="35">
        <v>0.39843648999999998</v>
      </c>
    </row>
    <row r="32575" spans="103:104" x14ac:dyDescent="0.3">
      <c r="CY32575" s="34" t="s">
        <v>33501</v>
      </c>
      <c r="CZ32575" s="35">
        <v>0.35715214669999995</v>
      </c>
    </row>
    <row r="32576" spans="103:104" x14ac:dyDescent="0.3">
      <c r="CY32576" s="34" t="s">
        <v>33502</v>
      </c>
      <c r="CZ32576" s="35">
        <v>0</v>
      </c>
    </row>
    <row r="32577" spans="103:104" x14ac:dyDescent="0.3">
      <c r="CY32577" s="34" t="s">
        <v>33503</v>
      </c>
      <c r="CZ32577" s="35">
        <v>0.28827970669999997</v>
      </c>
    </row>
    <row r="32578" spans="103:104" x14ac:dyDescent="0.3">
      <c r="CY32578" s="34" t="s">
        <v>33504</v>
      </c>
      <c r="CZ32578" s="35">
        <v>0.49335312999999997</v>
      </c>
    </row>
    <row r="32579" spans="103:104" x14ac:dyDescent="0.3">
      <c r="CY32579" s="34" t="s">
        <v>33505</v>
      </c>
      <c r="CZ32579" s="35">
        <v>0.39843648999999998</v>
      </c>
    </row>
    <row r="32580" spans="103:104" x14ac:dyDescent="0.3">
      <c r="CY32580" s="34" t="s">
        <v>33506</v>
      </c>
      <c r="CZ32580" s="35">
        <v>0.90438410950000003</v>
      </c>
    </row>
    <row r="32581" spans="103:104" x14ac:dyDescent="0.3">
      <c r="CY32581" s="34" t="s">
        <v>33507</v>
      </c>
      <c r="CZ32581" s="35">
        <v>1.1630056799999999</v>
      </c>
    </row>
    <row r="32582" spans="103:104" x14ac:dyDescent="0.3">
      <c r="CY32582" s="34" t="s">
        <v>33508</v>
      </c>
      <c r="CZ32582" s="35">
        <v>1.943042E-2</v>
      </c>
    </row>
    <row r="32583" spans="103:104" x14ac:dyDescent="0.3">
      <c r="CY32583" s="34" t="s">
        <v>33509</v>
      </c>
      <c r="CZ32583" s="35">
        <v>0.86465488000000013</v>
      </c>
    </row>
    <row r="32584" spans="103:104" x14ac:dyDescent="0.3">
      <c r="CY32584" s="34" t="s">
        <v>33510</v>
      </c>
      <c r="CZ32584" s="35">
        <v>0.86115319999999995</v>
      </c>
    </row>
    <row r="32585" spans="103:104" x14ac:dyDescent="0.3">
      <c r="CY32585" s="34" t="s">
        <v>33511</v>
      </c>
      <c r="CZ32585" s="35">
        <v>0.52138859999999998</v>
      </c>
    </row>
    <row r="32586" spans="103:104" x14ac:dyDescent="0.3">
      <c r="CY32586" s="34" t="s">
        <v>33512</v>
      </c>
      <c r="CZ32586" s="35">
        <v>0.53539532000000001</v>
      </c>
    </row>
    <row r="32587" spans="103:104" x14ac:dyDescent="0.3">
      <c r="CY32587" s="34" t="s">
        <v>33513</v>
      </c>
      <c r="CZ32587" s="35">
        <v>5.4611103999999994E-2</v>
      </c>
    </row>
    <row r="32588" spans="103:104" x14ac:dyDescent="0.3">
      <c r="CY32588" s="34" t="s">
        <v>33514</v>
      </c>
      <c r="CZ32588" s="35">
        <v>1.0974001052631579</v>
      </c>
    </row>
    <row r="32589" spans="103:104" x14ac:dyDescent="0.3">
      <c r="CY32589" s="34" t="s">
        <v>33515</v>
      </c>
      <c r="CZ32589" s="35">
        <v>0.16039944</v>
      </c>
    </row>
    <row r="32590" spans="103:104" x14ac:dyDescent="0.3">
      <c r="CY32590" s="34" t="s">
        <v>33516</v>
      </c>
      <c r="CZ32590" s="35">
        <v>1.0959895789473684</v>
      </c>
    </row>
    <row r="32591" spans="103:104" x14ac:dyDescent="0.3">
      <c r="CY32591" s="34" t="s">
        <v>33517</v>
      </c>
      <c r="CZ32591" s="35">
        <v>0.14257079069767442</v>
      </c>
    </row>
    <row r="32592" spans="103:104" x14ac:dyDescent="0.3">
      <c r="CY32592" s="34" t="s">
        <v>33518</v>
      </c>
      <c r="CZ32592" s="35">
        <v>6.1095180000000006E-2</v>
      </c>
    </row>
    <row r="32593" spans="103:104" x14ac:dyDescent="0.3">
      <c r="CY32593" s="34" t="s">
        <v>33519</v>
      </c>
      <c r="CZ32593" s="35">
        <v>6.9953111999999998E-2</v>
      </c>
    </row>
    <row r="32594" spans="103:104" x14ac:dyDescent="0.3">
      <c r="CY32594" s="34" t="s">
        <v>33520</v>
      </c>
      <c r="CZ32594" s="35">
        <v>4.9421841600000009E-2</v>
      </c>
    </row>
    <row r="32595" spans="103:104" x14ac:dyDescent="0.3">
      <c r="CY32595" s="34" t="s">
        <v>33521</v>
      </c>
      <c r="CZ32595" s="35">
        <v>0.14237080000000002</v>
      </c>
    </row>
    <row r="32596" spans="103:104" x14ac:dyDescent="0.3">
      <c r="CY32596" s="34" t="s">
        <v>33522</v>
      </c>
      <c r="CZ32596" s="35">
        <v>6.9345440000000008E-3</v>
      </c>
    </row>
    <row r="32597" spans="103:104" x14ac:dyDescent="0.3">
      <c r="CY32597" s="34" t="s">
        <v>33523</v>
      </c>
      <c r="CZ32597" s="35">
        <v>4.1312177999999998E-3</v>
      </c>
    </row>
    <row r="32598" spans="103:104" x14ac:dyDescent="0.3">
      <c r="CY32598" s="34" t="s">
        <v>33524</v>
      </c>
      <c r="CZ32598" s="35">
        <v>4.0464058000000006E-3</v>
      </c>
    </row>
    <row r="32599" spans="103:104" x14ac:dyDescent="0.3">
      <c r="CY32599" s="34" t="s">
        <v>33525</v>
      </c>
      <c r="CZ32599" s="35">
        <v>0.13343254400000001</v>
      </c>
    </row>
    <row r="32600" spans="103:104" x14ac:dyDescent="0.3">
      <c r="CY32600" s="34" t="s">
        <v>33526</v>
      </c>
      <c r="CZ32600" s="35">
        <v>6.5153439999999993E-2</v>
      </c>
    </row>
    <row r="32601" spans="103:104" x14ac:dyDescent="0.3">
      <c r="CY32601" s="34" t="s">
        <v>33527</v>
      </c>
      <c r="CZ32601" s="35">
        <v>0.10831987200000001</v>
      </c>
    </row>
    <row r="32602" spans="103:104" x14ac:dyDescent="0.3">
      <c r="CY32602" s="34" t="s">
        <v>33528</v>
      </c>
      <c r="CZ32602" s="35">
        <v>0.14600501000000002</v>
      </c>
    </row>
    <row r="32603" spans="103:104" x14ac:dyDescent="0.3">
      <c r="CY32603" s="34" t="s">
        <v>33529</v>
      </c>
      <c r="CZ32603" s="35">
        <v>7.4536919999999993E-2</v>
      </c>
    </row>
    <row r="32604" spans="103:104" x14ac:dyDescent="0.3">
      <c r="CY32604" s="34" t="s">
        <v>33530</v>
      </c>
      <c r="CZ32604" s="35">
        <v>0.12452430799999999</v>
      </c>
    </row>
    <row r="32605" spans="103:104" x14ac:dyDescent="0.3">
      <c r="CY32605" s="34" t="s">
        <v>33531</v>
      </c>
      <c r="CZ32605" s="35">
        <v>2.2866168000000003E-2</v>
      </c>
    </row>
    <row r="32606" spans="103:104" x14ac:dyDescent="0.3">
      <c r="CY32606" s="34" t="s">
        <v>33532</v>
      </c>
      <c r="CZ32606" s="35">
        <v>1.9052757199999999E-2</v>
      </c>
    </row>
    <row r="32607" spans="103:104" x14ac:dyDescent="0.3">
      <c r="CY32607" s="34" t="s">
        <v>33533</v>
      </c>
      <c r="CZ32607" s="35">
        <v>0.14464307142857144</v>
      </c>
    </row>
    <row r="32608" spans="103:104" x14ac:dyDescent="0.3">
      <c r="CY32608" s="34" t="s">
        <v>33534</v>
      </c>
      <c r="CZ32608" s="35">
        <v>0.14464307142857144</v>
      </c>
    </row>
    <row r="32609" spans="103:104" x14ac:dyDescent="0.3">
      <c r="CY32609" s="34" t="s">
        <v>33535</v>
      </c>
      <c r="CZ32609" s="35">
        <v>0.17906475149999998</v>
      </c>
    </row>
    <row r="32610" spans="103:104" x14ac:dyDescent="0.3">
      <c r="CY32610" s="34" t="s">
        <v>33536</v>
      </c>
      <c r="CZ32610" s="35">
        <v>0.17429003571428575</v>
      </c>
    </row>
    <row r="32611" spans="103:104" x14ac:dyDescent="0.3">
      <c r="CY32611" s="34" t="s">
        <v>33537</v>
      </c>
      <c r="CZ32611" s="35">
        <v>1.46985E-3</v>
      </c>
    </row>
    <row r="32612" spans="103:104" x14ac:dyDescent="0.3">
      <c r="CY32612" s="34" t="s">
        <v>33538</v>
      </c>
      <c r="CZ32612" s="35">
        <v>1.46985E-3</v>
      </c>
    </row>
    <row r="32613" spans="103:104" x14ac:dyDescent="0.3">
      <c r="CY32613" s="34" t="s">
        <v>33539</v>
      </c>
      <c r="CZ32613" s="35">
        <v>1.2020728888888889E-2</v>
      </c>
    </row>
    <row r="32614" spans="103:104" x14ac:dyDescent="0.3">
      <c r="CY32614" s="34" t="s">
        <v>33540</v>
      </c>
      <c r="CZ32614" s="35">
        <v>1.1269433333333337E-2</v>
      </c>
    </row>
    <row r="32615" spans="103:104" x14ac:dyDescent="0.3">
      <c r="CY32615" s="34" t="s">
        <v>33541</v>
      </c>
      <c r="CZ32615" s="35">
        <v>3.0518835555555556E-3</v>
      </c>
    </row>
    <row r="32616" spans="103:104" x14ac:dyDescent="0.3">
      <c r="CY32616" s="34" t="s">
        <v>33542</v>
      </c>
      <c r="CZ32616" s="35">
        <v>2.6451679999999998E-3</v>
      </c>
    </row>
    <row r="32617" spans="103:104" x14ac:dyDescent="0.3">
      <c r="CY32617" s="34" t="s">
        <v>33543</v>
      </c>
      <c r="CZ32617" s="35">
        <v>1.5467389249999998E-2</v>
      </c>
    </row>
    <row r="32618" spans="103:104" x14ac:dyDescent="0.3">
      <c r="CY32618" s="34" t="s">
        <v>33544</v>
      </c>
      <c r="CZ32618" s="35">
        <v>6.6205280000000005E-2</v>
      </c>
    </row>
    <row r="32619" spans="103:104" x14ac:dyDescent="0.3">
      <c r="CY32619" s="34" t="s">
        <v>33545</v>
      </c>
      <c r="CZ32619" s="35">
        <v>0.20454793473684213</v>
      </c>
    </row>
    <row r="32620" spans="103:104" x14ac:dyDescent="0.3">
      <c r="CY32620" s="34" t="s">
        <v>33546</v>
      </c>
      <c r="CZ32620" s="35">
        <v>0.27992910526315795</v>
      </c>
    </row>
    <row r="32621" spans="103:104" x14ac:dyDescent="0.3">
      <c r="CY32621" s="34" t="s">
        <v>33547</v>
      </c>
      <c r="CZ32621" s="35">
        <v>1.0070411999999999E-2</v>
      </c>
    </row>
    <row r="32622" spans="103:104" x14ac:dyDescent="0.3">
      <c r="CY32622" s="34" t="s">
        <v>33548</v>
      </c>
      <c r="CZ32622" s="35">
        <v>2.1500410000000001E-2</v>
      </c>
    </row>
    <row r="32623" spans="103:104" x14ac:dyDescent="0.3">
      <c r="CY32623" s="34" t="s">
        <v>33549</v>
      </c>
      <c r="CZ32623" s="35">
        <v>1.2558658695652175E-3</v>
      </c>
    </row>
    <row r="32624" spans="103:104" x14ac:dyDescent="0.3">
      <c r="CY32624" s="34" t="s">
        <v>33550</v>
      </c>
      <c r="CZ32624" s="35">
        <v>1.226989057608696E-3</v>
      </c>
    </row>
    <row r="32625" spans="103:104" x14ac:dyDescent="0.3">
      <c r="CY32625" s="34" t="s">
        <v>33551</v>
      </c>
      <c r="CZ32625" s="35">
        <v>1.2335832608695654E-3</v>
      </c>
    </row>
    <row r="32626" spans="103:104" x14ac:dyDescent="0.3">
      <c r="CY32626" s="34" t="s">
        <v>33552</v>
      </c>
      <c r="CZ32626" s="35">
        <v>3.6726652499999998E-2</v>
      </c>
    </row>
    <row r="32627" spans="103:104" x14ac:dyDescent="0.3">
      <c r="CY32627" s="34" t="s">
        <v>33553</v>
      </c>
      <c r="CZ32627" s="35">
        <v>0.87925900000000012</v>
      </c>
    </row>
    <row r="32628" spans="103:104" x14ac:dyDescent="0.3">
      <c r="CY32628" s="34" t="s">
        <v>33554</v>
      </c>
      <c r="CZ32628" s="35">
        <v>1.0123149999999999</v>
      </c>
    </row>
    <row r="32629" spans="103:104" x14ac:dyDescent="0.3">
      <c r="CY32629" s="34" t="s">
        <v>33555</v>
      </c>
      <c r="CZ32629" s="35">
        <v>1.3497529777999999</v>
      </c>
    </row>
    <row r="32630" spans="103:104" x14ac:dyDescent="0.3">
      <c r="CY32630" s="34" t="s">
        <v>33556</v>
      </c>
      <c r="CZ32630" s="35">
        <v>1.2105828E-3</v>
      </c>
    </row>
    <row r="32631" spans="103:104" x14ac:dyDescent="0.3">
      <c r="CY32631" s="34" t="s">
        <v>33557</v>
      </c>
      <c r="CZ32631" s="35">
        <v>6.7001219999999993E-3</v>
      </c>
    </row>
    <row r="32632" spans="103:104" x14ac:dyDescent="0.3">
      <c r="CY32632" s="34" t="s">
        <v>33558</v>
      </c>
      <c r="CZ32632" s="35">
        <v>8.3079999999999992E-4</v>
      </c>
    </row>
    <row r="32633" spans="103:104" x14ac:dyDescent="0.3">
      <c r="CY32633" s="34" t="s">
        <v>33559</v>
      </c>
      <c r="CZ32633" s="35">
        <v>1.8934675789473686E-2</v>
      </c>
    </row>
    <row r="32634" spans="103:104" x14ac:dyDescent="0.3">
      <c r="CY32634" s="34" t="s">
        <v>33560</v>
      </c>
      <c r="CZ32634" s="35">
        <v>1.9885289263157899E-2</v>
      </c>
    </row>
    <row r="32635" spans="103:104" x14ac:dyDescent="0.3">
      <c r="CY32635" s="34" t="s">
        <v>33561</v>
      </c>
      <c r="CZ32635" s="35">
        <v>6.6360705263157896E-3</v>
      </c>
    </row>
    <row r="32636" spans="103:104" x14ac:dyDescent="0.3">
      <c r="CY32636" s="34" t="s">
        <v>33562</v>
      </c>
      <c r="CZ32636" s="35">
        <v>7.1526019999999997E-4</v>
      </c>
    </row>
    <row r="32637" spans="103:104" x14ac:dyDescent="0.3">
      <c r="CY32637" s="34" t="s">
        <v>33563</v>
      </c>
      <c r="CZ32637" s="35">
        <v>8.6734878000000008E-3</v>
      </c>
    </row>
    <row r="32638" spans="103:104" x14ac:dyDescent="0.3">
      <c r="CY32638" s="34" t="s">
        <v>33564</v>
      </c>
      <c r="CZ32638" s="35">
        <v>0.19645465000000004</v>
      </c>
    </row>
    <row r="32639" spans="103:104" x14ac:dyDescent="0.3">
      <c r="CY32639" s="34" t="s">
        <v>33565</v>
      </c>
      <c r="CZ32639" s="35">
        <v>2.3884009600000002E-3</v>
      </c>
    </row>
    <row r="32640" spans="103:104" x14ac:dyDescent="0.3">
      <c r="CY32640" s="34" t="s">
        <v>33566</v>
      </c>
      <c r="CZ32640" s="35">
        <v>4.0509883076923076E-3</v>
      </c>
    </row>
    <row r="32641" spans="103:104" x14ac:dyDescent="0.3">
      <c r="CY32641" s="34" t="s">
        <v>33567</v>
      </c>
      <c r="CZ32641" s="35">
        <v>5.4305408000000005E-3</v>
      </c>
    </row>
    <row r="32642" spans="103:104" x14ac:dyDescent="0.3">
      <c r="CY32642" s="34" t="s">
        <v>33568</v>
      </c>
      <c r="CZ32642" s="35">
        <v>6.4576213333333325E-3</v>
      </c>
    </row>
    <row r="32643" spans="103:104" x14ac:dyDescent="0.3">
      <c r="CY32643" s="34" t="s">
        <v>33569</v>
      </c>
      <c r="CZ32643" s="35">
        <v>6.9359333333333332E-3</v>
      </c>
    </row>
    <row r="32644" spans="103:104" x14ac:dyDescent="0.3">
      <c r="CY32644" s="34" t="s">
        <v>33570</v>
      </c>
      <c r="CZ32644" s="35">
        <v>3.706245305199999E-2</v>
      </c>
    </row>
    <row r="32645" spans="103:104" x14ac:dyDescent="0.3">
      <c r="CY32645" s="34" t="s">
        <v>33571</v>
      </c>
      <c r="CZ32645" s="35">
        <v>3.7062453051999997E-2</v>
      </c>
    </row>
    <row r="32646" spans="103:104" x14ac:dyDescent="0.3">
      <c r="CY32646" s="34" t="s">
        <v>33572</v>
      </c>
      <c r="CZ32646" s="35">
        <v>2.7970846800000001E-2</v>
      </c>
    </row>
    <row r="32647" spans="103:104" x14ac:dyDescent="0.3">
      <c r="CY32647" s="34" t="s">
        <v>33573</v>
      </c>
      <c r="CZ32647" s="35">
        <v>9.2747300000000001E-3</v>
      </c>
    </row>
    <row r="32648" spans="103:104" x14ac:dyDescent="0.3">
      <c r="CY32648" s="34" t="s">
        <v>33574</v>
      </c>
      <c r="CZ32648" s="35">
        <v>8.2122340000000008E-4</v>
      </c>
    </row>
    <row r="32649" spans="103:104" x14ac:dyDescent="0.3">
      <c r="CY32649" s="34" t="s">
        <v>33575</v>
      </c>
      <c r="CZ32649" s="35">
        <v>3.7338076000000002E-3</v>
      </c>
    </row>
    <row r="32650" spans="103:104" x14ac:dyDescent="0.3">
      <c r="CY32650" s="34" t="s">
        <v>33576</v>
      </c>
      <c r="CZ32650" s="35">
        <v>7.3739652000000006E-3</v>
      </c>
    </row>
    <row r="32651" spans="103:104" x14ac:dyDescent="0.3">
      <c r="CY32651" s="34" t="s">
        <v>33577</v>
      </c>
      <c r="CZ32651" s="35">
        <v>2.7033162000000003E-2</v>
      </c>
    </row>
    <row r="32652" spans="103:104" x14ac:dyDescent="0.3">
      <c r="CY32652" s="34" t="s">
        <v>33578</v>
      </c>
      <c r="CZ32652" s="35">
        <v>2.6349971999999999E-2</v>
      </c>
    </row>
    <row r="32653" spans="103:104" x14ac:dyDescent="0.3">
      <c r="CY32653" s="34" t="s">
        <v>33579</v>
      </c>
      <c r="CZ32653" s="35">
        <v>2.9251482000000002E-2</v>
      </c>
    </row>
    <row r="32654" spans="103:104" x14ac:dyDescent="0.3">
      <c r="CY32654" s="34" t="s">
        <v>33580</v>
      </c>
      <c r="CZ32654" s="35">
        <v>1.1641168000000002E-2</v>
      </c>
    </row>
    <row r="32655" spans="103:104" x14ac:dyDescent="0.3">
      <c r="CY32655" s="34" t="s">
        <v>33581</v>
      </c>
      <c r="CZ32655" s="35">
        <v>3.7230259605399796E-3</v>
      </c>
    </row>
    <row r="32656" spans="103:104" x14ac:dyDescent="0.3">
      <c r="CY32656" s="34" t="s">
        <v>33582</v>
      </c>
      <c r="CZ32656" s="35">
        <v>0.54772052999999998</v>
      </c>
    </row>
    <row r="32657" spans="103:104" x14ac:dyDescent="0.3">
      <c r="CY32657" s="34" t="s">
        <v>33583</v>
      </c>
      <c r="CZ32657" s="35">
        <v>2.4478967999999997E-2</v>
      </c>
    </row>
    <row r="32658" spans="103:104" x14ac:dyDescent="0.3">
      <c r="CY32658" s="34" t="s">
        <v>33584</v>
      </c>
      <c r="CZ32658" s="35">
        <v>3.4726243999999996E-2</v>
      </c>
    </row>
    <row r="32659" spans="103:104" x14ac:dyDescent="0.3">
      <c r="CY32659" s="34" t="s">
        <v>33585</v>
      </c>
      <c r="CZ32659" s="35">
        <v>7.6219559999999992E-3</v>
      </c>
    </row>
    <row r="32660" spans="103:104" x14ac:dyDescent="0.3">
      <c r="CY32660" s="34" t="s">
        <v>33586</v>
      </c>
      <c r="CZ32660" s="35">
        <v>0.23813359999999997</v>
      </c>
    </row>
    <row r="32661" spans="103:104" x14ac:dyDescent="0.3">
      <c r="CY32661" s="34" t="s">
        <v>33587</v>
      </c>
      <c r="CZ32661" s="35">
        <v>0.2638083</v>
      </c>
    </row>
    <row r="32662" spans="103:104" x14ac:dyDescent="0.3">
      <c r="CY32662" s="34" t="s">
        <v>33588</v>
      </c>
      <c r="CZ32662" s="35">
        <v>8.3437947999999998E-2</v>
      </c>
    </row>
    <row r="32663" spans="103:104" x14ac:dyDescent="0.3">
      <c r="CY32663" s="34" t="s">
        <v>33589</v>
      </c>
      <c r="CZ32663" s="35">
        <v>6.8436199999999999E-4</v>
      </c>
    </row>
    <row r="32664" spans="103:104" x14ac:dyDescent="0.3">
      <c r="CY32664" s="34" t="s">
        <v>33590</v>
      </c>
      <c r="CZ32664" s="35">
        <v>0.74559776</v>
      </c>
    </row>
    <row r="32665" spans="103:104" x14ac:dyDescent="0.3">
      <c r="CY32665" s="34" t="s">
        <v>33591</v>
      </c>
      <c r="CZ32665" s="35">
        <v>0.71408263999999999</v>
      </c>
    </row>
    <row r="32666" spans="103:104" x14ac:dyDescent="0.3">
      <c r="CY32666" s="34" t="s">
        <v>33592</v>
      </c>
      <c r="CZ32666" s="35">
        <v>0.71408263999999988</v>
      </c>
    </row>
    <row r="32667" spans="103:104" x14ac:dyDescent="0.3">
      <c r="CY32667" s="34" t="s">
        <v>33593</v>
      </c>
      <c r="CZ32667" s="35">
        <v>0.73159104000000008</v>
      </c>
    </row>
    <row r="32668" spans="103:104" x14ac:dyDescent="0.3">
      <c r="CY32668" s="34" t="s">
        <v>33594</v>
      </c>
      <c r="CZ32668" s="35">
        <v>3.4842464000000004E-2</v>
      </c>
    </row>
    <row r="32669" spans="103:104" x14ac:dyDescent="0.3">
      <c r="CY32669" s="34" t="s">
        <v>33595</v>
      </c>
      <c r="CZ32669" s="35">
        <v>1.7326666666666665E-5</v>
      </c>
    </row>
    <row r="32670" spans="103:104" x14ac:dyDescent="0.3">
      <c r="CY32670" s="34" t="s">
        <v>33596</v>
      </c>
      <c r="CZ32670" s="35">
        <v>2.8314880000000005E-4</v>
      </c>
    </row>
    <row r="32671" spans="103:104" x14ac:dyDescent="0.3">
      <c r="CY32671" s="34" t="s">
        <v>33597</v>
      </c>
      <c r="CZ32671" s="35">
        <v>3.5001323333333331E-3</v>
      </c>
    </row>
    <row r="32672" spans="103:104" x14ac:dyDescent="0.3">
      <c r="CY32672" s="34" t="s">
        <v>33598</v>
      </c>
      <c r="CZ32672" s="35">
        <v>1.4335280888888888E-3</v>
      </c>
    </row>
    <row r="32673" spans="103:104" x14ac:dyDescent="0.3">
      <c r="CY32673" s="34" t="s">
        <v>33599</v>
      </c>
      <c r="CZ32673" s="35">
        <v>4.0065311999999999E-3</v>
      </c>
    </row>
    <row r="32674" spans="103:104" x14ac:dyDescent="0.3">
      <c r="CY32674" s="34" t="s">
        <v>33600</v>
      </c>
      <c r="CZ32674" s="35">
        <v>8.0085428000000007E-3</v>
      </c>
    </row>
    <row r="32675" spans="103:104" x14ac:dyDescent="0.3">
      <c r="CY32675" s="34" t="s">
        <v>33601</v>
      </c>
      <c r="CZ32675" s="35">
        <v>0.10899890666666666</v>
      </c>
    </row>
    <row r="32676" spans="103:104" x14ac:dyDescent="0.3">
      <c r="CY32676" s="34" t="s">
        <v>33602</v>
      </c>
      <c r="CZ32676" s="35">
        <v>5.1888060000000009E-4</v>
      </c>
    </row>
    <row r="32677" spans="103:104" x14ac:dyDescent="0.3">
      <c r="CY32677" s="34" t="s">
        <v>33603</v>
      </c>
      <c r="CZ32677" s="35">
        <v>1.8531097826086956E-2</v>
      </c>
    </row>
    <row r="32678" spans="103:104" x14ac:dyDescent="0.3">
      <c r="CY32678" s="34" t="s">
        <v>33604</v>
      </c>
      <c r="CZ32678" s="35">
        <v>5.9727538947368418E-3</v>
      </c>
    </row>
    <row r="32679" spans="103:104" x14ac:dyDescent="0.3">
      <c r="CY32679" s="34" t="s">
        <v>33605</v>
      </c>
      <c r="CZ32679" s="35">
        <v>0.29521360000000002</v>
      </c>
    </row>
    <row r="32680" spans="103:104" x14ac:dyDescent="0.3">
      <c r="CY32680" s="34" t="s">
        <v>33606</v>
      </c>
      <c r="CZ32680" s="35">
        <v>9.7046622222222212E-2</v>
      </c>
    </row>
    <row r="32681" spans="103:104" x14ac:dyDescent="0.3">
      <c r="CY32681" s="34" t="s">
        <v>33607</v>
      </c>
      <c r="CZ32681" s="35">
        <v>2.4090302352941177E-2</v>
      </c>
    </row>
    <row r="32682" spans="103:104" x14ac:dyDescent="0.3">
      <c r="CY32682" s="34" t="s">
        <v>33608</v>
      </c>
      <c r="CZ32682" s="35">
        <v>5.9789091999999995E-2</v>
      </c>
    </row>
    <row r="32683" spans="103:104" x14ac:dyDescent="0.3">
      <c r="CY32683" s="34" t="s">
        <v>33609</v>
      </c>
      <c r="CZ32683" s="35">
        <v>5.9789091999999995E-2</v>
      </c>
    </row>
    <row r="32684" spans="103:104" x14ac:dyDescent="0.3">
      <c r="CY32684" s="34" t="s">
        <v>33610</v>
      </c>
      <c r="CZ32684" s="35">
        <v>5.9789092000000002E-2</v>
      </c>
    </row>
    <row r="32685" spans="103:104" x14ac:dyDescent="0.3">
      <c r="CY32685" s="34" t="s">
        <v>33611</v>
      </c>
      <c r="CZ32685" s="35">
        <v>9.7695619999999981E-4</v>
      </c>
    </row>
    <row r="32686" spans="103:104" x14ac:dyDescent="0.3">
      <c r="CY32686" s="34" t="s">
        <v>33612</v>
      </c>
      <c r="CZ32686" s="35">
        <v>1.50812788E-2</v>
      </c>
    </row>
    <row r="32687" spans="103:104" x14ac:dyDescent="0.3">
      <c r="CY32687" s="34" t="s">
        <v>33613</v>
      </c>
      <c r="CZ32687" s="35">
        <v>1.67888E-2</v>
      </c>
    </row>
    <row r="32688" spans="103:104" x14ac:dyDescent="0.3">
      <c r="CY32688" s="34" t="s">
        <v>33614</v>
      </c>
      <c r="CZ32688" s="35">
        <v>1.67888E-2</v>
      </c>
    </row>
    <row r="32689" spans="103:104" x14ac:dyDescent="0.3">
      <c r="CY32689" s="34" t="s">
        <v>33615</v>
      </c>
      <c r="CZ32689" s="35">
        <v>1.1725695600000001</v>
      </c>
    </row>
    <row r="32690" spans="103:104" x14ac:dyDescent="0.3">
      <c r="CY32690" s="34" t="s">
        <v>33616</v>
      </c>
      <c r="CZ32690" s="35">
        <v>0.15532994398467434</v>
      </c>
    </row>
    <row r="32691" spans="103:104" x14ac:dyDescent="0.3">
      <c r="CY32691" s="34" t="s">
        <v>33617</v>
      </c>
      <c r="CZ32691" s="35">
        <v>2.1941281000000005E-3</v>
      </c>
    </row>
    <row r="32692" spans="103:104" x14ac:dyDescent="0.3">
      <c r="CY32692" s="34" t="s">
        <v>33618</v>
      </c>
      <c r="CZ32692" s="35">
        <v>1.8471849999999998E-2</v>
      </c>
    </row>
    <row r="32693" spans="103:104" x14ac:dyDescent="0.3">
      <c r="CY32693" s="34" t="s">
        <v>33619</v>
      </c>
      <c r="CZ32693" s="35">
        <v>2.2160356999999997E-3</v>
      </c>
    </row>
    <row r="32694" spans="103:104" x14ac:dyDescent="0.3">
      <c r="CY32694" s="34" t="s">
        <v>33620</v>
      </c>
      <c r="CZ32694" s="35">
        <v>2.3670010000000002E-2</v>
      </c>
    </row>
    <row r="32695" spans="103:104" x14ac:dyDescent="0.3">
      <c r="CY32695" s="34" t="s">
        <v>33621</v>
      </c>
      <c r="CZ32695" s="35">
        <v>2.631734094117647E-3</v>
      </c>
    </row>
    <row r="32696" spans="103:104" x14ac:dyDescent="0.3">
      <c r="CY32696" s="34" t="s">
        <v>33622</v>
      </c>
      <c r="CZ32696" s="35">
        <v>5.9502299176470586E-3</v>
      </c>
    </row>
    <row r="32697" spans="103:104" x14ac:dyDescent="0.3">
      <c r="CY32697" s="34" t="s">
        <v>33623</v>
      </c>
      <c r="CZ32697" s="35">
        <v>0.12822303226000001</v>
      </c>
    </row>
    <row r="32698" spans="103:104" x14ac:dyDescent="0.3">
      <c r="CY32698" s="34" t="s">
        <v>33624</v>
      </c>
      <c r="CZ32698" s="35">
        <v>0.13619041375454544</v>
      </c>
    </row>
    <row r="32699" spans="103:104" x14ac:dyDescent="0.3">
      <c r="CY32699" s="34" t="s">
        <v>33625</v>
      </c>
      <c r="CZ32699" s="35">
        <v>3.2422107999999998E-2</v>
      </c>
    </row>
    <row r="32700" spans="103:104" x14ac:dyDescent="0.3">
      <c r="CY32700" s="34" t="s">
        <v>33626</v>
      </c>
      <c r="CZ32700" s="35">
        <v>0.13329864225714286</v>
      </c>
    </row>
    <row r="32701" spans="103:104" x14ac:dyDescent="0.3">
      <c r="CY32701" s="34" t="s">
        <v>33627</v>
      </c>
      <c r="CZ32701" s="35">
        <v>2.5892253E-2</v>
      </c>
    </row>
    <row r="32702" spans="103:104" x14ac:dyDescent="0.3">
      <c r="CY32702" s="34" t="s">
        <v>33628</v>
      </c>
      <c r="CZ32702" s="35">
        <v>4.6676166665217393E-2</v>
      </c>
    </row>
    <row r="32703" spans="103:104" x14ac:dyDescent="0.3">
      <c r="CY32703" s="34" t="s">
        <v>33629</v>
      </c>
      <c r="CZ32703" s="35">
        <v>2.8595524999999997E-2</v>
      </c>
    </row>
    <row r="32704" spans="103:104" x14ac:dyDescent="0.3">
      <c r="CY32704" s="34" t="s">
        <v>33630</v>
      </c>
      <c r="CZ32704" s="35">
        <v>8.1408937000000001E-2</v>
      </c>
    </row>
    <row r="32705" spans="103:104" x14ac:dyDescent="0.3">
      <c r="CY32705" s="34" t="s">
        <v>33631</v>
      </c>
      <c r="CZ32705" s="35">
        <v>0.5324551500000001</v>
      </c>
    </row>
    <row r="32706" spans="103:104" x14ac:dyDescent="0.3">
      <c r="CY32706" s="34" t="s">
        <v>33632</v>
      </c>
      <c r="CZ32706" s="35">
        <v>0.68378944444444434</v>
      </c>
    </row>
    <row r="32707" spans="103:104" x14ac:dyDescent="0.3">
      <c r="CY32707" s="34" t="s">
        <v>33633</v>
      </c>
      <c r="CZ32707" s="35">
        <v>0.54914513939393939</v>
      </c>
    </row>
    <row r="32708" spans="103:104" x14ac:dyDescent="0.3">
      <c r="CY32708" s="34" t="s">
        <v>33634</v>
      </c>
      <c r="CZ32708" s="35">
        <v>0.54914513939393939</v>
      </c>
    </row>
    <row r="32709" spans="103:104" x14ac:dyDescent="0.3">
      <c r="CY32709" s="34" t="s">
        <v>33635</v>
      </c>
      <c r="CZ32709" s="35">
        <v>0.54914513939393939</v>
      </c>
    </row>
    <row r="32710" spans="103:104" x14ac:dyDescent="0.3">
      <c r="CY32710" s="34" t="s">
        <v>33636</v>
      </c>
      <c r="CZ32710" s="35">
        <v>0.54914513939393939</v>
      </c>
    </row>
    <row r="32711" spans="103:104" x14ac:dyDescent="0.3">
      <c r="CY32711" s="34" t="s">
        <v>33637</v>
      </c>
      <c r="CZ32711" s="35">
        <v>0.55064213939393936</v>
      </c>
    </row>
    <row r="32712" spans="103:104" x14ac:dyDescent="0.3">
      <c r="CY32712" s="34" t="s">
        <v>33638</v>
      </c>
      <c r="CZ32712" s="35">
        <v>0.55064213939393936</v>
      </c>
    </row>
    <row r="32713" spans="103:104" x14ac:dyDescent="0.3">
      <c r="CY32713" s="34" t="s">
        <v>33639</v>
      </c>
      <c r="CZ32713" s="35">
        <v>0.55064213939393936</v>
      </c>
    </row>
    <row r="32714" spans="103:104" x14ac:dyDescent="0.3">
      <c r="CY32714" s="34" t="s">
        <v>33640</v>
      </c>
      <c r="CZ32714" s="35">
        <v>0.45206562961111119</v>
      </c>
    </row>
    <row r="32715" spans="103:104" x14ac:dyDescent="0.3">
      <c r="CY32715" s="34" t="s">
        <v>33641</v>
      </c>
      <c r="CZ32715" s="35">
        <v>0.27983217777777775</v>
      </c>
    </row>
    <row r="32716" spans="103:104" x14ac:dyDescent="0.3">
      <c r="CY32716" s="34" t="s">
        <v>33642</v>
      </c>
      <c r="CZ32716" s="35">
        <v>0.28075317777777775</v>
      </c>
    </row>
    <row r="32717" spans="103:104" x14ac:dyDescent="0.3">
      <c r="CY32717" s="34" t="s">
        <v>33643</v>
      </c>
      <c r="CZ32717" s="35">
        <v>0.2807531777777777</v>
      </c>
    </row>
    <row r="32718" spans="103:104" x14ac:dyDescent="0.3">
      <c r="CY32718" s="34" t="s">
        <v>33644</v>
      </c>
      <c r="CZ32718" s="35">
        <v>0.28075317777777775</v>
      </c>
    </row>
    <row r="32719" spans="103:104" x14ac:dyDescent="0.3">
      <c r="CY32719" s="34" t="s">
        <v>33645</v>
      </c>
      <c r="CZ32719" s="35">
        <v>3.4028263157894742E-2</v>
      </c>
    </row>
    <row r="32720" spans="103:104" x14ac:dyDescent="0.3">
      <c r="CY32720" s="34" t="s">
        <v>33646</v>
      </c>
      <c r="CZ32720" s="35">
        <v>0.2142013253333333</v>
      </c>
    </row>
    <row r="32721" spans="103:104" x14ac:dyDescent="0.3">
      <c r="CY32721" s="34" t="s">
        <v>33647</v>
      </c>
      <c r="CZ32721" s="35">
        <v>3.1867349999999996E-2</v>
      </c>
    </row>
    <row r="32722" spans="103:104" x14ac:dyDescent="0.3">
      <c r="CY32722" s="34" t="s">
        <v>33648</v>
      </c>
      <c r="CZ32722" s="35">
        <v>3.2484586000000003E-3</v>
      </c>
    </row>
    <row r="32723" spans="103:104" x14ac:dyDescent="0.3">
      <c r="CY32723" s="34" t="s">
        <v>33649</v>
      </c>
      <c r="CZ32723" s="35">
        <v>9.749481699999998E-3</v>
      </c>
    </row>
    <row r="32724" spans="103:104" x14ac:dyDescent="0.3">
      <c r="CY32724" s="34" t="s">
        <v>33650</v>
      </c>
      <c r="CZ32724" s="35">
        <v>2.93699745E-2</v>
      </c>
    </row>
    <row r="32725" spans="103:104" x14ac:dyDescent="0.3">
      <c r="CY32725" s="34" t="s">
        <v>33651</v>
      </c>
      <c r="CZ32725" s="35">
        <v>2.93699745E-2</v>
      </c>
    </row>
    <row r="32726" spans="103:104" x14ac:dyDescent="0.3">
      <c r="CY32726" s="34" t="s">
        <v>33652</v>
      </c>
      <c r="CZ32726" s="35">
        <v>2.93699745E-2</v>
      </c>
    </row>
    <row r="32727" spans="103:104" x14ac:dyDescent="0.3">
      <c r="CY32727" s="34" t="s">
        <v>33653</v>
      </c>
      <c r="CZ32727" s="35">
        <v>2.93699745E-2</v>
      </c>
    </row>
    <row r="32728" spans="103:104" x14ac:dyDescent="0.3">
      <c r="CY32728" s="34" t="s">
        <v>33654</v>
      </c>
      <c r="CZ32728" s="35">
        <v>2.93699745E-2</v>
      </c>
    </row>
    <row r="32729" spans="103:104" x14ac:dyDescent="0.3">
      <c r="CY32729" s="34" t="s">
        <v>33655</v>
      </c>
      <c r="CZ32729" s="35">
        <v>2.5935428E-2</v>
      </c>
    </row>
    <row r="32730" spans="103:104" x14ac:dyDescent="0.3">
      <c r="CY32730" s="34" t="s">
        <v>33656</v>
      </c>
      <c r="CZ32730" s="35">
        <v>1.1972548571428571E-2</v>
      </c>
    </row>
    <row r="32731" spans="103:104" x14ac:dyDescent="0.3">
      <c r="CY32731" s="34" t="s">
        <v>33657</v>
      </c>
      <c r="CZ32731" s="35">
        <v>4.4594249714285723E-2</v>
      </c>
    </row>
    <row r="32732" spans="103:104" x14ac:dyDescent="0.3">
      <c r="CY32732" s="34" t="s">
        <v>33658</v>
      </c>
      <c r="CZ32732" s="35">
        <v>1.2732460999999999E-2</v>
      </c>
    </row>
    <row r="32733" spans="103:104" x14ac:dyDescent="0.3">
      <c r="CY32733" s="34" t="s">
        <v>33659</v>
      </c>
      <c r="CZ32733" s="35">
        <v>4.9411430000000006E-2</v>
      </c>
    </row>
    <row r="32734" spans="103:104" x14ac:dyDescent="0.3">
      <c r="CY32734" s="34" t="s">
        <v>33660</v>
      </c>
      <c r="CZ32734" s="35">
        <v>6.3431868000000002E-2</v>
      </c>
    </row>
    <row r="32735" spans="103:104" x14ac:dyDescent="0.3">
      <c r="CY32735" s="34" t="s">
        <v>33661</v>
      </c>
      <c r="CZ32735" s="35">
        <v>6.8844381334782614E-2</v>
      </c>
    </row>
    <row r="32736" spans="103:104" x14ac:dyDescent="0.3">
      <c r="CY32736" s="34" t="s">
        <v>33662</v>
      </c>
      <c r="CZ32736" s="35">
        <v>8.9141916000000002E-2</v>
      </c>
    </row>
    <row r="32737" spans="103:104" x14ac:dyDescent="0.3">
      <c r="CY32737" s="34" t="s">
        <v>33663</v>
      </c>
      <c r="CZ32737" s="35">
        <v>4.0281260000000008E-3</v>
      </c>
    </row>
    <row r="32738" spans="103:104" x14ac:dyDescent="0.3">
      <c r="CY32738" s="34" t="s">
        <v>33664</v>
      </c>
      <c r="CZ32738" s="35">
        <v>5.5583800000000003E-2</v>
      </c>
    </row>
    <row r="32739" spans="103:104" x14ac:dyDescent="0.3">
      <c r="CY32739" s="34" t="s">
        <v>33665</v>
      </c>
      <c r="CZ32739" s="35">
        <v>1.9636232E-2</v>
      </c>
    </row>
    <row r="32740" spans="103:104" x14ac:dyDescent="0.3">
      <c r="CY32740" s="34" t="s">
        <v>33666</v>
      </c>
      <c r="CZ32740" s="35">
        <v>6.3793519999999992E-2</v>
      </c>
    </row>
    <row r="32741" spans="103:104" x14ac:dyDescent="0.3">
      <c r="CY32741" s="34" t="s">
        <v>33667</v>
      </c>
      <c r="CZ32741" s="35">
        <v>8.2516570600000005E-2</v>
      </c>
    </row>
    <row r="32742" spans="103:104" x14ac:dyDescent="0.3">
      <c r="CY32742" s="34" t="s">
        <v>33668</v>
      </c>
      <c r="CZ32742" s="35">
        <v>4.7883251999999996E-3</v>
      </c>
    </row>
    <row r="32743" spans="103:104" x14ac:dyDescent="0.3">
      <c r="CY32743" s="34" t="s">
        <v>33669</v>
      </c>
      <c r="CZ32743" s="35">
        <v>0.19985279800000003</v>
      </c>
    </row>
    <row r="32744" spans="103:104" x14ac:dyDescent="0.3">
      <c r="CY32744" s="34" t="s">
        <v>33670</v>
      </c>
      <c r="CZ32744" s="35">
        <v>5.7538791140000003E-2</v>
      </c>
    </row>
    <row r="32745" spans="103:104" x14ac:dyDescent="0.3">
      <c r="CY32745" s="34" t="s">
        <v>33671</v>
      </c>
      <c r="CZ32745" s="35">
        <v>3.4061065800000002E-3</v>
      </c>
    </row>
    <row r="32746" spans="103:104" x14ac:dyDescent="0.3">
      <c r="CY32746" s="34" t="s">
        <v>33672</v>
      </c>
      <c r="CZ32746" s="35">
        <v>0.83298030999999995</v>
      </c>
    </row>
    <row r="32747" spans="103:104" x14ac:dyDescent="0.3">
      <c r="CY32747" s="34" t="s">
        <v>33673</v>
      </c>
      <c r="CZ32747" s="35">
        <v>0.26509273</v>
      </c>
    </row>
    <row r="32748" spans="103:104" x14ac:dyDescent="0.3">
      <c r="CY32748" s="34" t="s">
        <v>33674</v>
      </c>
      <c r="CZ32748" s="35">
        <v>0.29084755000000001</v>
      </c>
    </row>
    <row r="32749" spans="103:104" x14ac:dyDescent="0.3">
      <c r="CY32749" s="34" t="s">
        <v>33675</v>
      </c>
      <c r="CZ32749" s="35">
        <v>0.29778764500000005</v>
      </c>
    </row>
    <row r="32750" spans="103:104" x14ac:dyDescent="0.3">
      <c r="CY32750" s="34" t="s">
        <v>33676</v>
      </c>
      <c r="CZ32750" s="35">
        <v>1.7054832000000002E-2</v>
      </c>
    </row>
    <row r="32751" spans="103:104" x14ac:dyDescent="0.3">
      <c r="CY32751" s="34" t="s">
        <v>33677</v>
      </c>
      <c r="CZ32751" s="35">
        <v>0.26801546999999998</v>
      </c>
    </row>
    <row r="32752" spans="103:104" x14ac:dyDescent="0.3">
      <c r="CY32752" s="34" t="s">
        <v>33678</v>
      </c>
      <c r="CZ32752" s="35">
        <v>1.8365524000000001E-2</v>
      </c>
    </row>
    <row r="32753" spans="103:104" x14ac:dyDescent="0.3">
      <c r="CY32753" s="34" t="s">
        <v>33679</v>
      </c>
      <c r="CZ32753" s="35">
        <v>1.8365523999999998E-2</v>
      </c>
    </row>
    <row r="32754" spans="103:104" x14ac:dyDescent="0.3">
      <c r="CY32754" s="34" t="s">
        <v>33680</v>
      </c>
      <c r="CZ32754" s="35">
        <v>3.5177627368421054E-3</v>
      </c>
    </row>
    <row r="32755" spans="103:104" x14ac:dyDescent="0.3">
      <c r="CY32755" s="34" t="s">
        <v>33681</v>
      </c>
      <c r="CZ32755" s="35">
        <v>3.3066399999999996E-2</v>
      </c>
    </row>
    <row r="32756" spans="103:104" x14ac:dyDescent="0.3">
      <c r="CY32756" s="34" t="s">
        <v>33682</v>
      </c>
      <c r="CZ32756" s="35">
        <v>4.7117192000000006E-3</v>
      </c>
    </row>
    <row r="32757" spans="103:104" x14ac:dyDescent="0.3">
      <c r="CY32757" s="34" t="s">
        <v>33683</v>
      </c>
      <c r="CZ32757" s="35">
        <v>5.0480360000000005E-3</v>
      </c>
    </row>
    <row r="32758" spans="103:104" x14ac:dyDescent="0.3">
      <c r="CY32758" s="34" t="s">
        <v>33684</v>
      </c>
      <c r="CZ32758" s="35">
        <v>6.4766192000000004E-3</v>
      </c>
    </row>
    <row r="32759" spans="103:104" x14ac:dyDescent="0.3">
      <c r="CY32759" s="34" t="s">
        <v>33685</v>
      </c>
      <c r="CZ32759" s="35">
        <v>4.5527635999999998E-3</v>
      </c>
    </row>
    <row r="32760" spans="103:104" x14ac:dyDescent="0.3">
      <c r="CY32760" s="34" t="s">
        <v>33686</v>
      </c>
      <c r="CZ32760" s="35">
        <v>5.2881862000000003E-3</v>
      </c>
    </row>
    <row r="32761" spans="103:104" x14ac:dyDescent="0.3">
      <c r="CY32761" s="34" t="s">
        <v>33687</v>
      </c>
      <c r="CZ32761" s="35">
        <v>5.5964214E-3</v>
      </c>
    </row>
    <row r="32762" spans="103:104" x14ac:dyDescent="0.3">
      <c r="CY32762" s="34" t="s">
        <v>33688</v>
      </c>
      <c r="CZ32762" s="35">
        <v>1.08562604E-2</v>
      </c>
    </row>
    <row r="32763" spans="103:104" x14ac:dyDescent="0.3">
      <c r="CY32763" s="34" t="s">
        <v>33689</v>
      </c>
      <c r="CZ32763" s="35">
        <v>8.8637810000000011E-3</v>
      </c>
    </row>
    <row r="32764" spans="103:104" x14ac:dyDescent="0.3">
      <c r="CY32764" s="34" t="s">
        <v>33690</v>
      </c>
      <c r="CZ32764" s="35">
        <v>4.7631710000000001E-3</v>
      </c>
    </row>
    <row r="32765" spans="103:104" x14ac:dyDescent="0.3">
      <c r="CY32765" s="34" t="s">
        <v>33691</v>
      </c>
      <c r="CZ32765" s="35">
        <v>4.2000884000000004E-3</v>
      </c>
    </row>
    <row r="32766" spans="103:104" x14ac:dyDescent="0.3">
      <c r="CY32766" s="34" t="s">
        <v>33692</v>
      </c>
      <c r="CZ32766" s="35">
        <v>3.1619117999999995E-2</v>
      </c>
    </row>
    <row r="32767" spans="103:104" x14ac:dyDescent="0.3">
      <c r="CY32767" s="34" t="s">
        <v>33693</v>
      </c>
      <c r="CZ32767" s="35">
        <v>1.510996E-2</v>
      </c>
    </row>
    <row r="32768" spans="103:104" x14ac:dyDescent="0.3">
      <c r="CY32768" s="34" t="s">
        <v>33694</v>
      </c>
      <c r="CZ32768" s="35">
        <v>2.1405482E-2</v>
      </c>
    </row>
    <row r="32769" spans="103:104" x14ac:dyDescent="0.3">
      <c r="CY32769" s="34" t="s">
        <v>33695</v>
      </c>
      <c r="CZ32769" s="35">
        <v>6.7527666E-2</v>
      </c>
    </row>
    <row r="32770" spans="103:104" x14ac:dyDescent="0.3">
      <c r="CY32770" s="34" t="s">
        <v>33696</v>
      </c>
      <c r="CZ32770" s="35">
        <v>2.9433620000000001E-3</v>
      </c>
    </row>
    <row r="32771" spans="103:104" x14ac:dyDescent="0.3">
      <c r="CY32771" s="34" t="s">
        <v>33697</v>
      </c>
      <c r="CZ32771" s="35">
        <v>2.6944899999999997E-2</v>
      </c>
    </row>
    <row r="32772" spans="103:104" x14ac:dyDescent="0.3">
      <c r="CY32772" s="34" t="s">
        <v>33698</v>
      </c>
      <c r="CZ32772" s="35">
        <v>4.4059761339999996E-2</v>
      </c>
    </row>
    <row r="32773" spans="103:104" x14ac:dyDescent="0.3">
      <c r="CY32773" s="34" t="s">
        <v>33699</v>
      </c>
      <c r="CZ32773" s="35">
        <v>3.8778947368421053E-3</v>
      </c>
    </row>
    <row r="32774" spans="103:104" x14ac:dyDescent="0.3">
      <c r="CY32774" s="34" t="s">
        <v>33700</v>
      </c>
      <c r="CZ32774" s="35">
        <v>1.93179751</v>
      </c>
    </row>
    <row r="32775" spans="103:104" x14ac:dyDescent="0.3">
      <c r="CY32775" s="34" t="s">
        <v>33701</v>
      </c>
      <c r="CZ32775" s="35">
        <v>1.4602252499999999</v>
      </c>
    </row>
    <row r="32776" spans="103:104" x14ac:dyDescent="0.3">
      <c r="CY32776" s="34" t="s">
        <v>33702</v>
      </c>
      <c r="CZ32776" s="35">
        <v>0.42834726000000001</v>
      </c>
    </row>
    <row r="32777" spans="103:104" x14ac:dyDescent="0.3">
      <c r="CY32777" s="34" t="s">
        <v>33703</v>
      </c>
      <c r="CZ32777" s="35">
        <v>2.5649360000000003E-3</v>
      </c>
    </row>
    <row r="32778" spans="103:104" x14ac:dyDescent="0.3">
      <c r="CY32778" s="34" t="s">
        <v>33704</v>
      </c>
      <c r="CZ32778" s="35">
        <v>3.7471040000000002E-3</v>
      </c>
    </row>
    <row r="32779" spans="103:104" x14ac:dyDescent="0.3">
      <c r="CY32779" s="34" t="s">
        <v>33705</v>
      </c>
      <c r="CZ32779" s="35">
        <v>6.3085711111111114E-5</v>
      </c>
    </row>
    <row r="32780" spans="103:104" x14ac:dyDescent="0.3">
      <c r="CY32780" s="34" t="s">
        <v>33706</v>
      </c>
      <c r="CZ32780" s="35">
        <v>0.55089804499999995</v>
      </c>
    </row>
    <row r="32781" spans="103:104" x14ac:dyDescent="0.3">
      <c r="CY32781" s="34" t="s">
        <v>33707</v>
      </c>
      <c r="CZ32781" s="35">
        <v>4.6343191999999998E-2</v>
      </c>
    </row>
    <row r="32782" spans="103:104" x14ac:dyDescent="0.3">
      <c r="CY32782" s="34" t="s">
        <v>33708</v>
      </c>
      <c r="CZ32782" s="35">
        <v>1.0501880000000001E-3</v>
      </c>
    </row>
    <row r="32783" spans="103:104" x14ac:dyDescent="0.3">
      <c r="CY32783" s="34" t="s">
        <v>33709</v>
      </c>
      <c r="CZ32783" s="35">
        <v>5.3725000000000008E-4</v>
      </c>
    </row>
    <row r="32784" spans="103:104" x14ac:dyDescent="0.3">
      <c r="CY32784" s="34" t="s">
        <v>33710</v>
      </c>
      <c r="CZ32784" s="35">
        <v>3.2594420666666665E-2</v>
      </c>
    </row>
    <row r="32785" spans="103:104" x14ac:dyDescent="0.3">
      <c r="CY32785" s="34" t="s">
        <v>33711</v>
      </c>
      <c r="CZ32785" s="35">
        <v>1.1269091999999998E-2</v>
      </c>
    </row>
    <row r="32786" spans="103:104" x14ac:dyDescent="0.3">
      <c r="CY32786" s="34" t="s">
        <v>33712</v>
      </c>
      <c r="CZ32786" s="35">
        <v>4.4304999999999995E-3</v>
      </c>
    </row>
    <row r="32787" spans="103:104" x14ac:dyDescent="0.3">
      <c r="CY32787" s="34" t="s">
        <v>33713</v>
      </c>
      <c r="CZ32787" s="35">
        <v>0.17977873000000003</v>
      </c>
    </row>
    <row r="32788" spans="103:104" x14ac:dyDescent="0.3">
      <c r="CY32788" s="34" t="s">
        <v>33714</v>
      </c>
      <c r="CZ32788" s="35">
        <v>0.17696252200000001</v>
      </c>
    </row>
    <row r="32789" spans="103:104" x14ac:dyDescent="0.3">
      <c r="CY32789" s="34" t="s">
        <v>33715</v>
      </c>
      <c r="CZ32789" s="35">
        <v>1.080625E-2</v>
      </c>
    </row>
    <row r="32790" spans="103:104" x14ac:dyDescent="0.3">
      <c r="CY32790" s="34" t="s">
        <v>33716</v>
      </c>
      <c r="CZ32790" s="35">
        <v>1.3153262E-3</v>
      </c>
    </row>
    <row r="32791" spans="103:104" x14ac:dyDescent="0.3">
      <c r="CY32791" s="34" t="s">
        <v>33717</v>
      </c>
      <c r="CZ32791" s="35">
        <v>0.35059048660000003</v>
      </c>
    </row>
    <row r="32792" spans="103:104" x14ac:dyDescent="0.3">
      <c r="CY32792" s="34" t="s">
        <v>33718</v>
      </c>
      <c r="CZ32792" s="35">
        <v>0.2577236866</v>
      </c>
    </row>
    <row r="32793" spans="103:104" x14ac:dyDescent="0.3">
      <c r="CY32793" s="34" t="s">
        <v>33719</v>
      </c>
      <c r="CZ32793" s="35">
        <v>0.33912136659999992</v>
      </c>
    </row>
    <row r="32794" spans="103:104" x14ac:dyDescent="0.3">
      <c r="CY32794" s="34" t="s">
        <v>33720</v>
      </c>
      <c r="CZ32794" s="35">
        <v>0.28356976660000005</v>
      </c>
    </row>
    <row r="32795" spans="103:104" x14ac:dyDescent="0.3">
      <c r="CY32795" s="34" t="s">
        <v>33721</v>
      </c>
      <c r="CZ32795" s="35">
        <v>0.55656729000000005</v>
      </c>
    </row>
    <row r="32796" spans="103:104" x14ac:dyDescent="0.3">
      <c r="CY32796" s="34" t="s">
        <v>33722</v>
      </c>
      <c r="CZ32796" s="35">
        <v>0.25405385000000003</v>
      </c>
    </row>
    <row r="32797" spans="103:104" x14ac:dyDescent="0.3">
      <c r="CY32797" s="34" t="s">
        <v>33723</v>
      </c>
      <c r="CZ32797" s="35">
        <v>0.10610980603448274</v>
      </c>
    </row>
    <row r="32798" spans="103:104" x14ac:dyDescent="0.3">
      <c r="CY32798" s="34" t="s">
        <v>33724</v>
      </c>
      <c r="CZ32798" s="35">
        <v>0.22332342902298846</v>
      </c>
    </row>
    <row r="32799" spans="103:104" x14ac:dyDescent="0.3">
      <c r="CY32799" s="34" t="s">
        <v>33725</v>
      </c>
      <c r="CZ32799" s="35">
        <v>1.0171375999999999E-2</v>
      </c>
    </row>
    <row r="32800" spans="103:104" x14ac:dyDescent="0.3">
      <c r="CY32800" s="34" t="s">
        <v>33726</v>
      </c>
      <c r="CZ32800" s="35">
        <v>1.0171375999999999E-2</v>
      </c>
    </row>
    <row r="32801" spans="103:104" x14ac:dyDescent="0.3">
      <c r="CY32801" s="34" t="s">
        <v>33727</v>
      </c>
      <c r="CZ32801" s="35">
        <v>8.8098200000000012E-3</v>
      </c>
    </row>
    <row r="32802" spans="103:104" x14ac:dyDescent="0.3">
      <c r="CY32802" s="34" t="s">
        <v>33728</v>
      </c>
      <c r="CZ32802" s="35">
        <v>8.8098200000000012E-3</v>
      </c>
    </row>
    <row r="32803" spans="103:104" x14ac:dyDescent="0.3">
      <c r="CY32803" s="34" t="s">
        <v>33729</v>
      </c>
      <c r="CZ32803" s="35">
        <v>1.8654798000000004E-2</v>
      </c>
    </row>
    <row r="32804" spans="103:104" x14ac:dyDescent="0.3">
      <c r="CY32804" s="34" t="s">
        <v>33730</v>
      </c>
      <c r="CZ32804" s="35">
        <v>3.0679431368421054E-3</v>
      </c>
    </row>
    <row r="32805" spans="103:104" x14ac:dyDescent="0.3">
      <c r="CY32805" s="34" t="s">
        <v>33731</v>
      </c>
      <c r="CZ32805" s="35">
        <v>0.13281207</v>
      </c>
    </row>
    <row r="32806" spans="103:104" x14ac:dyDescent="0.3">
      <c r="CY32806" s="34" t="s">
        <v>33732</v>
      </c>
      <c r="CZ32806" s="35">
        <v>1.5704156000000001E-3</v>
      </c>
    </row>
    <row r="32807" spans="103:104" x14ac:dyDescent="0.3">
      <c r="CY32807" s="34" t="s">
        <v>33733</v>
      </c>
      <c r="CZ32807" s="35">
        <v>1.4165816999999999E-3</v>
      </c>
    </row>
    <row r="32808" spans="103:104" x14ac:dyDescent="0.3">
      <c r="CY32808" s="34" t="s">
        <v>33734</v>
      </c>
      <c r="CZ32808" s="35">
        <v>8.3298871578947383E-3</v>
      </c>
    </row>
    <row r="32809" spans="103:104" x14ac:dyDescent="0.3">
      <c r="CY32809" s="34" t="s">
        <v>33735</v>
      </c>
      <c r="CZ32809" s="35">
        <v>2.1868501999999998E-2</v>
      </c>
    </row>
    <row r="32810" spans="103:104" x14ac:dyDescent="0.3">
      <c r="CY32810" s="34" t="s">
        <v>33736</v>
      </c>
      <c r="CZ32810" s="35">
        <v>9.2585422600000005E-3</v>
      </c>
    </row>
    <row r="32811" spans="103:104" x14ac:dyDescent="0.3">
      <c r="CY32811" s="34" t="s">
        <v>33737</v>
      </c>
      <c r="CZ32811" s="35">
        <v>1.6362277777777774E-2</v>
      </c>
    </row>
    <row r="32812" spans="103:104" x14ac:dyDescent="0.3">
      <c r="CY32812" s="34" t="s">
        <v>33738</v>
      </c>
      <c r="CZ32812" s="35">
        <v>0.16684365599999998</v>
      </c>
    </row>
    <row r="32813" spans="103:104" x14ac:dyDescent="0.3">
      <c r="CY32813" s="34" t="s">
        <v>33739</v>
      </c>
      <c r="CZ32813" s="35">
        <v>0.551550808</v>
      </c>
    </row>
    <row r="32814" spans="103:104" x14ac:dyDescent="0.3">
      <c r="CY32814" s="34" t="s">
        <v>33740</v>
      </c>
      <c r="CZ32814" s="35">
        <v>0.93021304999999999</v>
      </c>
    </row>
    <row r="32815" spans="103:104" x14ac:dyDescent="0.3">
      <c r="CY32815" s="34" t="s">
        <v>33741</v>
      </c>
      <c r="CZ32815" s="35">
        <v>0.89919320999999997</v>
      </c>
    </row>
    <row r="32816" spans="103:104" x14ac:dyDescent="0.3">
      <c r="CY32816" s="34" t="s">
        <v>33742</v>
      </c>
      <c r="CZ32816" s="35">
        <v>4.1843931428571437E-4</v>
      </c>
    </row>
    <row r="32817" spans="103:104" x14ac:dyDescent="0.3">
      <c r="CY32817" s="34" t="s">
        <v>33743</v>
      </c>
      <c r="CZ32817" s="35">
        <v>0.34369384999999991</v>
      </c>
    </row>
    <row r="32818" spans="103:104" x14ac:dyDescent="0.3">
      <c r="CY32818" s="34" t="s">
        <v>33744</v>
      </c>
      <c r="CZ32818" s="35">
        <v>0.44729332499999996</v>
      </c>
    </row>
    <row r="32819" spans="103:104" x14ac:dyDescent="0.3">
      <c r="CY32819" s="34" t="s">
        <v>33745</v>
      </c>
      <c r="CZ32819" s="35">
        <v>1.7101095199999999E-2</v>
      </c>
    </row>
    <row r="32820" spans="103:104" x14ac:dyDescent="0.3">
      <c r="CY32820" s="34" t="s">
        <v>33746</v>
      </c>
      <c r="CZ32820" s="35">
        <v>1.3224204166599999E-2</v>
      </c>
    </row>
    <row r="32821" spans="103:104" x14ac:dyDescent="0.3">
      <c r="CY32821" s="34" t="s">
        <v>33747</v>
      </c>
      <c r="CZ32821" s="35">
        <v>2.1714E-3</v>
      </c>
    </row>
    <row r="32822" spans="103:104" x14ac:dyDescent="0.3">
      <c r="CY32822" s="34" t="s">
        <v>33748</v>
      </c>
      <c r="CZ32822" s="35">
        <v>1.269704E-3</v>
      </c>
    </row>
    <row r="32823" spans="103:104" x14ac:dyDescent="0.3">
      <c r="CY32823" s="34" t="s">
        <v>33749</v>
      </c>
      <c r="CZ32823" s="35">
        <v>1.8736560199999999</v>
      </c>
    </row>
    <row r="32824" spans="103:104" x14ac:dyDescent="0.3">
      <c r="CY32824" s="34" t="s">
        <v>33750</v>
      </c>
      <c r="CZ32824" s="35">
        <v>1.3229878199999998</v>
      </c>
    </row>
    <row r="32825" spans="103:104" x14ac:dyDescent="0.3">
      <c r="CY32825" s="34" t="s">
        <v>33751</v>
      </c>
      <c r="CZ32825" s="35">
        <v>0.50744319999999998</v>
      </c>
    </row>
    <row r="32826" spans="103:104" x14ac:dyDescent="0.3">
      <c r="CY32826" s="34" t="s">
        <v>33752</v>
      </c>
      <c r="CZ32826" s="35">
        <v>1.7762304500000001</v>
      </c>
    </row>
    <row r="32827" spans="103:104" x14ac:dyDescent="0.3">
      <c r="CY32827" s="34" t="s">
        <v>33753</v>
      </c>
      <c r="CZ32827" s="35">
        <v>1.0856428</v>
      </c>
    </row>
    <row r="32828" spans="103:104" x14ac:dyDescent="0.3">
      <c r="CY32828" s="34" t="s">
        <v>33754</v>
      </c>
      <c r="CZ32828" s="35">
        <v>0.64736265000000004</v>
      </c>
    </row>
    <row r="32829" spans="103:104" x14ac:dyDescent="0.3">
      <c r="CY32829" s="34" t="s">
        <v>33755</v>
      </c>
      <c r="CZ32829" s="35">
        <v>2.0961808500000001</v>
      </c>
    </row>
    <row r="32830" spans="103:104" x14ac:dyDescent="0.3">
      <c r="CY32830" s="34" t="s">
        <v>33756</v>
      </c>
      <c r="CZ32830" s="35">
        <v>1.4127382500000001</v>
      </c>
    </row>
    <row r="32831" spans="103:104" x14ac:dyDescent="0.3">
      <c r="CY32831" s="34" t="s">
        <v>33757</v>
      </c>
      <c r="CZ32831" s="35">
        <v>0.64021759999999994</v>
      </c>
    </row>
    <row r="32832" spans="103:104" x14ac:dyDescent="0.3">
      <c r="CY32832" s="34" t="s">
        <v>33758</v>
      </c>
      <c r="CZ32832" s="35">
        <v>0.33819156</v>
      </c>
    </row>
    <row r="32833" spans="103:104" x14ac:dyDescent="0.3">
      <c r="CY32833" s="34" t="s">
        <v>33759</v>
      </c>
      <c r="CZ32833" s="35">
        <v>0.83564099999999997</v>
      </c>
    </row>
    <row r="32834" spans="103:104" x14ac:dyDescent="0.3">
      <c r="CY32834" s="34" t="s">
        <v>33760</v>
      </c>
      <c r="CZ32834" s="35">
        <v>0.70412048000000005</v>
      </c>
    </row>
    <row r="32835" spans="103:104" x14ac:dyDescent="0.3">
      <c r="CY32835" s="34" t="s">
        <v>33761</v>
      </c>
      <c r="CZ32835" s="35">
        <v>0.98021032000000008</v>
      </c>
    </row>
    <row r="32836" spans="103:104" x14ac:dyDescent="0.3">
      <c r="CY32836" s="34" t="s">
        <v>33762</v>
      </c>
      <c r="CZ32836" s="35">
        <v>1.2039288800000001</v>
      </c>
    </row>
    <row r="32837" spans="103:104" x14ac:dyDescent="0.3">
      <c r="CY32837" s="34" t="s">
        <v>33763</v>
      </c>
      <c r="CZ32837" s="35">
        <v>0.41092415828571427</v>
      </c>
    </row>
    <row r="32838" spans="103:104" x14ac:dyDescent="0.3">
      <c r="CY32838" s="34" t="s">
        <v>33764</v>
      </c>
      <c r="CZ32838" s="35">
        <v>1.2647172499999999E-3</v>
      </c>
    </row>
    <row r="32839" spans="103:104" x14ac:dyDescent="0.3">
      <c r="CY32839" s="34" t="s">
        <v>33765</v>
      </c>
      <c r="CZ32839" s="35">
        <v>7.5119980000000006E-3</v>
      </c>
    </row>
    <row r="32840" spans="103:104" x14ac:dyDescent="0.3">
      <c r="CY32840" s="34" t="s">
        <v>33766</v>
      </c>
      <c r="CZ32840" s="35">
        <v>2.6145608E-3</v>
      </c>
    </row>
    <row r="32841" spans="103:104" x14ac:dyDescent="0.3">
      <c r="CY32841" s="34" t="s">
        <v>33767</v>
      </c>
      <c r="CZ32841" s="35">
        <v>2.5069074900000002E-2</v>
      </c>
    </row>
    <row r="32842" spans="103:104" x14ac:dyDescent="0.3">
      <c r="CY32842" s="34" t="s">
        <v>33768</v>
      </c>
      <c r="CZ32842" s="35">
        <v>5.0085765000000004E-3</v>
      </c>
    </row>
    <row r="32843" spans="103:104" x14ac:dyDescent="0.3">
      <c r="CY32843" s="34" t="s">
        <v>33769</v>
      </c>
      <c r="CZ32843" s="35">
        <v>0.14455040000000002</v>
      </c>
    </row>
    <row r="32844" spans="103:104" x14ac:dyDescent="0.3">
      <c r="CY32844" s="34" t="s">
        <v>33770</v>
      </c>
      <c r="CZ32844" s="35">
        <v>2.0904550000000002E-3</v>
      </c>
    </row>
    <row r="32845" spans="103:104" x14ac:dyDescent="0.3">
      <c r="CY32845" s="34" t="s">
        <v>33771</v>
      </c>
      <c r="CZ32845" s="35">
        <v>1.435359E-3</v>
      </c>
    </row>
    <row r="32846" spans="103:104" x14ac:dyDescent="0.3">
      <c r="CY32846" s="34" t="s">
        <v>33772</v>
      </c>
      <c r="CZ32846" s="35">
        <v>1.4353589999999998E-3</v>
      </c>
    </row>
    <row r="32847" spans="103:104" x14ac:dyDescent="0.3">
      <c r="CY32847" s="34" t="s">
        <v>33773</v>
      </c>
      <c r="CZ32847" s="35">
        <v>3.3533080000000002E-3</v>
      </c>
    </row>
    <row r="32848" spans="103:104" x14ac:dyDescent="0.3">
      <c r="CY32848" s="34" t="s">
        <v>33774</v>
      </c>
      <c r="CZ32848" s="35">
        <v>6.2243508235294122E-3</v>
      </c>
    </row>
    <row r="32849" spans="103:104" x14ac:dyDescent="0.3">
      <c r="CY32849" s="34" t="s">
        <v>33775</v>
      </c>
      <c r="CZ32849" s="35">
        <v>6.2243508235294122E-3</v>
      </c>
    </row>
    <row r="32850" spans="103:104" x14ac:dyDescent="0.3">
      <c r="CY32850" s="34" t="s">
        <v>33776</v>
      </c>
      <c r="CZ32850" s="35">
        <v>4.5130542857142863E-3</v>
      </c>
    </row>
    <row r="32851" spans="103:104" x14ac:dyDescent="0.3">
      <c r="CY32851" s="34" t="s">
        <v>33777</v>
      </c>
      <c r="CZ32851" s="35">
        <v>5.6513261224489788E-3</v>
      </c>
    </row>
    <row r="32852" spans="103:104" x14ac:dyDescent="0.3">
      <c r="CY32852" s="34" t="s">
        <v>33778</v>
      </c>
      <c r="CZ32852" s="35">
        <v>1.023435E-2</v>
      </c>
    </row>
    <row r="32853" spans="103:104" x14ac:dyDescent="0.3">
      <c r="CY32853" s="34" t="s">
        <v>33779</v>
      </c>
      <c r="CZ32853" s="35">
        <v>5.4512495999999994E-3</v>
      </c>
    </row>
    <row r="32854" spans="103:104" x14ac:dyDescent="0.3">
      <c r="CY32854" s="34" t="s">
        <v>33780</v>
      </c>
      <c r="CZ32854" s="35">
        <v>3.4398192999999994E-3</v>
      </c>
    </row>
    <row r="32855" spans="103:104" x14ac:dyDescent="0.3">
      <c r="CY32855" s="34" t="s">
        <v>33781</v>
      </c>
      <c r="CZ32855" s="35">
        <v>2.7961009000000005E-3</v>
      </c>
    </row>
    <row r="32856" spans="103:104" x14ac:dyDescent="0.3">
      <c r="CY32856" s="34" t="s">
        <v>33782</v>
      </c>
      <c r="CZ32856" s="35">
        <v>2.7961009E-3</v>
      </c>
    </row>
    <row r="32857" spans="103:104" x14ac:dyDescent="0.3">
      <c r="CY32857" s="34" t="s">
        <v>33783</v>
      </c>
      <c r="CZ32857" s="35">
        <v>4.7926824999999992E-3</v>
      </c>
    </row>
    <row r="32858" spans="103:104" x14ac:dyDescent="0.3">
      <c r="CY32858" s="34" t="s">
        <v>33784</v>
      </c>
      <c r="CZ32858" s="35">
        <v>4.7926825000000001E-3</v>
      </c>
    </row>
    <row r="32859" spans="103:104" x14ac:dyDescent="0.3">
      <c r="CY32859" s="34" t="s">
        <v>33785</v>
      </c>
      <c r="CZ32859" s="35">
        <v>3.1302217000000001E-3</v>
      </c>
    </row>
    <row r="32860" spans="103:104" x14ac:dyDescent="0.3">
      <c r="CY32860" s="34" t="s">
        <v>33786</v>
      </c>
      <c r="CZ32860" s="35">
        <v>3.1302216999999997E-3</v>
      </c>
    </row>
    <row r="32861" spans="103:104" x14ac:dyDescent="0.3">
      <c r="CY32861" s="34" t="s">
        <v>33787</v>
      </c>
      <c r="CZ32861" s="35">
        <v>8.524829266666667E-2</v>
      </c>
    </row>
    <row r="32862" spans="103:104" x14ac:dyDescent="0.3">
      <c r="CY32862" s="34" t="s">
        <v>33788</v>
      </c>
      <c r="CZ32862" s="35">
        <v>0.1277390625</v>
      </c>
    </row>
    <row r="32863" spans="103:104" x14ac:dyDescent="0.3">
      <c r="CY32863" s="34" t="s">
        <v>33789</v>
      </c>
      <c r="CZ32863" s="35">
        <v>4.3923900000000009E-2</v>
      </c>
    </row>
    <row r="32864" spans="103:104" x14ac:dyDescent="0.3">
      <c r="CY32864" s="34" t="s">
        <v>33790</v>
      </c>
      <c r="CZ32864" s="35">
        <v>4.8414420000000007E-2</v>
      </c>
    </row>
    <row r="32865" spans="103:104" x14ac:dyDescent="0.3">
      <c r="CY32865" s="34" t="s">
        <v>33791</v>
      </c>
      <c r="CZ32865" s="35">
        <v>6.5368834000000001E-2</v>
      </c>
    </row>
    <row r="32866" spans="103:104" x14ac:dyDescent="0.3">
      <c r="CY32866" s="34" t="s">
        <v>33792</v>
      </c>
      <c r="CZ32866" s="35">
        <v>3.9131465000000004E-2</v>
      </c>
    </row>
    <row r="32867" spans="103:104" x14ac:dyDescent="0.3">
      <c r="CY32867" s="34" t="s">
        <v>33793</v>
      </c>
      <c r="CZ32867" s="35">
        <v>0.90856640000000011</v>
      </c>
    </row>
    <row r="32868" spans="103:104" x14ac:dyDescent="0.3">
      <c r="CY32868" s="34" t="s">
        <v>33794</v>
      </c>
      <c r="CZ32868" s="35">
        <v>0.86955840000000006</v>
      </c>
    </row>
    <row r="32869" spans="103:104" x14ac:dyDescent="0.3">
      <c r="CY32869" s="34" t="s">
        <v>33795</v>
      </c>
      <c r="CZ32869" s="35">
        <v>0.94635540000000007</v>
      </c>
    </row>
    <row r="32870" spans="103:104" x14ac:dyDescent="0.3">
      <c r="CY32870" s="34" t="s">
        <v>33796</v>
      </c>
      <c r="CZ32870" s="35">
        <v>0.90729440000000006</v>
      </c>
    </row>
    <row r="32871" spans="103:104" x14ac:dyDescent="0.3">
      <c r="CY32871" s="34" t="s">
        <v>33797</v>
      </c>
      <c r="CZ32871" s="35">
        <v>3.3781115000000002</v>
      </c>
    </row>
    <row r="32872" spans="103:104" x14ac:dyDescent="0.3">
      <c r="CY32872" s="34" t="s">
        <v>33798</v>
      </c>
      <c r="CZ32872" s="35">
        <v>2.4466364999999999</v>
      </c>
    </row>
    <row r="32873" spans="103:104" x14ac:dyDescent="0.3">
      <c r="CY32873" s="34" t="s">
        <v>33799</v>
      </c>
      <c r="CZ32873" s="35">
        <v>0.88824999999999998</v>
      </c>
    </row>
    <row r="32874" spans="103:104" x14ac:dyDescent="0.3">
      <c r="CY32874" s="34" t="s">
        <v>33800</v>
      </c>
      <c r="CZ32874" s="35">
        <v>2.6189259999999995E-2</v>
      </c>
    </row>
    <row r="32875" spans="103:104" x14ac:dyDescent="0.3">
      <c r="CY32875" s="34" t="s">
        <v>33801</v>
      </c>
      <c r="CZ32875" s="35">
        <v>2.1455291555555556E-3</v>
      </c>
    </row>
    <row r="32876" spans="103:104" x14ac:dyDescent="0.3">
      <c r="CY32876" s="34" t="s">
        <v>33802</v>
      </c>
      <c r="CZ32876" s="35">
        <v>2.1455291555555556E-3</v>
      </c>
    </row>
    <row r="32877" spans="103:104" x14ac:dyDescent="0.3">
      <c r="CY32877" s="34" t="s">
        <v>33803</v>
      </c>
      <c r="CZ32877" s="35">
        <v>3.6298200000000003E-2</v>
      </c>
    </row>
    <row r="32878" spans="103:104" x14ac:dyDescent="0.3">
      <c r="CY32878" s="34" t="s">
        <v>33804</v>
      </c>
      <c r="CZ32878" s="35">
        <v>0.21258058666666668</v>
      </c>
    </row>
    <row r="32879" spans="103:104" x14ac:dyDescent="0.3">
      <c r="CY32879" s="34" t="s">
        <v>33805</v>
      </c>
      <c r="CZ32879" s="35">
        <v>3.400070933333333E-2</v>
      </c>
    </row>
    <row r="32880" spans="103:104" x14ac:dyDescent="0.3">
      <c r="CY32880" s="34" t="s">
        <v>33806</v>
      </c>
      <c r="CZ32880" s="35">
        <v>3.400070933333333E-2</v>
      </c>
    </row>
    <row r="32881" spans="103:104" x14ac:dyDescent="0.3">
      <c r="CY32881" s="34" t="s">
        <v>33807</v>
      </c>
      <c r="CZ32881" s="35">
        <v>2.2128001777777778E-2</v>
      </c>
    </row>
    <row r="32882" spans="103:104" x14ac:dyDescent="0.3">
      <c r="CY32882" s="34" t="s">
        <v>33808</v>
      </c>
      <c r="CZ32882" s="35">
        <v>0.57976963822222227</v>
      </c>
    </row>
    <row r="32883" spans="103:104" x14ac:dyDescent="0.3">
      <c r="CY32883" s="34" t="s">
        <v>33809</v>
      </c>
      <c r="CZ32883" s="35">
        <v>6.4321710222222219E-3</v>
      </c>
    </row>
    <row r="32884" spans="103:104" x14ac:dyDescent="0.3">
      <c r="CY32884" s="34" t="s">
        <v>33810</v>
      </c>
      <c r="CZ32884" s="35">
        <v>0.42250916800000005</v>
      </c>
    </row>
    <row r="32885" spans="103:104" x14ac:dyDescent="0.3">
      <c r="CY32885" s="34" t="s">
        <v>33811</v>
      </c>
      <c r="CZ32885" s="35">
        <v>3.4059666666666666E-3</v>
      </c>
    </row>
    <row r="32886" spans="103:104" x14ac:dyDescent="0.3">
      <c r="CY32886" s="34" t="s">
        <v>33812</v>
      </c>
      <c r="CZ32886" s="35">
        <v>3.6542463157894739E-3</v>
      </c>
    </row>
    <row r="32887" spans="103:104" x14ac:dyDescent="0.3">
      <c r="CY32887" s="34" t="s">
        <v>33813</v>
      </c>
      <c r="CZ32887" s="35">
        <v>3.1711263157894742E-3</v>
      </c>
    </row>
    <row r="32888" spans="103:104" x14ac:dyDescent="0.3">
      <c r="CY32888" s="34" t="s">
        <v>33814</v>
      </c>
      <c r="CZ32888" s="35">
        <v>3.6542463157894739E-3</v>
      </c>
    </row>
    <row r="32889" spans="103:104" x14ac:dyDescent="0.3">
      <c r="CY32889" s="34" t="s">
        <v>33815</v>
      </c>
      <c r="CZ32889" s="35">
        <v>9.9310933333333334E-3</v>
      </c>
    </row>
    <row r="32890" spans="103:104" x14ac:dyDescent="0.3">
      <c r="CY32890" s="34" t="s">
        <v>33816</v>
      </c>
      <c r="CZ32890" s="35">
        <v>1.4493722222222222E-2</v>
      </c>
    </row>
    <row r="32891" spans="103:104" x14ac:dyDescent="0.3">
      <c r="CY32891" s="34" t="s">
        <v>33817</v>
      </c>
      <c r="CZ32891" s="35">
        <v>1.4838535555555555E-2</v>
      </c>
    </row>
    <row r="32892" spans="103:104" x14ac:dyDescent="0.3">
      <c r="CY32892" s="34" t="s">
        <v>33818</v>
      </c>
      <c r="CZ32892" s="35">
        <v>6.7434631578947371E-3</v>
      </c>
    </row>
    <row r="32893" spans="103:104" x14ac:dyDescent="0.3">
      <c r="CY32893" s="34" t="s">
        <v>33819</v>
      </c>
      <c r="CZ32893" s="35">
        <v>6.7434631578947371E-3</v>
      </c>
    </row>
    <row r="32894" spans="103:104" x14ac:dyDescent="0.3">
      <c r="CY32894" s="34" t="s">
        <v>33820</v>
      </c>
      <c r="CZ32894" s="35">
        <v>3.2075515789473687E-3</v>
      </c>
    </row>
    <row r="32895" spans="103:104" x14ac:dyDescent="0.3">
      <c r="CY32895" s="34" t="s">
        <v>33821</v>
      </c>
      <c r="CZ32895" s="35">
        <v>3.4927540000000003E-3</v>
      </c>
    </row>
    <row r="32896" spans="103:104" x14ac:dyDescent="0.3">
      <c r="CY32896" s="34" t="s">
        <v>33822</v>
      </c>
      <c r="CZ32896" s="35">
        <v>3.4927540000000003E-3</v>
      </c>
    </row>
    <row r="32897" spans="103:104" x14ac:dyDescent="0.3">
      <c r="CY32897" s="34" t="s">
        <v>33823</v>
      </c>
      <c r="CZ32897" s="35">
        <v>0.10373135800000002</v>
      </c>
    </row>
    <row r="32898" spans="103:104" x14ac:dyDescent="0.3">
      <c r="CY32898" s="34" t="s">
        <v>33824</v>
      </c>
      <c r="CZ32898" s="35">
        <v>6.2368486000000008E-3</v>
      </c>
    </row>
    <row r="32899" spans="103:104" x14ac:dyDescent="0.3">
      <c r="CY32899" s="34" t="s">
        <v>33825</v>
      </c>
      <c r="CZ32899" s="35">
        <v>1.5415E-2</v>
      </c>
    </row>
    <row r="32900" spans="103:104" x14ac:dyDescent="0.3">
      <c r="CY32900" s="34" t="s">
        <v>33826</v>
      </c>
      <c r="CZ32900" s="35">
        <v>1.1841988999999999E-3</v>
      </c>
    </row>
    <row r="32901" spans="103:104" x14ac:dyDescent="0.3">
      <c r="CY32901" s="34" t="s">
        <v>33827</v>
      </c>
      <c r="CZ32901" s="35">
        <v>2.2738511111111109E-2</v>
      </c>
    </row>
    <row r="32902" spans="103:104" x14ac:dyDescent="0.3">
      <c r="CY32902" s="34" t="s">
        <v>33828</v>
      </c>
      <c r="CZ32902" s="35">
        <v>2.2738511111111109E-2</v>
      </c>
    </row>
    <row r="32903" spans="103:104" x14ac:dyDescent="0.3">
      <c r="CY32903" s="34" t="s">
        <v>33829</v>
      </c>
      <c r="CZ32903" s="35">
        <v>2.7467961999999993E-3</v>
      </c>
    </row>
    <row r="32904" spans="103:104" x14ac:dyDescent="0.3">
      <c r="CY32904" s="34" t="s">
        <v>33830</v>
      </c>
      <c r="CZ32904" s="35">
        <v>3.1333722999999998E-3</v>
      </c>
    </row>
    <row r="32905" spans="103:104" x14ac:dyDescent="0.3">
      <c r="CY32905" s="34" t="s">
        <v>33831</v>
      </c>
      <c r="CZ32905" s="35">
        <v>2.8841881999999998E-3</v>
      </c>
    </row>
    <row r="32906" spans="103:104" x14ac:dyDescent="0.3">
      <c r="CY32906" s="34" t="s">
        <v>33832</v>
      </c>
      <c r="CZ32906" s="35">
        <v>9.894364999999998E-2</v>
      </c>
    </row>
    <row r="32907" spans="103:104" x14ac:dyDescent="0.3">
      <c r="CY32907" s="34" t="s">
        <v>33833</v>
      </c>
      <c r="CZ32907" s="35">
        <v>0.13777725000000002</v>
      </c>
    </row>
    <row r="32908" spans="103:104" x14ac:dyDescent="0.3">
      <c r="CY32908" s="34" t="s">
        <v>33834</v>
      </c>
      <c r="CZ32908" s="35">
        <v>9.894364999999998E-2</v>
      </c>
    </row>
    <row r="32909" spans="103:104" x14ac:dyDescent="0.3">
      <c r="CY32909" s="34" t="s">
        <v>33835</v>
      </c>
      <c r="CZ32909" s="35">
        <v>0.13777725000000002</v>
      </c>
    </row>
    <row r="32910" spans="103:104" x14ac:dyDescent="0.3">
      <c r="CY32910" s="34" t="s">
        <v>33836</v>
      </c>
      <c r="CZ32910" s="35">
        <v>0.94286964099999993</v>
      </c>
    </row>
    <row r="32911" spans="103:104" x14ac:dyDescent="0.3">
      <c r="CY32911" s="34" t="s">
        <v>33837</v>
      </c>
      <c r="CZ32911" s="35">
        <v>9.8146900000000009E-3</v>
      </c>
    </row>
    <row r="32912" spans="103:104" x14ac:dyDescent="0.3">
      <c r="CY32912" s="34" t="s">
        <v>33838</v>
      </c>
      <c r="CZ32912" s="35">
        <v>4.1785040000000004E-3</v>
      </c>
    </row>
    <row r="32913" spans="103:104" x14ac:dyDescent="0.3">
      <c r="CY32913" s="34" t="s">
        <v>33839</v>
      </c>
      <c r="CZ32913" s="35">
        <v>7.1103351999999998E-3</v>
      </c>
    </row>
    <row r="32914" spans="103:104" x14ac:dyDescent="0.3">
      <c r="CY32914" s="34" t="s">
        <v>33840</v>
      </c>
      <c r="CZ32914" s="35">
        <v>2.5191839999999994E-3</v>
      </c>
    </row>
    <row r="32915" spans="103:104" x14ac:dyDescent="0.3">
      <c r="CY32915" s="34" t="s">
        <v>33841</v>
      </c>
      <c r="CZ32915" s="35">
        <v>4.6602500000000001E-4</v>
      </c>
    </row>
    <row r="32916" spans="103:104" x14ac:dyDescent="0.3">
      <c r="CY32916" s="34" t="s">
        <v>33842</v>
      </c>
      <c r="CZ32916" s="35">
        <v>0.35451079260000001</v>
      </c>
    </row>
    <row r="32917" spans="103:104" x14ac:dyDescent="0.3">
      <c r="CY32917" s="34" t="s">
        <v>33843</v>
      </c>
      <c r="CZ32917" s="35">
        <v>6.2278951111111114E-3</v>
      </c>
    </row>
    <row r="32918" spans="103:104" x14ac:dyDescent="0.3">
      <c r="CY32918" s="34" t="s">
        <v>33844</v>
      </c>
      <c r="CZ32918" s="35">
        <v>6.3058939999999994E-3</v>
      </c>
    </row>
    <row r="32919" spans="103:104" x14ac:dyDescent="0.3">
      <c r="CY32919" s="34" t="s">
        <v>33845</v>
      </c>
      <c r="CZ32919" s="35">
        <v>2.1270796266666669E-3</v>
      </c>
    </row>
    <row r="32920" spans="103:104" x14ac:dyDescent="0.3">
      <c r="CY32920" s="34" t="s">
        <v>33846</v>
      </c>
      <c r="CZ32920" s="35">
        <v>7.8960343999999998E-3</v>
      </c>
    </row>
    <row r="32921" spans="103:104" x14ac:dyDescent="0.3">
      <c r="CY32921" s="34" t="s">
        <v>33847</v>
      </c>
      <c r="CZ32921" s="35">
        <v>1.9944313333333332E-3</v>
      </c>
    </row>
    <row r="32922" spans="103:104" x14ac:dyDescent="0.3">
      <c r="CY32922" s="34" t="s">
        <v>33848</v>
      </c>
      <c r="CZ32922" s="35">
        <v>2.0751570666666668E-3</v>
      </c>
    </row>
    <row r="32923" spans="103:104" x14ac:dyDescent="0.3">
      <c r="CY32923" s="34" t="s">
        <v>33849</v>
      </c>
      <c r="CZ32923" s="35">
        <v>5.4560359999999995E-2</v>
      </c>
    </row>
    <row r="32924" spans="103:104" x14ac:dyDescent="0.3">
      <c r="CY32924" s="34" t="s">
        <v>33850</v>
      </c>
      <c r="CZ32924" s="35">
        <v>7.2795305000000008E-3</v>
      </c>
    </row>
    <row r="32925" spans="103:104" x14ac:dyDescent="0.3">
      <c r="CY32925" s="34" t="s">
        <v>33851</v>
      </c>
      <c r="CZ32925" s="35">
        <v>1.3582638933333334E-2</v>
      </c>
    </row>
    <row r="32926" spans="103:104" x14ac:dyDescent="0.3">
      <c r="CY32926" s="34" t="s">
        <v>33852</v>
      </c>
      <c r="CZ32926" s="35">
        <v>2.2997232999999999E-2</v>
      </c>
    </row>
    <row r="32927" spans="103:104" x14ac:dyDescent="0.3">
      <c r="CY32927" s="34" t="s">
        <v>33853</v>
      </c>
      <c r="CZ32927" s="35">
        <v>7.6629419999999998E-3</v>
      </c>
    </row>
    <row r="32928" spans="103:104" x14ac:dyDescent="0.3">
      <c r="CY32928" s="34" t="s">
        <v>33854</v>
      </c>
      <c r="CZ32928" s="35">
        <v>4.3499849999999998E-4</v>
      </c>
    </row>
    <row r="32929" spans="103:104" x14ac:dyDescent="0.3">
      <c r="CY32929" s="34" t="s">
        <v>33855</v>
      </c>
      <c r="CZ32929" s="35">
        <v>1.1982177999999998E-2</v>
      </c>
    </row>
    <row r="32930" spans="103:104" x14ac:dyDescent="0.3">
      <c r="CY32930" s="34" t="s">
        <v>33856</v>
      </c>
      <c r="CZ32930" s="35">
        <v>0.12369382400000002</v>
      </c>
    </row>
    <row r="32931" spans="103:104" x14ac:dyDescent="0.3">
      <c r="CY32931" s="34" t="s">
        <v>33857</v>
      </c>
      <c r="CZ32931" s="35">
        <v>7.5468064000000001E-2</v>
      </c>
    </row>
    <row r="32932" spans="103:104" x14ac:dyDescent="0.3">
      <c r="CY32932" s="34" t="s">
        <v>33858</v>
      </c>
      <c r="CZ32932" s="35">
        <v>0.12651003199999999</v>
      </c>
    </row>
    <row r="32933" spans="103:104" x14ac:dyDescent="0.3">
      <c r="CY32933" s="34" t="s">
        <v>33859</v>
      </c>
      <c r="CZ32933" s="35">
        <v>7.8044288000000003E-2</v>
      </c>
    </row>
    <row r="32934" spans="103:104" x14ac:dyDescent="0.3">
      <c r="CY32934" s="34" t="s">
        <v>33860</v>
      </c>
      <c r="CZ32934" s="35">
        <v>0.13753636399999999</v>
      </c>
    </row>
    <row r="32935" spans="103:104" x14ac:dyDescent="0.3">
      <c r="CY32935" s="34" t="s">
        <v>33861</v>
      </c>
      <c r="CZ32935" s="35">
        <v>9.4708760000000003E-2</v>
      </c>
    </row>
    <row r="32936" spans="103:104" x14ac:dyDescent="0.3">
      <c r="CY32936" s="34" t="s">
        <v>33862</v>
      </c>
      <c r="CZ32936" s="35">
        <v>1.231793411764706E-3</v>
      </c>
    </row>
    <row r="32937" spans="103:104" x14ac:dyDescent="0.3">
      <c r="CY32937" s="34" t="s">
        <v>33863</v>
      </c>
      <c r="CZ32937" s="35">
        <v>1.231793411764706E-3</v>
      </c>
    </row>
    <row r="32938" spans="103:104" x14ac:dyDescent="0.3">
      <c r="CY32938" s="34" t="s">
        <v>33864</v>
      </c>
      <c r="CZ32938" s="35">
        <v>0.10882050105263158</v>
      </c>
    </row>
    <row r="32939" spans="103:104" x14ac:dyDescent="0.3">
      <c r="CY32939" s="34" t="s">
        <v>33865</v>
      </c>
      <c r="CZ32939" s="35">
        <v>1.8480506666666667E-3</v>
      </c>
    </row>
    <row r="32940" spans="103:104" x14ac:dyDescent="0.3">
      <c r="CY32940" s="34" t="s">
        <v>33866</v>
      </c>
      <c r="CZ32940" s="35">
        <v>4.9236897733333342E-3</v>
      </c>
    </row>
    <row r="32941" spans="103:104" x14ac:dyDescent="0.3">
      <c r="CY32941" s="34" t="s">
        <v>33867</v>
      </c>
      <c r="CZ32941" s="35">
        <v>4.3839684000000004E-2</v>
      </c>
    </row>
    <row r="32942" spans="103:104" x14ac:dyDescent="0.3">
      <c r="CY32942" s="34" t="s">
        <v>33868</v>
      </c>
      <c r="CZ32942" s="35">
        <v>7.1074791999999998E-2</v>
      </c>
    </row>
    <row r="32943" spans="103:104" x14ac:dyDescent="0.3">
      <c r="CY32943" s="34" t="s">
        <v>33869</v>
      </c>
      <c r="CZ32943" s="35">
        <v>6.3922112000000003E-2</v>
      </c>
    </row>
    <row r="32944" spans="103:104" x14ac:dyDescent="0.3">
      <c r="CY32944" s="34" t="s">
        <v>33870</v>
      </c>
      <c r="CZ32944" s="35">
        <v>7.6128940000000006E-2</v>
      </c>
    </row>
    <row r="32945" spans="103:104" x14ac:dyDescent="0.3">
      <c r="CY32945" s="34" t="s">
        <v>33871</v>
      </c>
      <c r="CZ32945" s="35">
        <v>2.6027624000000003E-2</v>
      </c>
    </row>
    <row r="32946" spans="103:104" x14ac:dyDescent="0.3">
      <c r="CY32946" s="34" t="s">
        <v>33872</v>
      </c>
      <c r="CZ32946" s="35">
        <v>4.8098464E-2</v>
      </c>
    </row>
    <row r="32947" spans="103:104" x14ac:dyDescent="0.3">
      <c r="CY32947" s="34" t="s">
        <v>33873</v>
      </c>
      <c r="CZ32947" s="35">
        <v>6.3795772000000001E-2</v>
      </c>
    </row>
    <row r="32948" spans="103:104" x14ac:dyDescent="0.3">
      <c r="CY32948" s="34" t="s">
        <v>33874</v>
      </c>
      <c r="CZ32948" s="35">
        <v>2.4786999999999997E-2</v>
      </c>
    </row>
    <row r="32949" spans="103:104" x14ac:dyDescent="0.3">
      <c r="CY32949" s="34" t="s">
        <v>33875</v>
      </c>
      <c r="CZ32949" s="35">
        <v>0.10095735695238094</v>
      </c>
    </row>
    <row r="32950" spans="103:104" x14ac:dyDescent="0.3">
      <c r="CY32950" s="34" t="s">
        <v>33876</v>
      </c>
      <c r="CZ32950" s="35">
        <v>7.7888813679999995E-3</v>
      </c>
    </row>
    <row r="32951" spans="103:104" x14ac:dyDescent="0.3">
      <c r="CY32951" s="34" t="s">
        <v>33877</v>
      </c>
      <c r="CZ32951" s="35">
        <v>1.3904708666666665E-2</v>
      </c>
    </row>
    <row r="32952" spans="103:104" x14ac:dyDescent="0.3">
      <c r="CY32952" s="34" t="s">
        <v>33878</v>
      </c>
      <c r="CZ32952" s="35">
        <v>1.3735829428571428E-2</v>
      </c>
    </row>
    <row r="32953" spans="103:104" x14ac:dyDescent="0.3">
      <c r="CY32953" s="34" t="s">
        <v>33879</v>
      </c>
      <c r="CZ32953" s="35">
        <v>1.5244429333333335E-2</v>
      </c>
    </row>
    <row r="32954" spans="103:104" x14ac:dyDescent="0.3">
      <c r="CY32954" s="34" t="s">
        <v>33880</v>
      </c>
      <c r="CZ32954" s="35">
        <v>1.7511445E-2</v>
      </c>
    </row>
    <row r="32955" spans="103:104" x14ac:dyDescent="0.3">
      <c r="CY32955" s="34" t="s">
        <v>33881</v>
      </c>
      <c r="CZ32955" s="35">
        <v>1.6490580999999997E-2</v>
      </c>
    </row>
    <row r="32956" spans="103:104" x14ac:dyDescent="0.3">
      <c r="CY32956" s="34" t="s">
        <v>33882</v>
      </c>
      <c r="CZ32956" s="35">
        <v>1.5195032000000001E-2</v>
      </c>
    </row>
    <row r="32957" spans="103:104" x14ac:dyDescent="0.3">
      <c r="CY32957" s="34" t="s">
        <v>33883</v>
      </c>
      <c r="CZ32957" s="35">
        <v>1.0829488E-2</v>
      </c>
    </row>
    <row r="32958" spans="103:104" x14ac:dyDescent="0.3">
      <c r="CY32958" s="34" t="s">
        <v>33884</v>
      </c>
      <c r="CZ32958" s="35">
        <v>3.7704747474747472E-3</v>
      </c>
    </row>
    <row r="32959" spans="103:104" x14ac:dyDescent="0.3">
      <c r="CY32959" s="34" t="s">
        <v>33885</v>
      </c>
      <c r="CZ32959" s="35">
        <v>1.103042E-3</v>
      </c>
    </row>
    <row r="32960" spans="103:104" x14ac:dyDescent="0.3">
      <c r="CY32960" s="34" t="s">
        <v>33886</v>
      </c>
      <c r="CZ32960" s="35">
        <v>3.5679400000000001E-4</v>
      </c>
    </row>
    <row r="32961" spans="103:104" x14ac:dyDescent="0.3">
      <c r="CY32961" s="34" t="s">
        <v>33887</v>
      </c>
      <c r="CZ32961" s="35">
        <v>6.9019200000000003E-2</v>
      </c>
    </row>
    <row r="32962" spans="103:104" x14ac:dyDescent="0.3">
      <c r="CY32962" s="34" t="s">
        <v>33888</v>
      </c>
      <c r="CZ32962" s="35">
        <v>8.4155370000000007E-3</v>
      </c>
    </row>
    <row r="32963" spans="103:104" x14ac:dyDescent="0.3">
      <c r="CY32963" s="34" t="s">
        <v>33889</v>
      </c>
      <c r="CZ32963" s="35">
        <v>1.9693400999999999E-2</v>
      </c>
    </row>
    <row r="32964" spans="103:104" x14ac:dyDescent="0.3">
      <c r="CY32964" s="34" t="s">
        <v>33890</v>
      </c>
      <c r="CZ32964" s="35">
        <v>9.510177551020408E-3</v>
      </c>
    </row>
    <row r="32965" spans="103:104" x14ac:dyDescent="0.3">
      <c r="CY32965" s="34" t="s">
        <v>33891</v>
      </c>
      <c r="CZ32965" s="35">
        <v>2.7099600000000001E-2</v>
      </c>
    </row>
    <row r="32966" spans="103:104" x14ac:dyDescent="0.3">
      <c r="CY32966" s="34" t="s">
        <v>33892</v>
      </c>
      <c r="CZ32966" s="35">
        <v>1.6548784E-3</v>
      </c>
    </row>
    <row r="32967" spans="103:104" x14ac:dyDescent="0.3">
      <c r="CY32967" s="34" t="s">
        <v>33893</v>
      </c>
      <c r="CZ32967" s="35">
        <v>5.1784499999999996E-4</v>
      </c>
    </row>
    <row r="32968" spans="103:104" x14ac:dyDescent="0.3">
      <c r="CY32968" s="34" t="s">
        <v>33894</v>
      </c>
      <c r="CZ32968" s="35">
        <v>7.7277759999999996E-3</v>
      </c>
    </row>
    <row r="32969" spans="103:104" x14ac:dyDescent="0.3">
      <c r="CY32969" s="34" t="s">
        <v>33895</v>
      </c>
      <c r="CZ32969" s="35">
        <v>9.2693986666666671E-4</v>
      </c>
    </row>
    <row r="32970" spans="103:104" x14ac:dyDescent="0.3">
      <c r="CY32970" s="34" t="s">
        <v>33896</v>
      </c>
      <c r="CZ32970" s="35">
        <v>9.0402330000000003E-2</v>
      </c>
    </row>
    <row r="32971" spans="103:104" x14ac:dyDescent="0.3">
      <c r="CY32971" s="34" t="s">
        <v>33897</v>
      </c>
      <c r="CZ32971" s="35">
        <v>0.10373929</v>
      </c>
    </row>
    <row r="32972" spans="103:104" x14ac:dyDescent="0.3">
      <c r="CY32972" s="34" t="s">
        <v>33898</v>
      </c>
      <c r="CZ32972" s="35">
        <v>6.5131552000000006E-3</v>
      </c>
    </row>
    <row r="32973" spans="103:104" x14ac:dyDescent="0.3">
      <c r="CY32973" s="34" t="s">
        <v>33899</v>
      </c>
      <c r="CZ32973" s="35">
        <v>8.7609139999999981E-3</v>
      </c>
    </row>
    <row r="32974" spans="103:104" x14ac:dyDescent="0.3">
      <c r="CY32974" s="34" t="s">
        <v>33900</v>
      </c>
      <c r="CZ32974" s="35">
        <v>8.7710499999999999E-4</v>
      </c>
    </row>
    <row r="32975" spans="103:104" x14ac:dyDescent="0.3">
      <c r="CY32975" s="34" t="s">
        <v>33901</v>
      </c>
      <c r="CZ32975" s="35">
        <v>0.28983340000000002</v>
      </c>
    </row>
    <row r="32976" spans="103:104" x14ac:dyDescent="0.3">
      <c r="CY32976" s="34" t="s">
        <v>33902</v>
      </c>
      <c r="CZ32976" s="35">
        <v>0.44101809999999997</v>
      </c>
    </row>
    <row r="32977" spans="103:104" x14ac:dyDescent="0.3">
      <c r="CY32977" s="34" t="s">
        <v>33903</v>
      </c>
      <c r="CZ32977" s="35">
        <v>1.0204320999999998</v>
      </c>
    </row>
    <row r="32978" spans="103:104" x14ac:dyDescent="0.3">
      <c r="CY32978" s="34" t="s">
        <v>33904</v>
      </c>
      <c r="CZ32978" s="35">
        <v>3.7618499999999997E-3</v>
      </c>
    </row>
    <row r="32979" spans="103:104" x14ac:dyDescent="0.3">
      <c r="CY32979" s="34" t="s">
        <v>33905</v>
      </c>
      <c r="CZ32979" s="35">
        <v>6.4407224E-4</v>
      </c>
    </row>
    <row r="32980" spans="103:104" x14ac:dyDescent="0.3">
      <c r="CY32980" s="34" t="s">
        <v>33906</v>
      </c>
      <c r="CZ32980" s="35">
        <v>6.4407224000000011E-4</v>
      </c>
    </row>
    <row r="32981" spans="103:104" x14ac:dyDescent="0.3">
      <c r="CY32981" s="34" t="s">
        <v>33907</v>
      </c>
      <c r="CZ32981" s="35">
        <v>3.3041377999999998E-3</v>
      </c>
    </row>
    <row r="32982" spans="103:104" x14ac:dyDescent="0.3">
      <c r="CY32982" s="34" t="s">
        <v>33908</v>
      </c>
      <c r="CZ32982" s="35">
        <v>0.19101480999999998</v>
      </c>
    </row>
    <row r="32983" spans="103:104" x14ac:dyDescent="0.3">
      <c r="CY32983" s="34" t="s">
        <v>33909</v>
      </c>
      <c r="CZ32983" s="35">
        <v>0.27877443600000001</v>
      </c>
    </row>
    <row r="32984" spans="103:104" x14ac:dyDescent="0.3">
      <c r="CY32984" s="34" t="s">
        <v>33910</v>
      </c>
      <c r="CZ32984" s="35">
        <v>0.27877443600000001</v>
      </c>
    </row>
    <row r="32985" spans="103:104" x14ac:dyDescent="0.3">
      <c r="CY32985" s="34" t="s">
        <v>33911</v>
      </c>
      <c r="CZ32985" s="35">
        <v>5.8643849284000007</v>
      </c>
    </row>
    <row r="32986" spans="103:104" x14ac:dyDescent="0.3">
      <c r="CY32986" s="34" t="s">
        <v>33912</v>
      </c>
      <c r="CZ32986" s="35">
        <v>0.2941400112</v>
      </c>
    </row>
    <row r="32987" spans="103:104" x14ac:dyDescent="0.3">
      <c r="CY32987" s="34" t="s">
        <v>33913</v>
      </c>
      <c r="CZ32987" s="35">
        <v>5.8643849284000007</v>
      </c>
    </row>
    <row r="32988" spans="103:104" x14ac:dyDescent="0.3">
      <c r="CY32988" s="34" t="s">
        <v>33914</v>
      </c>
      <c r="CZ32988" s="35">
        <v>1.509451705</v>
      </c>
    </row>
    <row r="32989" spans="103:104" x14ac:dyDescent="0.3">
      <c r="CY32989" s="34" t="s">
        <v>33915</v>
      </c>
      <c r="CZ32989" s="35">
        <v>3.7930165454545459E-3</v>
      </c>
    </row>
    <row r="32990" spans="103:104" x14ac:dyDescent="0.3">
      <c r="CY32990" s="34" t="s">
        <v>33916</v>
      </c>
      <c r="CZ32990" s="35">
        <v>2.8844359999999996E-2</v>
      </c>
    </row>
    <row r="32991" spans="103:104" x14ac:dyDescent="0.3">
      <c r="CY32991" s="34" t="s">
        <v>33917</v>
      </c>
      <c r="CZ32991" s="35">
        <v>2.5644592000000004E-2</v>
      </c>
    </row>
    <row r="32992" spans="103:104" x14ac:dyDescent="0.3">
      <c r="CY32992" s="34" t="s">
        <v>33918</v>
      </c>
      <c r="CZ32992" s="35">
        <v>7.1420720000000007E-2</v>
      </c>
    </row>
    <row r="32993" spans="103:104" x14ac:dyDescent="0.3">
      <c r="CY32993" s="34" t="s">
        <v>33919</v>
      </c>
      <c r="CZ32993" s="35">
        <v>8.9158799189189189E-2</v>
      </c>
    </row>
    <row r="32994" spans="103:104" x14ac:dyDescent="0.3">
      <c r="CY32994" s="34" t="s">
        <v>33920</v>
      </c>
      <c r="CZ32994" s="35">
        <v>0.38737094290019997</v>
      </c>
    </row>
    <row r="32995" spans="103:104" x14ac:dyDescent="0.3">
      <c r="CY32995" s="34" t="s">
        <v>33921</v>
      </c>
      <c r="CZ32995" s="35">
        <v>0.44550251616679998</v>
      </c>
    </row>
    <row r="32996" spans="103:104" x14ac:dyDescent="0.3">
      <c r="CY32996" s="34" t="s">
        <v>33922</v>
      </c>
      <c r="CZ32996" s="35">
        <v>0.11332808333333333</v>
      </c>
    </row>
    <row r="32997" spans="103:104" x14ac:dyDescent="0.3">
      <c r="CY32997" s="34" t="s">
        <v>33923</v>
      </c>
      <c r="CZ32997" s="35">
        <v>0.11040836666666666</v>
      </c>
    </row>
    <row r="32998" spans="103:104" x14ac:dyDescent="0.3">
      <c r="CY32998" s="34" t="s">
        <v>33924</v>
      </c>
      <c r="CZ32998" s="35">
        <v>4.6920833333333328E-3</v>
      </c>
    </row>
    <row r="32999" spans="103:104" x14ac:dyDescent="0.3">
      <c r="CY32999" s="34" t="s">
        <v>33925</v>
      </c>
      <c r="CZ32999" s="35">
        <v>0.10608568333333333</v>
      </c>
    </row>
    <row r="33000" spans="103:104" x14ac:dyDescent="0.3">
      <c r="CY33000" s="34" t="s">
        <v>33926</v>
      </c>
      <c r="CZ33000" s="35">
        <v>6.5590610000000008E-2</v>
      </c>
    </row>
    <row r="33001" spans="103:104" x14ac:dyDescent="0.3">
      <c r="CY33001" s="34" t="s">
        <v>33927</v>
      </c>
      <c r="CZ33001" s="35">
        <v>1.257782</v>
      </c>
    </row>
    <row r="33002" spans="103:104" x14ac:dyDescent="0.3">
      <c r="CY33002" s="34" t="s">
        <v>33928</v>
      </c>
      <c r="CZ33002" s="35">
        <v>5.4056949999999999E-2</v>
      </c>
    </row>
    <row r="33003" spans="103:104" x14ac:dyDescent="0.3">
      <c r="CY33003" s="34" t="s">
        <v>33929</v>
      </c>
      <c r="CZ33003" s="35">
        <v>6.4099105999999989E-2</v>
      </c>
    </row>
    <row r="33004" spans="103:104" x14ac:dyDescent="0.3">
      <c r="CY33004" s="34" t="s">
        <v>33930</v>
      </c>
      <c r="CZ33004" s="35">
        <v>6.822541E-2</v>
      </c>
    </row>
    <row r="33005" spans="103:104" x14ac:dyDescent="0.3">
      <c r="CY33005" s="34" t="s">
        <v>33931</v>
      </c>
      <c r="CZ33005" s="35">
        <v>8.0838960000000001E-3</v>
      </c>
    </row>
    <row r="33006" spans="103:104" x14ac:dyDescent="0.3">
      <c r="CY33006" s="34" t="s">
        <v>33932</v>
      </c>
      <c r="CZ33006" s="35">
        <v>7.1178629676470588E-3</v>
      </c>
    </row>
    <row r="33007" spans="103:104" x14ac:dyDescent="0.3">
      <c r="CY33007" s="34" t="s">
        <v>33933</v>
      </c>
      <c r="CZ33007" s="35">
        <v>9.551776932352941E-3</v>
      </c>
    </row>
    <row r="33008" spans="103:104" x14ac:dyDescent="0.3">
      <c r="CY33008" s="34" t="s">
        <v>33934</v>
      </c>
      <c r="CZ33008" s="35">
        <v>1.55915138E-2</v>
      </c>
    </row>
    <row r="33009" spans="103:104" x14ac:dyDescent="0.3">
      <c r="CY33009" s="34" t="s">
        <v>33935</v>
      </c>
      <c r="CZ33009" s="35">
        <v>4.1043919999999992E-4</v>
      </c>
    </row>
    <row r="33010" spans="103:104" x14ac:dyDescent="0.3">
      <c r="CY33010" s="34" t="s">
        <v>33936</v>
      </c>
      <c r="CZ33010" s="35">
        <v>1.7948266666666667E-2</v>
      </c>
    </row>
    <row r="33011" spans="103:104" x14ac:dyDescent="0.3">
      <c r="CY33011" s="34" t="s">
        <v>33937</v>
      </c>
      <c r="CZ33011" s="35">
        <v>1.8298066666666665E-2</v>
      </c>
    </row>
    <row r="33012" spans="103:104" x14ac:dyDescent="0.3">
      <c r="CY33012" s="34" t="s">
        <v>33938</v>
      </c>
      <c r="CZ33012" s="35">
        <v>3.5874533333333326E-2</v>
      </c>
    </row>
    <row r="33013" spans="103:104" x14ac:dyDescent="0.3">
      <c r="CY33013" s="34" t="s">
        <v>33939</v>
      </c>
      <c r="CZ33013" s="35">
        <v>1.2046239999999998E-2</v>
      </c>
    </row>
    <row r="33014" spans="103:104" x14ac:dyDescent="0.3">
      <c r="CY33014" s="34" t="s">
        <v>33940</v>
      </c>
      <c r="CZ33014" s="35">
        <v>1.204624E-2</v>
      </c>
    </row>
    <row r="33015" spans="103:104" x14ac:dyDescent="0.3">
      <c r="CY33015" s="34" t="s">
        <v>33941</v>
      </c>
      <c r="CZ33015" s="35">
        <v>1.0394311999999999E-2</v>
      </c>
    </row>
    <row r="33016" spans="103:104" x14ac:dyDescent="0.3">
      <c r="CY33016" s="34" t="s">
        <v>33942</v>
      </c>
      <c r="CZ33016" s="35">
        <v>1.4239632E-2</v>
      </c>
    </row>
    <row r="33017" spans="103:104" x14ac:dyDescent="0.3">
      <c r="CY33017" s="34" t="s">
        <v>33943</v>
      </c>
      <c r="CZ33017" s="35">
        <v>5.2485739999999998E-3</v>
      </c>
    </row>
    <row r="33018" spans="103:104" x14ac:dyDescent="0.3">
      <c r="CY33018" s="34" t="s">
        <v>33944</v>
      </c>
      <c r="CZ33018" s="35">
        <v>1.9391536000000001E-3</v>
      </c>
    </row>
    <row r="33019" spans="103:104" x14ac:dyDescent="0.3">
      <c r="CY33019" s="34" t="s">
        <v>33945</v>
      </c>
      <c r="CZ33019" s="35">
        <v>0.24272451087755101</v>
      </c>
    </row>
    <row r="33020" spans="103:104" x14ac:dyDescent="0.3">
      <c r="CY33020" s="34" t="s">
        <v>33946</v>
      </c>
      <c r="CZ33020" s="35">
        <v>2.8689186000000005E-3</v>
      </c>
    </row>
    <row r="33021" spans="103:104" x14ac:dyDescent="0.3">
      <c r="CY33021" s="34" t="s">
        <v>33947</v>
      </c>
      <c r="CZ33021" s="35">
        <v>0.85838642856666658</v>
      </c>
    </row>
    <row r="33022" spans="103:104" x14ac:dyDescent="0.3">
      <c r="CY33022" s="34" t="s">
        <v>33948</v>
      </c>
      <c r="CZ33022" s="35">
        <v>0.38629089999999999</v>
      </c>
    </row>
    <row r="33023" spans="103:104" x14ac:dyDescent="0.3">
      <c r="CY33023" s="34" t="s">
        <v>33949</v>
      </c>
      <c r="CZ33023" s="35">
        <v>0.77760812499999998</v>
      </c>
    </row>
    <row r="33024" spans="103:104" x14ac:dyDescent="0.3">
      <c r="CY33024" s="34" t="s">
        <v>33950</v>
      </c>
      <c r="CZ33024" s="35">
        <v>0.73309400000000013</v>
      </c>
    </row>
    <row r="33025" spans="103:104" x14ac:dyDescent="0.3">
      <c r="CY33025" s="34" t="s">
        <v>33951</v>
      </c>
      <c r="CZ33025" s="35">
        <v>3.5873447901234564E-3</v>
      </c>
    </row>
    <row r="33026" spans="103:104" x14ac:dyDescent="0.3">
      <c r="CY33026" s="34" t="s">
        <v>33952</v>
      </c>
      <c r="CZ33026" s="35">
        <v>6.6863888888888893E-3</v>
      </c>
    </row>
    <row r="33027" spans="103:104" x14ac:dyDescent="0.3">
      <c r="CY33027" s="34" t="s">
        <v>33953</v>
      </c>
      <c r="CZ33027" s="35">
        <v>2.0826362972222224E-2</v>
      </c>
    </row>
    <row r="33028" spans="103:104" x14ac:dyDescent="0.3">
      <c r="CY33028" s="34" t="s">
        <v>33954</v>
      </c>
      <c r="CZ33028" s="35">
        <v>0.13465924000000001</v>
      </c>
    </row>
    <row r="33029" spans="103:104" x14ac:dyDescent="0.3">
      <c r="CY33029" s="34" t="s">
        <v>33955</v>
      </c>
      <c r="CZ33029" s="35">
        <v>1.0266295199999999E-3</v>
      </c>
    </row>
    <row r="33030" spans="103:104" x14ac:dyDescent="0.3">
      <c r="CY33030" s="34" t="s">
        <v>33956</v>
      </c>
      <c r="CZ33030" s="35">
        <v>4.1666670000000002E-4</v>
      </c>
    </row>
    <row r="33031" spans="103:104" x14ac:dyDescent="0.3">
      <c r="CY33031" s="34" t="s">
        <v>33957</v>
      </c>
      <c r="CZ33031" s="35">
        <v>2.4152956000000003E-2</v>
      </c>
    </row>
    <row r="33032" spans="103:104" x14ac:dyDescent="0.3">
      <c r="CY33032" s="34" t="s">
        <v>33958</v>
      </c>
      <c r="CZ33032" s="35">
        <v>3.8451496000000002E-2</v>
      </c>
    </row>
    <row r="33033" spans="103:104" x14ac:dyDescent="0.3">
      <c r="CY33033" s="34" t="s">
        <v>33959</v>
      </c>
      <c r="CZ33033" s="35">
        <v>3.3157600000000004E-4</v>
      </c>
    </row>
    <row r="33034" spans="103:104" x14ac:dyDescent="0.3">
      <c r="CY33034" s="34" t="s">
        <v>33960</v>
      </c>
      <c r="CZ33034" s="35">
        <v>3.2166399999999999E-4</v>
      </c>
    </row>
    <row r="33035" spans="103:104" x14ac:dyDescent="0.3">
      <c r="CY33035" s="34" t="s">
        <v>33961</v>
      </c>
      <c r="CZ33035" s="35">
        <v>3.2181900799999996E-4</v>
      </c>
    </row>
    <row r="33036" spans="103:104" x14ac:dyDescent="0.3">
      <c r="CY33036" s="34" t="s">
        <v>33962</v>
      </c>
      <c r="CZ33036" s="35">
        <v>1.9281600000000001E-4</v>
      </c>
    </row>
    <row r="33037" spans="103:104" x14ac:dyDescent="0.3">
      <c r="CY33037" s="34" t="s">
        <v>33963</v>
      </c>
      <c r="CZ33037" s="35">
        <v>1.4815520000000003E-4</v>
      </c>
    </row>
    <row r="33038" spans="103:104" x14ac:dyDescent="0.3">
      <c r="CY33038" s="34" t="s">
        <v>33964</v>
      </c>
      <c r="CZ33038" s="35">
        <v>1.064595E-2</v>
      </c>
    </row>
    <row r="33039" spans="103:104" x14ac:dyDescent="0.3">
      <c r="CY33039" s="34" t="s">
        <v>33965</v>
      </c>
      <c r="CZ33039" s="35">
        <v>1.0645950000000001E-2</v>
      </c>
    </row>
    <row r="33040" spans="103:104" x14ac:dyDescent="0.3">
      <c r="CY33040" s="34" t="s">
        <v>33966</v>
      </c>
      <c r="CZ33040" s="35">
        <v>6.9057724866666672E-3</v>
      </c>
    </row>
    <row r="33041" spans="103:104" x14ac:dyDescent="0.3">
      <c r="CY33041" s="34" t="s">
        <v>33967</v>
      </c>
      <c r="CZ33041" s="35">
        <v>6.9815224866666675E-3</v>
      </c>
    </row>
    <row r="33042" spans="103:104" x14ac:dyDescent="0.3">
      <c r="CY33042" s="34" t="s">
        <v>33968</v>
      </c>
      <c r="CZ33042" s="35">
        <v>0.63467985000000005</v>
      </c>
    </row>
    <row r="33043" spans="103:104" x14ac:dyDescent="0.3">
      <c r="CY33043" s="34" t="s">
        <v>33969</v>
      </c>
      <c r="CZ33043" s="35">
        <v>0.40769025000000003</v>
      </c>
    </row>
    <row r="33044" spans="103:104" x14ac:dyDescent="0.3">
      <c r="CY33044" s="34" t="s">
        <v>33970</v>
      </c>
      <c r="CZ33044" s="35">
        <v>7.9874455625000007E-2</v>
      </c>
    </row>
    <row r="33045" spans="103:104" x14ac:dyDescent="0.3">
      <c r="CY33045" s="34" t="s">
        <v>33971</v>
      </c>
      <c r="CZ33045" s="35">
        <v>7.9874455625000007E-2</v>
      </c>
    </row>
    <row r="33046" spans="103:104" x14ac:dyDescent="0.3">
      <c r="CY33046" s="34" t="s">
        <v>33972</v>
      </c>
      <c r="CZ33046" s="35">
        <v>8.0325471250000002E-2</v>
      </c>
    </row>
    <row r="33047" spans="103:104" x14ac:dyDescent="0.3">
      <c r="CY33047" s="34" t="s">
        <v>33973</v>
      </c>
      <c r="CZ33047" s="35">
        <v>8.5855359999999995E-4</v>
      </c>
    </row>
    <row r="33048" spans="103:104" x14ac:dyDescent="0.3">
      <c r="CY33048" s="34" t="s">
        <v>33974</v>
      </c>
      <c r="CZ33048" s="35">
        <v>0.140028712</v>
      </c>
    </row>
    <row r="33049" spans="103:104" x14ac:dyDescent="0.3">
      <c r="CY33049" s="34" t="s">
        <v>33975</v>
      </c>
      <c r="CZ33049" s="35">
        <v>0.35163749999999994</v>
      </c>
    </row>
    <row r="33050" spans="103:104" x14ac:dyDescent="0.3">
      <c r="CY33050" s="34" t="s">
        <v>33976</v>
      </c>
      <c r="CZ33050" s="35">
        <v>2.3529698000000006E-3</v>
      </c>
    </row>
    <row r="33051" spans="103:104" x14ac:dyDescent="0.3">
      <c r="CY33051" s="34" t="s">
        <v>33977</v>
      </c>
      <c r="CZ33051" s="35">
        <v>5.9448880000000006E-4</v>
      </c>
    </row>
    <row r="33052" spans="103:104" x14ac:dyDescent="0.3">
      <c r="CY33052" s="34" t="s">
        <v>33978</v>
      </c>
      <c r="CZ33052" s="35">
        <v>1.2830259999999998E-3</v>
      </c>
    </row>
    <row r="33053" spans="103:104" x14ac:dyDescent="0.3">
      <c r="CY33053" s="34" t="s">
        <v>33979</v>
      </c>
      <c r="CZ33053" s="35">
        <v>8.4433039999999993E-4</v>
      </c>
    </row>
    <row r="33054" spans="103:104" x14ac:dyDescent="0.3">
      <c r="CY33054" s="34" t="s">
        <v>33980</v>
      </c>
      <c r="CZ33054" s="35">
        <v>4.3270020000000006E-2</v>
      </c>
    </row>
    <row r="33055" spans="103:104" x14ac:dyDescent="0.3">
      <c r="CY33055" s="34" t="s">
        <v>33981</v>
      </c>
      <c r="CZ33055" s="35">
        <v>0.71679761999999991</v>
      </c>
    </row>
    <row r="33056" spans="103:104" x14ac:dyDescent="0.3">
      <c r="CY33056" s="34" t="s">
        <v>33982</v>
      </c>
      <c r="CZ33056" s="35">
        <v>0.71679762000000002</v>
      </c>
    </row>
    <row r="33057" spans="103:104" x14ac:dyDescent="0.3">
      <c r="CY33057" s="34" t="s">
        <v>33983</v>
      </c>
      <c r="CZ33057" s="35">
        <v>0.71679761999999991</v>
      </c>
    </row>
    <row r="33058" spans="103:104" x14ac:dyDescent="0.3">
      <c r="CY33058" s="34" t="s">
        <v>33984</v>
      </c>
      <c r="CZ33058" s="35">
        <v>0.28735459200000002</v>
      </c>
    </row>
    <row r="33059" spans="103:104" x14ac:dyDescent="0.3">
      <c r="CY33059" s="34" t="s">
        <v>33985</v>
      </c>
      <c r="CZ33059" s="35">
        <v>0.28735459200000002</v>
      </c>
    </row>
    <row r="33060" spans="103:104" x14ac:dyDescent="0.3">
      <c r="CY33060" s="34" t="s">
        <v>33986</v>
      </c>
      <c r="CZ33060" s="35">
        <v>0.28735459200000002</v>
      </c>
    </row>
    <row r="33061" spans="103:104" x14ac:dyDescent="0.3">
      <c r="CY33061" s="34" t="s">
        <v>33987</v>
      </c>
      <c r="CZ33061" s="35">
        <v>1.6897964000000001E-2</v>
      </c>
    </row>
    <row r="33062" spans="103:104" x14ac:dyDescent="0.3">
      <c r="CY33062" s="34" t="s">
        <v>33988</v>
      </c>
      <c r="CZ33062" s="35">
        <v>5.6074970000000002E-2</v>
      </c>
    </row>
    <row r="33063" spans="103:104" x14ac:dyDescent="0.3">
      <c r="CY33063" s="34" t="s">
        <v>33989</v>
      </c>
      <c r="CZ33063" s="35">
        <v>8.0686905000000017E-2</v>
      </c>
    </row>
    <row r="33064" spans="103:104" x14ac:dyDescent="0.3">
      <c r="CY33064" s="34" t="s">
        <v>33990</v>
      </c>
      <c r="CZ33064" s="35">
        <v>2.6800899999999996E-2</v>
      </c>
    </row>
    <row r="33065" spans="103:104" x14ac:dyDescent="0.3">
      <c r="CY33065" s="34" t="s">
        <v>33991</v>
      </c>
      <c r="CZ33065" s="35">
        <v>3.4486204800000003E-2</v>
      </c>
    </row>
    <row r="33066" spans="103:104" x14ac:dyDescent="0.3">
      <c r="CY33066" s="34" t="s">
        <v>33992</v>
      </c>
      <c r="CZ33066" s="35">
        <v>1.6726310000000001E-2</v>
      </c>
    </row>
    <row r="33067" spans="103:104" x14ac:dyDescent="0.3">
      <c r="CY33067" s="34" t="s">
        <v>33993</v>
      </c>
      <c r="CZ33067" s="35">
        <v>2.3292312799999999E-2</v>
      </c>
    </row>
    <row r="33068" spans="103:104" x14ac:dyDescent="0.3">
      <c r="CY33068" s="34" t="s">
        <v>33994</v>
      </c>
      <c r="CZ33068" s="35">
        <v>3.7623170000000003E-3</v>
      </c>
    </row>
    <row r="33069" spans="103:104" x14ac:dyDescent="0.3">
      <c r="CY33069" s="34" t="s">
        <v>33995</v>
      </c>
      <c r="CZ33069" s="35">
        <v>1.3276916000000001E-2</v>
      </c>
    </row>
    <row r="33070" spans="103:104" x14ac:dyDescent="0.3">
      <c r="CY33070" s="34" t="s">
        <v>33996</v>
      </c>
      <c r="CZ33070" s="35">
        <v>0.33571106000000001</v>
      </c>
    </row>
    <row r="33071" spans="103:104" x14ac:dyDescent="0.3">
      <c r="CY33071" s="34" t="s">
        <v>33997</v>
      </c>
      <c r="CZ33071" s="35">
        <v>1.6452948000000001E-3</v>
      </c>
    </row>
    <row r="33072" spans="103:104" x14ac:dyDescent="0.3">
      <c r="CY33072" s="34" t="s">
        <v>33998</v>
      </c>
      <c r="CZ33072" s="35">
        <v>2.2823031999999995E-3</v>
      </c>
    </row>
    <row r="33073" spans="103:104" x14ac:dyDescent="0.3">
      <c r="CY33073" s="34" t="s">
        <v>33999</v>
      </c>
      <c r="CZ33073" s="35">
        <v>0.32306267500000002</v>
      </c>
    </row>
    <row r="33074" spans="103:104" x14ac:dyDescent="0.3">
      <c r="CY33074" s="34" t="s">
        <v>34000</v>
      </c>
      <c r="CZ33074" s="35">
        <v>6.2709936799999998E-3</v>
      </c>
    </row>
    <row r="33075" spans="103:104" x14ac:dyDescent="0.3">
      <c r="CY33075" s="34" t="s">
        <v>34001</v>
      </c>
      <c r="CZ33075" s="35">
        <v>1.9950777333333333E-2</v>
      </c>
    </row>
    <row r="33076" spans="103:104" x14ac:dyDescent="0.3">
      <c r="CY33076" s="34" t="s">
        <v>34002</v>
      </c>
      <c r="CZ33076" s="35">
        <v>0.26923399999999997</v>
      </c>
    </row>
    <row r="33077" spans="103:104" x14ac:dyDescent="0.3">
      <c r="CY33077" s="34" t="s">
        <v>34003</v>
      </c>
      <c r="CZ33077" s="35">
        <v>0.23219000000000001</v>
      </c>
    </row>
    <row r="33078" spans="103:104" x14ac:dyDescent="0.3">
      <c r="CY33078" s="34" t="s">
        <v>34004</v>
      </c>
      <c r="CZ33078" s="35">
        <v>3.6008951999999999E-3</v>
      </c>
    </row>
    <row r="33079" spans="103:104" x14ac:dyDescent="0.3">
      <c r="CY33079" s="34" t="s">
        <v>34005</v>
      </c>
      <c r="CZ33079" s="35">
        <v>9.5855360000000001E-2</v>
      </c>
    </row>
    <row r="33080" spans="103:104" x14ac:dyDescent="0.3">
      <c r="CY33080" s="34" t="s">
        <v>34006</v>
      </c>
      <c r="CZ33080" s="35">
        <v>2.95605E-3</v>
      </c>
    </row>
    <row r="33081" spans="103:104" x14ac:dyDescent="0.3">
      <c r="CY33081" s="34" t="s">
        <v>34007</v>
      </c>
      <c r="CZ33081" s="35">
        <v>0.31602908843537758</v>
      </c>
    </row>
    <row r="33082" spans="103:104" x14ac:dyDescent="0.3">
      <c r="CY33082" s="34" t="s">
        <v>34008</v>
      </c>
      <c r="CZ33082" s="35">
        <v>0.36385918367346948</v>
      </c>
    </row>
    <row r="33083" spans="103:104" x14ac:dyDescent="0.3">
      <c r="CY33083" s="34" t="s">
        <v>34009</v>
      </c>
      <c r="CZ33083" s="35">
        <v>4.6091663999999991E-2</v>
      </c>
    </row>
    <row r="33084" spans="103:104" x14ac:dyDescent="0.3">
      <c r="CY33084" s="34" t="s">
        <v>34010</v>
      </c>
      <c r="CZ33084" s="35">
        <v>1.4165273285999999E-2</v>
      </c>
    </row>
    <row r="33085" spans="103:104" x14ac:dyDescent="0.3">
      <c r="CY33085" s="34" t="s">
        <v>34011</v>
      </c>
      <c r="CZ33085" s="35">
        <v>9.3724131259999999E-3</v>
      </c>
    </row>
    <row r="33086" spans="103:104" x14ac:dyDescent="0.3">
      <c r="CY33086" s="34" t="s">
        <v>34012</v>
      </c>
      <c r="CZ33086" s="35">
        <v>4.291910999666667E-2</v>
      </c>
    </row>
    <row r="33087" spans="103:104" x14ac:dyDescent="0.3">
      <c r="CY33087" s="34" t="s">
        <v>34013</v>
      </c>
      <c r="CZ33087" s="35">
        <v>1.1251877E-2</v>
      </c>
    </row>
    <row r="33088" spans="103:104" x14ac:dyDescent="0.3">
      <c r="CY33088" s="34" t="s">
        <v>34014</v>
      </c>
      <c r="CZ33088" s="35">
        <v>1.2098616400000001E-2</v>
      </c>
    </row>
    <row r="33089" spans="103:104" x14ac:dyDescent="0.3">
      <c r="CY33089" s="34" t="s">
        <v>34015</v>
      </c>
      <c r="CZ33089" s="35">
        <v>6.7225205999999996E-2</v>
      </c>
    </row>
    <row r="33090" spans="103:104" x14ac:dyDescent="0.3">
      <c r="CY33090" s="34" t="s">
        <v>34016</v>
      </c>
      <c r="CZ33090" s="35">
        <v>6.4044635350000009E-3</v>
      </c>
    </row>
    <row r="33091" spans="103:104" x14ac:dyDescent="0.3">
      <c r="CY33091" s="34" t="s">
        <v>34017</v>
      </c>
      <c r="CZ33091" s="35">
        <v>3.4482720000000005E-3</v>
      </c>
    </row>
    <row r="33092" spans="103:104" x14ac:dyDescent="0.3">
      <c r="CY33092" s="34" t="s">
        <v>34018</v>
      </c>
      <c r="CZ33092" s="35">
        <v>4.253232E-3</v>
      </c>
    </row>
    <row r="33093" spans="103:104" x14ac:dyDescent="0.3">
      <c r="CY33093" s="34" t="s">
        <v>34019</v>
      </c>
      <c r="CZ33093" s="35">
        <v>1.3553296800000001E-2</v>
      </c>
    </row>
    <row r="33094" spans="103:104" x14ac:dyDescent="0.3">
      <c r="CY33094" s="34" t="s">
        <v>34020</v>
      </c>
      <c r="CZ33094" s="35">
        <v>5.8306788E-3</v>
      </c>
    </row>
    <row r="33095" spans="103:104" x14ac:dyDescent="0.3">
      <c r="CY33095" s="34" t="s">
        <v>34021</v>
      </c>
      <c r="CZ33095" s="35">
        <v>1.9168245999999999E-3</v>
      </c>
    </row>
    <row r="33096" spans="103:104" x14ac:dyDescent="0.3">
      <c r="CY33096" s="34" t="s">
        <v>34022</v>
      </c>
      <c r="CZ33096" s="35">
        <v>1.3313344000000001E-2</v>
      </c>
    </row>
    <row r="33097" spans="103:104" x14ac:dyDescent="0.3">
      <c r="CY33097" s="34" t="s">
        <v>34023</v>
      </c>
      <c r="CZ33097" s="35">
        <v>4.6346770000000002E-2</v>
      </c>
    </row>
    <row r="33098" spans="103:104" x14ac:dyDescent="0.3">
      <c r="CY33098" s="34" t="s">
        <v>34024</v>
      </c>
      <c r="CZ33098" s="35">
        <v>3.0380983341176467E-3</v>
      </c>
    </row>
    <row r="33099" spans="103:104" x14ac:dyDescent="0.3">
      <c r="CY33099" s="34" t="s">
        <v>34025</v>
      </c>
      <c r="CZ33099" s="35">
        <v>1.6505669599999998E-2</v>
      </c>
    </row>
    <row r="33100" spans="103:104" x14ac:dyDescent="0.3">
      <c r="CY33100" s="34" t="s">
        <v>34026</v>
      </c>
      <c r="CZ33100" s="35">
        <v>1.6505669599999998E-2</v>
      </c>
    </row>
    <row r="33101" spans="103:104" x14ac:dyDescent="0.3">
      <c r="CY33101" s="34" t="s">
        <v>34027</v>
      </c>
      <c r="CZ33101" s="35">
        <v>7.7484936285714279E-3</v>
      </c>
    </row>
    <row r="33102" spans="103:104" x14ac:dyDescent="0.3">
      <c r="CY33102" s="34" t="s">
        <v>34028</v>
      </c>
      <c r="CZ33102" s="35">
        <v>3.8696849000000001E-4</v>
      </c>
    </row>
    <row r="33103" spans="103:104" x14ac:dyDescent="0.3">
      <c r="CY33103" s="34" t="s">
        <v>34029</v>
      </c>
      <c r="CZ33103" s="35">
        <v>0.15736924444444444</v>
      </c>
    </row>
    <row r="33104" spans="103:104" x14ac:dyDescent="0.3">
      <c r="CY33104" s="34" t="s">
        <v>34030</v>
      </c>
      <c r="CZ33104" s="35">
        <v>0.119458816</v>
      </c>
    </row>
    <row r="33105" spans="103:104" x14ac:dyDescent="0.3">
      <c r="CY33105" s="34" t="s">
        <v>34031</v>
      </c>
      <c r="CZ33105" s="35">
        <v>4.8483144999999998E-2</v>
      </c>
    </row>
    <row r="33106" spans="103:104" x14ac:dyDescent="0.3">
      <c r="CY33106" s="34" t="s">
        <v>34032</v>
      </c>
      <c r="CZ33106" s="35">
        <v>0.495053297</v>
      </c>
    </row>
    <row r="33107" spans="103:104" x14ac:dyDescent="0.3">
      <c r="CY33107" s="34" t="s">
        <v>34033</v>
      </c>
      <c r="CZ33107" s="35">
        <v>2.0149749516600005E-3</v>
      </c>
    </row>
    <row r="33108" spans="103:104" x14ac:dyDescent="0.3">
      <c r="CY33108" s="34" t="s">
        <v>34034</v>
      </c>
      <c r="CZ33108" s="35">
        <v>9.7717850000000016E-4</v>
      </c>
    </row>
    <row r="33109" spans="103:104" x14ac:dyDescent="0.3">
      <c r="CY33109" s="34" t="s">
        <v>34035</v>
      </c>
      <c r="CZ33109" s="35">
        <v>1.3183881E-4</v>
      </c>
    </row>
    <row r="33110" spans="103:104" x14ac:dyDescent="0.3">
      <c r="CY33110" s="34" t="s">
        <v>34036</v>
      </c>
      <c r="CZ33110" s="35">
        <v>2.1584640000000001E-3</v>
      </c>
    </row>
    <row r="33111" spans="103:104" x14ac:dyDescent="0.3">
      <c r="CY33111" s="34" t="s">
        <v>34037</v>
      </c>
      <c r="CZ33111" s="35">
        <v>2.4565799999999999E-3</v>
      </c>
    </row>
    <row r="33112" spans="103:104" x14ac:dyDescent="0.3">
      <c r="CY33112" s="34" t="s">
        <v>34038</v>
      </c>
      <c r="CZ33112" s="35">
        <v>2.2777103999999998E-3</v>
      </c>
    </row>
    <row r="33113" spans="103:104" x14ac:dyDescent="0.3">
      <c r="CY33113" s="34" t="s">
        <v>34039</v>
      </c>
      <c r="CZ33113" s="35">
        <v>1.1091862666666667E-2</v>
      </c>
    </row>
    <row r="33114" spans="103:104" x14ac:dyDescent="0.3">
      <c r="CY33114" s="34" t="s">
        <v>34040</v>
      </c>
      <c r="CZ33114" s="35">
        <v>0.112987538</v>
      </c>
    </row>
    <row r="33115" spans="103:104" x14ac:dyDescent="0.3">
      <c r="CY33115" s="34" t="s">
        <v>34041</v>
      </c>
      <c r="CZ33115" s="35">
        <v>12.904197941920001</v>
      </c>
    </row>
    <row r="33116" spans="103:104" x14ac:dyDescent="0.3">
      <c r="CY33116" s="34" t="s">
        <v>34042</v>
      </c>
      <c r="CZ33116" s="35">
        <v>0.13302417999999999</v>
      </c>
    </row>
    <row r="33117" spans="103:104" x14ac:dyDescent="0.3">
      <c r="CY33117" s="34" t="s">
        <v>34043</v>
      </c>
      <c r="CZ33117" s="35">
        <v>0.93514768000000004</v>
      </c>
    </row>
    <row r="33118" spans="103:104" x14ac:dyDescent="0.3">
      <c r="CY33118" s="34" t="s">
        <v>34044</v>
      </c>
      <c r="CZ33118" s="35">
        <v>1.1820354600000003</v>
      </c>
    </row>
    <row r="33119" spans="103:104" x14ac:dyDescent="0.3">
      <c r="CY33119" s="34" t="s">
        <v>34045</v>
      </c>
      <c r="CZ33119" s="35">
        <v>0.37419749999999996</v>
      </c>
    </row>
    <row r="33120" spans="103:104" x14ac:dyDescent="0.3">
      <c r="CY33120" s="34" t="s">
        <v>34046</v>
      </c>
      <c r="CZ33120" s="35">
        <v>0.2930102</v>
      </c>
    </row>
    <row r="33121" spans="103:104" x14ac:dyDescent="0.3">
      <c r="CY33121" s="34" t="s">
        <v>34047</v>
      </c>
      <c r="CZ33121" s="35">
        <v>4.2287484320000006E-2</v>
      </c>
    </row>
    <row r="33122" spans="103:104" x14ac:dyDescent="0.3">
      <c r="CY33122" s="34" t="s">
        <v>34048</v>
      </c>
      <c r="CZ33122" s="35">
        <v>4.67704808E-2</v>
      </c>
    </row>
    <row r="33123" spans="103:104" x14ac:dyDescent="0.3">
      <c r="CY33123" s="34" t="s">
        <v>34049</v>
      </c>
      <c r="CZ33123" s="35">
        <v>4.7809592000000005E-2</v>
      </c>
    </row>
    <row r="33124" spans="103:104" x14ac:dyDescent="0.3">
      <c r="CY33124" s="34" t="s">
        <v>34050</v>
      </c>
      <c r="CZ33124" s="35">
        <v>1.6446304000000002E-2</v>
      </c>
    </row>
    <row r="33125" spans="103:104" x14ac:dyDescent="0.3">
      <c r="CY33125" s="34" t="s">
        <v>34051</v>
      </c>
      <c r="CZ33125" s="35">
        <v>5.0832515399999993E-2</v>
      </c>
    </row>
    <row r="33126" spans="103:104" x14ac:dyDescent="0.3">
      <c r="CY33126" s="34" t="s">
        <v>34052</v>
      </c>
      <c r="CZ33126" s="35">
        <v>0.4751012</v>
      </c>
    </row>
    <row r="33127" spans="103:104" x14ac:dyDescent="0.3">
      <c r="CY33127" s="34" t="s">
        <v>34053</v>
      </c>
      <c r="CZ33127" s="35">
        <v>1.9617513599999997E-2</v>
      </c>
    </row>
    <row r="33128" spans="103:104" x14ac:dyDescent="0.3">
      <c r="CY33128" s="34" t="s">
        <v>34054</v>
      </c>
      <c r="CZ33128" s="35">
        <v>2.1486924588800003E-2</v>
      </c>
    </row>
    <row r="33129" spans="103:104" x14ac:dyDescent="0.3">
      <c r="CY33129" s="34" t="s">
        <v>34055</v>
      </c>
      <c r="CZ33129" s="35">
        <v>1.6791741999999998E-2</v>
      </c>
    </row>
    <row r="33130" spans="103:104" x14ac:dyDescent="0.3">
      <c r="CY33130" s="34" t="s">
        <v>34056</v>
      </c>
      <c r="CZ33130" s="35">
        <v>0.20936550578947372</v>
      </c>
    </row>
    <row r="33131" spans="103:104" x14ac:dyDescent="0.3">
      <c r="CY33131" s="34" t="s">
        <v>34057</v>
      </c>
      <c r="CZ33131" s="35">
        <v>0.13302417999999999</v>
      </c>
    </row>
    <row r="33132" spans="103:104" x14ac:dyDescent="0.3">
      <c r="CY33132" s="34" t="s">
        <v>34058</v>
      </c>
      <c r="CZ33132" s="35">
        <v>0.13302417999999999</v>
      </c>
    </row>
    <row r="33133" spans="103:104" x14ac:dyDescent="0.3">
      <c r="CY33133" s="34" t="s">
        <v>34059</v>
      </c>
      <c r="CZ33133" s="35">
        <v>2.9548744100000003E-2</v>
      </c>
    </row>
    <row r="33134" spans="103:104" x14ac:dyDescent="0.3">
      <c r="CY33134" s="34" t="s">
        <v>34060</v>
      </c>
      <c r="CZ33134" s="35">
        <v>0.16088674</v>
      </c>
    </row>
    <row r="33135" spans="103:104" x14ac:dyDescent="0.3">
      <c r="CY33135" s="34" t="s">
        <v>34061</v>
      </c>
      <c r="CZ33135" s="35">
        <v>0.110356572</v>
      </c>
    </row>
    <row r="33136" spans="103:104" x14ac:dyDescent="0.3">
      <c r="CY33136" s="34" t="s">
        <v>34062</v>
      </c>
      <c r="CZ33136" s="35">
        <v>0.21700269999999999</v>
      </c>
    </row>
    <row r="33137" spans="103:104" x14ac:dyDescent="0.3">
      <c r="CY33137" s="34" t="s">
        <v>34063</v>
      </c>
      <c r="CZ33137" s="35">
        <v>5.2007545841785722E-4</v>
      </c>
    </row>
    <row r="33138" spans="103:104" x14ac:dyDescent="0.3">
      <c r="CY33138" s="34" t="s">
        <v>34064</v>
      </c>
      <c r="CZ33138" s="35">
        <v>3.3007828571428579E-3</v>
      </c>
    </row>
    <row r="33139" spans="103:104" x14ac:dyDescent="0.3">
      <c r="CY33139" s="34" t="s">
        <v>34065</v>
      </c>
      <c r="CZ33139" s="35">
        <v>4.7581250000000002E-3</v>
      </c>
    </row>
    <row r="33140" spans="103:104" x14ac:dyDescent="0.3">
      <c r="CY33140" s="34" t="s">
        <v>34066</v>
      </c>
      <c r="CZ33140" s="35">
        <v>0.4294859125714286</v>
      </c>
    </row>
    <row r="33141" spans="103:104" x14ac:dyDescent="0.3">
      <c r="CY33141" s="34" t="s">
        <v>34067</v>
      </c>
      <c r="CZ33141" s="35">
        <v>9.0515762832951957E-2</v>
      </c>
    </row>
    <row r="33142" spans="103:104" x14ac:dyDescent="0.3">
      <c r="CY33142" s="34" t="s">
        <v>34068</v>
      </c>
      <c r="CZ33142" s="35">
        <v>8.3493510000000014E-3</v>
      </c>
    </row>
    <row r="33143" spans="103:104" x14ac:dyDescent="0.3">
      <c r="CY33143" s="34" t="s">
        <v>34069</v>
      </c>
      <c r="CZ33143" s="35">
        <v>1.5415105735999999E-2</v>
      </c>
    </row>
    <row r="33144" spans="103:104" x14ac:dyDescent="0.3">
      <c r="CY33144" s="34" t="s">
        <v>34070</v>
      </c>
      <c r="CZ33144" s="35">
        <v>9.6452900000000008E-3</v>
      </c>
    </row>
    <row r="33145" spans="103:104" x14ac:dyDescent="0.3">
      <c r="CY33145" s="34" t="s">
        <v>34071</v>
      </c>
      <c r="CZ33145" s="35">
        <v>7.0483004999999987E-2</v>
      </c>
    </row>
    <row r="33146" spans="103:104" x14ac:dyDescent="0.3">
      <c r="CY33146" s="34" t="s">
        <v>34072</v>
      </c>
      <c r="CZ33146" s="35">
        <v>6.494278E-4</v>
      </c>
    </row>
    <row r="33147" spans="103:104" x14ac:dyDescent="0.3">
      <c r="CY33147" s="34" t="s">
        <v>34073</v>
      </c>
      <c r="CZ33147" s="35">
        <v>5.9680756000000002E-4</v>
      </c>
    </row>
    <row r="33148" spans="103:104" x14ac:dyDescent="0.3">
      <c r="CY33148" s="34" t="s">
        <v>34074</v>
      </c>
      <c r="CZ33148" s="35">
        <v>0.67452233333333333</v>
      </c>
    </row>
    <row r="33149" spans="103:104" x14ac:dyDescent="0.3">
      <c r="CY33149" s="34" t="s">
        <v>34075</v>
      </c>
      <c r="CZ33149" s="35">
        <v>0.62132633334999998</v>
      </c>
    </row>
    <row r="33150" spans="103:104" x14ac:dyDescent="0.3">
      <c r="CY33150" s="34" t="s">
        <v>34076</v>
      </c>
      <c r="CZ33150" s="35">
        <v>0.68172650000000001</v>
      </c>
    </row>
    <row r="33151" spans="103:104" x14ac:dyDescent="0.3">
      <c r="CY33151" s="34" t="s">
        <v>34077</v>
      </c>
      <c r="CZ33151" s="35">
        <v>0.62853049999999999</v>
      </c>
    </row>
    <row r="33152" spans="103:104" x14ac:dyDescent="0.3">
      <c r="CY33152" s="34" t="s">
        <v>34078</v>
      </c>
      <c r="CZ33152" s="35">
        <v>1.2625857258823531E-2</v>
      </c>
    </row>
    <row r="33153" spans="103:104" x14ac:dyDescent="0.3">
      <c r="CY33153" s="34" t="s">
        <v>34079</v>
      </c>
      <c r="CZ33153" s="35">
        <v>1.2625857258823529E-2</v>
      </c>
    </row>
    <row r="33154" spans="103:104" x14ac:dyDescent="0.3">
      <c r="CY33154" s="34" t="s">
        <v>34080</v>
      </c>
      <c r="CZ33154" s="35">
        <v>1.2119007058823529E-2</v>
      </c>
    </row>
    <row r="33155" spans="103:104" x14ac:dyDescent="0.3">
      <c r="CY33155" s="34" t="s">
        <v>34081</v>
      </c>
      <c r="CZ33155" s="35">
        <v>1.2119007058823529E-2</v>
      </c>
    </row>
    <row r="33156" spans="103:104" x14ac:dyDescent="0.3">
      <c r="CY33156" s="34" t="s">
        <v>34082</v>
      </c>
      <c r="CZ33156" s="35">
        <v>1.2119007058823529E-2</v>
      </c>
    </row>
    <row r="33157" spans="103:104" x14ac:dyDescent="0.3">
      <c r="CY33157" s="34" t="s">
        <v>34083</v>
      </c>
      <c r="CZ33157" s="35">
        <v>1.4489795918367347E-2</v>
      </c>
    </row>
    <row r="33158" spans="103:104" x14ac:dyDescent="0.3">
      <c r="CY33158" s="34" t="s">
        <v>34084</v>
      </c>
      <c r="CZ33158" s="35">
        <v>1.388918629550321E-2</v>
      </c>
    </row>
    <row r="33159" spans="103:104" x14ac:dyDescent="0.3">
      <c r="CY33159" s="34" t="s">
        <v>34085</v>
      </c>
      <c r="CZ33159" s="35">
        <v>1.4335179487179486E-2</v>
      </c>
    </row>
    <row r="33160" spans="103:104" x14ac:dyDescent="0.3">
      <c r="CY33160" s="34" t="s">
        <v>34086</v>
      </c>
      <c r="CZ33160" s="35">
        <v>1.5261764705882351E-2</v>
      </c>
    </row>
    <row r="33161" spans="103:104" x14ac:dyDescent="0.3">
      <c r="CY33161" s="34" t="s">
        <v>34087</v>
      </c>
      <c r="CZ33161" s="35">
        <v>1.6713882352941176E-2</v>
      </c>
    </row>
    <row r="33162" spans="103:104" x14ac:dyDescent="0.3">
      <c r="CY33162" s="34" t="s">
        <v>34088</v>
      </c>
      <c r="CZ33162" s="35">
        <v>1.8172296470588236E-2</v>
      </c>
    </row>
    <row r="33163" spans="103:104" x14ac:dyDescent="0.3">
      <c r="CY33163" s="34" t="s">
        <v>34089</v>
      </c>
      <c r="CZ33163" s="35">
        <v>1.9255203141176475E-2</v>
      </c>
    </row>
    <row r="33164" spans="103:104" x14ac:dyDescent="0.3">
      <c r="CY33164" s="34" t="s">
        <v>34090</v>
      </c>
      <c r="CZ33164" s="35">
        <v>1.9788536470588237E-2</v>
      </c>
    </row>
    <row r="33165" spans="103:104" x14ac:dyDescent="0.3">
      <c r="CY33165" s="34" t="s">
        <v>34091</v>
      </c>
      <c r="CZ33165" s="35">
        <v>1.9255203141176475E-2</v>
      </c>
    </row>
    <row r="33166" spans="103:104" x14ac:dyDescent="0.3">
      <c r="CY33166" s="34" t="s">
        <v>34092</v>
      </c>
      <c r="CZ33166" s="35">
        <v>1.6845773019271947E-2</v>
      </c>
    </row>
    <row r="33167" spans="103:104" x14ac:dyDescent="0.3">
      <c r="CY33167" s="34" t="s">
        <v>34093</v>
      </c>
      <c r="CZ33167" s="35">
        <v>2.4881872941176469E-2</v>
      </c>
    </row>
    <row r="33168" spans="103:104" x14ac:dyDescent="0.3">
      <c r="CY33168" s="34" t="s">
        <v>34094</v>
      </c>
      <c r="CZ33168" s="35">
        <v>2.2776192941176478E-2</v>
      </c>
    </row>
    <row r="33169" spans="103:104" x14ac:dyDescent="0.3">
      <c r="CY33169" s="34" t="s">
        <v>34095</v>
      </c>
      <c r="CZ33169" s="35">
        <v>2.2776192941176474E-2</v>
      </c>
    </row>
    <row r="33170" spans="103:104" x14ac:dyDescent="0.3">
      <c r="CY33170" s="34" t="s">
        <v>34096</v>
      </c>
      <c r="CZ33170" s="35">
        <v>2.2776192941176478E-2</v>
      </c>
    </row>
    <row r="33171" spans="103:104" x14ac:dyDescent="0.3">
      <c r="CY33171" s="34" t="s">
        <v>34097</v>
      </c>
      <c r="CZ33171" s="35">
        <v>0.63738062000000006</v>
      </c>
    </row>
    <row r="33172" spans="103:104" x14ac:dyDescent="0.3">
      <c r="CY33172" s="34" t="s">
        <v>34098</v>
      </c>
      <c r="CZ33172" s="35">
        <v>0.63738061999999995</v>
      </c>
    </row>
    <row r="33173" spans="103:104" x14ac:dyDescent="0.3">
      <c r="CY33173" s="34" t="s">
        <v>34099</v>
      </c>
      <c r="CZ33173" s="35">
        <v>0.68246984000000011</v>
      </c>
    </row>
    <row r="33174" spans="103:104" x14ac:dyDescent="0.3">
      <c r="CY33174" s="34" t="s">
        <v>34100</v>
      </c>
      <c r="CZ33174" s="35">
        <v>0.6841393400000001</v>
      </c>
    </row>
    <row r="33175" spans="103:104" x14ac:dyDescent="0.3">
      <c r="CY33175" s="34" t="s">
        <v>34101</v>
      </c>
      <c r="CZ33175" s="35">
        <v>0.8827102</v>
      </c>
    </row>
    <row r="33176" spans="103:104" x14ac:dyDescent="0.3">
      <c r="CY33176" s="34" t="s">
        <v>34102</v>
      </c>
      <c r="CZ33176" s="35">
        <v>0.70167385999999987</v>
      </c>
    </row>
    <row r="33177" spans="103:104" x14ac:dyDescent="0.3">
      <c r="CY33177" s="34" t="s">
        <v>34103</v>
      </c>
      <c r="CZ33177" s="35">
        <v>0.59938915999999998</v>
      </c>
    </row>
    <row r="33178" spans="103:104" x14ac:dyDescent="0.3">
      <c r="CY33178" s="34" t="s">
        <v>34104</v>
      </c>
      <c r="CZ33178" s="35">
        <v>0.63012474799999996</v>
      </c>
    </row>
    <row r="33179" spans="103:104" x14ac:dyDescent="0.3">
      <c r="CY33179" s="34" t="s">
        <v>34105</v>
      </c>
      <c r="CZ33179" s="35">
        <v>0.63477832000000001</v>
      </c>
    </row>
    <row r="33180" spans="103:104" x14ac:dyDescent="0.3">
      <c r="CY33180" s="34" t="s">
        <v>34106</v>
      </c>
      <c r="CZ33180" s="35">
        <v>0.65817998</v>
      </c>
    </row>
    <row r="33181" spans="103:104" x14ac:dyDescent="0.3">
      <c r="CY33181" s="34" t="s">
        <v>34107</v>
      </c>
      <c r="CZ33181" s="35">
        <v>2.8146065E-3</v>
      </c>
    </row>
    <row r="33182" spans="103:104" x14ac:dyDescent="0.3">
      <c r="CY33182" s="34" t="s">
        <v>34108</v>
      </c>
      <c r="CZ33182" s="35">
        <v>1.7965789333333332E-3</v>
      </c>
    </row>
    <row r="33183" spans="103:104" x14ac:dyDescent="0.3">
      <c r="CY33183" s="34" t="s">
        <v>34109</v>
      </c>
      <c r="CZ33183" s="35">
        <v>4.8607671999999994E-3</v>
      </c>
    </row>
    <row r="33184" spans="103:104" x14ac:dyDescent="0.3">
      <c r="CY33184" s="34" t="s">
        <v>34110</v>
      </c>
      <c r="CZ33184" s="35">
        <v>1.4742908400000001E-2</v>
      </c>
    </row>
    <row r="33185" spans="103:104" x14ac:dyDescent="0.3">
      <c r="CY33185" s="34" t="s">
        <v>34111</v>
      </c>
      <c r="CZ33185" s="35">
        <v>1.1391580666666666E-2</v>
      </c>
    </row>
    <row r="33186" spans="103:104" x14ac:dyDescent="0.3">
      <c r="CY33186" s="34" t="s">
        <v>34112</v>
      </c>
      <c r="CZ33186" s="35">
        <v>0.67410912000000001</v>
      </c>
    </row>
    <row r="33187" spans="103:104" x14ac:dyDescent="0.3">
      <c r="CY33187" s="34" t="s">
        <v>34113</v>
      </c>
      <c r="CZ33187" s="35">
        <v>0.78812233999999992</v>
      </c>
    </row>
    <row r="33188" spans="103:104" x14ac:dyDescent="0.3">
      <c r="CY33188" s="34" t="s">
        <v>34114</v>
      </c>
      <c r="CZ33188" s="35">
        <v>0.24839392700000001</v>
      </c>
    </row>
    <row r="33189" spans="103:104" x14ac:dyDescent="0.3">
      <c r="CY33189" s="34" t="s">
        <v>34115</v>
      </c>
      <c r="CZ33189" s="35">
        <v>0.22020160699999999</v>
      </c>
    </row>
    <row r="33190" spans="103:104" x14ac:dyDescent="0.3">
      <c r="CY33190" s="34" t="s">
        <v>34116</v>
      </c>
      <c r="CZ33190" s="35">
        <v>4.9399809599999997E-2</v>
      </c>
    </row>
    <row r="33191" spans="103:104" x14ac:dyDescent="0.3">
      <c r="CY33191" s="34" t="s">
        <v>34117</v>
      </c>
      <c r="CZ33191" s="35">
        <v>5.6634631000000005E-2</v>
      </c>
    </row>
    <row r="33192" spans="103:104" x14ac:dyDescent="0.3">
      <c r="CY33192" s="34" t="s">
        <v>34118</v>
      </c>
      <c r="CZ33192" s="35">
        <v>1.1017203599999998E-4</v>
      </c>
    </row>
    <row r="33193" spans="103:104" x14ac:dyDescent="0.3">
      <c r="CY33193" s="34" t="s">
        <v>34119</v>
      </c>
      <c r="CZ33193" s="35">
        <v>0.54426696249999984</v>
      </c>
    </row>
    <row r="33194" spans="103:104" x14ac:dyDescent="0.3">
      <c r="CY33194" s="34" t="s">
        <v>34120</v>
      </c>
      <c r="CZ33194" s="35">
        <v>5.04135608E-2</v>
      </c>
    </row>
    <row r="33195" spans="103:104" x14ac:dyDescent="0.3">
      <c r="CY33195" s="34" t="s">
        <v>34121</v>
      </c>
      <c r="CZ33195" s="35">
        <v>2.0037692000000004E-3</v>
      </c>
    </row>
    <row r="33196" spans="103:104" x14ac:dyDescent="0.3">
      <c r="CY33196" s="34" t="s">
        <v>34122</v>
      </c>
      <c r="CZ33196" s="35">
        <v>9.85318E-4</v>
      </c>
    </row>
    <row r="33197" spans="103:104" x14ac:dyDescent="0.3">
      <c r="CY33197" s="34" t="s">
        <v>34123</v>
      </c>
      <c r="CZ33197" s="35">
        <v>1.7692652333333332E-3</v>
      </c>
    </row>
    <row r="33198" spans="103:104" x14ac:dyDescent="0.3">
      <c r="CY33198" s="34" t="s">
        <v>34124</v>
      </c>
      <c r="CZ33198" s="35">
        <v>2.5720000000000001E-3</v>
      </c>
    </row>
    <row r="33199" spans="103:104" x14ac:dyDescent="0.3">
      <c r="CY33199" s="34" t="s">
        <v>34125</v>
      </c>
      <c r="CZ33199" s="35">
        <v>3.3407426666666666E-3</v>
      </c>
    </row>
    <row r="33200" spans="103:104" x14ac:dyDescent="0.3">
      <c r="CY33200" s="34" t="s">
        <v>34126</v>
      </c>
      <c r="CZ33200" s="35">
        <v>2.4460446500000002</v>
      </c>
    </row>
    <row r="33201" spans="103:104" x14ac:dyDescent="0.3">
      <c r="CY33201" s="34" t="s">
        <v>34127</v>
      </c>
      <c r="CZ33201" s="35">
        <v>1.9104020099999999</v>
      </c>
    </row>
    <row r="33202" spans="103:104" x14ac:dyDescent="0.3">
      <c r="CY33202" s="34" t="s">
        <v>34128</v>
      </c>
      <c r="CZ33202" s="35">
        <v>0.49241763999999993</v>
      </c>
    </row>
    <row r="33203" spans="103:104" x14ac:dyDescent="0.3">
      <c r="CY33203" s="34" t="s">
        <v>34129</v>
      </c>
      <c r="CZ33203" s="35">
        <v>2.8679689000000002</v>
      </c>
    </row>
    <row r="33204" spans="103:104" x14ac:dyDescent="0.3">
      <c r="CY33204" s="34" t="s">
        <v>34130</v>
      </c>
      <c r="CZ33204" s="35">
        <v>2.0949159000000002</v>
      </c>
    </row>
    <row r="33205" spans="103:104" x14ac:dyDescent="0.3">
      <c r="CY33205" s="34" t="s">
        <v>34131</v>
      </c>
      <c r="CZ33205" s="35">
        <v>0.72982799999999992</v>
      </c>
    </row>
    <row r="33206" spans="103:104" x14ac:dyDescent="0.3">
      <c r="CY33206" s="34" t="s">
        <v>34132</v>
      </c>
      <c r="CZ33206" s="35">
        <v>1.4679279999999998E-2</v>
      </c>
    </row>
    <row r="33207" spans="103:104" x14ac:dyDescent="0.3">
      <c r="CY33207" s="34" t="s">
        <v>34133</v>
      </c>
      <c r="CZ33207" s="35">
        <v>4.2142400000000002E-3</v>
      </c>
    </row>
    <row r="33208" spans="103:104" x14ac:dyDescent="0.3">
      <c r="CY33208" s="34" t="s">
        <v>34134</v>
      </c>
      <c r="CZ33208" s="35">
        <v>2.3804777999999999E-2</v>
      </c>
    </row>
    <row r="33209" spans="103:104" x14ac:dyDescent="0.3">
      <c r="CY33209" s="34" t="s">
        <v>34135</v>
      </c>
      <c r="CZ33209" s="35">
        <v>8.2067979999999999E-2</v>
      </c>
    </row>
    <row r="33210" spans="103:104" x14ac:dyDescent="0.3">
      <c r="CY33210" s="34" t="s">
        <v>34136</v>
      </c>
      <c r="CZ33210" s="35">
        <v>4.0777900000000004E-3</v>
      </c>
    </row>
    <row r="33211" spans="103:104" x14ac:dyDescent="0.3">
      <c r="CY33211" s="34" t="s">
        <v>34137</v>
      </c>
      <c r="CZ33211" s="35">
        <v>2.3747626000000001E-3</v>
      </c>
    </row>
    <row r="33212" spans="103:104" x14ac:dyDescent="0.3">
      <c r="CY33212" s="34" t="s">
        <v>34138</v>
      </c>
      <c r="CZ33212" s="35">
        <v>5.904636999999999E-3</v>
      </c>
    </row>
    <row r="33213" spans="103:104" x14ac:dyDescent="0.3">
      <c r="CY33213" s="34" t="s">
        <v>34139</v>
      </c>
      <c r="CZ33213" s="35">
        <v>9.7845555999999997E-3</v>
      </c>
    </row>
    <row r="33214" spans="103:104" x14ac:dyDescent="0.3">
      <c r="CY33214" s="34" t="s">
        <v>34140</v>
      </c>
      <c r="CZ33214" s="35">
        <v>1.1088188000000001</v>
      </c>
    </row>
    <row r="33215" spans="103:104" x14ac:dyDescent="0.3">
      <c r="CY33215" s="34" t="s">
        <v>34141</v>
      </c>
      <c r="CZ33215" s="35">
        <v>6.9906705263157905E-3</v>
      </c>
    </row>
    <row r="33216" spans="103:104" x14ac:dyDescent="0.3">
      <c r="CY33216" s="34" t="s">
        <v>34142</v>
      </c>
      <c r="CZ33216" s="35">
        <v>7.4082065263157901E-3</v>
      </c>
    </row>
    <row r="33217" spans="103:104" x14ac:dyDescent="0.3">
      <c r="CY33217" s="34" t="s">
        <v>34143</v>
      </c>
      <c r="CZ33217" s="35">
        <v>3.0196288000000002E-2</v>
      </c>
    </row>
    <row r="33218" spans="103:104" x14ac:dyDescent="0.3">
      <c r="CY33218" s="34" t="s">
        <v>34144</v>
      </c>
      <c r="CZ33218" s="35">
        <v>1.3264873999999999E-2</v>
      </c>
    </row>
    <row r="33219" spans="103:104" x14ac:dyDescent="0.3">
      <c r="CY33219" s="34" t="s">
        <v>34145</v>
      </c>
      <c r="CZ33219" s="35">
        <v>1.5571939999999999E-2</v>
      </c>
    </row>
    <row r="33220" spans="103:104" x14ac:dyDescent="0.3">
      <c r="CY33220" s="34" t="s">
        <v>34146</v>
      </c>
      <c r="CZ33220" s="35">
        <v>7.1962160000000001E-3</v>
      </c>
    </row>
    <row r="33221" spans="103:104" x14ac:dyDescent="0.3">
      <c r="CY33221" s="34" t="s">
        <v>34147</v>
      </c>
      <c r="CZ33221" s="35">
        <v>9.5175880000000022E-3</v>
      </c>
    </row>
    <row r="33222" spans="103:104" x14ac:dyDescent="0.3">
      <c r="CY33222" s="34" t="s">
        <v>34148</v>
      </c>
      <c r="CZ33222" s="35">
        <v>0.11018909511111111</v>
      </c>
    </row>
    <row r="33223" spans="103:104" x14ac:dyDescent="0.3">
      <c r="CY33223" s="34" t="s">
        <v>34149</v>
      </c>
      <c r="CZ33223" s="35">
        <v>0.2713445462222222</v>
      </c>
    </row>
    <row r="33224" spans="103:104" x14ac:dyDescent="0.3">
      <c r="CY33224" s="34" t="s">
        <v>34150</v>
      </c>
      <c r="CZ33224" s="35">
        <v>4.5172499999999996E-3</v>
      </c>
    </row>
    <row r="33225" spans="103:104" x14ac:dyDescent="0.3">
      <c r="CY33225" s="34" t="s">
        <v>34151</v>
      </c>
      <c r="CZ33225" s="35">
        <v>2.7389920000000005E-2</v>
      </c>
    </row>
    <row r="33226" spans="103:104" x14ac:dyDescent="0.3">
      <c r="CY33226" s="34" t="s">
        <v>34152</v>
      </c>
      <c r="CZ33226" s="35">
        <v>3.3207679999999996E-2</v>
      </c>
    </row>
    <row r="33227" spans="103:104" x14ac:dyDescent="0.3">
      <c r="CY33227" s="34" t="s">
        <v>34153</v>
      </c>
      <c r="CZ33227" s="35">
        <v>0.16052844999999999</v>
      </c>
    </row>
    <row r="33228" spans="103:104" x14ac:dyDescent="0.3">
      <c r="CY33228" s="34" t="s">
        <v>34154</v>
      </c>
      <c r="CZ33228" s="35">
        <v>0.61141338000000001</v>
      </c>
    </row>
    <row r="33229" spans="103:104" x14ac:dyDescent="0.3">
      <c r="CY33229" s="34" t="s">
        <v>34155</v>
      </c>
      <c r="CZ33229" s="35">
        <v>0.42639762000000003</v>
      </c>
    </row>
    <row r="33230" spans="103:104" x14ac:dyDescent="0.3">
      <c r="CY33230" s="34" t="s">
        <v>34156</v>
      </c>
      <c r="CZ33230" s="35">
        <v>0.18175464999999999</v>
      </c>
    </row>
    <row r="33231" spans="103:104" x14ac:dyDescent="0.3">
      <c r="CY33231" s="34" t="s">
        <v>34157</v>
      </c>
      <c r="CZ33231" s="35">
        <v>0.88055205000000003</v>
      </c>
    </row>
    <row r="33232" spans="103:104" x14ac:dyDescent="0.3">
      <c r="CY33232" s="34" t="s">
        <v>34158</v>
      </c>
      <c r="CZ33232" s="35">
        <v>5.6484515333333332E-2</v>
      </c>
    </row>
    <row r="33233" spans="103:104" x14ac:dyDescent="0.3">
      <c r="CY33233" s="34" t="s">
        <v>34159</v>
      </c>
      <c r="CZ33233" s="35">
        <v>4.2057610000000002E-2</v>
      </c>
    </row>
    <row r="33234" spans="103:104" x14ac:dyDescent="0.3">
      <c r="CY33234" s="34" t="s">
        <v>34160</v>
      </c>
      <c r="CZ33234" s="35">
        <v>4.4560628000000005E-2</v>
      </c>
    </row>
    <row r="33235" spans="103:104" x14ac:dyDescent="0.3">
      <c r="CY33235" s="34" t="s">
        <v>34161</v>
      </c>
      <c r="CZ33235" s="35">
        <v>0.15132883400000002</v>
      </c>
    </row>
    <row r="33236" spans="103:104" x14ac:dyDescent="0.3">
      <c r="CY33236" s="34" t="s">
        <v>34162</v>
      </c>
      <c r="CZ33236" s="35">
        <v>0.14676511</v>
      </c>
    </row>
    <row r="33237" spans="103:104" x14ac:dyDescent="0.3">
      <c r="CY33237" s="34" t="s">
        <v>34163</v>
      </c>
      <c r="CZ33237" s="35">
        <v>8.2115618888888894E-2</v>
      </c>
    </row>
    <row r="33238" spans="103:104" x14ac:dyDescent="0.3">
      <c r="CY33238" s="34" t="s">
        <v>34164</v>
      </c>
      <c r="CZ33238" s="35">
        <v>4.5606773333333343E-2</v>
      </c>
    </row>
    <row r="33239" spans="103:104" x14ac:dyDescent="0.3">
      <c r="CY33239" s="34" t="s">
        <v>34165</v>
      </c>
      <c r="CZ33239" s="35">
        <v>5.0977048333333337E-2</v>
      </c>
    </row>
    <row r="33240" spans="103:104" x14ac:dyDescent="0.3">
      <c r="CY33240" s="34" t="s">
        <v>34166</v>
      </c>
      <c r="CZ33240" s="35">
        <v>9.8471520000000009E-5</v>
      </c>
    </row>
    <row r="33241" spans="103:104" x14ac:dyDescent="0.3">
      <c r="CY33241" s="34" t="s">
        <v>34167</v>
      </c>
      <c r="CZ33241" s="35">
        <v>0.32658632000000004</v>
      </c>
    </row>
    <row r="33242" spans="103:104" x14ac:dyDescent="0.3">
      <c r="CY33242" s="34" t="s">
        <v>34168</v>
      </c>
      <c r="CZ33242" s="35">
        <v>0.37338743999999996</v>
      </c>
    </row>
    <row r="33243" spans="103:104" x14ac:dyDescent="0.3">
      <c r="CY33243" s="34" t="s">
        <v>34169</v>
      </c>
      <c r="CZ33243" s="35">
        <v>0.13753636399999999</v>
      </c>
    </row>
    <row r="33244" spans="103:104" x14ac:dyDescent="0.3">
      <c r="CY33244" s="34" t="s">
        <v>34170</v>
      </c>
      <c r="CZ33244" s="35">
        <v>9.4185331999999997E-2</v>
      </c>
    </row>
    <row r="33245" spans="103:104" x14ac:dyDescent="0.3">
      <c r="CY33245" s="34" t="s">
        <v>34171</v>
      </c>
      <c r="CZ33245" s="35">
        <v>7.1843999999999999E-4</v>
      </c>
    </row>
    <row r="33246" spans="103:104" x14ac:dyDescent="0.3">
      <c r="CY33246" s="34" t="s">
        <v>34172</v>
      </c>
      <c r="CZ33246" s="35">
        <v>2.3343129099999997E-3</v>
      </c>
    </row>
    <row r="33247" spans="103:104" x14ac:dyDescent="0.3">
      <c r="CY33247" s="34" t="s">
        <v>34173</v>
      </c>
      <c r="CZ33247" s="35">
        <v>2.4697642999999998E-3</v>
      </c>
    </row>
    <row r="33248" spans="103:104" x14ac:dyDescent="0.3">
      <c r="CY33248" s="34" t="s">
        <v>34174</v>
      </c>
      <c r="CZ33248" s="35">
        <v>1.8147420799999999E-3</v>
      </c>
    </row>
    <row r="33249" spans="103:104" x14ac:dyDescent="0.3">
      <c r="CY33249" s="34" t="s">
        <v>34175</v>
      </c>
      <c r="CZ33249" s="35">
        <v>1.8279365300000003E-3</v>
      </c>
    </row>
    <row r="33250" spans="103:104" x14ac:dyDescent="0.3">
      <c r="CY33250" s="34" t="s">
        <v>34176</v>
      </c>
      <c r="CZ33250" s="35">
        <v>0.17248678933333336</v>
      </c>
    </row>
    <row r="33251" spans="103:104" x14ac:dyDescent="0.3">
      <c r="CY33251" s="34" t="s">
        <v>34177</v>
      </c>
      <c r="CZ33251" s="35">
        <v>0.17248678933333336</v>
      </c>
    </row>
    <row r="33252" spans="103:104" x14ac:dyDescent="0.3">
      <c r="CY33252" s="34" t="s">
        <v>34178</v>
      </c>
      <c r="CZ33252" s="35">
        <v>2.7667928000000001E-2</v>
      </c>
    </row>
    <row r="33253" spans="103:104" x14ac:dyDescent="0.3">
      <c r="CY33253" s="34" t="s">
        <v>34179</v>
      </c>
      <c r="CZ33253" s="35">
        <v>8.7203453999999993E-3</v>
      </c>
    </row>
    <row r="33254" spans="103:104" x14ac:dyDescent="0.3">
      <c r="CY33254" s="34" t="s">
        <v>34180</v>
      </c>
      <c r="CZ33254" s="35">
        <v>0.19747820000000002</v>
      </c>
    </row>
    <row r="33255" spans="103:104" x14ac:dyDescent="0.3">
      <c r="CY33255" s="34" t="s">
        <v>34181</v>
      </c>
      <c r="CZ33255" s="35">
        <v>0.1962672</v>
      </c>
    </row>
    <row r="33256" spans="103:104" x14ac:dyDescent="0.3">
      <c r="CY33256" s="34" t="s">
        <v>34182</v>
      </c>
      <c r="CZ33256" s="35">
        <v>2.3388352000000001E-3</v>
      </c>
    </row>
    <row r="33257" spans="103:104" x14ac:dyDescent="0.3">
      <c r="CY33257" s="34" t="s">
        <v>34183</v>
      </c>
      <c r="CZ33257" s="35">
        <v>1.3396957810526315E-2</v>
      </c>
    </row>
    <row r="33258" spans="103:104" x14ac:dyDescent="0.3">
      <c r="CY33258" s="34" t="s">
        <v>34184</v>
      </c>
      <c r="CZ33258" s="35">
        <v>9.5237476000000001E-2</v>
      </c>
    </row>
    <row r="33259" spans="103:104" x14ac:dyDescent="0.3">
      <c r="CY33259" s="34" t="s">
        <v>34185</v>
      </c>
      <c r="CZ33259" s="35">
        <v>6.3076726666666657E-3</v>
      </c>
    </row>
    <row r="33260" spans="103:104" x14ac:dyDescent="0.3">
      <c r="CY33260" s="34" t="s">
        <v>34186</v>
      </c>
      <c r="CZ33260" s="35">
        <v>5.1532121600000001E-2</v>
      </c>
    </row>
    <row r="33261" spans="103:104" x14ac:dyDescent="0.3">
      <c r="CY33261" s="34" t="s">
        <v>34187</v>
      </c>
      <c r="CZ33261" s="35">
        <v>2.59092096E-2</v>
      </c>
    </row>
    <row r="33262" spans="103:104" x14ac:dyDescent="0.3">
      <c r="CY33262" s="34" t="s">
        <v>34188</v>
      </c>
      <c r="CZ33262" s="35">
        <v>2.59092096E-2</v>
      </c>
    </row>
    <row r="33263" spans="103:104" x14ac:dyDescent="0.3">
      <c r="CY33263" s="34" t="s">
        <v>34189</v>
      </c>
      <c r="CZ33263" s="35">
        <v>6.6234921999999988E-2</v>
      </c>
    </row>
    <row r="33264" spans="103:104" x14ac:dyDescent="0.3">
      <c r="CY33264" s="34" t="s">
        <v>34190</v>
      </c>
      <c r="CZ33264" s="35">
        <v>5.1459161000000003E-2</v>
      </c>
    </row>
    <row r="33265" spans="103:104" x14ac:dyDescent="0.3">
      <c r="CY33265" s="34" t="s">
        <v>34191</v>
      </c>
      <c r="CZ33265" s="35">
        <v>5.1459160999999996E-2</v>
      </c>
    </row>
    <row r="33266" spans="103:104" x14ac:dyDescent="0.3">
      <c r="CY33266" s="34" t="s">
        <v>34192</v>
      </c>
      <c r="CZ33266" s="35">
        <v>4.4035150999999998E-3</v>
      </c>
    </row>
    <row r="33267" spans="103:104" x14ac:dyDescent="0.3">
      <c r="CY33267" s="34" t="s">
        <v>34193</v>
      </c>
      <c r="CZ33267" s="35">
        <v>6.2567702588235295E-3</v>
      </c>
    </row>
    <row r="33268" spans="103:104" x14ac:dyDescent="0.3">
      <c r="CY33268" s="34" t="s">
        <v>34194</v>
      </c>
      <c r="CZ33268" s="35">
        <v>8.9774999999999994E-3</v>
      </c>
    </row>
    <row r="33269" spans="103:104" x14ac:dyDescent="0.3">
      <c r="CY33269" s="34" t="s">
        <v>34195</v>
      </c>
      <c r="CZ33269" s="35">
        <v>7.6652100000000001E-2</v>
      </c>
    </row>
    <row r="33270" spans="103:104" x14ac:dyDescent="0.3">
      <c r="CY33270" s="34" t="s">
        <v>34196</v>
      </c>
      <c r="CZ33270" s="35">
        <v>1.2446280000000001E-2</v>
      </c>
    </row>
    <row r="33271" spans="103:104" x14ac:dyDescent="0.3">
      <c r="CY33271" s="34" t="s">
        <v>34197</v>
      </c>
      <c r="CZ33271" s="35">
        <v>0.75123399999999996</v>
      </c>
    </row>
    <row r="33272" spans="103:104" x14ac:dyDescent="0.3">
      <c r="CY33272" s="34" t="s">
        <v>34198</v>
      </c>
      <c r="CZ33272" s="35">
        <v>0.11556032399999999</v>
      </c>
    </row>
    <row r="33273" spans="103:104" x14ac:dyDescent="0.3">
      <c r="CY33273" s="34" t="s">
        <v>34199</v>
      </c>
      <c r="CZ33273" s="35">
        <v>1.2628072E-3</v>
      </c>
    </row>
    <row r="33274" spans="103:104" x14ac:dyDescent="0.3">
      <c r="CY33274" s="34" t="s">
        <v>34200</v>
      </c>
      <c r="CZ33274" s="35">
        <v>8.7556319999999995E-4</v>
      </c>
    </row>
    <row r="33275" spans="103:104" x14ac:dyDescent="0.3">
      <c r="CY33275" s="34" t="s">
        <v>34201</v>
      </c>
      <c r="CZ33275" s="35">
        <v>6.8167600000000009E-4</v>
      </c>
    </row>
    <row r="33276" spans="103:104" x14ac:dyDescent="0.3">
      <c r="CY33276" s="34" t="s">
        <v>34202</v>
      </c>
      <c r="CZ33276" s="35">
        <v>1.5556235199999998E-3</v>
      </c>
    </row>
    <row r="33277" spans="103:104" x14ac:dyDescent="0.3">
      <c r="CY33277" s="34" t="s">
        <v>34203</v>
      </c>
      <c r="CZ33277" s="35">
        <v>6.8225000000000013E-4</v>
      </c>
    </row>
    <row r="33278" spans="103:104" x14ac:dyDescent="0.3">
      <c r="CY33278" s="34" t="s">
        <v>34204</v>
      </c>
      <c r="CZ33278" s="35">
        <v>2.7056966700000001E-2</v>
      </c>
    </row>
    <row r="33279" spans="103:104" x14ac:dyDescent="0.3">
      <c r="CY33279" s="34" t="s">
        <v>34205</v>
      </c>
      <c r="CZ33279" s="35">
        <v>3.4112500000000002E-3</v>
      </c>
    </row>
    <row r="33280" spans="103:104" x14ac:dyDescent="0.3">
      <c r="CY33280" s="34" t="s">
        <v>34206</v>
      </c>
      <c r="CZ33280" s="35">
        <v>4.2989499999999993E-3</v>
      </c>
    </row>
    <row r="33281" spans="103:104" x14ac:dyDescent="0.3">
      <c r="CY33281" s="34" t="s">
        <v>34207</v>
      </c>
      <c r="CZ33281" s="35">
        <v>4.5200500000000001E-4</v>
      </c>
    </row>
    <row r="33282" spans="103:104" x14ac:dyDescent="0.3">
      <c r="CY33282" s="34" t="s">
        <v>34208</v>
      </c>
      <c r="CZ33282" s="35">
        <v>1.7379791999999998E-3</v>
      </c>
    </row>
    <row r="33283" spans="103:104" x14ac:dyDescent="0.3">
      <c r="CY33283" s="34" t="s">
        <v>34209</v>
      </c>
      <c r="CZ33283" s="35">
        <v>3.4547537999999996E-2</v>
      </c>
    </row>
    <row r="33284" spans="103:104" x14ac:dyDescent="0.3">
      <c r="CY33284" s="34" t="s">
        <v>34210</v>
      </c>
      <c r="CZ33284" s="35">
        <v>9.1072939999999984E-3</v>
      </c>
    </row>
    <row r="33285" spans="103:104" x14ac:dyDescent="0.3">
      <c r="CY33285" s="34" t="s">
        <v>34211</v>
      </c>
      <c r="CZ33285" s="35">
        <v>0.59322657335000006</v>
      </c>
    </row>
    <row r="33286" spans="103:104" x14ac:dyDescent="0.3">
      <c r="CY33286" s="34" t="s">
        <v>34212</v>
      </c>
      <c r="CZ33286" s="35">
        <v>0.59322657335000006</v>
      </c>
    </row>
    <row r="33287" spans="103:104" x14ac:dyDescent="0.3">
      <c r="CY33287" s="34" t="s">
        <v>34213</v>
      </c>
      <c r="CZ33287" s="35">
        <v>0.68522657335000003</v>
      </c>
    </row>
    <row r="33288" spans="103:104" x14ac:dyDescent="0.3">
      <c r="CY33288" s="34" t="s">
        <v>34214</v>
      </c>
      <c r="CZ33288" s="35">
        <v>0.59322657335000006</v>
      </c>
    </row>
    <row r="33289" spans="103:104" x14ac:dyDescent="0.3">
      <c r="CY33289" s="34" t="s">
        <v>34215</v>
      </c>
      <c r="CZ33289" s="35">
        <v>8.868768400000001E-3</v>
      </c>
    </row>
    <row r="33290" spans="103:104" x14ac:dyDescent="0.3">
      <c r="CY33290" s="34" t="s">
        <v>34216</v>
      </c>
      <c r="CZ33290" s="35">
        <v>3.9800404000000008E-3</v>
      </c>
    </row>
    <row r="33291" spans="103:104" x14ac:dyDescent="0.3">
      <c r="CY33291" s="34" t="s">
        <v>34217</v>
      </c>
      <c r="CZ33291" s="35">
        <v>3.9951096200000003E-3</v>
      </c>
    </row>
    <row r="33292" spans="103:104" x14ac:dyDescent="0.3">
      <c r="CY33292" s="34" t="s">
        <v>34218</v>
      </c>
      <c r="CZ33292" s="35">
        <v>4.5978925333333342E-3</v>
      </c>
    </row>
    <row r="33293" spans="103:104" x14ac:dyDescent="0.3">
      <c r="CY33293" s="34" t="s">
        <v>34219</v>
      </c>
      <c r="CZ33293" s="35">
        <v>0.29255219999999993</v>
      </c>
    </row>
    <row r="33294" spans="103:104" x14ac:dyDescent="0.3">
      <c r="CY33294" s="34" t="s">
        <v>34220</v>
      </c>
      <c r="CZ33294" s="35">
        <v>3.4075088000000003E-2</v>
      </c>
    </row>
    <row r="33295" spans="103:104" x14ac:dyDescent="0.3">
      <c r="CY33295" s="34" t="s">
        <v>34221</v>
      </c>
      <c r="CZ33295" s="35">
        <v>0.22987047200000002</v>
      </c>
    </row>
    <row r="33296" spans="103:104" x14ac:dyDescent="0.3">
      <c r="CY33296" s="34" t="s">
        <v>34222</v>
      </c>
      <c r="CZ33296" s="35">
        <v>0.19379695999999999</v>
      </c>
    </row>
    <row r="33297" spans="103:104" x14ac:dyDescent="0.3">
      <c r="CY33297" s="34" t="s">
        <v>34223</v>
      </c>
      <c r="CZ33297" s="35">
        <v>0.26740600999999997</v>
      </c>
    </row>
    <row r="33298" spans="103:104" x14ac:dyDescent="0.3">
      <c r="CY33298" s="34" t="s">
        <v>34224</v>
      </c>
      <c r="CZ33298" s="35">
        <v>0.18251958000000001</v>
      </c>
    </row>
    <row r="33299" spans="103:104" x14ac:dyDescent="0.3">
      <c r="CY33299" s="34" t="s">
        <v>34225</v>
      </c>
      <c r="CZ33299" s="35">
        <v>3.7172523199999999E-3</v>
      </c>
    </row>
    <row r="33300" spans="103:104" x14ac:dyDescent="0.3">
      <c r="CY33300" s="34" t="s">
        <v>34226</v>
      </c>
      <c r="CZ33300" s="35">
        <v>8.7359112999999988E-2</v>
      </c>
    </row>
    <row r="33301" spans="103:104" x14ac:dyDescent="0.3">
      <c r="CY33301" s="34" t="s">
        <v>34227</v>
      </c>
      <c r="CZ33301" s="35">
        <v>2.1802778571428571E-3</v>
      </c>
    </row>
    <row r="33302" spans="103:104" x14ac:dyDescent="0.3">
      <c r="CY33302" s="34" t="s">
        <v>34228</v>
      </c>
      <c r="CZ33302" s="35">
        <v>3.6918408000000005E-4</v>
      </c>
    </row>
    <row r="33303" spans="103:104" x14ac:dyDescent="0.3">
      <c r="CY33303" s="34" t="s">
        <v>34229</v>
      </c>
      <c r="CZ33303" s="35">
        <v>6.1164404E-4</v>
      </c>
    </row>
    <row r="33304" spans="103:104" x14ac:dyDescent="0.3">
      <c r="CY33304" s="34" t="s">
        <v>34230</v>
      </c>
      <c r="CZ33304" s="35">
        <v>1.1030592799999999E-3</v>
      </c>
    </row>
    <row r="33305" spans="103:104" x14ac:dyDescent="0.3">
      <c r="CY33305" s="34" t="s">
        <v>34231</v>
      </c>
      <c r="CZ33305" s="35">
        <v>7.639056E-3</v>
      </c>
    </row>
    <row r="33306" spans="103:104" x14ac:dyDescent="0.3">
      <c r="CY33306" s="34" t="s">
        <v>34232</v>
      </c>
      <c r="CZ33306" s="35">
        <v>1.5726250000000002E-3</v>
      </c>
    </row>
    <row r="33307" spans="103:104" x14ac:dyDescent="0.3">
      <c r="CY33307" s="34" t="s">
        <v>34233</v>
      </c>
      <c r="CZ33307" s="35">
        <v>2.7420537670000002E-2</v>
      </c>
    </row>
    <row r="33308" spans="103:104" x14ac:dyDescent="0.3">
      <c r="CY33308" s="34" t="s">
        <v>34234</v>
      </c>
      <c r="CZ33308" s="35">
        <v>1.9205100000000003E-3</v>
      </c>
    </row>
    <row r="33309" spans="103:104" x14ac:dyDescent="0.3">
      <c r="CY33309" s="34" t="s">
        <v>34235</v>
      </c>
      <c r="CZ33309" s="35">
        <v>0.1573726</v>
      </c>
    </row>
    <row r="33310" spans="103:104" x14ac:dyDescent="0.3">
      <c r="CY33310" s="34" t="s">
        <v>34236</v>
      </c>
      <c r="CZ33310" s="35">
        <v>1.02198566E-2</v>
      </c>
    </row>
    <row r="33311" spans="103:104" x14ac:dyDescent="0.3">
      <c r="CY33311" s="34" t="s">
        <v>34237</v>
      </c>
      <c r="CZ33311" s="35">
        <v>1.0295942000000001E-2</v>
      </c>
    </row>
    <row r="33312" spans="103:104" x14ac:dyDescent="0.3">
      <c r="CY33312" s="34" t="s">
        <v>34238</v>
      </c>
      <c r="CZ33312" s="35">
        <v>1.02198566E-2</v>
      </c>
    </row>
    <row r="33313" spans="103:104" x14ac:dyDescent="0.3">
      <c r="CY33313" s="34" t="s">
        <v>34239</v>
      </c>
      <c r="CZ33313" s="35">
        <v>5.4767575999999998E-3</v>
      </c>
    </row>
    <row r="33314" spans="103:104" x14ac:dyDescent="0.3">
      <c r="CY33314" s="34" t="s">
        <v>34240</v>
      </c>
      <c r="CZ33314" s="35">
        <v>5.4143212000000007E-3</v>
      </c>
    </row>
    <row r="33315" spans="103:104" x14ac:dyDescent="0.3">
      <c r="CY33315" s="34" t="s">
        <v>34241</v>
      </c>
      <c r="CZ33315" s="35">
        <v>4.7899572000000001E-3</v>
      </c>
    </row>
    <row r="33316" spans="103:104" x14ac:dyDescent="0.3">
      <c r="CY33316" s="34" t="s">
        <v>34242</v>
      </c>
      <c r="CZ33316" s="35">
        <v>1.0859368999999999E-3</v>
      </c>
    </row>
    <row r="33317" spans="103:104" x14ac:dyDescent="0.3">
      <c r="CY33317" s="34" t="s">
        <v>34243</v>
      </c>
      <c r="CZ33317" s="35">
        <v>1.33421036E-3</v>
      </c>
    </row>
    <row r="33318" spans="103:104" x14ac:dyDescent="0.3">
      <c r="CY33318" s="34" t="s">
        <v>34244</v>
      </c>
      <c r="CZ33318" s="35">
        <v>1.7205467333333335E-2</v>
      </c>
    </row>
    <row r="33319" spans="103:104" x14ac:dyDescent="0.3">
      <c r="CY33319" s="34" t="s">
        <v>34245</v>
      </c>
      <c r="CZ33319" s="35">
        <v>1.35616192E-2</v>
      </c>
    </row>
    <row r="33320" spans="103:104" x14ac:dyDescent="0.3">
      <c r="CY33320" s="34" t="s">
        <v>34246</v>
      </c>
      <c r="CZ33320" s="35">
        <v>1.61804914E-2</v>
      </c>
    </row>
    <row r="33321" spans="103:104" x14ac:dyDescent="0.3">
      <c r="CY33321" s="34" t="s">
        <v>34247</v>
      </c>
      <c r="CZ33321" s="35">
        <v>2.1601482800000002E-2</v>
      </c>
    </row>
    <row r="33322" spans="103:104" x14ac:dyDescent="0.3">
      <c r="CY33322" s="34" t="s">
        <v>34248</v>
      </c>
      <c r="CZ33322" s="35">
        <v>1.33891976E-2</v>
      </c>
    </row>
    <row r="33323" spans="103:104" x14ac:dyDescent="0.3">
      <c r="CY33323" s="34" t="s">
        <v>34249</v>
      </c>
      <c r="CZ33323" s="35">
        <v>9.3110658763399991E-3</v>
      </c>
    </row>
    <row r="33324" spans="103:104" x14ac:dyDescent="0.3">
      <c r="CY33324" s="34" t="s">
        <v>34250</v>
      </c>
      <c r="CZ33324" s="35">
        <v>0.63791701400000012</v>
      </c>
    </row>
    <row r="33325" spans="103:104" x14ac:dyDescent="0.3">
      <c r="CY33325" s="34" t="s">
        <v>34251</v>
      </c>
      <c r="CZ33325" s="35">
        <v>0.63898761400000004</v>
      </c>
    </row>
    <row r="33326" spans="103:104" x14ac:dyDescent="0.3">
      <c r="CY33326" s="34" t="s">
        <v>34252</v>
      </c>
      <c r="CZ33326" s="35">
        <v>0.6372470939999999</v>
      </c>
    </row>
    <row r="33327" spans="103:104" x14ac:dyDescent="0.3">
      <c r="CY33327" s="34" t="s">
        <v>34253</v>
      </c>
      <c r="CZ33327" s="35">
        <v>0.74104229399999999</v>
      </c>
    </row>
    <row r="33328" spans="103:104" x14ac:dyDescent="0.3">
      <c r="CY33328" s="34" t="s">
        <v>34254</v>
      </c>
      <c r="CZ33328" s="35">
        <v>0.642498334</v>
      </c>
    </row>
    <row r="33329" spans="103:104" x14ac:dyDescent="0.3">
      <c r="CY33329" s="34" t="s">
        <v>34255</v>
      </c>
      <c r="CZ33329" s="35">
        <v>0.64323503400000004</v>
      </c>
    </row>
    <row r="33330" spans="103:104" x14ac:dyDescent="0.3">
      <c r="CY33330" s="34" t="s">
        <v>34256</v>
      </c>
      <c r="CZ33330" s="35">
        <v>0.64168001399999997</v>
      </c>
    </row>
    <row r="33331" spans="103:104" x14ac:dyDescent="0.3">
      <c r="CY33331" s="34" t="s">
        <v>34257</v>
      </c>
      <c r="CZ33331" s="35">
        <v>0.642498334</v>
      </c>
    </row>
    <row r="33332" spans="103:104" x14ac:dyDescent="0.3">
      <c r="CY33332" s="34" t="s">
        <v>34258</v>
      </c>
      <c r="CZ33332" s="35">
        <v>0.64323503400000004</v>
      </c>
    </row>
    <row r="33333" spans="103:104" x14ac:dyDescent="0.3">
      <c r="CY33333" s="34" t="s">
        <v>34259</v>
      </c>
      <c r="CZ33333" s="35">
        <v>0.74628611400000011</v>
      </c>
    </row>
    <row r="33334" spans="103:104" x14ac:dyDescent="0.3">
      <c r="CY33334" s="34" t="s">
        <v>34260</v>
      </c>
      <c r="CZ33334" s="35">
        <v>0.642498334</v>
      </c>
    </row>
    <row r="33335" spans="103:104" x14ac:dyDescent="0.3">
      <c r="CY33335" s="34" t="s">
        <v>34261</v>
      </c>
      <c r="CZ33335" s="35">
        <v>0.64323503400000004</v>
      </c>
    </row>
    <row r="33336" spans="103:104" x14ac:dyDescent="0.3">
      <c r="CY33336" s="34" t="s">
        <v>34262</v>
      </c>
      <c r="CZ33336" s="35">
        <v>0.642498334</v>
      </c>
    </row>
    <row r="33337" spans="103:104" x14ac:dyDescent="0.3">
      <c r="CY33337" s="34" t="s">
        <v>34263</v>
      </c>
      <c r="CZ33337" s="35">
        <v>0.60076083400000002</v>
      </c>
    </row>
    <row r="33338" spans="103:104" x14ac:dyDescent="0.3">
      <c r="CY33338" s="34" t="s">
        <v>34264</v>
      </c>
      <c r="CZ33338" s="35">
        <v>0.63474019399999992</v>
      </c>
    </row>
    <row r="33339" spans="103:104" x14ac:dyDescent="0.3">
      <c r="CY33339" s="34" t="s">
        <v>34265</v>
      </c>
      <c r="CZ33339" s="35">
        <v>4.1296176000000006E-3</v>
      </c>
    </row>
    <row r="33340" spans="103:104" x14ac:dyDescent="0.3">
      <c r="CY33340" s="34" t="s">
        <v>34266</v>
      </c>
      <c r="CZ33340" s="35">
        <v>0.15760683119999999</v>
      </c>
    </row>
    <row r="33341" spans="103:104" x14ac:dyDescent="0.3">
      <c r="CY33341" s="34" t="s">
        <v>34267</v>
      </c>
      <c r="CZ33341" s="35">
        <v>0.20369024499999999</v>
      </c>
    </row>
    <row r="33342" spans="103:104" x14ac:dyDescent="0.3">
      <c r="CY33342" s="34" t="s">
        <v>34268</v>
      </c>
      <c r="CZ33342" s="35">
        <v>5.7274233848960007E-2</v>
      </c>
    </row>
    <row r="33343" spans="103:104" x14ac:dyDescent="0.3">
      <c r="CY33343" s="34" t="s">
        <v>34269</v>
      </c>
      <c r="CZ33343" s="35">
        <v>7.0195190799999987E-2</v>
      </c>
    </row>
    <row r="33344" spans="103:104" x14ac:dyDescent="0.3">
      <c r="CY33344" s="34" t="s">
        <v>34270</v>
      </c>
      <c r="CZ33344" s="35">
        <v>7.861573999999999E-2</v>
      </c>
    </row>
    <row r="33345" spans="103:104" x14ac:dyDescent="0.3">
      <c r="CY33345" s="34" t="s">
        <v>34271</v>
      </c>
      <c r="CZ33345" s="35">
        <v>7.861573999999999E-2</v>
      </c>
    </row>
    <row r="33346" spans="103:104" x14ac:dyDescent="0.3">
      <c r="CY33346" s="34" t="s">
        <v>34272</v>
      </c>
      <c r="CZ33346" s="35">
        <v>0.11311202000000001</v>
      </c>
    </row>
    <row r="33347" spans="103:104" x14ac:dyDescent="0.3">
      <c r="CY33347" s="34" t="s">
        <v>34273</v>
      </c>
      <c r="CZ33347" s="35">
        <v>0.112581308</v>
      </c>
    </row>
    <row r="33348" spans="103:104" x14ac:dyDescent="0.3">
      <c r="CY33348" s="34" t="s">
        <v>34274</v>
      </c>
      <c r="CZ33348" s="35">
        <v>0.12903338</v>
      </c>
    </row>
    <row r="33349" spans="103:104" x14ac:dyDescent="0.3">
      <c r="CY33349" s="34" t="s">
        <v>34275</v>
      </c>
      <c r="CZ33349" s="35">
        <v>6.3888390000000001E-4</v>
      </c>
    </row>
    <row r="33350" spans="103:104" x14ac:dyDescent="0.3">
      <c r="CY33350" s="34" t="s">
        <v>34276</v>
      </c>
      <c r="CZ33350" s="35">
        <v>4.3633368999999991E-2</v>
      </c>
    </row>
    <row r="33351" spans="103:104" x14ac:dyDescent="0.3">
      <c r="CY33351" s="34" t="s">
        <v>34277</v>
      </c>
      <c r="CZ33351" s="35">
        <v>0.17701936500000001</v>
      </c>
    </row>
    <row r="33352" spans="103:104" x14ac:dyDescent="0.3">
      <c r="CY33352" s="34" t="s">
        <v>34278</v>
      </c>
      <c r="CZ33352" s="35">
        <v>6.3140359999999999E-4</v>
      </c>
    </row>
    <row r="33353" spans="103:104" x14ac:dyDescent="0.3">
      <c r="CY33353" s="34" t="s">
        <v>34279</v>
      </c>
      <c r="CZ33353" s="35">
        <v>5.7609086734693865E-4</v>
      </c>
    </row>
    <row r="33354" spans="103:104" x14ac:dyDescent="0.3">
      <c r="CY33354" s="34" t="s">
        <v>34280</v>
      </c>
      <c r="CZ33354" s="35">
        <v>5.0380025510204061E-4</v>
      </c>
    </row>
    <row r="33355" spans="103:104" x14ac:dyDescent="0.3">
      <c r="CY33355" s="34" t="s">
        <v>34281</v>
      </c>
      <c r="CZ33355" s="35">
        <v>3.9893033714285712E-4</v>
      </c>
    </row>
    <row r="33356" spans="103:104" x14ac:dyDescent="0.3">
      <c r="CY33356" s="34" t="s">
        <v>34282</v>
      </c>
      <c r="CZ33356" s="35">
        <v>4.4272265E-4</v>
      </c>
    </row>
    <row r="33357" spans="103:104" x14ac:dyDescent="0.3">
      <c r="CY33357" s="34" t="s">
        <v>34283</v>
      </c>
      <c r="CZ33357" s="35">
        <v>5.4204888999999997E-4</v>
      </c>
    </row>
    <row r="33358" spans="103:104" x14ac:dyDescent="0.3">
      <c r="CY33358" s="34" t="s">
        <v>34284</v>
      </c>
      <c r="CZ33358" s="35">
        <v>1.571959852631579E-3</v>
      </c>
    </row>
    <row r="33359" spans="103:104" x14ac:dyDescent="0.3">
      <c r="CY33359" s="34" t="s">
        <v>34285</v>
      </c>
      <c r="CZ33359" s="35">
        <v>4.9630345000000007E-4</v>
      </c>
    </row>
    <row r="33360" spans="103:104" x14ac:dyDescent="0.3">
      <c r="CY33360" s="34" t="s">
        <v>34286</v>
      </c>
      <c r="CZ33360" s="35">
        <v>5.1452425000000001E-4</v>
      </c>
    </row>
    <row r="33361" spans="103:104" x14ac:dyDescent="0.3">
      <c r="CY33361" s="34" t="s">
        <v>34287</v>
      </c>
      <c r="CZ33361" s="35">
        <v>1.6152602599999999E-3</v>
      </c>
    </row>
    <row r="33362" spans="103:104" x14ac:dyDescent="0.3">
      <c r="CY33362" s="34" t="s">
        <v>34288</v>
      </c>
      <c r="CZ33362" s="35">
        <v>1.0681651466666665E-3</v>
      </c>
    </row>
    <row r="33363" spans="103:104" x14ac:dyDescent="0.3">
      <c r="CY33363" s="34" t="s">
        <v>34289</v>
      </c>
      <c r="CZ33363" s="35">
        <v>1.3132515E-3</v>
      </c>
    </row>
    <row r="33364" spans="103:104" x14ac:dyDescent="0.3">
      <c r="CY33364" s="34" t="s">
        <v>34290</v>
      </c>
      <c r="CZ33364" s="35">
        <v>0.11050011125</v>
      </c>
    </row>
    <row r="33365" spans="103:104" x14ac:dyDescent="0.3">
      <c r="CY33365" s="34" t="s">
        <v>34291</v>
      </c>
      <c r="CZ33365" s="35">
        <v>1.7071346399999997E-3</v>
      </c>
    </row>
    <row r="33366" spans="103:104" x14ac:dyDescent="0.3">
      <c r="CY33366" s="34" t="s">
        <v>34292</v>
      </c>
      <c r="CZ33366" s="35">
        <v>3.9758607999999996E-4</v>
      </c>
    </row>
    <row r="33367" spans="103:104" x14ac:dyDescent="0.3">
      <c r="CY33367" s="34" t="s">
        <v>34293</v>
      </c>
      <c r="CZ33367" s="35">
        <v>2.3355835000000002E-3</v>
      </c>
    </row>
    <row r="33368" spans="103:104" x14ac:dyDescent="0.3">
      <c r="CY33368" s="34" t="s">
        <v>34294</v>
      </c>
      <c r="CZ33368" s="35">
        <v>8.7951320000000013E-4</v>
      </c>
    </row>
    <row r="33369" spans="103:104" x14ac:dyDescent="0.3">
      <c r="CY33369" s="34" t="s">
        <v>34295</v>
      </c>
      <c r="CZ33369" s="35">
        <v>2.5564624000000002E-4</v>
      </c>
    </row>
    <row r="33370" spans="103:104" x14ac:dyDescent="0.3">
      <c r="CY33370" s="34" t="s">
        <v>34296</v>
      </c>
      <c r="CZ33370" s="35">
        <v>3.8227605333333334E-3</v>
      </c>
    </row>
    <row r="33371" spans="103:104" x14ac:dyDescent="0.3">
      <c r="CY33371" s="34" t="s">
        <v>34297</v>
      </c>
      <c r="CZ33371" s="35">
        <v>5.4979111000000008E-3</v>
      </c>
    </row>
    <row r="33372" spans="103:104" x14ac:dyDescent="0.3">
      <c r="CY33372" s="34" t="s">
        <v>34298</v>
      </c>
      <c r="CZ33372" s="35">
        <v>7.6206039999999989E-2</v>
      </c>
    </row>
    <row r="33373" spans="103:104" x14ac:dyDescent="0.3">
      <c r="CY33373" s="34" t="s">
        <v>34299</v>
      </c>
      <c r="CZ33373" s="35">
        <v>7.4663075199999998E-2</v>
      </c>
    </row>
    <row r="33374" spans="103:104" x14ac:dyDescent="0.3">
      <c r="CY33374" s="34" t="s">
        <v>34300</v>
      </c>
      <c r="CZ33374" s="35">
        <v>5.0280651399999994E-2</v>
      </c>
    </row>
    <row r="33375" spans="103:104" x14ac:dyDescent="0.3">
      <c r="CY33375" s="34" t="s">
        <v>34301</v>
      </c>
      <c r="CZ33375" s="35">
        <v>1.7442071999999999E-3</v>
      </c>
    </row>
    <row r="33376" spans="103:104" x14ac:dyDescent="0.3">
      <c r="CY33376" s="34" t="s">
        <v>34302</v>
      </c>
      <c r="CZ33376" s="35">
        <v>4.1847342111699999E-2</v>
      </c>
    </row>
    <row r="33377" spans="103:104" x14ac:dyDescent="0.3">
      <c r="CY33377" s="34" t="s">
        <v>34303</v>
      </c>
      <c r="CZ33377" s="35">
        <v>1.5281913000000002E-3</v>
      </c>
    </row>
    <row r="33378" spans="103:104" x14ac:dyDescent="0.3">
      <c r="CY33378" s="34" t="s">
        <v>34304</v>
      </c>
      <c r="CZ33378" s="35">
        <v>2.0334675200000003E-3</v>
      </c>
    </row>
    <row r="33379" spans="103:104" x14ac:dyDescent="0.3">
      <c r="CY33379" s="34" t="s">
        <v>34305</v>
      </c>
      <c r="CZ33379" s="35">
        <v>0.63669819259999993</v>
      </c>
    </row>
    <row r="33380" spans="103:104" x14ac:dyDescent="0.3">
      <c r="CY33380" s="34" t="s">
        <v>34306</v>
      </c>
      <c r="CZ33380" s="35">
        <v>0.44125785000000001</v>
      </c>
    </row>
    <row r="33381" spans="103:104" x14ac:dyDescent="0.3">
      <c r="CY33381" s="34" t="s">
        <v>34307</v>
      </c>
      <c r="CZ33381" s="35">
        <v>0.19272275</v>
      </c>
    </row>
    <row r="33382" spans="103:104" x14ac:dyDescent="0.3">
      <c r="CY33382" s="34" t="s">
        <v>34308</v>
      </c>
      <c r="CZ33382" s="35">
        <v>2.1513911618999999</v>
      </c>
    </row>
    <row r="33383" spans="103:104" x14ac:dyDescent="0.3">
      <c r="CY33383" s="34" t="s">
        <v>34309</v>
      </c>
      <c r="CZ33383" s="35">
        <v>0.45338865</v>
      </c>
    </row>
    <row r="33384" spans="103:104" x14ac:dyDescent="0.3">
      <c r="CY33384" s="34" t="s">
        <v>34310</v>
      </c>
      <c r="CZ33384" s="35">
        <v>0.14560260000000003</v>
      </c>
    </row>
    <row r="33385" spans="103:104" x14ac:dyDescent="0.3">
      <c r="CY33385" s="34" t="s">
        <v>34311</v>
      </c>
      <c r="CZ33385" s="35">
        <v>0.14560260000000003</v>
      </c>
    </row>
    <row r="33386" spans="103:104" x14ac:dyDescent="0.3">
      <c r="CY33386" s="34" t="s">
        <v>34312</v>
      </c>
      <c r="CZ33386" s="35">
        <v>2.5302113600000002E-2</v>
      </c>
    </row>
    <row r="33387" spans="103:104" x14ac:dyDescent="0.3">
      <c r="CY33387" s="34" t="s">
        <v>34313</v>
      </c>
      <c r="CZ33387" s="35">
        <v>4.6014339999999994E-2</v>
      </c>
    </row>
    <row r="33388" spans="103:104" x14ac:dyDescent="0.3">
      <c r="CY33388" s="34" t="s">
        <v>34314</v>
      </c>
      <c r="CZ33388" s="35">
        <v>4.6014339999999994E-2</v>
      </c>
    </row>
    <row r="33389" spans="103:104" x14ac:dyDescent="0.3">
      <c r="CY33389" s="34" t="s">
        <v>34315</v>
      </c>
      <c r="CZ33389" s="35">
        <v>0.20024813466666669</v>
      </c>
    </row>
    <row r="33390" spans="103:104" x14ac:dyDescent="0.3">
      <c r="CY33390" s="34" t="s">
        <v>34316</v>
      </c>
      <c r="CZ33390" s="35">
        <v>0.14976043999999999</v>
      </c>
    </row>
    <row r="33391" spans="103:104" x14ac:dyDescent="0.3">
      <c r="CY33391" s="34" t="s">
        <v>34317</v>
      </c>
      <c r="CZ33391" s="35">
        <v>0.16219884000000001</v>
      </c>
    </row>
    <row r="33392" spans="103:104" x14ac:dyDescent="0.3">
      <c r="CY33392" s="34" t="s">
        <v>34318</v>
      </c>
      <c r="CZ33392" s="35">
        <v>0.17836876000000002</v>
      </c>
    </row>
    <row r="33393" spans="103:104" x14ac:dyDescent="0.3">
      <c r="CY33393" s="34" t="s">
        <v>34319</v>
      </c>
      <c r="CZ33393" s="35">
        <v>0.22850102000000003</v>
      </c>
    </row>
    <row r="33394" spans="103:104" x14ac:dyDescent="0.3">
      <c r="CY33394" s="34" t="s">
        <v>34320</v>
      </c>
      <c r="CZ33394" s="35">
        <v>0.20015396799999999</v>
      </c>
    </row>
    <row r="33395" spans="103:104" x14ac:dyDescent="0.3">
      <c r="CY33395" s="34" t="s">
        <v>34321</v>
      </c>
      <c r="CZ33395" s="35">
        <v>0.32283183999999998</v>
      </c>
    </row>
    <row r="33396" spans="103:104" x14ac:dyDescent="0.3">
      <c r="CY33396" s="34" t="s">
        <v>34322</v>
      </c>
      <c r="CZ33396" s="35">
        <v>0.36483914000000001</v>
      </c>
    </row>
    <row r="33397" spans="103:104" x14ac:dyDescent="0.3">
      <c r="CY33397" s="34" t="s">
        <v>34323</v>
      </c>
      <c r="CZ33397" s="35">
        <v>0.26502869633333337</v>
      </c>
    </row>
    <row r="33398" spans="103:104" x14ac:dyDescent="0.3">
      <c r="CY33398" s="34" t="s">
        <v>34324</v>
      </c>
      <c r="CZ33398" s="35">
        <v>0.27746709999999997</v>
      </c>
    </row>
    <row r="33399" spans="103:104" x14ac:dyDescent="0.3">
      <c r="CY33399" s="34" t="s">
        <v>34325</v>
      </c>
      <c r="CZ33399" s="35">
        <v>0.3023439</v>
      </c>
    </row>
    <row r="33400" spans="103:104" x14ac:dyDescent="0.3">
      <c r="CY33400" s="34" t="s">
        <v>34326</v>
      </c>
      <c r="CZ33400" s="35">
        <v>0.19822389599999998</v>
      </c>
    </row>
    <row r="33401" spans="103:104" x14ac:dyDescent="0.3">
      <c r="CY33401" s="34" t="s">
        <v>34327</v>
      </c>
      <c r="CZ33401" s="35">
        <v>0.26167044339999995</v>
      </c>
    </row>
    <row r="33402" spans="103:104" x14ac:dyDescent="0.3">
      <c r="CY33402" s="34" t="s">
        <v>34328</v>
      </c>
      <c r="CZ33402" s="35">
        <v>0.59092853333333339</v>
      </c>
    </row>
    <row r="33403" spans="103:104" x14ac:dyDescent="0.3">
      <c r="CY33403" s="34" t="s">
        <v>34329</v>
      </c>
      <c r="CZ33403" s="35">
        <v>0.86444353333333335</v>
      </c>
    </row>
    <row r="33404" spans="103:104" x14ac:dyDescent="0.3">
      <c r="CY33404" s="34" t="s">
        <v>34330</v>
      </c>
      <c r="CZ33404" s="35">
        <v>0.82725449333333334</v>
      </c>
    </row>
    <row r="33405" spans="103:104" x14ac:dyDescent="0.3">
      <c r="CY33405" s="34" t="s">
        <v>34331</v>
      </c>
      <c r="CZ33405" s="35">
        <v>0.57339933333333337</v>
      </c>
    </row>
    <row r="33406" spans="103:104" x14ac:dyDescent="0.3">
      <c r="CY33406" s="34" t="s">
        <v>34332</v>
      </c>
      <c r="CZ33406" s="35">
        <v>0.69111869333333342</v>
      </c>
    </row>
    <row r="33407" spans="103:104" x14ac:dyDescent="0.3">
      <c r="CY33407" s="34" t="s">
        <v>34333</v>
      </c>
      <c r="CZ33407" s="35">
        <v>0.59092853333333339</v>
      </c>
    </row>
    <row r="33408" spans="103:104" x14ac:dyDescent="0.3">
      <c r="CY33408" s="34" t="s">
        <v>34334</v>
      </c>
      <c r="CZ33408" s="35">
        <v>0.65873610000000005</v>
      </c>
    </row>
    <row r="33409" spans="103:104" x14ac:dyDescent="0.3">
      <c r="CY33409" s="34" t="s">
        <v>34335</v>
      </c>
      <c r="CZ33409" s="35">
        <v>0.93540033999999994</v>
      </c>
    </row>
    <row r="33410" spans="103:104" x14ac:dyDescent="0.3">
      <c r="CY33410" s="34" t="s">
        <v>34336</v>
      </c>
      <c r="CZ33410" s="35">
        <v>0.76730130000000007</v>
      </c>
    </row>
    <row r="33411" spans="103:104" x14ac:dyDescent="0.3">
      <c r="CY33411" s="34" t="s">
        <v>34337</v>
      </c>
      <c r="CZ33411" s="35">
        <v>0.66121842000000008</v>
      </c>
    </row>
    <row r="33412" spans="103:104" x14ac:dyDescent="0.3">
      <c r="CY33412" s="34" t="s">
        <v>34338</v>
      </c>
      <c r="CZ33412" s="35">
        <v>0.70408250000000006</v>
      </c>
    </row>
    <row r="33413" spans="103:104" x14ac:dyDescent="0.3">
      <c r="CY33413" s="34" t="s">
        <v>34339</v>
      </c>
      <c r="CZ33413" s="35">
        <v>0.79425710000000005</v>
      </c>
    </row>
    <row r="33414" spans="103:104" x14ac:dyDescent="0.3">
      <c r="CY33414" s="34" t="s">
        <v>34340</v>
      </c>
      <c r="CZ33414" s="35">
        <v>0.77163669999999995</v>
      </c>
    </row>
    <row r="33415" spans="103:104" x14ac:dyDescent="0.3">
      <c r="CY33415" s="34" t="s">
        <v>34341</v>
      </c>
      <c r="CZ33415" s="35">
        <v>1.11343504E-2</v>
      </c>
    </row>
    <row r="33416" spans="103:104" x14ac:dyDescent="0.3">
      <c r="CY33416" s="34" t="s">
        <v>34342</v>
      </c>
      <c r="CZ33416" s="35">
        <v>5.5364721999999998E-3</v>
      </c>
    </row>
    <row r="33417" spans="103:104" x14ac:dyDescent="0.3">
      <c r="CY33417" s="34" t="s">
        <v>34343</v>
      </c>
      <c r="CZ33417" s="35">
        <v>9.9849447000000015E-3</v>
      </c>
    </row>
    <row r="33418" spans="103:104" x14ac:dyDescent="0.3">
      <c r="CY33418" s="34" t="s">
        <v>34344</v>
      </c>
      <c r="CZ33418" s="35">
        <v>2.5270575999999999E-3</v>
      </c>
    </row>
    <row r="33419" spans="103:104" x14ac:dyDescent="0.3">
      <c r="CY33419" s="34" t="s">
        <v>34345</v>
      </c>
      <c r="CZ33419" s="35">
        <v>4.5977520000000001E-3</v>
      </c>
    </row>
    <row r="33420" spans="103:104" x14ac:dyDescent="0.3">
      <c r="CY33420" s="34" t="s">
        <v>34346</v>
      </c>
      <c r="CZ33420" s="35">
        <v>2.0895292000000002E-3</v>
      </c>
    </row>
    <row r="33421" spans="103:104" x14ac:dyDescent="0.3">
      <c r="CY33421" s="34" t="s">
        <v>34347</v>
      </c>
      <c r="CZ33421" s="35">
        <v>2.1856004000000004E-3</v>
      </c>
    </row>
    <row r="33422" spans="103:104" x14ac:dyDescent="0.3">
      <c r="CY33422" s="34" t="s">
        <v>34348</v>
      </c>
      <c r="CZ33422" s="35">
        <v>1.9488241600000004E-2</v>
      </c>
    </row>
    <row r="33423" spans="103:104" x14ac:dyDescent="0.3">
      <c r="CY33423" s="34" t="s">
        <v>34349</v>
      </c>
      <c r="CZ33423" s="35">
        <v>6.995201999999999E-2</v>
      </c>
    </row>
    <row r="33424" spans="103:104" x14ac:dyDescent="0.3">
      <c r="CY33424" s="34" t="s">
        <v>34350</v>
      </c>
      <c r="CZ33424" s="35">
        <v>2.058766105263158E-2</v>
      </c>
    </row>
    <row r="33425" spans="103:104" x14ac:dyDescent="0.3">
      <c r="CY33425" s="34" t="s">
        <v>34351</v>
      </c>
      <c r="CZ33425" s="35">
        <v>7.1185174857142861E-2</v>
      </c>
    </row>
    <row r="33426" spans="103:104" x14ac:dyDescent="0.3">
      <c r="CY33426" s="34" t="s">
        <v>34352</v>
      </c>
      <c r="CZ33426" s="35">
        <v>7.9263062857142852E-2</v>
      </c>
    </row>
    <row r="33427" spans="103:104" x14ac:dyDescent="0.3">
      <c r="CY33427" s="34" t="s">
        <v>34353</v>
      </c>
      <c r="CZ33427" s="35">
        <v>6.9584822857142861E-2</v>
      </c>
    </row>
    <row r="33428" spans="103:104" x14ac:dyDescent="0.3">
      <c r="CY33428" s="34" t="s">
        <v>34354</v>
      </c>
      <c r="CZ33428" s="35">
        <v>1.8334544799999998E-2</v>
      </c>
    </row>
    <row r="33429" spans="103:104" x14ac:dyDescent="0.3">
      <c r="CY33429" s="34" t="s">
        <v>34355</v>
      </c>
      <c r="CZ33429" s="35">
        <v>2.7216604259999997</v>
      </c>
    </row>
    <row r="33430" spans="103:104" x14ac:dyDescent="0.3">
      <c r="CY33430" s="34" t="s">
        <v>34356</v>
      </c>
      <c r="CZ33430" s="35">
        <v>3.1403336266666666</v>
      </c>
    </row>
    <row r="33431" spans="103:104" x14ac:dyDescent="0.3">
      <c r="CY33431" s="34" t="s">
        <v>34357</v>
      </c>
      <c r="CZ33431" s="35">
        <v>0.48773422599999999</v>
      </c>
    </row>
    <row r="33432" spans="103:104" x14ac:dyDescent="0.3">
      <c r="CY33432" s="34" t="s">
        <v>34358</v>
      </c>
      <c r="CZ33432" s="35">
        <v>1.5788026E-2</v>
      </c>
    </row>
    <row r="33433" spans="103:104" x14ac:dyDescent="0.3">
      <c r="CY33433" s="34" t="s">
        <v>34359</v>
      </c>
      <c r="CZ33433" s="35">
        <v>7.1458526315789465E-3</v>
      </c>
    </row>
    <row r="33434" spans="103:104" x14ac:dyDescent="0.3">
      <c r="CY33434" s="34" t="s">
        <v>34360</v>
      </c>
      <c r="CZ33434" s="35">
        <v>5.2981494000000002E-4</v>
      </c>
    </row>
    <row r="33435" spans="103:104" x14ac:dyDescent="0.3">
      <c r="CY33435" s="34" t="s">
        <v>34361</v>
      </c>
      <c r="CZ33435" s="35">
        <v>3.7699908000000004E-2</v>
      </c>
    </row>
    <row r="33436" spans="103:104" x14ac:dyDescent="0.3">
      <c r="CY33436" s="34" t="s">
        <v>34362</v>
      </c>
      <c r="CZ33436" s="35">
        <v>7.8630477257142853E-2</v>
      </c>
    </row>
    <row r="33437" spans="103:104" x14ac:dyDescent="0.3">
      <c r="CY33437" s="34" t="s">
        <v>34363</v>
      </c>
      <c r="CZ33437" s="35">
        <v>7.8630477257142853E-2</v>
      </c>
    </row>
    <row r="33438" spans="103:104" x14ac:dyDescent="0.3">
      <c r="CY33438" s="34" t="s">
        <v>34364</v>
      </c>
      <c r="CZ33438" s="35">
        <v>2.1849149999999998E-2</v>
      </c>
    </row>
    <row r="33439" spans="103:104" x14ac:dyDescent="0.3">
      <c r="CY33439" s="34" t="s">
        <v>34365</v>
      </c>
      <c r="CZ33439" s="35">
        <v>3.9969751999999999E-3</v>
      </c>
    </row>
    <row r="33440" spans="103:104" x14ac:dyDescent="0.3">
      <c r="CY33440" s="34" t="s">
        <v>34366</v>
      </c>
      <c r="CZ33440" s="35">
        <v>6.9412305882352948E-2</v>
      </c>
    </row>
    <row r="33441" spans="103:104" x14ac:dyDescent="0.3">
      <c r="CY33441" s="34" t="s">
        <v>34367</v>
      </c>
      <c r="CZ33441" s="35">
        <v>0.18262019294117646</v>
      </c>
    </row>
    <row r="33442" spans="103:104" x14ac:dyDescent="0.3">
      <c r="CY33442" s="34" t="s">
        <v>34368</v>
      </c>
      <c r="CZ33442" s="35">
        <v>0.10117950682352941</v>
      </c>
    </row>
    <row r="33443" spans="103:104" x14ac:dyDescent="0.3">
      <c r="CY33443" s="34" t="s">
        <v>34369</v>
      </c>
      <c r="CZ33443" s="35">
        <v>0.13342255247058823</v>
      </c>
    </row>
    <row r="33444" spans="103:104" x14ac:dyDescent="0.3">
      <c r="CY33444" s="34" t="s">
        <v>34370</v>
      </c>
      <c r="CZ33444" s="35">
        <v>0.21293282823529416</v>
      </c>
    </row>
    <row r="33445" spans="103:104" x14ac:dyDescent="0.3">
      <c r="CY33445" s="34" t="s">
        <v>34371</v>
      </c>
      <c r="CZ33445" s="35">
        <v>0.22577172941176471</v>
      </c>
    </row>
    <row r="33446" spans="103:104" x14ac:dyDescent="0.3">
      <c r="CY33446" s="34" t="s">
        <v>34372</v>
      </c>
      <c r="CZ33446" s="35">
        <v>6.551804E-2</v>
      </c>
    </row>
    <row r="33447" spans="103:104" x14ac:dyDescent="0.3">
      <c r="CY33447" s="34" t="s">
        <v>34373</v>
      </c>
      <c r="CZ33447" s="35">
        <v>1.3377764000000001E-3</v>
      </c>
    </row>
    <row r="33448" spans="103:104" x14ac:dyDescent="0.3">
      <c r="CY33448" s="34" t="s">
        <v>34374</v>
      </c>
      <c r="CZ33448" s="35">
        <v>2.7175323285714287E-2</v>
      </c>
    </row>
    <row r="33449" spans="103:104" x14ac:dyDescent="0.3">
      <c r="CY33449" s="34" t="s">
        <v>34375</v>
      </c>
      <c r="CZ33449" s="35">
        <v>2.5417074666666668E-2</v>
      </c>
    </row>
    <row r="33450" spans="103:104" x14ac:dyDescent="0.3">
      <c r="CY33450" s="34" t="s">
        <v>34376</v>
      </c>
      <c r="CZ33450" s="35">
        <v>6.6328007999999994E-2</v>
      </c>
    </row>
    <row r="33451" spans="103:104" x14ac:dyDescent="0.3">
      <c r="CY33451" s="34" t="s">
        <v>34377</v>
      </c>
      <c r="CZ33451" s="35">
        <v>5.8939600000000002E-2</v>
      </c>
    </row>
    <row r="33452" spans="103:104" x14ac:dyDescent="0.3">
      <c r="CY33452" s="34" t="s">
        <v>34378</v>
      </c>
      <c r="CZ33452" s="35">
        <v>1.6114046999999999E-2</v>
      </c>
    </row>
    <row r="33453" spans="103:104" x14ac:dyDescent="0.3">
      <c r="CY33453" s="34" t="s">
        <v>34379</v>
      </c>
      <c r="CZ33453" s="35">
        <v>0.10243176799999999</v>
      </c>
    </row>
    <row r="33454" spans="103:104" x14ac:dyDescent="0.3">
      <c r="CY33454" s="34" t="s">
        <v>34380</v>
      </c>
      <c r="CZ33454" s="35">
        <v>6.463253599999999E-2</v>
      </c>
    </row>
    <row r="33455" spans="103:104" x14ac:dyDescent="0.3">
      <c r="CY33455" s="34" t="s">
        <v>34381</v>
      </c>
      <c r="CZ33455" s="35">
        <v>9.208752E-4</v>
      </c>
    </row>
    <row r="33456" spans="103:104" x14ac:dyDescent="0.3">
      <c r="CY33456" s="34" t="s">
        <v>34382</v>
      </c>
      <c r="CZ33456" s="35">
        <v>8.6038444000000006E-2</v>
      </c>
    </row>
    <row r="33457" spans="103:104" x14ac:dyDescent="0.3">
      <c r="CY33457" s="34" t="s">
        <v>34383</v>
      </c>
      <c r="CZ33457" s="35">
        <v>6.1388917333333334E-2</v>
      </c>
    </row>
    <row r="33458" spans="103:104" x14ac:dyDescent="0.3">
      <c r="CY33458" s="34" t="s">
        <v>34384</v>
      </c>
      <c r="CZ33458" s="35">
        <v>0.185031629</v>
      </c>
    </row>
    <row r="33459" spans="103:104" x14ac:dyDescent="0.3">
      <c r="CY33459" s="34" t="s">
        <v>34385</v>
      </c>
      <c r="CZ33459" s="35">
        <v>0.41330740530000004</v>
      </c>
    </row>
    <row r="33460" spans="103:104" x14ac:dyDescent="0.3">
      <c r="CY33460" s="34" t="s">
        <v>34386</v>
      </c>
      <c r="CZ33460" s="35">
        <v>0.33371537299999998</v>
      </c>
    </row>
    <row r="33461" spans="103:104" x14ac:dyDescent="0.3">
      <c r="CY33461" s="34" t="s">
        <v>34387</v>
      </c>
      <c r="CZ33461" s="35">
        <v>0.53652849000000002</v>
      </c>
    </row>
    <row r="33462" spans="103:104" x14ac:dyDescent="0.3">
      <c r="CY33462" s="34" t="s">
        <v>34388</v>
      </c>
      <c r="CZ33462" s="35">
        <v>3.4062492266666668E-2</v>
      </c>
    </row>
    <row r="33463" spans="103:104" x14ac:dyDescent="0.3">
      <c r="CY33463" s="34" t="s">
        <v>34389</v>
      </c>
      <c r="CZ33463" s="35">
        <v>2.4796982899999999E-3</v>
      </c>
    </row>
    <row r="33464" spans="103:104" x14ac:dyDescent="0.3">
      <c r="CY33464" s="34" t="s">
        <v>34390</v>
      </c>
      <c r="CZ33464" s="35">
        <v>3.1215260599999997E-3</v>
      </c>
    </row>
    <row r="33465" spans="103:104" x14ac:dyDescent="0.3">
      <c r="CY33465" s="34" t="s">
        <v>34391</v>
      </c>
      <c r="CZ33465" s="35">
        <v>5.6319383673469389E-3</v>
      </c>
    </row>
    <row r="33466" spans="103:104" x14ac:dyDescent="0.3">
      <c r="CY33466" s="34" t="s">
        <v>34392</v>
      </c>
      <c r="CZ33466" s="35">
        <v>0.29001667999999992</v>
      </c>
    </row>
    <row r="33467" spans="103:104" x14ac:dyDescent="0.3">
      <c r="CY33467" s="34" t="s">
        <v>34393</v>
      </c>
      <c r="CZ33467" s="35">
        <v>0.127724</v>
      </c>
    </row>
    <row r="33468" spans="103:104" x14ac:dyDescent="0.3">
      <c r="CY33468" s="34" t="s">
        <v>34394</v>
      </c>
      <c r="CZ33468" s="35">
        <v>0.23303116000000001</v>
      </c>
    </row>
    <row r="33469" spans="103:104" x14ac:dyDescent="0.3">
      <c r="CY33469" s="34" t="s">
        <v>34395</v>
      </c>
      <c r="CZ33469" s="35">
        <v>5.5566559999999992E-3</v>
      </c>
    </row>
    <row r="33470" spans="103:104" x14ac:dyDescent="0.3">
      <c r="CY33470" s="34" t="s">
        <v>34396</v>
      </c>
      <c r="CZ33470" s="35">
        <v>1.7884613799999999E-3</v>
      </c>
    </row>
    <row r="33471" spans="103:104" x14ac:dyDescent="0.3">
      <c r="CY33471" s="34" t="s">
        <v>34397</v>
      </c>
      <c r="CZ33471" s="35">
        <v>1.3111424250000002E-2</v>
      </c>
    </row>
    <row r="33472" spans="103:104" x14ac:dyDescent="0.3">
      <c r="CY33472" s="34" t="s">
        <v>34398</v>
      </c>
      <c r="CZ33472" s="35">
        <v>3.1039600000000001E-2</v>
      </c>
    </row>
    <row r="33473" spans="103:104" x14ac:dyDescent="0.3">
      <c r="CY33473" s="34" t="s">
        <v>34399</v>
      </c>
      <c r="CZ33473" s="35">
        <v>1.8656816842105264E-2</v>
      </c>
    </row>
    <row r="33474" spans="103:104" x14ac:dyDescent="0.3">
      <c r="CY33474" s="34" t="s">
        <v>34400</v>
      </c>
      <c r="CZ33474" s="35">
        <v>1.2570415037593985E-2</v>
      </c>
    </row>
    <row r="33475" spans="103:104" x14ac:dyDescent="0.3">
      <c r="CY33475" s="34" t="s">
        <v>34401</v>
      </c>
      <c r="CZ33475" s="35">
        <v>2.4948145340000002E-2</v>
      </c>
    </row>
    <row r="33476" spans="103:104" x14ac:dyDescent="0.3">
      <c r="CY33476" s="34" t="s">
        <v>34402</v>
      </c>
      <c r="CZ33476" s="35">
        <v>0.99485058939999993</v>
      </c>
    </row>
    <row r="33477" spans="103:104" x14ac:dyDescent="0.3">
      <c r="CY33477" s="34" t="s">
        <v>34403</v>
      </c>
      <c r="CZ33477" s="35">
        <v>1.2187417894000001</v>
      </c>
    </row>
    <row r="33478" spans="103:104" x14ac:dyDescent="0.3">
      <c r="CY33478" s="34" t="s">
        <v>34404</v>
      </c>
      <c r="CZ33478" s="35">
        <v>0.89020370940000004</v>
      </c>
    </row>
    <row r="33479" spans="103:104" x14ac:dyDescent="0.3">
      <c r="CY33479" s="34" t="s">
        <v>34405</v>
      </c>
      <c r="CZ33479" s="35">
        <v>0.96248451680000002</v>
      </c>
    </row>
    <row r="33480" spans="103:104" x14ac:dyDescent="0.3">
      <c r="CY33480" s="34" t="s">
        <v>34406</v>
      </c>
      <c r="CZ33480" s="35">
        <v>1.0379448367999999</v>
      </c>
    </row>
    <row r="33481" spans="103:104" x14ac:dyDescent="0.3">
      <c r="CY33481" s="34" t="s">
        <v>34407</v>
      </c>
      <c r="CZ33481" s="35">
        <v>2.2726017319999996E-2</v>
      </c>
    </row>
    <row r="33482" spans="103:104" x14ac:dyDescent="0.3">
      <c r="CY33482" s="34" t="s">
        <v>34408</v>
      </c>
      <c r="CZ33482" s="35">
        <v>2.9971228000000003E-3</v>
      </c>
    </row>
    <row r="33483" spans="103:104" x14ac:dyDescent="0.3">
      <c r="CY33483" s="34" t="s">
        <v>34409</v>
      </c>
      <c r="CZ33483" s="35">
        <v>2.110803020833333E-3</v>
      </c>
    </row>
    <row r="33484" spans="103:104" x14ac:dyDescent="0.3">
      <c r="CY33484" s="34" t="s">
        <v>34410</v>
      </c>
      <c r="CZ33484" s="35">
        <v>1.3862157142857144E-3</v>
      </c>
    </row>
    <row r="33485" spans="103:104" x14ac:dyDescent="0.3">
      <c r="CY33485" s="34" t="s">
        <v>34411</v>
      </c>
      <c r="CZ33485" s="35">
        <v>8.8872249999999986E-3</v>
      </c>
    </row>
    <row r="33486" spans="103:104" x14ac:dyDescent="0.3">
      <c r="CY33486" s="34" t="s">
        <v>34412</v>
      </c>
      <c r="CZ33486" s="35">
        <v>3.5393993333333331E-3</v>
      </c>
    </row>
    <row r="33487" spans="103:104" x14ac:dyDescent="0.3">
      <c r="CY33487" s="34" t="s">
        <v>34413</v>
      </c>
      <c r="CZ33487" s="35">
        <v>1.9985200600000003E-2</v>
      </c>
    </row>
    <row r="33488" spans="103:104" x14ac:dyDescent="0.3">
      <c r="CY33488" s="34" t="s">
        <v>34414</v>
      </c>
      <c r="CZ33488" s="35">
        <v>6.4569211999999996E-4</v>
      </c>
    </row>
    <row r="33489" spans="103:104" x14ac:dyDescent="0.3">
      <c r="CY33489" s="34" t="s">
        <v>34415</v>
      </c>
      <c r="CZ33489" s="35">
        <v>9.4752779266666666E-4</v>
      </c>
    </row>
    <row r="33490" spans="103:104" x14ac:dyDescent="0.3">
      <c r="CY33490" s="34" t="s">
        <v>34416</v>
      </c>
      <c r="CZ33490" s="35">
        <v>3.6198193333500002E-2</v>
      </c>
    </row>
    <row r="33491" spans="103:104" x14ac:dyDescent="0.3">
      <c r="CY33491" s="34" t="s">
        <v>34417</v>
      </c>
      <c r="CZ33491" s="35">
        <v>5.7934329999999989E-3</v>
      </c>
    </row>
    <row r="33492" spans="103:104" x14ac:dyDescent="0.3">
      <c r="CY33492" s="34" t="s">
        <v>34418</v>
      </c>
      <c r="CZ33492" s="35">
        <v>1.4199653E-2</v>
      </c>
    </row>
    <row r="33493" spans="103:104" x14ac:dyDescent="0.3">
      <c r="CY33493" s="34" t="s">
        <v>34419</v>
      </c>
      <c r="CZ33493" s="35">
        <v>0.13213271399999998</v>
      </c>
    </row>
    <row r="33494" spans="103:104" x14ac:dyDescent="0.3">
      <c r="CY33494" s="34" t="s">
        <v>34420</v>
      </c>
      <c r="CZ33494" s="35">
        <v>7.8770668000000016E-2</v>
      </c>
    </row>
    <row r="33495" spans="103:104" x14ac:dyDescent="0.3">
      <c r="CY33495" s="34" t="s">
        <v>34421</v>
      </c>
      <c r="CZ33495" s="35">
        <v>0.13044636000000001</v>
      </c>
    </row>
    <row r="33496" spans="103:104" x14ac:dyDescent="0.3">
      <c r="CY33496" s="34" t="s">
        <v>34422</v>
      </c>
      <c r="CZ33496" s="35">
        <v>8.1077919999999998E-2</v>
      </c>
    </row>
    <row r="33497" spans="103:104" x14ac:dyDescent="0.3">
      <c r="CY33497" s="34" t="s">
        <v>34423</v>
      </c>
      <c r="CZ33497" s="35">
        <v>4.1697185185185184E-2</v>
      </c>
    </row>
    <row r="33498" spans="103:104" x14ac:dyDescent="0.3">
      <c r="CY33498" s="34" t="s">
        <v>34424</v>
      </c>
      <c r="CZ33498" s="35">
        <v>4.3453839999999999E-3</v>
      </c>
    </row>
    <row r="33499" spans="103:104" x14ac:dyDescent="0.3">
      <c r="CY33499" s="34" t="s">
        <v>34425</v>
      </c>
      <c r="CZ33499" s="35">
        <v>1.0552375999999999E-2</v>
      </c>
    </row>
    <row r="33500" spans="103:104" x14ac:dyDescent="0.3">
      <c r="CY33500" s="34" t="s">
        <v>34426</v>
      </c>
      <c r="CZ33500" s="35">
        <v>0.28487145366666672</v>
      </c>
    </row>
    <row r="33501" spans="103:104" x14ac:dyDescent="0.3">
      <c r="CY33501" s="34" t="s">
        <v>34427</v>
      </c>
      <c r="CZ33501" s="35">
        <v>0.10739644168</v>
      </c>
    </row>
    <row r="33502" spans="103:104" x14ac:dyDescent="0.3">
      <c r="CY33502" s="34" t="s">
        <v>34428</v>
      </c>
      <c r="CZ33502" s="35">
        <v>0.21130402252</v>
      </c>
    </row>
    <row r="33503" spans="103:104" x14ac:dyDescent="0.3">
      <c r="CY33503" s="34" t="s">
        <v>34429</v>
      </c>
      <c r="CZ33503" s="35">
        <v>6.1941921999999995E-3</v>
      </c>
    </row>
    <row r="33504" spans="103:104" x14ac:dyDescent="0.3">
      <c r="CY33504" s="34" t="s">
        <v>34430</v>
      </c>
      <c r="CZ33504" s="35">
        <v>5.7708333339999991E-3</v>
      </c>
    </row>
    <row r="33505" spans="103:104" x14ac:dyDescent="0.3">
      <c r="CY33505" s="34" t="s">
        <v>34431</v>
      </c>
      <c r="CZ33505" s="35">
        <v>2.1701969072164953E-2</v>
      </c>
    </row>
    <row r="33506" spans="103:104" x14ac:dyDescent="0.3">
      <c r="CY33506" s="34" t="s">
        <v>34432</v>
      </c>
      <c r="CZ33506" s="35">
        <v>1.59661624E-3</v>
      </c>
    </row>
    <row r="33507" spans="103:104" x14ac:dyDescent="0.3">
      <c r="CY33507" s="34" t="s">
        <v>34433</v>
      </c>
      <c r="CZ33507" s="35">
        <v>5.4942401999999993E-3</v>
      </c>
    </row>
    <row r="33508" spans="103:104" x14ac:dyDescent="0.3">
      <c r="CY33508" s="34" t="s">
        <v>34434</v>
      </c>
      <c r="CZ33508" s="35">
        <v>3.7435688000000002E-2</v>
      </c>
    </row>
    <row r="33509" spans="103:104" x14ac:dyDescent="0.3">
      <c r="CY33509" s="34" t="s">
        <v>34435</v>
      </c>
      <c r="CZ33509" s="35">
        <v>3.8219848000000001E-2</v>
      </c>
    </row>
    <row r="33510" spans="103:104" x14ac:dyDescent="0.3">
      <c r="CY33510" s="34" t="s">
        <v>34436</v>
      </c>
      <c r="CZ33510" s="35">
        <v>4.48519E-2</v>
      </c>
    </row>
    <row r="33511" spans="103:104" x14ac:dyDescent="0.3">
      <c r="CY33511" s="34" t="s">
        <v>34437</v>
      </c>
      <c r="CZ33511" s="35">
        <v>3.7063059700000005E-2</v>
      </c>
    </row>
    <row r="33512" spans="103:104" x14ac:dyDescent="0.3">
      <c r="CY33512" s="34" t="s">
        <v>34438</v>
      </c>
      <c r="CZ33512" s="35">
        <v>1.339888E-2</v>
      </c>
    </row>
    <row r="33513" spans="103:104" x14ac:dyDescent="0.3">
      <c r="CY33513" s="34" t="s">
        <v>34439</v>
      </c>
      <c r="CZ33513" s="35">
        <v>1.339888E-2</v>
      </c>
    </row>
    <row r="33514" spans="103:104" x14ac:dyDescent="0.3">
      <c r="CY33514" s="34" t="s">
        <v>34440</v>
      </c>
      <c r="CZ33514" s="35">
        <v>9.3865086315789471E-3</v>
      </c>
    </row>
    <row r="33515" spans="103:104" x14ac:dyDescent="0.3">
      <c r="CY33515" s="34" t="s">
        <v>34441</v>
      </c>
      <c r="CZ33515" s="35">
        <v>0.70252024999999996</v>
      </c>
    </row>
    <row r="33516" spans="103:104" x14ac:dyDescent="0.3">
      <c r="CY33516" s="34" t="s">
        <v>34442</v>
      </c>
      <c r="CZ33516" s="35">
        <v>0.41322657999999995</v>
      </c>
    </row>
    <row r="33517" spans="103:104" x14ac:dyDescent="0.3">
      <c r="CY33517" s="34" t="s">
        <v>34443</v>
      </c>
      <c r="CZ33517" s="35">
        <v>0.71148679999999997</v>
      </c>
    </row>
    <row r="33518" spans="103:104" x14ac:dyDescent="0.3">
      <c r="CY33518" s="34" t="s">
        <v>34444</v>
      </c>
      <c r="CZ33518" s="35">
        <v>0.29547491999999997</v>
      </c>
    </row>
    <row r="33519" spans="103:104" x14ac:dyDescent="0.3">
      <c r="CY33519" s="34" t="s">
        <v>34445</v>
      </c>
      <c r="CZ33519" s="35">
        <v>0.23042499999999999</v>
      </c>
    </row>
    <row r="33520" spans="103:104" x14ac:dyDescent="0.3">
      <c r="CY33520" s="34" t="s">
        <v>34446</v>
      </c>
      <c r="CZ33520" s="35">
        <v>0.26637364000000002</v>
      </c>
    </row>
    <row r="33521" spans="103:104" x14ac:dyDescent="0.3">
      <c r="CY33521" s="34" t="s">
        <v>34447</v>
      </c>
      <c r="CZ33521" s="35">
        <v>0.44617820000000002</v>
      </c>
    </row>
    <row r="33522" spans="103:104" x14ac:dyDescent="0.3">
      <c r="CY33522" s="34" t="s">
        <v>34448</v>
      </c>
      <c r="CZ33522" s="35">
        <v>1.7728732944444443E-2</v>
      </c>
    </row>
    <row r="33523" spans="103:104" x14ac:dyDescent="0.3">
      <c r="CY33523" s="34" t="s">
        <v>34449</v>
      </c>
      <c r="CZ33523" s="35">
        <v>1.456153E-2</v>
      </c>
    </row>
    <row r="33524" spans="103:104" x14ac:dyDescent="0.3">
      <c r="CY33524" s="34" t="s">
        <v>34450</v>
      </c>
      <c r="CZ33524" s="35">
        <v>3.7804840000000002E-3</v>
      </c>
    </row>
    <row r="33525" spans="103:104" x14ac:dyDescent="0.3">
      <c r="CY33525" s="34" t="s">
        <v>34451</v>
      </c>
      <c r="CZ33525" s="35">
        <v>0.13196228421052633</v>
      </c>
    </row>
    <row r="33526" spans="103:104" x14ac:dyDescent="0.3">
      <c r="CY33526" s="34" t="s">
        <v>34452</v>
      </c>
      <c r="CZ33526" s="35">
        <v>0.11491424842105263</v>
      </c>
    </row>
    <row r="33527" spans="103:104" x14ac:dyDescent="0.3">
      <c r="CY33527" s="34" t="s">
        <v>34453</v>
      </c>
      <c r="CZ33527" s="35">
        <v>2.1369744E-3</v>
      </c>
    </row>
    <row r="33528" spans="103:104" x14ac:dyDescent="0.3">
      <c r="CY33528" s="34" t="s">
        <v>34454</v>
      </c>
      <c r="CZ33528" s="35">
        <v>0.10358144</v>
      </c>
    </row>
    <row r="33529" spans="103:104" x14ac:dyDescent="0.3">
      <c r="CY33529" s="34" t="s">
        <v>34455</v>
      </c>
      <c r="CZ33529" s="35">
        <v>7.1425410000000014E-3</v>
      </c>
    </row>
    <row r="33530" spans="103:104" x14ac:dyDescent="0.3">
      <c r="CY33530" s="34" t="s">
        <v>34456</v>
      </c>
      <c r="CZ33530" s="35">
        <v>8.8830930000000002E-2</v>
      </c>
    </row>
    <row r="33531" spans="103:104" x14ac:dyDescent="0.3">
      <c r="CY33531" s="34" t="s">
        <v>34457</v>
      </c>
      <c r="CZ33531" s="35">
        <v>0.11794261</v>
      </c>
    </row>
    <row r="33532" spans="103:104" x14ac:dyDescent="0.3">
      <c r="CY33532" s="34" t="s">
        <v>34458</v>
      </c>
      <c r="CZ33532" s="35">
        <v>7.8762894999999996E-4</v>
      </c>
    </row>
    <row r="33533" spans="103:104" x14ac:dyDescent="0.3">
      <c r="CY33533" s="34" t="s">
        <v>34459</v>
      </c>
      <c r="CZ33533" s="35">
        <v>1.7045353E-3</v>
      </c>
    </row>
    <row r="33534" spans="103:104" x14ac:dyDescent="0.3">
      <c r="CY33534" s="34" t="s">
        <v>34460</v>
      </c>
      <c r="CZ33534" s="35">
        <v>2.3713113665000001E-3</v>
      </c>
    </row>
    <row r="33535" spans="103:104" x14ac:dyDescent="0.3">
      <c r="CY33535" s="34" t="s">
        <v>34461</v>
      </c>
      <c r="CZ33535" s="35">
        <v>4.3806735999999992E-3</v>
      </c>
    </row>
    <row r="33536" spans="103:104" x14ac:dyDescent="0.3">
      <c r="CY33536" s="34" t="s">
        <v>34462</v>
      </c>
      <c r="CZ33536" s="35">
        <v>9.9927200000000001E-3</v>
      </c>
    </row>
    <row r="33537" spans="103:104" x14ac:dyDescent="0.3">
      <c r="CY33537" s="34" t="s">
        <v>34463</v>
      </c>
      <c r="CZ33537" s="35">
        <v>4.9961856000000004E-3</v>
      </c>
    </row>
    <row r="33538" spans="103:104" x14ac:dyDescent="0.3">
      <c r="CY33538" s="34" t="s">
        <v>34464</v>
      </c>
      <c r="CZ33538" s="35">
        <v>7.8662551111111104E-2</v>
      </c>
    </row>
    <row r="33539" spans="103:104" x14ac:dyDescent="0.3">
      <c r="CY33539" s="34" t="s">
        <v>34465</v>
      </c>
      <c r="CZ33539" s="35">
        <v>1.4533582000000001E-2</v>
      </c>
    </row>
    <row r="33540" spans="103:104" x14ac:dyDescent="0.3">
      <c r="CY33540" s="34" t="s">
        <v>34466</v>
      </c>
      <c r="CZ33540" s="35">
        <v>1.3059985999999999E-2</v>
      </c>
    </row>
    <row r="33541" spans="103:104" x14ac:dyDescent="0.3">
      <c r="CY33541" s="34" t="s">
        <v>34467</v>
      </c>
      <c r="CZ33541" s="35">
        <v>1.1870149999999999E-2</v>
      </c>
    </row>
    <row r="33542" spans="103:104" x14ac:dyDescent="0.3">
      <c r="CY33542" s="34" t="s">
        <v>34468</v>
      </c>
      <c r="CZ33542" s="35">
        <v>7.8121547400000005E-2</v>
      </c>
    </row>
    <row r="33543" spans="103:104" x14ac:dyDescent="0.3">
      <c r="CY33543" s="34" t="s">
        <v>34469</v>
      </c>
      <c r="CZ33543" s="35">
        <v>7.4816427399999996E-2</v>
      </c>
    </row>
    <row r="33544" spans="103:104" x14ac:dyDescent="0.3">
      <c r="CY33544" s="34" t="s">
        <v>34470</v>
      </c>
      <c r="CZ33544" s="35">
        <v>3.3262689221999996E-4</v>
      </c>
    </row>
    <row r="33545" spans="103:104" x14ac:dyDescent="0.3">
      <c r="CY33545" s="34" t="s">
        <v>34471</v>
      </c>
      <c r="CZ33545" s="35">
        <v>5.9277709666999997E-4</v>
      </c>
    </row>
    <row r="33546" spans="103:104" x14ac:dyDescent="0.3">
      <c r="CY33546" s="34" t="s">
        <v>34472</v>
      </c>
      <c r="CZ33546" s="35">
        <v>0.11994703</v>
      </c>
    </row>
    <row r="33547" spans="103:104" x14ac:dyDescent="0.3">
      <c r="CY33547" s="34" t="s">
        <v>34473</v>
      </c>
      <c r="CZ33547" s="35">
        <v>0.16269511600000003</v>
      </c>
    </row>
    <row r="33548" spans="103:104" x14ac:dyDescent="0.3">
      <c r="CY33548" s="34" t="s">
        <v>34474</v>
      </c>
      <c r="CZ33548" s="35">
        <v>8.4836499999999988E-3</v>
      </c>
    </row>
    <row r="33549" spans="103:104" x14ac:dyDescent="0.3">
      <c r="CY33549" s="34" t="s">
        <v>34475</v>
      </c>
      <c r="CZ33549" s="35">
        <v>3.6145416E-2</v>
      </c>
    </row>
    <row r="33550" spans="103:104" x14ac:dyDescent="0.3">
      <c r="CY33550" s="34" t="s">
        <v>34476</v>
      </c>
      <c r="CZ33550" s="35">
        <v>1.1025000000000001E-4</v>
      </c>
    </row>
    <row r="33551" spans="103:104" x14ac:dyDescent="0.3">
      <c r="CY33551" s="34" t="s">
        <v>34477</v>
      </c>
      <c r="CZ33551" s="35">
        <v>2.7696877000000005E-2</v>
      </c>
    </row>
    <row r="33552" spans="103:104" x14ac:dyDescent="0.3">
      <c r="CY33552" s="34" t="s">
        <v>34478</v>
      </c>
      <c r="CZ33552" s="35">
        <v>1.361424E-2</v>
      </c>
    </row>
    <row r="33553" spans="103:104" x14ac:dyDescent="0.3">
      <c r="CY33553" s="34" t="s">
        <v>34479</v>
      </c>
      <c r="CZ33553" s="35">
        <v>3.0956807999999999E-2</v>
      </c>
    </row>
    <row r="33554" spans="103:104" x14ac:dyDescent="0.3">
      <c r="CY33554" s="34" t="s">
        <v>34480</v>
      </c>
      <c r="CZ33554" s="35">
        <v>5.8298500000000001E-3</v>
      </c>
    </row>
    <row r="33555" spans="103:104" x14ac:dyDescent="0.3">
      <c r="CY33555" s="34" t="s">
        <v>34481</v>
      </c>
      <c r="CZ33555" s="35">
        <v>0.12728171999999999</v>
      </c>
    </row>
    <row r="33556" spans="103:104" x14ac:dyDescent="0.3">
      <c r="CY33556" s="34" t="s">
        <v>34482</v>
      </c>
      <c r="CZ33556" s="35">
        <v>2.9459992692307691E-2</v>
      </c>
    </row>
    <row r="33557" spans="103:104" x14ac:dyDescent="0.3">
      <c r="CY33557" s="34" t="s">
        <v>34483</v>
      </c>
      <c r="CZ33557" s="35">
        <v>3.9315807999999999E-3</v>
      </c>
    </row>
    <row r="33558" spans="103:104" x14ac:dyDescent="0.3">
      <c r="CY33558" s="34" t="s">
        <v>34484</v>
      </c>
      <c r="CZ33558" s="35">
        <v>1.6446303999999998E-2</v>
      </c>
    </row>
    <row r="33559" spans="103:104" x14ac:dyDescent="0.3">
      <c r="CY33559" s="34" t="s">
        <v>34485</v>
      </c>
      <c r="CZ33559" s="35">
        <v>9.5425265000000006E-3</v>
      </c>
    </row>
    <row r="33560" spans="103:104" x14ac:dyDescent="0.3">
      <c r="CY33560" s="34" t="s">
        <v>34486</v>
      </c>
      <c r="CZ33560" s="35">
        <v>0.21307309999999999</v>
      </c>
    </row>
    <row r="33561" spans="103:104" x14ac:dyDescent="0.3">
      <c r="CY33561" s="34" t="s">
        <v>34487</v>
      </c>
      <c r="CZ33561" s="35">
        <v>0.20038924000000002</v>
      </c>
    </row>
    <row r="33562" spans="103:104" x14ac:dyDescent="0.3">
      <c r="CY33562" s="34" t="s">
        <v>34488</v>
      </c>
      <c r="CZ33562" s="35">
        <v>0.62516925333333351</v>
      </c>
    </row>
    <row r="33563" spans="103:104" x14ac:dyDescent="0.3">
      <c r="CY33563" s="34" t="s">
        <v>34489</v>
      </c>
      <c r="CZ33563" s="35">
        <v>6.0005920000000008E-3</v>
      </c>
    </row>
    <row r="33564" spans="103:104" x14ac:dyDescent="0.3">
      <c r="CY33564" s="34" t="s">
        <v>34490</v>
      </c>
      <c r="CZ33564" s="35">
        <v>7.3537200000000011E-3</v>
      </c>
    </row>
    <row r="33565" spans="103:104" x14ac:dyDescent="0.3">
      <c r="CY33565" s="34" t="s">
        <v>34491</v>
      </c>
      <c r="CZ33565" s="35">
        <v>6.2163938400000007E-3</v>
      </c>
    </row>
    <row r="33566" spans="103:104" x14ac:dyDescent="0.3">
      <c r="CY33566" s="34" t="s">
        <v>34492</v>
      </c>
      <c r="CZ33566" s="35">
        <v>6.1657200000000004E-3</v>
      </c>
    </row>
    <row r="33567" spans="103:104" x14ac:dyDescent="0.3">
      <c r="CY33567" s="34" t="s">
        <v>34493</v>
      </c>
      <c r="CZ33567" s="35">
        <v>6.907446433333333E-3</v>
      </c>
    </row>
    <row r="33568" spans="103:104" x14ac:dyDescent="0.3">
      <c r="CY33568" s="34" t="s">
        <v>34494</v>
      </c>
      <c r="CZ33568" s="35">
        <v>3.7406041200000002E-3</v>
      </c>
    </row>
    <row r="33569" spans="103:104" x14ac:dyDescent="0.3">
      <c r="CY33569" s="34" t="s">
        <v>34495</v>
      </c>
      <c r="CZ33569" s="35">
        <v>7.5555005035246731E-3</v>
      </c>
    </row>
    <row r="33570" spans="103:104" x14ac:dyDescent="0.3">
      <c r="CY33570" s="34" t="s">
        <v>34496</v>
      </c>
      <c r="CZ33570" s="35">
        <v>0.50541599999999998</v>
      </c>
    </row>
    <row r="33571" spans="103:104" x14ac:dyDescent="0.3">
      <c r="CY33571" s="34" t="s">
        <v>34497</v>
      </c>
      <c r="CZ33571" s="35">
        <v>1.6397922666666666E-3</v>
      </c>
    </row>
    <row r="33572" spans="103:104" x14ac:dyDescent="0.3">
      <c r="CY33572" s="34" t="s">
        <v>34498</v>
      </c>
      <c r="CZ33572" s="35">
        <v>3.27458E-3</v>
      </c>
    </row>
    <row r="33573" spans="103:104" x14ac:dyDescent="0.3">
      <c r="CY33573" s="34" t="s">
        <v>34499</v>
      </c>
      <c r="CZ33573" s="35">
        <v>5.4227159999999993E-3</v>
      </c>
    </row>
    <row r="33574" spans="103:104" x14ac:dyDescent="0.3">
      <c r="CY33574" s="34" t="s">
        <v>34500</v>
      </c>
      <c r="CZ33574" s="35">
        <v>0.30162859799999997</v>
      </c>
    </row>
    <row r="33575" spans="103:104" x14ac:dyDescent="0.3">
      <c r="CY33575" s="34" t="s">
        <v>34501</v>
      </c>
      <c r="CZ33575" s="35">
        <v>4.6710410000000008E-2</v>
      </c>
    </row>
    <row r="33576" spans="103:104" x14ac:dyDescent="0.3">
      <c r="CY33576" s="34" t="s">
        <v>34502</v>
      </c>
      <c r="CZ33576" s="35">
        <v>5.8355950000000004E-2</v>
      </c>
    </row>
    <row r="33577" spans="103:104" x14ac:dyDescent="0.3">
      <c r="CY33577" s="34" t="s">
        <v>34503</v>
      </c>
      <c r="CZ33577" s="35">
        <v>6.6819320000000001E-2</v>
      </c>
    </row>
    <row r="33578" spans="103:104" x14ac:dyDescent="0.3">
      <c r="CY33578" s="34" t="s">
        <v>34504</v>
      </c>
      <c r="CZ33578" s="35">
        <v>9.9215842706766935E-4</v>
      </c>
    </row>
    <row r="33579" spans="103:104" x14ac:dyDescent="0.3">
      <c r="CY33579" s="34" t="s">
        <v>34505</v>
      </c>
      <c r="CZ33579" s="35">
        <v>1.0292911200000001E-3</v>
      </c>
    </row>
    <row r="33580" spans="103:104" x14ac:dyDescent="0.3">
      <c r="CY33580" s="34" t="s">
        <v>34506</v>
      </c>
      <c r="CZ33580" s="35">
        <v>3.827783111333333E-4</v>
      </c>
    </row>
    <row r="33581" spans="103:104" x14ac:dyDescent="0.3">
      <c r="CY33581" s="34" t="s">
        <v>34507</v>
      </c>
      <c r="CZ33581" s="35">
        <v>1.0501733333333333E-3</v>
      </c>
    </row>
    <row r="33582" spans="103:104" x14ac:dyDescent="0.3">
      <c r="CY33582" s="34" t="s">
        <v>34508</v>
      </c>
      <c r="CZ33582" s="35">
        <v>1.7160146823529414E-3</v>
      </c>
    </row>
    <row r="33583" spans="103:104" x14ac:dyDescent="0.3">
      <c r="CY33583" s="34" t="s">
        <v>34509</v>
      </c>
      <c r="CZ33583" s="35">
        <v>1.8680082823529412E-3</v>
      </c>
    </row>
    <row r="33584" spans="103:104" x14ac:dyDescent="0.3">
      <c r="CY33584" s="34" t="s">
        <v>34510</v>
      </c>
      <c r="CZ33584" s="35">
        <v>1.1004076800000002E-3</v>
      </c>
    </row>
    <row r="33585" spans="103:104" x14ac:dyDescent="0.3">
      <c r="CY33585" s="34" t="s">
        <v>34511</v>
      </c>
      <c r="CZ33585" s="35">
        <v>3.7019119999999998E-4</v>
      </c>
    </row>
    <row r="33586" spans="103:104" x14ac:dyDescent="0.3">
      <c r="CY33586" s="34" t="s">
        <v>34512</v>
      </c>
      <c r="CZ33586" s="35">
        <v>4.0907439545454546E-4</v>
      </c>
    </row>
    <row r="33587" spans="103:104" x14ac:dyDescent="0.3">
      <c r="CY33587" s="34" t="s">
        <v>34513</v>
      </c>
      <c r="CZ33587" s="35">
        <v>2.8606807999999998E-3</v>
      </c>
    </row>
    <row r="33588" spans="103:104" x14ac:dyDescent="0.3">
      <c r="CY33588" s="34" t="s">
        <v>34514</v>
      </c>
      <c r="CZ33588" s="35">
        <v>1.7902871999999998E-3</v>
      </c>
    </row>
    <row r="33589" spans="103:104" x14ac:dyDescent="0.3">
      <c r="CY33589" s="34" t="s">
        <v>34515</v>
      </c>
      <c r="CZ33589" s="35">
        <v>3.7118480000000002E-3</v>
      </c>
    </row>
    <row r="33590" spans="103:104" x14ac:dyDescent="0.3">
      <c r="CY33590" s="34" t="s">
        <v>34516</v>
      </c>
      <c r="CZ33590" s="35">
        <v>4.7527895999999997E-3</v>
      </c>
    </row>
    <row r="33591" spans="103:104" x14ac:dyDescent="0.3">
      <c r="CY33591" s="34" t="s">
        <v>34517</v>
      </c>
      <c r="CZ33591" s="35">
        <v>2.0207959999999996E-3</v>
      </c>
    </row>
    <row r="33592" spans="103:104" x14ac:dyDescent="0.3">
      <c r="CY33592" s="34" t="s">
        <v>34518</v>
      </c>
      <c r="CZ33592" s="35">
        <v>2.4484363999999998E-2</v>
      </c>
    </row>
    <row r="33593" spans="103:104" x14ac:dyDescent="0.3">
      <c r="CY33593" s="34" t="s">
        <v>34519</v>
      </c>
      <c r="CZ33593" s="35">
        <v>6.2353738000000001E-3</v>
      </c>
    </row>
    <row r="33594" spans="103:104" x14ac:dyDescent="0.3">
      <c r="CY33594" s="34" t="s">
        <v>34520</v>
      </c>
      <c r="CZ33594" s="35">
        <v>4.0557033866666666E-4</v>
      </c>
    </row>
    <row r="33595" spans="103:104" x14ac:dyDescent="0.3">
      <c r="CY33595" s="34" t="s">
        <v>34521</v>
      </c>
      <c r="CZ33595" s="35">
        <v>2.4746840000000004E-3</v>
      </c>
    </row>
    <row r="33596" spans="103:104" x14ac:dyDescent="0.3">
      <c r="CY33596" s="34" t="s">
        <v>34522</v>
      </c>
      <c r="CZ33596" s="35">
        <v>9.3150999999999998E-2</v>
      </c>
    </row>
    <row r="33597" spans="103:104" x14ac:dyDescent="0.3">
      <c r="CY33597" s="34" t="s">
        <v>34523</v>
      </c>
      <c r="CZ33597" s="35">
        <v>1.3812570399999998E-2</v>
      </c>
    </row>
    <row r="33598" spans="103:104" x14ac:dyDescent="0.3">
      <c r="CY33598" s="34" t="s">
        <v>34524</v>
      </c>
      <c r="CZ33598" s="35">
        <v>8.7071664000000007E-3</v>
      </c>
    </row>
    <row r="33599" spans="103:104" x14ac:dyDescent="0.3">
      <c r="CY33599" s="34" t="s">
        <v>34525</v>
      </c>
      <c r="CZ33599" s="35">
        <v>7.0436281266666664E-3</v>
      </c>
    </row>
    <row r="33600" spans="103:104" x14ac:dyDescent="0.3">
      <c r="CY33600" s="34" t="s">
        <v>34526</v>
      </c>
      <c r="CZ33600" s="35">
        <v>2.1382875199999998E-2</v>
      </c>
    </row>
    <row r="33601" spans="103:104" x14ac:dyDescent="0.3">
      <c r="CY33601" s="34" t="s">
        <v>34527</v>
      </c>
      <c r="CZ33601" s="35">
        <v>2.1201219860000002E-2</v>
      </c>
    </row>
    <row r="33602" spans="103:104" x14ac:dyDescent="0.3">
      <c r="CY33602" s="34" t="s">
        <v>34528</v>
      </c>
      <c r="CZ33602" s="35">
        <v>8.0330410000000005E-4</v>
      </c>
    </row>
    <row r="33603" spans="103:104" x14ac:dyDescent="0.3">
      <c r="CY33603" s="34" t="s">
        <v>34529</v>
      </c>
      <c r="CZ33603" s="35">
        <v>1.0627320000000001E-2</v>
      </c>
    </row>
    <row r="33604" spans="103:104" x14ac:dyDescent="0.3">
      <c r="CY33604" s="34" t="s">
        <v>34530</v>
      </c>
      <c r="CZ33604" s="35">
        <v>5.6249506000000007E-4</v>
      </c>
    </row>
    <row r="33605" spans="103:104" x14ac:dyDescent="0.3">
      <c r="CY33605" s="34" t="s">
        <v>34531</v>
      </c>
      <c r="CZ33605" s="35">
        <v>1.0108961999999999E-3</v>
      </c>
    </row>
    <row r="33606" spans="103:104" x14ac:dyDescent="0.3">
      <c r="CY33606" s="34" t="s">
        <v>34532</v>
      </c>
      <c r="CZ33606" s="35">
        <v>1.7407712E-3</v>
      </c>
    </row>
    <row r="33607" spans="103:104" x14ac:dyDescent="0.3">
      <c r="CY33607" s="34" t="s">
        <v>34533</v>
      </c>
      <c r="CZ33607" s="35">
        <v>5.8368782222222226E-3</v>
      </c>
    </row>
    <row r="33608" spans="103:104" x14ac:dyDescent="0.3">
      <c r="CY33608" s="34" t="s">
        <v>34534</v>
      </c>
      <c r="CZ33608" s="35">
        <v>6.1089280000000003E-2</v>
      </c>
    </row>
    <row r="33609" spans="103:104" x14ac:dyDescent="0.3">
      <c r="CY33609" s="34" t="s">
        <v>34535</v>
      </c>
      <c r="CZ33609" s="35">
        <v>2.0682592000000003E-2</v>
      </c>
    </row>
    <row r="33610" spans="103:104" x14ac:dyDescent="0.3">
      <c r="CY33610" s="34" t="s">
        <v>34536</v>
      </c>
      <c r="CZ33610" s="35">
        <v>0.11811274999999997</v>
      </c>
    </row>
    <row r="33611" spans="103:104" x14ac:dyDescent="0.3">
      <c r="CY33611" s="34" t="s">
        <v>34537</v>
      </c>
      <c r="CZ33611" s="35">
        <v>3.0868245333333332E-2</v>
      </c>
    </row>
    <row r="33612" spans="103:104" x14ac:dyDescent="0.3">
      <c r="CY33612" s="34" t="s">
        <v>34538</v>
      </c>
      <c r="CZ33612" s="35">
        <v>8.6212909999999976E-2</v>
      </c>
    </row>
    <row r="33613" spans="103:104" x14ac:dyDescent="0.3">
      <c r="CY33613" s="34" t="s">
        <v>34539</v>
      </c>
      <c r="CZ33613" s="35">
        <v>2.3924122705882352E-2</v>
      </c>
    </row>
    <row r="33614" spans="103:104" x14ac:dyDescent="0.3">
      <c r="CY33614" s="34" t="s">
        <v>34540</v>
      </c>
      <c r="CZ33614" s="35">
        <v>5.6563735000000004E-2</v>
      </c>
    </row>
    <row r="33615" spans="103:104" x14ac:dyDescent="0.3">
      <c r="CY33615" s="34" t="s">
        <v>34541</v>
      </c>
      <c r="CZ33615" s="35">
        <v>0.39361507537688445</v>
      </c>
    </row>
    <row r="33616" spans="103:104" x14ac:dyDescent="0.3">
      <c r="CY33616" s="34" t="s">
        <v>34542</v>
      </c>
      <c r="CZ33616" s="35">
        <v>0.36501768844221111</v>
      </c>
    </row>
    <row r="33617" spans="103:104" x14ac:dyDescent="0.3">
      <c r="CY33617" s="34" t="s">
        <v>34543</v>
      </c>
      <c r="CZ33617" s="35">
        <v>0.30597913567839197</v>
      </c>
    </row>
    <row r="33618" spans="103:104" x14ac:dyDescent="0.3">
      <c r="CY33618" s="34" t="s">
        <v>34544</v>
      </c>
      <c r="CZ33618" s="35">
        <v>9.1724133350000001E-2</v>
      </c>
    </row>
    <row r="33619" spans="103:104" x14ac:dyDescent="0.3">
      <c r="CY33619" s="34" t="s">
        <v>34545</v>
      </c>
      <c r="CZ33619" s="35">
        <v>7.8701582393000002</v>
      </c>
    </row>
    <row r="33620" spans="103:104" x14ac:dyDescent="0.3">
      <c r="CY33620" s="34" t="s">
        <v>34546</v>
      </c>
      <c r="CZ33620" s="35">
        <v>0.41231976842105267</v>
      </c>
    </row>
    <row r="33621" spans="103:104" x14ac:dyDescent="0.3">
      <c r="CY33621" s="34" t="s">
        <v>34547</v>
      </c>
      <c r="CZ33621" s="35">
        <v>0.61376959999999992</v>
      </c>
    </row>
    <row r="33622" spans="103:104" x14ac:dyDescent="0.3">
      <c r="CY33622" s="34" t="s">
        <v>34548</v>
      </c>
      <c r="CZ33622" s="35">
        <v>0.51061200000000007</v>
      </c>
    </row>
    <row r="33623" spans="103:104" x14ac:dyDescent="0.3">
      <c r="CY33623" s="34" t="s">
        <v>34549</v>
      </c>
      <c r="CZ33623" s="35">
        <v>0.43919520000000001</v>
      </c>
    </row>
    <row r="33624" spans="103:104" x14ac:dyDescent="0.3">
      <c r="CY33624" s="34" t="s">
        <v>34550</v>
      </c>
      <c r="CZ33624" s="35">
        <v>0.12800659170000001</v>
      </c>
    </row>
    <row r="33625" spans="103:104" x14ac:dyDescent="0.3">
      <c r="CY33625" s="34" t="s">
        <v>34551</v>
      </c>
      <c r="CZ33625" s="35">
        <v>4.0887333999999999E-3</v>
      </c>
    </row>
    <row r="33626" spans="103:104" x14ac:dyDescent="0.3">
      <c r="CY33626" s="34" t="s">
        <v>34552</v>
      </c>
      <c r="CZ33626" s="35">
        <v>6.6588883359999995E-3</v>
      </c>
    </row>
    <row r="33627" spans="103:104" x14ac:dyDescent="0.3">
      <c r="CY33627" s="34" t="s">
        <v>34553</v>
      </c>
      <c r="CZ33627" s="35">
        <v>1.3861668336000001E-2</v>
      </c>
    </row>
    <row r="33628" spans="103:104" x14ac:dyDescent="0.3">
      <c r="CY33628" s="34" t="s">
        <v>34554</v>
      </c>
      <c r="CZ33628" s="35">
        <v>3.7905505330000006E-2</v>
      </c>
    </row>
    <row r="33629" spans="103:104" x14ac:dyDescent="0.3">
      <c r="CY33629" s="34" t="s">
        <v>34555</v>
      </c>
      <c r="CZ33629" s="35">
        <v>3.7905505330000006E-2</v>
      </c>
    </row>
    <row r="33630" spans="103:104" x14ac:dyDescent="0.3">
      <c r="CY33630" s="34" t="s">
        <v>34556</v>
      </c>
      <c r="CZ33630" s="35">
        <v>3.7905505330000006E-2</v>
      </c>
    </row>
    <row r="33631" spans="103:104" x14ac:dyDescent="0.3">
      <c r="CY33631" s="34" t="s">
        <v>34557</v>
      </c>
      <c r="CZ33631" s="35">
        <v>2.1669830399999996E-2</v>
      </c>
    </row>
    <row r="33632" spans="103:104" x14ac:dyDescent="0.3">
      <c r="CY33632" s="34" t="s">
        <v>34558</v>
      </c>
      <c r="CZ33632" s="35">
        <v>4.6386891999999999E-4</v>
      </c>
    </row>
    <row r="33633" spans="103:104" x14ac:dyDescent="0.3">
      <c r="CY33633" s="34" t="s">
        <v>34559</v>
      </c>
      <c r="CZ33633" s="35">
        <v>3.0619080000000003E-3</v>
      </c>
    </row>
    <row r="33634" spans="103:104" x14ac:dyDescent="0.3">
      <c r="CY33634" s="34" t="s">
        <v>34560</v>
      </c>
      <c r="CZ33634" s="35">
        <v>3.0619079999999999E-3</v>
      </c>
    </row>
    <row r="33635" spans="103:104" x14ac:dyDescent="0.3">
      <c r="CY33635" s="34" t="s">
        <v>34561</v>
      </c>
      <c r="CZ33635" s="35">
        <v>3.61462476E-2</v>
      </c>
    </row>
    <row r="33636" spans="103:104" x14ac:dyDescent="0.3">
      <c r="CY33636" s="34" t="s">
        <v>34562</v>
      </c>
      <c r="CZ33636" s="35">
        <v>3.8059857999999995E-2</v>
      </c>
    </row>
    <row r="33637" spans="103:104" x14ac:dyDescent="0.3">
      <c r="CY33637" s="34" t="s">
        <v>34563</v>
      </c>
      <c r="CZ33637" s="35">
        <v>4.5816666666666665E-5</v>
      </c>
    </row>
    <row r="33638" spans="103:104" x14ac:dyDescent="0.3">
      <c r="CY33638" s="34" t="s">
        <v>34564</v>
      </c>
      <c r="CZ33638" s="35">
        <v>6.8440320000000008E-3</v>
      </c>
    </row>
    <row r="33639" spans="103:104" x14ac:dyDescent="0.3">
      <c r="CY33639" s="34" t="s">
        <v>34565</v>
      </c>
      <c r="CZ33639" s="35">
        <v>8.3362999999999996E-3</v>
      </c>
    </row>
    <row r="33640" spans="103:104" x14ac:dyDescent="0.3">
      <c r="CY33640" s="34" t="s">
        <v>34566</v>
      </c>
      <c r="CZ33640" s="35">
        <v>2.3902469374999999E-2</v>
      </c>
    </row>
    <row r="33641" spans="103:104" x14ac:dyDescent="0.3">
      <c r="CY33641" s="34" t="s">
        <v>34567</v>
      </c>
      <c r="CZ33641" s="35">
        <v>1.1689647999999999E-2</v>
      </c>
    </row>
    <row r="33642" spans="103:104" x14ac:dyDescent="0.3">
      <c r="CY33642" s="34" t="s">
        <v>34568</v>
      </c>
      <c r="CZ33642" s="35">
        <v>1.2982628000000001E-2</v>
      </c>
    </row>
    <row r="33643" spans="103:104" x14ac:dyDescent="0.3">
      <c r="CY33643" s="34" t="s">
        <v>34569</v>
      </c>
      <c r="CZ33643" s="35">
        <v>1.2724032000000001E-2</v>
      </c>
    </row>
    <row r="33644" spans="103:104" x14ac:dyDescent="0.3">
      <c r="CY33644" s="34" t="s">
        <v>34570</v>
      </c>
      <c r="CZ33644" s="35">
        <v>1.4130012000000001E-2</v>
      </c>
    </row>
    <row r="33645" spans="103:104" x14ac:dyDescent="0.3">
      <c r="CY33645" s="34" t="s">
        <v>34571</v>
      </c>
      <c r="CZ33645" s="35">
        <v>1.5691992000000002E-2</v>
      </c>
    </row>
    <row r="33646" spans="103:104" x14ac:dyDescent="0.3">
      <c r="CY33646" s="34" t="s">
        <v>34572</v>
      </c>
      <c r="CZ33646" s="35">
        <v>4.9243082799999994E-3</v>
      </c>
    </row>
    <row r="33647" spans="103:104" x14ac:dyDescent="0.3">
      <c r="CY33647" s="34" t="s">
        <v>34573</v>
      </c>
      <c r="CZ33647" s="35">
        <v>4.3050631599999998E-3</v>
      </c>
    </row>
    <row r="33648" spans="103:104" x14ac:dyDescent="0.3">
      <c r="CY33648" s="34" t="s">
        <v>34574</v>
      </c>
      <c r="CZ33648" s="35">
        <v>7.8998839999999994E-3</v>
      </c>
    </row>
    <row r="33649" spans="103:104" x14ac:dyDescent="0.3">
      <c r="CY33649" s="34" t="s">
        <v>34575</v>
      </c>
      <c r="CZ33649" s="35">
        <v>5.2809263157894741E-2</v>
      </c>
    </row>
    <row r="33650" spans="103:104" x14ac:dyDescent="0.3">
      <c r="CY33650" s="34" t="s">
        <v>34576</v>
      </c>
      <c r="CZ33650" s="35">
        <v>9.6230315789473678E-2</v>
      </c>
    </row>
    <row r="33651" spans="103:104" x14ac:dyDescent="0.3">
      <c r="CY33651" s="34" t="s">
        <v>34577</v>
      </c>
      <c r="CZ33651" s="35">
        <v>4.3691271999999996E-4</v>
      </c>
    </row>
    <row r="33652" spans="103:104" x14ac:dyDescent="0.3">
      <c r="CY33652" s="34" t="s">
        <v>34578</v>
      </c>
      <c r="CZ33652" s="35">
        <v>3.4496503999999998E-4</v>
      </c>
    </row>
    <row r="33653" spans="103:104" x14ac:dyDescent="0.3">
      <c r="CY33653" s="34" t="s">
        <v>34579</v>
      </c>
      <c r="CZ33653" s="35">
        <v>2.0382684E-4</v>
      </c>
    </row>
    <row r="33654" spans="103:104" x14ac:dyDescent="0.3">
      <c r="CY33654" s="34" t="s">
        <v>34580</v>
      </c>
      <c r="CZ33654" s="35">
        <v>1.5948908000000001E-2</v>
      </c>
    </row>
    <row r="33655" spans="103:104" x14ac:dyDescent="0.3">
      <c r="CY33655" s="34" t="s">
        <v>34581</v>
      </c>
      <c r="CZ33655" s="35">
        <v>1.7197408000000001E-2</v>
      </c>
    </row>
    <row r="33656" spans="103:104" x14ac:dyDescent="0.3">
      <c r="CY33656" s="34" t="s">
        <v>34582</v>
      </c>
      <c r="CZ33656" s="35">
        <v>1.0114060000000001E-2</v>
      </c>
    </row>
    <row r="33657" spans="103:104" x14ac:dyDescent="0.3">
      <c r="CY33657" s="34" t="s">
        <v>34583</v>
      </c>
      <c r="CZ33657" s="35">
        <v>1.4922071037414966E-2</v>
      </c>
    </row>
    <row r="33658" spans="103:104" x14ac:dyDescent="0.3">
      <c r="CY33658" s="34" t="s">
        <v>34584</v>
      </c>
      <c r="CZ33658" s="35">
        <v>2.0197626999999999E-2</v>
      </c>
    </row>
    <row r="33659" spans="103:104" x14ac:dyDescent="0.3">
      <c r="CY33659" s="34" t="s">
        <v>34585</v>
      </c>
      <c r="CZ33659" s="35">
        <v>1.6957818400000001E-2</v>
      </c>
    </row>
    <row r="33660" spans="103:104" x14ac:dyDescent="0.3">
      <c r="CY33660" s="34" t="s">
        <v>34586</v>
      </c>
      <c r="CZ33660" s="35">
        <v>0.53841655555555556</v>
      </c>
    </row>
    <row r="33661" spans="103:104" x14ac:dyDescent="0.3">
      <c r="CY33661" s="34" t="s">
        <v>34587</v>
      </c>
      <c r="CZ33661" s="35">
        <v>0.41074055272727272</v>
      </c>
    </row>
    <row r="33662" spans="103:104" x14ac:dyDescent="0.3">
      <c r="CY33662" s="34" t="s">
        <v>34588</v>
      </c>
      <c r="CZ33662" s="35">
        <v>0.41143155272727272</v>
      </c>
    </row>
    <row r="33663" spans="103:104" x14ac:dyDescent="0.3">
      <c r="CY33663" s="34" t="s">
        <v>34589</v>
      </c>
      <c r="CZ33663" s="35">
        <v>0.41143155272727272</v>
      </c>
    </row>
    <row r="33664" spans="103:104" x14ac:dyDescent="0.3">
      <c r="CY33664" s="34" t="s">
        <v>34590</v>
      </c>
      <c r="CZ33664" s="35">
        <v>0.41143155272727272</v>
      </c>
    </row>
    <row r="33665" spans="103:104" x14ac:dyDescent="0.3">
      <c r="CY33665" s="34" t="s">
        <v>34591</v>
      </c>
      <c r="CZ33665" s="35">
        <v>1.1424835294117648</v>
      </c>
    </row>
    <row r="33666" spans="103:104" x14ac:dyDescent="0.3">
      <c r="CY33666" s="34" t="s">
        <v>34592</v>
      </c>
      <c r="CZ33666" s="35">
        <v>0.98165221414141413</v>
      </c>
    </row>
    <row r="33667" spans="103:104" x14ac:dyDescent="0.3">
      <c r="CY33667" s="34" t="s">
        <v>34593</v>
      </c>
      <c r="CZ33667" s="35">
        <v>0.98165221414141424</v>
      </c>
    </row>
    <row r="33668" spans="103:104" x14ac:dyDescent="0.3">
      <c r="CY33668" s="34" t="s">
        <v>34594</v>
      </c>
      <c r="CZ33668" s="35">
        <v>0.98165221414141424</v>
      </c>
    </row>
    <row r="33669" spans="103:104" x14ac:dyDescent="0.3">
      <c r="CY33669" s="34" t="s">
        <v>34595</v>
      </c>
      <c r="CZ33669" s="35">
        <v>0.98165221414141424</v>
      </c>
    </row>
    <row r="33670" spans="103:104" x14ac:dyDescent="0.3">
      <c r="CY33670" s="34" t="s">
        <v>34596</v>
      </c>
      <c r="CZ33670" s="35">
        <v>0.36077028</v>
      </c>
    </row>
    <row r="33671" spans="103:104" x14ac:dyDescent="0.3">
      <c r="CY33671" s="34" t="s">
        <v>34597</v>
      </c>
      <c r="CZ33671" s="35">
        <v>1.0191386000000002E-2</v>
      </c>
    </row>
    <row r="33672" spans="103:104" x14ac:dyDescent="0.3">
      <c r="CY33672" s="34" t="s">
        <v>34598</v>
      </c>
      <c r="CZ33672" s="35">
        <v>3.4622261333333332E-4</v>
      </c>
    </row>
    <row r="33673" spans="103:104" x14ac:dyDescent="0.3">
      <c r="CY33673" s="34" t="s">
        <v>34599</v>
      </c>
      <c r="CZ33673" s="35">
        <v>6.9824900000000009E-2</v>
      </c>
    </row>
    <row r="33674" spans="103:104" x14ac:dyDescent="0.3">
      <c r="CY33674" s="34" t="s">
        <v>34600</v>
      </c>
      <c r="CZ33674" s="35">
        <v>0.75757410000000003</v>
      </c>
    </row>
    <row r="33675" spans="103:104" x14ac:dyDescent="0.3">
      <c r="CY33675" s="34" t="s">
        <v>34601</v>
      </c>
      <c r="CZ33675" s="35">
        <v>2.0582211199999998E-3</v>
      </c>
    </row>
    <row r="33676" spans="103:104" x14ac:dyDescent="0.3">
      <c r="CY33676" s="34" t="s">
        <v>34602</v>
      </c>
      <c r="CZ33676" s="35">
        <v>0.46294563999999999</v>
      </c>
    </row>
    <row r="33677" spans="103:104" x14ac:dyDescent="0.3">
      <c r="CY33677" s="34" t="s">
        <v>34603</v>
      </c>
      <c r="CZ33677" s="35">
        <v>4.9398159999999997E-3</v>
      </c>
    </row>
    <row r="33678" spans="103:104" x14ac:dyDescent="0.3">
      <c r="CY33678" s="34" t="s">
        <v>34604</v>
      </c>
      <c r="CZ33678" s="35">
        <v>1.4830350000000002E-3</v>
      </c>
    </row>
    <row r="33679" spans="103:104" x14ac:dyDescent="0.3">
      <c r="CY33679" s="34" t="s">
        <v>34605</v>
      </c>
      <c r="CZ33679" s="35">
        <v>3.9651461999999998E-2</v>
      </c>
    </row>
    <row r="33680" spans="103:104" x14ac:dyDescent="0.3">
      <c r="CY33680" s="34" t="s">
        <v>34606</v>
      </c>
      <c r="CZ33680" s="35">
        <v>1.3287329340000003E-2</v>
      </c>
    </row>
    <row r="33681" spans="103:104" x14ac:dyDescent="0.3">
      <c r="CY33681" s="34" t="s">
        <v>34607</v>
      </c>
      <c r="CZ33681" s="35">
        <v>4.2605919999999997E-4</v>
      </c>
    </row>
    <row r="33682" spans="103:104" x14ac:dyDescent="0.3">
      <c r="CY33682" s="34" t="s">
        <v>34608</v>
      </c>
      <c r="CZ33682" s="35">
        <v>7.2773083333333337E-3</v>
      </c>
    </row>
    <row r="33683" spans="103:104" x14ac:dyDescent="0.3">
      <c r="CY33683" s="34" t="s">
        <v>34609</v>
      </c>
      <c r="CZ33683" s="35">
        <v>7.9648953333333328E-3</v>
      </c>
    </row>
    <row r="33684" spans="103:104" x14ac:dyDescent="0.3">
      <c r="CY33684" s="34" t="s">
        <v>34610</v>
      </c>
      <c r="CZ33684" s="35">
        <v>5.1484143333333322E-2</v>
      </c>
    </row>
    <row r="33685" spans="103:104" x14ac:dyDescent="0.3">
      <c r="CY33685" s="34" t="s">
        <v>34611</v>
      </c>
      <c r="CZ33685" s="35">
        <v>3.7507937999999999E-3</v>
      </c>
    </row>
    <row r="33686" spans="103:104" x14ac:dyDescent="0.3">
      <c r="CY33686" s="34" t="s">
        <v>34612</v>
      </c>
      <c r="CZ33686" s="35">
        <v>2.2854261754421054E-3</v>
      </c>
    </row>
    <row r="33687" spans="103:104" x14ac:dyDescent="0.3">
      <c r="CY33687" s="34" t="s">
        <v>34613</v>
      </c>
      <c r="CZ33687" s="35">
        <v>0.68585167000000002</v>
      </c>
    </row>
    <row r="33688" spans="103:104" x14ac:dyDescent="0.3">
      <c r="CY33688" s="34" t="s">
        <v>34614</v>
      </c>
      <c r="CZ33688" s="35">
        <v>3.3991323999999997E-4</v>
      </c>
    </row>
    <row r="33689" spans="103:104" x14ac:dyDescent="0.3">
      <c r="CY33689" s="34" t="s">
        <v>34615</v>
      </c>
      <c r="CZ33689" s="35">
        <v>2.5500829999999999E-2</v>
      </c>
    </row>
    <row r="33690" spans="103:104" x14ac:dyDescent="0.3">
      <c r="CY33690" s="34" t="s">
        <v>34616</v>
      </c>
      <c r="CZ33690" s="35">
        <v>1.07914498E-2</v>
      </c>
    </row>
    <row r="33691" spans="103:104" x14ac:dyDescent="0.3">
      <c r="CY33691" s="34" t="s">
        <v>34617</v>
      </c>
      <c r="CZ33691" s="35">
        <v>8.3355880000000021E-2</v>
      </c>
    </row>
    <row r="33692" spans="103:104" x14ac:dyDescent="0.3">
      <c r="CY33692" s="34" t="s">
        <v>34618</v>
      </c>
      <c r="CZ33692" s="35">
        <v>8.0720577200000004E-2</v>
      </c>
    </row>
    <row r="33693" spans="103:104" x14ac:dyDescent="0.3">
      <c r="CY33693" s="34" t="s">
        <v>34619</v>
      </c>
      <c r="CZ33693" s="35">
        <v>0.40294522000000005</v>
      </c>
    </row>
    <row r="33694" spans="103:104" x14ac:dyDescent="0.3">
      <c r="CY33694" s="34" t="s">
        <v>34620</v>
      </c>
      <c r="CZ33694" s="35">
        <v>0.31791659999999994</v>
      </c>
    </row>
    <row r="33695" spans="103:104" x14ac:dyDescent="0.3">
      <c r="CY33695" s="34" t="s">
        <v>34621</v>
      </c>
      <c r="CZ33695" s="35">
        <v>3.8049005800000001E-2</v>
      </c>
    </row>
    <row r="33696" spans="103:104" x14ac:dyDescent="0.3">
      <c r="CY33696" s="34" t="s">
        <v>34622</v>
      </c>
      <c r="CZ33696" s="35">
        <v>8.8341809999999982E-3</v>
      </c>
    </row>
    <row r="33697" spans="103:104" x14ac:dyDescent="0.3">
      <c r="CY33697" s="34" t="s">
        <v>34623</v>
      </c>
      <c r="CZ33697" s="35">
        <v>2.4553639999999998E-2</v>
      </c>
    </row>
    <row r="33698" spans="103:104" x14ac:dyDescent="0.3">
      <c r="CY33698" s="34" t="s">
        <v>34624</v>
      </c>
      <c r="CZ33698" s="35">
        <v>1.55125614E-2</v>
      </c>
    </row>
    <row r="33699" spans="103:104" x14ac:dyDescent="0.3">
      <c r="CY33699" s="34" t="s">
        <v>34625</v>
      </c>
      <c r="CZ33699" s="35">
        <v>1.7598446680000006E-3</v>
      </c>
    </row>
    <row r="33700" spans="103:104" x14ac:dyDescent="0.3">
      <c r="CY33700" s="34" t="s">
        <v>34626</v>
      </c>
      <c r="CZ33700" s="35">
        <v>3.2032864000000001E-2</v>
      </c>
    </row>
    <row r="33701" spans="103:104" x14ac:dyDescent="0.3">
      <c r="CY33701" s="34" t="s">
        <v>34627</v>
      </c>
      <c r="CZ33701" s="35">
        <v>5.5651918000000009E-3</v>
      </c>
    </row>
    <row r="33702" spans="103:104" x14ac:dyDescent="0.3">
      <c r="CY33702" s="34" t="s">
        <v>34628</v>
      </c>
      <c r="CZ33702" s="35">
        <v>8.7365882533333352E-3</v>
      </c>
    </row>
    <row r="33703" spans="103:104" x14ac:dyDescent="0.3">
      <c r="CY33703" s="34" t="s">
        <v>34629</v>
      </c>
      <c r="CZ33703" s="35">
        <v>4.6685615999999992E-2</v>
      </c>
    </row>
    <row r="33704" spans="103:104" x14ac:dyDescent="0.3">
      <c r="CY33704" s="34" t="s">
        <v>34630</v>
      </c>
      <c r="CZ33704" s="35">
        <v>0.26496044952385711</v>
      </c>
    </row>
    <row r="33705" spans="103:104" x14ac:dyDescent="0.3">
      <c r="CY33705" s="34" t="s">
        <v>34631</v>
      </c>
      <c r="CZ33705" s="35">
        <v>7.0315876399999991E-2</v>
      </c>
    </row>
    <row r="33706" spans="103:104" x14ac:dyDescent="0.3">
      <c r="CY33706" s="34" t="s">
        <v>34632</v>
      </c>
      <c r="CZ33706" s="35">
        <v>0.19688533999999996</v>
      </c>
    </row>
    <row r="33707" spans="103:104" x14ac:dyDescent="0.3">
      <c r="CY33707" s="34" t="s">
        <v>34633</v>
      </c>
      <c r="CZ33707" s="35">
        <v>0.15279464000000001</v>
      </c>
    </row>
    <row r="33708" spans="103:104" x14ac:dyDescent="0.3">
      <c r="CY33708" s="34" t="s">
        <v>34634</v>
      </c>
      <c r="CZ33708" s="35">
        <v>9.3685647999999996E-2</v>
      </c>
    </row>
    <row r="33709" spans="103:104" x14ac:dyDescent="0.3">
      <c r="CY33709" s="34" t="s">
        <v>34635</v>
      </c>
      <c r="CZ33709" s="35">
        <v>2.7320640999999996E-2</v>
      </c>
    </row>
    <row r="33710" spans="103:104" x14ac:dyDescent="0.3">
      <c r="CY33710" s="34" t="s">
        <v>34636</v>
      </c>
      <c r="CZ33710" s="35">
        <v>3.3946225000000003E-2</v>
      </c>
    </row>
    <row r="33711" spans="103:104" x14ac:dyDescent="0.3">
      <c r="CY33711" s="34" t="s">
        <v>34637</v>
      </c>
      <c r="CZ33711" s="35">
        <v>3.0062005000000003E-2</v>
      </c>
    </row>
    <row r="33712" spans="103:104" x14ac:dyDescent="0.3">
      <c r="CY33712" s="34" t="s">
        <v>34638</v>
      </c>
      <c r="CZ33712" s="35">
        <v>1.7493386249999996E-2</v>
      </c>
    </row>
    <row r="33713" spans="103:104" x14ac:dyDescent="0.3">
      <c r="CY33713" s="34" t="s">
        <v>34639</v>
      </c>
      <c r="CZ33713" s="35">
        <v>1.2839725E-2</v>
      </c>
    </row>
    <row r="33714" spans="103:104" x14ac:dyDescent="0.3">
      <c r="CY33714" s="34" t="s">
        <v>34640</v>
      </c>
      <c r="CZ33714" s="35">
        <v>8.7333225000000014E-3</v>
      </c>
    </row>
    <row r="33715" spans="103:104" x14ac:dyDescent="0.3">
      <c r="CY33715" s="34" t="s">
        <v>34641</v>
      </c>
      <c r="CZ33715" s="35">
        <v>3.9500483199999999E-2</v>
      </c>
    </row>
    <row r="33716" spans="103:104" x14ac:dyDescent="0.3">
      <c r="CY33716" s="34" t="s">
        <v>34642</v>
      </c>
      <c r="CZ33716" s="35">
        <v>1.8597492399999999E-2</v>
      </c>
    </row>
    <row r="33717" spans="103:104" x14ac:dyDescent="0.3">
      <c r="CY33717" s="34" t="s">
        <v>34643</v>
      </c>
      <c r="CZ33717" s="35">
        <v>9.6990413333333325E-4</v>
      </c>
    </row>
    <row r="33718" spans="103:104" x14ac:dyDescent="0.3">
      <c r="CY33718" s="34" t="s">
        <v>34644</v>
      </c>
      <c r="CZ33718" s="35">
        <v>3.6589951999999995E-2</v>
      </c>
    </row>
    <row r="33719" spans="103:104" x14ac:dyDescent="0.3">
      <c r="CY33719" s="34" t="s">
        <v>34645</v>
      </c>
      <c r="CZ33719" s="35">
        <v>1.2303432000000001E-2</v>
      </c>
    </row>
    <row r="33720" spans="103:104" x14ac:dyDescent="0.3">
      <c r="CY33720" s="34" t="s">
        <v>34646</v>
      </c>
      <c r="CZ33720" s="35">
        <v>0.22794753000000001</v>
      </c>
    </row>
    <row r="33721" spans="103:104" x14ac:dyDescent="0.3">
      <c r="CY33721" s="34" t="s">
        <v>34647</v>
      </c>
      <c r="CZ33721" s="35">
        <v>1.3925360000000002E-3</v>
      </c>
    </row>
    <row r="33722" spans="103:104" x14ac:dyDescent="0.3">
      <c r="CY33722" s="34" t="s">
        <v>34648</v>
      </c>
      <c r="CZ33722" s="35">
        <v>0.17893523466666666</v>
      </c>
    </row>
    <row r="33723" spans="103:104" x14ac:dyDescent="0.3">
      <c r="CY33723" s="34" t="s">
        <v>34649</v>
      </c>
      <c r="CZ33723" s="35">
        <v>2.5879279746092178E-3</v>
      </c>
    </row>
    <row r="33724" spans="103:104" x14ac:dyDescent="0.3">
      <c r="CY33724" s="34" t="s">
        <v>34650</v>
      </c>
      <c r="CZ33724" s="35">
        <v>5.5599440000000007E-2</v>
      </c>
    </row>
    <row r="33725" spans="103:104" x14ac:dyDescent="0.3">
      <c r="CY33725" s="34" t="s">
        <v>34651</v>
      </c>
      <c r="CZ33725" s="35">
        <v>1.1001159999999999E-4</v>
      </c>
    </row>
    <row r="33726" spans="103:104" x14ac:dyDescent="0.3">
      <c r="CY33726" s="34" t="s">
        <v>34652</v>
      </c>
      <c r="CZ33726" s="35">
        <v>3.8153218511111107E-2</v>
      </c>
    </row>
    <row r="33727" spans="103:104" x14ac:dyDescent="0.3">
      <c r="CY33727" s="34" t="s">
        <v>34653</v>
      </c>
      <c r="CZ33727" s="35">
        <v>1.0509240000000001E-2</v>
      </c>
    </row>
    <row r="33728" spans="103:104" x14ac:dyDescent="0.3">
      <c r="CY33728" s="34" t="s">
        <v>34654</v>
      </c>
      <c r="CZ33728" s="35">
        <v>1.0167879999999999E-2</v>
      </c>
    </row>
    <row r="33729" spans="103:104" x14ac:dyDescent="0.3">
      <c r="CY33729" s="34" t="s">
        <v>34655</v>
      </c>
      <c r="CZ33729" s="35">
        <v>0.242332616</v>
      </c>
    </row>
    <row r="33730" spans="103:104" x14ac:dyDescent="0.3">
      <c r="CY33730" s="34" t="s">
        <v>34656</v>
      </c>
      <c r="CZ33730" s="35">
        <v>7.1739497176470587E-2</v>
      </c>
    </row>
    <row r="33731" spans="103:104" x14ac:dyDescent="0.3">
      <c r="CY33731" s="34" t="s">
        <v>34657</v>
      </c>
      <c r="CZ33731" s="35">
        <v>7.2411466580645178E-2</v>
      </c>
    </row>
    <row r="33732" spans="103:104" x14ac:dyDescent="0.3">
      <c r="CY33732" s="34" t="s">
        <v>34658</v>
      </c>
      <c r="CZ33732" s="35">
        <v>7.2411466580645178E-2</v>
      </c>
    </row>
    <row r="33733" spans="103:104" x14ac:dyDescent="0.3">
      <c r="CY33733" s="34" t="s">
        <v>34659</v>
      </c>
      <c r="CZ33733" s="35">
        <v>5.6273888874999994E-3</v>
      </c>
    </row>
    <row r="33734" spans="103:104" x14ac:dyDescent="0.3">
      <c r="CY33734" s="34" t="s">
        <v>34660</v>
      </c>
      <c r="CZ33734" s="35">
        <v>1.3329189999999999E-2</v>
      </c>
    </row>
    <row r="33735" spans="103:104" x14ac:dyDescent="0.3">
      <c r="CY33735" s="34" t="s">
        <v>34661</v>
      </c>
      <c r="CZ33735" s="35">
        <v>7.1662517999999996E-4</v>
      </c>
    </row>
    <row r="33736" spans="103:104" x14ac:dyDescent="0.3">
      <c r="CY33736" s="34" t="s">
        <v>34662</v>
      </c>
      <c r="CZ33736" s="35">
        <v>1.8310192000000002E-3</v>
      </c>
    </row>
    <row r="33737" spans="103:104" x14ac:dyDescent="0.3">
      <c r="CY33737" s="34" t="s">
        <v>34663</v>
      </c>
      <c r="CZ33737" s="35">
        <v>3.6677186000000001E-2</v>
      </c>
    </row>
    <row r="33738" spans="103:104" x14ac:dyDescent="0.3">
      <c r="CY33738" s="34" t="s">
        <v>34664</v>
      </c>
      <c r="CZ33738" s="35">
        <v>5.9016704000000005E-3</v>
      </c>
    </row>
    <row r="33739" spans="103:104" x14ac:dyDescent="0.3">
      <c r="CY33739" s="34" t="s">
        <v>34665</v>
      </c>
      <c r="CZ33739" s="35">
        <v>0.25455246159999995</v>
      </c>
    </row>
    <row r="33740" spans="103:104" x14ac:dyDescent="0.3">
      <c r="CY33740" s="34" t="s">
        <v>34666</v>
      </c>
      <c r="CZ33740" s="35">
        <v>0.67813856016669993</v>
      </c>
    </row>
    <row r="33741" spans="103:104" x14ac:dyDescent="0.3">
      <c r="CY33741" s="34" t="s">
        <v>34667</v>
      </c>
      <c r="CZ33741" s="35">
        <v>1.0499125199999999E-3</v>
      </c>
    </row>
    <row r="33742" spans="103:104" x14ac:dyDescent="0.3">
      <c r="CY33742" s="34" t="s">
        <v>34668</v>
      </c>
      <c r="CZ33742" s="35">
        <v>1.1606821E-2</v>
      </c>
    </row>
    <row r="33743" spans="103:104" x14ac:dyDescent="0.3">
      <c r="CY33743" s="34" t="s">
        <v>34669</v>
      </c>
      <c r="CZ33743" s="35">
        <v>3.0490768000000002E-3</v>
      </c>
    </row>
    <row r="33744" spans="103:104" x14ac:dyDescent="0.3">
      <c r="CY33744" s="34" t="s">
        <v>34670</v>
      </c>
      <c r="CZ33744" s="35">
        <v>3.5930455999999998E-3</v>
      </c>
    </row>
    <row r="33745" spans="103:104" x14ac:dyDescent="0.3">
      <c r="CY33745" s="34" t="s">
        <v>34671</v>
      </c>
      <c r="CZ33745" s="35">
        <v>0.16305934315789478</v>
      </c>
    </row>
    <row r="33746" spans="103:104" x14ac:dyDescent="0.3">
      <c r="CY33746" s="34" t="s">
        <v>34672</v>
      </c>
      <c r="CZ33746" s="35">
        <v>7.2820039999999999E-3</v>
      </c>
    </row>
    <row r="33747" spans="103:104" x14ac:dyDescent="0.3">
      <c r="CY33747" s="34" t="s">
        <v>34673</v>
      </c>
      <c r="CZ33747" s="35">
        <v>7.3682590000000006E-2</v>
      </c>
    </row>
    <row r="33748" spans="103:104" x14ac:dyDescent="0.3">
      <c r="CY33748" s="34" t="s">
        <v>34674</v>
      </c>
      <c r="CZ33748" s="35">
        <v>5.9610019333333321E-3</v>
      </c>
    </row>
    <row r="33749" spans="103:104" x14ac:dyDescent="0.3">
      <c r="CY33749" s="34" t="s">
        <v>34675</v>
      </c>
      <c r="CZ33749" s="35">
        <v>6.2953480000000006E-2</v>
      </c>
    </row>
    <row r="33750" spans="103:104" x14ac:dyDescent="0.3">
      <c r="CY33750" s="34" t="s">
        <v>34676</v>
      </c>
      <c r="CZ33750" s="35">
        <v>2.7823005000000001E-2</v>
      </c>
    </row>
    <row r="33751" spans="103:104" x14ac:dyDescent="0.3">
      <c r="CY33751" s="34" t="s">
        <v>34677</v>
      </c>
      <c r="CZ33751" s="35">
        <v>1.6968864680000001E-2</v>
      </c>
    </row>
    <row r="33752" spans="103:104" x14ac:dyDescent="0.3">
      <c r="CY33752" s="34" t="s">
        <v>34678</v>
      </c>
      <c r="CZ33752" s="35">
        <v>2.3760000000000001E-3</v>
      </c>
    </row>
    <row r="33753" spans="103:104" x14ac:dyDescent="0.3">
      <c r="CY33753" s="34" t="s">
        <v>34679</v>
      </c>
      <c r="CZ33753" s="35">
        <v>2.3760000000000001E-3</v>
      </c>
    </row>
    <row r="33754" spans="103:104" x14ac:dyDescent="0.3">
      <c r="CY33754" s="34" t="s">
        <v>34680</v>
      </c>
      <c r="CZ33754" s="35">
        <v>1.1748616999999999E-3</v>
      </c>
    </row>
    <row r="33755" spans="103:104" x14ac:dyDescent="0.3">
      <c r="CY33755" s="34" t="s">
        <v>34681</v>
      </c>
      <c r="CZ33755" s="35">
        <v>2.5052376000000002E-3</v>
      </c>
    </row>
    <row r="33756" spans="103:104" x14ac:dyDescent="0.3">
      <c r="CY33756" s="34" t="s">
        <v>34682</v>
      </c>
      <c r="CZ33756" s="35">
        <v>0.1464000222222222</v>
      </c>
    </row>
    <row r="33757" spans="103:104" x14ac:dyDescent="0.3">
      <c r="CY33757" s="34" t="s">
        <v>34683</v>
      </c>
      <c r="CZ33757" s="35">
        <v>0.29898140616666669</v>
      </c>
    </row>
    <row r="33758" spans="103:104" x14ac:dyDescent="0.3">
      <c r="CY33758" s="34" t="s">
        <v>34684</v>
      </c>
      <c r="CZ33758" s="35">
        <v>4.1133682642857147E-2</v>
      </c>
    </row>
    <row r="33759" spans="103:104" x14ac:dyDescent="0.3">
      <c r="CY33759" s="34" t="s">
        <v>34685</v>
      </c>
      <c r="CZ33759" s="35">
        <v>8.3672960000000005E-2</v>
      </c>
    </row>
    <row r="33760" spans="103:104" x14ac:dyDescent="0.3">
      <c r="CY33760" s="34" t="s">
        <v>34686</v>
      </c>
      <c r="CZ33760" s="35">
        <v>5.0832516399999993E-2</v>
      </c>
    </row>
    <row r="33761" spans="103:104" x14ac:dyDescent="0.3">
      <c r="CY33761" s="34" t="s">
        <v>34687</v>
      </c>
      <c r="CZ33761" s="35">
        <v>5.0832515399999993E-2</v>
      </c>
    </row>
    <row r="33762" spans="103:104" x14ac:dyDescent="0.3">
      <c r="CY33762" s="34" t="s">
        <v>34688</v>
      </c>
      <c r="CZ33762" s="35">
        <v>0.31698700672000002</v>
      </c>
    </row>
    <row r="33763" spans="103:104" x14ac:dyDescent="0.3">
      <c r="CY33763" s="34" t="s">
        <v>34689</v>
      </c>
      <c r="CZ33763" s="35">
        <v>0.62481207093340008</v>
      </c>
    </row>
    <row r="33764" spans="103:104" x14ac:dyDescent="0.3">
      <c r="CY33764" s="34" t="s">
        <v>34690</v>
      </c>
      <c r="CZ33764" s="35">
        <v>0.38069852991999997</v>
      </c>
    </row>
    <row r="33765" spans="103:104" x14ac:dyDescent="0.3">
      <c r="CY33765" s="34" t="s">
        <v>34691</v>
      </c>
      <c r="CZ33765" s="35">
        <v>8.1974160000000001E-4</v>
      </c>
    </row>
    <row r="33766" spans="103:104" x14ac:dyDescent="0.3">
      <c r="CY33766" s="34" t="s">
        <v>34692</v>
      </c>
      <c r="CZ33766" s="35">
        <v>3.1674024000000003E-3</v>
      </c>
    </row>
    <row r="33767" spans="103:104" x14ac:dyDescent="0.3">
      <c r="CY33767" s="34" t="s">
        <v>34693</v>
      </c>
      <c r="CZ33767" s="35">
        <v>1.6266464000000002E-3</v>
      </c>
    </row>
    <row r="33768" spans="103:104" x14ac:dyDescent="0.3">
      <c r="CY33768" s="34" t="s">
        <v>34694</v>
      </c>
      <c r="CZ33768" s="35">
        <v>3.0077799999999997E-4</v>
      </c>
    </row>
    <row r="33769" spans="103:104" x14ac:dyDescent="0.3">
      <c r="CY33769" s="34" t="s">
        <v>34695</v>
      </c>
      <c r="CZ33769" s="35">
        <v>5.8229839999999989E-4</v>
      </c>
    </row>
    <row r="33770" spans="103:104" x14ac:dyDescent="0.3">
      <c r="CY33770" s="34" t="s">
        <v>34696</v>
      </c>
      <c r="CZ33770" s="35">
        <v>4.3594120000000003E-4</v>
      </c>
    </row>
    <row r="33771" spans="103:104" x14ac:dyDescent="0.3">
      <c r="CY33771" s="34" t="s">
        <v>34697</v>
      </c>
      <c r="CZ33771" s="35">
        <v>1.1564427733333333E-3</v>
      </c>
    </row>
    <row r="33772" spans="103:104" x14ac:dyDescent="0.3">
      <c r="CY33772" s="34" t="s">
        <v>34698</v>
      </c>
      <c r="CZ33772" s="35">
        <v>5.4576E-2</v>
      </c>
    </row>
    <row r="33773" spans="103:104" x14ac:dyDescent="0.3">
      <c r="CY33773" s="34" t="s">
        <v>34699</v>
      </c>
      <c r="CZ33773" s="35">
        <v>8.8163705380105276E-2</v>
      </c>
    </row>
    <row r="33774" spans="103:104" x14ac:dyDescent="0.3">
      <c r="CY33774" s="34" t="s">
        <v>34700</v>
      </c>
      <c r="CZ33774" s="35">
        <v>2.5956326315789473E-2</v>
      </c>
    </row>
    <row r="33775" spans="103:104" x14ac:dyDescent="0.3">
      <c r="CY33775" s="34" t="s">
        <v>34701</v>
      </c>
      <c r="CZ33775" s="35">
        <v>3.75842568E-3</v>
      </c>
    </row>
    <row r="33776" spans="103:104" x14ac:dyDescent="0.3">
      <c r="CY33776" s="34" t="s">
        <v>34702</v>
      </c>
      <c r="CZ33776" s="35">
        <v>2.7580939199999994E-3</v>
      </c>
    </row>
    <row r="33777" spans="103:104" x14ac:dyDescent="0.3">
      <c r="CY33777" s="34" t="s">
        <v>34703</v>
      </c>
      <c r="CZ33777" s="35">
        <v>3.5882031999999999E-3</v>
      </c>
    </row>
    <row r="33778" spans="103:104" x14ac:dyDescent="0.3">
      <c r="CY33778" s="34" t="s">
        <v>34704</v>
      </c>
      <c r="CZ33778" s="35">
        <v>7.5875263999999995E-4</v>
      </c>
    </row>
    <row r="33779" spans="103:104" x14ac:dyDescent="0.3">
      <c r="CY33779" s="34" t="s">
        <v>34705</v>
      </c>
      <c r="CZ33779" s="35">
        <v>4.8001381199999993E-3</v>
      </c>
    </row>
    <row r="33780" spans="103:104" x14ac:dyDescent="0.3">
      <c r="CY33780" s="34" t="s">
        <v>34706</v>
      </c>
      <c r="CZ33780" s="35">
        <v>3.6329367999999994E-2</v>
      </c>
    </row>
    <row r="33781" spans="103:104" x14ac:dyDescent="0.3">
      <c r="CY33781" s="34" t="s">
        <v>34707</v>
      </c>
      <c r="CZ33781" s="35">
        <v>1.3637773333333335E-2</v>
      </c>
    </row>
    <row r="33782" spans="103:104" x14ac:dyDescent="0.3">
      <c r="CY33782" s="34" t="s">
        <v>34708</v>
      </c>
      <c r="CZ33782" s="35">
        <v>3.4499728000000002E-3</v>
      </c>
    </row>
    <row r="33783" spans="103:104" x14ac:dyDescent="0.3">
      <c r="CY33783" s="34" t="s">
        <v>34709</v>
      </c>
      <c r="CZ33783" s="35">
        <v>2.5842532E-3</v>
      </c>
    </row>
    <row r="33784" spans="103:104" x14ac:dyDescent="0.3">
      <c r="CY33784" s="34" t="s">
        <v>34710</v>
      </c>
      <c r="CZ33784" s="35">
        <v>4.1058620000000001E-3</v>
      </c>
    </row>
    <row r="33785" spans="103:104" x14ac:dyDescent="0.3">
      <c r="CY33785" s="34" t="s">
        <v>34711</v>
      </c>
      <c r="CZ33785" s="35">
        <v>2.0337137333333337E-3</v>
      </c>
    </row>
    <row r="33786" spans="103:104" x14ac:dyDescent="0.3">
      <c r="CY33786" s="34" t="s">
        <v>34712</v>
      </c>
      <c r="CZ33786" s="35">
        <v>6.5502025510204096E-3</v>
      </c>
    </row>
    <row r="33787" spans="103:104" x14ac:dyDescent="0.3">
      <c r="CY33787" s="34" t="s">
        <v>34713</v>
      </c>
      <c r="CZ33787" s="35">
        <v>1.0064267E-3</v>
      </c>
    </row>
    <row r="33788" spans="103:104" x14ac:dyDescent="0.3">
      <c r="CY33788" s="34" t="s">
        <v>34714</v>
      </c>
      <c r="CZ33788" s="35">
        <v>1.3754832999999999E-2</v>
      </c>
    </row>
    <row r="33789" spans="103:104" x14ac:dyDescent="0.3">
      <c r="CY33789" s="34" t="s">
        <v>34715</v>
      </c>
      <c r="CZ33789" s="35">
        <v>2.9057111999999997E-3</v>
      </c>
    </row>
    <row r="33790" spans="103:104" x14ac:dyDescent="0.3">
      <c r="CY33790" s="34" t="s">
        <v>34716</v>
      </c>
      <c r="CZ33790" s="35">
        <v>1.8130367517858333E-3</v>
      </c>
    </row>
    <row r="33791" spans="103:104" x14ac:dyDescent="0.3">
      <c r="CY33791" s="34" t="s">
        <v>34717</v>
      </c>
      <c r="CZ33791" s="35">
        <v>3.587145186224E-2</v>
      </c>
    </row>
    <row r="33792" spans="103:104" x14ac:dyDescent="0.3">
      <c r="CY33792" s="34" t="s">
        <v>34718</v>
      </c>
      <c r="CZ33792" s="35">
        <v>1.4973021999999999E-3</v>
      </c>
    </row>
    <row r="33793" spans="103:104" x14ac:dyDescent="0.3">
      <c r="CY33793" s="34" t="s">
        <v>34719</v>
      </c>
      <c r="CZ33793" s="35">
        <v>6.0594524E-4</v>
      </c>
    </row>
    <row r="33794" spans="103:104" x14ac:dyDescent="0.3">
      <c r="CY33794" s="34" t="s">
        <v>34720</v>
      </c>
      <c r="CZ33794" s="35">
        <v>1.568616133333333E-2</v>
      </c>
    </row>
    <row r="33795" spans="103:104" x14ac:dyDescent="0.3">
      <c r="CY33795" s="34" t="s">
        <v>34721</v>
      </c>
      <c r="CZ33795" s="35">
        <v>2.4746177000000005E-2</v>
      </c>
    </row>
    <row r="33796" spans="103:104" x14ac:dyDescent="0.3">
      <c r="CY33796" s="34" t="s">
        <v>34722</v>
      </c>
      <c r="CZ33796" s="35">
        <v>3.3235447485714283E-2</v>
      </c>
    </row>
    <row r="33797" spans="103:104" x14ac:dyDescent="0.3">
      <c r="CY33797" s="34" t="s">
        <v>34723</v>
      </c>
      <c r="CZ33797" s="35">
        <v>3.1453417339999998E-2</v>
      </c>
    </row>
    <row r="33798" spans="103:104" x14ac:dyDescent="0.3">
      <c r="CY33798" s="34" t="s">
        <v>34724</v>
      </c>
      <c r="CZ33798" s="35">
        <v>2.1847531999999996E-2</v>
      </c>
    </row>
    <row r="33799" spans="103:104" x14ac:dyDescent="0.3">
      <c r="CY33799" s="34" t="s">
        <v>34725</v>
      </c>
      <c r="CZ33799" s="35">
        <v>4.8279592400000008E-2</v>
      </c>
    </row>
    <row r="33800" spans="103:104" x14ac:dyDescent="0.3">
      <c r="CY33800" s="34" t="s">
        <v>34726</v>
      </c>
      <c r="CZ33800" s="35">
        <v>1.8844831999999999E-2</v>
      </c>
    </row>
    <row r="33801" spans="103:104" x14ac:dyDescent="0.3">
      <c r="CY33801" s="34" t="s">
        <v>34727</v>
      </c>
      <c r="CZ33801" s="35">
        <v>3.2363674666666671E-3</v>
      </c>
    </row>
    <row r="33802" spans="103:104" x14ac:dyDescent="0.3">
      <c r="CY33802" s="34" t="s">
        <v>34728</v>
      </c>
      <c r="CZ33802" s="35">
        <v>4.2124320000000003E-3</v>
      </c>
    </row>
    <row r="33803" spans="103:104" x14ac:dyDescent="0.3">
      <c r="CY33803" s="34" t="s">
        <v>34729</v>
      </c>
      <c r="CZ33803" s="35">
        <v>8.9512118571428555E-3</v>
      </c>
    </row>
    <row r="33804" spans="103:104" x14ac:dyDescent="0.3">
      <c r="CY33804" s="34" t="s">
        <v>34730</v>
      </c>
      <c r="CZ33804" s="35">
        <v>1.8768343266666668E-2</v>
      </c>
    </row>
    <row r="33805" spans="103:104" x14ac:dyDescent="0.3">
      <c r="CY33805" s="34" t="s">
        <v>34731</v>
      </c>
      <c r="CZ33805" s="35">
        <v>4.2400027999999999E-3</v>
      </c>
    </row>
    <row r="33806" spans="103:104" x14ac:dyDescent="0.3">
      <c r="CY33806" s="34" t="s">
        <v>34732</v>
      </c>
      <c r="CZ33806" s="35">
        <v>6.4412993500000005E-3</v>
      </c>
    </row>
    <row r="33807" spans="103:104" x14ac:dyDescent="0.3">
      <c r="CY33807" s="34" t="s">
        <v>34733</v>
      </c>
      <c r="CZ33807" s="35">
        <v>3.565576E-3</v>
      </c>
    </row>
    <row r="33808" spans="103:104" x14ac:dyDescent="0.3">
      <c r="CY33808" s="34" t="s">
        <v>34734</v>
      </c>
      <c r="CZ33808" s="35">
        <v>7.5156549999999989E-4</v>
      </c>
    </row>
    <row r="33809" spans="103:104" x14ac:dyDescent="0.3">
      <c r="CY33809" s="34" t="s">
        <v>34735</v>
      </c>
      <c r="CZ33809" s="35">
        <v>8.2049897333333344E-3</v>
      </c>
    </row>
    <row r="33810" spans="103:104" x14ac:dyDescent="0.3">
      <c r="CY33810" s="34" t="s">
        <v>34736</v>
      </c>
      <c r="CZ33810" s="35">
        <v>1.0202180933333332E-2</v>
      </c>
    </row>
    <row r="33811" spans="103:104" x14ac:dyDescent="0.3">
      <c r="CY33811" s="34" t="s">
        <v>34737</v>
      </c>
      <c r="CZ33811" s="35">
        <v>1.0152608044444443E-2</v>
      </c>
    </row>
    <row r="33812" spans="103:104" x14ac:dyDescent="0.3">
      <c r="CY33812" s="34" t="s">
        <v>34738</v>
      </c>
      <c r="CZ33812" s="35">
        <v>1.0527229933333333E-2</v>
      </c>
    </row>
    <row r="33813" spans="103:104" x14ac:dyDescent="0.3">
      <c r="CY33813" s="34" t="s">
        <v>34739</v>
      </c>
      <c r="CZ33813" s="35">
        <v>0.28958227777777779</v>
      </c>
    </row>
    <row r="33814" spans="103:104" x14ac:dyDescent="0.3">
      <c r="CY33814" s="34" t="s">
        <v>34740</v>
      </c>
      <c r="CZ33814" s="35">
        <v>0.22867594888888887</v>
      </c>
    </row>
    <row r="33815" spans="103:104" x14ac:dyDescent="0.3">
      <c r="CY33815" s="34" t="s">
        <v>34741</v>
      </c>
      <c r="CZ33815" s="35">
        <v>0.11777701777777776</v>
      </c>
    </row>
    <row r="33816" spans="103:104" x14ac:dyDescent="0.3">
      <c r="CY33816" s="34" t="s">
        <v>34742</v>
      </c>
      <c r="CZ33816" s="35">
        <v>1.2916961999999998E-3</v>
      </c>
    </row>
    <row r="33817" spans="103:104" x14ac:dyDescent="0.3">
      <c r="CY33817" s="34" t="s">
        <v>34743</v>
      </c>
      <c r="CZ33817" s="35">
        <v>1.2916962E-3</v>
      </c>
    </row>
    <row r="33818" spans="103:104" x14ac:dyDescent="0.3">
      <c r="CY33818" s="34" t="s">
        <v>34744</v>
      </c>
      <c r="CZ33818" s="35">
        <v>2.7004653300000001E-2</v>
      </c>
    </row>
    <row r="33819" spans="103:104" x14ac:dyDescent="0.3">
      <c r="CY33819" s="34" t="s">
        <v>34745</v>
      </c>
      <c r="CZ33819" s="35">
        <v>5.8575986000000003E-2</v>
      </c>
    </row>
    <row r="33820" spans="103:104" x14ac:dyDescent="0.3">
      <c r="CY33820" s="34" t="s">
        <v>34746</v>
      </c>
      <c r="CZ33820" s="35">
        <v>2.5119237999999999E-2</v>
      </c>
    </row>
    <row r="33821" spans="103:104" x14ac:dyDescent="0.3">
      <c r="CY33821" s="34" t="s">
        <v>34747</v>
      </c>
      <c r="CZ33821" s="35">
        <v>0.2136945767</v>
      </c>
    </row>
    <row r="33822" spans="103:104" x14ac:dyDescent="0.3">
      <c r="CY33822" s="34" t="s">
        <v>34748</v>
      </c>
      <c r="CZ33822" s="35">
        <v>8.1024246000000015E-3</v>
      </c>
    </row>
    <row r="33823" spans="103:104" x14ac:dyDescent="0.3">
      <c r="CY33823" s="34" t="s">
        <v>34749</v>
      </c>
      <c r="CZ33823" s="35">
        <v>2.7498429826666667E-2</v>
      </c>
    </row>
    <row r="33824" spans="103:104" x14ac:dyDescent="0.3">
      <c r="CY33824" s="34" t="s">
        <v>34750</v>
      </c>
      <c r="CZ33824" s="35">
        <v>3.3853764933333336E-2</v>
      </c>
    </row>
    <row r="33825" spans="103:104" x14ac:dyDescent="0.3">
      <c r="CY33825" s="34" t="s">
        <v>34751</v>
      </c>
      <c r="CZ33825" s="35">
        <v>2.681985164E-2</v>
      </c>
    </row>
    <row r="33826" spans="103:104" x14ac:dyDescent="0.3">
      <c r="CY33826" s="34" t="s">
        <v>34752</v>
      </c>
      <c r="CZ33826" s="35">
        <v>2.68198472E-2</v>
      </c>
    </row>
    <row r="33827" spans="103:104" x14ac:dyDescent="0.3">
      <c r="CY33827" s="34" t="s">
        <v>34753</v>
      </c>
      <c r="CZ33827" s="35">
        <v>2.68198472E-2</v>
      </c>
    </row>
    <row r="33828" spans="103:104" x14ac:dyDescent="0.3">
      <c r="CY33828" s="34" t="s">
        <v>34754</v>
      </c>
      <c r="CZ33828" s="35">
        <v>0.94805399157500003</v>
      </c>
    </row>
    <row r="33829" spans="103:104" x14ac:dyDescent="0.3">
      <c r="CY33829" s="34" t="s">
        <v>34755</v>
      </c>
      <c r="CZ33829" s="35">
        <v>8.952145600000001E-3</v>
      </c>
    </row>
    <row r="33830" spans="103:104" x14ac:dyDescent="0.3">
      <c r="CY33830" s="34" t="s">
        <v>34756</v>
      </c>
      <c r="CZ33830" s="35">
        <v>8.4120544000000005E-3</v>
      </c>
    </row>
    <row r="33831" spans="103:104" x14ac:dyDescent="0.3">
      <c r="CY33831" s="34" t="s">
        <v>34757</v>
      </c>
      <c r="CZ33831" s="35">
        <v>8.4120544000000005E-3</v>
      </c>
    </row>
    <row r="33832" spans="103:104" x14ac:dyDescent="0.3">
      <c r="CY33832" s="34" t="s">
        <v>34758</v>
      </c>
      <c r="CZ33832" s="35">
        <v>4.2653415999999991E-3</v>
      </c>
    </row>
    <row r="33833" spans="103:104" x14ac:dyDescent="0.3">
      <c r="CY33833" s="34" t="s">
        <v>34759</v>
      </c>
      <c r="CZ33833" s="35">
        <v>3.5085896000000005E-2</v>
      </c>
    </row>
    <row r="33834" spans="103:104" x14ac:dyDescent="0.3">
      <c r="CY33834" s="34" t="s">
        <v>34760</v>
      </c>
      <c r="CZ33834" s="35">
        <v>3.5555262999999997E-2</v>
      </c>
    </row>
    <row r="33835" spans="103:104" x14ac:dyDescent="0.3">
      <c r="CY33835" s="34" t="s">
        <v>34761</v>
      </c>
      <c r="CZ33835" s="35">
        <v>9.0450488888888896E-3</v>
      </c>
    </row>
    <row r="33836" spans="103:104" x14ac:dyDescent="0.3">
      <c r="CY33836" s="34" t="s">
        <v>34762</v>
      </c>
      <c r="CZ33836" s="35">
        <v>4.3196299999999997E-3</v>
      </c>
    </row>
    <row r="33837" spans="103:104" x14ac:dyDescent="0.3">
      <c r="CY33837" s="34" t="s">
        <v>34763</v>
      </c>
      <c r="CZ33837" s="35">
        <v>8.798943E-3</v>
      </c>
    </row>
    <row r="33838" spans="103:104" x14ac:dyDescent="0.3">
      <c r="CY33838" s="34" t="s">
        <v>34764</v>
      </c>
      <c r="CZ33838" s="35">
        <v>6.7579083999999992E-3</v>
      </c>
    </row>
    <row r="33839" spans="103:104" x14ac:dyDescent="0.3">
      <c r="CY33839" s="34" t="s">
        <v>34765</v>
      </c>
      <c r="CZ33839" s="35">
        <v>8.9185845999999996E-3</v>
      </c>
    </row>
    <row r="33840" spans="103:104" x14ac:dyDescent="0.3">
      <c r="CY33840" s="34" t="s">
        <v>34766</v>
      </c>
      <c r="CZ33840" s="35">
        <v>4.8457400666666671E-2</v>
      </c>
    </row>
    <row r="33841" spans="103:104" x14ac:dyDescent="0.3">
      <c r="CY33841" s="34" t="s">
        <v>34767</v>
      </c>
      <c r="CZ33841" s="35">
        <v>3.3716183673469396E-3</v>
      </c>
    </row>
    <row r="33842" spans="103:104" x14ac:dyDescent="0.3">
      <c r="CY33842" s="34" t="s">
        <v>34768</v>
      </c>
      <c r="CZ33842" s="35">
        <v>8.7119899999999991E-4</v>
      </c>
    </row>
    <row r="33843" spans="103:104" x14ac:dyDescent="0.3">
      <c r="CY33843" s="34" t="s">
        <v>34769</v>
      </c>
      <c r="CZ33843" s="35">
        <v>2.9151028E-3</v>
      </c>
    </row>
    <row r="33844" spans="103:104" x14ac:dyDescent="0.3">
      <c r="CY33844" s="34" t="s">
        <v>34770</v>
      </c>
      <c r="CZ33844" s="35">
        <v>0.38225289000000001</v>
      </c>
    </row>
    <row r="33845" spans="103:104" x14ac:dyDescent="0.3">
      <c r="CY33845" s="34" t="s">
        <v>34771</v>
      </c>
      <c r="CZ33845" s="35">
        <v>2.208108E-4</v>
      </c>
    </row>
    <row r="33846" spans="103:104" x14ac:dyDescent="0.3">
      <c r="CY33846" s="34" t="s">
        <v>34772</v>
      </c>
      <c r="CZ33846" s="35">
        <v>2.6770906500000005E-3</v>
      </c>
    </row>
    <row r="33847" spans="103:104" x14ac:dyDescent="0.3">
      <c r="CY33847" s="34" t="s">
        <v>34773</v>
      </c>
      <c r="CZ33847" s="35">
        <v>7.6502821999999998E-2</v>
      </c>
    </row>
    <row r="33848" spans="103:104" x14ac:dyDescent="0.3">
      <c r="CY33848" s="34" t="s">
        <v>34774</v>
      </c>
      <c r="CZ33848" s="35">
        <v>0.65892187769999999</v>
      </c>
    </row>
    <row r="33849" spans="103:104" x14ac:dyDescent="0.3">
      <c r="CY33849" s="34" t="s">
        <v>34775</v>
      </c>
      <c r="CZ33849" s="35">
        <v>0.70637707770000002</v>
      </c>
    </row>
    <row r="33850" spans="103:104" x14ac:dyDescent="0.3">
      <c r="CY33850" s="34" t="s">
        <v>34776</v>
      </c>
      <c r="CZ33850" s="35">
        <v>0.85734851249999999</v>
      </c>
    </row>
    <row r="33851" spans="103:104" x14ac:dyDescent="0.3">
      <c r="CY33851" s="34" t="s">
        <v>34777</v>
      </c>
      <c r="CZ33851" s="35">
        <v>0.66087691249999991</v>
      </c>
    </row>
    <row r="33852" spans="103:104" x14ac:dyDescent="0.3">
      <c r="CY33852" s="34" t="s">
        <v>34778</v>
      </c>
      <c r="CZ33852" s="35">
        <v>0.70833211250000006</v>
      </c>
    </row>
    <row r="33853" spans="103:104" x14ac:dyDescent="0.3">
      <c r="CY33853" s="34" t="s">
        <v>34779</v>
      </c>
      <c r="CZ33853" s="35">
        <v>0.22478625000000002</v>
      </c>
    </row>
    <row r="33854" spans="103:104" x14ac:dyDescent="0.3">
      <c r="CY33854" s="34" t="s">
        <v>34780</v>
      </c>
      <c r="CZ33854" s="35">
        <v>0.26244672999999996</v>
      </c>
    </row>
    <row r="33855" spans="103:104" x14ac:dyDescent="0.3">
      <c r="CY33855" s="34" t="s">
        <v>34781</v>
      </c>
      <c r="CZ33855" s="35">
        <v>0.44414153330000006</v>
      </c>
    </row>
    <row r="33856" spans="103:104" x14ac:dyDescent="0.3">
      <c r="CY33856" s="34" t="s">
        <v>34782</v>
      </c>
      <c r="CZ33856" s="35">
        <v>0.22478625000000002</v>
      </c>
    </row>
    <row r="33857" spans="103:104" x14ac:dyDescent="0.3">
      <c r="CY33857" s="34" t="s">
        <v>34783</v>
      </c>
      <c r="CZ33857" s="35">
        <v>0.39835704999999999</v>
      </c>
    </row>
    <row r="33858" spans="103:104" x14ac:dyDescent="0.3">
      <c r="CY33858" s="34" t="s">
        <v>34784</v>
      </c>
      <c r="CZ33858" s="35">
        <v>2.5683240000000003E-3</v>
      </c>
    </row>
    <row r="33859" spans="103:104" x14ac:dyDescent="0.3">
      <c r="CY33859" s="34" t="s">
        <v>34785</v>
      </c>
      <c r="CZ33859" s="35">
        <v>0.15666169499999999</v>
      </c>
    </row>
    <row r="33860" spans="103:104" x14ac:dyDescent="0.3">
      <c r="CY33860" s="34" t="s">
        <v>34786</v>
      </c>
      <c r="CZ33860" s="35">
        <v>0.10249628667333335</v>
      </c>
    </row>
    <row r="33861" spans="103:104" x14ac:dyDescent="0.3">
      <c r="CY33861" s="34" t="s">
        <v>34787</v>
      </c>
      <c r="CZ33861" s="35">
        <v>0.10359203433333333</v>
      </c>
    </row>
    <row r="33862" spans="103:104" x14ac:dyDescent="0.3">
      <c r="CY33862" s="34" t="s">
        <v>34788</v>
      </c>
      <c r="CZ33862" s="35">
        <v>9.4722953333333346E-2</v>
      </c>
    </row>
    <row r="33863" spans="103:104" x14ac:dyDescent="0.3">
      <c r="CY33863" s="34" t="s">
        <v>34789</v>
      </c>
      <c r="CZ33863" s="35">
        <v>0.10249628667333335</v>
      </c>
    </row>
    <row r="33864" spans="103:104" x14ac:dyDescent="0.3">
      <c r="CY33864" s="34" t="s">
        <v>34790</v>
      </c>
      <c r="CZ33864" s="35">
        <v>2.2391009999999999E-2</v>
      </c>
    </row>
    <row r="33865" spans="103:104" x14ac:dyDescent="0.3">
      <c r="CY33865" s="34" t="s">
        <v>34791</v>
      </c>
      <c r="CZ33865" s="35">
        <v>7.8203316888888885E-3</v>
      </c>
    </row>
    <row r="33866" spans="103:104" x14ac:dyDescent="0.3">
      <c r="CY33866" s="34" t="s">
        <v>34792</v>
      </c>
      <c r="CZ33866" s="35">
        <v>1.071994928888889E-2</v>
      </c>
    </row>
    <row r="33867" spans="103:104" x14ac:dyDescent="0.3">
      <c r="CY33867" s="34" t="s">
        <v>34793</v>
      </c>
      <c r="CZ33867" s="35">
        <v>1.003801088888889E-2</v>
      </c>
    </row>
    <row r="33868" spans="103:104" x14ac:dyDescent="0.3">
      <c r="CY33868" s="34" t="s">
        <v>34794</v>
      </c>
      <c r="CZ33868" s="35">
        <v>0.14609792166666666</v>
      </c>
    </row>
    <row r="33869" spans="103:104" x14ac:dyDescent="0.3">
      <c r="CY33869" s="34" t="s">
        <v>34795</v>
      </c>
      <c r="CZ33869" s="35">
        <v>7.7613401666666665E-2</v>
      </c>
    </row>
    <row r="33870" spans="103:104" x14ac:dyDescent="0.3">
      <c r="CY33870" s="34" t="s">
        <v>34796</v>
      </c>
      <c r="CZ33870" s="35">
        <v>6.1919364999999997E-2</v>
      </c>
    </row>
    <row r="33871" spans="103:104" x14ac:dyDescent="0.3">
      <c r="CY33871" s="34" t="s">
        <v>34797</v>
      </c>
      <c r="CZ33871" s="35">
        <v>7.7613401666666665E-2</v>
      </c>
    </row>
    <row r="33872" spans="103:104" x14ac:dyDescent="0.3">
      <c r="CY33872" s="34" t="s">
        <v>34798</v>
      </c>
      <c r="CZ33872" s="35">
        <v>8.6115485000000005E-2</v>
      </c>
    </row>
    <row r="33873" spans="103:104" x14ac:dyDescent="0.3">
      <c r="CY33873" s="34" t="s">
        <v>34799</v>
      </c>
      <c r="CZ33873" s="35">
        <v>0.10245473766666668</v>
      </c>
    </row>
    <row r="33874" spans="103:104" x14ac:dyDescent="0.3">
      <c r="CY33874" s="34" t="s">
        <v>34800</v>
      </c>
      <c r="CZ33874" s="35">
        <v>6.997914076666667E-2</v>
      </c>
    </row>
    <row r="33875" spans="103:104" x14ac:dyDescent="0.3">
      <c r="CY33875" s="34" t="s">
        <v>34801</v>
      </c>
      <c r="CZ33875" s="35">
        <v>0.12502452933333336</v>
      </c>
    </row>
    <row r="33876" spans="103:104" x14ac:dyDescent="0.3">
      <c r="CY33876" s="34" t="s">
        <v>34802</v>
      </c>
      <c r="CZ33876" s="35">
        <v>5.1498006333333325E-2</v>
      </c>
    </row>
    <row r="33877" spans="103:104" x14ac:dyDescent="0.3">
      <c r="CY33877" s="34" t="s">
        <v>34803</v>
      </c>
      <c r="CZ33877" s="35">
        <v>7.8783156766666682E-2</v>
      </c>
    </row>
    <row r="33878" spans="103:104" x14ac:dyDescent="0.3">
      <c r="CY33878" s="34" t="s">
        <v>34804</v>
      </c>
      <c r="CZ33878" s="35">
        <v>6.997914076666667E-2</v>
      </c>
    </row>
    <row r="33879" spans="103:104" x14ac:dyDescent="0.3">
      <c r="CY33879" s="34" t="s">
        <v>34805</v>
      </c>
      <c r="CZ33879" s="35">
        <v>0.22646565780000003</v>
      </c>
    </row>
    <row r="33880" spans="103:104" x14ac:dyDescent="0.3">
      <c r="CY33880" s="34" t="s">
        <v>34806</v>
      </c>
      <c r="CZ33880" s="35">
        <v>0.23838490294736844</v>
      </c>
    </row>
    <row r="33881" spans="103:104" x14ac:dyDescent="0.3">
      <c r="CY33881" s="34" t="s">
        <v>34807</v>
      </c>
      <c r="CZ33881" s="35">
        <v>4.3807313999999998E-3</v>
      </c>
    </row>
    <row r="33882" spans="103:104" x14ac:dyDescent="0.3">
      <c r="CY33882" s="34" t="s">
        <v>34808</v>
      </c>
      <c r="CZ33882" s="35">
        <v>4.7634673200000005E-2</v>
      </c>
    </row>
    <row r="33883" spans="103:104" x14ac:dyDescent="0.3">
      <c r="CY33883" s="34" t="s">
        <v>34809</v>
      </c>
      <c r="CZ33883" s="35">
        <v>1.813723813333333E-2</v>
      </c>
    </row>
    <row r="33884" spans="103:104" x14ac:dyDescent="0.3">
      <c r="CY33884" s="34" t="s">
        <v>34810</v>
      </c>
      <c r="CZ33884" s="35">
        <v>1.9112024E-3</v>
      </c>
    </row>
    <row r="33885" spans="103:104" x14ac:dyDescent="0.3">
      <c r="CY33885" s="34" t="s">
        <v>34811</v>
      </c>
      <c r="CZ33885" s="35">
        <v>1.3727644666666667E-3</v>
      </c>
    </row>
    <row r="33886" spans="103:104" x14ac:dyDescent="0.3">
      <c r="CY33886" s="34" t="s">
        <v>34812</v>
      </c>
      <c r="CZ33886" s="35">
        <v>1.5702002500000003E-2</v>
      </c>
    </row>
    <row r="33887" spans="103:104" x14ac:dyDescent="0.3">
      <c r="CY33887" s="34" t="s">
        <v>34813</v>
      </c>
      <c r="CZ33887" s="35">
        <v>6.5047690000000005E-3</v>
      </c>
    </row>
    <row r="33888" spans="103:104" x14ac:dyDescent="0.3">
      <c r="CY33888" s="34" t="s">
        <v>34814</v>
      </c>
      <c r="CZ33888" s="35">
        <v>1.2055325066666667E-2</v>
      </c>
    </row>
    <row r="33889" spans="103:104" x14ac:dyDescent="0.3">
      <c r="CY33889" s="34" t="s">
        <v>34815</v>
      </c>
      <c r="CZ33889" s="35">
        <v>3.3880155111111115E-2</v>
      </c>
    </row>
    <row r="33890" spans="103:104" x14ac:dyDescent="0.3">
      <c r="CY33890" s="34" t="s">
        <v>34816</v>
      </c>
      <c r="CZ33890" s="35">
        <v>2.3989831111111113E-2</v>
      </c>
    </row>
    <row r="33891" spans="103:104" x14ac:dyDescent="0.3">
      <c r="CY33891" s="34" t="s">
        <v>34817</v>
      </c>
      <c r="CZ33891" s="35">
        <v>5.8017116000000004E-3</v>
      </c>
    </row>
    <row r="33892" spans="103:104" x14ac:dyDescent="0.3">
      <c r="CY33892" s="34" t="s">
        <v>34818</v>
      </c>
      <c r="CZ33892" s="35">
        <v>6.9576306705882329E-2</v>
      </c>
    </row>
    <row r="33893" spans="103:104" x14ac:dyDescent="0.3">
      <c r="CY33893" s="34" t="s">
        <v>34819</v>
      </c>
      <c r="CZ33893" s="35">
        <v>0.18596335660000002</v>
      </c>
    </row>
    <row r="33894" spans="103:104" x14ac:dyDescent="0.3">
      <c r="CY33894" s="34" t="s">
        <v>34820</v>
      </c>
      <c r="CZ33894" s="35">
        <v>0.13029304999999999</v>
      </c>
    </row>
    <row r="33895" spans="103:104" x14ac:dyDescent="0.3">
      <c r="CY33895" s="34" t="s">
        <v>34821</v>
      </c>
      <c r="CZ33895" s="35">
        <v>6.3177832000000005E-3</v>
      </c>
    </row>
    <row r="33896" spans="103:104" x14ac:dyDescent="0.3">
      <c r="CY33896" s="34" t="s">
        <v>34822</v>
      </c>
      <c r="CZ33896" s="35">
        <v>0.19257704000000003</v>
      </c>
    </row>
    <row r="33897" spans="103:104" x14ac:dyDescent="0.3">
      <c r="CY33897" s="34" t="s">
        <v>34823</v>
      </c>
      <c r="CZ33897" s="35">
        <v>4.3796639999999989E-4</v>
      </c>
    </row>
    <row r="33898" spans="103:104" x14ac:dyDescent="0.3">
      <c r="CY33898" s="34" t="s">
        <v>34824</v>
      </c>
      <c r="CZ33898" s="35">
        <v>1.1850191999999999E-3</v>
      </c>
    </row>
    <row r="33899" spans="103:104" x14ac:dyDescent="0.3">
      <c r="CY33899" s="34" t="s">
        <v>34825</v>
      </c>
      <c r="CZ33899" s="35">
        <v>1.9674320000000003E-3</v>
      </c>
    </row>
    <row r="33900" spans="103:104" x14ac:dyDescent="0.3">
      <c r="CY33900" s="34" t="s">
        <v>34826</v>
      </c>
      <c r="CZ33900" s="35">
        <v>2.9749631999999998E-3</v>
      </c>
    </row>
    <row r="33901" spans="103:104" x14ac:dyDescent="0.3">
      <c r="CY33901" s="34" t="s">
        <v>34827</v>
      </c>
      <c r="CZ33901" s="35">
        <v>2.5936367999999997E-3</v>
      </c>
    </row>
    <row r="33902" spans="103:104" x14ac:dyDescent="0.3">
      <c r="CY33902" s="34" t="s">
        <v>34828</v>
      </c>
      <c r="CZ33902" s="35">
        <v>0.82216725000000002</v>
      </c>
    </row>
    <row r="33903" spans="103:104" x14ac:dyDescent="0.3">
      <c r="CY33903" s="34" t="s">
        <v>34829</v>
      </c>
      <c r="CZ33903" s="35">
        <v>0.42201085999999999</v>
      </c>
    </row>
    <row r="33904" spans="103:104" x14ac:dyDescent="0.3">
      <c r="CY33904" s="34" t="s">
        <v>34830</v>
      </c>
      <c r="CZ33904" s="35">
        <v>3.4731020000000001E-2</v>
      </c>
    </row>
    <row r="33905" spans="103:104" x14ac:dyDescent="0.3">
      <c r="CY33905" s="34" t="s">
        <v>34831</v>
      </c>
      <c r="CZ33905" s="35">
        <v>0.28496115500000002</v>
      </c>
    </row>
    <row r="33906" spans="103:104" x14ac:dyDescent="0.3">
      <c r="CY33906" s="34" t="s">
        <v>34832</v>
      </c>
      <c r="CZ33906" s="35">
        <v>0.16085938499999999</v>
      </c>
    </row>
    <row r="33907" spans="103:104" x14ac:dyDescent="0.3">
      <c r="CY33907" s="34" t="s">
        <v>34833</v>
      </c>
      <c r="CZ33907" s="35">
        <v>2.9397759999999998E-2</v>
      </c>
    </row>
    <row r="33908" spans="103:104" x14ac:dyDescent="0.3">
      <c r="CY33908" s="34" t="s">
        <v>34834</v>
      </c>
      <c r="CZ33908" s="35">
        <v>3.2117548000000003E-2</v>
      </c>
    </row>
    <row r="33909" spans="103:104" x14ac:dyDescent="0.3">
      <c r="CY33909" s="34" t="s">
        <v>34835</v>
      </c>
      <c r="CZ33909" s="35">
        <v>4.2400684E-4</v>
      </c>
    </row>
    <row r="33910" spans="103:104" x14ac:dyDescent="0.3">
      <c r="CY33910" s="34" t="s">
        <v>34836</v>
      </c>
      <c r="CZ33910" s="35">
        <v>3.7712427999999997E-4</v>
      </c>
    </row>
    <row r="33911" spans="103:104" x14ac:dyDescent="0.3">
      <c r="CY33911" s="34" t="s">
        <v>34837</v>
      </c>
      <c r="CZ33911" s="35">
        <v>3.9866620000000001E-4</v>
      </c>
    </row>
    <row r="33912" spans="103:104" x14ac:dyDescent="0.3">
      <c r="CY33912" s="34" t="s">
        <v>34838</v>
      </c>
      <c r="CZ33912" s="35">
        <v>4.8237164000000004E-4</v>
      </c>
    </row>
    <row r="33913" spans="103:104" x14ac:dyDescent="0.3">
      <c r="CY33913" s="34" t="s">
        <v>34839</v>
      </c>
      <c r="CZ33913" s="35">
        <v>3.0153935200000003E-4</v>
      </c>
    </row>
    <row r="33914" spans="103:104" x14ac:dyDescent="0.3">
      <c r="CY33914" s="34" t="s">
        <v>34840</v>
      </c>
      <c r="CZ33914" s="35">
        <v>2.1618733333333331E-3</v>
      </c>
    </row>
    <row r="33915" spans="103:104" x14ac:dyDescent="0.3">
      <c r="CY33915" s="34" t="s">
        <v>34841</v>
      </c>
      <c r="CZ33915" s="35">
        <v>1.28341196E-3</v>
      </c>
    </row>
    <row r="33916" spans="103:104" x14ac:dyDescent="0.3">
      <c r="CY33916" s="34" t="s">
        <v>34842</v>
      </c>
      <c r="CZ33916" s="35">
        <v>1.6471550399999998E-3</v>
      </c>
    </row>
    <row r="33917" spans="103:104" x14ac:dyDescent="0.3">
      <c r="CY33917" s="34" t="s">
        <v>34843</v>
      </c>
      <c r="CZ33917" s="35">
        <v>2.6940812800000003E-3</v>
      </c>
    </row>
    <row r="33918" spans="103:104" x14ac:dyDescent="0.3">
      <c r="CY33918" s="34" t="s">
        <v>34844</v>
      </c>
      <c r="CZ33918" s="35">
        <v>3.6982270853661779E-4</v>
      </c>
    </row>
    <row r="33919" spans="103:104" x14ac:dyDescent="0.3">
      <c r="CY33919" s="34" t="s">
        <v>34845</v>
      </c>
      <c r="CZ33919" s="35">
        <v>0.24525698000000001</v>
      </c>
    </row>
    <row r="33920" spans="103:104" x14ac:dyDescent="0.3">
      <c r="CY33920" s="34" t="s">
        <v>34846</v>
      </c>
      <c r="CZ33920" s="35">
        <v>0.35218341071000009</v>
      </c>
    </row>
    <row r="33921" spans="103:104" x14ac:dyDescent="0.3">
      <c r="CY33921" s="34" t="s">
        <v>34847</v>
      </c>
      <c r="CZ33921" s="35">
        <v>9.5104790666666657E-3</v>
      </c>
    </row>
    <row r="33922" spans="103:104" x14ac:dyDescent="0.3">
      <c r="CY33922" s="34" t="s">
        <v>34848</v>
      </c>
      <c r="CZ33922" s="35">
        <v>1.5470396666666666E-3</v>
      </c>
    </row>
    <row r="33923" spans="103:104" x14ac:dyDescent="0.3">
      <c r="CY33923" s="34" t="s">
        <v>34849</v>
      </c>
      <c r="CZ33923" s="35">
        <v>4.4985559999999997E-4</v>
      </c>
    </row>
    <row r="33924" spans="103:104" x14ac:dyDescent="0.3">
      <c r="CY33924" s="34" t="s">
        <v>34850</v>
      </c>
      <c r="CZ33924" s="35">
        <v>3.7658612999999998E-3</v>
      </c>
    </row>
    <row r="33925" spans="103:104" x14ac:dyDescent="0.3">
      <c r="CY33925" s="34" t="s">
        <v>34851</v>
      </c>
      <c r="CZ33925" s="35">
        <v>0.18204114345979999</v>
      </c>
    </row>
    <row r="33926" spans="103:104" x14ac:dyDescent="0.3">
      <c r="CY33926" s="34" t="s">
        <v>34852</v>
      </c>
      <c r="CZ33926" s="35">
        <v>0.28415401494320003</v>
      </c>
    </row>
    <row r="33927" spans="103:104" x14ac:dyDescent="0.3">
      <c r="CY33927" s="34" t="s">
        <v>34853</v>
      </c>
      <c r="CZ33927" s="35">
        <v>0.18079713000000003</v>
      </c>
    </row>
    <row r="33928" spans="103:104" x14ac:dyDescent="0.3">
      <c r="CY33928" s="34" t="s">
        <v>34854</v>
      </c>
      <c r="CZ33928" s="35">
        <v>7.6858663999999993E-2</v>
      </c>
    </row>
    <row r="33929" spans="103:104" x14ac:dyDescent="0.3">
      <c r="CY33929" s="34" t="s">
        <v>34855</v>
      </c>
      <c r="CZ33929" s="35">
        <v>0.18888012888880001</v>
      </c>
    </row>
    <row r="33930" spans="103:104" x14ac:dyDescent="0.3">
      <c r="CY33930" s="34" t="s">
        <v>34856</v>
      </c>
      <c r="CZ33930" s="35">
        <v>0.17312038800000001</v>
      </c>
    </row>
    <row r="33931" spans="103:104" x14ac:dyDescent="0.3">
      <c r="CY33931" s="34" t="s">
        <v>34857</v>
      </c>
      <c r="CZ33931" s="35">
        <v>0.11294557200000001</v>
      </c>
    </row>
    <row r="33932" spans="103:104" x14ac:dyDescent="0.3">
      <c r="CY33932" s="34" t="s">
        <v>34858</v>
      </c>
      <c r="CZ33932" s="35">
        <v>0.19354986399999999</v>
      </c>
    </row>
    <row r="33933" spans="103:104" x14ac:dyDescent="0.3">
      <c r="CY33933" s="34" t="s">
        <v>34859</v>
      </c>
      <c r="CZ33933" s="35">
        <v>3.6485876666666674E-2</v>
      </c>
    </row>
    <row r="33934" spans="103:104" x14ac:dyDescent="0.3">
      <c r="CY33934" s="34" t="s">
        <v>34860</v>
      </c>
      <c r="CZ33934" s="35">
        <v>3.6485876666666667E-2</v>
      </c>
    </row>
    <row r="33935" spans="103:104" x14ac:dyDescent="0.3">
      <c r="CY33935" s="34" t="s">
        <v>34861</v>
      </c>
      <c r="CZ33935" s="35">
        <v>7.7488260000000003E-2</v>
      </c>
    </row>
    <row r="33936" spans="103:104" x14ac:dyDescent="0.3">
      <c r="CY33936" s="34" t="s">
        <v>34862</v>
      </c>
      <c r="CZ33936" s="35">
        <v>5.8410244333399995E-2</v>
      </c>
    </row>
    <row r="33937" spans="103:104" x14ac:dyDescent="0.3">
      <c r="CY33937" s="34" t="s">
        <v>34863</v>
      </c>
      <c r="CZ33937" s="35">
        <v>9.7163959595959592E-3</v>
      </c>
    </row>
    <row r="33938" spans="103:104" x14ac:dyDescent="0.3">
      <c r="CY33938" s="34" t="s">
        <v>34864</v>
      </c>
      <c r="CZ33938" s="35">
        <v>1.0529805E-3</v>
      </c>
    </row>
    <row r="33939" spans="103:104" x14ac:dyDescent="0.3">
      <c r="CY33939" s="34" t="s">
        <v>34865</v>
      </c>
      <c r="CZ33939" s="35">
        <v>9.9432449999999994E-4</v>
      </c>
    </row>
    <row r="33940" spans="103:104" x14ac:dyDescent="0.3">
      <c r="CY33940" s="34" t="s">
        <v>34866</v>
      </c>
      <c r="CZ33940" s="35">
        <v>1.9593614444444442E-2</v>
      </c>
    </row>
    <row r="33941" spans="103:104" x14ac:dyDescent="0.3">
      <c r="CY33941" s="34" t="s">
        <v>34867</v>
      </c>
      <c r="CZ33941" s="35">
        <v>1.2860237083333333E-2</v>
      </c>
    </row>
    <row r="33942" spans="103:104" x14ac:dyDescent="0.3">
      <c r="CY33942" s="34" t="s">
        <v>34868</v>
      </c>
      <c r="CZ33942" s="35">
        <v>3.2474313400000003E-2</v>
      </c>
    </row>
    <row r="33943" spans="103:104" x14ac:dyDescent="0.3">
      <c r="CY33943" s="34" t="s">
        <v>34869</v>
      </c>
      <c r="CZ33943" s="35">
        <v>8.5147183999999987E-2</v>
      </c>
    </row>
    <row r="33944" spans="103:104" x14ac:dyDescent="0.3">
      <c r="CY33944" s="34" t="s">
        <v>34870</v>
      </c>
      <c r="CZ33944" s="35">
        <v>8.7318840000000009E-2</v>
      </c>
    </row>
    <row r="33945" spans="103:104" x14ac:dyDescent="0.3">
      <c r="CY33945" s="34" t="s">
        <v>34871</v>
      </c>
      <c r="CZ33945" s="35">
        <v>1.3189163999999998E-3</v>
      </c>
    </row>
    <row r="33946" spans="103:104" x14ac:dyDescent="0.3">
      <c r="CY33946" s="34" t="s">
        <v>34872</v>
      </c>
      <c r="CZ33946" s="35">
        <v>1.6743623999999999E-3</v>
      </c>
    </row>
    <row r="33947" spans="103:104" x14ac:dyDescent="0.3">
      <c r="CY33947" s="34" t="s">
        <v>34873</v>
      </c>
      <c r="CZ33947" s="35">
        <v>1.872229591111111E-2</v>
      </c>
    </row>
    <row r="33948" spans="103:104" x14ac:dyDescent="0.3">
      <c r="CY33948" s="34" t="s">
        <v>34874</v>
      </c>
      <c r="CZ33948" s="35">
        <v>2.2769999999999999E-3</v>
      </c>
    </row>
    <row r="33949" spans="103:104" x14ac:dyDescent="0.3">
      <c r="CY33949" s="34" t="s">
        <v>34875</v>
      </c>
      <c r="CZ33949" s="35">
        <v>3.4386699599999994E-2</v>
      </c>
    </row>
    <row r="33950" spans="103:104" x14ac:dyDescent="0.3">
      <c r="CY33950" s="34" t="s">
        <v>34876</v>
      </c>
      <c r="CZ33950" s="35">
        <v>1.8481970800000001E-2</v>
      </c>
    </row>
    <row r="33951" spans="103:104" x14ac:dyDescent="0.3">
      <c r="CY33951" s="34" t="s">
        <v>34877</v>
      </c>
      <c r="CZ33951" s="35">
        <v>0.12194112500000001</v>
      </c>
    </row>
    <row r="33952" spans="103:104" x14ac:dyDescent="0.3">
      <c r="CY33952" s="34" t="s">
        <v>34878</v>
      </c>
      <c r="CZ33952" s="35">
        <v>0.55268012499999997</v>
      </c>
    </row>
    <row r="33953" spans="103:104" x14ac:dyDescent="0.3">
      <c r="CY33953" s="34" t="s">
        <v>34879</v>
      </c>
      <c r="CZ33953" s="35">
        <v>0.17867054475000002</v>
      </c>
    </row>
    <row r="33954" spans="103:104" x14ac:dyDescent="0.3">
      <c r="CY33954" s="34" t="s">
        <v>34880</v>
      </c>
      <c r="CZ33954" s="35">
        <v>0.16685237475</v>
      </c>
    </row>
    <row r="33955" spans="103:104" x14ac:dyDescent="0.3">
      <c r="CY33955" s="34" t="s">
        <v>34881</v>
      </c>
      <c r="CZ33955" s="35">
        <v>3.96E-5</v>
      </c>
    </row>
    <row r="33956" spans="103:104" x14ac:dyDescent="0.3">
      <c r="CY33956" s="34" t="s">
        <v>34882</v>
      </c>
      <c r="CZ33956" s="35">
        <v>4.5923249999999999E-2</v>
      </c>
    </row>
    <row r="33957" spans="103:104" x14ac:dyDescent="0.3">
      <c r="CY33957" s="34" t="s">
        <v>34883</v>
      </c>
      <c r="CZ33957" s="35">
        <v>8.9138579999999991E-4</v>
      </c>
    </row>
    <row r="33958" spans="103:104" x14ac:dyDescent="0.3">
      <c r="CY33958" s="34" t="s">
        <v>34884</v>
      </c>
      <c r="CZ33958" s="35">
        <v>3.0419292333333327E-2</v>
      </c>
    </row>
    <row r="33959" spans="103:104" x14ac:dyDescent="0.3">
      <c r="CY33959" s="34" t="s">
        <v>34885</v>
      </c>
      <c r="CZ33959" s="35">
        <v>2.5980277333333329E-2</v>
      </c>
    </row>
    <row r="33960" spans="103:104" x14ac:dyDescent="0.3">
      <c r="CY33960" s="34" t="s">
        <v>34886</v>
      </c>
      <c r="CZ33960" s="35">
        <v>8.0431139999999996E-4</v>
      </c>
    </row>
    <row r="33961" spans="103:104" x14ac:dyDescent="0.3">
      <c r="CY33961" s="34" t="s">
        <v>34887</v>
      </c>
      <c r="CZ33961" s="35">
        <v>4.8978894200000017E-3</v>
      </c>
    </row>
    <row r="33962" spans="103:104" x14ac:dyDescent="0.3">
      <c r="CY33962" s="34" t="s">
        <v>34888</v>
      </c>
      <c r="CZ33962" s="35">
        <v>4.1377656300000003E-2</v>
      </c>
    </row>
    <row r="33963" spans="103:104" x14ac:dyDescent="0.3">
      <c r="CY33963" s="34" t="s">
        <v>34889</v>
      </c>
      <c r="CZ33963" s="35">
        <v>6.0346002666666664E-3</v>
      </c>
    </row>
    <row r="33964" spans="103:104" x14ac:dyDescent="0.3">
      <c r="CY33964" s="34" t="s">
        <v>34890</v>
      </c>
      <c r="CZ33964" s="35">
        <v>6.1373036666666665E-3</v>
      </c>
    </row>
    <row r="33965" spans="103:104" x14ac:dyDescent="0.3">
      <c r="CY33965" s="34" t="s">
        <v>34891</v>
      </c>
      <c r="CZ33965" s="35">
        <v>6.5028747199999994E-3</v>
      </c>
    </row>
    <row r="33966" spans="103:104" x14ac:dyDescent="0.3">
      <c r="CY33966" s="34" t="s">
        <v>34892</v>
      </c>
      <c r="CZ33966" s="35">
        <v>5.1985295999999997E-3</v>
      </c>
    </row>
    <row r="33967" spans="103:104" x14ac:dyDescent="0.3">
      <c r="CY33967" s="34" t="s">
        <v>34893</v>
      </c>
      <c r="CZ33967" s="35">
        <v>6.5028747199999994E-3</v>
      </c>
    </row>
    <row r="33968" spans="103:104" x14ac:dyDescent="0.3">
      <c r="CY33968" s="34" t="s">
        <v>34894</v>
      </c>
      <c r="CZ33968" s="35">
        <v>2.6042136986666669E-2</v>
      </c>
    </row>
    <row r="33969" spans="103:104" x14ac:dyDescent="0.3">
      <c r="CY33969" s="34" t="s">
        <v>34895</v>
      </c>
      <c r="CZ33969" s="35">
        <v>2.0818416666666666E-2</v>
      </c>
    </row>
    <row r="33970" spans="103:104" x14ac:dyDescent="0.3">
      <c r="CY33970" s="34" t="s">
        <v>34896</v>
      </c>
      <c r="CZ33970" s="35">
        <v>4.4772803700000002E-2</v>
      </c>
    </row>
    <row r="33971" spans="103:104" x14ac:dyDescent="0.3">
      <c r="CY33971" s="34" t="s">
        <v>34897</v>
      </c>
      <c r="CZ33971" s="35">
        <v>3.4918980499999995E-2</v>
      </c>
    </row>
    <row r="33972" spans="103:104" x14ac:dyDescent="0.3">
      <c r="CY33972" s="34" t="s">
        <v>34898</v>
      </c>
      <c r="CZ33972" s="35">
        <v>7.3647143999999989E-3</v>
      </c>
    </row>
    <row r="33973" spans="103:104" x14ac:dyDescent="0.3">
      <c r="CY33973" s="34" t="s">
        <v>34899</v>
      </c>
      <c r="CZ33973" s="35">
        <v>5.9411519999999999E-3</v>
      </c>
    </row>
    <row r="33974" spans="103:104" x14ac:dyDescent="0.3">
      <c r="CY33974" s="34" t="s">
        <v>34900</v>
      </c>
      <c r="CZ33974" s="35">
        <v>2.6875632800000002E-3</v>
      </c>
    </row>
    <row r="33975" spans="103:104" x14ac:dyDescent="0.3">
      <c r="CY33975" s="34" t="s">
        <v>34901</v>
      </c>
      <c r="CZ33975" s="35">
        <v>2.8497793600000001E-3</v>
      </c>
    </row>
    <row r="33976" spans="103:104" x14ac:dyDescent="0.3">
      <c r="CY33976" s="34" t="s">
        <v>34902</v>
      </c>
      <c r="CZ33976" s="35">
        <v>2.6038316533333336E-3</v>
      </c>
    </row>
    <row r="33977" spans="103:104" x14ac:dyDescent="0.3">
      <c r="CY33977" s="34" t="s">
        <v>34903</v>
      </c>
      <c r="CZ33977" s="35">
        <v>0.34833364</v>
      </c>
    </row>
    <row r="33978" spans="103:104" x14ac:dyDescent="0.3">
      <c r="CY33978" s="34" t="s">
        <v>34904</v>
      </c>
      <c r="CZ33978" s="35">
        <v>0.34833364</v>
      </c>
    </row>
    <row r="33979" spans="103:104" x14ac:dyDescent="0.3">
      <c r="CY33979" s="34" t="s">
        <v>34905</v>
      </c>
      <c r="CZ33979" s="35">
        <v>0.34833364</v>
      </c>
    </row>
    <row r="33980" spans="103:104" x14ac:dyDescent="0.3">
      <c r="CY33980" s="34" t="s">
        <v>34906</v>
      </c>
      <c r="CZ33980" s="35">
        <v>0.787111746</v>
      </c>
    </row>
    <row r="33981" spans="103:104" x14ac:dyDescent="0.3">
      <c r="CY33981" s="34" t="s">
        <v>34907</v>
      </c>
      <c r="CZ33981" s="35">
        <v>0.47378962480000003</v>
      </c>
    </row>
    <row r="33982" spans="103:104" x14ac:dyDescent="0.3">
      <c r="CY33982" s="34" t="s">
        <v>34908</v>
      </c>
      <c r="CZ33982" s="35">
        <v>5.3046189100000002E-2</v>
      </c>
    </row>
    <row r="33983" spans="103:104" x14ac:dyDescent="0.3">
      <c r="CY33983" s="34" t="s">
        <v>34909</v>
      </c>
      <c r="CZ33983" s="35">
        <v>4.8109203700000006E-2</v>
      </c>
    </row>
    <row r="33984" spans="103:104" x14ac:dyDescent="0.3">
      <c r="CY33984" s="34" t="s">
        <v>34910</v>
      </c>
      <c r="CZ33984" s="35">
        <v>1.6499929475000001E-2</v>
      </c>
    </row>
    <row r="33985" spans="103:104" x14ac:dyDescent="0.3">
      <c r="CY33985" s="34" t="s">
        <v>34911</v>
      </c>
      <c r="CZ33985" s="35">
        <v>1.6411100259E-2</v>
      </c>
    </row>
    <row r="33986" spans="103:104" x14ac:dyDescent="0.3">
      <c r="CY33986" s="34" t="s">
        <v>34912</v>
      </c>
      <c r="CZ33986" s="35">
        <v>1.9661840000000002E-3</v>
      </c>
    </row>
    <row r="33987" spans="103:104" x14ac:dyDescent="0.3">
      <c r="CY33987" s="34" t="s">
        <v>34913</v>
      </c>
      <c r="CZ33987" s="35">
        <v>7.0878800000000013E-3</v>
      </c>
    </row>
    <row r="33988" spans="103:104" x14ac:dyDescent="0.3">
      <c r="CY33988" s="34" t="s">
        <v>34914</v>
      </c>
      <c r="CZ33988" s="35">
        <v>1.2817823999999999E-4</v>
      </c>
    </row>
    <row r="33989" spans="103:104" x14ac:dyDescent="0.3">
      <c r="CY33989" s="34" t="s">
        <v>34915</v>
      </c>
      <c r="CZ33989" s="35">
        <v>1.2089953999999998E-2</v>
      </c>
    </row>
    <row r="33990" spans="103:104" x14ac:dyDescent="0.3">
      <c r="CY33990" s="34" t="s">
        <v>34916</v>
      </c>
      <c r="CZ33990" s="35">
        <v>5.0629766600000001E-2</v>
      </c>
    </row>
    <row r="33991" spans="103:104" x14ac:dyDescent="0.3">
      <c r="CY33991" s="34" t="s">
        <v>34917</v>
      </c>
      <c r="CZ33991" s="35">
        <v>9.7174527375000014E-2</v>
      </c>
    </row>
    <row r="33992" spans="103:104" x14ac:dyDescent="0.3">
      <c r="CY33992" s="34" t="s">
        <v>34918</v>
      </c>
      <c r="CZ33992" s="35">
        <v>8.3223958600000009E-2</v>
      </c>
    </row>
    <row r="33993" spans="103:104" x14ac:dyDescent="0.3">
      <c r="CY33993" s="34" t="s">
        <v>34919</v>
      </c>
      <c r="CZ33993" s="35">
        <v>0.1110406306</v>
      </c>
    </row>
    <row r="33994" spans="103:104" x14ac:dyDescent="0.3">
      <c r="CY33994" s="34" t="s">
        <v>34920</v>
      </c>
      <c r="CZ33994" s="35">
        <v>9.4425789800000007E-2</v>
      </c>
    </row>
    <row r="33995" spans="103:104" x14ac:dyDescent="0.3">
      <c r="CY33995" s="34" t="s">
        <v>34921</v>
      </c>
      <c r="CZ33995" s="35">
        <v>7.7358466669999987E-2</v>
      </c>
    </row>
    <row r="33996" spans="103:104" x14ac:dyDescent="0.3">
      <c r="CY33996" s="34" t="s">
        <v>34922</v>
      </c>
      <c r="CZ33996" s="35">
        <v>6.4276306670000005E-2</v>
      </c>
    </row>
    <row r="33997" spans="103:104" x14ac:dyDescent="0.3">
      <c r="CY33997" s="34" t="s">
        <v>34923</v>
      </c>
      <c r="CZ33997" s="35">
        <v>8.7204318000000003E-2</v>
      </c>
    </row>
    <row r="33998" spans="103:104" x14ac:dyDescent="0.3">
      <c r="CY33998" s="34" t="s">
        <v>34924</v>
      </c>
      <c r="CZ33998" s="35">
        <v>7.3649374000000004E-2</v>
      </c>
    </row>
    <row r="33999" spans="103:104" x14ac:dyDescent="0.3">
      <c r="CY33999" s="34" t="s">
        <v>34925</v>
      </c>
      <c r="CZ33999" s="35">
        <v>9.4444402000000011E-2</v>
      </c>
    </row>
    <row r="34000" spans="103:104" x14ac:dyDescent="0.3">
      <c r="CY34000" s="34" t="s">
        <v>34926</v>
      </c>
      <c r="CZ34000" s="35">
        <v>8.4146184000000013E-2</v>
      </c>
    </row>
    <row r="34001" spans="103:104" x14ac:dyDescent="0.3">
      <c r="CY34001" s="34" t="s">
        <v>34927</v>
      </c>
      <c r="CZ34001" s="35">
        <v>5.8719736000000002E-2</v>
      </c>
    </row>
    <row r="34002" spans="103:104" x14ac:dyDescent="0.3">
      <c r="CY34002" s="34" t="s">
        <v>34928</v>
      </c>
      <c r="CZ34002" s="35">
        <v>2.9403936000000001E-3</v>
      </c>
    </row>
    <row r="34003" spans="103:104" x14ac:dyDescent="0.3">
      <c r="CY34003" s="34" t="s">
        <v>34929</v>
      </c>
      <c r="CZ34003" s="35">
        <v>0.12673301473684212</v>
      </c>
    </row>
    <row r="34004" spans="103:104" x14ac:dyDescent="0.3">
      <c r="CY34004" s="34" t="s">
        <v>34930</v>
      </c>
      <c r="CZ34004" s="35">
        <v>0.12608836560000003</v>
      </c>
    </row>
    <row r="34005" spans="103:104" x14ac:dyDescent="0.3">
      <c r="CY34005" s="34" t="s">
        <v>34931</v>
      </c>
      <c r="CZ34005" s="35">
        <v>0.12673301473684212</v>
      </c>
    </row>
    <row r="34006" spans="103:104" x14ac:dyDescent="0.3">
      <c r="CY34006" s="34" t="s">
        <v>34932</v>
      </c>
      <c r="CZ34006" s="35">
        <v>1.3034740444444444E-2</v>
      </c>
    </row>
    <row r="34007" spans="103:104" x14ac:dyDescent="0.3">
      <c r="CY34007" s="34" t="s">
        <v>34933</v>
      </c>
      <c r="CZ34007" s="35">
        <v>1.3410164444444445E-2</v>
      </c>
    </row>
    <row r="34008" spans="103:104" x14ac:dyDescent="0.3">
      <c r="CY34008" s="34" t="s">
        <v>34934</v>
      </c>
      <c r="CZ34008" s="35">
        <v>1.5985523200000001E-3</v>
      </c>
    </row>
    <row r="34009" spans="103:104" x14ac:dyDescent="0.3">
      <c r="CY34009" s="34" t="s">
        <v>34935</v>
      </c>
      <c r="CZ34009" s="35">
        <v>6.1649159999999992E-4</v>
      </c>
    </row>
    <row r="34010" spans="103:104" x14ac:dyDescent="0.3">
      <c r="CY34010" s="34" t="s">
        <v>34936</v>
      </c>
      <c r="CZ34010" s="35">
        <v>1.8416752000000004E-3</v>
      </c>
    </row>
    <row r="34011" spans="103:104" x14ac:dyDescent="0.3">
      <c r="CY34011" s="34" t="s">
        <v>34937</v>
      </c>
      <c r="CZ34011" s="35">
        <v>0.543251335</v>
      </c>
    </row>
    <row r="34012" spans="103:104" x14ac:dyDescent="0.3">
      <c r="CY34012" s="34" t="s">
        <v>34938</v>
      </c>
      <c r="CZ34012" s="35">
        <v>0.10644723800000001</v>
      </c>
    </row>
    <row r="34013" spans="103:104" x14ac:dyDescent="0.3">
      <c r="CY34013" s="34" t="s">
        <v>34939</v>
      </c>
      <c r="CZ34013" s="35">
        <v>0.71086341269999997</v>
      </c>
    </row>
    <row r="34014" spans="103:104" x14ac:dyDescent="0.3">
      <c r="CY34014" s="34" t="s">
        <v>34940</v>
      </c>
      <c r="CZ34014" s="35">
        <v>0.71330761430419987</v>
      </c>
    </row>
    <row r="34015" spans="103:104" x14ac:dyDescent="0.3">
      <c r="CY34015" s="34" t="s">
        <v>34941</v>
      </c>
      <c r="CZ34015" s="35">
        <v>0.7121890666666667</v>
      </c>
    </row>
    <row r="34016" spans="103:104" x14ac:dyDescent="0.3">
      <c r="CY34016" s="34" t="s">
        <v>34942</v>
      </c>
      <c r="CZ34016" s="35">
        <v>7.5748126666666679E-2</v>
      </c>
    </row>
    <row r="34017" spans="103:104" x14ac:dyDescent="0.3">
      <c r="CY34017" s="34" t="s">
        <v>34943</v>
      </c>
      <c r="CZ34017" s="35">
        <v>0.48281620660000002</v>
      </c>
    </row>
    <row r="34018" spans="103:104" x14ac:dyDescent="0.3">
      <c r="CY34018" s="34" t="s">
        <v>34944</v>
      </c>
      <c r="CZ34018" s="35">
        <v>0.73967396666666674</v>
      </c>
    </row>
    <row r="34019" spans="103:104" x14ac:dyDescent="0.3">
      <c r="CY34019" s="34" t="s">
        <v>34945</v>
      </c>
      <c r="CZ34019" s="35">
        <v>0.66608384700000001</v>
      </c>
    </row>
    <row r="34020" spans="103:104" x14ac:dyDescent="0.3">
      <c r="CY34020" s="34" t="s">
        <v>34946</v>
      </c>
      <c r="CZ34020" s="35">
        <v>0.29709783816700003</v>
      </c>
    </row>
    <row r="34021" spans="103:104" x14ac:dyDescent="0.3">
      <c r="CY34021" s="34" t="s">
        <v>34947</v>
      </c>
      <c r="CZ34021" s="35">
        <v>0.19228456000000005</v>
      </c>
    </row>
    <row r="34022" spans="103:104" x14ac:dyDescent="0.3">
      <c r="CY34022" s="34" t="s">
        <v>34948</v>
      </c>
      <c r="CZ34022" s="35">
        <v>0.64943583999999999</v>
      </c>
    </row>
    <row r="34023" spans="103:104" x14ac:dyDescent="0.3">
      <c r="CY34023" s="34" t="s">
        <v>34949</v>
      </c>
      <c r="CZ34023" s="35">
        <v>0.20483624</v>
      </c>
    </row>
    <row r="34024" spans="103:104" x14ac:dyDescent="0.3">
      <c r="CY34024" s="34" t="s">
        <v>34950</v>
      </c>
      <c r="CZ34024" s="35">
        <v>0.88385114000000009</v>
      </c>
    </row>
    <row r="34025" spans="103:104" x14ac:dyDescent="0.3">
      <c r="CY34025" s="34" t="s">
        <v>34951</v>
      </c>
      <c r="CZ34025" s="35">
        <v>2.505257E-2</v>
      </c>
    </row>
    <row r="34026" spans="103:104" x14ac:dyDescent="0.3">
      <c r="CY34026" s="34" t="s">
        <v>34952</v>
      </c>
      <c r="CZ34026" s="35">
        <v>1.2149083999999999E-3</v>
      </c>
    </row>
    <row r="34027" spans="103:104" x14ac:dyDescent="0.3">
      <c r="CY34027" s="34" t="s">
        <v>34953</v>
      </c>
      <c r="CZ34027" s="35">
        <v>4.1439303809523804E-3</v>
      </c>
    </row>
    <row r="34028" spans="103:104" x14ac:dyDescent="0.3">
      <c r="CY34028" s="34" t="s">
        <v>34954</v>
      </c>
      <c r="CZ34028" s="35">
        <v>4.92976E-3</v>
      </c>
    </row>
    <row r="34029" spans="103:104" x14ac:dyDescent="0.3">
      <c r="CY34029" s="34" t="s">
        <v>34955</v>
      </c>
      <c r="CZ34029" s="35">
        <v>3.4112499999999998E-3</v>
      </c>
    </row>
    <row r="34030" spans="103:104" x14ac:dyDescent="0.3">
      <c r="CY34030" s="34" t="s">
        <v>34956</v>
      </c>
      <c r="CZ34030" s="35">
        <v>0.17197985263157894</v>
      </c>
    </row>
    <row r="34031" spans="103:104" x14ac:dyDescent="0.3">
      <c r="CY34031" s="34" t="s">
        <v>34957</v>
      </c>
      <c r="CZ34031" s="35">
        <v>0.14054351855555552</v>
      </c>
    </row>
    <row r="34032" spans="103:104" x14ac:dyDescent="0.3">
      <c r="CY34032" s="34" t="s">
        <v>34958</v>
      </c>
      <c r="CZ34032" s="35">
        <v>0.14054351855555552</v>
      </c>
    </row>
    <row r="34033" spans="103:104" x14ac:dyDescent="0.3">
      <c r="CY34033" s="34" t="s">
        <v>34959</v>
      </c>
      <c r="CZ34033" s="35">
        <v>1.9840119400000001E-3</v>
      </c>
    </row>
    <row r="34034" spans="103:104" x14ac:dyDescent="0.3">
      <c r="CY34034" s="34" t="s">
        <v>34960</v>
      </c>
      <c r="CZ34034" s="35">
        <v>0.96648656249999998</v>
      </c>
    </row>
    <row r="34035" spans="103:104" x14ac:dyDescent="0.3">
      <c r="CY34035" s="34" t="s">
        <v>34961</v>
      </c>
      <c r="CZ34035" s="35">
        <v>0.88865656250000002</v>
      </c>
    </row>
    <row r="34036" spans="103:104" x14ac:dyDescent="0.3">
      <c r="CY34036" s="34" t="s">
        <v>34962</v>
      </c>
      <c r="CZ34036" s="35">
        <v>0.83048763499999989</v>
      </c>
    </row>
    <row r="34037" spans="103:104" x14ac:dyDescent="0.3">
      <c r="CY34037" s="34" t="s">
        <v>34963</v>
      </c>
      <c r="CZ34037" s="35">
        <v>0.73748763499999992</v>
      </c>
    </row>
    <row r="34038" spans="103:104" x14ac:dyDescent="0.3">
      <c r="CY34038" s="34" t="s">
        <v>34964</v>
      </c>
      <c r="CZ34038" s="35">
        <v>0.24262585999999997</v>
      </c>
    </row>
    <row r="34039" spans="103:104" x14ac:dyDescent="0.3">
      <c r="CY34039" s="34" t="s">
        <v>34965</v>
      </c>
      <c r="CZ34039" s="35">
        <v>2.1001592499999997E-3</v>
      </c>
    </row>
    <row r="34040" spans="103:104" x14ac:dyDescent="0.3">
      <c r="CY34040" s="34" t="s">
        <v>34966</v>
      </c>
      <c r="CZ34040" s="35">
        <v>1.4677976499999999E-3</v>
      </c>
    </row>
    <row r="34041" spans="103:104" x14ac:dyDescent="0.3">
      <c r="CY34041" s="34" t="s">
        <v>34967</v>
      </c>
      <c r="CZ34041" s="35">
        <v>4.800688E-3</v>
      </c>
    </row>
    <row r="34042" spans="103:104" x14ac:dyDescent="0.3">
      <c r="CY34042" s="34" t="s">
        <v>34968</v>
      </c>
      <c r="CZ34042" s="35">
        <v>0.75084223830300001</v>
      </c>
    </row>
    <row r="34043" spans="103:104" x14ac:dyDescent="0.3">
      <c r="CY34043" s="34" t="s">
        <v>34969</v>
      </c>
      <c r="CZ34043" s="35">
        <v>1.6601298969072167E-3</v>
      </c>
    </row>
    <row r="34044" spans="103:104" x14ac:dyDescent="0.3">
      <c r="CY34044" s="34" t="s">
        <v>34970</v>
      </c>
      <c r="CZ34044" s="35">
        <v>0.42711806126659996</v>
      </c>
    </row>
    <row r="34045" spans="103:104" x14ac:dyDescent="0.3">
      <c r="CY34045" s="34" t="s">
        <v>34971</v>
      </c>
      <c r="CZ34045" s="35">
        <v>0.24303912359445001</v>
      </c>
    </row>
    <row r="34046" spans="103:104" x14ac:dyDescent="0.3">
      <c r="CY34046" s="34" t="s">
        <v>34972</v>
      </c>
      <c r="CZ34046" s="35">
        <v>1.1440528000000001E-3</v>
      </c>
    </row>
    <row r="34047" spans="103:104" x14ac:dyDescent="0.3">
      <c r="CY34047" s="34" t="s">
        <v>34973</v>
      </c>
      <c r="CZ34047" s="35">
        <v>0.19364115700000001</v>
      </c>
    </row>
    <row r="34048" spans="103:104" x14ac:dyDescent="0.3">
      <c r="CY34048" s="34" t="s">
        <v>34974</v>
      </c>
      <c r="CZ34048" s="35">
        <v>3.6498927099999995E-2</v>
      </c>
    </row>
    <row r="34049" spans="103:104" x14ac:dyDescent="0.3">
      <c r="CY34049" s="34" t="s">
        <v>34975</v>
      </c>
      <c r="CZ34049" s="35">
        <v>3.6498927099999995E-2</v>
      </c>
    </row>
    <row r="34050" spans="103:104" x14ac:dyDescent="0.3">
      <c r="CY34050" s="34" t="s">
        <v>34976</v>
      </c>
      <c r="CZ34050" s="35">
        <v>1.6336107999999998E-3</v>
      </c>
    </row>
    <row r="34051" spans="103:104" x14ac:dyDescent="0.3">
      <c r="CY34051" s="34" t="s">
        <v>34977</v>
      </c>
      <c r="CZ34051" s="35">
        <v>3.9888242955555556E-2</v>
      </c>
    </row>
    <row r="34052" spans="103:104" x14ac:dyDescent="0.3">
      <c r="CY34052" s="34" t="s">
        <v>34978</v>
      </c>
      <c r="CZ34052" s="35">
        <v>3.9888243000000004E-2</v>
      </c>
    </row>
    <row r="34053" spans="103:104" x14ac:dyDescent="0.3">
      <c r="CY34053" s="34" t="s">
        <v>34979</v>
      </c>
      <c r="CZ34053" s="35">
        <v>0.13457315360000002</v>
      </c>
    </row>
    <row r="34054" spans="103:104" x14ac:dyDescent="0.3">
      <c r="CY34054" s="34" t="s">
        <v>34980</v>
      </c>
      <c r="CZ34054" s="35">
        <v>1.2940500400000001E-2</v>
      </c>
    </row>
    <row r="34055" spans="103:104" x14ac:dyDescent="0.3">
      <c r="CY34055" s="34" t="s">
        <v>34981</v>
      </c>
      <c r="CZ34055" s="35">
        <v>8.3084379563000008E-2</v>
      </c>
    </row>
    <row r="34056" spans="103:104" x14ac:dyDescent="0.3">
      <c r="CY34056" s="34" t="s">
        <v>34982</v>
      </c>
      <c r="CZ34056" s="35">
        <v>6.2008687999999999E-2</v>
      </c>
    </row>
    <row r="34057" spans="103:104" x14ac:dyDescent="0.3">
      <c r="CY34057" s="34" t="s">
        <v>34983</v>
      </c>
      <c r="CZ34057" s="35">
        <v>4.1615434485714285E-3</v>
      </c>
    </row>
    <row r="34058" spans="103:104" x14ac:dyDescent="0.3">
      <c r="CY34058" s="34" t="s">
        <v>34984</v>
      </c>
      <c r="CZ34058" s="35">
        <v>4.9421529999999998E-2</v>
      </c>
    </row>
    <row r="34059" spans="103:104" x14ac:dyDescent="0.3">
      <c r="CY34059" s="34" t="s">
        <v>34985</v>
      </c>
      <c r="CZ34059" s="35">
        <v>9.0936584999999973E-3</v>
      </c>
    </row>
    <row r="34060" spans="103:104" x14ac:dyDescent="0.3">
      <c r="CY34060" s="34" t="s">
        <v>34986</v>
      </c>
      <c r="CZ34060" s="35">
        <v>3.3140990000000002E-2</v>
      </c>
    </row>
    <row r="34061" spans="103:104" x14ac:dyDescent="0.3">
      <c r="CY34061" s="34" t="s">
        <v>34987</v>
      </c>
      <c r="CZ34061" s="35">
        <v>1.3973219753846152E-2</v>
      </c>
    </row>
    <row r="34062" spans="103:104" x14ac:dyDescent="0.3">
      <c r="CY34062" s="34" t="s">
        <v>34988</v>
      </c>
      <c r="CZ34062" s="35">
        <v>6.1905646599999999E-3</v>
      </c>
    </row>
    <row r="34063" spans="103:104" x14ac:dyDescent="0.3">
      <c r="CY34063" s="34" t="s">
        <v>34989</v>
      </c>
      <c r="CZ34063" s="35">
        <v>7.0795150400000013E-3</v>
      </c>
    </row>
    <row r="34064" spans="103:104" x14ac:dyDescent="0.3">
      <c r="CY34064" s="34" t="s">
        <v>34990</v>
      </c>
      <c r="CZ34064" s="35">
        <v>5.7548046500000005E-3</v>
      </c>
    </row>
    <row r="34065" spans="103:104" x14ac:dyDescent="0.3">
      <c r="CY34065" s="34" t="s">
        <v>34991</v>
      </c>
      <c r="CZ34065" s="35">
        <v>0.84729949999999998</v>
      </c>
    </row>
    <row r="34066" spans="103:104" x14ac:dyDescent="0.3">
      <c r="CY34066" s="34" t="s">
        <v>34992</v>
      </c>
      <c r="CZ34066" s="35">
        <v>0.75765949999999993</v>
      </c>
    </row>
    <row r="34067" spans="103:104" x14ac:dyDescent="0.3">
      <c r="CY34067" s="34" t="s">
        <v>34993</v>
      </c>
      <c r="CZ34067" s="35">
        <v>0.77108224999999997</v>
      </c>
    </row>
    <row r="34068" spans="103:104" x14ac:dyDescent="0.3">
      <c r="CY34068" s="34" t="s">
        <v>34994</v>
      </c>
      <c r="CZ34068" s="35">
        <v>0.77108224999999997</v>
      </c>
    </row>
    <row r="34069" spans="103:104" x14ac:dyDescent="0.3">
      <c r="CY34069" s="34" t="s">
        <v>34995</v>
      </c>
      <c r="CZ34069" s="35">
        <v>0.77108224999999997</v>
      </c>
    </row>
    <row r="34070" spans="103:104" x14ac:dyDescent="0.3">
      <c r="CY34070" s="34" t="s">
        <v>34996</v>
      </c>
      <c r="CZ34070" s="35">
        <v>2.6732111999999999E-2</v>
      </c>
    </row>
    <row r="34071" spans="103:104" x14ac:dyDescent="0.3">
      <c r="CY34071" s="34" t="s">
        <v>34997</v>
      </c>
      <c r="CZ34071" s="35">
        <v>1.7671619621052632E-2</v>
      </c>
    </row>
    <row r="34072" spans="103:104" x14ac:dyDescent="0.3">
      <c r="CY34072" s="34" t="s">
        <v>34998</v>
      </c>
      <c r="CZ34072" s="35">
        <v>3.0273509999999997E-3</v>
      </c>
    </row>
    <row r="34073" spans="103:104" x14ac:dyDescent="0.3">
      <c r="CY34073" s="34" t="s">
        <v>34999</v>
      </c>
      <c r="CZ34073" s="35">
        <v>6.8256179999999994E-3</v>
      </c>
    </row>
    <row r="34074" spans="103:104" x14ac:dyDescent="0.3">
      <c r="CY34074" s="34" t="s">
        <v>35000</v>
      </c>
      <c r="CZ34074" s="35">
        <v>3.1686259999999999E-3</v>
      </c>
    </row>
    <row r="34075" spans="103:104" x14ac:dyDescent="0.3">
      <c r="CY34075" s="34" t="s">
        <v>35001</v>
      </c>
      <c r="CZ34075" s="35">
        <v>1.11066202E-2</v>
      </c>
    </row>
    <row r="34076" spans="103:104" x14ac:dyDescent="0.3">
      <c r="CY34076" s="34" t="s">
        <v>35002</v>
      </c>
      <c r="CZ34076" s="35">
        <v>1.3729928599999998E-3</v>
      </c>
    </row>
    <row r="34077" spans="103:104" x14ac:dyDescent="0.3">
      <c r="CY34077" s="34" t="s">
        <v>35003</v>
      </c>
      <c r="CZ34077" s="35">
        <v>2.4097894789478951E-3</v>
      </c>
    </row>
    <row r="34078" spans="103:104" x14ac:dyDescent="0.3">
      <c r="CY34078" s="34" t="s">
        <v>35004</v>
      </c>
      <c r="CZ34078" s="35">
        <v>9.9961866186618672E-4</v>
      </c>
    </row>
    <row r="34079" spans="103:104" x14ac:dyDescent="0.3">
      <c r="CY34079" s="34" t="s">
        <v>35005</v>
      </c>
      <c r="CZ34079" s="35">
        <v>1.0339965196519655E-3</v>
      </c>
    </row>
    <row r="34080" spans="103:104" x14ac:dyDescent="0.3">
      <c r="CY34080" s="34" t="s">
        <v>35006</v>
      </c>
      <c r="CZ34080" s="35">
        <v>8.7098016201620169E-3</v>
      </c>
    </row>
    <row r="34081" spans="103:104" x14ac:dyDescent="0.3">
      <c r="CY34081" s="34" t="s">
        <v>35007</v>
      </c>
      <c r="CZ34081" s="35">
        <v>3.7456940000000001E-2</v>
      </c>
    </row>
    <row r="34082" spans="103:104" x14ac:dyDescent="0.3">
      <c r="CY34082" s="34" t="s">
        <v>35008</v>
      </c>
      <c r="CZ34082" s="35">
        <v>3.7456940000000008E-2</v>
      </c>
    </row>
    <row r="34083" spans="103:104" x14ac:dyDescent="0.3">
      <c r="CY34083" s="34" t="s">
        <v>35009</v>
      </c>
      <c r="CZ34083" s="35">
        <v>8.0649099999999998E-3</v>
      </c>
    </row>
    <row r="34084" spans="103:104" x14ac:dyDescent="0.3">
      <c r="CY34084" s="34" t="s">
        <v>35010</v>
      </c>
      <c r="CZ34084" s="35">
        <v>6.1404155555555553E-3</v>
      </c>
    </row>
    <row r="34085" spans="103:104" x14ac:dyDescent="0.3">
      <c r="CY34085" s="34" t="s">
        <v>35011</v>
      </c>
      <c r="CZ34085" s="35">
        <v>2.05067224E-2</v>
      </c>
    </row>
    <row r="34086" spans="103:104" x14ac:dyDescent="0.3">
      <c r="CY34086" s="34" t="s">
        <v>35012</v>
      </c>
      <c r="CZ34086" s="35">
        <v>4.5331250000000005E-4</v>
      </c>
    </row>
    <row r="34087" spans="103:104" x14ac:dyDescent="0.3">
      <c r="CY34087" s="34" t="s">
        <v>35013</v>
      </c>
      <c r="CZ34087" s="35">
        <v>0.12149282105263159</v>
      </c>
    </row>
    <row r="34088" spans="103:104" x14ac:dyDescent="0.3">
      <c r="CY34088" s="34" t="s">
        <v>35014</v>
      </c>
      <c r="CZ34088" s="35">
        <v>5.2167784000000002E-3</v>
      </c>
    </row>
    <row r="34089" spans="103:104" x14ac:dyDescent="0.3">
      <c r="CY34089" s="34" t="s">
        <v>35015</v>
      </c>
      <c r="CZ34089" s="35">
        <v>1.0026753500000001E-2</v>
      </c>
    </row>
    <row r="34090" spans="103:104" x14ac:dyDescent="0.3">
      <c r="CY34090" s="34" t="s">
        <v>35016</v>
      </c>
      <c r="CZ34090" s="35">
        <v>9.5508478000000006E-4</v>
      </c>
    </row>
    <row r="34091" spans="103:104" x14ac:dyDescent="0.3">
      <c r="CY34091" s="34" t="s">
        <v>35017</v>
      </c>
      <c r="CZ34091" s="35">
        <v>9.5508477999999995E-4</v>
      </c>
    </row>
    <row r="34092" spans="103:104" x14ac:dyDescent="0.3">
      <c r="CY34092" s="34" t="s">
        <v>35018</v>
      </c>
      <c r="CZ34092" s="35">
        <v>4.4720396399999996E-4</v>
      </c>
    </row>
    <row r="34093" spans="103:104" x14ac:dyDescent="0.3">
      <c r="CY34093" s="34" t="s">
        <v>35019</v>
      </c>
      <c r="CZ34093" s="35">
        <v>1.2044978199999999E-3</v>
      </c>
    </row>
    <row r="34094" spans="103:104" x14ac:dyDescent="0.3">
      <c r="CY34094" s="34" t="s">
        <v>35020</v>
      </c>
      <c r="CZ34094" s="35">
        <v>9.9207549999999999E-4</v>
      </c>
    </row>
    <row r="34095" spans="103:104" x14ac:dyDescent="0.3">
      <c r="CY34095" s="34" t="s">
        <v>35021</v>
      </c>
      <c r="CZ34095" s="35">
        <v>2.3051218400000004E-3</v>
      </c>
    </row>
    <row r="34096" spans="103:104" x14ac:dyDescent="0.3">
      <c r="CY34096" s="34" t="s">
        <v>35022</v>
      </c>
      <c r="CZ34096" s="35">
        <v>4.8957832E-3</v>
      </c>
    </row>
    <row r="34097" spans="103:104" x14ac:dyDescent="0.3">
      <c r="CY34097" s="34" t="s">
        <v>35023</v>
      </c>
      <c r="CZ34097" s="35">
        <v>0.16389944019999997</v>
      </c>
    </row>
    <row r="34098" spans="103:104" x14ac:dyDescent="0.3">
      <c r="CY34098" s="34" t="s">
        <v>35024</v>
      </c>
      <c r="CZ34098" s="35">
        <v>6.0282213000000001E-2</v>
      </c>
    </row>
    <row r="34099" spans="103:104" x14ac:dyDescent="0.3">
      <c r="CY34099" s="34" t="s">
        <v>35025</v>
      </c>
      <c r="CZ34099" s="35">
        <v>6.7580259000000004E-2</v>
      </c>
    </row>
    <row r="34100" spans="103:104" x14ac:dyDescent="0.3">
      <c r="CY34100" s="34" t="s">
        <v>35026</v>
      </c>
      <c r="CZ34100" s="35">
        <v>8.7218376000000007E-3</v>
      </c>
    </row>
    <row r="34101" spans="103:104" x14ac:dyDescent="0.3">
      <c r="CY34101" s="34" t="s">
        <v>35027</v>
      </c>
      <c r="CZ34101" s="35">
        <v>9.2070839999999991E-3</v>
      </c>
    </row>
    <row r="34102" spans="103:104" x14ac:dyDescent="0.3">
      <c r="CY34102" s="34" t="s">
        <v>35028</v>
      </c>
      <c r="CZ34102" s="35">
        <v>3.4777446999999996E-2</v>
      </c>
    </row>
    <row r="34103" spans="103:104" x14ac:dyDescent="0.3">
      <c r="CY34103" s="34" t="s">
        <v>35029</v>
      </c>
      <c r="CZ34103" s="35">
        <v>5.5245369999999995E-3</v>
      </c>
    </row>
    <row r="34104" spans="103:104" x14ac:dyDescent="0.3">
      <c r="CY34104" s="34" t="s">
        <v>35030</v>
      </c>
      <c r="CZ34104" s="35">
        <v>0.43188790000000005</v>
      </c>
    </row>
    <row r="34105" spans="103:104" x14ac:dyDescent="0.3">
      <c r="CY34105" s="34" t="s">
        <v>35031</v>
      </c>
      <c r="CZ34105" s="35">
        <v>8.829999999999999E-2</v>
      </c>
    </row>
    <row r="34106" spans="103:104" x14ac:dyDescent="0.3">
      <c r="CY34106" s="34" t="s">
        <v>35032</v>
      </c>
      <c r="CZ34106" s="35">
        <v>6.8392048E-3</v>
      </c>
    </row>
    <row r="34107" spans="103:104" x14ac:dyDescent="0.3">
      <c r="CY34107" s="34" t="s">
        <v>35033</v>
      </c>
      <c r="CZ34107" s="35">
        <v>8.4515035555555551E-4</v>
      </c>
    </row>
    <row r="34108" spans="103:104" x14ac:dyDescent="0.3">
      <c r="CY34108" s="34" t="s">
        <v>35034</v>
      </c>
      <c r="CZ34108" s="35">
        <v>1.7891056E-3</v>
      </c>
    </row>
    <row r="34109" spans="103:104" x14ac:dyDescent="0.3">
      <c r="CY34109" s="34" t="s">
        <v>35035</v>
      </c>
      <c r="CZ34109" s="35">
        <v>1.6847999999999998E-3</v>
      </c>
    </row>
    <row r="34110" spans="103:104" x14ac:dyDescent="0.3">
      <c r="CY34110" s="34" t="s">
        <v>35036</v>
      </c>
      <c r="CZ34110" s="35">
        <v>3.4780498666666668E-3</v>
      </c>
    </row>
    <row r="34111" spans="103:104" x14ac:dyDescent="0.3">
      <c r="CY34111" s="34" t="s">
        <v>35037</v>
      </c>
      <c r="CZ34111" s="35">
        <v>7.9367197E-2</v>
      </c>
    </row>
    <row r="34112" spans="103:104" x14ac:dyDescent="0.3">
      <c r="CY34112" s="34" t="s">
        <v>35038</v>
      </c>
      <c r="CZ34112" s="35">
        <v>3.1349859999999998E-3</v>
      </c>
    </row>
    <row r="34113" spans="103:104" x14ac:dyDescent="0.3">
      <c r="CY34113" s="34" t="s">
        <v>35039</v>
      </c>
      <c r="CZ34113" s="35">
        <v>3.2941059999999998E-3</v>
      </c>
    </row>
    <row r="34114" spans="103:104" x14ac:dyDescent="0.3">
      <c r="CY34114" s="34" t="s">
        <v>35040</v>
      </c>
      <c r="CZ34114" s="35">
        <v>0.182068125</v>
      </c>
    </row>
    <row r="34115" spans="103:104" x14ac:dyDescent="0.3">
      <c r="CY34115" s="34" t="s">
        <v>35041</v>
      </c>
      <c r="CZ34115" s="35">
        <v>0.37961885333333334</v>
      </c>
    </row>
    <row r="34116" spans="103:104" x14ac:dyDescent="0.3">
      <c r="CY34116" s="34" t="s">
        <v>35042</v>
      </c>
      <c r="CZ34116" s="35">
        <v>0.50182607933333334</v>
      </c>
    </row>
    <row r="34117" spans="103:104" x14ac:dyDescent="0.3">
      <c r="CY34117" s="34" t="s">
        <v>35043</v>
      </c>
      <c r="CZ34117" s="35">
        <v>2.1937136842105263E-2</v>
      </c>
    </row>
    <row r="34118" spans="103:104" x14ac:dyDescent="0.3">
      <c r="CY34118" s="34" t="s">
        <v>35044</v>
      </c>
      <c r="CZ34118" s="35">
        <v>7.0532631578947378E-3</v>
      </c>
    </row>
    <row r="34119" spans="103:104" x14ac:dyDescent="0.3">
      <c r="CY34119" s="34" t="s">
        <v>35045</v>
      </c>
      <c r="CZ34119" s="35">
        <v>2.0697015999999995E-3</v>
      </c>
    </row>
    <row r="34120" spans="103:104" x14ac:dyDescent="0.3">
      <c r="CY34120" s="34" t="s">
        <v>35046</v>
      </c>
      <c r="CZ34120" s="35">
        <v>2.034232E-3</v>
      </c>
    </row>
    <row r="34121" spans="103:104" x14ac:dyDescent="0.3">
      <c r="CY34121" s="34" t="s">
        <v>35047</v>
      </c>
      <c r="CZ34121" s="35">
        <v>6.7805020000000008E-3</v>
      </c>
    </row>
    <row r="34122" spans="103:104" x14ac:dyDescent="0.3">
      <c r="CY34122" s="34" t="s">
        <v>35048</v>
      </c>
      <c r="CZ34122" s="35">
        <v>1.3729675999999999E-3</v>
      </c>
    </row>
    <row r="34123" spans="103:104" x14ac:dyDescent="0.3">
      <c r="CY34123" s="34" t="s">
        <v>35049</v>
      </c>
      <c r="CZ34123" s="35">
        <v>5.531900166666668E-2</v>
      </c>
    </row>
    <row r="34124" spans="103:104" x14ac:dyDescent="0.3">
      <c r="CY34124" s="34" t="s">
        <v>35050</v>
      </c>
      <c r="CZ34124" s="35">
        <v>1.2581085599999999E-3</v>
      </c>
    </row>
    <row r="34125" spans="103:104" x14ac:dyDescent="0.3">
      <c r="CY34125" s="34" t="s">
        <v>35051</v>
      </c>
      <c r="CZ34125" s="35">
        <v>1.2581085599999999E-3</v>
      </c>
    </row>
    <row r="34126" spans="103:104" x14ac:dyDescent="0.3">
      <c r="CY34126" s="34" t="s">
        <v>35052</v>
      </c>
      <c r="CZ34126" s="35">
        <v>9.9150899999999979E-3</v>
      </c>
    </row>
    <row r="34127" spans="103:104" x14ac:dyDescent="0.3">
      <c r="CY34127" s="34" t="s">
        <v>35053</v>
      </c>
      <c r="CZ34127" s="35">
        <v>3.6116740000000001E-2</v>
      </c>
    </row>
    <row r="34128" spans="103:104" x14ac:dyDescent="0.3">
      <c r="CY34128" s="34" t="s">
        <v>35054</v>
      </c>
      <c r="CZ34128" s="35">
        <v>2.18613104E-2</v>
      </c>
    </row>
    <row r="34129" spans="103:104" x14ac:dyDescent="0.3">
      <c r="CY34129" s="34" t="s">
        <v>35055</v>
      </c>
      <c r="CZ34129" s="35">
        <v>1.6186737466666667E-2</v>
      </c>
    </row>
    <row r="34130" spans="103:104" x14ac:dyDescent="0.3">
      <c r="CY34130" s="34" t="s">
        <v>35056</v>
      </c>
      <c r="CZ34130" s="35">
        <v>1.6186737506666667E-2</v>
      </c>
    </row>
    <row r="34131" spans="103:104" x14ac:dyDescent="0.3">
      <c r="CY34131" s="34" t="s">
        <v>35057</v>
      </c>
      <c r="CZ34131" s="35">
        <v>1.3354484210526315E-2</v>
      </c>
    </row>
    <row r="34132" spans="103:104" x14ac:dyDescent="0.3">
      <c r="CY34132" s="34" t="s">
        <v>35058</v>
      </c>
      <c r="CZ34132" s="35">
        <v>7.5580860000000003E-3</v>
      </c>
    </row>
    <row r="34133" spans="103:104" x14ac:dyDescent="0.3">
      <c r="CY34133" s="34" t="s">
        <v>35059</v>
      </c>
      <c r="CZ34133" s="35">
        <v>3.3490908000000007E-2</v>
      </c>
    </row>
    <row r="34134" spans="103:104" x14ac:dyDescent="0.3">
      <c r="CY34134" s="34" t="s">
        <v>35060</v>
      </c>
      <c r="CZ34134" s="35">
        <v>7.3014129199999991E-3</v>
      </c>
    </row>
    <row r="34135" spans="103:104" x14ac:dyDescent="0.3">
      <c r="CY34135" s="34" t="s">
        <v>35061</v>
      </c>
      <c r="CZ34135" s="35">
        <v>0.11697162</v>
      </c>
    </row>
    <row r="34136" spans="103:104" x14ac:dyDescent="0.3">
      <c r="CY34136" s="34" t="s">
        <v>35062</v>
      </c>
      <c r="CZ34136" s="35">
        <v>4.4926207604832982</v>
      </c>
    </row>
    <row r="34137" spans="103:104" x14ac:dyDescent="0.3">
      <c r="CY34137" s="34" t="s">
        <v>35063</v>
      </c>
      <c r="CZ34137" s="35">
        <v>2.1536970041999997</v>
      </c>
    </row>
    <row r="34138" spans="103:104" x14ac:dyDescent="0.3">
      <c r="CY34138" s="34" t="s">
        <v>35064</v>
      </c>
      <c r="CZ34138" s="35">
        <v>2.7597619E-2</v>
      </c>
    </row>
    <row r="34139" spans="103:104" x14ac:dyDescent="0.3">
      <c r="CY34139" s="34" t="s">
        <v>35065</v>
      </c>
      <c r="CZ34139" s="35">
        <v>3.5396909430000001</v>
      </c>
    </row>
    <row r="34140" spans="103:104" x14ac:dyDescent="0.3">
      <c r="CY34140" s="34" t="s">
        <v>35066</v>
      </c>
      <c r="CZ34140" s="35">
        <v>1.7492541340000001</v>
      </c>
    </row>
    <row r="34141" spans="103:104" x14ac:dyDescent="0.3">
      <c r="CY34141" s="34" t="s">
        <v>35067</v>
      </c>
      <c r="CZ34141" s="35">
        <v>2.1464814800000002E-2</v>
      </c>
    </row>
    <row r="34142" spans="103:104" x14ac:dyDescent="0.3">
      <c r="CY34142" s="34" t="s">
        <v>35068</v>
      </c>
      <c r="CZ34142" s="35">
        <v>2.6091344386833</v>
      </c>
    </row>
    <row r="34143" spans="103:104" x14ac:dyDescent="0.3">
      <c r="CY34143" s="34" t="s">
        <v>35069</v>
      </c>
      <c r="CZ34143" s="35">
        <v>1.1452737433</v>
      </c>
    </row>
    <row r="34144" spans="103:104" x14ac:dyDescent="0.3">
      <c r="CY34144" s="34" t="s">
        <v>35070</v>
      </c>
      <c r="CZ34144" s="35">
        <v>1.60986111E-2</v>
      </c>
    </row>
    <row r="34145" spans="103:104" x14ac:dyDescent="0.3">
      <c r="CY34145" s="34" t="s">
        <v>35071</v>
      </c>
      <c r="CZ34145" s="35">
        <v>2.8165139019583005</v>
      </c>
    </row>
    <row r="34146" spans="103:104" x14ac:dyDescent="0.3">
      <c r="CY34146" s="34" t="s">
        <v>35072</v>
      </c>
      <c r="CZ34146" s="35">
        <v>1.3955223140000004</v>
      </c>
    </row>
    <row r="34147" spans="103:104" x14ac:dyDescent="0.3">
      <c r="CY34147" s="34" t="s">
        <v>35073</v>
      </c>
      <c r="CZ34147" s="35">
        <v>1.60986111E-2</v>
      </c>
    </row>
    <row r="34148" spans="103:104" x14ac:dyDescent="0.3">
      <c r="CY34148" s="34" t="s">
        <v>35074</v>
      </c>
      <c r="CZ34148" s="35">
        <v>0.17019685867500001</v>
      </c>
    </row>
    <row r="34149" spans="103:104" x14ac:dyDescent="0.3">
      <c r="CY34149" s="34" t="s">
        <v>35075</v>
      </c>
      <c r="CZ34149" s="35">
        <v>0.12912064470588236</v>
      </c>
    </row>
    <row r="34150" spans="103:104" x14ac:dyDescent="0.3">
      <c r="CY34150" s="34" t="s">
        <v>35076</v>
      </c>
      <c r="CZ34150" s="35">
        <v>5.7100000000000007E-3</v>
      </c>
    </row>
    <row r="34151" spans="103:104" x14ac:dyDescent="0.3">
      <c r="CY34151" s="34" t="s">
        <v>35077</v>
      </c>
      <c r="CZ34151" s="35">
        <v>2.1961515789473683E-3</v>
      </c>
    </row>
    <row r="34152" spans="103:104" x14ac:dyDescent="0.3">
      <c r="CY34152" s="34" t="s">
        <v>35078</v>
      </c>
      <c r="CZ34152" s="35">
        <v>8.8302506666666659E-3</v>
      </c>
    </row>
    <row r="34153" spans="103:104" x14ac:dyDescent="0.3">
      <c r="CY34153" s="34" t="s">
        <v>35079</v>
      </c>
      <c r="CZ34153" s="35">
        <v>1.1239679599999999E-3</v>
      </c>
    </row>
    <row r="34154" spans="103:104" x14ac:dyDescent="0.3">
      <c r="CY34154" s="34" t="s">
        <v>35080</v>
      </c>
      <c r="CZ34154" s="35">
        <v>4.7751160000000001E-2</v>
      </c>
    </row>
    <row r="34155" spans="103:104" x14ac:dyDescent="0.3">
      <c r="CY34155" s="34" t="s">
        <v>35081</v>
      </c>
      <c r="CZ34155" s="35">
        <v>1.8854384000000002E-2</v>
      </c>
    </row>
    <row r="34156" spans="103:104" x14ac:dyDescent="0.3">
      <c r="CY34156" s="34" t="s">
        <v>35082</v>
      </c>
      <c r="CZ34156" s="35">
        <v>4.4216892399999992E-2</v>
      </c>
    </row>
    <row r="34157" spans="103:104" x14ac:dyDescent="0.3">
      <c r="CY34157" s="34" t="s">
        <v>35083</v>
      </c>
      <c r="CZ34157" s="35">
        <v>7.0623840000000005E-3</v>
      </c>
    </row>
    <row r="34158" spans="103:104" x14ac:dyDescent="0.3">
      <c r="CY34158" s="34" t="s">
        <v>35084</v>
      </c>
      <c r="CZ34158" s="35">
        <v>1.0421074399999999E-2</v>
      </c>
    </row>
    <row r="34159" spans="103:104" x14ac:dyDescent="0.3">
      <c r="CY34159" s="34" t="s">
        <v>35085</v>
      </c>
      <c r="CZ34159" s="35">
        <v>0.25422655999999999</v>
      </c>
    </row>
    <row r="34160" spans="103:104" x14ac:dyDescent="0.3">
      <c r="CY34160" s="34" t="s">
        <v>35086</v>
      </c>
      <c r="CZ34160" s="35">
        <v>9.5992424000000004E-4</v>
      </c>
    </row>
    <row r="34161" spans="103:104" x14ac:dyDescent="0.3">
      <c r="CY34161" s="34" t="s">
        <v>35087</v>
      </c>
      <c r="CZ34161" s="35">
        <v>6.3303999999999997E-4</v>
      </c>
    </row>
    <row r="34162" spans="103:104" x14ac:dyDescent="0.3">
      <c r="CY34162" s="34" t="s">
        <v>35088</v>
      </c>
      <c r="CZ34162" s="35">
        <v>4.0052787199999999E-3</v>
      </c>
    </row>
    <row r="34163" spans="103:104" x14ac:dyDescent="0.3">
      <c r="CY34163" s="34" t="s">
        <v>35089</v>
      </c>
      <c r="CZ34163" s="35">
        <v>5.8220916666666664E-2</v>
      </c>
    </row>
    <row r="34164" spans="103:104" x14ac:dyDescent="0.3">
      <c r="CY34164" s="34" t="s">
        <v>35090</v>
      </c>
      <c r="CZ34164" s="35">
        <v>2.7872852631578948</v>
      </c>
    </row>
    <row r="34165" spans="103:104" x14ac:dyDescent="0.3">
      <c r="CY34165" s="34" t="s">
        <v>35091</v>
      </c>
      <c r="CZ34165" s="35">
        <v>0.38208808421052637</v>
      </c>
    </row>
    <row r="34166" spans="103:104" x14ac:dyDescent="0.3">
      <c r="CY34166" s="34" t="s">
        <v>35092</v>
      </c>
      <c r="CZ34166" s="35">
        <v>2.9130200000000004</v>
      </c>
    </row>
    <row r="34167" spans="103:104" x14ac:dyDescent="0.3">
      <c r="CY34167" s="34" t="s">
        <v>35093</v>
      </c>
      <c r="CZ34167" s="35">
        <v>0.17439854666666665</v>
      </c>
    </row>
    <row r="34168" spans="103:104" x14ac:dyDescent="0.3">
      <c r="CY34168" s="34" t="s">
        <v>35094</v>
      </c>
      <c r="CZ34168" s="35">
        <v>2.595677955555555E-3</v>
      </c>
    </row>
    <row r="34169" spans="103:104" x14ac:dyDescent="0.3">
      <c r="CY34169" s="34" t="s">
        <v>35095</v>
      </c>
      <c r="CZ34169" s="35">
        <v>2.0769259555555556E-3</v>
      </c>
    </row>
    <row r="34170" spans="103:104" x14ac:dyDescent="0.3">
      <c r="CY34170" s="34" t="s">
        <v>35096</v>
      </c>
      <c r="CZ34170" s="35">
        <v>2.4141147555555554E-3</v>
      </c>
    </row>
    <row r="34171" spans="103:104" x14ac:dyDescent="0.3">
      <c r="CY34171" s="34" t="s">
        <v>35097</v>
      </c>
      <c r="CZ34171" s="35">
        <v>1.8953627555555557E-3</v>
      </c>
    </row>
    <row r="34172" spans="103:104" x14ac:dyDescent="0.3">
      <c r="CY34172" s="34" t="s">
        <v>35098</v>
      </c>
      <c r="CZ34172" s="35">
        <v>3.8153218511111107E-2</v>
      </c>
    </row>
    <row r="34173" spans="103:104" x14ac:dyDescent="0.3">
      <c r="CY34173" s="34" t="s">
        <v>35099</v>
      </c>
      <c r="CZ34173" s="35">
        <v>0.189428134</v>
      </c>
    </row>
    <row r="34174" spans="103:104" x14ac:dyDescent="0.3">
      <c r="CY34174" s="34" t="s">
        <v>35100</v>
      </c>
      <c r="CZ34174" s="35">
        <v>9.4185331999999983E-2</v>
      </c>
    </row>
    <row r="34175" spans="103:104" x14ac:dyDescent="0.3">
      <c r="CY34175" s="34" t="s">
        <v>35101</v>
      </c>
      <c r="CZ34175" s="35">
        <v>5.0340624999999995E-4</v>
      </c>
    </row>
    <row r="34176" spans="103:104" x14ac:dyDescent="0.3">
      <c r="CY34176" s="34" t="s">
        <v>35102</v>
      </c>
      <c r="CZ34176" s="35">
        <v>1.3193663000000001E-2</v>
      </c>
    </row>
    <row r="34177" spans="103:104" x14ac:dyDescent="0.3">
      <c r="CY34177" s="34" t="s">
        <v>35103</v>
      </c>
      <c r="CZ34177" s="35">
        <v>1.288244425E-2</v>
      </c>
    </row>
    <row r="34178" spans="103:104" x14ac:dyDescent="0.3">
      <c r="CY34178" s="34" t="s">
        <v>35104</v>
      </c>
      <c r="CZ34178" s="35">
        <v>1.7468290200000001</v>
      </c>
    </row>
    <row r="34179" spans="103:104" x14ac:dyDescent="0.3">
      <c r="CY34179" s="34" t="s">
        <v>35105</v>
      </c>
      <c r="CZ34179" s="35">
        <v>0.19991256800000001</v>
      </c>
    </row>
    <row r="34180" spans="103:104" x14ac:dyDescent="0.3">
      <c r="CY34180" s="34" t="s">
        <v>35106</v>
      </c>
      <c r="CZ34180" s="35">
        <v>8.4096888888888881E-3</v>
      </c>
    </row>
    <row r="34181" spans="103:104" x14ac:dyDescent="0.3">
      <c r="CY34181" s="34" t="s">
        <v>35107</v>
      </c>
      <c r="CZ34181" s="35">
        <v>2.1805684210526319E-3</v>
      </c>
    </row>
    <row r="34182" spans="103:104" x14ac:dyDescent="0.3">
      <c r="CY34182" s="34" t="s">
        <v>35108</v>
      </c>
      <c r="CZ34182" s="35">
        <v>3.7614484210526317E-3</v>
      </c>
    </row>
    <row r="34183" spans="103:104" x14ac:dyDescent="0.3">
      <c r="CY34183" s="34" t="s">
        <v>35109</v>
      </c>
      <c r="CZ34183" s="35">
        <v>1.1749954455555553E-2</v>
      </c>
    </row>
    <row r="34184" spans="103:104" x14ac:dyDescent="0.3">
      <c r="CY34184" s="34" t="s">
        <v>35110</v>
      </c>
      <c r="CZ34184" s="35">
        <v>1.5259727599999997E-2</v>
      </c>
    </row>
    <row r="34185" spans="103:104" x14ac:dyDescent="0.3">
      <c r="CY34185" s="34" t="s">
        <v>35111</v>
      </c>
      <c r="CZ34185" s="35">
        <v>5.0026452200000009E-3</v>
      </c>
    </row>
    <row r="34186" spans="103:104" x14ac:dyDescent="0.3">
      <c r="CY34186" s="34" t="s">
        <v>35112</v>
      </c>
      <c r="CZ34186" s="35">
        <v>6.5474328888888877E-2</v>
      </c>
    </row>
    <row r="34187" spans="103:104" x14ac:dyDescent="0.3">
      <c r="CY34187" s="34" t="s">
        <v>35113</v>
      </c>
      <c r="CZ34187" s="35">
        <v>4.8573035999999997E-3</v>
      </c>
    </row>
    <row r="34188" spans="103:104" x14ac:dyDescent="0.3">
      <c r="CY34188" s="34" t="s">
        <v>35114</v>
      </c>
      <c r="CZ34188" s="35">
        <v>9.2630167999999992E-3</v>
      </c>
    </row>
    <row r="34189" spans="103:104" x14ac:dyDescent="0.3">
      <c r="CY34189" s="34" t="s">
        <v>35115</v>
      </c>
      <c r="CZ34189" s="35">
        <v>8.4094678571428588E-3</v>
      </c>
    </row>
    <row r="34190" spans="103:104" x14ac:dyDescent="0.3">
      <c r="CY34190" s="34" t="s">
        <v>35116</v>
      </c>
      <c r="CZ34190" s="35">
        <v>3.9285722222222222E-2</v>
      </c>
    </row>
    <row r="34191" spans="103:104" x14ac:dyDescent="0.3">
      <c r="CY34191" s="34" t="s">
        <v>35117</v>
      </c>
      <c r="CZ34191" s="35">
        <v>4.0547628888888881E-2</v>
      </c>
    </row>
    <row r="34192" spans="103:104" x14ac:dyDescent="0.3">
      <c r="CY34192" s="34" t="s">
        <v>35118</v>
      </c>
      <c r="CZ34192" s="35">
        <v>3.3568435555555561E-2</v>
      </c>
    </row>
    <row r="34193" spans="103:104" x14ac:dyDescent="0.3">
      <c r="CY34193" s="34" t="s">
        <v>35119</v>
      </c>
      <c r="CZ34193" s="35">
        <v>3.1666795555555551E-2</v>
      </c>
    </row>
    <row r="34194" spans="103:104" x14ac:dyDescent="0.3">
      <c r="CY34194" s="34" t="s">
        <v>35120</v>
      </c>
      <c r="CZ34194" s="35">
        <v>3.4283212121212124E-2</v>
      </c>
    </row>
    <row r="34195" spans="103:104" x14ac:dyDescent="0.3">
      <c r="CY34195" s="34" t="s">
        <v>35121</v>
      </c>
      <c r="CZ34195" s="35">
        <v>0.21238398844444442</v>
      </c>
    </row>
    <row r="34196" spans="103:104" x14ac:dyDescent="0.3">
      <c r="CY34196" s="34" t="s">
        <v>35122</v>
      </c>
      <c r="CZ34196" s="35">
        <v>0.6949202000000001</v>
      </c>
    </row>
    <row r="34197" spans="103:104" x14ac:dyDescent="0.3">
      <c r="CY34197" s="34" t="s">
        <v>35123</v>
      </c>
      <c r="CZ34197" s="35">
        <v>3.2507324000000002E-3</v>
      </c>
    </row>
    <row r="34198" spans="103:104" x14ac:dyDescent="0.3">
      <c r="CY34198" s="34" t="s">
        <v>35124</v>
      </c>
      <c r="CZ34198" s="35">
        <v>4.9045166666666668E-4</v>
      </c>
    </row>
    <row r="34199" spans="103:104" x14ac:dyDescent="0.3">
      <c r="CY34199" s="34" t="s">
        <v>35125</v>
      </c>
      <c r="CZ34199" s="35">
        <v>1.3342380800000001E-2</v>
      </c>
    </row>
    <row r="34200" spans="103:104" x14ac:dyDescent="0.3">
      <c r="CY34200" s="34" t="s">
        <v>35126</v>
      </c>
      <c r="CZ34200" s="35">
        <v>2.4776999999999997E-4</v>
      </c>
    </row>
    <row r="34201" spans="103:104" x14ac:dyDescent="0.3">
      <c r="CY34201" s="34" t="s">
        <v>35127</v>
      </c>
      <c r="CZ34201" s="35">
        <v>0.29510618511111114</v>
      </c>
    </row>
    <row r="34202" spans="103:104" x14ac:dyDescent="0.3">
      <c r="CY34202" s="34" t="s">
        <v>35128</v>
      </c>
      <c r="CZ34202" s="35">
        <v>2.7761992000000006E-4</v>
      </c>
    </row>
    <row r="34203" spans="103:104" x14ac:dyDescent="0.3">
      <c r="CY34203" s="34" t="s">
        <v>35129</v>
      </c>
      <c r="CZ34203" s="35">
        <v>0.28145776000000006</v>
      </c>
    </row>
    <row r="34204" spans="103:104" x14ac:dyDescent="0.3">
      <c r="CY34204" s="34" t="s">
        <v>35130</v>
      </c>
      <c r="CZ34204" s="35">
        <v>1.3818469046153845E-3</v>
      </c>
    </row>
    <row r="34205" spans="103:104" x14ac:dyDescent="0.3">
      <c r="CY34205" s="34" t="s">
        <v>35131</v>
      </c>
      <c r="CZ34205" s="35">
        <v>1.4239544000000002E-2</v>
      </c>
    </row>
    <row r="34206" spans="103:104" x14ac:dyDescent="0.3">
      <c r="CY34206" s="34" t="s">
        <v>35132</v>
      </c>
      <c r="CZ34206" s="35">
        <v>0.24270904500000001</v>
      </c>
    </row>
    <row r="34207" spans="103:104" x14ac:dyDescent="0.3">
      <c r="CY34207" s="34" t="s">
        <v>35133</v>
      </c>
      <c r="CZ34207" s="35">
        <v>0.27736804599999998</v>
      </c>
    </row>
    <row r="34208" spans="103:104" x14ac:dyDescent="0.3">
      <c r="CY34208" s="34" t="s">
        <v>35134</v>
      </c>
      <c r="CZ34208" s="35">
        <v>0.39923316600000003</v>
      </c>
    </row>
    <row r="34209" spans="103:104" x14ac:dyDescent="0.3">
      <c r="CY34209" s="34" t="s">
        <v>35135</v>
      </c>
      <c r="CZ34209" s="35">
        <v>1.6863234268000002E-2</v>
      </c>
    </row>
    <row r="34210" spans="103:104" x14ac:dyDescent="0.3">
      <c r="CY34210" s="34" t="s">
        <v>35136</v>
      </c>
      <c r="CZ34210" s="35">
        <v>2.8392773199999999E-2</v>
      </c>
    </row>
    <row r="34211" spans="103:104" x14ac:dyDescent="0.3">
      <c r="CY34211" s="34" t="s">
        <v>35137</v>
      </c>
      <c r="CZ34211" s="35">
        <v>0.14383850000000001</v>
      </c>
    </row>
    <row r="34212" spans="103:104" x14ac:dyDescent="0.3">
      <c r="CY34212" s="34" t="s">
        <v>35138</v>
      </c>
      <c r="CZ34212" s="35">
        <v>1.7136932000000001E-3</v>
      </c>
    </row>
    <row r="34213" spans="103:104" x14ac:dyDescent="0.3">
      <c r="CY34213" s="34" t="s">
        <v>35139</v>
      </c>
      <c r="CZ34213" s="35">
        <v>1.7057932E-3</v>
      </c>
    </row>
    <row r="34214" spans="103:104" x14ac:dyDescent="0.3">
      <c r="CY34214" s="34" t="s">
        <v>35140</v>
      </c>
      <c r="CZ34214" s="35">
        <v>1.7274182000000002E-3</v>
      </c>
    </row>
    <row r="34215" spans="103:104" x14ac:dyDescent="0.3">
      <c r="CY34215" s="34" t="s">
        <v>35141</v>
      </c>
      <c r="CZ34215" s="35">
        <v>1.7274182000000002E-3</v>
      </c>
    </row>
    <row r="34216" spans="103:104" x14ac:dyDescent="0.3">
      <c r="CY34216" s="34" t="s">
        <v>35142</v>
      </c>
      <c r="CZ34216" s="35">
        <v>2.4987639999999998E-2</v>
      </c>
    </row>
    <row r="34217" spans="103:104" x14ac:dyDescent="0.3">
      <c r="CY34217" s="34" t="s">
        <v>35143</v>
      </c>
      <c r="CZ34217" s="35">
        <v>0.16186366999999999</v>
      </c>
    </row>
    <row r="34218" spans="103:104" x14ac:dyDescent="0.3">
      <c r="CY34218" s="34" t="s">
        <v>35144</v>
      </c>
      <c r="CZ34218" s="35">
        <v>0.35750748532000004</v>
      </c>
    </row>
    <row r="34219" spans="103:104" x14ac:dyDescent="0.3">
      <c r="CY34219" s="34" t="s">
        <v>35145</v>
      </c>
      <c r="CZ34219" s="35">
        <v>0.27115553932000003</v>
      </c>
    </row>
    <row r="34220" spans="103:104" x14ac:dyDescent="0.3">
      <c r="CY34220" s="34" t="s">
        <v>35146</v>
      </c>
      <c r="CZ34220" s="35">
        <v>0.35750748532000004</v>
      </c>
    </row>
    <row r="34221" spans="103:104" x14ac:dyDescent="0.3">
      <c r="CY34221" s="34" t="s">
        <v>35147</v>
      </c>
      <c r="CZ34221" s="35">
        <v>0.27115553932000003</v>
      </c>
    </row>
    <row r="34222" spans="103:104" x14ac:dyDescent="0.3">
      <c r="CY34222" s="34" t="s">
        <v>35148</v>
      </c>
      <c r="CZ34222" s="35">
        <v>0.12704270932</v>
      </c>
    </row>
    <row r="34223" spans="103:104" x14ac:dyDescent="0.3">
      <c r="CY34223" s="34" t="s">
        <v>35149</v>
      </c>
      <c r="CZ34223" s="35">
        <v>8.4990389319999998E-2</v>
      </c>
    </row>
    <row r="34224" spans="103:104" x14ac:dyDescent="0.3">
      <c r="CY34224" s="34" t="s">
        <v>35150</v>
      </c>
      <c r="CZ34224" s="35">
        <v>0.12704270932</v>
      </c>
    </row>
    <row r="34225" spans="103:104" x14ac:dyDescent="0.3">
      <c r="CY34225" s="34" t="s">
        <v>35151</v>
      </c>
      <c r="CZ34225" s="35">
        <v>8.4990389319999998E-2</v>
      </c>
    </row>
    <row r="34226" spans="103:104" x14ac:dyDescent="0.3">
      <c r="CY34226" s="34" t="s">
        <v>35152</v>
      </c>
      <c r="CZ34226" s="35">
        <v>0.368805192</v>
      </c>
    </row>
    <row r="34227" spans="103:104" x14ac:dyDescent="0.3">
      <c r="CY34227" s="34" t="s">
        <v>35153</v>
      </c>
      <c r="CZ34227" s="35">
        <v>0.11879373</v>
      </c>
    </row>
    <row r="34228" spans="103:104" x14ac:dyDescent="0.3">
      <c r="CY34228" s="34" t="s">
        <v>35154</v>
      </c>
      <c r="CZ34228" s="35">
        <v>0.16825366181250001</v>
      </c>
    </row>
    <row r="34229" spans="103:104" x14ac:dyDescent="0.3">
      <c r="CY34229" s="34" t="s">
        <v>35155</v>
      </c>
      <c r="CZ34229" s="35">
        <v>0.12407147</v>
      </c>
    </row>
    <row r="34230" spans="103:104" x14ac:dyDescent="0.3">
      <c r="CY34230" s="34" t="s">
        <v>35156</v>
      </c>
      <c r="CZ34230" s="35">
        <v>4.3301243999999996E-2</v>
      </c>
    </row>
    <row r="34231" spans="103:104" x14ac:dyDescent="0.3">
      <c r="CY34231" s="34" t="s">
        <v>35157</v>
      </c>
      <c r="CZ34231" s="35">
        <v>3.3140269155555553E-3</v>
      </c>
    </row>
    <row r="34232" spans="103:104" x14ac:dyDescent="0.3">
      <c r="CY34232" s="34" t="s">
        <v>35158</v>
      </c>
      <c r="CZ34232" s="35">
        <v>1.02670622E-3</v>
      </c>
    </row>
    <row r="34233" spans="103:104" x14ac:dyDescent="0.3">
      <c r="CY34233" s="34" t="s">
        <v>35159</v>
      </c>
      <c r="CZ34233" s="35">
        <v>1.0343360000000001E-3</v>
      </c>
    </row>
    <row r="34234" spans="103:104" x14ac:dyDescent="0.3">
      <c r="CY34234" s="34" t="s">
        <v>35160</v>
      </c>
      <c r="CZ34234" s="35">
        <v>1.1619735399999999E-2</v>
      </c>
    </row>
    <row r="34235" spans="103:104" x14ac:dyDescent="0.3">
      <c r="CY34235" s="34" t="s">
        <v>35161</v>
      </c>
      <c r="CZ34235" s="35">
        <v>1.8603966545E-2</v>
      </c>
    </row>
    <row r="34236" spans="103:104" x14ac:dyDescent="0.3">
      <c r="CY34236" s="34" t="s">
        <v>35162</v>
      </c>
      <c r="CZ34236" s="35">
        <v>30.186490666649998</v>
      </c>
    </row>
    <row r="34237" spans="103:104" x14ac:dyDescent="0.3">
      <c r="CY34237" s="34" t="s">
        <v>35163</v>
      </c>
      <c r="CZ34237" s="35">
        <v>1.1468376888888888E-2</v>
      </c>
    </row>
    <row r="34238" spans="103:104" x14ac:dyDescent="0.3">
      <c r="CY34238" s="34" t="s">
        <v>35164</v>
      </c>
      <c r="CZ34238" s="35">
        <v>2.1145701499999996E-2</v>
      </c>
    </row>
    <row r="34239" spans="103:104" x14ac:dyDescent="0.3">
      <c r="CY34239" s="34" t="s">
        <v>35165</v>
      </c>
      <c r="CZ34239" s="35">
        <v>7.1936994285714288E-3</v>
      </c>
    </row>
    <row r="34240" spans="103:104" x14ac:dyDescent="0.3">
      <c r="CY34240" s="34" t="s">
        <v>35166</v>
      </c>
      <c r="CZ34240" s="35">
        <v>3.6051408888888884E-3</v>
      </c>
    </row>
    <row r="34241" spans="103:104" x14ac:dyDescent="0.3">
      <c r="CY34241" s="34" t="s">
        <v>35167</v>
      </c>
      <c r="CZ34241" s="35">
        <v>1.0663766733333333E-2</v>
      </c>
    </row>
    <row r="34242" spans="103:104" x14ac:dyDescent="0.3">
      <c r="CY34242" s="34" t="s">
        <v>35168</v>
      </c>
      <c r="CZ34242" s="35">
        <v>2.3508127333333332E-3</v>
      </c>
    </row>
    <row r="34243" spans="103:104" x14ac:dyDescent="0.3">
      <c r="CY34243" s="34" t="s">
        <v>35169</v>
      </c>
      <c r="CZ34243" s="35">
        <v>6.9819287999999999E-4</v>
      </c>
    </row>
    <row r="34244" spans="103:104" x14ac:dyDescent="0.3">
      <c r="CY34244" s="34" t="s">
        <v>35170</v>
      </c>
      <c r="CZ34244" s="35">
        <v>2.4904060000000001E-3</v>
      </c>
    </row>
    <row r="34245" spans="103:104" x14ac:dyDescent="0.3">
      <c r="CY34245" s="34" t="s">
        <v>35171</v>
      </c>
      <c r="CZ34245" s="35">
        <v>8.2432212000000005E-2</v>
      </c>
    </row>
    <row r="34246" spans="103:104" x14ac:dyDescent="0.3">
      <c r="CY34246" s="34" t="s">
        <v>35172</v>
      </c>
      <c r="CZ34246" s="35">
        <v>8.749438800000002E-3</v>
      </c>
    </row>
    <row r="34247" spans="103:104" x14ac:dyDescent="0.3">
      <c r="CY34247" s="34" t="s">
        <v>35173</v>
      </c>
      <c r="CZ34247" s="35">
        <v>2.2960299999999999E-2</v>
      </c>
    </row>
    <row r="34248" spans="103:104" x14ac:dyDescent="0.3">
      <c r="CY34248" s="34" t="s">
        <v>35174</v>
      </c>
      <c r="CZ34248" s="35">
        <v>2.24524472E-2</v>
      </c>
    </row>
    <row r="34249" spans="103:104" x14ac:dyDescent="0.3">
      <c r="CY34249" s="34" t="s">
        <v>35175</v>
      </c>
      <c r="CZ34249" s="35">
        <v>1.9320380500000001E-2</v>
      </c>
    </row>
    <row r="34250" spans="103:104" x14ac:dyDescent="0.3">
      <c r="CY34250" s="34" t="s">
        <v>35176</v>
      </c>
      <c r="CZ34250" s="35">
        <v>3.5739302500000002E-3</v>
      </c>
    </row>
    <row r="34251" spans="103:104" x14ac:dyDescent="0.3">
      <c r="CY34251" s="34" t="s">
        <v>35177</v>
      </c>
      <c r="CZ34251" s="35">
        <v>1.2368794399999999E-3</v>
      </c>
    </row>
    <row r="34252" spans="103:104" x14ac:dyDescent="0.3">
      <c r="CY34252" s="34" t="s">
        <v>35178</v>
      </c>
      <c r="CZ34252" s="35">
        <v>8.4979187999999998E-4</v>
      </c>
    </row>
    <row r="34253" spans="103:104" x14ac:dyDescent="0.3">
      <c r="CY34253" s="34" t="s">
        <v>35179</v>
      </c>
      <c r="CZ34253" s="35">
        <v>1.2789874666666666E-3</v>
      </c>
    </row>
    <row r="34254" spans="103:104" x14ac:dyDescent="0.3">
      <c r="CY34254" s="34" t="s">
        <v>35180</v>
      </c>
      <c r="CZ34254" s="35">
        <v>1.6294699199999999E-3</v>
      </c>
    </row>
    <row r="34255" spans="103:104" x14ac:dyDescent="0.3">
      <c r="CY34255" s="34" t="s">
        <v>35181</v>
      </c>
      <c r="CZ34255" s="35">
        <v>1.2379393000000001E-3</v>
      </c>
    </row>
    <row r="34256" spans="103:104" x14ac:dyDescent="0.3">
      <c r="CY34256" s="34" t="s">
        <v>35182</v>
      </c>
      <c r="CZ34256" s="35">
        <v>2.8428535999999998E-4</v>
      </c>
    </row>
    <row r="34257" spans="103:104" x14ac:dyDescent="0.3">
      <c r="CY34257" s="34" t="s">
        <v>35183</v>
      </c>
      <c r="CZ34257" s="35">
        <v>5.2993910666666666E-3</v>
      </c>
    </row>
    <row r="34258" spans="103:104" x14ac:dyDescent="0.3">
      <c r="CY34258" s="34" t="s">
        <v>35184</v>
      </c>
      <c r="CZ34258" s="35">
        <v>5.71717536E-3</v>
      </c>
    </row>
    <row r="34259" spans="103:104" x14ac:dyDescent="0.3">
      <c r="CY34259" s="34" t="s">
        <v>35185</v>
      </c>
      <c r="CZ34259" s="35">
        <v>1.4071199599999997E-3</v>
      </c>
    </row>
    <row r="34260" spans="103:104" x14ac:dyDescent="0.3">
      <c r="CY34260" s="34" t="s">
        <v>35186</v>
      </c>
      <c r="CZ34260" s="35">
        <v>5.9949391780821917E-4</v>
      </c>
    </row>
    <row r="34261" spans="103:104" x14ac:dyDescent="0.3">
      <c r="CY34261" s="34" t="s">
        <v>35187</v>
      </c>
      <c r="CZ34261" s="35">
        <v>2.5551825040000002E-3</v>
      </c>
    </row>
    <row r="34262" spans="103:104" x14ac:dyDescent="0.3">
      <c r="CY34262" s="34" t="s">
        <v>35188</v>
      </c>
      <c r="CZ34262" s="35">
        <v>6.9050293076923074E-3</v>
      </c>
    </row>
    <row r="34263" spans="103:104" x14ac:dyDescent="0.3">
      <c r="CY34263" s="34" t="s">
        <v>35189</v>
      </c>
      <c r="CZ34263" s="35">
        <v>1.9046197199999999E-3</v>
      </c>
    </row>
    <row r="34264" spans="103:104" x14ac:dyDescent="0.3">
      <c r="CY34264" s="34" t="s">
        <v>35190</v>
      </c>
      <c r="CZ34264" s="35">
        <v>4.5099259700000002E-3</v>
      </c>
    </row>
    <row r="34265" spans="103:104" x14ac:dyDescent="0.3">
      <c r="CY34265" s="34" t="s">
        <v>35191</v>
      </c>
      <c r="CZ34265" s="35">
        <v>3.6809937777777774E-2</v>
      </c>
    </row>
    <row r="34266" spans="103:104" x14ac:dyDescent="0.3">
      <c r="CY34266" s="34" t="s">
        <v>35192</v>
      </c>
      <c r="CZ34266" s="35">
        <v>2.2238325000000004E-3</v>
      </c>
    </row>
    <row r="34267" spans="103:104" x14ac:dyDescent="0.3">
      <c r="CY34267" s="34" t="s">
        <v>35193</v>
      </c>
      <c r="CZ34267" s="35">
        <v>1.9331585000000002E-2</v>
      </c>
    </row>
    <row r="34268" spans="103:104" x14ac:dyDescent="0.3">
      <c r="CY34268" s="34" t="s">
        <v>35194</v>
      </c>
      <c r="CZ34268" s="35">
        <v>4.0530549999999999E-2</v>
      </c>
    </row>
    <row r="34269" spans="103:104" x14ac:dyDescent="0.3">
      <c r="CY34269" s="34" t="s">
        <v>35195</v>
      </c>
      <c r="CZ34269" s="35">
        <v>0.1630587</v>
      </c>
    </row>
    <row r="34270" spans="103:104" x14ac:dyDescent="0.3">
      <c r="CY34270" s="34" t="s">
        <v>35196</v>
      </c>
      <c r="CZ34270" s="35">
        <v>1.3747179050000001E-2</v>
      </c>
    </row>
    <row r="34271" spans="103:104" x14ac:dyDescent="0.3">
      <c r="CY34271" s="34" t="s">
        <v>35197</v>
      </c>
      <c r="CZ34271" s="35">
        <v>1.061158993E-2</v>
      </c>
    </row>
    <row r="34272" spans="103:104" x14ac:dyDescent="0.3">
      <c r="CY34272" s="34" t="s">
        <v>35198</v>
      </c>
      <c r="CZ34272" s="35">
        <v>1.037704E-3</v>
      </c>
    </row>
    <row r="34273" spans="103:104" x14ac:dyDescent="0.3">
      <c r="CY34273" s="34" t="s">
        <v>35199</v>
      </c>
      <c r="CZ34273" s="35">
        <v>0.25193020249999998</v>
      </c>
    </row>
    <row r="34274" spans="103:104" x14ac:dyDescent="0.3">
      <c r="CY34274" s="34" t="s">
        <v>35200</v>
      </c>
      <c r="CZ34274" s="35">
        <v>1.2377618799999998E-2</v>
      </c>
    </row>
    <row r="34275" spans="103:104" x14ac:dyDescent="0.3">
      <c r="CY34275" s="34" t="s">
        <v>35201</v>
      </c>
      <c r="CZ34275" s="35">
        <v>7.465932799999999E-4</v>
      </c>
    </row>
    <row r="34276" spans="103:104" x14ac:dyDescent="0.3">
      <c r="CY34276" s="34" t="s">
        <v>35202</v>
      </c>
      <c r="CZ34276" s="35">
        <v>1.0543016555555557E-2</v>
      </c>
    </row>
    <row r="34277" spans="103:104" x14ac:dyDescent="0.3">
      <c r="CY34277" s="34" t="s">
        <v>35203</v>
      </c>
      <c r="CZ34277" s="35">
        <v>8.7474553999999996E-2</v>
      </c>
    </row>
    <row r="34278" spans="103:104" x14ac:dyDescent="0.3">
      <c r="CY34278" s="34" t="s">
        <v>35204</v>
      </c>
      <c r="CZ34278" s="35">
        <v>8.7474553999999996E-2</v>
      </c>
    </row>
    <row r="34279" spans="103:104" x14ac:dyDescent="0.3">
      <c r="CY34279" s="34" t="s">
        <v>35205</v>
      </c>
      <c r="CZ34279" s="35">
        <v>1.0588853250000001E-3</v>
      </c>
    </row>
    <row r="34280" spans="103:104" x14ac:dyDescent="0.3">
      <c r="CY34280" s="34" t="s">
        <v>35206</v>
      </c>
      <c r="CZ34280" s="35">
        <v>2.7959498888888889E-2</v>
      </c>
    </row>
    <row r="34281" spans="103:104" x14ac:dyDescent="0.3">
      <c r="CY34281" s="34" t="s">
        <v>35207</v>
      </c>
      <c r="CZ34281" s="35">
        <v>8.5815279999999997E-3</v>
      </c>
    </row>
    <row r="34282" spans="103:104" x14ac:dyDescent="0.3">
      <c r="CY34282" s="34" t="s">
        <v>35208</v>
      </c>
      <c r="CZ34282" s="35">
        <v>1.23602978E-2</v>
      </c>
    </row>
    <row r="34283" spans="103:104" x14ac:dyDescent="0.3">
      <c r="CY34283" s="34" t="s">
        <v>35209</v>
      </c>
      <c r="CZ34283" s="35">
        <v>3.9937174999999997E-4</v>
      </c>
    </row>
    <row r="34284" spans="103:104" x14ac:dyDescent="0.3">
      <c r="CY34284" s="34" t="s">
        <v>35210</v>
      </c>
      <c r="CZ34284" s="35">
        <v>7.4550953999999994E-3</v>
      </c>
    </row>
    <row r="34285" spans="103:104" x14ac:dyDescent="0.3">
      <c r="CY34285" s="34" t="s">
        <v>35211</v>
      </c>
      <c r="CZ34285" s="35">
        <v>1.6523381052631579E-3</v>
      </c>
    </row>
    <row r="34286" spans="103:104" x14ac:dyDescent="0.3">
      <c r="CY34286" s="34" t="s">
        <v>35212</v>
      </c>
      <c r="CZ34286" s="35">
        <v>3.0858684E-3</v>
      </c>
    </row>
    <row r="34287" spans="103:104" x14ac:dyDescent="0.3">
      <c r="CY34287" s="34" t="s">
        <v>35213</v>
      </c>
      <c r="CZ34287" s="35">
        <v>0.13493922999999999</v>
      </c>
    </row>
    <row r="34288" spans="103:104" x14ac:dyDescent="0.3">
      <c r="CY34288" s="34" t="s">
        <v>35214</v>
      </c>
      <c r="CZ34288" s="35">
        <v>2.3932968999999998E-2</v>
      </c>
    </row>
    <row r="34289" spans="103:104" x14ac:dyDescent="0.3">
      <c r="CY34289" s="34" t="s">
        <v>35215</v>
      </c>
      <c r="CZ34289" s="35">
        <v>0.14011796162500001</v>
      </c>
    </row>
    <row r="34290" spans="103:104" x14ac:dyDescent="0.3">
      <c r="CY34290" s="34" t="s">
        <v>35216</v>
      </c>
      <c r="CZ34290" s="35">
        <v>0.10918512000000001</v>
      </c>
    </row>
    <row r="34291" spans="103:104" x14ac:dyDescent="0.3">
      <c r="CY34291" s="34" t="s">
        <v>35217</v>
      </c>
      <c r="CZ34291" s="35">
        <v>0.137369449625</v>
      </c>
    </row>
    <row r="34292" spans="103:104" x14ac:dyDescent="0.3">
      <c r="CY34292" s="34" t="s">
        <v>35218</v>
      </c>
      <c r="CZ34292" s="35">
        <v>0.10734562</v>
      </c>
    </row>
    <row r="34293" spans="103:104" x14ac:dyDescent="0.3">
      <c r="CY34293" s="34" t="s">
        <v>35219</v>
      </c>
      <c r="CZ34293" s="35">
        <v>1.4053962999999999E-2</v>
      </c>
    </row>
    <row r="34294" spans="103:104" x14ac:dyDescent="0.3">
      <c r="CY34294" s="34" t="s">
        <v>35220</v>
      </c>
      <c r="CZ34294" s="35">
        <v>0.10580302933333333</v>
      </c>
    </row>
    <row r="34295" spans="103:104" x14ac:dyDescent="0.3">
      <c r="CY34295" s="34" t="s">
        <v>35221</v>
      </c>
      <c r="CZ34295" s="35">
        <v>3.2702321785714285E-2</v>
      </c>
    </row>
    <row r="34296" spans="103:104" x14ac:dyDescent="0.3">
      <c r="CY34296" s="34" t="s">
        <v>35222</v>
      </c>
      <c r="CZ34296" s="35">
        <v>2.8240357785714282E-2</v>
      </c>
    </row>
    <row r="34297" spans="103:104" x14ac:dyDescent="0.3">
      <c r="CY34297" s="34" t="s">
        <v>35223</v>
      </c>
      <c r="CZ34297" s="35">
        <v>5.4886189473684205E-2</v>
      </c>
    </row>
    <row r="34298" spans="103:104" x14ac:dyDescent="0.3">
      <c r="CY34298" s="34" t="s">
        <v>35224</v>
      </c>
      <c r="CZ34298" s="35">
        <v>1.1064412444444444E-2</v>
      </c>
    </row>
    <row r="34299" spans="103:104" x14ac:dyDescent="0.3">
      <c r="CY34299" s="34" t="s">
        <v>35225</v>
      </c>
      <c r="CZ34299" s="35">
        <v>1.1064412444444444E-2</v>
      </c>
    </row>
    <row r="34300" spans="103:104" x14ac:dyDescent="0.3">
      <c r="CY34300" s="34" t="s">
        <v>35226</v>
      </c>
      <c r="CZ34300" s="35">
        <v>1.1949148444444445E-2</v>
      </c>
    </row>
    <row r="34301" spans="103:104" x14ac:dyDescent="0.3">
      <c r="CY34301" s="34" t="s">
        <v>35227</v>
      </c>
      <c r="CZ34301" s="35">
        <v>1.1949148444444445E-2</v>
      </c>
    </row>
    <row r="34302" spans="103:104" x14ac:dyDescent="0.3">
      <c r="CY34302" s="34" t="s">
        <v>35228</v>
      </c>
      <c r="CZ34302" s="35">
        <v>1.1384999999999999E-2</v>
      </c>
    </row>
    <row r="34303" spans="103:104" x14ac:dyDescent="0.3">
      <c r="CY34303" s="34" t="s">
        <v>35229</v>
      </c>
      <c r="CZ34303" s="35">
        <v>6.3429280000000005E-2</v>
      </c>
    </row>
    <row r="34304" spans="103:104" x14ac:dyDescent="0.3">
      <c r="CY34304" s="34" t="s">
        <v>35230</v>
      </c>
      <c r="CZ34304" s="35">
        <v>0.82389136659999995</v>
      </c>
    </row>
    <row r="34305" spans="103:104" x14ac:dyDescent="0.3">
      <c r="CY34305" s="34" t="s">
        <v>35231</v>
      </c>
      <c r="CZ34305" s="35">
        <v>0.4358257666</v>
      </c>
    </row>
    <row r="34306" spans="103:104" x14ac:dyDescent="0.3">
      <c r="CY34306" s="34" t="s">
        <v>35232</v>
      </c>
      <c r="CZ34306" s="35">
        <v>0.29354960660000001</v>
      </c>
    </row>
    <row r="34307" spans="103:104" x14ac:dyDescent="0.3">
      <c r="CY34307" s="34" t="s">
        <v>35233</v>
      </c>
      <c r="CZ34307" s="35">
        <v>1.5503079999999998</v>
      </c>
    </row>
    <row r="34308" spans="103:104" x14ac:dyDescent="0.3">
      <c r="CY34308" s="34" t="s">
        <v>35234</v>
      </c>
      <c r="CZ34308" s="35">
        <v>0.19187409</v>
      </c>
    </row>
    <row r="34309" spans="103:104" x14ac:dyDescent="0.3">
      <c r="CY34309" s="34" t="s">
        <v>35235</v>
      </c>
      <c r="CZ34309" s="35">
        <v>1.5058724499999999E-2</v>
      </c>
    </row>
    <row r="34310" spans="103:104" x14ac:dyDescent="0.3">
      <c r="CY34310" s="34" t="s">
        <v>35236</v>
      </c>
      <c r="CZ34310" s="35">
        <v>1.2583515624999999</v>
      </c>
    </row>
    <row r="34311" spans="103:104" x14ac:dyDescent="0.3">
      <c r="CY34311" s="34" t="s">
        <v>35237</v>
      </c>
      <c r="CZ34311" s="35">
        <v>0.14821804876666664</v>
      </c>
    </row>
    <row r="34312" spans="103:104" x14ac:dyDescent="0.3">
      <c r="CY34312" s="34" t="s">
        <v>35238</v>
      </c>
      <c r="CZ34312" s="35">
        <v>2.3650978000000003E-2</v>
      </c>
    </row>
    <row r="34313" spans="103:104" x14ac:dyDescent="0.3">
      <c r="CY34313" s="34" t="s">
        <v>35239</v>
      </c>
      <c r="CZ34313" s="35">
        <v>1.9154018000000002E-2</v>
      </c>
    </row>
    <row r="34314" spans="103:104" x14ac:dyDescent="0.3">
      <c r="CY34314" s="34" t="s">
        <v>35240</v>
      </c>
      <c r="CZ34314" s="35">
        <v>0.1029238084</v>
      </c>
    </row>
    <row r="34315" spans="103:104" x14ac:dyDescent="0.3">
      <c r="CY34315" s="34" t="s">
        <v>35241</v>
      </c>
      <c r="CZ34315" s="35">
        <v>9.0661308399999987E-2</v>
      </c>
    </row>
    <row r="34316" spans="103:104" x14ac:dyDescent="0.3">
      <c r="CY34316" s="34" t="s">
        <v>35242</v>
      </c>
      <c r="CZ34316" s="35">
        <v>3.3558503999999996E-2</v>
      </c>
    </row>
    <row r="34317" spans="103:104" x14ac:dyDescent="0.3">
      <c r="CY34317" s="34" t="s">
        <v>35243</v>
      </c>
      <c r="CZ34317" s="35">
        <v>1.5461120000000001E-3</v>
      </c>
    </row>
    <row r="34318" spans="103:104" x14ac:dyDescent="0.3">
      <c r="CY34318" s="34" t="s">
        <v>35244</v>
      </c>
      <c r="CZ34318" s="35">
        <v>1.5044637599999999E-2</v>
      </c>
    </row>
    <row r="34319" spans="103:104" x14ac:dyDescent="0.3">
      <c r="CY34319" s="34" t="s">
        <v>35245</v>
      </c>
      <c r="CZ34319" s="35">
        <v>0.28436906666666667</v>
      </c>
    </row>
    <row r="34320" spans="103:104" x14ac:dyDescent="0.3">
      <c r="CY34320" s="34" t="s">
        <v>35246</v>
      </c>
      <c r="CZ34320" s="35">
        <v>1.1596122916666667E-2</v>
      </c>
    </row>
    <row r="34321" spans="103:104" x14ac:dyDescent="0.3">
      <c r="CY34321" s="34" t="s">
        <v>35247</v>
      </c>
      <c r="CZ34321" s="35">
        <v>0.1022294</v>
      </c>
    </row>
    <row r="34322" spans="103:104" x14ac:dyDescent="0.3">
      <c r="CY34322" s="34" t="s">
        <v>35248</v>
      </c>
      <c r="CZ34322" s="35">
        <v>0.8260904166666666</v>
      </c>
    </row>
    <row r="34323" spans="103:104" x14ac:dyDescent="0.3">
      <c r="CY34323" s="34" t="s">
        <v>35249</v>
      </c>
      <c r="CZ34323" s="35">
        <v>0.14367598499999998</v>
      </c>
    </row>
    <row r="34324" spans="103:104" x14ac:dyDescent="0.3">
      <c r="CY34324" s="34" t="s">
        <v>35250</v>
      </c>
      <c r="CZ34324" s="35">
        <v>1.6439874E-2</v>
      </c>
    </row>
    <row r="34325" spans="103:104" x14ac:dyDescent="0.3">
      <c r="CY34325" s="34" t="s">
        <v>35251</v>
      </c>
      <c r="CZ34325" s="35">
        <v>0.16861659086274508</v>
      </c>
    </row>
    <row r="34326" spans="103:104" x14ac:dyDescent="0.3">
      <c r="CY34326" s="34" t="s">
        <v>35252</v>
      </c>
      <c r="CZ34326" s="35">
        <v>0.19882016941176475</v>
      </c>
    </row>
    <row r="34327" spans="103:104" x14ac:dyDescent="0.3">
      <c r="CY34327" s="34" t="s">
        <v>35253</v>
      </c>
      <c r="CZ34327" s="35">
        <v>0.11889660000000001</v>
      </c>
    </row>
    <row r="34328" spans="103:104" x14ac:dyDescent="0.3">
      <c r="CY34328" s="34" t="s">
        <v>35254</v>
      </c>
      <c r="CZ34328" s="35">
        <v>0.21667800000000001</v>
      </c>
    </row>
    <row r="34329" spans="103:104" x14ac:dyDescent="0.3">
      <c r="CY34329" s="34" t="s">
        <v>35255</v>
      </c>
      <c r="CZ34329" s="35">
        <v>5.7032849999999996E-2</v>
      </c>
    </row>
    <row r="34330" spans="103:104" x14ac:dyDescent="0.3">
      <c r="CY34330" s="34" t="s">
        <v>35256</v>
      </c>
      <c r="CZ34330" s="35">
        <v>3.0475722941176474E-2</v>
      </c>
    </row>
    <row r="34331" spans="103:104" x14ac:dyDescent="0.3">
      <c r="CY34331" s="34" t="s">
        <v>35257</v>
      </c>
      <c r="CZ34331" s="35">
        <v>3.9520000000000007E-4</v>
      </c>
    </row>
    <row r="34332" spans="103:104" x14ac:dyDescent="0.3">
      <c r="CY34332" s="34" t="s">
        <v>35258</v>
      </c>
      <c r="CZ34332" s="35">
        <v>1.2446796E-3</v>
      </c>
    </row>
    <row r="34333" spans="103:104" x14ac:dyDescent="0.3">
      <c r="CY34333" s="34" t="s">
        <v>35259</v>
      </c>
      <c r="CZ34333" s="35">
        <v>0.14088959199999998</v>
      </c>
    </row>
    <row r="34334" spans="103:104" x14ac:dyDescent="0.3">
      <c r="CY34334" s="34" t="s">
        <v>35260</v>
      </c>
      <c r="CZ34334" s="35">
        <v>0.17121714600000001</v>
      </c>
    </row>
    <row r="34335" spans="103:104" x14ac:dyDescent="0.3">
      <c r="CY34335" s="34" t="s">
        <v>35261</v>
      </c>
      <c r="CZ34335" s="35">
        <v>0.93400925200000007</v>
      </c>
    </row>
    <row r="34336" spans="103:104" x14ac:dyDescent="0.3">
      <c r="CY34336" s="34" t="s">
        <v>35262</v>
      </c>
      <c r="CZ34336" s="35">
        <v>0.23400509199999997</v>
      </c>
    </row>
    <row r="34337" spans="103:104" x14ac:dyDescent="0.3">
      <c r="CY34337" s="34" t="s">
        <v>35263</v>
      </c>
      <c r="CZ34337" s="35">
        <v>0.16205776800000002</v>
      </c>
    </row>
    <row r="34338" spans="103:104" x14ac:dyDescent="0.3">
      <c r="CY34338" s="34" t="s">
        <v>35264</v>
      </c>
      <c r="CZ34338" s="35">
        <v>6.5366360000000002E-3</v>
      </c>
    </row>
    <row r="34339" spans="103:104" x14ac:dyDescent="0.3">
      <c r="CY34339" s="34" t="s">
        <v>35265</v>
      </c>
      <c r="CZ34339" s="35">
        <v>1.0053131999999999E-3</v>
      </c>
    </row>
    <row r="34340" spans="103:104" x14ac:dyDescent="0.3">
      <c r="CY34340" s="34" t="s">
        <v>35266</v>
      </c>
      <c r="CZ34340" s="35">
        <v>3.9803239999999995E-3</v>
      </c>
    </row>
    <row r="34341" spans="103:104" x14ac:dyDescent="0.3">
      <c r="CY34341" s="34" t="s">
        <v>35267</v>
      </c>
      <c r="CZ34341" s="35">
        <v>7.5737912000000018E-2</v>
      </c>
    </row>
    <row r="34342" spans="103:104" x14ac:dyDescent="0.3">
      <c r="CY34342" s="34" t="s">
        <v>35268</v>
      </c>
      <c r="CZ34342" s="35">
        <v>5.9162208000000001E-2</v>
      </c>
    </row>
    <row r="34343" spans="103:104" x14ac:dyDescent="0.3">
      <c r="CY34343" s="34" t="s">
        <v>35269</v>
      </c>
      <c r="CZ34343" s="35">
        <v>7.5737912000000018E-2</v>
      </c>
    </row>
    <row r="34344" spans="103:104" x14ac:dyDescent="0.3">
      <c r="CY34344" s="34" t="s">
        <v>35270</v>
      </c>
      <c r="CZ34344" s="35">
        <v>7.9300703666666666E-2</v>
      </c>
    </row>
    <row r="34345" spans="103:104" x14ac:dyDescent="0.3">
      <c r="CY34345" s="34" t="s">
        <v>35271</v>
      </c>
      <c r="CZ34345" s="35">
        <v>4.8789312000000001E-2</v>
      </c>
    </row>
    <row r="34346" spans="103:104" x14ac:dyDescent="0.3">
      <c r="CY34346" s="34" t="s">
        <v>35272</v>
      </c>
      <c r="CZ34346" s="35">
        <v>3.9594734400000005E-2</v>
      </c>
    </row>
    <row r="34347" spans="103:104" x14ac:dyDescent="0.3">
      <c r="CY34347" s="34" t="s">
        <v>35273</v>
      </c>
      <c r="CZ34347" s="35">
        <v>3.0400156799999998E-2</v>
      </c>
    </row>
    <row r="34348" spans="103:104" x14ac:dyDescent="0.3">
      <c r="CY34348" s="34" t="s">
        <v>35274</v>
      </c>
      <c r="CZ34348" s="35">
        <v>6.6861412799999992E-2</v>
      </c>
    </row>
    <row r="34349" spans="103:104" x14ac:dyDescent="0.3">
      <c r="CY34349" s="34" t="s">
        <v>35275</v>
      </c>
      <c r="CZ34349" s="35">
        <v>0.10084510500000002</v>
      </c>
    </row>
    <row r="34350" spans="103:104" x14ac:dyDescent="0.3">
      <c r="CY34350" s="34" t="s">
        <v>35276</v>
      </c>
      <c r="CZ34350" s="35">
        <v>9.9581140999999998E-2</v>
      </c>
    </row>
    <row r="34351" spans="103:104" x14ac:dyDescent="0.3">
      <c r="CY34351" s="34" t="s">
        <v>35277</v>
      </c>
      <c r="CZ34351" s="35">
        <v>9.3557605000000016E-2</v>
      </c>
    </row>
    <row r="34352" spans="103:104" x14ac:dyDescent="0.3">
      <c r="CY34352" s="34" t="s">
        <v>35278</v>
      </c>
      <c r="CZ34352" s="35">
        <v>0.10324674000000002</v>
      </c>
    </row>
    <row r="34353" spans="103:104" x14ac:dyDescent="0.3">
      <c r="CY34353" s="34" t="s">
        <v>35279</v>
      </c>
      <c r="CZ34353" s="35">
        <v>6.9516961000000016E-2</v>
      </c>
    </row>
    <row r="34354" spans="103:104" x14ac:dyDescent="0.3">
      <c r="CY34354" s="34" t="s">
        <v>35280</v>
      </c>
      <c r="CZ34354" s="35">
        <v>4.9535649000000001E-2</v>
      </c>
    </row>
    <row r="34355" spans="103:104" x14ac:dyDescent="0.3">
      <c r="CY34355" s="34" t="s">
        <v>35281</v>
      </c>
      <c r="CZ34355" s="35">
        <v>7.8294044766666654E-2</v>
      </c>
    </row>
    <row r="34356" spans="103:104" x14ac:dyDescent="0.3">
      <c r="CY34356" s="34" t="s">
        <v>35282</v>
      </c>
      <c r="CZ34356" s="35">
        <v>6.9516961000000016E-2</v>
      </c>
    </row>
    <row r="34357" spans="103:104" x14ac:dyDescent="0.3">
      <c r="CY34357" s="34" t="s">
        <v>35283</v>
      </c>
      <c r="CZ34357" s="35">
        <v>7.1947630333333332E-2</v>
      </c>
    </row>
    <row r="34358" spans="103:104" x14ac:dyDescent="0.3">
      <c r="CY34358" s="34" t="s">
        <v>35284</v>
      </c>
      <c r="CZ34358" s="35">
        <v>5.1498006333333332E-2</v>
      </c>
    </row>
    <row r="34359" spans="103:104" x14ac:dyDescent="0.3">
      <c r="CY34359" s="34" t="s">
        <v>35285</v>
      </c>
      <c r="CZ34359" s="35">
        <v>5.9131303999999994E-4</v>
      </c>
    </row>
    <row r="34360" spans="103:104" x14ac:dyDescent="0.3">
      <c r="CY34360" s="34" t="s">
        <v>35286</v>
      </c>
      <c r="CZ34360" s="35">
        <v>1.6934776000000003E-3</v>
      </c>
    </row>
    <row r="34361" spans="103:104" x14ac:dyDescent="0.3">
      <c r="CY34361" s="34" t="s">
        <v>35287</v>
      </c>
      <c r="CZ34361" s="35">
        <v>3.3972366000000004E-2</v>
      </c>
    </row>
    <row r="34362" spans="103:104" x14ac:dyDescent="0.3">
      <c r="CY34362" s="34" t="s">
        <v>35288</v>
      </c>
      <c r="CZ34362" s="35">
        <v>5.0290638649999997E-2</v>
      </c>
    </row>
    <row r="34363" spans="103:104" x14ac:dyDescent="0.3">
      <c r="CY34363" s="34" t="s">
        <v>35289</v>
      </c>
      <c r="CZ34363" s="35">
        <v>0.29328346333500005</v>
      </c>
    </row>
    <row r="34364" spans="103:104" x14ac:dyDescent="0.3">
      <c r="CY34364" s="34" t="s">
        <v>35290</v>
      </c>
      <c r="CZ34364" s="35">
        <v>0.240585563335</v>
      </c>
    </row>
    <row r="34365" spans="103:104" x14ac:dyDescent="0.3">
      <c r="CY34365" s="34" t="s">
        <v>35291</v>
      </c>
      <c r="CZ34365" s="35">
        <v>0.20905321333499999</v>
      </c>
    </row>
    <row r="34366" spans="103:104" x14ac:dyDescent="0.3">
      <c r="CY34366" s="34" t="s">
        <v>35292</v>
      </c>
      <c r="CZ34366" s="35">
        <v>8.6449999999999999E-3</v>
      </c>
    </row>
    <row r="34367" spans="103:104" x14ac:dyDescent="0.3">
      <c r="CY34367" s="34" t="s">
        <v>35293</v>
      </c>
      <c r="CZ34367" s="35">
        <v>0.33293593039999997</v>
      </c>
    </row>
    <row r="34368" spans="103:104" x14ac:dyDescent="0.3">
      <c r="CY34368" s="34" t="s">
        <v>35294</v>
      </c>
      <c r="CZ34368" s="35">
        <v>0.51761508227499997</v>
      </c>
    </row>
    <row r="34369" spans="103:104" x14ac:dyDescent="0.3">
      <c r="CY34369" s="34" t="s">
        <v>35295</v>
      </c>
      <c r="CZ34369" s="35">
        <v>0.89147494019164997</v>
      </c>
    </row>
    <row r="34370" spans="103:104" x14ac:dyDescent="0.3">
      <c r="CY34370" s="34" t="s">
        <v>35296</v>
      </c>
      <c r="CZ34370" s="35">
        <v>5.55976856E-3</v>
      </c>
    </row>
    <row r="34371" spans="103:104" x14ac:dyDescent="0.3">
      <c r="CY34371" s="34" t="s">
        <v>35297</v>
      </c>
      <c r="CZ34371" s="35">
        <v>1.5260232000000003E-3</v>
      </c>
    </row>
    <row r="34372" spans="103:104" x14ac:dyDescent="0.3">
      <c r="CY34372" s="34" t="s">
        <v>35298</v>
      </c>
      <c r="CZ34372" s="35">
        <v>0.21577199999999996</v>
      </c>
    </row>
    <row r="34373" spans="103:104" x14ac:dyDescent="0.3">
      <c r="CY34373" s="34" t="s">
        <v>35299</v>
      </c>
      <c r="CZ34373" s="35">
        <v>0.54043607999999999</v>
      </c>
    </row>
    <row r="34374" spans="103:104" x14ac:dyDescent="0.3">
      <c r="CY34374" s="34" t="s">
        <v>35300</v>
      </c>
      <c r="CZ34374" s="35">
        <v>0.67978218935700008</v>
      </c>
    </row>
    <row r="34375" spans="103:104" x14ac:dyDescent="0.3">
      <c r="CY34375" s="34" t="s">
        <v>35301</v>
      </c>
      <c r="CZ34375" s="35">
        <v>8.0656369999999991E-2</v>
      </c>
    </row>
    <row r="34376" spans="103:104" x14ac:dyDescent="0.3">
      <c r="CY34376" s="34" t="s">
        <v>35302</v>
      </c>
      <c r="CZ34376" s="35">
        <v>3.9230437499999993E-2</v>
      </c>
    </row>
    <row r="34377" spans="103:104" x14ac:dyDescent="0.3">
      <c r="CY34377" s="34" t="s">
        <v>35303</v>
      </c>
      <c r="CZ34377" s="35">
        <v>1.0205462500000002</v>
      </c>
    </row>
    <row r="34378" spans="103:104" x14ac:dyDescent="0.3">
      <c r="CY34378" s="34" t="s">
        <v>35304</v>
      </c>
      <c r="CZ34378" s="35">
        <v>2.2908333333333334E-4</v>
      </c>
    </row>
    <row r="34379" spans="103:104" x14ac:dyDescent="0.3">
      <c r="CY34379" s="34" t="s">
        <v>35305</v>
      </c>
      <c r="CZ34379" s="35">
        <v>6.9516961000000016E-2</v>
      </c>
    </row>
    <row r="34380" spans="103:104" x14ac:dyDescent="0.3">
      <c r="CY34380" s="34" t="s">
        <v>35306</v>
      </c>
      <c r="CZ34380" s="35">
        <v>4.9535649000000001E-2</v>
      </c>
    </row>
    <row r="34381" spans="103:104" x14ac:dyDescent="0.3">
      <c r="CY34381" s="34" t="s">
        <v>35307</v>
      </c>
      <c r="CZ34381" s="35">
        <v>1.354209937E-2</v>
      </c>
    </row>
    <row r="34382" spans="103:104" x14ac:dyDescent="0.3">
      <c r="CY34382" s="34" t="s">
        <v>35308</v>
      </c>
      <c r="CZ34382" s="35">
        <v>1.4492911836734696E-2</v>
      </c>
    </row>
    <row r="34383" spans="103:104" x14ac:dyDescent="0.3">
      <c r="CY34383" s="34" t="s">
        <v>35309</v>
      </c>
      <c r="CZ34383" s="35">
        <v>1.4492911836734696E-2</v>
      </c>
    </row>
    <row r="34384" spans="103:104" x14ac:dyDescent="0.3">
      <c r="CY34384" s="34" t="s">
        <v>35310</v>
      </c>
      <c r="CZ34384" s="35">
        <v>1.5115489795918367E-2</v>
      </c>
    </row>
    <row r="34385" spans="103:104" x14ac:dyDescent="0.3">
      <c r="CY34385" s="34" t="s">
        <v>35311</v>
      </c>
      <c r="CZ34385" s="35">
        <v>1.5115489795918367E-2</v>
      </c>
    </row>
    <row r="34386" spans="103:104" x14ac:dyDescent="0.3">
      <c r="CY34386" s="34" t="s">
        <v>35312</v>
      </c>
      <c r="CZ34386" s="35">
        <v>1.8598969795918369E-2</v>
      </c>
    </row>
    <row r="34387" spans="103:104" x14ac:dyDescent="0.3">
      <c r="CY34387" s="34" t="s">
        <v>35313</v>
      </c>
      <c r="CZ34387" s="35">
        <v>1.8598969795918369E-2</v>
      </c>
    </row>
    <row r="34388" spans="103:104" x14ac:dyDescent="0.3">
      <c r="CY34388" s="34" t="s">
        <v>35314</v>
      </c>
      <c r="CZ34388" s="35">
        <v>8.2264951000000003E-2</v>
      </c>
    </row>
    <row r="34389" spans="103:104" x14ac:dyDescent="0.3">
      <c r="CY34389" s="34" t="s">
        <v>35315</v>
      </c>
      <c r="CZ34389" s="35">
        <v>5.4617068000000005E-2</v>
      </c>
    </row>
    <row r="34390" spans="103:104" x14ac:dyDescent="0.3">
      <c r="CY34390" s="34" t="s">
        <v>35316</v>
      </c>
      <c r="CZ34390" s="35">
        <v>9.3367439999999996E-2</v>
      </c>
    </row>
    <row r="34391" spans="103:104" x14ac:dyDescent="0.3">
      <c r="CY34391" s="34" t="s">
        <v>35317</v>
      </c>
      <c r="CZ34391" s="35">
        <v>6.7730192000000009E-2</v>
      </c>
    </row>
    <row r="34392" spans="103:104" x14ac:dyDescent="0.3">
      <c r="CY34392" s="34" t="s">
        <v>35318</v>
      </c>
      <c r="CZ34392" s="35">
        <v>1.8688528354285711E-2</v>
      </c>
    </row>
    <row r="34393" spans="103:104" x14ac:dyDescent="0.3">
      <c r="CY34393" s="34" t="s">
        <v>35319</v>
      </c>
      <c r="CZ34393" s="35">
        <v>0.30437203853</v>
      </c>
    </row>
    <row r="34394" spans="103:104" x14ac:dyDescent="0.3">
      <c r="CY34394" s="34" t="s">
        <v>35320</v>
      </c>
      <c r="CZ34394" s="35">
        <v>0.11033778773000001</v>
      </c>
    </row>
    <row r="34395" spans="103:104" x14ac:dyDescent="0.3">
      <c r="CY34395" s="34" t="s">
        <v>35321</v>
      </c>
      <c r="CZ34395" s="35">
        <v>9.6634531730000001E-2</v>
      </c>
    </row>
    <row r="34396" spans="103:104" x14ac:dyDescent="0.3">
      <c r="CY34396" s="34" t="s">
        <v>35322</v>
      </c>
      <c r="CZ34396" s="35">
        <v>0.79366270999999999</v>
      </c>
    </row>
    <row r="34397" spans="103:104" x14ac:dyDescent="0.3">
      <c r="CY34397" s="34" t="s">
        <v>35323</v>
      </c>
      <c r="CZ34397" s="35">
        <v>5.4823858105263164E-3</v>
      </c>
    </row>
    <row r="34398" spans="103:104" x14ac:dyDescent="0.3">
      <c r="CY34398" s="34" t="s">
        <v>35324</v>
      </c>
      <c r="CZ34398" s="35">
        <v>1.7530327999999999E-3</v>
      </c>
    </row>
    <row r="34399" spans="103:104" x14ac:dyDescent="0.3">
      <c r="CY34399" s="34" t="s">
        <v>35325</v>
      </c>
      <c r="CZ34399" s="35">
        <v>7.0765466000000006E-3</v>
      </c>
    </row>
    <row r="34400" spans="103:104" x14ac:dyDescent="0.3">
      <c r="CY34400" s="34" t="s">
        <v>35326</v>
      </c>
      <c r="CZ34400" s="35">
        <v>4.0241873999999995E-3</v>
      </c>
    </row>
    <row r="34401" spans="103:104" x14ac:dyDescent="0.3">
      <c r="CY34401" s="34" t="s">
        <v>35327</v>
      </c>
      <c r="CZ34401" s="35">
        <v>1.4935456240000001E-2</v>
      </c>
    </row>
    <row r="34402" spans="103:104" x14ac:dyDescent="0.3">
      <c r="CY34402" s="34" t="s">
        <v>35328</v>
      </c>
      <c r="CZ34402" s="35">
        <v>1.348792142857143E-2</v>
      </c>
    </row>
    <row r="34403" spans="103:104" x14ac:dyDescent="0.3">
      <c r="CY34403" s="34" t="s">
        <v>35329</v>
      </c>
      <c r="CZ34403" s="35">
        <v>1.7008574399999997E-2</v>
      </c>
    </row>
    <row r="34404" spans="103:104" x14ac:dyDescent="0.3">
      <c r="CY34404" s="34" t="s">
        <v>35330</v>
      </c>
      <c r="CZ34404" s="35">
        <v>4.2116912399999991E-3</v>
      </c>
    </row>
    <row r="34405" spans="103:104" x14ac:dyDescent="0.3">
      <c r="CY34405" s="34" t="s">
        <v>35331</v>
      </c>
      <c r="CZ34405" s="35">
        <v>1.2795078999999999E-2</v>
      </c>
    </row>
    <row r="34406" spans="103:104" x14ac:dyDescent="0.3">
      <c r="CY34406" s="34" t="s">
        <v>35332</v>
      </c>
      <c r="CZ34406" s="35">
        <v>1.7883481632653065E-2</v>
      </c>
    </row>
    <row r="34407" spans="103:104" x14ac:dyDescent="0.3">
      <c r="CY34407" s="34" t="s">
        <v>35333</v>
      </c>
      <c r="CZ34407" s="35">
        <v>1.0886120400000001E-2</v>
      </c>
    </row>
    <row r="34408" spans="103:104" x14ac:dyDescent="0.3">
      <c r="CY34408" s="34" t="s">
        <v>35334</v>
      </c>
      <c r="CZ34408" s="35">
        <v>5.4704999999999999E-4</v>
      </c>
    </row>
    <row r="34409" spans="103:104" x14ac:dyDescent="0.3">
      <c r="CY34409" s="34" t="s">
        <v>35335</v>
      </c>
      <c r="CZ34409" s="35">
        <v>5.9171729000000006E-2</v>
      </c>
    </row>
    <row r="34410" spans="103:104" x14ac:dyDescent="0.3">
      <c r="CY34410" s="34" t="s">
        <v>35336</v>
      </c>
      <c r="CZ34410" s="35">
        <v>2.4870736842105265E-4</v>
      </c>
    </row>
    <row r="34411" spans="103:104" x14ac:dyDescent="0.3">
      <c r="CY34411" s="34" t="s">
        <v>35337</v>
      </c>
      <c r="CZ34411" s="35">
        <v>0.38308104958333328</v>
      </c>
    </row>
    <row r="34412" spans="103:104" x14ac:dyDescent="0.3">
      <c r="CY34412" s="34" t="s">
        <v>35338</v>
      </c>
      <c r="CZ34412" s="35">
        <v>0.35154432266666663</v>
      </c>
    </row>
    <row r="34413" spans="103:104" x14ac:dyDescent="0.3">
      <c r="CY34413" s="34" t="s">
        <v>35339</v>
      </c>
      <c r="CZ34413" s="35">
        <v>0.24318200666666667</v>
      </c>
    </row>
    <row r="34414" spans="103:104" x14ac:dyDescent="0.3">
      <c r="CY34414" s="34" t="s">
        <v>35340</v>
      </c>
      <c r="CZ34414" s="35">
        <v>1.0980627999999999E-2</v>
      </c>
    </row>
    <row r="34415" spans="103:104" x14ac:dyDescent="0.3">
      <c r="CY34415" s="34" t="s">
        <v>35341</v>
      </c>
      <c r="CZ34415" s="35">
        <v>1.8997795999999999E-3</v>
      </c>
    </row>
    <row r="34416" spans="103:104" x14ac:dyDescent="0.3">
      <c r="CY34416" s="34" t="s">
        <v>35342</v>
      </c>
      <c r="CZ34416" s="35">
        <v>5.3416199999999992E-3</v>
      </c>
    </row>
    <row r="34417" spans="103:104" x14ac:dyDescent="0.3">
      <c r="CY34417" s="34" t="s">
        <v>35343</v>
      </c>
      <c r="CZ34417" s="35">
        <v>4.58751456E-2</v>
      </c>
    </row>
    <row r="34418" spans="103:104" x14ac:dyDescent="0.3">
      <c r="CY34418" s="34" t="s">
        <v>35344</v>
      </c>
      <c r="CZ34418" s="35">
        <v>5.7713799999999996E-3</v>
      </c>
    </row>
    <row r="34419" spans="103:104" x14ac:dyDescent="0.3">
      <c r="CY34419" s="34" t="s">
        <v>35345</v>
      </c>
      <c r="CZ34419" s="35">
        <v>1.4279663400000001E-3</v>
      </c>
    </row>
    <row r="34420" spans="103:104" x14ac:dyDescent="0.3">
      <c r="CY34420" s="34" t="s">
        <v>35346</v>
      </c>
      <c r="CZ34420" s="35">
        <v>3.3906416699999996E-4</v>
      </c>
    </row>
    <row r="34421" spans="103:104" x14ac:dyDescent="0.3">
      <c r="CY34421" s="34" t="s">
        <v>35347</v>
      </c>
      <c r="CZ34421" s="35">
        <v>0.79404819724736841</v>
      </c>
    </row>
    <row r="34422" spans="103:104" x14ac:dyDescent="0.3">
      <c r="CY34422" s="34" t="s">
        <v>35348</v>
      </c>
      <c r="CZ34422" s="35">
        <v>0.57609335894736846</v>
      </c>
    </row>
    <row r="34423" spans="103:104" x14ac:dyDescent="0.3">
      <c r="CY34423" s="34" t="s">
        <v>35349</v>
      </c>
      <c r="CZ34423" s="35">
        <v>0.21473400499999998</v>
      </c>
    </row>
    <row r="34424" spans="103:104" x14ac:dyDescent="0.3">
      <c r="CY34424" s="34" t="s">
        <v>35350</v>
      </c>
      <c r="CZ34424" s="35">
        <v>0.96976137359999981</v>
      </c>
    </row>
    <row r="34425" spans="103:104" x14ac:dyDescent="0.3">
      <c r="CY34425" s="34" t="s">
        <v>35351</v>
      </c>
      <c r="CZ34425" s="35">
        <v>0.70261692599999992</v>
      </c>
    </row>
    <row r="34426" spans="103:104" x14ac:dyDescent="0.3">
      <c r="CY34426" s="34" t="s">
        <v>35352</v>
      </c>
      <c r="CZ34426" s="35">
        <v>0.26442685500000002</v>
      </c>
    </row>
    <row r="34427" spans="103:104" x14ac:dyDescent="0.3">
      <c r="CY34427" s="34" t="s">
        <v>35353</v>
      </c>
      <c r="CZ34427" s="35">
        <v>1.4976297E-2</v>
      </c>
    </row>
    <row r="34428" spans="103:104" x14ac:dyDescent="0.3">
      <c r="CY34428" s="34" t="s">
        <v>35354</v>
      </c>
      <c r="CZ34428" s="35">
        <v>2.2088882000000001E-2</v>
      </c>
    </row>
    <row r="34429" spans="103:104" x14ac:dyDescent="0.3">
      <c r="CY34429" s="34" t="s">
        <v>35355</v>
      </c>
      <c r="CZ34429" s="35">
        <v>1.21451548E-3</v>
      </c>
    </row>
    <row r="34430" spans="103:104" x14ac:dyDescent="0.3">
      <c r="CY34430" s="34" t="s">
        <v>35356</v>
      </c>
      <c r="CZ34430" s="35">
        <v>0.13212220200000002</v>
      </c>
    </row>
    <row r="34431" spans="103:104" x14ac:dyDescent="0.3">
      <c r="CY34431" s="34" t="s">
        <v>35357</v>
      </c>
      <c r="CZ34431" s="35">
        <v>8.9978330000000002E-3</v>
      </c>
    </row>
    <row r="34432" spans="103:104" x14ac:dyDescent="0.3">
      <c r="CY34432" s="34" t="s">
        <v>35358</v>
      </c>
      <c r="CZ34432" s="35">
        <v>2.9844736842105264E-3</v>
      </c>
    </row>
    <row r="34433" spans="103:104" x14ac:dyDescent="0.3">
      <c r="CY34433" s="34" t="s">
        <v>35359</v>
      </c>
      <c r="CZ34433" s="35">
        <v>3.3519225E-2</v>
      </c>
    </row>
    <row r="34434" spans="103:104" x14ac:dyDescent="0.3">
      <c r="CY34434" s="34" t="s">
        <v>35360</v>
      </c>
      <c r="CZ34434" s="35">
        <v>0.10137091199999998</v>
      </c>
    </row>
    <row r="34435" spans="103:104" x14ac:dyDescent="0.3">
      <c r="CY34435" s="34" t="s">
        <v>35361</v>
      </c>
      <c r="CZ34435" s="35">
        <v>1.1278637422222222E-2</v>
      </c>
    </row>
    <row r="34436" spans="103:104" x14ac:dyDescent="0.3">
      <c r="CY34436" s="34" t="s">
        <v>35362</v>
      </c>
      <c r="CZ34436" s="35">
        <v>1.8276255800000001E-3</v>
      </c>
    </row>
    <row r="34437" spans="103:104" x14ac:dyDescent="0.3">
      <c r="CY34437" s="34" t="s">
        <v>35363</v>
      </c>
      <c r="CZ34437" s="35">
        <v>7.1366344999999999E-3</v>
      </c>
    </row>
    <row r="34438" spans="103:104" x14ac:dyDescent="0.3">
      <c r="CY34438" s="34" t="s">
        <v>35364</v>
      </c>
      <c r="CZ34438" s="35">
        <v>1.7900089374999998E-3</v>
      </c>
    </row>
    <row r="34439" spans="103:104" x14ac:dyDescent="0.3">
      <c r="CY34439" s="34" t="s">
        <v>35365</v>
      </c>
      <c r="CZ34439" s="35">
        <v>0.81950422000000001</v>
      </c>
    </row>
    <row r="34440" spans="103:104" x14ac:dyDescent="0.3">
      <c r="CY34440" s="34" t="s">
        <v>35366</v>
      </c>
      <c r="CZ34440" s="35">
        <v>0.88469149999999996</v>
      </c>
    </row>
    <row r="34441" spans="103:104" x14ac:dyDescent="0.3">
      <c r="CY34441" s="34" t="s">
        <v>35367</v>
      </c>
      <c r="CZ34441" s="35">
        <v>0.77802642000000011</v>
      </c>
    </row>
    <row r="34442" spans="103:104" x14ac:dyDescent="0.3">
      <c r="CY34442" s="34" t="s">
        <v>35368</v>
      </c>
      <c r="CZ34442" s="35">
        <v>0.75907256000000012</v>
      </c>
    </row>
    <row r="34443" spans="103:104" x14ac:dyDescent="0.3">
      <c r="CY34443" s="34" t="s">
        <v>35369</v>
      </c>
      <c r="CZ34443" s="35">
        <v>0.78762200000000004</v>
      </c>
    </row>
    <row r="34444" spans="103:104" x14ac:dyDescent="0.3">
      <c r="CY34444" s="34" t="s">
        <v>35370</v>
      </c>
      <c r="CZ34444" s="35">
        <v>0.65098542000000004</v>
      </c>
    </row>
    <row r="34445" spans="103:104" x14ac:dyDescent="0.3">
      <c r="CY34445" s="34" t="s">
        <v>35371</v>
      </c>
      <c r="CZ34445" s="35">
        <v>0.65098541669999999</v>
      </c>
    </row>
    <row r="34446" spans="103:104" x14ac:dyDescent="0.3">
      <c r="CY34446" s="34" t="s">
        <v>35372</v>
      </c>
      <c r="CZ34446" s="35">
        <v>0.65098541666666665</v>
      </c>
    </row>
    <row r="34447" spans="103:104" x14ac:dyDescent="0.3">
      <c r="CY34447" s="34" t="s">
        <v>35373</v>
      </c>
      <c r="CZ34447" s="35">
        <v>5.0066342500000006E-2</v>
      </c>
    </row>
    <row r="34448" spans="103:104" x14ac:dyDescent="0.3">
      <c r="CY34448" s="34" t="s">
        <v>35374</v>
      </c>
      <c r="CZ34448" s="35">
        <v>7.3857174571428569E-2</v>
      </c>
    </row>
    <row r="34449" spans="103:104" x14ac:dyDescent="0.3">
      <c r="CY34449" s="34" t="s">
        <v>35375</v>
      </c>
      <c r="CZ34449" s="35">
        <v>4.95491505E-2</v>
      </c>
    </row>
    <row r="34450" spans="103:104" x14ac:dyDescent="0.3">
      <c r="CY34450" s="34" t="s">
        <v>35376</v>
      </c>
      <c r="CZ34450" s="35">
        <v>2.3136204319999999E-2</v>
      </c>
    </row>
    <row r="34451" spans="103:104" x14ac:dyDescent="0.3">
      <c r="CY34451" s="34" t="s">
        <v>35377</v>
      </c>
      <c r="CZ34451" s="35">
        <v>1.058224E-2</v>
      </c>
    </row>
    <row r="34452" spans="103:104" x14ac:dyDescent="0.3">
      <c r="CY34452" s="34" t="s">
        <v>35378</v>
      </c>
      <c r="CZ34452" s="35">
        <v>4.7716744999999998E-2</v>
      </c>
    </row>
    <row r="34453" spans="103:104" x14ac:dyDescent="0.3">
      <c r="CY34453" s="34" t="s">
        <v>35379</v>
      </c>
      <c r="CZ34453" s="35">
        <v>3.09078E-3</v>
      </c>
    </row>
    <row r="34454" spans="103:104" x14ac:dyDescent="0.3">
      <c r="CY34454" s="34" t="s">
        <v>35380</v>
      </c>
      <c r="CZ34454" s="35">
        <v>6.0818807999999988E-2</v>
      </c>
    </row>
    <row r="34455" spans="103:104" x14ac:dyDescent="0.3">
      <c r="CY34455" s="34" t="s">
        <v>35381</v>
      </c>
      <c r="CZ34455" s="35">
        <v>2.0804842000000006E-3</v>
      </c>
    </row>
    <row r="34456" spans="103:104" x14ac:dyDescent="0.3">
      <c r="CY34456" s="34" t="s">
        <v>35382</v>
      </c>
      <c r="CZ34456" s="35">
        <v>3.1155080000000005E-2</v>
      </c>
    </row>
    <row r="34457" spans="103:104" x14ac:dyDescent="0.3">
      <c r="CY34457" s="34" t="s">
        <v>35383</v>
      </c>
      <c r="CZ34457" s="35">
        <v>0.83816811999999996</v>
      </c>
    </row>
    <row r="34458" spans="103:104" x14ac:dyDescent="0.3">
      <c r="CY34458" s="34" t="s">
        <v>35384</v>
      </c>
      <c r="CZ34458" s="35">
        <v>1.17234584</v>
      </c>
    </row>
    <row r="34459" spans="103:104" x14ac:dyDescent="0.3">
      <c r="CY34459" s="34" t="s">
        <v>35385</v>
      </c>
      <c r="CZ34459" s="35">
        <v>1.17234584</v>
      </c>
    </row>
    <row r="34460" spans="103:104" x14ac:dyDescent="0.3">
      <c r="CY34460" s="34" t="s">
        <v>35386</v>
      </c>
      <c r="CZ34460" s="35">
        <v>0.55870555420000012</v>
      </c>
    </row>
    <row r="34461" spans="103:104" x14ac:dyDescent="0.3">
      <c r="CY34461" s="34" t="s">
        <v>35387</v>
      </c>
      <c r="CZ34461" s="35">
        <v>0.59826160849999999</v>
      </c>
    </row>
    <row r="34462" spans="103:104" x14ac:dyDescent="0.3">
      <c r="CY34462" s="34" t="s">
        <v>35388</v>
      </c>
      <c r="CZ34462" s="35">
        <v>7.3597799999999998E-3</v>
      </c>
    </row>
    <row r="34463" spans="103:104" x14ac:dyDescent="0.3">
      <c r="CY34463" s="34" t="s">
        <v>35389</v>
      </c>
      <c r="CZ34463" s="35">
        <v>4.2698359999999999E-3</v>
      </c>
    </row>
    <row r="34464" spans="103:104" x14ac:dyDescent="0.3">
      <c r="CY34464" s="34" t="s">
        <v>35390</v>
      </c>
      <c r="CZ34464" s="35">
        <v>3.6558781200000004E-3</v>
      </c>
    </row>
    <row r="34465" spans="103:104" x14ac:dyDescent="0.3">
      <c r="CY34465" s="34" t="s">
        <v>35391</v>
      </c>
      <c r="CZ34465" s="35">
        <v>1.3761298E-2</v>
      </c>
    </row>
    <row r="34466" spans="103:104" x14ac:dyDescent="0.3">
      <c r="CY34466" s="34" t="s">
        <v>35392</v>
      </c>
      <c r="CZ34466" s="35">
        <v>4.3007559693877553E-2</v>
      </c>
    </row>
    <row r="34467" spans="103:104" x14ac:dyDescent="0.3">
      <c r="CY34467" s="34" t="s">
        <v>35393</v>
      </c>
      <c r="CZ34467" s="35">
        <v>4.4078148400000003E-2</v>
      </c>
    </row>
    <row r="34468" spans="103:104" x14ac:dyDescent="0.3">
      <c r="CY34468" s="34" t="s">
        <v>35394</v>
      </c>
      <c r="CZ34468" s="35">
        <v>4.4078148400000003E-2</v>
      </c>
    </row>
    <row r="34469" spans="103:104" x14ac:dyDescent="0.3">
      <c r="CY34469" s="34" t="s">
        <v>35395</v>
      </c>
      <c r="CZ34469" s="35">
        <v>1.9886889851851849E-3</v>
      </c>
    </row>
    <row r="34470" spans="103:104" x14ac:dyDescent="0.3">
      <c r="CY34470" s="34" t="s">
        <v>35396</v>
      </c>
      <c r="CZ34470" s="35">
        <v>9.2435842000000001E-3</v>
      </c>
    </row>
    <row r="34471" spans="103:104" x14ac:dyDescent="0.3">
      <c r="CY34471" s="34" t="s">
        <v>35397</v>
      </c>
      <c r="CZ34471" s="35">
        <v>0.16232606320000001</v>
      </c>
    </row>
    <row r="34472" spans="103:104" x14ac:dyDescent="0.3">
      <c r="CY34472" s="34" t="s">
        <v>35398</v>
      </c>
      <c r="CZ34472" s="35">
        <v>1.1194048979591836E-3</v>
      </c>
    </row>
    <row r="34473" spans="103:104" x14ac:dyDescent="0.3">
      <c r="CY34473" s="34" t="s">
        <v>35399</v>
      </c>
      <c r="CZ34473" s="35">
        <v>1.1537959279999998E-3</v>
      </c>
    </row>
    <row r="34474" spans="103:104" x14ac:dyDescent="0.3">
      <c r="CY34474" s="34" t="s">
        <v>35400</v>
      </c>
      <c r="CZ34474" s="35">
        <v>4.4141917999999995E-2</v>
      </c>
    </row>
    <row r="34475" spans="103:104" x14ac:dyDescent="0.3">
      <c r="CY34475" s="34" t="s">
        <v>35401</v>
      </c>
      <c r="CZ34475" s="35">
        <v>3.0987592000000001E-2</v>
      </c>
    </row>
    <row r="34476" spans="103:104" x14ac:dyDescent="0.3">
      <c r="CY34476" s="34" t="s">
        <v>35402</v>
      </c>
      <c r="CZ34476" s="35">
        <v>2.2770000000000004E-3</v>
      </c>
    </row>
    <row r="34477" spans="103:104" x14ac:dyDescent="0.3">
      <c r="CY34477" s="34" t="s">
        <v>35403</v>
      </c>
      <c r="CZ34477" s="35">
        <v>2.1192706526315793E-3</v>
      </c>
    </row>
    <row r="34478" spans="103:104" x14ac:dyDescent="0.3">
      <c r="CY34478" s="34" t="s">
        <v>35404</v>
      </c>
      <c r="CZ34478" s="35">
        <v>2.4662133333333328E-3</v>
      </c>
    </row>
    <row r="34479" spans="103:104" x14ac:dyDescent="0.3">
      <c r="CY34479" s="34" t="s">
        <v>35405</v>
      </c>
      <c r="CZ34479" s="35">
        <v>4.8918793599999992E-4</v>
      </c>
    </row>
    <row r="34480" spans="103:104" x14ac:dyDescent="0.3">
      <c r="CY34480" s="34" t="s">
        <v>35406</v>
      </c>
      <c r="CZ34480" s="35">
        <v>3.3433898399999997E-3</v>
      </c>
    </row>
    <row r="34481" spans="103:104" x14ac:dyDescent="0.3">
      <c r="CY34481" s="34" t="s">
        <v>35407</v>
      </c>
      <c r="CZ34481" s="35">
        <v>1.4607934900000001E-2</v>
      </c>
    </row>
    <row r="34482" spans="103:104" x14ac:dyDescent="0.3">
      <c r="CY34482" s="34" t="s">
        <v>35408</v>
      </c>
      <c r="CZ34482" s="35">
        <v>1.4607934900000001E-2</v>
      </c>
    </row>
    <row r="34483" spans="103:104" x14ac:dyDescent="0.3">
      <c r="CY34483" s="34" t="s">
        <v>35409</v>
      </c>
      <c r="CZ34483" s="35">
        <v>2.0268448200000001E-2</v>
      </c>
    </row>
    <row r="34484" spans="103:104" x14ac:dyDescent="0.3">
      <c r="CY34484" s="34" t="s">
        <v>35410</v>
      </c>
      <c r="CZ34484" s="35">
        <v>2.0268448200000001E-2</v>
      </c>
    </row>
    <row r="34485" spans="103:104" x14ac:dyDescent="0.3">
      <c r="CY34485" s="34" t="s">
        <v>35411</v>
      </c>
      <c r="CZ34485" s="35">
        <v>0.10729688</v>
      </c>
    </row>
    <row r="34486" spans="103:104" x14ac:dyDescent="0.3">
      <c r="CY34486" s="34" t="s">
        <v>35412</v>
      </c>
      <c r="CZ34486" s="35">
        <v>0.10619176724210527</v>
      </c>
    </row>
    <row r="34487" spans="103:104" x14ac:dyDescent="0.3">
      <c r="CY34487" s="34" t="s">
        <v>35413</v>
      </c>
      <c r="CZ34487" s="35">
        <v>0.12269561666666666</v>
      </c>
    </row>
    <row r="34488" spans="103:104" x14ac:dyDescent="0.3">
      <c r="CY34488" s="34" t="s">
        <v>35414</v>
      </c>
      <c r="CZ34488" s="35">
        <v>5.5853120833333325E-2</v>
      </c>
    </row>
    <row r="34489" spans="103:104" x14ac:dyDescent="0.3">
      <c r="CY34489" s="34" t="s">
        <v>35415</v>
      </c>
      <c r="CZ34489" s="35">
        <v>5.5853120833333332E-2</v>
      </c>
    </row>
    <row r="34490" spans="103:104" x14ac:dyDescent="0.3">
      <c r="CY34490" s="34" t="s">
        <v>35416</v>
      </c>
      <c r="CZ34490" s="35">
        <v>9.1401563400000021E-3</v>
      </c>
    </row>
    <row r="34491" spans="103:104" x14ac:dyDescent="0.3">
      <c r="CY34491" s="34" t="s">
        <v>35417</v>
      </c>
      <c r="CZ34491" s="35">
        <v>2.8489225E-2</v>
      </c>
    </row>
    <row r="34492" spans="103:104" x14ac:dyDescent="0.3">
      <c r="CY34492" s="34" t="s">
        <v>35418</v>
      </c>
      <c r="CZ34492" s="35">
        <v>0.45525672999999994</v>
      </c>
    </row>
    <row r="34493" spans="103:104" x14ac:dyDescent="0.3">
      <c r="CY34493" s="34" t="s">
        <v>35419</v>
      </c>
      <c r="CZ34493" s="35">
        <v>5.6767893E-2</v>
      </c>
    </row>
    <row r="34494" spans="103:104" x14ac:dyDescent="0.3">
      <c r="CY34494" s="34" t="s">
        <v>35420</v>
      </c>
      <c r="CZ34494" s="35">
        <v>1.962947714333333E-3</v>
      </c>
    </row>
    <row r="34495" spans="103:104" x14ac:dyDescent="0.3">
      <c r="CY34495" s="34" t="s">
        <v>35421</v>
      </c>
      <c r="CZ34495" s="35">
        <v>1.4142270600000001E-2</v>
      </c>
    </row>
    <row r="34496" spans="103:104" x14ac:dyDescent="0.3">
      <c r="CY34496" s="34" t="s">
        <v>35422</v>
      </c>
      <c r="CZ34496" s="35">
        <v>1.4142270600000003E-2</v>
      </c>
    </row>
    <row r="34497" spans="103:104" x14ac:dyDescent="0.3">
      <c r="CY34497" s="34" t="s">
        <v>35423</v>
      </c>
      <c r="CZ34497" s="35">
        <v>6.5839502500000006E-3</v>
      </c>
    </row>
    <row r="34498" spans="103:104" x14ac:dyDescent="0.3">
      <c r="CY34498" s="34" t="s">
        <v>35424</v>
      </c>
      <c r="CZ34498" s="35">
        <v>1.8450210000000001E-3</v>
      </c>
    </row>
    <row r="34499" spans="103:104" x14ac:dyDescent="0.3">
      <c r="CY34499" s="34" t="s">
        <v>35425</v>
      </c>
      <c r="CZ34499" s="35">
        <v>4.8042532499999999E-2</v>
      </c>
    </row>
    <row r="34500" spans="103:104" x14ac:dyDescent="0.3">
      <c r="CY34500" s="34" t="s">
        <v>35426</v>
      </c>
      <c r="CZ34500" s="35">
        <v>0.21827591764705878</v>
      </c>
    </row>
    <row r="34501" spans="103:104" x14ac:dyDescent="0.3">
      <c r="CY34501" s="34" t="s">
        <v>35427</v>
      </c>
      <c r="CZ34501" s="35">
        <v>1.9269212500000001E-2</v>
      </c>
    </row>
    <row r="34502" spans="103:104" x14ac:dyDescent="0.3">
      <c r="CY34502" s="34" t="s">
        <v>35428</v>
      </c>
      <c r="CZ34502" s="35">
        <v>1.9269213000000004E-2</v>
      </c>
    </row>
    <row r="34503" spans="103:104" x14ac:dyDescent="0.3">
      <c r="CY34503" s="34" t="s">
        <v>35429</v>
      </c>
      <c r="CZ34503" s="35">
        <v>1.53484912E-3</v>
      </c>
    </row>
    <row r="34504" spans="103:104" x14ac:dyDescent="0.3">
      <c r="CY34504" s="34" t="s">
        <v>35430</v>
      </c>
      <c r="CZ34504" s="35">
        <v>1.62352576E-3</v>
      </c>
    </row>
    <row r="34505" spans="103:104" x14ac:dyDescent="0.3">
      <c r="CY34505" s="34" t="s">
        <v>35431</v>
      </c>
      <c r="CZ34505" s="35">
        <v>2.2253731200000001E-3</v>
      </c>
    </row>
    <row r="34506" spans="103:104" x14ac:dyDescent="0.3">
      <c r="CY34506" s="34" t="s">
        <v>35432</v>
      </c>
      <c r="CZ34506" s="35">
        <v>6.6654513000000007E-3</v>
      </c>
    </row>
    <row r="34507" spans="103:104" x14ac:dyDescent="0.3">
      <c r="CY34507" s="34" t="s">
        <v>35433</v>
      </c>
      <c r="CZ34507" s="35">
        <v>1.049362E-2</v>
      </c>
    </row>
    <row r="34508" spans="103:104" x14ac:dyDescent="0.3">
      <c r="CY34508" s="34" t="s">
        <v>35434</v>
      </c>
      <c r="CZ34508" s="35">
        <v>7.6121502000000008E-2</v>
      </c>
    </row>
    <row r="34509" spans="103:104" x14ac:dyDescent="0.3">
      <c r="CY34509" s="34" t="s">
        <v>35435</v>
      </c>
      <c r="CZ34509" s="35">
        <v>3.0514727400000003</v>
      </c>
    </row>
    <row r="34510" spans="103:104" x14ac:dyDescent="0.3">
      <c r="CY34510" s="34" t="s">
        <v>35436</v>
      </c>
      <c r="CZ34510" s="35">
        <v>4.4026917000000001</v>
      </c>
    </row>
    <row r="34511" spans="103:104" x14ac:dyDescent="0.3">
      <c r="CY34511" s="34" t="s">
        <v>35437</v>
      </c>
      <c r="CZ34511" s="35">
        <v>3.0514727400000003</v>
      </c>
    </row>
    <row r="34512" spans="103:104" x14ac:dyDescent="0.3">
      <c r="CY34512" s="34" t="s">
        <v>35438</v>
      </c>
      <c r="CZ34512" s="35">
        <v>3.6584941600000001</v>
      </c>
    </row>
    <row r="34513" spans="103:104" x14ac:dyDescent="0.3">
      <c r="CY34513" s="34" t="s">
        <v>35439</v>
      </c>
      <c r="CZ34513" s="35">
        <v>5.2191690666666668</v>
      </c>
    </row>
    <row r="34514" spans="103:104" x14ac:dyDescent="0.3">
      <c r="CY34514" s="34" t="s">
        <v>35440</v>
      </c>
      <c r="CZ34514" s="35">
        <v>3.6584941600000001</v>
      </c>
    </row>
    <row r="34515" spans="103:104" x14ac:dyDescent="0.3">
      <c r="CY34515" s="34" t="s">
        <v>35441</v>
      </c>
      <c r="CZ34515" s="35">
        <v>1.66936744</v>
      </c>
    </row>
    <row r="34516" spans="103:104" x14ac:dyDescent="0.3">
      <c r="CY34516" s="34" t="s">
        <v>35442</v>
      </c>
      <c r="CZ34516" s="35">
        <v>0.81423056000000005</v>
      </c>
    </row>
    <row r="34517" spans="103:104" x14ac:dyDescent="0.3">
      <c r="CY34517" s="34" t="s">
        <v>35443</v>
      </c>
      <c r="CZ34517" s="35">
        <v>0.13678080000000001</v>
      </c>
    </row>
    <row r="34518" spans="103:104" x14ac:dyDescent="0.3">
      <c r="CY34518" s="34" t="s">
        <v>35444</v>
      </c>
      <c r="CZ34518" s="35">
        <v>0.13507104</v>
      </c>
    </row>
    <row r="34519" spans="103:104" x14ac:dyDescent="0.3">
      <c r="CY34519" s="34" t="s">
        <v>35445</v>
      </c>
      <c r="CZ34519" s="35">
        <v>0.1025856</v>
      </c>
    </row>
    <row r="34520" spans="103:104" x14ac:dyDescent="0.3">
      <c r="CY34520" s="34" t="s">
        <v>35446</v>
      </c>
      <c r="CZ34520" s="35">
        <v>0.2051712</v>
      </c>
    </row>
    <row r="34521" spans="103:104" x14ac:dyDescent="0.3">
      <c r="CY34521" s="34" t="s">
        <v>35447</v>
      </c>
      <c r="CZ34521" s="35">
        <v>0.28495999999999999</v>
      </c>
    </row>
    <row r="34522" spans="103:104" x14ac:dyDescent="0.3">
      <c r="CY34522" s="34" t="s">
        <v>35448</v>
      </c>
      <c r="CZ34522" s="35">
        <v>0.10705167367739175</v>
      </c>
    </row>
    <row r="34523" spans="103:104" x14ac:dyDescent="0.3">
      <c r="CY34523" s="34" t="s">
        <v>35449</v>
      </c>
      <c r="CZ34523" s="35">
        <v>0.1538784</v>
      </c>
    </row>
    <row r="34524" spans="103:104" x14ac:dyDescent="0.3">
      <c r="CY34524" s="34" t="s">
        <v>35450</v>
      </c>
      <c r="CZ34524" s="35">
        <v>8.7547278000000006E-2</v>
      </c>
    </row>
    <row r="34525" spans="103:104" x14ac:dyDescent="0.3">
      <c r="CY34525" s="34" t="s">
        <v>35451</v>
      </c>
      <c r="CZ34525" s="35">
        <v>2.1671625000000003E-2</v>
      </c>
    </row>
    <row r="34526" spans="103:104" x14ac:dyDescent="0.3">
      <c r="CY34526" s="34" t="s">
        <v>35452</v>
      </c>
      <c r="CZ34526" s="35">
        <v>3.857004E-2</v>
      </c>
    </row>
    <row r="34527" spans="103:104" x14ac:dyDescent="0.3">
      <c r="CY34527" s="34" t="s">
        <v>35453</v>
      </c>
      <c r="CZ34527" s="35">
        <v>2.2533408000000001E-2</v>
      </c>
    </row>
    <row r="34528" spans="103:104" x14ac:dyDescent="0.3">
      <c r="CY34528" s="34" t="s">
        <v>35454</v>
      </c>
      <c r="CZ34528" s="35">
        <v>6.7602600355555556E-2</v>
      </c>
    </row>
    <row r="34529" spans="103:104" x14ac:dyDescent="0.3">
      <c r="CY34529" s="34" t="s">
        <v>35455</v>
      </c>
      <c r="CZ34529" s="35">
        <v>2.2533407999999998E-2</v>
      </c>
    </row>
    <row r="34530" spans="103:104" x14ac:dyDescent="0.3">
      <c r="CY34530" s="34" t="s">
        <v>35456</v>
      </c>
      <c r="CZ34530" s="35">
        <v>3.0892032E-2</v>
      </c>
    </row>
    <row r="34531" spans="103:104" x14ac:dyDescent="0.3">
      <c r="CY34531" s="34" t="s">
        <v>35457</v>
      </c>
      <c r="CZ34531" s="35">
        <v>0</v>
      </c>
    </row>
    <row r="34532" spans="103:104" x14ac:dyDescent="0.3">
      <c r="CY34532" s="34" t="s">
        <v>35458</v>
      </c>
      <c r="CZ34532" s="35">
        <v>3.857004E-2</v>
      </c>
    </row>
    <row r="34533" spans="103:104" x14ac:dyDescent="0.3">
      <c r="CY34533" s="34" t="s">
        <v>35459</v>
      </c>
      <c r="CZ34533" s="35">
        <v>0.49271933999999995</v>
      </c>
    </row>
    <row r="34534" spans="103:104" x14ac:dyDescent="0.3">
      <c r="CY34534" s="34" t="s">
        <v>35460</v>
      </c>
      <c r="CZ34534" s="35">
        <v>0.20902541799999999</v>
      </c>
    </row>
    <row r="34535" spans="103:104" x14ac:dyDescent="0.3">
      <c r="CY34535" s="34" t="s">
        <v>35461</v>
      </c>
      <c r="CZ34535" s="35">
        <v>4.4913059999999996E-3</v>
      </c>
    </row>
    <row r="34536" spans="103:104" x14ac:dyDescent="0.3">
      <c r="CY34536" s="34" t="s">
        <v>35462</v>
      </c>
      <c r="CZ34536" s="35">
        <v>2.1422127266666667E-2</v>
      </c>
    </row>
    <row r="34537" spans="103:104" x14ac:dyDescent="0.3">
      <c r="CY34537" s="34" t="s">
        <v>35463</v>
      </c>
      <c r="CZ34537" s="35">
        <v>2.1353085600000005E-2</v>
      </c>
    </row>
    <row r="34538" spans="103:104" x14ac:dyDescent="0.3">
      <c r="CY34538" s="34" t="s">
        <v>35464</v>
      </c>
      <c r="CZ34538" s="35">
        <v>5.3470419333333331E-2</v>
      </c>
    </row>
    <row r="34539" spans="103:104" x14ac:dyDescent="0.3">
      <c r="CY34539" s="34" t="s">
        <v>35465</v>
      </c>
      <c r="CZ34539" s="35">
        <v>1.0303083000000001E-2</v>
      </c>
    </row>
    <row r="34540" spans="103:104" x14ac:dyDescent="0.3">
      <c r="CY34540" s="34" t="s">
        <v>35466</v>
      </c>
      <c r="CZ34540" s="35">
        <v>1.9042905599999996E-2</v>
      </c>
    </row>
    <row r="34541" spans="103:104" x14ac:dyDescent="0.3">
      <c r="CY34541" s="34" t="s">
        <v>35467</v>
      </c>
      <c r="CZ34541" s="35">
        <v>2.8782482222222219E-3</v>
      </c>
    </row>
    <row r="34542" spans="103:104" x14ac:dyDescent="0.3">
      <c r="CY34542" s="34" t="s">
        <v>35468</v>
      </c>
      <c r="CZ34542" s="35">
        <v>5.6386437333333331E-2</v>
      </c>
    </row>
    <row r="34543" spans="103:104" x14ac:dyDescent="0.3">
      <c r="CY34543" s="34" t="s">
        <v>35469</v>
      </c>
      <c r="CZ34543" s="35">
        <v>1.29433E-2</v>
      </c>
    </row>
    <row r="34544" spans="103:104" x14ac:dyDescent="0.3">
      <c r="CY34544" s="34" t="s">
        <v>35470</v>
      </c>
      <c r="CZ34544" s="35">
        <v>1.29433E-2</v>
      </c>
    </row>
    <row r="34545" spans="103:104" x14ac:dyDescent="0.3">
      <c r="CY34545" s="34" t="s">
        <v>35471</v>
      </c>
      <c r="CZ34545" s="35">
        <v>1.29433E-2</v>
      </c>
    </row>
    <row r="34546" spans="103:104" x14ac:dyDescent="0.3">
      <c r="CY34546" s="34" t="s">
        <v>35472</v>
      </c>
      <c r="CZ34546" s="35">
        <v>0.10021815896875</v>
      </c>
    </row>
    <row r="34547" spans="103:104" x14ac:dyDescent="0.3">
      <c r="CY34547" s="34" t="s">
        <v>35473</v>
      </c>
      <c r="CZ34547" s="35">
        <v>5.2627179249999996E-2</v>
      </c>
    </row>
    <row r="34548" spans="103:104" x14ac:dyDescent="0.3">
      <c r="CY34548" s="34" t="s">
        <v>35474</v>
      </c>
      <c r="CZ34548" s="35">
        <v>5.2627179249999996E-2</v>
      </c>
    </row>
    <row r="34549" spans="103:104" x14ac:dyDescent="0.3">
      <c r="CY34549" s="34" t="s">
        <v>35475</v>
      </c>
      <c r="CZ34549" s="35">
        <v>6.6915479999999999E-2</v>
      </c>
    </row>
    <row r="34550" spans="103:104" x14ac:dyDescent="0.3">
      <c r="CY34550" s="34" t="s">
        <v>35476</v>
      </c>
      <c r="CZ34550" s="35">
        <v>1.41978572E-2</v>
      </c>
    </row>
    <row r="34551" spans="103:104" x14ac:dyDescent="0.3">
      <c r="CY34551" s="34" t="s">
        <v>35477</v>
      </c>
      <c r="CZ34551" s="35">
        <v>6.7738450000000006E-2</v>
      </c>
    </row>
    <row r="34552" spans="103:104" x14ac:dyDescent="0.3">
      <c r="CY34552" s="34" t="s">
        <v>35478</v>
      </c>
      <c r="CZ34552" s="35">
        <v>6.0068195434782607E-3</v>
      </c>
    </row>
    <row r="34553" spans="103:104" x14ac:dyDescent="0.3">
      <c r="CY34553" s="34" t="s">
        <v>35479</v>
      </c>
      <c r="CZ34553" s="35">
        <v>4.8985449340000001E-2</v>
      </c>
    </row>
    <row r="34554" spans="103:104" x14ac:dyDescent="0.3">
      <c r="CY34554" s="34" t="s">
        <v>35480</v>
      </c>
      <c r="CZ34554" s="35">
        <v>3.7356742000000005E-2</v>
      </c>
    </row>
    <row r="34555" spans="103:104" x14ac:dyDescent="0.3">
      <c r="CY34555" s="34" t="s">
        <v>35481</v>
      </c>
      <c r="CZ34555" s="35">
        <v>6.7744320799999994E-2</v>
      </c>
    </row>
    <row r="34556" spans="103:104" x14ac:dyDescent="0.3">
      <c r="CY34556" s="34" t="s">
        <v>35482</v>
      </c>
      <c r="CZ34556" s="35">
        <v>2.38203624E-2</v>
      </c>
    </row>
    <row r="34557" spans="103:104" x14ac:dyDescent="0.3">
      <c r="CY34557" s="34" t="s">
        <v>35483</v>
      </c>
      <c r="CZ34557" s="35">
        <v>3.4543958399999998E-2</v>
      </c>
    </row>
    <row r="34558" spans="103:104" x14ac:dyDescent="0.3">
      <c r="CY34558" s="34" t="s">
        <v>35484</v>
      </c>
      <c r="CZ34558" s="35">
        <v>4.1301356000000003E-3</v>
      </c>
    </row>
    <row r="34559" spans="103:104" x14ac:dyDescent="0.3">
      <c r="CY34559" s="34" t="s">
        <v>35485</v>
      </c>
      <c r="CZ34559" s="35">
        <v>0.16347220000000001</v>
      </c>
    </row>
    <row r="34560" spans="103:104" x14ac:dyDescent="0.3">
      <c r="CY34560" s="34" t="s">
        <v>35486</v>
      </c>
      <c r="CZ34560" s="35">
        <v>2.05945682E-2</v>
      </c>
    </row>
    <row r="34561" spans="103:104" x14ac:dyDescent="0.3">
      <c r="CY34561" s="34" t="s">
        <v>35487</v>
      </c>
      <c r="CZ34561" s="35">
        <v>8.3689679274999998E-2</v>
      </c>
    </row>
    <row r="34562" spans="103:104" x14ac:dyDescent="0.3">
      <c r="CY34562" s="34" t="s">
        <v>35488</v>
      </c>
      <c r="CZ34562" s="35">
        <v>1.9980080399999999E-2</v>
      </c>
    </row>
    <row r="34563" spans="103:104" x14ac:dyDescent="0.3">
      <c r="CY34563" s="34" t="s">
        <v>35489</v>
      </c>
      <c r="CZ34563" s="35">
        <v>5.3497098875000003E-2</v>
      </c>
    </row>
    <row r="34564" spans="103:104" x14ac:dyDescent="0.3">
      <c r="CY34564" s="34" t="s">
        <v>35490</v>
      </c>
      <c r="CZ34564" s="35">
        <v>5.4069927999999996E-3</v>
      </c>
    </row>
    <row r="34565" spans="103:104" x14ac:dyDescent="0.3">
      <c r="CY34565" s="34" t="s">
        <v>35491</v>
      </c>
      <c r="CZ34565" s="35">
        <v>0.18983874000000001</v>
      </c>
    </row>
    <row r="34566" spans="103:104" x14ac:dyDescent="0.3">
      <c r="CY34566" s="34" t="s">
        <v>35492</v>
      </c>
      <c r="CZ34566" s="35">
        <v>0.16430043499999999</v>
      </c>
    </row>
    <row r="34567" spans="103:104" x14ac:dyDescent="0.3">
      <c r="CY34567" s="34" t="s">
        <v>35493</v>
      </c>
      <c r="CZ34567" s="35">
        <v>0.16115811833333332</v>
      </c>
    </row>
    <row r="34568" spans="103:104" x14ac:dyDescent="0.3">
      <c r="CY34568" s="34" t="s">
        <v>35494</v>
      </c>
      <c r="CZ34568" s="35">
        <v>1.9411684799999999E-3</v>
      </c>
    </row>
    <row r="34569" spans="103:104" x14ac:dyDescent="0.3">
      <c r="CY34569" s="34" t="s">
        <v>35495</v>
      </c>
      <c r="CZ34569" s="35">
        <v>0.24907579599999999</v>
      </c>
    </row>
    <row r="34570" spans="103:104" x14ac:dyDescent="0.3">
      <c r="CY34570" s="34" t="s">
        <v>35496</v>
      </c>
      <c r="CZ34570" s="35">
        <v>9.9980585999999982E-2</v>
      </c>
    </row>
    <row r="34571" spans="103:104" x14ac:dyDescent="0.3">
      <c r="CY34571" s="34" t="s">
        <v>35497</v>
      </c>
      <c r="CZ34571" s="35">
        <v>6.1549144199999996E-2</v>
      </c>
    </row>
    <row r="34572" spans="103:104" x14ac:dyDescent="0.3">
      <c r="CY34572" s="34" t="s">
        <v>35498</v>
      </c>
      <c r="CZ34572" s="35">
        <v>1.3822947799999999E-2</v>
      </c>
    </row>
    <row r="34573" spans="103:104" x14ac:dyDescent="0.3">
      <c r="CY34573" s="34" t="s">
        <v>35499</v>
      </c>
      <c r="CZ34573" s="35">
        <v>8.0885070999999996E-3</v>
      </c>
    </row>
    <row r="34574" spans="103:104" x14ac:dyDescent="0.3">
      <c r="CY34574" s="34" t="s">
        <v>35500</v>
      </c>
      <c r="CZ34574" s="35">
        <v>0.16440935000000001</v>
      </c>
    </row>
    <row r="34575" spans="103:104" x14ac:dyDescent="0.3">
      <c r="CY34575" s="34" t="s">
        <v>35501</v>
      </c>
      <c r="CZ34575" s="35">
        <v>0.30115231578947371</v>
      </c>
    </row>
    <row r="34576" spans="103:104" x14ac:dyDescent="0.3">
      <c r="CY34576" s="34" t="s">
        <v>35502</v>
      </c>
      <c r="CZ34576" s="35">
        <v>3.1176315789473687E-2</v>
      </c>
    </row>
    <row r="34577" spans="103:104" x14ac:dyDescent="0.3">
      <c r="CY34577" s="34" t="s">
        <v>35503</v>
      </c>
      <c r="CZ34577" s="35">
        <v>0.16668726666666669</v>
      </c>
    </row>
    <row r="34578" spans="103:104" x14ac:dyDescent="0.3">
      <c r="CY34578" s="34" t="s">
        <v>35504</v>
      </c>
      <c r="CZ34578" s="35">
        <v>0.17934181233333335</v>
      </c>
    </row>
    <row r="34579" spans="103:104" x14ac:dyDescent="0.3">
      <c r="CY34579" s="34" t="s">
        <v>35505</v>
      </c>
      <c r="CZ34579" s="35">
        <v>0.35908290599999998</v>
      </c>
    </row>
    <row r="34580" spans="103:104" x14ac:dyDescent="0.3">
      <c r="CY34580" s="34" t="s">
        <v>35506</v>
      </c>
      <c r="CZ34580" s="35">
        <v>0.10559665599999998</v>
      </c>
    </row>
    <row r="34581" spans="103:104" x14ac:dyDescent="0.3">
      <c r="CY34581" s="34" t="s">
        <v>35507</v>
      </c>
      <c r="CZ34581" s="35">
        <v>4.8483638857142861E-4</v>
      </c>
    </row>
    <row r="34582" spans="103:104" x14ac:dyDescent="0.3">
      <c r="CY34582" s="34" t="s">
        <v>35508</v>
      </c>
      <c r="CZ34582" s="35">
        <v>0.18526122519851998</v>
      </c>
    </row>
    <row r="34583" spans="103:104" x14ac:dyDescent="0.3">
      <c r="CY34583" s="34" t="s">
        <v>35509</v>
      </c>
      <c r="CZ34583" s="35">
        <v>4.4653790222222225E-3</v>
      </c>
    </row>
    <row r="34584" spans="103:104" x14ac:dyDescent="0.3">
      <c r="CY34584" s="34" t="s">
        <v>35510</v>
      </c>
      <c r="CZ34584" s="35">
        <v>0.73861650000000001</v>
      </c>
    </row>
    <row r="34585" spans="103:104" x14ac:dyDescent="0.3">
      <c r="CY34585" s="34" t="s">
        <v>35511</v>
      </c>
      <c r="CZ34585" s="35">
        <v>4.3794823555499997E-2</v>
      </c>
    </row>
    <row r="34586" spans="103:104" x14ac:dyDescent="0.3">
      <c r="CY34586" s="34" t="s">
        <v>35512</v>
      </c>
      <c r="CZ34586" s="35">
        <v>3.6338439999999998E-3</v>
      </c>
    </row>
    <row r="34587" spans="103:104" x14ac:dyDescent="0.3">
      <c r="CY34587" s="34" t="s">
        <v>35513</v>
      </c>
      <c r="CZ34587" s="35">
        <v>0.27097707870000004</v>
      </c>
    </row>
    <row r="34588" spans="103:104" x14ac:dyDescent="0.3">
      <c r="CY34588" s="34" t="s">
        <v>35514</v>
      </c>
      <c r="CZ34588" s="35">
        <v>2.5705679200000001E-2</v>
      </c>
    </row>
    <row r="34589" spans="103:104" x14ac:dyDescent="0.3">
      <c r="CY34589" s="34" t="s">
        <v>35515</v>
      </c>
      <c r="CZ34589" s="35">
        <v>6.7881856249999997E-2</v>
      </c>
    </row>
    <row r="34590" spans="103:104" x14ac:dyDescent="0.3">
      <c r="CY34590" s="34" t="s">
        <v>35516</v>
      </c>
      <c r="CZ34590" s="35">
        <v>1.8397809199999997E-2</v>
      </c>
    </row>
    <row r="34591" spans="103:104" x14ac:dyDescent="0.3">
      <c r="CY34591" s="34" t="s">
        <v>35517</v>
      </c>
      <c r="CZ34591" s="35">
        <v>2.12902774362E-2</v>
      </c>
    </row>
    <row r="34592" spans="103:104" x14ac:dyDescent="0.3">
      <c r="CY34592" s="34" t="s">
        <v>35518</v>
      </c>
      <c r="CZ34592" s="35">
        <v>2.0531663400000004E-2</v>
      </c>
    </row>
    <row r="34593" spans="103:104" x14ac:dyDescent="0.3">
      <c r="CY34593" s="34" t="s">
        <v>35519</v>
      </c>
      <c r="CZ34593" s="35">
        <v>2.1942975999999996E-2</v>
      </c>
    </row>
    <row r="34594" spans="103:104" x14ac:dyDescent="0.3">
      <c r="CY34594" s="34" t="s">
        <v>35520</v>
      </c>
      <c r="CZ34594" s="35">
        <v>8.9363370000000008E-3</v>
      </c>
    </row>
    <row r="34595" spans="103:104" x14ac:dyDescent="0.3">
      <c r="CY34595" s="34" t="s">
        <v>35521</v>
      </c>
      <c r="CZ34595" s="35">
        <v>5.8524203142857147E-2</v>
      </c>
    </row>
    <row r="34596" spans="103:104" x14ac:dyDescent="0.3">
      <c r="CY34596" s="34" t="s">
        <v>35522</v>
      </c>
      <c r="CZ34596" s="35">
        <v>6.4401549999999995E-3</v>
      </c>
    </row>
    <row r="34597" spans="103:104" x14ac:dyDescent="0.3">
      <c r="CY34597" s="34" t="s">
        <v>35523</v>
      </c>
      <c r="CZ34597" s="35">
        <v>0.23986468499999999</v>
      </c>
    </row>
    <row r="34598" spans="103:104" x14ac:dyDescent="0.3">
      <c r="CY34598" s="34" t="s">
        <v>35524</v>
      </c>
      <c r="CZ34598" s="35">
        <v>9.7721507368421071E-2</v>
      </c>
    </row>
    <row r="34599" spans="103:104" x14ac:dyDescent="0.3">
      <c r="CY34599" s="34" t="s">
        <v>35525</v>
      </c>
      <c r="CZ34599" s="35">
        <v>7.284072916666666E-2</v>
      </c>
    </row>
    <row r="34600" spans="103:104" x14ac:dyDescent="0.3">
      <c r="CY34600" s="34" t="s">
        <v>35526</v>
      </c>
      <c r="CZ34600" s="35">
        <v>1.1659175199999999E-3</v>
      </c>
    </row>
    <row r="34601" spans="103:104" x14ac:dyDescent="0.3">
      <c r="CY34601" s="34" t="s">
        <v>35527</v>
      </c>
      <c r="CZ34601" s="35">
        <v>1.02878416E-3</v>
      </c>
    </row>
    <row r="34602" spans="103:104" x14ac:dyDescent="0.3">
      <c r="CY34602" s="34" t="s">
        <v>35528</v>
      </c>
      <c r="CZ34602" s="35">
        <v>5.3628336000000006E-2</v>
      </c>
    </row>
    <row r="34603" spans="103:104" x14ac:dyDescent="0.3">
      <c r="CY34603" s="34" t="s">
        <v>35529</v>
      </c>
      <c r="CZ34603" s="35">
        <v>2.8215259199999999E-3</v>
      </c>
    </row>
    <row r="34604" spans="103:104" x14ac:dyDescent="0.3">
      <c r="CY34604" s="34" t="s">
        <v>35530</v>
      </c>
      <c r="CZ34604" s="35">
        <v>2.092761410472716E-3</v>
      </c>
    </row>
    <row r="34605" spans="103:104" x14ac:dyDescent="0.3">
      <c r="CY34605" s="34" t="s">
        <v>35531</v>
      </c>
      <c r="CZ34605" s="35">
        <v>1.7446176152150785E-3</v>
      </c>
    </row>
    <row r="34606" spans="103:104" x14ac:dyDescent="0.3">
      <c r="CY34606" s="34" t="s">
        <v>35532</v>
      </c>
      <c r="CZ34606" s="35">
        <v>3.9475567999999999E-4</v>
      </c>
    </row>
    <row r="34607" spans="103:104" x14ac:dyDescent="0.3">
      <c r="CY34607" s="34" t="s">
        <v>35533</v>
      </c>
      <c r="CZ34607" s="35">
        <v>9.4518603999999993E-4</v>
      </c>
    </row>
    <row r="34608" spans="103:104" x14ac:dyDescent="0.3">
      <c r="CY34608" s="34" t="s">
        <v>35534</v>
      </c>
      <c r="CZ34608" s="35">
        <v>1.36927204E-3</v>
      </c>
    </row>
    <row r="34609" spans="103:104" x14ac:dyDescent="0.3">
      <c r="CY34609" s="34" t="s">
        <v>35535</v>
      </c>
      <c r="CZ34609" s="35">
        <v>7.667676E-3</v>
      </c>
    </row>
    <row r="34610" spans="103:104" x14ac:dyDescent="0.3">
      <c r="CY34610" s="34" t="s">
        <v>35536</v>
      </c>
      <c r="CZ34610" s="35">
        <v>3.2115434000000005E-2</v>
      </c>
    </row>
    <row r="34611" spans="103:104" x14ac:dyDescent="0.3">
      <c r="CY34611" s="34" t="s">
        <v>35537</v>
      </c>
      <c r="CZ34611" s="35">
        <v>2.8213742676923073E-2</v>
      </c>
    </row>
    <row r="34612" spans="103:104" x14ac:dyDescent="0.3">
      <c r="CY34612" s="34" t="s">
        <v>35538</v>
      </c>
      <c r="CZ34612" s="35">
        <v>3.1684170676923078E-2</v>
      </c>
    </row>
    <row r="34613" spans="103:104" x14ac:dyDescent="0.3">
      <c r="CY34613" s="34" t="s">
        <v>35539</v>
      </c>
      <c r="CZ34613" s="35">
        <v>3.1684170676923078E-2</v>
      </c>
    </row>
    <row r="34614" spans="103:104" x14ac:dyDescent="0.3">
      <c r="CY34614" s="34" t="s">
        <v>35540</v>
      </c>
      <c r="CZ34614" s="35">
        <v>2.0546550676923073E-2</v>
      </c>
    </row>
    <row r="34615" spans="103:104" x14ac:dyDescent="0.3">
      <c r="CY34615" s="34" t="s">
        <v>35541</v>
      </c>
      <c r="CZ34615" s="35">
        <v>4.3139198676923084E-2</v>
      </c>
    </row>
    <row r="34616" spans="103:104" x14ac:dyDescent="0.3">
      <c r="CY34616" s="34" t="s">
        <v>35542</v>
      </c>
      <c r="CZ34616" s="35">
        <v>4.3139198676923077E-2</v>
      </c>
    </row>
    <row r="34617" spans="103:104" x14ac:dyDescent="0.3">
      <c r="CY34617" s="34" t="s">
        <v>35543</v>
      </c>
      <c r="CZ34617" s="35">
        <v>8.9136970999999995E-2</v>
      </c>
    </row>
    <row r="34618" spans="103:104" x14ac:dyDescent="0.3">
      <c r="CY34618" s="34" t="s">
        <v>35544</v>
      </c>
      <c r="CZ34618" s="35">
        <v>1.7299999999999999E-2</v>
      </c>
    </row>
    <row r="34619" spans="103:104" x14ac:dyDescent="0.3">
      <c r="CY34619" s="34" t="s">
        <v>35545</v>
      </c>
      <c r="CZ34619" s="35">
        <v>1.0313180640000002E-3</v>
      </c>
    </row>
    <row r="34620" spans="103:104" x14ac:dyDescent="0.3">
      <c r="CY34620" s="34" t="s">
        <v>35546</v>
      </c>
      <c r="CZ34620" s="35">
        <v>1.1891084999999999E-3</v>
      </c>
    </row>
    <row r="34621" spans="103:104" x14ac:dyDescent="0.3">
      <c r="CY34621" s="34" t="s">
        <v>35547</v>
      </c>
      <c r="CZ34621" s="35">
        <v>5.8305624E-4</v>
      </c>
    </row>
    <row r="34622" spans="103:104" x14ac:dyDescent="0.3">
      <c r="CY34622" s="34" t="s">
        <v>35548</v>
      </c>
      <c r="CZ34622" s="35">
        <v>2.3026260000000003E-4</v>
      </c>
    </row>
    <row r="34623" spans="103:104" x14ac:dyDescent="0.3">
      <c r="CY34623" s="34" t="s">
        <v>35549</v>
      </c>
      <c r="CZ34623" s="35">
        <v>3.3502766666666669E-3</v>
      </c>
    </row>
    <row r="34624" spans="103:104" x14ac:dyDescent="0.3">
      <c r="CY34624" s="34" t="s">
        <v>35550</v>
      </c>
      <c r="CZ34624" s="35">
        <v>3.253714E-4</v>
      </c>
    </row>
    <row r="34625" spans="103:104" x14ac:dyDescent="0.3">
      <c r="CY34625" s="34" t="s">
        <v>35551</v>
      </c>
      <c r="CZ34625" s="35">
        <v>0.67252160800000005</v>
      </c>
    </row>
    <row r="34626" spans="103:104" x14ac:dyDescent="0.3">
      <c r="CY34626" s="34" t="s">
        <v>35552</v>
      </c>
      <c r="CZ34626" s="35">
        <v>6.4638225000000007E-2</v>
      </c>
    </row>
    <row r="34627" spans="103:104" x14ac:dyDescent="0.3">
      <c r="CY34627" s="34" t="s">
        <v>35553</v>
      </c>
      <c r="CZ34627" s="35">
        <v>2.0629130500000002E-2</v>
      </c>
    </row>
    <row r="34628" spans="103:104" x14ac:dyDescent="0.3">
      <c r="CY34628" s="34" t="s">
        <v>35554</v>
      </c>
      <c r="CZ34628" s="35">
        <v>2.813125E-2</v>
      </c>
    </row>
    <row r="34629" spans="103:104" x14ac:dyDescent="0.3">
      <c r="CY34629" s="34" t="s">
        <v>35555</v>
      </c>
      <c r="CZ34629" s="35">
        <v>0.11231634200000001</v>
      </c>
    </row>
    <row r="34630" spans="103:104" x14ac:dyDescent="0.3">
      <c r="CY34630" s="34" t="s">
        <v>35556</v>
      </c>
      <c r="CZ34630" s="35">
        <v>0.37761825199999999</v>
      </c>
    </row>
    <row r="34631" spans="103:104" x14ac:dyDescent="0.3">
      <c r="CY34631" s="34" t="s">
        <v>35557</v>
      </c>
      <c r="CZ34631" s="35">
        <v>6.4438302400000001E-3</v>
      </c>
    </row>
    <row r="34632" spans="103:104" x14ac:dyDescent="0.3">
      <c r="CY34632" s="34" t="s">
        <v>35558</v>
      </c>
      <c r="CZ34632" s="35">
        <v>1.9689327999999999E-3</v>
      </c>
    </row>
    <row r="34633" spans="103:104" x14ac:dyDescent="0.3">
      <c r="CY34633" s="34" t="s">
        <v>35559</v>
      </c>
      <c r="CZ34633" s="35">
        <v>3.81067696E-2</v>
      </c>
    </row>
    <row r="34634" spans="103:104" x14ac:dyDescent="0.3">
      <c r="CY34634" s="34" t="s">
        <v>35560</v>
      </c>
      <c r="CZ34634" s="35">
        <v>9.1065058680000005E-2</v>
      </c>
    </row>
    <row r="34635" spans="103:104" x14ac:dyDescent="0.3">
      <c r="CY34635" s="34" t="s">
        <v>35561</v>
      </c>
      <c r="CZ34635" s="35">
        <v>0.11214092659999998</v>
      </c>
    </row>
    <row r="34636" spans="103:104" x14ac:dyDescent="0.3">
      <c r="CY34636" s="34" t="s">
        <v>35562</v>
      </c>
      <c r="CZ34636" s="35">
        <v>9.6600000000000006E-4</v>
      </c>
    </row>
    <row r="34637" spans="103:104" x14ac:dyDescent="0.3">
      <c r="CY34637" s="34" t="s">
        <v>35563</v>
      </c>
      <c r="CZ34637" s="35">
        <v>0.24928722</v>
      </c>
    </row>
    <row r="34638" spans="103:104" x14ac:dyDescent="0.3">
      <c r="CY34638" s="34" t="s">
        <v>35564</v>
      </c>
      <c r="CZ34638" s="35">
        <v>0.63303907333333331</v>
      </c>
    </row>
    <row r="34639" spans="103:104" x14ac:dyDescent="0.3">
      <c r="CY34639" s="34" t="s">
        <v>35565</v>
      </c>
      <c r="CZ34639" s="35">
        <v>2.7040042799999994E-2</v>
      </c>
    </row>
    <row r="34640" spans="103:104" x14ac:dyDescent="0.3">
      <c r="CY34640" s="34" t="s">
        <v>35566</v>
      </c>
      <c r="CZ34640" s="35">
        <v>1.9523311999999998E-2</v>
      </c>
    </row>
    <row r="34641" spans="103:104" x14ac:dyDescent="0.3">
      <c r="CY34641" s="34" t="s">
        <v>35567</v>
      </c>
      <c r="CZ34641" s="35">
        <v>0.31093756</v>
      </c>
    </row>
    <row r="34642" spans="103:104" x14ac:dyDescent="0.3">
      <c r="CY34642" s="34" t="s">
        <v>35568</v>
      </c>
      <c r="CZ34642" s="35">
        <v>6.7242125999999999E-2</v>
      </c>
    </row>
    <row r="34643" spans="103:104" x14ac:dyDescent="0.3">
      <c r="CY34643" s="34" t="s">
        <v>35569</v>
      </c>
      <c r="CZ34643" s="35">
        <v>9.1297459999999997E-2</v>
      </c>
    </row>
    <row r="34644" spans="103:104" x14ac:dyDescent="0.3">
      <c r="CY34644" s="34" t="s">
        <v>35570</v>
      </c>
      <c r="CZ34644" s="35">
        <v>0.98164468299999996</v>
      </c>
    </row>
    <row r="34645" spans="103:104" x14ac:dyDescent="0.3">
      <c r="CY34645" s="34" t="s">
        <v>35571</v>
      </c>
      <c r="CZ34645" s="35">
        <v>0.82066386699999994</v>
      </c>
    </row>
    <row r="34646" spans="103:104" x14ac:dyDescent="0.3">
      <c r="CY34646" s="34" t="s">
        <v>35572</v>
      </c>
      <c r="CZ34646" s="35">
        <v>7.5688533000000002E-2</v>
      </c>
    </row>
    <row r="34647" spans="103:104" x14ac:dyDescent="0.3">
      <c r="CY34647" s="34" t="s">
        <v>35573</v>
      </c>
      <c r="CZ34647" s="35">
        <v>0.98164468299999996</v>
      </c>
    </row>
    <row r="34648" spans="103:104" x14ac:dyDescent="0.3">
      <c r="CY34648" s="34" t="s">
        <v>35574</v>
      </c>
      <c r="CZ34648" s="35">
        <v>0.82066386699999994</v>
      </c>
    </row>
    <row r="34649" spans="103:104" x14ac:dyDescent="0.3">
      <c r="CY34649" s="34" t="s">
        <v>35575</v>
      </c>
      <c r="CZ34649" s="35">
        <v>1.0127895999999998E-3</v>
      </c>
    </row>
    <row r="34650" spans="103:104" x14ac:dyDescent="0.3">
      <c r="CY34650" s="34" t="s">
        <v>35576</v>
      </c>
      <c r="CZ34650" s="35">
        <v>0.15793765000000001</v>
      </c>
    </row>
    <row r="34651" spans="103:104" x14ac:dyDescent="0.3">
      <c r="CY34651" s="34" t="s">
        <v>35577</v>
      </c>
      <c r="CZ34651" s="35">
        <v>6.0918125000000009E-3</v>
      </c>
    </row>
    <row r="34652" spans="103:104" x14ac:dyDescent="0.3">
      <c r="CY34652" s="34" t="s">
        <v>35578</v>
      </c>
      <c r="CZ34652" s="35">
        <v>6.3217834526315781E-3</v>
      </c>
    </row>
    <row r="34653" spans="103:104" x14ac:dyDescent="0.3">
      <c r="CY34653" s="34" t="s">
        <v>35579</v>
      </c>
      <c r="CZ34653" s="35">
        <v>4.6931919999999997E-3</v>
      </c>
    </row>
    <row r="34654" spans="103:104" x14ac:dyDescent="0.3">
      <c r="CY34654" s="34" t="s">
        <v>35580</v>
      </c>
      <c r="CZ34654" s="35">
        <v>7.4389164000000004E-3</v>
      </c>
    </row>
    <row r="34655" spans="103:104" x14ac:dyDescent="0.3">
      <c r="CY34655" s="34" t="s">
        <v>35581</v>
      </c>
      <c r="CZ34655" s="35">
        <v>4.7614215599999996E-3</v>
      </c>
    </row>
    <row r="34656" spans="103:104" x14ac:dyDescent="0.3">
      <c r="CY34656" s="34" t="s">
        <v>35582</v>
      </c>
      <c r="CZ34656" s="35">
        <v>2.39855916E-3</v>
      </c>
    </row>
    <row r="34657" spans="103:104" x14ac:dyDescent="0.3">
      <c r="CY34657" s="34" t="s">
        <v>35583</v>
      </c>
      <c r="CZ34657" s="35">
        <v>3.5250210000000001E-3</v>
      </c>
    </row>
    <row r="34658" spans="103:104" x14ac:dyDescent="0.3">
      <c r="CY34658" s="34" t="s">
        <v>35584</v>
      </c>
      <c r="CZ34658" s="35">
        <v>3.2392020000000001E-3</v>
      </c>
    </row>
    <row r="34659" spans="103:104" x14ac:dyDescent="0.3">
      <c r="CY34659" s="34" t="s">
        <v>35585</v>
      </c>
      <c r="CZ34659" s="35">
        <v>2.7060435800000001E-2</v>
      </c>
    </row>
    <row r="34660" spans="103:104" x14ac:dyDescent="0.3">
      <c r="CY34660" s="34" t="s">
        <v>35586</v>
      </c>
      <c r="CZ34660" s="35">
        <v>2.7060435800000001E-2</v>
      </c>
    </row>
    <row r="34661" spans="103:104" x14ac:dyDescent="0.3">
      <c r="CY34661" s="34" t="s">
        <v>35587</v>
      </c>
      <c r="CZ34661" s="35">
        <v>2.4416125999999999E-3</v>
      </c>
    </row>
    <row r="34662" spans="103:104" x14ac:dyDescent="0.3">
      <c r="CY34662" s="34" t="s">
        <v>35588</v>
      </c>
      <c r="CZ34662" s="35">
        <v>1.4041449999999999E-2</v>
      </c>
    </row>
    <row r="34663" spans="103:104" x14ac:dyDescent="0.3">
      <c r="CY34663" s="34" t="s">
        <v>35589</v>
      </c>
      <c r="CZ34663" s="35">
        <v>1.4638497142857147E-2</v>
      </c>
    </row>
    <row r="34664" spans="103:104" x14ac:dyDescent="0.3">
      <c r="CY34664" s="34" t="s">
        <v>35590</v>
      </c>
      <c r="CZ34664" s="35">
        <v>1.6128128260000003E-2</v>
      </c>
    </row>
    <row r="34665" spans="103:104" x14ac:dyDescent="0.3">
      <c r="CY34665" s="34" t="s">
        <v>35591</v>
      </c>
      <c r="CZ34665" s="35">
        <v>7.3542868000000009E-3</v>
      </c>
    </row>
    <row r="34666" spans="103:104" x14ac:dyDescent="0.3">
      <c r="CY34666" s="34" t="s">
        <v>35592</v>
      </c>
      <c r="CZ34666" s="35">
        <v>4.8895220000000003E-3</v>
      </c>
    </row>
    <row r="34667" spans="103:104" x14ac:dyDescent="0.3">
      <c r="CY34667" s="34" t="s">
        <v>35593</v>
      </c>
      <c r="CZ34667" s="35">
        <v>1.8426110000000001E-3</v>
      </c>
    </row>
    <row r="34668" spans="103:104" x14ac:dyDescent="0.3">
      <c r="CY34668" s="34" t="s">
        <v>35594</v>
      </c>
      <c r="CZ34668" s="35">
        <v>1.8426110000000001E-3</v>
      </c>
    </row>
    <row r="34669" spans="103:104" x14ac:dyDescent="0.3">
      <c r="CY34669" s="34" t="s">
        <v>35595</v>
      </c>
      <c r="CZ34669" s="35">
        <v>9.4653310000000004E-2</v>
      </c>
    </row>
    <row r="34670" spans="103:104" x14ac:dyDescent="0.3">
      <c r="CY34670" s="34" t="s">
        <v>35596</v>
      </c>
      <c r="CZ34670" s="35">
        <v>6.4937140000000007E-4</v>
      </c>
    </row>
    <row r="34671" spans="103:104" x14ac:dyDescent="0.3">
      <c r="CY34671" s="34" t="s">
        <v>35597</v>
      </c>
      <c r="CZ34671" s="35">
        <v>5.1156412799999995E-3</v>
      </c>
    </row>
    <row r="34672" spans="103:104" x14ac:dyDescent="0.3">
      <c r="CY34672" s="34" t="s">
        <v>35598</v>
      </c>
      <c r="CZ34672" s="35">
        <v>2.2824787999999995E-3</v>
      </c>
    </row>
    <row r="34673" spans="103:104" x14ac:dyDescent="0.3">
      <c r="CY34673" s="34" t="s">
        <v>35599</v>
      </c>
      <c r="CZ34673" s="35">
        <v>8.1091824999999993</v>
      </c>
    </row>
    <row r="34674" spans="103:104" x14ac:dyDescent="0.3">
      <c r="CY34674" s="34" t="s">
        <v>35600</v>
      </c>
      <c r="CZ34674" s="35">
        <v>2.2016325000000001</v>
      </c>
    </row>
    <row r="34675" spans="103:104" x14ac:dyDescent="0.3">
      <c r="CY34675" s="34" t="s">
        <v>35601</v>
      </c>
      <c r="CZ34675" s="35">
        <v>5.1286972E-2</v>
      </c>
    </row>
    <row r="34676" spans="103:104" x14ac:dyDescent="0.3">
      <c r="CY34676" s="34" t="s">
        <v>35602</v>
      </c>
      <c r="CZ34676" s="35">
        <v>2.4306927399999997E-2</v>
      </c>
    </row>
    <row r="34677" spans="103:104" x14ac:dyDescent="0.3">
      <c r="CY34677" s="34" t="s">
        <v>35603</v>
      </c>
      <c r="CZ34677" s="35">
        <v>2.9877933600000006E-3</v>
      </c>
    </row>
    <row r="34678" spans="103:104" x14ac:dyDescent="0.3">
      <c r="CY34678" s="34" t="s">
        <v>35604</v>
      </c>
      <c r="CZ34678" s="35">
        <v>0.26153705263157895</v>
      </c>
    </row>
    <row r="34679" spans="103:104" x14ac:dyDescent="0.3">
      <c r="CY34679" s="34" t="s">
        <v>35605</v>
      </c>
      <c r="CZ34679" s="35">
        <v>1.7281331142857141E-3</v>
      </c>
    </row>
    <row r="34680" spans="103:104" x14ac:dyDescent="0.3">
      <c r="CY34680" s="34" t="s">
        <v>35606</v>
      </c>
      <c r="CZ34680" s="35">
        <v>5.2790012000000002E-3</v>
      </c>
    </row>
    <row r="34681" spans="103:104" x14ac:dyDescent="0.3">
      <c r="CY34681" s="34" t="s">
        <v>35607</v>
      </c>
      <c r="CZ34681" s="35">
        <v>4.0591546899999997E-2</v>
      </c>
    </row>
    <row r="34682" spans="103:104" x14ac:dyDescent="0.3">
      <c r="CY34682" s="34" t="s">
        <v>35608</v>
      </c>
      <c r="CZ34682" s="35">
        <v>0.35177599999999998</v>
      </c>
    </row>
    <row r="34683" spans="103:104" x14ac:dyDescent="0.3">
      <c r="CY34683" s="34" t="s">
        <v>35609</v>
      </c>
      <c r="CZ34683" s="35">
        <v>0.372811907</v>
      </c>
    </row>
    <row r="34684" spans="103:104" x14ac:dyDescent="0.3">
      <c r="CY34684" s="34" t="s">
        <v>35610</v>
      </c>
      <c r="CZ34684" s="35">
        <v>8.8280054999999996E-3</v>
      </c>
    </row>
    <row r="34685" spans="103:104" x14ac:dyDescent="0.3">
      <c r="CY34685" s="34" t="s">
        <v>35611</v>
      </c>
      <c r="CZ34685" s="35">
        <v>4.7546018000000002E-2</v>
      </c>
    </row>
    <row r="34686" spans="103:104" x14ac:dyDescent="0.3">
      <c r="CY34686" s="34" t="s">
        <v>35612</v>
      </c>
      <c r="CZ34686" s="35">
        <v>0.39215247975438594</v>
      </c>
    </row>
    <row r="34687" spans="103:104" x14ac:dyDescent="0.3">
      <c r="CY34687" s="34" t="s">
        <v>35613</v>
      </c>
      <c r="CZ34687" s="35">
        <v>8.6497669999999999E-2</v>
      </c>
    </row>
    <row r="34688" spans="103:104" x14ac:dyDescent="0.3">
      <c r="CY34688" s="34" t="s">
        <v>35614</v>
      </c>
      <c r="CZ34688" s="35">
        <v>7.2241584999999994E-3</v>
      </c>
    </row>
    <row r="34689" spans="103:104" x14ac:dyDescent="0.3">
      <c r="CY34689" s="34" t="s">
        <v>35615</v>
      </c>
      <c r="CZ34689" s="35">
        <v>7.2241584999999994E-3</v>
      </c>
    </row>
    <row r="34690" spans="103:104" x14ac:dyDescent="0.3">
      <c r="CY34690" s="34" t="s">
        <v>35616</v>
      </c>
      <c r="CZ34690" s="35">
        <v>0.40329015975438592</v>
      </c>
    </row>
    <row r="34691" spans="103:104" x14ac:dyDescent="0.3">
      <c r="CY34691" s="34" t="s">
        <v>35617</v>
      </c>
      <c r="CZ34691" s="35">
        <v>9.4337870000000004E-2</v>
      </c>
    </row>
    <row r="34692" spans="103:104" x14ac:dyDescent="0.3">
      <c r="CY34692" s="34" t="s">
        <v>35618</v>
      </c>
      <c r="CZ34692" s="35">
        <v>7.0619185000000001E-3</v>
      </c>
    </row>
    <row r="34693" spans="103:104" x14ac:dyDescent="0.3">
      <c r="CY34693" s="34" t="s">
        <v>35619</v>
      </c>
      <c r="CZ34693" s="35">
        <v>7.0619185000000001E-3</v>
      </c>
    </row>
    <row r="34694" spans="103:104" x14ac:dyDescent="0.3">
      <c r="CY34694" s="34" t="s">
        <v>35620</v>
      </c>
      <c r="CZ34694" s="35">
        <v>2.2338199999999999E-2</v>
      </c>
    </row>
    <row r="34695" spans="103:104" x14ac:dyDescent="0.3">
      <c r="CY34695" s="34" t="s">
        <v>35621</v>
      </c>
      <c r="CZ34695" s="35">
        <v>2.3320635999999999E-2</v>
      </c>
    </row>
    <row r="34696" spans="103:104" x14ac:dyDescent="0.3">
      <c r="CY34696" s="34" t="s">
        <v>35622</v>
      </c>
      <c r="CZ34696" s="35">
        <v>2.3320635999999999E-2</v>
      </c>
    </row>
    <row r="34697" spans="103:104" x14ac:dyDescent="0.3">
      <c r="CY34697" s="34" t="s">
        <v>35623</v>
      </c>
      <c r="CZ34697" s="35">
        <v>2.47802552E-2</v>
      </c>
    </row>
    <row r="34698" spans="103:104" x14ac:dyDescent="0.3">
      <c r="CY34698" s="34" t="s">
        <v>35624</v>
      </c>
      <c r="CZ34698" s="35">
        <v>2.7192500000000003E-3</v>
      </c>
    </row>
    <row r="34699" spans="103:104" x14ac:dyDescent="0.3">
      <c r="CY34699" s="34" t="s">
        <v>35625</v>
      </c>
      <c r="CZ34699" s="35">
        <v>1.3596250000000002E-3</v>
      </c>
    </row>
    <row r="34700" spans="103:104" x14ac:dyDescent="0.3">
      <c r="CY34700" s="34" t="s">
        <v>35626</v>
      </c>
      <c r="CZ34700" s="35">
        <v>3.6367640533333336E-2</v>
      </c>
    </row>
    <row r="34701" spans="103:104" x14ac:dyDescent="0.3">
      <c r="CY34701" s="34" t="s">
        <v>35627</v>
      </c>
      <c r="CZ34701" s="35">
        <v>1.6152385000000002E-2</v>
      </c>
    </row>
    <row r="34702" spans="103:104" x14ac:dyDescent="0.3">
      <c r="CY34702" s="34" t="s">
        <v>35628</v>
      </c>
      <c r="CZ34702" s="35">
        <v>4.6502850600000006E-2</v>
      </c>
    </row>
    <row r="34703" spans="103:104" x14ac:dyDescent="0.3">
      <c r="CY34703" s="34" t="s">
        <v>35629</v>
      </c>
      <c r="CZ34703" s="35">
        <v>2.610673E-3</v>
      </c>
    </row>
    <row r="34704" spans="103:104" x14ac:dyDescent="0.3">
      <c r="CY34704" s="34" t="s">
        <v>35630</v>
      </c>
      <c r="CZ34704" s="35">
        <v>5.1059496599999997E-2</v>
      </c>
    </row>
    <row r="34705" spans="103:104" x14ac:dyDescent="0.3">
      <c r="CY34705" s="34" t="s">
        <v>35631</v>
      </c>
      <c r="CZ34705" s="35">
        <v>4.8795548640000005E-2</v>
      </c>
    </row>
    <row r="34706" spans="103:104" x14ac:dyDescent="0.3">
      <c r="CY34706" s="34" t="s">
        <v>35632</v>
      </c>
      <c r="CZ34706" s="35">
        <v>9.7037689999999992E-3</v>
      </c>
    </row>
    <row r="34707" spans="103:104" x14ac:dyDescent="0.3">
      <c r="CY34707" s="34" t="s">
        <v>35633</v>
      </c>
      <c r="CZ34707" s="35">
        <v>1.7764539000000006E-2</v>
      </c>
    </row>
    <row r="34708" spans="103:104" x14ac:dyDescent="0.3">
      <c r="CY34708" s="34" t="s">
        <v>35634</v>
      </c>
      <c r="CZ34708" s="35">
        <v>0.45018569000000003</v>
      </c>
    </row>
    <row r="34709" spans="103:104" x14ac:dyDescent="0.3">
      <c r="CY34709" s="34" t="s">
        <v>35635</v>
      </c>
      <c r="CZ34709" s="35">
        <v>0.29713097000000005</v>
      </c>
    </row>
    <row r="34710" spans="103:104" x14ac:dyDescent="0.3">
      <c r="CY34710" s="34" t="s">
        <v>35636</v>
      </c>
      <c r="CZ34710" s="35">
        <v>0.29606939500000001</v>
      </c>
    </row>
    <row r="34711" spans="103:104" x14ac:dyDescent="0.3">
      <c r="CY34711" s="34" t="s">
        <v>35637</v>
      </c>
      <c r="CZ34711" s="35">
        <v>1.2060390000000001E-3</v>
      </c>
    </row>
    <row r="34712" spans="103:104" x14ac:dyDescent="0.3">
      <c r="CY34712" s="34" t="s">
        <v>35638</v>
      </c>
      <c r="CZ34712" s="35">
        <v>0.21278080000000002</v>
      </c>
    </row>
    <row r="34713" spans="103:104" x14ac:dyDescent="0.3">
      <c r="CY34713" s="34" t="s">
        <v>35639</v>
      </c>
      <c r="CZ34713" s="35">
        <v>0.1564190912</v>
      </c>
    </row>
    <row r="34714" spans="103:104" x14ac:dyDescent="0.3">
      <c r="CY34714" s="34" t="s">
        <v>35640</v>
      </c>
      <c r="CZ34714" s="35">
        <v>0.11346692134000001</v>
      </c>
    </row>
    <row r="34715" spans="103:104" x14ac:dyDescent="0.3">
      <c r="CY34715" s="34" t="s">
        <v>35641</v>
      </c>
      <c r="CZ34715" s="35">
        <v>0.11346692134000001</v>
      </c>
    </row>
    <row r="34716" spans="103:104" x14ac:dyDescent="0.3">
      <c r="CY34716" s="34" t="s">
        <v>35642</v>
      </c>
      <c r="CZ34716" s="35">
        <v>0.17277104494811998</v>
      </c>
    </row>
    <row r="34717" spans="103:104" x14ac:dyDescent="0.3">
      <c r="CY34717" s="34" t="s">
        <v>35643</v>
      </c>
      <c r="CZ34717" s="35">
        <v>5.0702070199999998E-2</v>
      </c>
    </row>
    <row r="34718" spans="103:104" x14ac:dyDescent="0.3">
      <c r="CY34718" s="34" t="s">
        <v>35644</v>
      </c>
      <c r="CZ34718" s="35">
        <v>0.17178851190125999</v>
      </c>
    </row>
    <row r="34719" spans="103:104" x14ac:dyDescent="0.3">
      <c r="CY34719" s="34" t="s">
        <v>35645</v>
      </c>
      <c r="CZ34719" s="35">
        <v>0.17178782840000001</v>
      </c>
    </row>
    <row r="34720" spans="103:104" x14ac:dyDescent="0.3">
      <c r="CY34720" s="34" t="s">
        <v>35646</v>
      </c>
      <c r="CZ34720" s="35">
        <v>0.16279413600000001</v>
      </c>
    </row>
    <row r="34721" spans="103:104" x14ac:dyDescent="0.3">
      <c r="CY34721" s="34" t="s">
        <v>35647</v>
      </c>
      <c r="CZ34721" s="35">
        <v>8.2565083300000008E-2</v>
      </c>
    </row>
    <row r="34722" spans="103:104" x14ac:dyDescent="0.3">
      <c r="CY34722" s="34" t="s">
        <v>35648</v>
      </c>
      <c r="CZ34722" s="35">
        <v>8.8888139379310352E-2</v>
      </c>
    </row>
    <row r="34723" spans="103:104" x14ac:dyDescent="0.3">
      <c r="CY34723" s="34" t="s">
        <v>35649</v>
      </c>
      <c r="CZ34723" s="35">
        <v>0.16062503822988505</v>
      </c>
    </row>
    <row r="34724" spans="103:104" x14ac:dyDescent="0.3">
      <c r="CY34724" s="34" t="s">
        <v>35650</v>
      </c>
      <c r="CZ34724" s="35">
        <v>8.8888139379310352E-2</v>
      </c>
    </row>
    <row r="34725" spans="103:104" x14ac:dyDescent="0.3">
      <c r="CY34725" s="34" t="s">
        <v>35651</v>
      </c>
      <c r="CZ34725" s="35">
        <v>8.8324639379310343E-2</v>
      </c>
    </row>
    <row r="34726" spans="103:104" x14ac:dyDescent="0.3">
      <c r="CY34726" s="34" t="s">
        <v>35652</v>
      </c>
      <c r="CZ34726" s="35">
        <v>8.8324639379310343E-2</v>
      </c>
    </row>
    <row r="34727" spans="103:104" x14ac:dyDescent="0.3">
      <c r="CY34727" s="34" t="s">
        <v>35653</v>
      </c>
      <c r="CZ34727" s="35">
        <v>8.9923024000000008E-3</v>
      </c>
    </row>
    <row r="34728" spans="103:104" x14ac:dyDescent="0.3">
      <c r="CY34728" s="34" t="s">
        <v>35654</v>
      </c>
      <c r="CZ34728" s="35">
        <v>4.7869106399999993E-3</v>
      </c>
    </row>
    <row r="34729" spans="103:104" x14ac:dyDescent="0.3">
      <c r="CY34729" s="34" t="s">
        <v>35655</v>
      </c>
      <c r="CZ34729" s="35">
        <v>3.004264E-3</v>
      </c>
    </row>
    <row r="34730" spans="103:104" x14ac:dyDescent="0.3">
      <c r="CY34730" s="34" t="s">
        <v>35656</v>
      </c>
      <c r="CZ34730" s="35">
        <v>0.175750850877193</v>
      </c>
    </row>
    <row r="34731" spans="103:104" x14ac:dyDescent="0.3">
      <c r="CY34731" s="34" t="s">
        <v>35657</v>
      </c>
      <c r="CZ34731" s="35">
        <v>0.13344167800000001</v>
      </c>
    </row>
    <row r="34732" spans="103:104" x14ac:dyDescent="0.3">
      <c r="CY34732" s="34" t="s">
        <v>35658</v>
      </c>
      <c r="CZ34732" s="35">
        <v>0.11215125999999999</v>
      </c>
    </row>
    <row r="34733" spans="103:104" x14ac:dyDescent="0.3">
      <c r="CY34733" s="34" t="s">
        <v>35659</v>
      </c>
      <c r="CZ34733" s="35">
        <v>1.5665069599999998E-2</v>
      </c>
    </row>
    <row r="34734" spans="103:104" x14ac:dyDescent="0.3">
      <c r="CY34734" s="34" t="s">
        <v>35660</v>
      </c>
      <c r="CZ34734" s="35">
        <v>1.286E-3</v>
      </c>
    </row>
    <row r="34735" spans="103:104" x14ac:dyDescent="0.3">
      <c r="CY34735" s="34" t="s">
        <v>35661</v>
      </c>
      <c r="CZ34735" s="35">
        <v>0.239271548</v>
      </c>
    </row>
    <row r="34736" spans="103:104" x14ac:dyDescent="0.3">
      <c r="CY34736" s="34" t="s">
        <v>35662</v>
      </c>
      <c r="CZ34736" s="35">
        <v>8.7811940000000008E-3</v>
      </c>
    </row>
    <row r="34737" spans="103:104" x14ac:dyDescent="0.3">
      <c r="CY34737" s="34" t="s">
        <v>35663</v>
      </c>
      <c r="CZ34737" s="35">
        <v>9.8654249999999999E-2</v>
      </c>
    </row>
    <row r="34738" spans="103:104" x14ac:dyDescent="0.3">
      <c r="CY34738" s="34" t="s">
        <v>35664</v>
      </c>
      <c r="CZ34738" s="35">
        <v>2.6171829999999999E-3</v>
      </c>
    </row>
    <row r="34739" spans="103:104" x14ac:dyDescent="0.3">
      <c r="CY34739" s="34" t="s">
        <v>35665</v>
      </c>
      <c r="CZ34739" s="35">
        <v>2.3323975999999996E-2</v>
      </c>
    </row>
    <row r="34740" spans="103:104" x14ac:dyDescent="0.3">
      <c r="CY34740" s="34" t="s">
        <v>35666</v>
      </c>
      <c r="CZ34740" s="35">
        <v>1.4949847199999999E-3</v>
      </c>
    </row>
    <row r="34741" spans="103:104" x14ac:dyDescent="0.3">
      <c r="CY34741" s="34" t="s">
        <v>35667</v>
      </c>
      <c r="CZ34741" s="35">
        <v>2.3305523300000006E-2</v>
      </c>
    </row>
    <row r="34742" spans="103:104" x14ac:dyDescent="0.3">
      <c r="CY34742" s="34" t="s">
        <v>35668</v>
      </c>
      <c r="CZ34742" s="35">
        <v>8.7690910400000002E-2</v>
      </c>
    </row>
    <row r="34743" spans="103:104" x14ac:dyDescent="0.3">
      <c r="CY34743" s="34" t="s">
        <v>35669</v>
      </c>
      <c r="CZ34743" s="35">
        <v>0.11795598800000001</v>
      </c>
    </row>
    <row r="34744" spans="103:104" x14ac:dyDescent="0.3">
      <c r="CY34744" s="34" t="s">
        <v>35670</v>
      </c>
      <c r="CZ34744" s="35">
        <v>0.15524415199999997</v>
      </c>
    </row>
    <row r="34745" spans="103:104" x14ac:dyDescent="0.3">
      <c r="CY34745" s="34" t="s">
        <v>35671</v>
      </c>
      <c r="CZ34745" s="35">
        <v>5.5725750400000003E-2</v>
      </c>
    </row>
    <row r="34746" spans="103:104" x14ac:dyDescent="0.3">
      <c r="CY34746" s="34" t="s">
        <v>35672</v>
      </c>
      <c r="CZ34746" s="35">
        <v>3.0668833000000003E-2</v>
      </c>
    </row>
    <row r="34747" spans="103:104" x14ac:dyDescent="0.3">
      <c r="CY34747" s="34" t="s">
        <v>35673</v>
      </c>
      <c r="CZ34747" s="35">
        <v>3.9185599466666658E-2</v>
      </c>
    </row>
    <row r="34748" spans="103:104" x14ac:dyDescent="0.3">
      <c r="CY34748" s="34" t="s">
        <v>35674</v>
      </c>
      <c r="CZ34748" s="35">
        <v>7.4992925333333349E-2</v>
      </c>
    </row>
    <row r="34749" spans="103:104" x14ac:dyDescent="0.3">
      <c r="CY34749" s="34" t="s">
        <v>35675</v>
      </c>
      <c r="CZ34749" s="35">
        <v>2.4583767999999995E-2</v>
      </c>
    </row>
    <row r="34750" spans="103:104" x14ac:dyDescent="0.3">
      <c r="CY34750" s="34" t="s">
        <v>35676</v>
      </c>
      <c r="CZ34750" s="35">
        <v>0.17229625000000001</v>
      </c>
    </row>
    <row r="34751" spans="103:104" x14ac:dyDescent="0.3">
      <c r="CY34751" s="34" t="s">
        <v>35677</v>
      </c>
      <c r="CZ34751" s="35">
        <v>1.9237661299999997E-2</v>
      </c>
    </row>
    <row r="34752" spans="103:104" x14ac:dyDescent="0.3">
      <c r="CY34752" s="34" t="s">
        <v>35678</v>
      </c>
      <c r="CZ34752" s="35">
        <v>4.4576194E-2</v>
      </c>
    </row>
    <row r="34753" spans="103:104" x14ac:dyDescent="0.3">
      <c r="CY34753" s="34" t="s">
        <v>35679</v>
      </c>
      <c r="CZ34753" s="35">
        <v>6.1434176662600003E-2</v>
      </c>
    </row>
    <row r="34754" spans="103:104" x14ac:dyDescent="0.3">
      <c r="CY34754" s="34" t="s">
        <v>35680</v>
      </c>
      <c r="CZ34754" s="35">
        <v>2.1083203333333334</v>
      </c>
    </row>
    <row r="34755" spans="103:104" x14ac:dyDescent="0.3">
      <c r="CY34755" s="34" t="s">
        <v>35681</v>
      </c>
      <c r="CZ34755" s="35">
        <v>1.1472040000000001</v>
      </c>
    </row>
    <row r="34756" spans="103:104" x14ac:dyDescent="0.3">
      <c r="CY34756" s="34" t="s">
        <v>35682</v>
      </c>
      <c r="CZ34756" s="35">
        <v>0.9051946666666667</v>
      </c>
    </row>
    <row r="34757" spans="103:104" x14ac:dyDescent="0.3">
      <c r="CY34757" s="34" t="s">
        <v>35683</v>
      </c>
      <c r="CZ34757" s="35">
        <v>8.4715372999999997E-2</v>
      </c>
    </row>
    <row r="34758" spans="103:104" x14ac:dyDescent="0.3">
      <c r="CY34758" s="34" t="s">
        <v>35684</v>
      </c>
      <c r="CZ34758" s="35">
        <v>1.0888314999999999E-3</v>
      </c>
    </row>
    <row r="34759" spans="103:104" x14ac:dyDescent="0.3">
      <c r="CY34759" s="34" t="s">
        <v>35685</v>
      </c>
      <c r="CZ34759" s="35">
        <v>7.5861745E-3</v>
      </c>
    </row>
    <row r="34760" spans="103:104" x14ac:dyDescent="0.3">
      <c r="CY34760" s="34" t="s">
        <v>35686</v>
      </c>
      <c r="CZ34760" s="35">
        <v>0.47639401000330878</v>
      </c>
    </row>
    <row r="34761" spans="103:104" x14ac:dyDescent="0.3">
      <c r="CY34761" s="34" t="s">
        <v>35687</v>
      </c>
      <c r="CZ34761" s="35">
        <v>1.1577421000000001E-2</v>
      </c>
    </row>
    <row r="34762" spans="103:104" x14ac:dyDescent="0.3">
      <c r="CY34762" s="34" t="s">
        <v>35688</v>
      </c>
      <c r="CZ34762" s="35">
        <v>1.5889001E-2</v>
      </c>
    </row>
    <row r="34763" spans="103:104" x14ac:dyDescent="0.3">
      <c r="CY34763" s="34" t="s">
        <v>35689</v>
      </c>
      <c r="CZ34763" s="35">
        <v>2.8432870000000003E-3</v>
      </c>
    </row>
    <row r="34764" spans="103:104" x14ac:dyDescent="0.3">
      <c r="CY34764" s="34" t="s">
        <v>35690</v>
      </c>
      <c r="CZ34764" s="35">
        <v>7.1391401999999993E-2</v>
      </c>
    </row>
    <row r="34765" spans="103:104" x14ac:dyDescent="0.3">
      <c r="CY34765" s="34" t="s">
        <v>35691</v>
      </c>
      <c r="CZ34765" s="35">
        <v>3.9300825999999999E-3</v>
      </c>
    </row>
    <row r="34766" spans="103:104" x14ac:dyDescent="0.3">
      <c r="CY34766" s="34" t="s">
        <v>35692</v>
      </c>
      <c r="CZ34766" s="35">
        <v>7.5826520000000001E-4</v>
      </c>
    </row>
    <row r="34767" spans="103:104" x14ac:dyDescent="0.3">
      <c r="CY34767" s="34" t="s">
        <v>35693</v>
      </c>
      <c r="CZ34767" s="35">
        <v>5.8251560000000002E-4</v>
      </c>
    </row>
    <row r="34768" spans="103:104" x14ac:dyDescent="0.3">
      <c r="CY34768" s="34" t="s">
        <v>35694</v>
      </c>
      <c r="CZ34768" s="35">
        <v>1.4803692800000001E-2</v>
      </c>
    </row>
    <row r="34769" spans="103:104" x14ac:dyDescent="0.3">
      <c r="CY34769" s="34" t="s">
        <v>35695</v>
      </c>
      <c r="CZ34769" s="35">
        <v>1.4803692800000002E-2</v>
      </c>
    </row>
    <row r="34770" spans="103:104" x14ac:dyDescent="0.3">
      <c r="CY34770" s="34" t="s">
        <v>35696</v>
      </c>
      <c r="CZ34770" s="35">
        <v>1.5515614399999999E-2</v>
      </c>
    </row>
    <row r="34771" spans="103:104" x14ac:dyDescent="0.3">
      <c r="CY34771" s="34" t="s">
        <v>35697</v>
      </c>
      <c r="CZ34771" s="35">
        <v>1.5515614400000001E-2</v>
      </c>
    </row>
    <row r="34772" spans="103:104" x14ac:dyDescent="0.3">
      <c r="CY34772" s="34" t="s">
        <v>35698</v>
      </c>
      <c r="CZ34772" s="35">
        <v>2.9941350399999997E-2</v>
      </c>
    </row>
    <row r="34773" spans="103:104" x14ac:dyDescent="0.3">
      <c r="CY34773" s="34" t="s">
        <v>35699</v>
      </c>
      <c r="CZ34773" s="35">
        <v>2.99413504E-2</v>
      </c>
    </row>
    <row r="34774" spans="103:104" x14ac:dyDescent="0.3">
      <c r="CY34774" s="34" t="s">
        <v>35700</v>
      </c>
      <c r="CZ34774" s="35">
        <v>6.7570999999999994E-3</v>
      </c>
    </row>
    <row r="34775" spans="103:104" x14ac:dyDescent="0.3">
      <c r="CY34775" s="34" t="s">
        <v>35701</v>
      </c>
      <c r="CZ34775" s="35">
        <v>6.7571000000000003E-3</v>
      </c>
    </row>
    <row r="34776" spans="103:104" x14ac:dyDescent="0.3">
      <c r="CY34776" s="34" t="s">
        <v>35702</v>
      </c>
      <c r="CZ34776" s="35">
        <v>2.61740048E-3</v>
      </c>
    </row>
    <row r="34777" spans="103:104" x14ac:dyDescent="0.3">
      <c r="CY34777" s="34" t="s">
        <v>35703</v>
      </c>
      <c r="CZ34777" s="35">
        <v>1.6391617333333335</v>
      </c>
    </row>
    <row r="34778" spans="103:104" x14ac:dyDescent="0.3">
      <c r="CY34778" s="34" t="s">
        <v>35704</v>
      </c>
      <c r="CZ34778" s="35">
        <v>4.0804489999999999E-3</v>
      </c>
    </row>
    <row r="34779" spans="103:104" x14ac:dyDescent="0.3">
      <c r="CY34779" s="34" t="s">
        <v>35705</v>
      </c>
      <c r="CZ34779" s="35">
        <v>9.0351358999999992E-2</v>
      </c>
    </row>
    <row r="34780" spans="103:104" x14ac:dyDescent="0.3">
      <c r="CY34780" s="34" t="s">
        <v>35706</v>
      </c>
      <c r="CZ34780" s="35">
        <v>0.26825065300000006</v>
      </c>
    </row>
    <row r="34781" spans="103:104" x14ac:dyDescent="0.3">
      <c r="CY34781" s="34" t="s">
        <v>35707</v>
      </c>
      <c r="CZ34781" s="35">
        <v>2.9164170000000001E-3</v>
      </c>
    </row>
    <row r="34782" spans="103:104" x14ac:dyDescent="0.3">
      <c r="CY34782" s="34" t="s">
        <v>35708</v>
      </c>
      <c r="CZ34782" s="35">
        <v>2.6834569999999998E-3</v>
      </c>
    </row>
    <row r="34783" spans="103:104" x14ac:dyDescent="0.3">
      <c r="CY34783" s="34" t="s">
        <v>35709</v>
      </c>
      <c r="CZ34783" s="35">
        <v>4.0266328999999997E-2</v>
      </c>
    </row>
    <row r="34784" spans="103:104" x14ac:dyDescent="0.3">
      <c r="CY34784" s="34" t="s">
        <v>35710</v>
      </c>
      <c r="CZ34784" s="35">
        <v>3.2214648999999998E-2</v>
      </c>
    </row>
    <row r="34785" spans="103:104" x14ac:dyDescent="0.3">
      <c r="CY34785" s="34" t="s">
        <v>35711</v>
      </c>
      <c r="CZ34785" s="35">
        <v>4.0159345999999999E-2</v>
      </c>
    </row>
    <row r="34786" spans="103:104" x14ac:dyDescent="0.3">
      <c r="CY34786" s="34" t="s">
        <v>35712</v>
      </c>
      <c r="CZ34786" s="35">
        <v>4.1246561999999994E-2</v>
      </c>
    </row>
    <row r="34787" spans="103:104" x14ac:dyDescent="0.3">
      <c r="CY34787" s="34" t="s">
        <v>35713</v>
      </c>
      <c r="CZ34787" s="35">
        <v>2.6171829999999999E-3</v>
      </c>
    </row>
    <row r="34788" spans="103:104" x14ac:dyDescent="0.3">
      <c r="CY34788" s="34" t="s">
        <v>35714</v>
      </c>
      <c r="CZ34788" s="35">
        <v>6.8300039999999993E-4</v>
      </c>
    </row>
    <row r="34789" spans="103:104" x14ac:dyDescent="0.3">
      <c r="CY34789" s="34" t="s">
        <v>35715</v>
      </c>
      <c r="CZ34789" s="35">
        <v>5.7715425000000001E-2</v>
      </c>
    </row>
    <row r="34790" spans="103:104" x14ac:dyDescent="0.3">
      <c r="CY34790" s="34" t="s">
        <v>35716</v>
      </c>
      <c r="CZ34790" s="35">
        <v>2.3759505E-2</v>
      </c>
    </row>
    <row r="34791" spans="103:104" x14ac:dyDescent="0.3">
      <c r="CY34791" s="34" t="s">
        <v>35717</v>
      </c>
      <c r="CZ34791" s="35">
        <v>9.2201919999999993E-2</v>
      </c>
    </row>
    <row r="34792" spans="103:104" x14ac:dyDescent="0.3">
      <c r="CY34792" s="34" t="s">
        <v>35718</v>
      </c>
      <c r="CZ34792" s="35">
        <v>9.2201919999999993E-2</v>
      </c>
    </row>
    <row r="34793" spans="103:104" x14ac:dyDescent="0.3">
      <c r="CY34793" s="34" t="s">
        <v>35719</v>
      </c>
      <c r="CZ34793" s="35">
        <v>1.3036675999999999E-3</v>
      </c>
    </row>
    <row r="34794" spans="103:104" x14ac:dyDescent="0.3">
      <c r="CY34794" s="34" t="s">
        <v>35720</v>
      </c>
      <c r="CZ34794" s="35">
        <v>5.3945282599999998E-2</v>
      </c>
    </row>
    <row r="34795" spans="103:104" x14ac:dyDescent="0.3">
      <c r="CY34795" s="34" t="s">
        <v>35721</v>
      </c>
      <c r="CZ34795" s="35">
        <v>3.8260928E-3</v>
      </c>
    </row>
    <row r="34796" spans="103:104" x14ac:dyDescent="0.3">
      <c r="CY34796" s="34" t="s">
        <v>35722</v>
      </c>
      <c r="CZ34796" s="35">
        <v>2.1431023999999997E-3</v>
      </c>
    </row>
    <row r="34797" spans="103:104" x14ac:dyDescent="0.3">
      <c r="CY34797" s="34" t="s">
        <v>35723</v>
      </c>
      <c r="CZ34797" s="35">
        <v>6.3435232000000003E-3</v>
      </c>
    </row>
    <row r="34798" spans="103:104" x14ac:dyDescent="0.3">
      <c r="CY34798" s="34" t="s">
        <v>35724</v>
      </c>
      <c r="CZ34798" s="35">
        <v>7.2822790600000006E-2</v>
      </c>
    </row>
    <row r="34799" spans="103:104" x14ac:dyDescent="0.3">
      <c r="CY34799" s="34" t="s">
        <v>35725</v>
      </c>
      <c r="CZ34799" s="35">
        <v>0.46992179339999995</v>
      </c>
    </row>
    <row r="34800" spans="103:104" x14ac:dyDescent="0.3">
      <c r="CY34800" s="34" t="s">
        <v>35726</v>
      </c>
      <c r="CZ34800" s="35">
        <v>1.6317242699999998E-2</v>
      </c>
    </row>
    <row r="34801" spans="103:104" x14ac:dyDescent="0.3">
      <c r="CY34801" s="34" t="s">
        <v>35727</v>
      </c>
      <c r="CZ34801" s="35">
        <v>0.19992140315833332</v>
      </c>
    </row>
    <row r="34802" spans="103:104" x14ac:dyDescent="0.3">
      <c r="CY34802" s="34" t="s">
        <v>35728</v>
      </c>
      <c r="CZ34802" s="35">
        <v>0.18221531999999999</v>
      </c>
    </row>
    <row r="34803" spans="103:104" x14ac:dyDescent="0.3">
      <c r="CY34803" s="34" t="s">
        <v>35729</v>
      </c>
      <c r="CZ34803" s="35">
        <v>0.20444345175833331</v>
      </c>
    </row>
    <row r="34804" spans="103:104" x14ac:dyDescent="0.3">
      <c r="CY34804" s="34" t="s">
        <v>35730</v>
      </c>
      <c r="CZ34804" s="35">
        <v>0.21667017169626668</v>
      </c>
    </row>
    <row r="34805" spans="103:104" x14ac:dyDescent="0.3">
      <c r="CY34805" s="34" t="s">
        <v>35731</v>
      </c>
      <c r="CZ34805" s="35">
        <v>4.0669839999999999E-2</v>
      </c>
    </row>
    <row r="34806" spans="103:104" x14ac:dyDescent="0.3">
      <c r="CY34806" s="34" t="s">
        <v>35732</v>
      </c>
      <c r="CZ34806" s="35">
        <v>3.7130412000000003E-3</v>
      </c>
    </row>
    <row r="34807" spans="103:104" x14ac:dyDescent="0.3">
      <c r="CY34807" s="34" t="s">
        <v>35733</v>
      </c>
      <c r="CZ34807" s="35">
        <v>6.1250949312499997E-2</v>
      </c>
    </row>
    <row r="34808" spans="103:104" x14ac:dyDescent="0.3">
      <c r="CY34808" s="34" t="s">
        <v>35734</v>
      </c>
      <c r="CZ34808" s="35">
        <v>6.1250949312499997E-2</v>
      </c>
    </row>
    <row r="34809" spans="103:104" x14ac:dyDescent="0.3">
      <c r="CY34809" s="34" t="s">
        <v>35735</v>
      </c>
      <c r="CZ34809" s="35">
        <v>6.1250949375000002E-2</v>
      </c>
    </row>
    <row r="34810" spans="103:104" x14ac:dyDescent="0.3">
      <c r="CY34810" s="34" t="s">
        <v>35736</v>
      </c>
      <c r="CZ34810" s="35">
        <v>1.9951333188571426E-3</v>
      </c>
    </row>
    <row r="34811" spans="103:104" x14ac:dyDescent="0.3">
      <c r="CY34811" s="34" t="s">
        <v>35737</v>
      </c>
      <c r="CZ34811" s="35">
        <v>2.8240350000000001E-2</v>
      </c>
    </row>
    <row r="34812" spans="103:104" x14ac:dyDescent="0.3">
      <c r="CY34812" s="34" t="s">
        <v>35738</v>
      </c>
      <c r="CZ34812" s="35">
        <v>7.1738369999999996E-2</v>
      </c>
    </row>
    <row r="34813" spans="103:104" x14ac:dyDescent="0.3">
      <c r="CY34813" s="34" t="s">
        <v>35739</v>
      </c>
      <c r="CZ34813" s="35">
        <v>6.0804420500000005E-2</v>
      </c>
    </row>
    <row r="34814" spans="103:104" x14ac:dyDescent="0.3">
      <c r="CY34814" s="34" t="s">
        <v>35740</v>
      </c>
      <c r="CZ34814" s="35">
        <v>2.0714724999999993E-3</v>
      </c>
    </row>
    <row r="34815" spans="103:104" x14ac:dyDescent="0.3">
      <c r="CY34815" s="34" t="s">
        <v>35741</v>
      </c>
      <c r="CZ34815" s="35">
        <v>2.65117392E-3</v>
      </c>
    </row>
    <row r="34816" spans="103:104" x14ac:dyDescent="0.3">
      <c r="CY34816" s="34" t="s">
        <v>35742</v>
      </c>
      <c r="CZ34816" s="35">
        <v>0.35384445600000003</v>
      </c>
    </row>
    <row r="34817" spans="103:104" x14ac:dyDescent="0.3">
      <c r="CY34817" s="34" t="s">
        <v>35743</v>
      </c>
      <c r="CZ34817" s="35">
        <v>2.8729691200000003E-3</v>
      </c>
    </row>
    <row r="34818" spans="103:104" x14ac:dyDescent="0.3">
      <c r="CY34818" s="34" t="s">
        <v>35744</v>
      </c>
      <c r="CZ34818" s="35">
        <v>2.6238589599999998E-3</v>
      </c>
    </row>
    <row r="34819" spans="103:104" x14ac:dyDescent="0.3">
      <c r="CY34819" s="34" t="s">
        <v>35745</v>
      </c>
      <c r="CZ34819" s="35">
        <v>1.0776911666666666E-2</v>
      </c>
    </row>
    <row r="34820" spans="103:104" x14ac:dyDescent="0.3">
      <c r="CY34820" s="34" t="s">
        <v>35746</v>
      </c>
      <c r="CZ34820" s="35">
        <v>1.1381294791649999E-2</v>
      </c>
    </row>
    <row r="34821" spans="103:104" x14ac:dyDescent="0.3">
      <c r="CY34821" s="34" t="s">
        <v>35747</v>
      </c>
      <c r="CZ34821" s="35">
        <v>0.16984492000000001</v>
      </c>
    </row>
    <row r="34822" spans="103:104" x14ac:dyDescent="0.3">
      <c r="CY34822" s="34" t="s">
        <v>35748</v>
      </c>
      <c r="CZ34822" s="35">
        <v>1.6480208333333333E-2</v>
      </c>
    </row>
    <row r="34823" spans="103:104" x14ac:dyDescent="0.3">
      <c r="CY34823" s="34" t="s">
        <v>35749</v>
      </c>
      <c r="CZ34823" s="35">
        <v>9.7641666666666658E-3</v>
      </c>
    </row>
    <row r="34824" spans="103:104" x14ac:dyDescent="0.3">
      <c r="CY34824" s="34" t="s">
        <v>35750</v>
      </c>
      <c r="CZ34824" s="35">
        <v>1.1590000000000001E-2</v>
      </c>
    </row>
    <row r="34825" spans="103:104" x14ac:dyDescent="0.3">
      <c r="CY34825" s="34" t="s">
        <v>35751</v>
      </c>
      <c r="CZ34825" s="35">
        <v>0.28699770000000002</v>
      </c>
    </row>
    <row r="34826" spans="103:104" x14ac:dyDescent="0.3">
      <c r="CY34826" s="34" t="s">
        <v>35752</v>
      </c>
      <c r="CZ34826" s="35">
        <v>0.61192452666666675</v>
      </c>
    </row>
    <row r="34827" spans="103:104" x14ac:dyDescent="0.3">
      <c r="CY34827" s="34" t="s">
        <v>35753</v>
      </c>
      <c r="CZ34827" s="35">
        <v>0.30080108527777777</v>
      </c>
    </row>
    <row r="34828" spans="103:104" x14ac:dyDescent="0.3">
      <c r="CY34828" s="34" t="s">
        <v>35754</v>
      </c>
      <c r="CZ34828" s="35">
        <v>0.35279904666666667</v>
      </c>
    </row>
    <row r="34829" spans="103:104" x14ac:dyDescent="0.3">
      <c r="CY34829" s="34" t="s">
        <v>35755</v>
      </c>
      <c r="CZ34829" s="35">
        <v>2.9114328000000005E-2</v>
      </c>
    </row>
    <row r="34830" spans="103:104" x14ac:dyDescent="0.3">
      <c r="CY34830" s="34" t="s">
        <v>35756</v>
      </c>
      <c r="CZ34830" s="35">
        <v>2.9114328000000005E-2</v>
      </c>
    </row>
    <row r="34831" spans="103:104" x14ac:dyDescent="0.3">
      <c r="CY34831" s="34" t="s">
        <v>35757</v>
      </c>
      <c r="CZ34831" s="35">
        <v>8.7572542999999996E-3</v>
      </c>
    </row>
    <row r="34832" spans="103:104" x14ac:dyDescent="0.3">
      <c r="CY34832" s="34" t="s">
        <v>35758</v>
      </c>
      <c r="CZ34832" s="35">
        <v>1.8493050000000001E-3</v>
      </c>
    </row>
    <row r="34833" spans="103:104" x14ac:dyDescent="0.3">
      <c r="CY34833" s="34" t="s">
        <v>35759</v>
      </c>
      <c r="CZ34833" s="35">
        <v>1.1253260399999999E-2</v>
      </c>
    </row>
    <row r="34834" spans="103:104" x14ac:dyDescent="0.3">
      <c r="CY34834" s="34" t="s">
        <v>35760</v>
      </c>
      <c r="CZ34834" s="35">
        <v>0.27294990400000002</v>
      </c>
    </row>
    <row r="34835" spans="103:104" x14ac:dyDescent="0.3">
      <c r="CY34835" s="34" t="s">
        <v>35761</v>
      </c>
      <c r="CZ34835" s="35">
        <v>1.9442377371428571E-3</v>
      </c>
    </row>
    <row r="34836" spans="103:104" x14ac:dyDescent="0.3">
      <c r="CY34836" s="34" t="s">
        <v>35762</v>
      </c>
      <c r="CZ34836" s="35">
        <v>0.13478916800000001</v>
      </c>
    </row>
    <row r="34837" spans="103:104" x14ac:dyDescent="0.3">
      <c r="CY34837" s="34" t="s">
        <v>35763</v>
      </c>
      <c r="CZ34837" s="35">
        <v>9.2345103999999997E-2</v>
      </c>
    </row>
    <row r="34838" spans="103:104" x14ac:dyDescent="0.3">
      <c r="CY34838" s="34" t="s">
        <v>35764</v>
      </c>
      <c r="CZ34838" s="35">
        <v>2.7310370399999999E-2</v>
      </c>
    </row>
    <row r="34839" spans="103:104" x14ac:dyDescent="0.3">
      <c r="CY34839" s="34" t="s">
        <v>35765</v>
      </c>
      <c r="CZ34839" s="35">
        <v>4.4231697142857143E-2</v>
      </c>
    </row>
    <row r="34840" spans="103:104" x14ac:dyDescent="0.3">
      <c r="CY34840" s="34" t="s">
        <v>35766</v>
      </c>
      <c r="CZ34840" s="35">
        <v>6.7116991000000001E-2</v>
      </c>
    </row>
    <row r="34841" spans="103:104" x14ac:dyDescent="0.3">
      <c r="CY34841" s="34" t="s">
        <v>35767</v>
      </c>
      <c r="CZ34841" s="35">
        <v>4.4139216000000002E-2</v>
      </c>
    </row>
    <row r="34842" spans="103:104" x14ac:dyDescent="0.3">
      <c r="CY34842" s="34" t="s">
        <v>35768</v>
      </c>
      <c r="CZ34842" s="35">
        <v>9.3240679999999996E-3</v>
      </c>
    </row>
    <row r="34843" spans="103:104" x14ac:dyDescent="0.3">
      <c r="CY34843" s="34" t="s">
        <v>35769</v>
      </c>
      <c r="CZ34843" s="35">
        <v>9.3240679999999996E-3</v>
      </c>
    </row>
    <row r="34844" spans="103:104" x14ac:dyDescent="0.3">
      <c r="CY34844" s="34" t="s">
        <v>35770</v>
      </c>
      <c r="CZ34844" s="35">
        <v>3.4965315789473685E-2</v>
      </c>
    </row>
    <row r="34845" spans="103:104" x14ac:dyDescent="0.3">
      <c r="CY34845" s="34" t="s">
        <v>35771</v>
      </c>
      <c r="CZ34845" s="35">
        <v>8.9589818500000001E-2</v>
      </c>
    </row>
    <row r="34846" spans="103:104" x14ac:dyDescent="0.3">
      <c r="CY34846" s="34" t="s">
        <v>35772</v>
      </c>
      <c r="CZ34846" s="35">
        <v>1.1792344000000001E-3</v>
      </c>
    </row>
    <row r="34847" spans="103:104" x14ac:dyDescent="0.3">
      <c r="CY34847" s="34" t="s">
        <v>35773</v>
      </c>
      <c r="CZ34847" s="35" t="e">
        <v>#VALUE!</v>
      </c>
    </row>
    <row r="34848" spans="103:104" x14ac:dyDescent="0.3">
      <c r="CY34848" s="34" t="s">
        <v>35774</v>
      </c>
      <c r="CZ34848" s="35">
        <v>0.14736245000000001</v>
      </c>
    </row>
    <row r="34849" spans="103:104" x14ac:dyDescent="0.3">
      <c r="CY34849" s="34" t="s">
        <v>35775</v>
      </c>
      <c r="CZ34849" s="35">
        <v>7.5231902E-3</v>
      </c>
    </row>
    <row r="34850" spans="103:104" x14ac:dyDescent="0.3">
      <c r="CY34850" s="34" t="s">
        <v>35776</v>
      </c>
      <c r="CZ34850" s="35">
        <v>7.5189470000000007E-3</v>
      </c>
    </row>
    <row r="34851" spans="103:104" x14ac:dyDescent="0.3">
      <c r="CY34851" s="34" t="s">
        <v>35777</v>
      </c>
      <c r="CZ34851" s="35">
        <v>9.5710750000000001E-3</v>
      </c>
    </row>
    <row r="34852" spans="103:104" x14ac:dyDescent="0.3">
      <c r="CY34852" s="34" t="s">
        <v>35778</v>
      </c>
      <c r="CZ34852" s="35">
        <v>5.6869837999999992E-2</v>
      </c>
    </row>
    <row r="34853" spans="103:104" x14ac:dyDescent="0.3">
      <c r="CY34853" s="34" t="s">
        <v>35779</v>
      </c>
      <c r="CZ34853" s="35">
        <v>0.45177600000000001</v>
      </c>
    </row>
    <row r="34854" spans="103:104" x14ac:dyDescent="0.3">
      <c r="CY34854" s="34" t="s">
        <v>35780</v>
      </c>
      <c r="CZ34854" s="35">
        <v>4.6397368421052633E-3</v>
      </c>
    </row>
    <row r="34855" spans="103:104" x14ac:dyDescent="0.3">
      <c r="CY34855" s="34" t="s">
        <v>35781</v>
      </c>
      <c r="CZ34855" s="35">
        <v>2.1024852631578951E-3</v>
      </c>
    </row>
    <row r="34856" spans="103:104" x14ac:dyDescent="0.3">
      <c r="CY34856" s="34" t="s">
        <v>35782</v>
      </c>
      <c r="CZ34856" s="35">
        <v>1.8353412E-3</v>
      </c>
    </row>
    <row r="34857" spans="103:104" x14ac:dyDescent="0.3">
      <c r="CY34857" s="34" t="s">
        <v>35783</v>
      </c>
      <c r="CZ34857" s="35">
        <v>1.7862233200000001E-2</v>
      </c>
    </row>
    <row r="34858" spans="103:104" x14ac:dyDescent="0.3">
      <c r="CY34858" s="34" t="s">
        <v>35784</v>
      </c>
      <c r="CZ34858" s="35">
        <v>1.5225072300000001E-2</v>
      </c>
    </row>
    <row r="34859" spans="103:104" x14ac:dyDescent="0.3">
      <c r="CY34859" s="34" t="s">
        <v>35785</v>
      </c>
      <c r="CZ34859" s="35">
        <v>1.43602746E-2</v>
      </c>
    </row>
    <row r="34860" spans="103:104" x14ac:dyDescent="0.3">
      <c r="CY34860" s="34" t="s">
        <v>35786</v>
      </c>
      <c r="CZ34860" s="35">
        <v>8.8407872000000012E-2</v>
      </c>
    </row>
    <row r="34861" spans="103:104" x14ac:dyDescent="0.3">
      <c r="CY34861" s="34" t="s">
        <v>35787</v>
      </c>
      <c r="CZ34861" s="35">
        <v>9.1390770666666676E-2</v>
      </c>
    </row>
    <row r="34862" spans="103:104" x14ac:dyDescent="0.3">
      <c r="CY34862" s="34" t="s">
        <v>35788</v>
      </c>
      <c r="CZ34862" s="35">
        <v>3.1940606399999999E-3</v>
      </c>
    </row>
    <row r="34863" spans="103:104" x14ac:dyDescent="0.3">
      <c r="CY34863" s="34" t="s">
        <v>35789</v>
      </c>
      <c r="CZ34863" s="35">
        <v>0.33667509000000007</v>
      </c>
    </row>
    <row r="34864" spans="103:104" x14ac:dyDescent="0.3">
      <c r="CY34864" s="34" t="s">
        <v>35790</v>
      </c>
      <c r="CZ34864" s="35">
        <v>0.61010259</v>
      </c>
    </row>
    <row r="34865" spans="103:104" x14ac:dyDescent="0.3">
      <c r="CY34865" s="34" t="s">
        <v>35791</v>
      </c>
      <c r="CZ34865" s="35">
        <v>5.8114217142857137E-3</v>
      </c>
    </row>
    <row r="34866" spans="103:104" x14ac:dyDescent="0.3">
      <c r="CY34866" s="34" t="s">
        <v>35792</v>
      </c>
      <c r="CZ34866" s="35">
        <v>4.7641452000000008E-2</v>
      </c>
    </row>
    <row r="34867" spans="103:104" x14ac:dyDescent="0.3">
      <c r="CY34867" s="34" t="s">
        <v>35793</v>
      </c>
      <c r="CZ34867" s="35">
        <v>2.8111661319999998E-2</v>
      </c>
    </row>
    <row r="34868" spans="103:104" x14ac:dyDescent="0.3">
      <c r="CY34868" s="34" t="s">
        <v>35794</v>
      </c>
      <c r="CZ34868" s="35">
        <v>0.32381173999999996</v>
      </c>
    </row>
    <row r="34869" spans="103:104" x14ac:dyDescent="0.3">
      <c r="CY34869" s="34" t="s">
        <v>35795</v>
      </c>
      <c r="CZ34869" s="35">
        <v>4.2784840000000001E-4</v>
      </c>
    </row>
    <row r="34870" spans="103:104" x14ac:dyDescent="0.3">
      <c r="CY34870" s="34" t="s">
        <v>35796</v>
      </c>
      <c r="CZ34870" s="35">
        <v>0.24809482241847827</v>
      </c>
    </row>
    <row r="34871" spans="103:104" x14ac:dyDescent="0.3">
      <c r="CY34871" s="34" t="s">
        <v>35797</v>
      </c>
      <c r="CZ34871" s="35">
        <v>0.10791729882352941</v>
      </c>
    </row>
    <row r="34872" spans="103:104" x14ac:dyDescent="0.3">
      <c r="CY34872" s="34" t="s">
        <v>35798</v>
      </c>
      <c r="CZ34872" s="35">
        <v>3.6525400000000001E-5</v>
      </c>
    </row>
    <row r="34873" spans="103:104" x14ac:dyDescent="0.3">
      <c r="CY34873" s="34" t="s">
        <v>35799</v>
      </c>
      <c r="CZ34873" s="35">
        <v>5.3367162000000001E-3</v>
      </c>
    </row>
    <row r="34874" spans="103:104" x14ac:dyDescent="0.3">
      <c r="CY34874" s="34" t="s">
        <v>35800</v>
      </c>
      <c r="CZ34874" s="35">
        <v>4.6394090000000006E-3</v>
      </c>
    </row>
    <row r="34875" spans="103:104" x14ac:dyDescent="0.3">
      <c r="CY34875" s="34" t="s">
        <v>35801</v>
      </c>
      <c r="CZ34875" s="35">
        <v>3.4292620000000002E-3</v>
      </c>
    </row>
    <row r="34876" spans="103:104" x14ac:dyDescent="0.3">
      <c r="CY34876" s="34" t="s">
        <v>35802</v>
      </c>
      <c r="CZ34876" s="35">
        <v>7.3488837999999995E-4</v>
      </c>
    </row>
    <row r="34877" spans="103:104" x14ac:dyDescent="0.3">
      <c r="CY34877" s="34" t="s">
        <v>35803</v>
      </c>
      <c r="CZ34877" s="35">
        <v>4.8018880434782613E-4</v>
      </c>
    </row>
    <row r="34878" spans="103:104" x14ac:dyDescent="0.3">
      <c r="CY34878" s="34" t="s">
        <v>35804</v>
      </c>
      <c r="CZ34878" s="35">
        <v>5.2402250000000003E-4</v>
      </c>
    </row>
    <row r="34879" spans="103:104" x14ac:dyDescent="0.3">
      <c r="CY34879" s="34" t="s">
        <v>35805</v>
      </c>
      <c r="CZ34879" s="35">
        <v>7.559913750000001E-2</v>
      </c>
    </row>
    <row r="34880" spans="103:104" x14ac:dyDescent="0.3">
      <c r="CY34880" s="34" t="s">
        <v>35806</v>
      </c>
      <c r="CZ34880" s="35">
        <v>9.9476650000000014E-3</v>
      </c>
    </row>
    <row r="34881" spans="103:104" x14ac:dyDescent="0.3">
      <c r="CY34881" s="34" t="s">
        <v>35807</v>
      </c>
      <c r="CZ34881" s="35">
        <v>0.11483887500000001</v>
      </c>
    </row>
    <row r="34882" spans="103:104" x14ac:dyDescent="0.3">
      <c r="CY34882" s="34" t="s">
        <v>35808</v>
      </c>
      <c r="CZ34882" s="35">
        <v>5.5196674000000001E-2</v>
      </c>
    </row>
    <row r="34883" spans="103:104" x14ac:dyDescent="0.3">
      <c r="CY34883" s="34" t="s">
        <v>35809</v>
      </c>
      <c r="CZ34883" s="35">
        <v>0.30981062011420002</v>
      </c>
    </row>
    <row r="34884" spans="103:104" x14ac:dyDescent="0.3">
      <c r="CY34884" s="34" t="s">
        <v>35810</v>
      </c>
      <c r="CZ34884" s="35">
        <v>4.7381834599999992E-2</v>
      </c>
    </row>
    <row r="34885" spans="103:104" x14ac:dyDescent="0.3">
      <c r="CY34885" s="34" t="s">
        <v>35811</v>
      </c>
      <c r="CZ34885" s="35">
        <v>7.349652533333334E-3</v>
      </c>
    </row>
    <row r="34886" spans="103:104" x14ac:dyDescent="0.3">
      <c r="CY34886" s="34" t="s">
        <v>35812</v>
      </c>
      <c r="CZ34886" s="35">
        <v>1.5664836500000001E-2</v>
      </c>
    </row>
    <row r="34887" spans="103:104" x14ac:dyDescent="0.3">
      <c r="CY34887" s="34" t="s">
        <v>35813</v>
      </c>
      <c r="CZ34887" s="35">
        <v>2.0890593400000001E-2</v>
      </c>
    </row>
    <row r="34888" spans="103:104" x14ac:dyDescent="0.3">
      <c r="CY34888" s="34" t="s">
        <v>35814</v>
      </c>
      <c r="CZ34888" s="35">
        <v>9.8657164000000002E-3</v>
      </c>
    </row>
    <row r="34889" spans="103:104" x14ac:dyDescent="0.3">
      <c r="CY34889" s="34" t="s">
        <v>35815</v>
      </c>
      <c r="CZ34889" s="35">
        <v>2.8795175749999992E-2</v>
      </c>
    </row>
    <row r="34890" spans="103:104" x14ac:dyDescent="0.3">
      <c r="CY34890" s="34" t="s">
        <v>35816</v>
      </c>
      <c r="CZ34890" s="35">
        <v>6.0250658000000012E-2</v>
      </c>
    </row>
    <row r="34891" spans="103:104" x14ac:dyDescent="0.3">
      <c r="CY34891" s="34" t="s">
        <v>35817</v>
      </c>
      <c r="CZ34891" s="35">
        <v>2.7060435809999998E-2</v>
      </c>
    </row>
    <row r="34892" spans="103:104" x14ac:dyDescent="0.3">
      <c r="CY34892" s="34" t="s">
        <v>35818</v>
      </c>
      <c r="CZ34892" s="35">
        <v>5.9812600000000004E-4</v>
      </c>
    </row>
    <row r="34893" spans="103:104" x14ac:dyDescent="0.3">
      <c r="CY34893" s="34" t="s">
        <v>35819</v>
      </c>
      <c r="CZ34893" s="35">
        <v>6.0781151999999997E-4</v>
      </c>
    </row>
    <row r="34894" spans="103:104" x14ac:dyDescent="0.3">
      <c r="CY34894" s="34" t="s">
        <v>35820</v>
      </c>
      <c r="CZ34894" s="35">
        <v>0.12964355999999999</v>
      </c>
    </row>
    <row r="34895" spans="103:104" x14ac:dyDescent="0.3">
      <c r="CY34895" s="34" t="s">
        <v>35821</v>
      </c>
      <c r="CZ34895" s="35">
        <v>1.5131957600000002E-3</v>
      </c>
    </row>
    <row r="34896" spans="103:104" x14ac:dyDescent="0.3">
      <c r="CY34896" s="34" t="s">
        <v>35822</v>
      </c>
      <c r="CZ34896" s="35">
        <v>7.1937872000000006E-4</v>
      </c>
    </row>
    <row r="34897" spans="103:104" x14ac:dyDescent="0.3">
      <c r="CY34897" s="34" t="s">
        <v>35823</v>
      </c>
      <c r="CZ34897" s="35">
        <v>0.17462388799999998</v>
      </c>
    </row>
    <row r="34898" spans="103:104" x14ac:dyDescent="0.3">
      <c r="CY34898" s="34" t="s">
        <v>35824</v>
      </c>
      <c r="CZ34898" s="35">
        <v>5.2402249999999992E-4</v>
      </c>
    </row>
    <row r="34899" spans="103:104" x14ac:dyDescent="0.3">
      <c r="CY34899" s="34" t="s">
        <v>35825</v>
      </c>
      <c r="CZ34899" s="35">
        <v>8.9967250000000006E-3</v>
      </c>
    </row>
    <row r="34900" spans="103:104" x14ac:dyDescent="0.3">
      <c r="CY34900" s="34" t="s">
        <v>35826</v>
      </c>
      <c r="CZ34900" s="35">
        <v>7.9852826851851862E-3</v>
      </c>
    </row>
    <row r="34901" spans="103:104" x14ac:dyDescent="0.3">
      <c r="CY34901" s="34" t="s">
        <v>35827</v>
      </c>
      <c r="CZ34901" s="35">
        <v>7.9852826851851862E-3</v>
      </c>
    </row>
    <row r="34902" spans="103:104" x14ac:dyDescent="0.3">
      <c r="CY34902" s="34" t="s">
        <v>35828</v>
      </c>
      <c r="CZ34902" s="35">
        <v>7.8951493333333338E-3</v>
      </c>
    </row>
    <row r="34903" spans="103:104" x14ac:dyDescent="0.3">
      <c r="CY34903" s="34" t="s">
        <v>35829</v>
      </c>
      <c r="CZ34903" s="35">
        <v>7.895149333333332E-3</v>
      </c>
    </row>
    <row r="34904" spans="103:104" x14ac:dyDescent="0.3">
      <c r="CY34904" s="34" t="s">
        <v>35830</v>
      </c>
      <c r="CZ34904" s="35">
        <v>8.993655449999997E-3</v>
      </c>
    </row>
    <row r="34905" spans="103:104" x14ac:dyDescent="0.3">
      <c r="CY34905" s="34" t="s">
        <v>35831</v>
      </c>
      <c r="CZ34905" s="35">
        <v>1.0026635449999998E-2</v>
      </c>
    </row>
    <row r="34906" spans="103:104" x14ac:dyDescent="0.3">
      <c r="CY34906" s="34" t="s">
        <v>35832</v>
      </c>
      <c r="CZ34906" s="35">
        <v>3.7591661323076925E-2</v>
      </c>
    </row>
    <row r="34907" spans="103:104" x14ac:dyDescent="0.3">
      <c r="CY34907" s="34" t="s">
        <v>35833</v>
      </c>
      <c r="CZ34907" s="35">
        <v>3.3704994661538458E-2</v>
      </c>
    </row>
    <row r="34908" spans="103:104" x14ac:dyDescent="0.3">
      <c r="CY34908" s="34" t="s">
        <v>35834</v>
      </c>
      <c r="CZ34908" s="35">
        <v>3.3704994661538458E-2</v>
      </c>
    </row>
    <row r="34909" spans="103:104" x14ac:dyDescent="0.3">
      <c r="CY34909" s="34" t="s">
        <v>35835</v>
      </c>
      <c r="CZ34909" s="35">
        <v>2.4380039999999999E-2</v>
      </c>
    </row>
    <row r="34910" spans="103:104" x14ac:dyDescent="0.3">
      <c r="CY34910" s="34" t="s">
        <v>35836</v>
      </c>
      <c r="CZ34910" s="35">
        <v>2.3508519999999998E-2</v>
      </c>
    </row>
    <row r="34911" spans="103:104" x14ac:dyDescent="0.3">
      <c r="CY34911" s="34" t="s">
        <v>35837</v>
      </c>
      <c r="CZ34911" s="35">
        <v>4.3512260000000006E-3</v>
      </c>
    </row>
    <row r="34912" spans="103:104" x14ac:dyDescent="0.3">
      <c r="CY34912" s="34" t="s">
        <v>35838</v>
      </c>
      <c r="CZ34912" s="35">
        <v>2.2687970000000003E-3</v>
      </c>
    </row>
    <row r="34913" spans="103:104" x14ac:dyDescent="0.3">
      <c r="CY34913" s="34" t="s">
        <v>35839</v>
      </c>
      <c r="CZ34913" s="35">
        <v>8.8577264000000003E-2</v>
      </c>
    </row>
    <row r="34914" spans="103:104" x14ac:dyDescent="0.3">
      <c r="CY34914" s="34" t="s">
        <v>35840</v>
      </c>
      <c r="CZ34914" s="35">
        <v>1.9106392000000003E-2</v>
      </c>
    </row>
    <row r="34915" spans="103:104" x14ac:dyDescent="0.3">
      <c r="CY34915" s="34" t="s">
        <v>35841</v>
      </c>
      <c r="CZ34915" s="35">
        <v>2.1819690000000003E-2</v>
      </c>
    </row>
    <row r="34916" spans="103:104" x14ac:dyDescent="0.3">
      <c r="CY34916" s="34" t="s">
        <v>35842</v>
      </c>
      <c r="CZ34916" s="35">
        <v>4.0221800000000003E-4</v>
      </c>
    </row>
    <row r="34917" spans="103:104" x14ac:dyDescent="0.3">
      <c r="CY34917" s="34" t="s">
        <v>35843</v>
      </c>
      <c r="CZ34917" s="35">
        <v>2.2531000000000001E-3</v>
      </c>
    </row>
    <row r="34918" spans="103:104" x14ac:dyDescent="0.3">
      <c r="CY34918" s="34" t="s">
        <v>35844</v>
      </c>
      <c r="CZ34918" s="35">
        <v>4.6704488400000001E-2</v>
      </c>
    </row>
    <row r="34919" spans="103:104" x14ac:dyDescent="0.3">
      <c r="CY34919" s="34" t="s">
        <v>35845</v>
      </c>
      <c r="CZ34919" s="35">
        <v>9.2800831999999986E-2</v>
      </c>
    </row>
    <row r="34920" spans="103:104" x14ac:dyDescent="0.3">
      <c r="CY34920" s="34" t="s">
        <v>35846</v>
      </c>
      <c r="CZ34920" s="35">
        <v>5.980863157894737E-2</v>
      </c>
    </row>
    <row r="34921" spans="103:104" x14ac:dyDescent="0.3">
      <c r="CY34921" s="34" t="s">
        <v>35847</v>
      </c>
      <c r="CZ34921" s="35">
        <v>7.2645542666666674E-2</v>
      </c>
    </row>
    <row r="34922" spans="103:104" x14ac:dyDescent="0.3">
      <c r="CY34922" s="34" t="s">
        <v>35848</v>
      </c>
      <c r="CZ34922" s="35">
        <v>9.7799604000000012E-2</v>
      </c>
    </row>
    <row r="34923" spans="103:104" x14ac:dyDescent="0.3">
      <c r="CY34923" s="34" t="s">
        <v>35849</v>
      </c>
      <c r="CZ34923" s="35">
        <v>5.8317763157894733</v>
      </c>
    </row>
    <row r="34924" spans="103:104" x14ac:dyDescent="0.3">
      <c r="CY34924" s="34" t="s">
        <v>35850</v>
      </c>
      <c r="CZ34924" s="35">
        <v>0.12409279578947369</v>
      </c>
    </row>
    <row r="34925" spans="103:104" x14ac:dyDescent="0.3">
      <c r="CY34925" s="34" t="s">
        <v>35851</v>
      </c>
      <c r="CZ34925" s="35">
        <v>4.8860016999999999E-3</v>
      </c>
    </row>
    <row r="34926" spans="103:104" x14ac:dyDescent="0.3">
      <c r="CY34926" s="34" t="s">
        <v>35852</v>
      </c>
      <c r="CZ34926" s="35">
        <v>8.8956249999999995E-4</v>
      </c>
    </row>
    <row r="34927" spans="103:104" x14ac:dyDescent="0.3">
      <c r="CY34927" s="34" t="s">
        <v>35853</v>
      </c>
      <c r="CZ34927" s="35">
        <v>4.5930857E-3</v>
      </c>
    </row>
    <row r="34928" spans="103:104" x14ac:dyDescent="0.3">
      <c r="CY34928" s="34" t="s">
        <v>35854</v>
      </c>
      <c r="CZ34928" s="35">
        <v>4.8860017000000007E-3</v>
      </c>
    </row>
    <row r="34929" spans="103:104" x14ac:dyDescent="0.3">
      <c r="CY34929" s="34" t="s">
        <v>35855</v>
      </c>
      <c r="CZ34929" s="35">
        <v>5.9990824999999999E-3</v>
      </c>
    </row>
    <row r="34930" spans="103:104" x14ac:dyDescent="0.3">
      <c r="CY34930" s="34" t="s">
        <v>35856</v>
      </c>
      <c r="CZ34930" s="35">
        <v>6.5849144999999996E-3</v>
      </c>
    </row>
    <row r="34931" spans="103:104" x14ac:dyDescent="0.3">
      <c r="CY34931" s="34" t="s">
        <v>35857</v>
      </c>
      <c r="CZ34931" s="35">
        <v>5.9990824999999999E-3</v>
      </c>
    </row>
    <row r="34932" spans="103:104" x14ac:dyDescent="0.3">
      <c r="CY34932" s="34" t="s">
        <v>35858</v>
      </c>
      <c r="CZ34932" s="35">
        <v>0.24483344842105262</v>
      </c>
    </row>
    <row r="34933" spans="103:104" x14ac:dyDescent="0.3">
      <c r="CY34933" s="34" t="s">
        <v>35859</v>
      </c>
      <c r="CZ34933" s="35">
        <v>1.662165E-3</v>
      </c>
    </row>
    <row r="34934" spans="103:104" x14ac:dyDescent="0.3">
      <c r="CY34934" s="34" t="s">
        <v>35860</v>
      </c>
      <c r="CZ34934" s="35">
        <v>1.2412612999999999E-2</v>
      </c>
    </row>
    <row r="34935" spans="103:104" x14ac:dyDescent="0.3">
      <c r="CY34935" s="34" t="s">
        <v>35861</v>
      </c>
      <c r="CZ34935" s="35">
        <v>2.9544059599999999E-3</v>
      </c>
    </row>
    <row r="34936" spans="103:104" x14ac:dyDescent="0.3">
      <c r="CY34936" s="34" t="s">
        <v>35862</v>
      </c>
      <c r="CZ34936" s="35">
        <v>7.7470368999999991E-4</v>
      </c>
    </row>
    <row r="34937" spans="103:104" x14ac:dyDescent="0.3">
      <c r="CY34937" s="34" t="s">
        <v>35863</v>
      </c>
      <c r="CZ34937" s="35">
        <v>2.4741625000000003E-2</v>
      </c>
    </row>
    <row r="34938" spans="103:104" x14ac:dyDescent="0.3">
      <c r="CY34938" s="34" t="s">
        <v>35864</v>
      </c>
      <c r="CZ34938" s="35">
        <v>2.1991432800000002E-2</v>
      </c>
    </row>
    <row r="34939" spans="103:104" x14ac:dyDescent="0.3">
      <c r="CY34939" s="34" t="s">
        <v>35865</v>
      </c>
      <c r="CZ34939" s="35">
        <v>0.27636927351111112</v>
      </c>
    </row>
    <row r="34940" spans="103:104" x14ac:dyDescent="0.3">
      <c r="CY34940" s="34" t="s">
        <v>35866</v>
      </c>
      <c r="CZ34940" s="35">
        <v>5.8802405000000007E-3</v>
      </c>
    </row>
    <row r="34941" spans="103:104" x14ac:dyDescent="0.3">
      <c r="CY34941" s="34" t="s">
        <v>35867</v>
      </c>
      <c r="CZ34941" s="35">
        <v>8.5503805999999991E-3</v>
      </c>
    </row>
    <row r="34942" spans="103:104" x14ac:dyDescent="0.3">
      <c r="CY34942" s="34" t="s">
        <v>35868</v>
      </c>
      <c r="CZ34942" s="35">
        <v>3.5164866000000003E-2</v>
      </c>
    </row>
    <row r="34943" spans="103:104" x14ac:dyDescent="0.3">
      <c r="CY34943" s="34" t="s">
        <v>35869</v>
      </c>
      <c r="CZ34943" s="35">
        <v>6.8399788999999999E-3</v>
      </c>
    </row>
    <row r="34944" spans="103:104" x14ac:dyDescent="0.3">
      <c r="CY34944" s="34" t="s">
        <v>35870</v>
      </c>
      <c r="CZ34944" s="35">
        <v>6.8399788999999999E-3</v>
      </c>
    </row>
    <row r="34945" spans="103:104" x14ac:dyDescent="0.3">
      <c r="CY34945" s="34" t="s">
        <v>35871</v>
      </c>
      <c r="CZ34945" s="35">
        <v>6.6391079999999991E-2</v>
      </c>
    </row>
    <row r="34946" spans="103:104" x14ac:dyDescent="0.3">
      <c r="CY34946" s="34" t="s">
        <v>35872</v>
      </c>
      <c r="CZ34946" s="35">
        <v>2.2295606083333336E-2</v>
      </c>
    </row>
    <row r="34947" spans="103:104" x14ac:dyDescent="0.3">
      <c r="CY34947" s="34" t="s">
        <v>35873</v>
      </c>
      <c r="CZ34947" s="35">
        <v>0.20104792499999999</v>
      </c>
    </row>
    <row r="34948" spans="103:104" x14ac:dyDescent="0.3">
      <c r="CY34948" s="34" t="s">
        <v>35874</v>
      </c>
      <c r="CZ34948" s="35">
        <v>7.6243646700000006E-3</v>
      </c>
    </row>
    <row r="34949" spans="103:104" x14ac:dyDescent="0.3">
      <c r="CY34949" s="34" t="s">
        <v>35875</v>
      </c>
      <c r="CZ34949" s="35">
        <v>7.7419459684210526E-3</v>
      </c>
    </row>
    <row r="34950" spans="103:104" x14ac:dyDescent="0.3">
      <c r="CY34950" s="34" t="s">
        <v>35876</v>
      </c>
      <c r="CZ34950" s="35">
        <v>3.6811308888888894E-2</v>
      </c>
    </row>
    <row r="34951" spans="103:104" x14ac:dyDescent="0.3">
      <c r="CY34951" s="34" t="s">
        <v>35877</v>
      </c>
      <c r="CZ34951" s="35">
        <v>5.0928015999999993E-2</v>
      </c>
    </row>
    <row r="34952" spans="103:104" x14ac:dyDescent="0.3">
      <c r="CY34952" s="34" t="s">
        <v>35878</v>
      </c>
      <c r="CZ34952" s="35">
        <v>6.8161840000000001E-2</v>
      </c>
    </row>
    <row r="34953" spans="103:104" x14ac:dyDescent="0.3">
      <c r="CY34953" s="34" t="s">
        <v>35879</v>
      </c>
      <c r="CZ34953" s="35">
        <v>9.3284785999999981E-2</v>
      </c>
    </row>
    <row r="34954" spans="103:104" x14ac:dyDescent="0.3">
      <c r="CY34954" s="34" t="s">
        <v>35880</v>
      </c>
      <c r="CZ34954" s="35">
        <v>2.0041630000000002E-3</v>
      </c>
    </row>
    <row r="34955" spans="103:104" x14ac:dyDescent="0.3">
      <c r="CY34955" s="34" t="s">
        <v>35881</v>
      </c>
      <c r="CZ34955" s="35">
        <v>2.0041629999999998E-3</v>
      </c>
    </row>
    <row r="34956" spans="103:104" x14ac:dyDescent="0.3">
      <c r="CY34956" s="34" t="s">
        <v>35882</v>
      </c>
      <c r="CZ34956" s="35">
        <v>1.7715462999999994E-2</v>
      </c>
    </row>
    <row r="34957" spans="103:104" x14ac:dyDescent="0.3">
      <c r="CY34957" s="34" t="s">
        <v>35883</v>
      </c>
      <c r="CZ34957" s="35">
        <v>1.5874063000000001E-2</v>
      </c>
    </row>
    <row r="34958" spans="103:104" x14ac:dyDescent="0.3">
      <c r="CY34958" s="34" t="s">
        <v>35884</v>
      </c>
      <c r="CZ34958" s="35">
        <v>1.7683876000000002E-3</v>
      </c>
    </row>
    <row r="34959" spans="103:104" x14ac:dyDescent="0.3">
      <c r="CY34959" s="34" t="s">
        <v>35885</v>
      </c>
      <c r="CZ34959" s="35">
        <v>0.30202409000000002</v>
      </c>
    </row>
    <row r="34960" spans="103:104" x14ac:dyDescent="0.3">
      <c r="CY34960" s="34" t="s">
        <v>35886</v>
      </c>
      <c r="CZ34960" s="35">
        <v>7.8064850000000002E-3</v>
      </c>
    </row>
    <row r="34961" spans="103:104" x14ac:dyDescent="0.3">
      <c r="CY34961" s="34" t="s">
        <v>35887</v>
      </c>
      <c r="CZ34961" s="35">
        <v>2.386783E-4</v>
      </c>
    </row>
    <row r="34962" spans="103:104" x14ac:dyDescent="0.3">
      <c r="CY34962" s="34" t="s">
        <v>35888</v>
      </c>
      <c r="CZ34962" s="35">
        <v>2.6267943999999998E-2</v>
      </c>
    </row>
    <row r="34963" spans="103:104" x14ac:dyDescent="0.3">
      <c r="CY34963" s="34" t="s">
        <v>35889</v>
      </c>
      <c r="CZ34963" s="35">
        <v>1.5989654736842107E-3</v>
      </c>
    </row>
    <row r="34964" spans="103:104" x14ac:dyDescent="0.3">
      <c r="CY34964" s="34" t="s">
        <v>35890</v>
      </c>
      <c r="CZ34964" s="35">
        <v>5.6531883240000004E-2</v>
      </c>
    </row>
    <row r="34965" spans="103:104" x14ac:dyDescent="0.3">
      <c r="CY34965" s="34" t="s">
        <v>35891</v>
      </c>
      <c r="CZ34965" s="35">
        <v>5.3088904999999999E-3</v>
      </c>
    </row>
    <row r="34966" spans="103:104" x14ac:dyDescent="0.3">
      <c r="CY34966" s="34" t="s">
        <v>35892</v>
      </c>
      <c r="CZ34966" s="35">
        <v>1.1293043334999999E-2</v>
      </c>
    </row>
    <row r="34967" spans="103:104" x14ac:dyDescent="0.3">
      <c r="CY34967" s="34" t="s">
        <v>35893</v>
      </c>
      <c r="CZ34967" s="35">
        <v>2.2617250000000005E-3</v>
      </c>
    </row>
    <row r="34968" spans="103:104" x14ac:dyDescent="0.3">
      <c r="CY34968" s="34" t="s">
        <v>35894</v>
      </c>
      <c r="CZ34968" s="35">
        <v>1.3811778E-3</v>
      </c>
    </row>
    <row r="34969" spans="103:104" x14ac:dyDescent="0.3">
      <c r="CY34969" s="34" t="s">
        <v>35895</v>
      </c>
      <c r="CZ34969" s="35">
        <v>9.8021267999999998E-3</v>
      </c>
    </row>
    <row r="34970" spans="103:104" x14ac:dyDescent="0.3">
      <c r="CY34970" s="34" t="s">
        <v>35896</v>
      </c>
      <c r="CZ34970" s="35">
        <v>1.8646574E-3</v>
      </c>
    </row>
    <row r="34971" spans="103:104" x14ac:dyDescent="0.3">
      <c r="CY34971" s="34" t="s">
        <v>35897</v>
      </c>
      <c r="CZ34971" s="35">
        <v>2.0732149999999998E-3</v>
      </c>
    </row>
    <row r="34972" spans="103:104" x14ac:dyDescent="0.3">
      <c r="CY34972" s="34" t="s">
        <v>35898</v>
      </c>
      <c r="CZ34972" s="35">
        <v>0.71796713000000001</v>
      </c>
    </row>
    <row r="34973" spans="103:104" x14ac:dyDescent="0.3">
      <c r="CY34973" s="34" t="s">
        <v>35899</v>
      </c>
      <c r="CZ34973" s="35">
        <v>0.71796713000000001</v>
      </c>
    </row>
    <row r="34974" spans="103:104" x14ac:dyDescent="0.3">
      <c r="CY34974" s="34" t="s">
        <v>35900</v>
      </c>
      <c r="CZ34974" s="35">
        <v>0.71796713000000001</v>
      </c>
    </row>
    <row r="34975" spans="103:104" x14ac:dyDescent="0.3">
      <c r="CY34975" s="34" t="s">
        <v>35901</v>
      </c>
      <c r="CZ34975" s="35">
        <v>0.74215633000000003</v>
      </c>
    </row>
    <row r="34976" spans="103:104" x14ac:dyDescent="0.3">
      <c r="CY34976" s="34" t="s">
        <v>35902</v>
      </c>
      <c r="CZ34976" s="35">
        <v>1.0771075000000001E-2</v>
      </c>
    </row>
    <row r="34977" spans="103:104" x14ac:dyDescent="0.3">
      <c r="CY34977" s="34" t="s">
        <v>35903</v>
      </c>
      <c r="CZ34977" s="35">
        <v>8.1112749999999994E-3</v>
      </c>
    </row>
    <row r="34978" spans="103:104" x14ac:dyDescent="0.3">
      <c r="CY34978" s="34" t="s">
        <v>35904</v>
      </c>
      <c r="CZ34978" s="35">
        <v>0.24512385526315791</v>
      </c>
    </row>
    <row r="34979" spans="103:104" x14ac:dyDescent="0.3">
      <c r="CY34979" s="34" t="s">
        <v>35905</v>
      </c>
      <c r="CZ34979" s="35">
        <v>0.24512385526315794</v>
      </c>
    </row>
    <row r="34980" spans="103:104" x14ac:dyDescent="0.3">
      <c r="CY34980" s="34" t="s">
        <v>35906</v>
      </c>
      <c r="CZ34980" s="35">
        <v>0.102143544</v>
      </c>
    </row>
    <row r="34981" spans="103:104" x14ac:dyDescent="0.3">
      <c r="CY34981" s="34" t="s">
        <v>35907</v>
      </c>
      <c r="CZ34981" s="35">
        <v>4.6079030833333333E-2</v>
      </c>
    </row>
    <row r="34982" spans="103:104" x14ac:dyDescent="0.3">
      <c r="CY34982" s="34" t="s">
        <v>35908</v>
      </c>
      <c r="CZ34982" s="35">
        <v>5.354833333333333E-3</v>
      </c>
    </row>
    <row r="34983" spans="103:104" x14ac:dyDescent="0.3">
      <c r="CY34983" s="34" t="s">
        <v>35909</v>
      </c>
      <c r="CZ34983" s="35">
        <v>1.7041758000000001E-3</v>
      </c>
    </row>
    <row r="34984" spans="103:104" x14ac:dyDescent="0.3">
      <c r="CY34984" s="34" t="s">
        <v>35910</v>
      </c>
      <c r="CZ34984" s="35">
        <v>1.3559089999999998E-3</v>
      </c>
    </row>
    <row r="34985" spans="103:104" x14ac:dyDescent="0.3">
      <c r="CY34985" s="34" t="s">
        <v>35911</v>
      </c>
      <c r="CZ34985" s="35">
        <v>1.9031243999999997E-3</v>
      </c>
    </row>
    <row r="34986" spans="103:104" x14ac:dyDescent="0.3">
      <c r="CY34986" s="34" t="s">
        <v>35912</v>
      </c>
      <c r="CZ34986" s="35">
        <v>6.1785079999999981E-4</v>
      </c>
    </row>
    <row r="34987" spans="103:104" x14ac:dyDescent="0.3">
      <c r="CY34987" s="34" t="s">
        <v>35913</v>
      </c>
      <c r="CZ34987" s="35">
        <v>1.1017828E-3</v>
      </c>
    </row>
    <row r="34988" spans="103:104" x14ac:dyDescent="0.3">
      <c r="CY34988" s="34" t="s">
        <v>35914</v>
      </c>
      <c r="CZ34988" s="35">
        <v>1.6228209999999998E-3</v>
      </c>
    </row>
    <row r="34989" spans="103:104" x14ac:dyDescent="0.3">
      <c r="CY34989" s="34" t="s">
        <v>35915</v>
      </c>
      <c r="CZ34989" s="35">
        <v>1.622821E-3</v>
      </c>
    </row>
    <row r="34990" spans="103:104" x14ac:dyDescent="0.3">
      <c r="CY34990" s="34" t="s">
        <v>35916</v>
      </c>
      <c r="CZ34990" s="35">
        <v>2.1761853388667499E-3</v>
      </c>
    </row>
    <row r="34991" spans="103:104" x14ac:dyDescent="0.3">
      <c r="CY34991" s="34" t="s">
        <v>35917</v>
      </c>
      <c r="CZ34991" s="35">
        <v>4.3843520000000002E-3</v>
      </c>
    </row>
    <row r="34992" spans="103:104" x14ac:dyDescent="0.3">
      <c r="CY34992" s="34" t="s">
        <v>35918</v>
      </c>
      <c r="CZ34992" s="35">
        <v>0.14465625000000001</v>
      </c>
    </row>
    <row r="34993" spans="103:104" x14ac:dyDescent="0.3">
      <c r="CY34993" s="34" t="s">
        <v>35919</v>
      </c>
      <c r="CZ34993" s="35">
        <v>4.2940239999999996E-3</v>
      </c>
    </row>
    <row r="34994" spans="103:104" x14ac:dyDescent="0.3">
      <c r="CY34994" s="34" t="s">
        <v>35920</v>
      </c>
      <c r="CZ34994" s="35">
        <v>1.65002328E-2</v>
      </c>
    </row>
    <row r="34995" spans="103:104" x14ac:dyDescent="0.3">
      <c r="CY34995" s="34" t="s">
        <v>35921</v>
      </c>
      <c r="CZ34995" s="35">
        <v>2.9171812599999994E-3</v>
      </c>
    </row>
    <row r="34996" spans="103:104" x14ac:dyDescent="0.3">
      <c r="CY34996" s="34" t="s">
        <v>35922</v>
      </c>
      <c r="CZ34996" s="35">
        <v>1.0600515724999999E-3</v>
      </c>
    </row>
    <row r="34997" spans="103:104" x14ac:dyDescent="0.3">
      <c r="CY34997" s="34" t="s">
        <v>35923</v>
      </c>
      <c r="CZ34997" s="35">
        <v>3.1988312599999999E-3</v>
      </c>
    </row>
    <row r="34998" spans="103:104" x14ac:dyDescent="0.3">
      <c r="CY34998" s="34" t="s">
        <v>35924</v>
      </c>
      <c r="CZ34998" s="35">
        <v>8.6499999999999999E-4</v>
      </c>
    </row>
    <row r="34999" spans="103:104" x14ac:dyDescent="0.3">
      <c r="CY34999" s="34" t="s">
        <v>35925</v>
      </c>
      <c r="CZ34999" s="35">
        <v>2.6085856400000001E-3</v>
      </c>
    </row>
    <row r="35000" spans="103:104" x14ac:dyDescent="0.3">
      <c r="CY35000" s="34" t="s">
        <v>35926</v>
      </c>
      <c r="CZ35000" s="35">
        <v>2.2210348399999999E-3</v>
      </c>
    </row>
    <row r="35001" spans="103:104" x14ac:dyDescent="0.3">
      <c r="CY35001" s="34" t="s">
        <v>35927</v>
      </c>
      <c r="CZ35001" s="35">
        <v>2.7457189999999998E-3</v>
      </c>
    </row>
    <row r="35002" spans="103:104" x14ac:dyDescent="0.3">
      <c r="CY35002" s="34" t="s">
        <v>35928</v>
      </c>
      <c r="CZ35002" s="35">
        <v>1.1136597708335716E-3</v>
      </c>
    </row>
    <row r="35003" spans="103:104" x14ac:dyDescent="0.3">
      <c r="CY35003" s="34" t="s">
        <v>35929</v>
      </c>
      <c r="CZ35003" s="35">
        <v>7.3649011999999997E-4</v>
      </c>
    </row>
    <row r="35004" spans="103:104" x14ac:dyDescent="0.3">
      <c r="CY35004" s="34" t="s">
        <v>35930</v>
      </c>
      <c r="CZ35004" s="35">
        <v>1.8324292000000001E-3</v>
      </c>
    </row>
    <row r="35005" spans="103:104" x14ac:dyDescent="0.3">
      <c r="CY35005" s="34" t="s">
        <v>35931</v>
      </c>
      <c r="CZ35005" s="35">
        <v>1.8475580799999999E-3</v>
      </c>
    </row>
    <row r="35006" spans="103:104" x14ac:dyDescent="0.3">
      <c r="CY35006" s="34" t="s">
        <v>35932</v>
      </c>
      <c r="CZ35006" s="35">
        <v>1.65740344E-3</v>
      </c>
    </row>
    <row r="35007" spans="103:104" x14ac:dyDescent="0.3">
      <c r="CY35007" s="34" t="s">
        <v>35933</v>
      </c>
      <c r="CZ35007" s="35">
        <v>2.0039054399999998E-3</v>
      </c>
    </row>
    <row r="35008" spans="103:104" x14ac:dyDescent="0.3">
      <c r="CY35008" s="34" t="s">
        <v>35934</v>
      </c>
      <c r="CZ35008" s="35">
        <v>2.2931450399999997E-3</v>
      </c>
    </row>
    <row r="35009" spans="103:104" x14ac:dyDescent="0.3">
      <c r="CY35009" s="34" t="s">
        <v>35935</v>
      </c>
      <c r="CZ35009" s="35">
        <v>1.348992392E-3</v>
      </c>
    </row>
    <row r="35010" spans="103:104" x14ac:dyDescent="0.3">
      <c r="CY35010" s="34" t="s">
        <v>35936</v>
      </c>
      <c r="CZ35010" s="35">
        <v>6.2829892000000002E-3</v>
      </c>
    </row>
    <row r="35011" spans="103:104" x14ac:dyDescent="0.3">
      <c r="CY35011" s="34" t="s">
        <v>35937</v>
      </c>
      <c r="CZ35011" s="35">
        <v>2.7371869000000003E-3</v>
      </c>
    </row>
    <row r="35012" spans="103:104" x14ac:dyDescent="0.3">
      <c r="CY35012" s="34" t="s">
        <v>35938</v>
      </c>
      <c r="CZ35012" s="35">
        <v>1.3556550000000001E-2</v>
      </c>
    </row>
    <row r="35013" spans="103:104" x14ac:dyDescent="0.3">
      <c r="CY35013" s="34" t="s">
        <v>35939</v>
      </c>
      <c r="CZ35013" s="35">
        <v>1.3556549999999999E-2</v>
      </c>
    </row>
    <row r="35014" spans="103:104" x14ac:dyDescent="0.3">
      <c r="CY35014" s="34" t="s">
        <v>35940</v>
      </c>
      <c r="CZ35014" s="35">
        <v>1.7694086000000001E-2</v>
      </c>
    </row>
    <row r="35015" spans="103:104" x14ac:dyDescent="0.3">
      <c r="CY35015" s="34" t="s">
        <v>35941</v>
      </c>
      <c r="CZ35015" s="35">
        <v>1.7694086000000005E-2</v>
      </c>
    </row>
    <row r="35016" spans="103:104" x14ac:dyDescent="0.3">
      <c r="CY35016" s="34" t="s">
        <v>35942</v>
      </c>
      <c r="CZ35016" s="35">
        <v>8.4952129999999997E-3</v>
      </c>
    </row>
    <row r="35017" spans="103:104" x14ac:dyDescent="0.3">
      <c r="CY35017" s="34" t="s">
        <v>35943</v>
      </c>
      <c r="CZ35017" s="35">
        <v>1.6142509999999999E-2</v>
      </c>
    </row>
    <row r="35018" spans="103:104" x14ac:dyDescent="0.3">
      <c r="CY35018" s="34" t="s">
        <v>35944</v>
      </c>
      <c r="CZ35018" s="35">
        <v>1.6142510000000002E-2</v>
      </c>
    </row>
    <row r="35019" spans="103:104" x14ac:dyDescent="0.3">
      <c r="CY35019" s="34" t="s">
        <v>35945</v>
      </c>
      <c r="CZ35019" s="35">
        <v>0.10883436199999998</v>
      </c>
    </row>
    <row r="35020" spans="103:104" x14ac:dyDescent="0.3">
      <c r="CY35020" s="34" t="s">
        <v>35946</v>
      </c>
      <c r="CZ35020" s="35">
        <v>6.4207006199999999</v>
      </c>
    </row>
    <row r="35021" spans="103:104" x14ac:dyDescent="0.3">
      <c r="CY35021" s="34" t="s">
        <v>35947</v>
      </c>
      <c r="CZ35021" s="35">
        <v>0.64070062000000005</v>
      </c>
    </row>
    <row r="35022" spans="103:104" x14ac:dyDescent="0.3">
      <c r="CY35022" s="34" t="s">
        <v>35948</v>
      </c>
      <c r="CZ35022" s="35">
        <v>0.42211789999999999</v>
      </c>
    </row>
    <row r="35023" spans="103:104" x14ac:dyDescent="0.3">
      <c r="CY35023" s="34" t="s">
        <v>35949</v>
      </c>
      <c r="CZ35023" s="35">
        <v>6.2354364999999996</v>
      </c>
    </row>
    <row r="35024" spans="103:104" x14ac:dyDescent="0.3">
      <c r="CY35024" s="34" t="s">
        <v>35950</v>
      </c>
      <c r="CZ35024" s="35">
        <v>0.47543661999999998</v>
      </c>
    </row>
    <row r="35025" spans="103:104" x14ac:dyDescent="0.3">
      <c r="CY35025" s="34" t="s">
        <v>35951</v>
      </c>
      <c r="CZ35025" s="35">
        <v>3.3346259999999996E-4</v>
      </c>
    </row>
    <row r="35026" spans="103:104" x14ac:dyDescent="0.3">
      <c r="CY35026" s="34" t="s">
        <v>35952</v>
      </c>
      <c r="CZ35026" s="35">
        <v>0.164059808</v>
      </c>
    </row>
    <row r="35027" spans="103:104" x14ac:dyDescent="0.3">
      <c r="CY35027" s="34" t="s">
        <v>35953</v>
      </c>
      <c r="CZ35027" s="35">
        <v>5.6546844000000002E-3</v>
      </c>
    </row>
    <row r="35028" spans="103:104" x14ac:dyDescent="0.3">
      <c r="CY35028" s="34" t="s">
        <v>35954</v>
      </c>
      <c r="CZ35028" s="35">
        <v>1.2914684400000001E-2</v>
      </c>
    </row>
    <row r="35029" spans="103:104" x14ac:dyDescent="0.3">
      <c r="CY35029" s="34" t="s">
        <v>35955</v>
      </c>
      <c r="CZ35029" s="35">
        <v>6.1777066399999999E-3</v>
      </c>
    </row>
    <row r="35030" spans="103:104" x14ac:dyDescent="0.3">
      <c r="CY35030" s="34" t="s">
        <v>35956</v>
      </c>
      <c r="CZ35030" s="35">
        <v>2.514516E-2</v>
      </c>
    </row>
    <row r="35031" spans="103:104" x14ac:dyDescent="0.3">
      <c r="CY35031" s="34" t="s">
        <v>35957</v>
      </c>
      <c r="CZ35031" s="35">
        <v>0.19094774999999997</v>
      </c>
    </row>
    <row r="35032" spans="103:104" x14ac:dyDescent="0.3">
      <c r="CY35032" s="34" t="s">
        <v>35958</v>
      </c>
      <c r="CZ35032" s="35">
        <v>7.4691477511111114E-3</v>
      </c>
    </row>
    <row r="35033" spans="103:104" x14ac:dyDescent="0.3">
      <c r="CY35033" s="34" t="s">
        <v>35959</v>
      </c>
      <c r="CZ35033" s="35">
        <v>8.9443152499999994E-3</v>
      </c>
    </row>
    <row r="35034" spans="103:104" x14ac:dyDescent="0.3">
      <c r="CY35034" s="34" t="s">
        <v>35960</v>
      </c>
      <c r="CZ35034" s="35">
        <v>7.8511902488888879E-3</v>
      </c>
    </row>
    <row r="35035" spans="103:104" x14ac:dyDescent="0.3">
      <c r="CY35035" s="34" t="s">
        <v>35961</v>
      </c>
      <c r="CZ35035" s="35">
        <v>6.5703965999999994E-3</v>
      </c>
    </row>
    <row r="35036" spans="103:104" x14ac:dyDescent="0.3">
      <c r="CY35036" s="34" t="s">
        <v>35962</v>
      </c>
      <c r="CZ35036" s="35">
        <v>5.4794849999999999E-2</v>
      </c>
    </row>
    <row r="35037" spans="103:104" x14ac:dyDescent="0.3">
      <c r="CY35037" s="34" t="s">
        <v>35963</v>
      </c>
      <c r="CZ35037" s="35">
        <v>1.1650624999999999E-3</v>
      </c>
    </row>
    <row r="35038" spans="103:104" x14ac:dyDescent="0.3">
      <c r="CY35038" s="34" t="s">
        <v>35964</v>
      </c>
      <c r="CZ35038" s="35">
        <v>4.8300000000000002E-5</v>
      </c>
    </row>
    <row r="35039" spans="103:104" x14ac:dyDescent="0.3">
      <c r="CY35039" s="34" t="s">
        <v>35965</v>
      </c>
      <c r="CZ35039" s="35">
        <v>0.10621820138888889</v>
      </c>
    </row>
    <row r="35040" spans="103:104" x14ac:dyDescent="0.3">
      <c r="CY35040" s="34" t="s">
        <v>35966</v>
      </c>
      <c r="CZ35040" s="35">
        <v>4.6875734348658894E-3</v>
      </c>
    </row>
    <row r="35041" spans="103:104" x14ac:dyDescent="0.3">
      <c r="CY35041" s="34" t="s">
        <v>35967</v>
      </c>
      <c r="CZ35041" s="35">
        <v>2.3269941600000003E-2</v>
      </c>
    </row>
    <row r="35042" spans="103:104" x14ac:dyDescent="0.3">
      <c r="CY35042" s="34" t="s">
        <v>35968</v>
      </c>
      <c r="CZ35042" s="35">
        <v>2.32699416E-2</v>
      </c>
    </row>
    <row r="35043" spans="103:104" x14ac:dyDescent="0.3">
      <c r="CY35043" s="34" t="s">
        <v>35969</v>
      </c>
      <c r="CZ35043" s="35">
        <v>7.5029628571428569E-3</v>
      </c>
    </row>
    <row r="35044" spans="103:104" x14ac:dyDescent="0.3">
      <c r="CY35044" s="34" t="s">
        <v>35970</v>
      </c>
      <c r="CZ35044" s="35">
        <v>0.21756674892142858</v>
      </c>
    </row>
    <row r="35045" spans="103:104" x14ac:dyDescent="0.3">
      <c r="CY35045" s="34" t="s">
        <v>35971</v>
      </c>
      <c r="CZ35045" s="35">
        <v>9.6491849999999994E-3</v>
      </c>
    </row>
    <row r="35046" spans="103:104" x14ac:dyDescent="0.3">
      <c r="CY35046" s="34" t="s">
        <v>35972</v>
      </c>
      <c r="CZ35046" s="35">
        <v>1.1750389999999999E-3</v>
      </c>
    </row>
    <row r="35047" spans="103:104" x14ac:dyDescent="0.3">
      <c r="CY35047" s="34" t="s">
        <v>35973</v>
      </c>
      <c r="CZ35047" s="35">
        <v>5.2976091810000001E-2</v>
      </c>
    </row>
    <row r="35048" spans="103:104" x14ac:dyDescent="0.3">
      <c r="CY35048" s="34" t="s">
        <v>35974</v>
      </c>
      <c r="CZ35048" s="35">
        <v>7.9388542500000003E-3</v>
      </c>
    </row>
    <row r="35049" spans="103:104" x14ac:dyDescent="0.3">
      <c r="CY35049" s="34" t="s">
        <v>35975</v>
      </c>
      <c r="CZ35049" s="35">
        <v>7.4695199999999995E-3</v>
      </c>
    </row>
    <row r="35050" spans="103:104" x14ac:dyDescent="0.3">
      <c r="CY35050" s="34" t="s">
        <v>35976</v>
      </c>
      <c r="CZ35050" s="35">
        <v>7.4882106680000003E-3</v>
      </c>
    </row>
    <row r="35051" spans="103:104" x14ac:dyDescent="0.3">
      <c r="CY35051" s="34" t="s">
        <v>35977</v>
      </c>
      <c r="CZ35051" s="35">
        <v>0.51045883224999999</v>
      </c>
    </row>
    <row r="35052" spans="103:104" x14ac:dyDescent="0.3">
      <c r="CY35052" s="34" t="s">
        <v>35978</v>
      </c>
      <c r="CZ35052" s="35">
        <v>7.2386936000000002E-3</v>
      </c>
    </row>
    <row r="35053" spans="103:104" x14ac:dyDescent="0.3">
      <c r="CY35053" s="34" t="s">
        <v>35979</v>
      </c>
      <c r="CZ35053" s="35">
        <v>4.4601382500000002E-2</v>
      </c>
    </row>
    <row r="35054" spans="103:104" x14ac:dyDescent="0.3">
      <c r="CY35054" s="34" t="s">
        <v>35980</v>
      </c>
      <c r="CZ35054" s="35">
        <v>1.07421958E-3</v>
      </c>
    </row>
    <row r="35055" spans="103:104" x14ac:dyDescent="0.3">
      <c r="CY35055" s="34" t="s">
        <v>35981</v>
      </c>
      <c r="CZ35055" s="35">
        <v>1.0742195799999998E-3</v>
      </c>
    </row>
    <row r="35056" spans="103:104" x14ac:dyDescent="0.3">
      <c r="CY35056" s="34" t="s">
        <v>35982</v>
      </c>
      <c r="CZ35056" s="35">
        <v>1.9736646200000001E-3</v>
      </c>
    </row>
    <row r="35057" spans="103:104" x14ac:dyDescent="0.3">
      <c r="CY35057" s="34" t="s">
        <v>35983</v>
      </c>
      <c r="CZ35057" s="35">
        <v>1.8041674999999997E-3</v>
      </c>
    </row>
    <row r="35058" spans="103:104" x14ac:dyDescent="0.3">
      <c r="CY35058" s="34" t="s">
        <v>35984</v>
      </c>
      <c r="CZ35058" s="35">
        <v>4.0209584999999992E-2</v>
      </c>
    </row>
    <row r="35059" spans="103:104" x14ac:dyDescent="0.3">
      <c r="CY35059" s="34" t="s">
        <v>35985</v>
      </c>
      <c r="CZ35059" s="35">
        <v>3.0832945000000004E-2</v>
      </c>
    </row>
    <row r="35060" spans="103:104" x14ac:dyDescent="0.3">
      <c r="CY35060" s="34" t="s">
        <v>35986</v>
      </c>
      <c r="CZ35060" s="35">
        <v>2.4916016669999996E-2</v>
      </c>
    </row>
    <row r="35061" spans="103:104" x14ac:dyDescent="0.3">
      <c r="CY35061" s="34" t="s">
        <v>35987</v>
      </c>
      <c r="CZ35061" s="35">
        <v>1.9315616670000001E-2</v>
      </c>
    </row>
    <row r="35062" spans="103:104" x14ac:dyDescent="0.3">
      <c r="CY35062" s="34" t="s">
        <v>35988</v>
      </c>
      <c r="CZ35062" s="35">
        <v>2.2083169543147207E-2</v>
      </c>
    </row>
    <row r="35063" spans="103:104" x14ac:dyDescent="0.3">
      <c r="CY35063" s="34" t="s">
        <v>35989</v>
      </c>
      <c r="CZ35063" s="35">
        <v>2.2083169543147207E-2</v>
      </c>
    </row>
    <row r="35064" spans="103:104" x14ac:dyDescent="0.3">
      <c r="CY35064" s="34" t="s">
        <v>35990</v>
      </c>
      <c r="CZ35064" s="35">
        <v>2.2083169543147207E-2</v>
      </c>
    </row>
    <row r="35065" spans="103:104" x14ac:dyDescent="0.3">
      <c r="CY35065" s="34" t="s">
        <v>35991</v>
      </c>
      <c r="CZ35065" s="35">
        <v>2.2083169543147207E-2</v>
      </c>
    </row>
    <row r="35066" spans="103:104" x14ac:dyDescent="0.3">
      <c r="CY35066" s="34" t="s">
        <v>35992</v>
      </c>
      <c r="CZ35066" s="35">
        <v>2.2083169543147207E-2</v>
      </c>
    </row>
    <row r="35067" spans="103:104" x14ac:dyDescent="0.3">
      <c r="CY35067" s="34" t="s">
        <v>35993</v>
      </c>
      <c r="CZ35067" s="35">
        <v>6.3356304999999998E-3</v>
      </c>
    </row>
    <row r="35068" spans="103:104" x14ac:dyDescent="0.3">
      <c r="CY35068" s="34" t="s">
        <v>35994</v>
      </c>
      <c r="CZ35068" s="35">
        <v>1.1040926000000001E-3</v>
      </c>
    </row>
    <row r="35069" spans="103:104" x14ac:dyDescent="0.3">
      <c r="CY35069" s="34" t="s">
        <v>35995</v>
      </c>
      <c r="CZ35069" s="35">
        <v>2.1970968499999996E-3</v>
      </c>
    </row>
    <row r="35070" spans="103:104" x14ac:dyDescent="0.3">
      <c r="CY35070" s="34" t="s">
        <v>35996</v>
      </c>
      <c r="CZ35070" s="35">
        <v>6.3542662571428573E-3</v>
      </c>
    </row>
    <row r="35071" spans="103:104" x14ac:dyDescent="0.3">
      <c r="CY35071" s="34" t="s">
        <v>35997</v>
      </c>
      <c r="CZ35071" s="35">
        <v>1.6772014285714289E-3</v>
      </c>
    </row>
    <row r="35072" spans="103:104" x14ac:dyDescent="0.3">
      <c r="CY35072" s="34" t="s">
        <v>35998</v>
      </c>
      <c r="CZ35072" s="35">
        <v>3.1639048357142859E-3</v>
      </c>
    </row>
    <row r="35073" spans="103:104" x14ac:dyDescent="0.3">
      <c r="CY35073" s="34" t="s">
        <v>35999</v>
      </c>
      <c r="CZ35073" s="35">
        <v>3.1378210000000006E-4</v>
      </c>
    </row>
    <row r="35074" spans="103:104" x14ac:dyDescent="0.3">
      <c r="CY35074" s="34" t="s">
        <v>36000</v>
      </c>
      <c r="CZ35074" s="35">
        <v>3.8192992857142855E-4</v>
      </c>
    </row>
    <row r="35075" spans="103:104" x14ac:dyDescent="0.3">
      <c r="CY35075" s="34" t="s">
        <v>36001</v>
      </c>
      <c r="CZ35075" s="35">
        <v>4.1681499999999998E-3</v>
      </c>
    </row>
    <row r="35076" spans="103:104" x14ac:dyDescent="0.3">
      <c r="CY35076" s="34" t="s">
        <v>36002</v>
      </c>
      <c r="CZ35076" s="35">
        <v>7.5929261936999995E-3</v>
      </c>
    </row>
    <row r="35077" spans="103:104" x14ac:dyDescent="0.3">
      <c r="CY35077" s="34" t="s">
        <v>36003</v>
      </c>
      <c r="CZ35077" s="35">
        <v>3.4454469999999994E-2</v>
      </c>
    </row>
    <row r="35078" spans="103:104" x14ac:dyDescent="0.3">
      <c r="CY35078" s="34" t="s">
        <v>36004</v>
      </c>
      <c r="CZ35078" s="35">
        <v>2.8445616E-3</v>
      </c>
    </row>
    <row r="35079" spans="103:104" x14ac:dyDescent="0.3">
      <c r="CY35079" s="34" t="s">
        <v>36005</v>
      </c>
      <c r="CZ35079" s="35">
        <v>1.80751873E-2</v>
      </c>
    </row>
    <row r="35080" spans="103:104" x14ac:dyDescent="0.3">
      <c r="CY35080" s="34" t="s">
        <v>36006</v>
      </c>
      <c r="CZ35080" s="35">
        <v>9.8858750000000014E-4</v>
      </c>
    </row>
    <row r="35081" spans="103:104" x14ac:dyDescent="0.3">
      <c r="CY35081" s="34" t="s">
        <v>36007</v>
      </c>
      <c r="CZ35081" s="35">
        <v>6.2181471999999995E-3</v>
      </c>
    </row>
    <row r="35082" spans="103:104" x14ac:dyDescent="0.3">
      <c r="CY35082" s="34" t="s">
        <v>36008</v>
      </c>
      <c r="CZ35082" s="35">
        <v>5.6489933999999999E-3</v>
      </c>
    </row>
    <row r="35083" spans="103:104" x14ac:dyDescent="0.3">
      <c r="CY35083" s="34" t="s">
        <v>36009</v>
      </c>
      <c r="CZ35083" s="35">
        <v>3.7787194159999999E-3</v>
      </c>
    </row>
    <row r="35084" spans="103:104" x14ac:dyDescent="0.3">
      <c r="CY35084" s="34" t="s">
        <v>36010</v>
      </c>
      <c r="CZ35084" s="35">
        <v>1.0942489999999999E-2</v>
      </c>
    </row>
    <row r="35085" spans="103:104" x14ac:dyDescent="0.3">
      <c r="CY35085" s="34" t="s">
        <v>36011</v>
      </c>
      <c r="CZ35085" s="35">
        <v>1.0942489999999999E-2</v>
      </c>
    </row>
    <row r="35086" spans="103:104" x14ac:dyDescent="0.3">
      <c r="CY35086" s="34" t="s">
        <v>36012</v>
      </c>
      <c r="CZ35086" s="35">
        <v>3.7764024999999993E-2</v>
      </c>
    </row>
    <row r="35087" spans="103:104" x14ac:dyDescent="0.3">
      <c r="CY35087" s="34" t="s">
        <v>36013</v>
      </c>
      <c r="CZ35087" s="35">
        <v>3.7764024999999993E-2</v>
      </c>
    </row>
    <row r="35088" spans="103:104" x14ac:dyDescent="0.3">
      <c r="CY35088" s="34" t="s">
        <v>36014</v>
      </c>
      <c r="CZ35088" s="35">
        <v>0.59050692700000007</v>
      </c>
    </row>
    <row r="35089" spans="103:104" x14ac:dyDescent="0.3">
      <c r="CY35089" s="34" t="s">
        <v>36015</v>
      </c>
      <c r="CZ35089" s="35">
        <v>3.5776255999999998E-3</v>
      </c>
    </row>
    <row r="35090" spans="103:104" x14ac:dyDescent="0.3">
      <c r="CY35090" s="34" t="s">
        <v>36016</v>
      </c>
      <c r="CZ35090" s="35">
        <v>1.0809255999999999E-3</v>
      </c>
    </row>
    <row r="35091" spans="103:104" x14ac:dyDescent="0.3">
      <c r="CY35091" s="34" t="s">
        <v>36017</v>
      </c>
      <c r="CZ35091" s="35">
        <v>6.6633999999999999E-2</v>
      </c>
    </row>
    <row r="35092" spans="103:104" x14ac:dyDescent="0.3">
      <c r="CY35092" s="34" t="s">
        <v>36018</v>
      </c>
      <c r="CZ35092" s="35">
        <v>6.5242885000000002E-3</v>
      </c>
    </row>
    <row r="35093" spans="103:104" x14ac:dyDescent="0.3">
      <c r="CY35093" s="34" t="s">
        <v>36019</v>
      </c>
      <c r="CZ35093" s="35">
        <v>0.79857306400000005</v>
      </c>
    </row>
    <row r="35094" spans="103:104" x14ac:dyDescent="0.3">
      <c r="CY35094" s="34" t="s">
        <v>36020</v>
      </c>
      <c r="CZ35094" s="35">
        <v>2.0573403686666665</v>
      </c>
    </row>
    <row r="35095" spans="103:104" x14ac:dyDescent="0.3">
      <c r="CY35095" s="34" t="s">
        <v>36021</v>
      </c>
      <c r="CZ35095" s="35">
        <v>0.97089589599999992</v>
      </c>
    </row>
    <row r="35096" spans="103:104" x14ac:dyDescent="0.3">
      <c r="CY35096" s="34" t="s">
        <v>36022</v>
      </c>
      <c r="CZ35096" s="35">
        <v>2.1911267773333325</v>
      </c>
    </row>
    <row r="35097" spans="103:104" x14ac:dyDescent="0.3">
      <c r="CY35097" s="34" t="s">
        <v>36023</v>
      </c>
      <c r="CZ35097" s="35">
        <v>0.14198716000000003</v>
      </c>
    </row>
    <row r="35098" spans="103:104" x14ac:dyDescent="0.3">
      <c r="CY35098" s="34" t="s">
        <v>36024</v>
      </c>
      <c r="CZ35098" s="35">
        <v>1.4789026480000001E-3</v>
      </c>
    </row>
    <row r="35099" spans="103:104" x14ac:dyDescent="0.3">
      <c r="CY35099" s="34" t="s">
        <v>36025</v>
      </c>
      <c r="CZ35099" s="35">
        <v>8.3462736666666676E-2</v>
      </c>
    </row>
    <row r="35100" spans="103:104" x14ac:dyDescent="0.3">
      <c r="CY35100" s="34" t="s">
        <v>36026</v>
      </c>
      <c r="CZ35100" s="35">
        <v>1.9602254399999998E-2</v>
      </c>
    </row>
    <row r="35101" spans="103:104" x14ac:dyDescent="0.3">
      <c r="CY35101" s="34" t="s">
        <v>36027</v>
      </c>
      <c r="CZ35101" s="35">
        <v>1.9602254400000001E-2</v>
      </c>
    </row>
    <row r="35102" spans="103:104" x14ac:dyDescent="0.3">
      <c r="CY35102" s="34" t="s">
        <v>36028</v>
      </c>
      <c r="CZ35102" s="35">
        <v>4.0961065600000006E-2</v>
      </c>
    </row>
    <row r="35103" spans="103:104" x14ac:dyDescent="0.3">
      <c r="CY35103" s="34" t="s">
        <v>36029</v>
      </c>
      <c r="CZ35103" s="35">
        <v>4.4183878000000003E-2</v>
      </c>
    </row>
    <row r="35104" spans="103:104" x14ac:dyDescent="0.3">
      <c r="CY35104" s="34" t="s">
        <v>36030</v>
      </c>
      <c r="CZ35104" s="35">
        <v>3.7201785999999994E-2</v>
      </c>
    </row>
    <row r="35105" spans="103:104" x14ac:dyDescent="0.3">
      <c r="CY35105" s="34" t="s">
        <v>36031</v>
      </c>
      <c r="CZ35105" s="35">
        <v>3.7201786000000001E-2</v>
      </c>
    </row>
    <row r="35106" spans="103:104" x14ac:dyDescent="0.3">
      <c r="CY35106" s="34" t="s">
        <v>36032</v>
      </c>
      <c r="CZ35106" s="35">
        <v>4.339900666666667E-2</v>
      </c>
    </row>
    <row r="35107" spans="103:104" x14ac:dyDescent="0.3">
      <c r="CY35107" s="34" t="s">
        <v>36033</v>
      </c>
      <c r="CZ35107" s="35">
        <v>4.6819566666666673E-2</v>
      </c>
    </row>
    <row r="35108" spans="103:104" x14ac:dyDescent="0.3">
      <c r="CY35108" s="34" t="s">
        <v>36034</v>
      </c>
      <c r="CZ35108" s="35">
        <v>4.8266726666666662E-2</v>
      </c>
    </row>
    <row r="35109" spans="103:104" x14ac:dyDescent="0.3">
      <c r="CY35109" s="34" t="s">
        <v>36035</v>
      </c>
      <c r="CZ35109" s="35">
        <v>1.4847234400000001E-3</v>
      </c>
    </row>
    <row r="35110" spans="103:104" x14ac:dyDescent="0.3">
      <c r="CY35110" s="34" t="s">
        <v>36036</v>
      </c>
      <c r="CZ35110" s="35">
        <v>5.0988047E-3</v>
      </c>
    </row>
    <row r="35111" spans="103:104" x14ac:dyDescent="0.3">
      <c r="CY35111" s="34" t="s">
        <v>36037</v>
      </c>
      <c r="CZ35111" s="35">
        <v>9.2235730000000005E-3</v>
      </c>
    </row>
    <row r="35112" spans="103:104" x14ac:dyDescent="0.3">
      <c r="CY35112" s="34" t="s">
        <v>36038</v>
      </c>
      <c r="CZ35112" s="35">
        <v>5.6858164999999995E-2</v>
      </c>
    </row>
    <row r="35113" spans="103:104" x14ac:dyDescent="0.3">
      <c r="CY35113" s="34" t="s">
        <v>36039</v>
      </c>
      <c r="CZ35113" s="35">
        <v>4.1411429000000003E-3</v>
      </c>
    </row>
    <row r="35114" spans="103:104" x14ac:dyDescent="0.3">
      <c r="CY35114" s="34" t="s">
        <v>36040</v>
      </c>
      <c r="CZ35114" s="35">
        <v>0.14379062500000001</v>
      </c>
    </row>
    <row r="35115" spans="103:104" x14ac:dyDescent="0.3">
      <c r="CY35115" s="34" t="s">
        <v>36041</v>
      </c>
      <c r="CZ35115" s="35">
        <v>0.1464340277</v>
      </c>
    </row>
    <row r="35116" spans="103:104" x14ac:dyDescent="0.3">
      <c r="CY35116" s="34" t="s">
        <v>36042</v>
      </c>
      <c r="CZ35116" s="35">
        <v>0.3465503472</v>
      </c>
    </row>
    <row r="35117" spans="103:104" x14ac:dyDescent="0.3">
      <c r="CY35117" s="34" t="s">
        <v>36043</v>
      </c>
      <c r="CZ35117" s="35">
        <v>0.2008240489</v>
      </c>
    </row>
    <row r="35118" spans="103:104" x14ac:dyDescent="0.3">
      <c r="CY35118" s="34" t="s">
        <v>36044</v>
      </c>
      <c r="CZ35118" s="35">
        <v>6.1586041699999997E-2</v>
      </c>
    </row>
    <row r="35119" spans="103:104" x14ac:dyDescent="0.3">
      <c r="CY35119" s="34" t="s">
        <v>36045</v>
      </c>
      <c r="CZ35119" s="35">
        <v>0.12575874999999997</v>
      </c>
    </row>
    <row r="35120" spans="103:104" x14ac:dyDescent="0.3">
      <c r="CY35120" s="34" t="s">
        <v>36046</v>
      </c>
      <c r="CZ35120" s="35">
        <v>0.11465853300000001</v>
      </c>
    </row>
    <row r="35121" spans="103:104" x14ac:dyDescent="0.3">
      <c r="CY35121" s="34" t="s">
        <v>36047</v>
      </c>
      <c r="CZ35121" s="35">
        <v>1.1588799999999999E-3</v>
      </c>
    </row>
    <row r="35122" spans="103:104" x14ac:dyDescent="0.3">
      <c r="CY35122" s="34" t="s">
        <v>36048</v>
      </c>
      <c r="CZ35122" s="35">
        <v>9.0077857999999997E-2</v>
      </c>
    </row>
    <row r="35123" spans="103:104" x14ac:dyDescent="0.3">
      <c r="CY35123" s="34" t="s">
        <v>36049</v>
      </c>
      <c r="CZ35123" s="35">
        <v>1.7208706288888893E-2</v>
      </c>
    </row>
    <row r="35124" spans="103:104" x14ac:dyDescent="0.3">
      <c r="CY35124" s="34" t="s">
        <v>36050</v>
      </c>
      <c r="CZ35124" s="35">
        <v>1.9562638399999995E-2</v>
      </c>
    </row>
    <row r="35125" spans="103:104" x14ac:dyDescent="0.3">
      <c r="CY35125" s="34" t="s">
        <v>36051</v>
      </c>
      <c r="CZ35125" s="35">
        <v>6.2412783505154647E-2</v>
      </c>
    </row>
    <row r="35126" spans="103:104" x14ac:dyDescent="0.3">
      <c r="CY35126" s="34" t="s">
        <v>36052</v>
      </c>
      <c r="CZ35126" s="35">
        <v>7.2733840000000004E-4</v>
      </c>
    </row>
    <row r="35127" spans="103:104" x14ac:dyDescent="0.3">
      <c r="CY35127" s="34" t="s">
        <v>36053</v>
      </c>
      <c r="CZ35127" s="35">
        <v>0.27563236500000005</v>
      </c>
    </row>
    <row r="35128" spans="103:104" x14ac:dyDescent="0.3">
      <c r="CY35128" s="34" t="s">
        <v>36054</v>
      </c>
      <c r="CZ35128" s="35">
        <v>0.29952574099999996</v>
      </c>
    </row>
    <row r="35129" spans="103:104" x14ac:dyDescent="0.3">
      <c r="CY35129" s="34" t="s">
        <v>36055</v>
      </c>
      <c r="CZ35129" s="35">
        <v>1.0750016000000001E-3</v>
      </c>
    </row>
    <row r="35130" spans="103:104" x14ac:dyDescent="0.3">
      <c r="CY35130" s="34" t="s">
        <v>36056</v>
      </c>
      <c r="CZ35130" s="35">
        <v>6.9409118086000005E-2</v>
      </c>
    </row>
    <row r="35131" spans="103:104" x14ac:dyDescent="0.3">
      <c r="CY35131" s="34" t="s">
        <v>36057</v>
      </c>
      <c r="CZ35131" s="35">
        <v>1.5806860000000002E-2</v>
      </c>
    </row>
    <row r="35132" spans="103:104" x14ac:dyDescent="0.3">
      <c r="CY35132" s="34" t="s">
        <v>36058</v>
      </c>
      <c r="CZ35132" s="35">
        <v>1.5423392266666665E-2</v>
      </c>
    </row>
    <row r="35133" spans="103:104" x14ac:dyDescent="0.3">
      <c r="CY35133" s="34" t="s">
        <v>36059</v>
      </c>
      <c r="CZ35133" s="35">
        <v>0.33679124666666671</v>
      </c>
    </row>
    <row r="35134" spans="103:104" x14ac:dyDescent="0.3">
      <c r="CY35134" s="34" t="s">
        <v>36060</v>
      </c>
      <c r="CZ35134" s="35">
        <v>0.8400076143041999</v>
      </c>
    </row>
    <row r="35135" spans="103:104" x14ac:dyDescent="0.3">
      <c r="CY35135" s="34" t="s">
        <v>36061</v>
      </c>
      <c r="CZ35135" s="35">
        <v>0.77768541670000002</v>
      </c>
    </row>
    <row r="35136" spans="103:104" x14ac:dyDescent="0.3">
      <c r="CY35136" s="34" t="s">
        <v>36062</v>
      </c>
      <c r="CZ35136" s="35">
        <v>0.100752244</v>
      </c>
    </row>
    <row r="35137" spans="103:104" x14ac:dyDescent="0.3">
      <c r="CY35137" s="34" t="s">
        <v>36063</v>
      </c>
      <c r="CZ35137" s="35">
        <v>0.38298979999999994</v>
      </c>
    </row>
    <row r="35138" spans="103:104" x14ac:dyDescent="0.3">
      <c r="CY35138" s="34" t="s">
        <v>36064</v>
      </c>
      <c r="CZ35138" s="35">
        <v>8.5155249999999995E-3</v>
      </c>
    </row>
    <row r="35139" spans="103:104" x14ac:dyDescent="0.3">
      <c r="CY35139" s="34" t="s">
        <v>36065</v>
      </c>
      <c r="CZ35139" s="35">
        <v>6.4449718400000008E-2</v>
      </c>
    </row>
    <row r="35140" spans="103:104" x14ac:dyDescent="0.3">
      <c r="CY35140" s="34" t="s">
        <v>36066</v>
      </c>
      <c r="CZ35140" s="35">
        <v>2.0729662799999996E-3</v>
      </c>
    </row>
    <row r="35141" spans="103:104" x14ac:dyDescent="0.3">
      <c r="CY35141" s="34" t="s">
        <v>36067</v>
      </c>
      <c r="CZ35141" s="35">
        <v>1.3918418399999999E-3</v>
      </c>
    </row>
    <row r="35142" spans="103:104" x14ac:dyDescent="0.3">
      <c r="CY35142" s="34" t="s">
        <v>36068</v>
      </c>
      <c r="CZ35142" s="35">
        <v>3.7125851560000006E-2</v>
      </c>
    </row>
    <row r="35143" spans="103:104" x14ac:dyDescent="0.3">
      <c r="CY35143" s="34" t="s">
        <v>36069</v>
      </c>
      <c r="CZ35143" s="35">
        <v>8.0788125000000009E-3</v>
      </c>
    </row>
    <row r="35144" spans="103:104" x14ac:dyDescent="0.3">
      <c r="CY35144" s="34" t="s">
        <v>36070</v>
      </c>
      <c r="CZ35144" s="35">
        <v>3.2969545000000005E-3</v>
      </c>
    </row>
    <row r="35145" spans="103:104" x14ac:dyDescent="0.3">
      <c r="CY35145" s="34" t="s">
        <v>36071</v>
      </c>
      <c r="CZ35145" s="35">
        <v>7.4086680000000002E-2</v>
      </c>
    </row>
    <row r="35146" spans="103:104" x14ac:dyDescent="0.3">
      <c r="CY35146" s="34" t="s">
        <v>36072</v>
      </c>
      <c r="CZ35146" s="35">
        <v>9.7159576699999998E-4</v>
      </c>
    </row>
    <row r="35147" spans="103:104" x14ac:dyDescent="0.3">
      <c r="CY35147" s="34" t="s">
        <v>36073</v>
      </c>
      <c r="CZ35147" s="35">
        <v>1.1357181664285714E-3</v>
      </c>
    </row>
    <row r="35148" spans="103:104" x14ac:dyDescent="0.3">
      <c r="CY35148" s="34" t="s">
        <v>36074</v>
      </c>
      <c r="CZ35148" s="35">
        <v>1.1357181664285716E-3</v>
      </c>
    </row>
    <row r="35149" spans="103:104" x14ac:dyDescent="0.3">
      <c r="CY35149" s="34" t="s">
        <v>36075</v>
      </c>
      <c r="CZ35149" s="35">
        <v>6.8525782399999995E-4</v>
      </c>
    </row>
    <row r="35150" spans="103:104" x14ac:dyDescent="0.3">
      <c r="CY35150" s="34" t="s">
        <v>36076</v>
      </c>
      <c r="CZ35150" s="35">
        <v>5.6672334399999998E-3</v>
      </c>
    </row>
    <row r="35151" spans="103:104" x14ac:dyDescent="0.3">
      <c r="CY35151" s="34" t="s">
        <v>36077</v>
      </c>
      <c r="CZ35151" s="35">
        <v>3.4681822400000001E-4</v>
      </c>
    </row>
    <row r="35152" spans="103:104" x14ac:dyDescent="0.3">
      <c r="CY35152" s="34" t="s">
        <v>36078</v>
      </c>
      <c r="CZ35152" s="35">
        <v>5.3265436800000007E-4</v>
      </c>
    </row>
    <row r="35153" spans="103:104" x14ac:dyDescent="0.3">
      <c r="CY35153" s="34" t="s">
        <v>36079</v>
      </c>
      <c r="CZ35153" s="35">
        <v>8.0586288000000002E-4</v>
      </c>
    </row>
    <row r="35154" spans="103:104" x14ac:dyDescent="0.3">
      <c r="CY35154" s="34" t="s">
        <v>36080</v>
      </c>
      <c r="CZ35154" s="35">
        <v>0.123467944</v>
      </c>
    </row>
    <row r="35155" spans="103:104" x14ac:dyDescent="0.3">
      <c r="CY35155" s="34" t="s">
        <v>36081</v>
      </c>
      <c r="CZ35155" s="35">
        <v>4.1929741599999997E-3</v>
      </c>
    </row>
    <row r="35156" spans="103:104" x14ac:dyDescent="0.3">
      <c r="CY35156" s="34" t="s">
        <v>36082</v>
      </c>
      <c r="CZ35156" s="35">
        <v>0.14744981000000001</v>
      </c>
    </row>
    <row r="35157" spans="103:104" x14ac:dyDescent="0.3">
      <c r="CY35157" s="34" t="s">
        <v>36083</v>
      </c>
      <c r="CZ35157" s="35">
        <v>3.0107933600000006E-3</v>
      </c>
    </row>
    <row r="35158" spans="103:104" x14ac:dyDescent="0.3">
      <c r="CY35158" s="34" t="s">
        <v>36084</v>
      </c>
      <c r="CZ35158" s="35">
        <v>4.1737146800000001E-4</v>
      </c>
    </row>
    <row r="35159" spans="103:104" x14ac:dyDescent="0.3">
      <c r="CY35159" s="34" t="s">
        <v>36085</v>
      </c>
      <c r="CZ35159" s="35">
        <v>7.1024839679999993E-3</v>
      </c>
    </row>
    <row r="35160" spans="103:104" x14ac:dyDescent="0.3">
      <c r="CY35160" s="34" t="s">
        <v>36086</v>
      </c>
      <c r="CZ35160" s="35">
        <v>5.6851637199999997E-3</v>
      </c>
    </row>
    <row r="35161" spans="103:104" x14ac:dyDescent="0.3">
      <c r="CY35161" s="34" t="s">
        <v>36087</v>
      </c>
      <c r="CZ35161" s="35">
        <v>0.22782776200000002</v>
      </c>
    </row>
    <row r="35162" spans="103:104" x14ac:dyDescent="0.3">
      <c r="CY35162" s="34" t="s">
        <v>36088</v>
      </c>
      <c r="CZ35162" s="35">
        <v>1.0371368999999998E-2</v>
      </c>
    </row>
    <row r="35163" spans="103:104" x14ac:dyDescent="0.3">
      <c r="CY35163" s="34" t="s">
        <v>36089</v>
      </c>
      <c r="CZ35163" s="35">
        <v>4.3883329666666665E-2</v>
      </c>
    </row>
    <row r="35164" spans="103:104" x14ac:dyDescent="0.3">
      <c r="CY35164" s="34" t="s">
        <v>36090</v>
      </c>
      <c r="CZ35164" s="35">
        <v>3.6701401666666668E-2</v>
      </c>
    </row>
    <row r="35165" spans="103:104" x14ac:dyDescent="0.3">
      <c r="CY35165" s="34" t="s">
        <v>36091</v>
      </c>
      <c r="CZ35165" s="35">
        <v>2.1518860000000004E-2</v>
      </c>
    </row>
    <row r="35166" spans="103:104" x14ac:dyDescent="0.3">
      <c r="CY35166" s="34" t="s">
        <v>36092</v>
      </c>
      <c r="CZ35166" s="35">
        <v>0.102333325</v>
      </c>
    </row>
    <row r="35167" spans="103:104" x14ac:dyDescent="0.3">
      <c r="CY35167" s="34" t="s">
        <v>36093</v>
      </c>
      <c r="CZ35167" s="35">
        <v>1.5350250000000001E-2</v>
      </c>
    </row>
    <row r="35168" spans="103:104" x14ac:dyDescent="0.3">
      <c r="CY35168" s="34" t="s">
        <v>36094</v>
      </c>
      <c r="CZ35168" s="35">
        <v>4.4769906666666673E-3</v>
      </c>
    </row>
    <row r="35169" spans="103:104" x14ac:dyDescent="0.3">
      <c r="CY35169" s="34" t="s">
        <v>36095</v>
      </c>
      <c r="CZ35169" s="35">
        <v>1.5083808333333334E-2</v>
      </c>
    </row>
    <row r="35170" spans="103:104" x14ac:dyDescent="0.3">
      <c r="CY35170" s="34" t="s">
        <v>36096</v>
      </c>
      <c r="CZ35170" s="35">
        <v>2.2430812999999997E-3</v>
      </c>
    </row>
    <row r="35171" spans="103:104" x14ac:dyDescent="0.3">
      <c r="CY35171" s="34" t="s">
        <v>36097</v>
      </c>
      <c r="CZ35171" s="35">
        <v>3.7354408000000006E-2</v>
      </c>
    </row>
    <row r="35172" spans="103:104" x14ac:dyDescent="0.3">
      <c r="CY35172" s="34" t="s">
        <v>36098</v>
      </c>
      <c r="CZ35172" s="35">
        <v>3.8341586000000004E-2</v>
      </c>
    </row>
    <row r="35173" spans="103:104" x14ac:dyDescent="0.3">
      <c r="CY35173" s="34" t="s">
        <v>36099</v>
      </c>
      <c r="CZ35173" s="35">
        <v>4.20928624E-2</v>
      </c>
    </row>
    <row r="35174" spans="103:104" x14ac:dyDescent="0.3">
      <c r="CY35174" s="34" t="s">
        <v>36100</v>
      </c>
      <c r="CZ35174" s="35">
        <v>4.3869782800000007E-2</v>
      </c>
    </row>
    <row r="35175" spans="103:104" x14ac:dyDescent="0.3">
      <c r="CY35175" s="34" t="s">
        <v>36101</v>
      </c>
      <c r="CZ35175" s="35">
        <v>4.6239009999999997E-2</v>
      </c>
    </row>
    <row r="35176" spans="103:104" x14ac:dyDescent="0.3">
      <c r="CY35176" s="34" t="s">
        <v>36102</v>
      </c>
      <c r="CZ35176" s="35">
        <v>4.9397979600000003E-2</v>
      </c>
    </row>
    <row r="35177" spans="103:104" x14ac:dyDescent="0.3">
      <c r="CY35177" s="34" t="s">
        <v>36103</v>
      </c>
      <c r="CZ35177" s="35">
        <v>5.17672068E-2</v>
      </c>
    </row>
    <row r="35178" spans="103:104" x14ac:dyDescent="0.3">
      <c r="CY35178" s="34" t="s">
        <v>36104</v>
      </c>
      <c r="CZ35178" s="35">
        <v>5.4235151800000006E-2</v>
      </c>
    </row>
    <row r="35179" spans="103:104" x14ac:dyDescent="0.3">
      <c r="CY35179" s="34" t="s">
        <v>36105</v>
      </c>
      <c r="CZ35179" s="35">
        <v>1.0458109599999999E-3</v>
      </c>
    </row>
    <row r="35180" spans="103:104" x14ac:dyDescent="0.3">
      <c r="CY35180" s="34" t="s">
        <v>36106</v>
      </c>
      <c r="CZ35180" s="35">
        <v>9.2764895999999995E-4</v>
      </c>
    </row>
    <row r="35181" spans="103:104" x14ac:dyDescent="0.3">
      <c r="CY35181" s="34" t="s">
        <v>36107</v>
      </c>
      <c r="CZ35181" s="35">
        <v>2.0945405E-2</v>
      </c>
    </row>
    <row r="35182" spans="103:104" x14ac:dyDescent="0.3">
      <c r="CY35182" s="34" t="s">
        <v>36108</v>
      </c>
      <c r="CZ35182" s="35">
        <v>1.1457068999999999E-2</v>
      </c>
    </row>
    <row r="35183" spans="103:104" x14ac:dyDescent="0.3">
      <c r="CY35183" s="34" t="s">
        <v>36109</v>
      </c>
      <c r="CZ35183" s="35">
        <v>2.8181313600000001E-2</v>
      </c>
    </row>
    <row r="35184" spans="103:104" x14ac:dyDescent="0.3">
      <c r="CY35184" s="34" t="s">
        <v>36110</v>
      </c>
      <c r="CZ35184" s="35">
        <v>2.0255537599999998E-2</v>
      </c>
    </row>
    <row r="35185" spans="103:104" x14ac:dyDescent="0.3">
      <c r="CY35185" s="34" t="s">
        <v>36111</v>
      </c>
      <c r="CZ35185" s="35">
        <v>3.4353859999999993E-2</v>
      </c>
    </row>
    <row r="35186" spans="103:104" x14ac:dyDescent="0.3">
      <c r="CY35186" s="34" t="s">
        <v>36112</v>
      </c>
      <c r="CZ35186" s="35">
        <v>9.2053532000000002E-4</v>
      </c>
    </row>
    <row r="35187" spans="103:104" x14ac:dyDescent="0.3">
      <c r="CY35187" s="34" t="s">
        <v>36113</v>
      </c>
      <c r="CZ35187" s="35">
        <v>2.2046898484210528E-2</v>
      </c>
    </row>
    <row r="35188" spans="103:104" x14ac:dyDescent="0.3">
      <c r="CY35188" s="34" t="s">
        <v>36114</v>
      </c>
      <c r="CZ35188" s="35">
        <v>0.50769703124999999</v>
      </c>
    </row>
    <row r="35189" spans="103:104" x14ac:dyDescent="0.3">
      <c r="CY35189" s="34" t="s">
        <v>36115</v>
      </c>
      <c r="CZ35189" s="35">
        <v>0.54750823125000003</v>
      </c>
    </row>
    <row r="35190" spans="103:104" x14ac:dyDescent="0.3">
      <c r="CY35190" s="34" t="s">
        <v>36116</v>
      </c>
      <c r="CZ35190" s="35">
        <v>3.6384911999999998E-3</v>
      </c>
    </row>
    <row r="35191" spans="103:104" x14ac:dyDescent="0.3">
      <c r="CY35191" s="34" t="s">
        <v>36117</v>
      </c>
      <c r="CZ35191" s="35">
        <v>6.955321253333333E-3</v>
      </c>
    </row>
    <row r="35192" spans="103:104" x14ac:dyDescent="0.3">
      <c r="CY35192" s="34" t="s">
        <v>36118</v>
      </c>
      <c r="CZ35192" s="35">
        <v>2.4235539999999996E-3</v>
      </c>
    </row>
    <row r="35193" spans="103:104" x14ac:dyDescent="0.3">
      <c r="CY35193" s="34" t="s">
        <v>36119</v>
      </c>
      <c r="CZ35193" s="35">
        <v>1.5469832500000001E-2</v>
      </c>
    </row>
    <row r="35194" spans="103:104" x14ac:dyDescent="0.3">
      <c r="CY35194" s="34" t="s">
        <v>36120</v>
      </c>
      <c r="CZ35194" s="35">
        <v>0.29230679000000004</v>
      </c>
    </row>
    <row r="35195" spans="103:104" x14ac:dyDescent="0.3">
      <c r="CY35195" s="34" t="s">
        <v>36121</v>
      </c>
      <c r="CZ35195" s="35">
        <v>9.9132950599999988E-3</v>
      </c>
    </row>
    <row r="35196" spans="103:104" x14ac:dyDescent="0.3">
      <c r="CY35196" s="34" t="s">
        <v>36122</v>
      </c>
      <c r="CZ35196" s="35">
        <v>2.2417356499999996E-2</v>
      </c>
    </row>
    <row r="35197" spans="103:104" x14ac:dyDescent="0.3">
      <c r="CY35197" s="34" t="s">
        <v>36123</v>
      </c>
      <c r="CZ35197" s="35">
        <v>5.9105135599999995E-3</v>
      </c>
    </row>
    <row r="35198" spans="103:104" x14ac:dyDescent="0.3">
      <c r="CY35198" s="34" t="s">
        <v>36124</v>
      </c>
      <c r="CZ35198" s="35">
        <v>2.3741351999999999E-3</v>
      </c>
    </row>
    <row r="35199" spans="103:104" x14ac:dyDescent="0.3">
      <c r="CY35199" s="34" t="s">
        <v>36125</v>
      </c>
      <c r="CZ35199" s="35">
        <v>6.7318188999999993E-4</v>
      </c>
    </row>
    <row r="35200" spans="103:104" x14ac:dyDescent="0.3">
      <c r="CY35200" s="34" t="s">
        <v>36126</v>
      </c>
      <c r="CZ35200" s="35">
        <v>4.8300000000000003E-4</v>
      </c>
    </row>
    <row r="35201" spans="103:104" x14ac:dyDescent="0.3">
      <c r="CY35201" s="34" t="s">
        <v>36127</v>
      </c>
      <c r="CZ35201" s="35">
        <v>4.1685000000000003E-3</v>
      </c>
    </row>
    <row r="35202" spans="103:104" x14ac:dyDescent="0.3">
      <c r="CY35202" s="34" t="s">
        <v>36128</v>
      </c>
      <c r="CZ35202" s="35">
        <v>2.9993056999999997E-3</v>
      </c>
    </row>
    <row r="35203" spans="103:104" x14ac:dyDescent="0.3">
      <c r="CY35203" s="34" t="s">
        <v>36129</v>
      </c>
      <c r="CZ35203" s="35">
        <v>1.8526479999999999E-3</v>
      </c>
    </row>
    <row r="35204" spans="103:104" x14ac:dyDescent="0.3">
      <c r="CY35204" s="34" t="s">
        <v>36130</v>
      </c>
      <c r="CZ35204" s="35">
        <v>2.5401048999999998E-2</v>
      </c>
    </row>
    <row r="35205" spans="103:104" x14ac:dyDescent="0.3">
      <c r="CY35205" s="34" t="s">
        <v>36131</v>
      </c>
      <c r="CZ35205" s="35">
        <v>0.1585896785</v>
      </c>
    </row>
    <row r="35206" spans="103:104" x14ac:dyDescent="0.3">
      <c r="CY35206" s="34" t="s">
        <v>36132</v>
      </c>
      <c r="CZ35206" s="35">
        <v>1.0904793000000002E-3</v>
      </c>
    </row>
    <row r="35207" spans="103:104" x14ac:dyDescent="0.3">
      <c r="CY35207" s="34" t="s">
        <v>36133</v>
      </c>
      <c r="CZ35207" s="35">
        <v>7.1656129999999998E-2</v>
      </c>
    </row>
    <row r="35208" spans="103:104" x14ac:dyDescent="0.3">
      <c r="CY35208" s="34" t="s">
        <v>36134</v>
      </c>
      <c r="CZ35208" s="35">
        <v>1.5560789E-2</v>
      </c>
    </row>
    <row r="35209" spans="103:104" x14ac:dyDescent="0.3">
      <c r="CY35209" s="34" t="s">
        <v>36135</v>
      </c>
      <c r="CZ35209" s="35">
        <v>3.3842992553200002E-2</v>
      </c>
    </row>
    <row r="35210" spans="103:104" x14ac:dyDescent="0.3">
      <c r="CY35210" s="34" t="s">
        <v>36136</v>
      </c>
      <c r="CZ35210" s="35">
        <v>6.5890040000000007E-3</v>
      </c>
    </row>
    <row r="35211" spans="103:104" x14ac:dyDescent="0.3">
      <c r="CY35211" s="34" t="s">
        <v>36137</v>
      </c>
      <c r="CZ35211" s="35">
        <v>4.1879593600000002E-4</v>
      </c>
    </row>
    <row r="35212" spans="103:104" x14ac:dyDescent="0.3">
      <c r="CY35212" s="34" t="s">
        <v>36138</v>
      </c>
      <c r="CZ35212" s="35">
        <v>1.6623437599999999E-2</v>
      </c>
    </row>
    <row r="35213" spans="103:104" x14ac:dyDescent="0.3">
      <c r="CY35213" s="34" t="s">
        <v>36139</v>
      </c>
      <c r="CZ35213" s="35">
        <v>0.121725613</v>
      </c>
    </row>
    <row r="35214" spans="103:104" x14ac:dyDescent="0.3">
      <c r="CY35214" s="34" t="s">
        <v>36140</v>
      </c>
      <c r="CZ35214" s="35">
        <v>2.9347531999999999E-2</v>
      </c>
    </row>
    <row r="35215" spans="103:104" x14ac:dyDescent="0.3">
      <c r="CY35215" s="34" t="s">
        <v>36141</v>
      </c>
      <c r="CZ35215" s="35">
        <v>2.9347531999999999E-2</v>
      </c>
    </row>
    <row r="35216" spans="103:104" x14ac:dyDescent="0.3">
      <c r="CY35216" s="34" t="s">
        <v>36142</v>
      </c>
      <c r="CZ35216" s="35">
        <v>0.20995101599999999</v>
      </c>
    </row>
    <row r="35217" spans="103:104" x14ac:dyDescent="0.3">
      <c r="CY35217" s="34" t="s">
        <v>36143</v>
      </c>
      <c r="CZ35217" s="35">
        <v>0.20995101599999999</v>
      </c>
    </row>
    <row r="35218" spans="103:104" x14ac:dyDescent="0.3">
      <c r="CY35218" s="34" t="s">
        <v>36144</v>
      </c>
      <c r="CZ35218" s="35">
        <v>0.166341092</v>
      </c>
    </row>
    <row r="35219" spans="103:104" x14ac:dyDescent="0.3">
      <c r="CY35219" s="34" t="s">
        <v>36145</v>
      </c>
      <c r="CZ35219" s="35">
        <v>0.19340116500000001</v>
      </c>
    </row>
    <row r="35220" spans="103:104" x14ac:dyDescent="0.3">
      <c r="CY35220" s="34" t="s">
        <v>36146</v>
      </c>
      <c r="CZ35220" s="35">
        <v>0.27887196200000008</v>
      </c>
    </row>
    <row r="35221" spans="103:104" x14ac:dyDescent="0.3">
      <c r="CY35221" s="34" t="s">
        <v>36147</v>
      </c>
      <c r="CZ35221" s="35">
        <v>1.2709465125E-2</v>
      </c>
    </row>
    <row r="35222" spans="103:104" x14ac:dyDescent="0.3">
      <c r="CY35222" s="34" t="s">
        <v>36148</v>
      </c>
      <c r="CZ35222" s="35">
        <v>0.10097418250000001</v>
      </c>
    </row>
    <row r="35223" spans="103:104" x14ac:dyDescent="0.3">
      <c r="CY35223" s="34" t="s">
        <v>36149</v>
      </c>
      <c r="CZ35223" s="35">
        <v>7.2897464999999997E-4</v>
      </c>
    </row>
    <row r="35224" spans="103:104" x14ac:dyDescent="0.3">
      <c r="CY35224" s="34" t="s">
        <v>36150</v>
      </c>
      <c r="CZ35224" s="35">
        <v>5.18141825E-3</v>
      </c>
    </row>
    <row r="35225" spans="103:104" x14ac:dyDescent="0.3">
      <c r="CY35225" s="34" t="s">
        <v>36151</v>
      </c>
      <c r="CZ35225" s="35">
        <v>3.4290318999999993E-2</v>
      </c>
    </row>
    <row r="35226" spans="103:104" x14ac:dyDescent="0.3">
      <c r="CY35226" s="34" t="s">
        <v>36152</v>
      </c>
      <c r="CZ35226" s="35">
        <v>0.15846811900000002</v>
      </c>
    </row>
    <row r="35227" spans="103:104" x14ac:dyDescent="0.3">
      <c r="CY35227" s="34" t="s">
        <v>36153</v>
      </c>
      <c r="CZ35227" s="35">
        <v>4.4032764799999999E-2</v>
      </c>
    </row>
    <row r="35228" spans="103:104" x14ac:dyDescent="0.3">
      <c r="CY35228" s="34" t="s">
        <v>36154</v>
      </c>
      <c r="CZ35228" s="35">
        <v>8.2527334000000008E-2</v>
      </c>
    </row>
    <row r="35229" spans="103:104" x14ac:dyDescent="0.3">
      <c r="CY35229" s="34" t="s">
        <v>36155</v>
      </c>
      <c r="CZ35229" s="35">
        <v>9.6618131999999995E-2</v>
      </c>
    </row>
    <row r="35230" spans="103:104" x14ac:dyDescent="0.3">
      <c r="CY35230" s="34" t="s">
        <v>36156</v>
      </c>
      <c r="CZ35230" s="35">
        <v>9.6618131999999995E-2</v>
      </c>
    </row>
    <row r="35231" spans="103:104" x14ac:dyDescent="0.3">
      <c r="CY35231" s="34" t="s">
        <v>36157</v>
      </c>
      <c r="CZ35231" s="35">
        <v>2.9244639999999999E-2</v>
      </c>
    </row>
    <row r="35232" spans="103:104" x14ac:dyDescent="0.3">
      <c r="CY35232" s="34" t="s">
        <v>36158</v>
      </c>
      <c r="CZ35232" s="35">
        <v>0.170349896</v>
      </c>
    </row>
    <row r="35233" spans="103:104" x14ac:dyDescent="0.3">
      <c r="CY35233" s="34" t="s">
        <v>36159</v>
      </c>
      <c r="CZ35233" s="35">
        <v>2.9182955739999999E-2</v>
      </c>
    </row>
    <row r="35234" spans="103:104" x14ac:dyDescent="0.3">
      <c r="CY35234" s="34" t="s">
        <v>36160</v>
      </c>
      <c r="CZ35234" s="35">
        <v>0.16055749716250001</v>
      </c>
    </row>
    <row r="35235" spans="103:104" x14ac:dyDescent="0.3">
      <c r="CY35235" s="34" t="s">
        <v>36161</v>
      </c>
      <c r="CZ35235" s="35">
        <v>0.12745921499999999</v>
      </c>
    </row>
    <row r="35236" spans="103:104" x14ac:dyDescent="0.3">
      <c r="CY35236" s="34" t="s">
        <v>36162</v>
      </c>
      <c r="CZ35236" s="35">
        <v>1.4817143120000001E-2</v>
      </c>
    </row>
    <row r="35237" spans="103:104" x14ac:dyDescent="0.3">
      <c r="CY35237" s="34" t="s">
        <v>36163</v>
      </c>
      <c r="CZ35237" s="35">
        <v>0.62269816499999986</v>
      </c>
    </row>
    <row r="35238" spans="103:104" x14ac:dyDescent="0.3">
      <c r="CY35238" s="34" t="s">
        <v>36164</v>
      </c>
      <c r="CZ35238" s="35">
        <v>0.171911706</v>
      </c>
    </row>
    <row r="35239" spans="103:104" x14ac:dyDescent="0.3">
      <c r="CY35239" s="34" t="s">
        <v>36165</v>
      </c>
      <c r="CZ35239" s="35">
        <v>1.7277727499999999E-2</v>
      </c>
    </row>
    <row r="35240" spans="103:104" x14ac:dyDescent="0.3">
      <c r="CY35240" s="34" t="s">
        <v>36166</v>
      </c>
      <c r="CZ35240" s="35">
        <v>1.0420649000000002E-3</v>
      </c>
    </row>
    <row r="35241" spans="103:104" x14ac:dyDescent="0.3">
      <c r="CY35241" s="34" t="s">
        <v>36167</v>
      </c>
      <c r="CZ35241" s="35">
        <v>1.9750964499999999E-2</v>
      </c>
    </row>
    <row r="35242" spans="103:104" x14ac:dyDescent="0.3">
      <c r="CY35242" s="34" t="s">
        <v>36168</v>
      </c>
      <c r="CZ35242" s="35">
        <v>2.2249000000000001E-2</v>
      </c>
    </row>
    <row r="35243" spans="103:104" x14ac:dyDescent="0.3">
      <c r="CY35243" s="34" t="s">
        <v>36169</v>
      </c>
      <c r="CZ35243" s="35">
        <v>2.2249000000000001E-2</v>
      </c>
    </row>
    <row r="35244" spans="103:104" x14ac:dyDescent="0.3">
      <c r="CY35244" s="34" t="s">
        <v>36170</v>
      </c>
      <c r="CZ35244" s="35">
        <v>2.2249000000000001E-2</v>
      </c>
    </row>
    <row r="35245" spans="103:104" x14ac:dyDescent="0.3">
      <c r="CY35245" s="34" t="s">
        <v>36171</v>
      </c>
      <c r="CZ35245" s="35">
        <v>2.2249000000000001E-2</v>
      </c>
    </row>
    <row r="35246" spans="103:104" x14ac:dyDescent="0.3">
      <c r="CY35246" s="34" t="s">
        <v>36172</v>
      </c>
      <c r="CZ35246" s="35">
        <v>1.1142556999999999E-2</v>
      </c>
    </row>
    <row r="35247" spans="103:104" x14ac:dyDescent="0.3">
      <c r="CY35247" s="34" t="s">
        <v>36173</v>
      </c>
      <c r="CZ35247" s="35">
        <v>1.0625364999999999E-2</v>
      </c>
    </row>
    <row r="35248" spans="103:104" x14ac:dyDescent="0.3">
      <c r="CY35248" s="34" t="s">
        <v>36174</v>
      </c>
      <c r="CZ35248" s="35">
        <v>1.56959905E-2</v>
      </c>
    </row>
    <row r="35249" spans="103:104" x14ac:dyDescent="0.3">
      <c r="CY35249" s="34" t="s">
        <v>36175</v>
      </c>
      <c r="CZ35249" s="35">
        <v>0.24505278772631581</v>
      </c>
    </row>
    <row r="35250" spans="103:104" x14ac:dyDescent="0.3">
      <c r="CY35250" s="34" t="s">
        <v>36176</v>
      </c>
      <c r="CZ35250" s="35">
        <v>0.21091342800000001</v>
      </c>
    </row>
    <row r="35251" spans="103:104" x14ac:dyDescent="0.3">
      <c r="CY35251" s="34" t="s">
        <v>36177</v>
      </c>
      <c r="CZ35251" s="35">
        <v>1.4005184715909091</v>
      </c>
    </row>
    <row r="35252" spans="103:104" x14ac:dyDescent="0.3">
      <c r="CY35252" s="34" t="s">
        <v>36178</v>
      </c>
      <c r="CZ35252" s="35">
        <v>5.5978986736842104E-3</v>
      </c>
    </row>
    <row r="35253" spans="103:104" x14ac:dyDescent="0.3">
      <c r="CY35253" s="34" t="s">
        <v>36179</v>
      </c>
      <c r="CZ35253" s="35">
        <v>5.1492879999999993E-3</v>
      </c>
    </row>
    <row r="35254" spans="103:104" x14ac:dyDescent="0.3">
      <c r="CY35254" s="34" t="s">
        <v>36180</v>
      </c>
      <c r="CZ35254" s="35">
        <v>4.7344912000000005E-3</v>
      </c>
    </row>
    <row r="35255" spans="103:104" x14ac:dyDescent="0.3">
      <c r="CY35255" s="34" t="s">
        <v>36181</v>
      </c>
      <c r="CZ35255" s="35">
        <v>4.7526495999999996E-3</v>
      </c>
    </row>
    <row r="35256" spans="103:104" x14ac:dyDescent="0.3">
      <c r="CY35256" s="34" t="s">
        <v>36182</v>
      </c>
      <c r="CZ35256" s="35">
        <v>4.5822399999999996E-3</v>
      </c>
    </row>
    <row r="35257" spans="103:104" x14ac:dyDescent="0.3">
      <c r="CY35257" s="34" t="s">
        <v>36183</v>
      </c>
      <c r="CZ35257" s="35">
        <v>4.5822399999999996E-3</v>
      </c>
    </row>
    <row r="35258" spans="103:104" x14ac:dyDescent="0.3">
      <c r="CY35258" s="34" t="s">
        <v>36184</v>
      </c>
      <c r="CZ35258" s="35">
        <v>6.6273533333333339E-3</v>
      </c>
    </row>
    <row r="35259" spans="103:104" x14ac:dyDescent="0.3">
      <c r="CY35259" s="34" t="s">
        <v>36185</v>
      </c>
      <c r="CZ35259" s="35">
        <v>3.9481999999999999E-4</v>
      </c>
    </row>
    <row r="35260" spans="103:104" x14ac:dyDescent="0.3">
      <c r="CY35260" s="34" t="s">
        <v>36186</v>
      </c>
      <c r="CZ35260" s="35">
        <v>6.7728656240000004E-2</v>
      </c>
    </row>
    <row r="35261" spans="103:104" x14ac:dyDescent="0.3">
      <c r="CY35261" s="34" t="s">
        <v>36187</v>
      </c>
      <c r="CZ35261" s="35">
        <v>2.0857678880000001E-2</v>
      </c>
    </row>
    <row r="35262" spans="103:104" x14ac:dyDescent="0.3">
      <c r="CY35262" s="34" t="s">
        <v>36188</v>
      </c>
      <c r="CZ35262" s="35">
        <v>5.1187781240000001E-2</v>
      </c>
    </row>
    <row r="35263" spans="103:104" x14ac:dyDescent="0.3">
      <c r="CY35263" s="34" t="s">
        <v>36189</v>
      </c>
      <c r="CZ35263" s="35">
        <v>5.1187781239999994E-2</v>
      </c>
    </row>
    <row r="35264" spans="103:104" x14ac:dyDescent="0.3">
      <c r="CY35264" s="34" t="s">
        <v>36190</v>
      </c>
      <c r="CZ35264" s="35">
        <v>5.1187781240000001E-2</v>
      </c>
    </row>
    <row r="35265" spans="103:104" x14ac:dyDescent="0.3">
      <c r="CY35265" s="34" t="s">
        <v>36191</v>
      </c>
      <c r="CZ35265" s="35">
        <v>3.1387168799999997E-3</v>
      </c>
    </row>
    <row r="35266" spans="103:104" x14ac:dyDescent="0.3">
      <c r="CY35266" s="34" t="s">
        <v>36192</v>
      </c>
      <c r="CZ35266" s="35">
        <v>2.8795639999999998E-3</v>
      </c>
    </row>
    <row r="35267" spans="103:104" x14ac:dyDescent="0.3">
      <c r="CY35267" s="34" t="s">
        <v>36193</v>
      </c>
      <c r="CZ35267" s="35">
        <v>3.2949400000000001E-3</v>
      </c>
    </row>
    <row r="35268" spans="103:104" x14ac:dyDescent="0.3">
      <c r="CY35268" s="34" t="s">
        <v>36194</v>
      </c>
      <c r="CZ35268" s="35">
        <v>3.43326E-3</v>
      </c>
    </row>
    <row r="35269" spans="103:104" x14ac:dyDescent="0.3">
      <c r="CY35269" s="34" t="s">
        <v>36195</v>
      </c>
      <c r="CZ35269" s="35">
        <v>4.821660000000001E-3</v>
      </c>
    </row>
    <row r="35270" spans="103:104" x14ac:dyDescent="0.3">
      <c r="CY35270" s="34" t="s">
        <v>36196</v>
      </c>
      <c r="CZ35270" s="35">
        <v>3.7296599999999997E-3</v>
      </c>
    </row>
    <row r="35271" spans="103:104" x14ac:dyDescent="0.3">
      <c r="CY35271" s="34" t="s">
        <v>36197</v>
      </c>
      <c r="CZ35271" s="35">
        <v>3.5268599999999997E-3</v>
      </c>
    </row>
    <row r="35272" spans="103:104" x14ac:dyDescent="0.3">
      <c r="CY35272" s="34" t="s">
        <v>36198</v>
      </c>
      <c r="CZ35272" s="35">
        <v>8.4399800000000011E-2</v>
      </c>
    </row>
    <row r="35273" spans="103:104" x14ac:dyDescent="0.3">
      <c r="CY35273" s="34" t="s">
        <v>36199</v>
      </c>
      <c r="CZ35273" s="35">
        <v>1.2027064000000001E-2</v>
      </c>
    </row>
    <row r="35274" spans="103:104" x14ac:dyDescent="0.3">
      <c r="CY35274" s="34" t="s">
        <v>36200</v>
      </c>
      <c r="CZ35274" s="35">
        <v>1.2442439999999999E-2</v>
      </c>
    </row>
    <row r="35275" spans="103:104" x14ac:dyDescent="0.3">
      <c r="CY35275" s="34" t="s">
        <v>36201</v>
      </c>
      <c r="CZ35275" s="35">
        <v>1.258076E-2</v>
      </c>
    </row>
    <row r="35276" spans="103:104" x14ac:dyDescent="0.3">
      <c r="CY35276" s="34" t="s">
        <v>36202</v>
      </c>
      <c r="CZ35276" s="35">
        <v>2.3346104999999995E-2</v>
      </c>
    </row>
    <row r="35277" spans="103:104" x14ac:dyDescent="0.3">
      <c r="CY35277" s="34" t="s">
        <v>36203</v>
      </c>
      <c r="CZ35277" s="35">
        <v>1.4673800139999998E-2</v>
      </c>
    </row>
    <row r="35278" spans="103:104" x14ac:dyDescent="0.3">
      <c r="CY35278" s="34" t="s">
        <v>36204</v>
      </c>
      <c r="CZ35278" s="35">
        <v>2.1369193000000002E-2</v>
      </c>
    </row>
    <row r="35279" spans="103:104" x14ac:dyDescent="0.3">
      <c r="CY35279" s="34" t="s">
        <v>36205</v>
      </c>
      <c r="CZ35279" s="35">
        <v>1.47297556E-2</v>
      </c>
    </row>
    <row r="35280" spans="103:104" x14ac:dyDescent="0.3">
      <c r="CY35280" s="34" t="s">
        <v>36206</v>
      </c>
      <c r="CZ35280" s="35">
        <v>1.999088953E-2</v>
      </c>
    </row>
    <row r="35281" spans="103:104" x14ac:dyDescent="0.3">
      <c r="CY35281" s="34" t="s">
        <v>36207</v>
      </c>
      <c r="CZ35281" s="35">
        <v>2.0174818100000002E-2</v>
      </c>
    </row>
    <row r="35282" spans="103:104" x14ac:dyDescent="0.3">
      <c r="CY35282" s="34" t="s">
        <v>36208</v>
      </c>
      <c r="CZ35282" s="35">
        <v>6.950234000000001E-2</v>
      </c>
    </row>
    <row r="35283" spans="103:104" x14ac:dyDescent="0.3">
      <c r="CY35283" s="34" t="s">
        <v>36209</v>
      </c>
      <c r="CZ35283" s="35">
        <v>6.950234000000001E-2</v>
      </c>
    </row>
    <row r="35284" spans="103:104" x14ac:dyDescent="0.3">
      <c r="CY35284" s="34" t="s">
        <v>36210</v>
      </c>
      <c r="CZ35284" s="35">
        <v>9.5927999999999986E-3</v>
      </c>
    </row>
    <row r="35285" spans="103:104" x14ac:dyDescent="0.3">
      <c r="CY35285" s="34" t="s">
        <v>36211</v>
      </c>
      <c r="CZ35285" s="35">
        <v>7.3014130000000005E-3</v>
      </c>
    </row>
    <row r="35286" spans="103:104" x14ac:dyDescent="0.3">
      <c r="CY35286" s="34" t="s">
        <v>36212</v>
      </c>
      <c r="CZ35286" s="35">
        <v>7.3014130000000005E-3</v>
      </c>
    </row>
    <row r="35287" spans="103:104" x14ac:dyDescent="0.3">
      <c r="CY35287" s="34" t="s">
        <v>36213</v>
      </c>
      <c r="CZ35287" s="35">
        <v>2.0044348999999999E-2</v>
      </c>
    </row>
    <row r="35288" spans="103:104" x14ac:dyDescent="0.3">
      <c r="CY35288" s="34" t="s">
        <v>36214</v>
      </c>
      <c r="CZ35288" s="35">
        <v>0.11921370751776003</v>
      </c>
    </row>
    <row r="35289" spans="103:104" x14ac:dyDescent="0.3">
      <c r="CY35289" s="34" t="s">
        <v>36215</v>
      </c>
      <c r="CZ35289" s="35">
        <v>1.5133750000000001E-2</v>
      </c>
    </row>
    <row r="35290" spans="103:104" x14ac:dyDescent="0.3">
      <c r="CY35290" s="34" t="s">
        <v>36216</v>
      </c>
      <c r="CZ35290" s="35">
        <v>5.305337125E-4</v>
      </c>
    </row>
    <row r="35291" spans="103:104" x14ac:dyDescent="0.3">
      <c r="CY35291" s="34" t="s">
        <v>36217</v>
      </c>
      <c r="CZ35291" s="35">
        <v>4.4946333333333328E-3</v>
      </c>
    </row>
    <row r="35292" spans="103:104" x14ac:dyDescent="0.3">
      <c r="CY35292" s="34" t="s">
        <v>36218</v>
      </c>
      <c r="CZ35292" s="35">
        <v>4.4946333333333328E-3</v>
      </c>
    </row>
    <row r="35293" spans="103:104" x14ac:dyDescent="0.3">
      <c r="CY35293" s="34" t="s">
        <v>36219</v>
      </c>
      <c r="CZ35293" s="35">
        <v>9.7570394666666657E-3</v>
      </c>
    </row>
    <row r="35294" spans="103:104" x14ac:dyDescent="0.3">
      <c r="CY35294" s="34" t="s">
        <v>36220</v>
      </c>
      <c r="CZ35294" s="35">
        <v>9.7570394666666657E-3</v>
      </c>
    </row>
    <row r="35295" spans="103:104" x14ac:dyDescent="0.3">
      <c r="CY35295" s="34" t="s">
        <v>36221</v>
      </c>
      <c r="CZ35295" s="35">
        <v>9.5188166666666674E-3</v>
      </c>
    </row>
    <row r="35296" spans="103:104" x14ac:dyDescent="0.3">
      <c r="CY35296" s="34" t="s">
        <v>36222</v>
      </c>
      <c r="CZ35296" s="35">
        <v>9.5188166666666674E-3</v>
      </c>
    </row>
    <row r="35297" spans="103:104" x14ac:dyDescent="0.3">
      <c r="CY35297" s="34" t="s">
        <v>36223</v>
      </c>
      <c r="CZ35297" s="35">
        <v>4.9977853333333334E-3</v>
      </c>
    </row>
    <row r="35298" spans="103:104" x14ac:dyDescent="0.3">
      <c r="CY35298" s="34" t="s">
        <v>36224</v>
      </c>
      <c r="CZ35298" s="35">
        <v>4.9977853333333334E-3</v>
      </c>
    </row>
    <row r="35299" spans="103:104" x14ac:dyDescent="0.3">
      <c r="CY35299" s="34" t="s">
        <v>36225</v>
      </c>
      <c r="CZ35299" s="35">
        <v>6.4923499999999992E-3</v>
      </c>
    </row>
    <row r="35300" spans="103:104" x14ac:dyDescent="0.3">
      <c r="CY35300" s="34" t="s">
        <v>36226</v>
      </c>
      <c r="CZ35300" s="35">
        <v>6.4923499999999992E-3</v>
      </c>
    </row>
    <row r="35301" spans="103:104" x14ac:dyDescent="0.3">
      <c r="CY35301" s="34" t="s">
        <v>36227</v>
      </c>
      <c r="CZ35301" s="35">
        <v>9.8862590666666667E-3</v>
      </c>
    </row>
    <row r="35302" spans="103:104" x14ac:dyDescent="0.3">
      <c r="CY35302" s="34" t="s">
        <v>36228</v>
      </c>
      <c r="CZ35302" s="35">
        <v>9.8862590666666667E-3</v>
      </c>
    </row>
    <row r="35303" spans="103:104" x14ac:dyDescent="0.3">
      <c r="CY35303" s="34" t="s">
        <v>36229</v>
      </c>
      <c r="CZ35303" s="35">
        <v>2.164116666666667E-3</v>
      </c>
    </row>
    <row r="35304" spans="103:104" x14ac:dyDescent="0.3">
      <c r="CY35304" s="34" t="s">
        <v>36230</v>
      </c>
      <c r="CZ35304" s="35">
        <v>5.34121413E-2</v>
      </c>
    </row>
    <row r="35305" spans="103:104" x14ac:dyDescent="0.3">
      <c r="CY35305" s="34" t="s">
        <v>36231</v>
      </c>
      <c r="CZ35305" s="35">
        <v>6.9476999999999994E-4</v>
      </c>
    </row>
    <row r="35306" spans="103:104" x14ac:dyDescent="0.3">
      <c r="CY35306" s="34" t="s">
        <v>36232</v>
      </c>
      <c r="CZ35306" s="35">
        <v>8.4483999999999991E-4</v>
      </c>
    </row>
    <row r="35307" spans="103:104" x14ac:dyDescent="0.3">
      <c r="CY35307" s="34" t="s">
        <v>36233</v>
      </c>
      <c r="CZ35307" s="35">
        <v>4.6501500000000005E-3</v>
      </c>
    </row>
    <row r="35308" spans="103:104" x14ac:dyDescent="0.3">
      <c r="CY35308" s="34" t="s">
        <v>36234</v>
      </c>
      <c r="CZ35308" s="35">
        <v>3.1930040000000002E-3</v>
      </c>
    </row>
    <row r="35309" spans="103:104" x14ac:dyDescent="0.3">
      <c r="CY35309" s="34" t="s">
        <v>36235</v>
      </c>
      <c r="CZ35309" s="35">
        <v>0.11419555473684211</v>
      </c>
    </row>
    <row r="35310" spans="103:104" x14ac:dyDescent="0.3">
      <c r="CY35310" s="34" t="s">
        <v>36236</v>
      </c>
      <c r="CZ35310" s="35">
        <v>9.8189462499999991E-2</v>
      </c>
    </row>
    <row r="35311" spans="103:104" x14ac:dyDescent="0.3">
      <c r="CY35311" s="34" t="s">
        <v>36237</v>
      </c>
      <c r="CZ35311" s="35">
        <v>9.8189462499999991E-2</v>
      </c>
    </row>
    <row r="35312" spans="103:104" x14ac:dyDescent="0.3">
      <c r="CY35312" s="34" t="s">
        <v>36238</v>
      </c>
      <c r="CZ35312" s="35">
        <v>9.8189462499999991E-2</v>
      </c>
    </row>
    <row r="35313" spans="103:104" x14ac:dyDescent="0.3">
      <c r="CY35313" s="34" t="s">
        <v>36239</v>
      </c>
      <c r="CZ35313" s="35">
        <v>9.8189462499999991E-2</v>
      </c>
    </row>
    <row r="35314" spans="103:104" x14ac:dyDescent="0.3">
      <c r="CY35314" s="34" t="s">
        <v>36240</v>
      </c>
      <c r="CZ35314" s="35">
        <v>3.8841796800000002E-2</v>
      </c>
    </row>
    <row r="35315" spans="103:104" x14ac:dyDescent="0.3">
      <c r="CY35315" s="34" t="s">
        <v>36241</v>
      </c>
      <c r="CZ35315" s="35">
        <v>3.8841796800000002E-2</v>
      </c>
    </row>
    <row r="35316" spans="103:104" x14ac:dyDescent="0.3">
      <c r="CY35316" s="34" t="s">
        <v>36242</v>
      </c>
      <c r="CZ35316" s="35">
        <v>3.4839727199999998E-3</v>
      </c>
    </row>
    <row r="35317" spans="103:104" x14ac:dyDescent="0.3">
      <c r="CY35317" s="34" t="s">
        <v>36243</v>
      </c>
      <c r="CZ35317" s="35">
        <v>3.4839727199999998E-3</v>
      </c>
    </row>
    <row r="35318" spans="103:104" x14ac:dyDescent="0.3">
      <c r="CY35318" s="34" t="s">
        <v>36244</v>
      </c>
      <c r="CZ35318" s="35">
        <v>1.4043919699999997E-2</v>
      </c>
    </row>
    <row r="35319" spans="103:104" x14ac:dyDescent="0.3">
      <c r="CY35319" s="34" t="s">
        <v>36245</v>
      </c>
      <c r="CZ35319" s="35">
        <v>4.4296380800000002E-4</v>
      </c>
    </row>
    <row r="35320" spans="103:104" x14ac:dyDescent="0.3">
      <c r="CY35320" s="34" t="s">
        <v>36246</v>
      </c>
      <c r="CZ35320" s="35">
        <v>0.21599300158000001</v>
      </c>
    </row>
    <row r="35321" spans="103:104" x14ac:dyDescent="0.3">
      <c r="CY35321" s="34" t="s">
        <v>36247</v>
      </c>
      <c r="CZ35321" s="35">
        <v>0.30304900000000001</v>
      </c>
    </row>
    <row r="35322" spans="103:104" x14ac:dyDescent="0.3">
      <c r="CY35322" s="34" t="s">
        <v>36248</v>
      </c>
      <c r="CZ35322" s="35">
        <v>0.18803936735999999</v>
      </c>
    </row>
    <row r="35323" spans="103:104" x14ac:dyDescent="0.3">
      <c r="CY35323" s="34" t="s">
        <v>36249</v>
      </c>
      <c r="CZ35323" s="35">
        <v>0.73961340325000002</v>
      </c>
    </row>
    <row r="35324" spans="103:104" x14ac:dyDescent="0.3">
      <c r="CY35324" s="34" t="s">
        <v>36250</v>
      </c>
      <c r="CZ35324" s="35">
        <v>0.73961340325000002</v>
      </c>
    </row>
    <row r="35325" spans="103:104" x14ac:dyDescent="0.3">
      <c r="CY35325" s="34" t="s">
        <v>36251</v>
      </c>
      <c r="CZ35325" s="35">
        <v>1.6816449299999994E-2</v>
      </c>
    </row>
    <row r="35326" spans="103:104" x14ac:dyDescent="0.3">
      <c r="CY35326" s="34" t="s">
        <v>36252</v>
      </c>
      <c r="CZ35326" s="35">
        <v>6.0582808000000016E-2</v>
      </c>
    </row>
    <row r="35327" spans="103:104" x14ac:dyDescent="0.3">
      <c r="CY35327" s="34" t="s">
        <v>36253</v>
      </c>
      <c r="CZ35327" s="35">
        <v>7.1894736000000001E-2</v>
      </c>
    </row>
    <row r="35328" spans="103:104" x14ac:dyDescent="0.3">
      <c r="CY35328" s="34" t="s">
        <v>36254</v>
      </c>
      <c r="CZ35328" s="35">
        <v>3.5350610399999996E-2</v>
      </c>
    </row>
    <row r="35329" spans="103:104" x14ac:dyDescent="0.3">
      <c r="CY35329" s="34" t="s">
        <v>36255</v>
      </c>
      <c r="CZ35329" s="35">
        <v>1.1968608E-2</v>
      </c>
    </row>
    <row r="35330" spans="103:104" x14ac:dyDescent="0.3">
      <c r="CY35330" s="34" t="s">
        <v>36256</v>
      </c>
      <c r="CZ35330" s="35">
        <v>3.0371965000000001E-2</v>
      </c>
    </row>
    <row r="35331" spans="103:104" x14ac:dyDescent="0.3">
      <c r="CY35331" s="34" t="s">
        <v>36257</v>
      </c>
      <c r="CZ35331" s="35">
        <v>3.3543733333333335E-3</v>
      </c>
    </row>
    <row r="35332" spans="103:104" x14ac:dyDescent="0.3">
      <c r="CY35332" s="34" t="s">
        <v>36258</v>
      </c>
      <c r="CZ35332" s="35">
        <v>5.3666666666666663E-4</v>
      </c>
    </row>
    <row r="35333" spans="103:104" x14ac:dyDescent="0.3">
      <c r="CY35333" s="34" t="s">
        <v>36259</v>
      </c>
      <c r="CZ35333" s="35">
        <v>5.3666666666666663E-4</v>
      </c>
    </row>
    <row r="35334" spans="103:104" x14ac:dyDescent="0.3">
      <c r="CY35334" s="34" t="s">
        <v>36260</v>
      </c>
      <c r="CZ35334" s="35">
        <v>2.3124756600000004E-3</v>
      </c>
    </row>
    <row r="35335" spans="103:104" x14ac:dyDescent="0.3">
      <c r="CY35335" s="34" t="s">
        <v>36261</v>
      </c>
      <c r="CZ35335" s="35">
        <v>9.2058295000000002E-3</v>
      </c>
    </row>
    <row r="35336" spans="103:104" x14ac:dyDescent="0.3">
      <c r="CY35336" s="34" t="s">
        <v>36262</v>
      </c>
      <c r="CZ35336" s="35">
        <v>0.14263528600000003</v>
      </c>
    </row>
    <row r="35337" spans="103:104" x14ac:dyDescent="0.3">
      <c r="CY35337" s="34" t="s">
        <v>36263</v>
      </c>
      <c r="CZ35337" s="35">
        <v>0.26854570400000005</v>
      </c>
    </row>
    <row r="35338" spans="103:104" x14ac:dyDescent="0.3">
      <c r="CY35338" s="34" t="s">
        <v>36264</v>
      </c>
      <c r="CZ35338" s="35">
        <v>0.15768921599999999</v>
      </c>
    </row>
    <row r="35339" spans="103:104" x14ac:dyDescent="0.3">
      <c r="CY35339" s="34" t="s">
        <v>36265</v>
      </c>
      <c r="CZ35339" s="35">
        <v>0.19163034400000001</v>
      </c>
    </row>
    <row r="35340" spans="103:104" x14ac:dyDescent="0.3">
      <c r="CY35340" s="34" t="s">
        <v>36266</v>
      </c>
      <c r="CZ35340" s="35">
        <v>2.8229700000000002E-3</v>
      </c>
    </row>
    <row r="35341" spans="103:104" x14ac:dyDescent="0.3">
      <c r="CY35341" s="34" t="s">
        <v>36267</v>
      </c>
      <c r="CZ35341" s="35">
        <v>2.47502208E-3</v>
      </c>
    </row>
    <row r="35342" spans="103:104" x14ac:dyDescent="0.3">
      <c r="CY35342" s="34" t="s">
        <v>36268</v>
      </c>
      <c r="CZ35342" s="35">
        <v>8.7273062600000006E-2</v>
      </c>
    </row>
    <row r="35343" spans="103:104" x14ac:dyDescent="0.3">
      <c r="CY35343" s="34" t="s">
        <v>36269</v>
      </c>
      <c r="CZ35343" s="35">
        <v>0.107620522</v>
      </c>
    </row>
    <row r="35344" spans="103:104" x14ac:dyDescent="0.3">
      <c r="CY35344" s="34" t="s">
        <v>36270</v>
      </c>
      <c r="CZ35344" s="35">
        <v>6.8463188999999994E-2</v>
      </c>
    </row>
    <row r="35345" spans="103:104" x14ac:dyDescent="0.3">
      <c r="CY35345" s="34" t="s">
        <v>36271</v>
      </c>
      <c r="CZ35345" s="35">
        <v>0.47353304659999995</v>
      </c>
    </row>
    <row r="35346" spans="103:104" x14ac:dyDescent="0.3">
      <c r="CY35346" s="34" t="s">
        <v>36272</v>
      </c>
      <c r="CZ35346" s="35">
        <v>0.43369082659999997</v>
      </c>
    </row>
    <row r="35347" spans="103:104" x14ac:dyDescent="0.3">
      <c r="CY35347" s="34" t="s">
        <v>36273</v>
      </c>
      <c r="CZ35347" s="35">
        <v>0.40109264659999994</v>
      </c>
    </row>
    <row r="35348" spans="103:104" x14ac:dyDescent="0.3">
      <c r="CY35348" s="34" t="s">
        <v>36274</v>
      </c>
      <c r="CZ35348" s="35">
        <v>0.37453116660000002</v>
      </c>
    </row>
    <row r="35349" spans="103:104" x14ac:dyDescent="0.3">
      <c r="CY35349" s="34" t="s">
        <v>36275</v>
      </c>
      <c r="CZ35349" s="35">
        <v>0.64404570660000005</v>
      </c>
    </row>
    <row r="35350" spans="103:104" x14ac:dyDescent="0.3">
      <c r="CY35350" s="34" t="s">
        <v>36276</v>
      </c>
      <c r="CZ35350" s="35">
        <v>0.58337236660000003</v>
      </c>
    </row>
    <row r="35351" spans="103:104" x14ac:dyDescent="0.3">
      <c r="CY35351" s="34" t="s">
        <v>36277</v>
      </c>
      <c r="CZ35351" s="35">
        <v>2.8920281000000003E-2</v>
      </c>
    </row>
    <row r="35352" spans="103:104" x14ac:dyDescent="0.3">
      <c r="CY35352" s="34" t="s">
        <v>36278</v>
      </c>
      <c r="CZ35352" s="35">
        <v>1.407625E-2</v>
      </c>
    </row>
    <row r="35353" spans="103:104" x14ac:dyDescent="0.3">
      <c r="CY35353" s="34" t="s">
        <v>36279</v>
      </c>
      <c r="CZ35353" s="35">
        <v>8.3016050000000001E-3</v>
      </c>
    </row>
    <row r="35354" spans="103:104" x14ac:dyDescent="0.3">
      <c r="CY35354" s="34" t="s">
        <v>36280</v>
      </c>
      <c r="CZ35354" s="35">
        <v>0.1280099387755102</v>
      </c>
    </row>
    <row r="35355" spans="103:104" x14ac:dyDescent="0.3">
      <c r="CY35355" s="34" t="s">
        <v>36281</v>
      </c>
      <c r="CZ35355" s="35">
        <v>3.6214542666666669E-2</v>
      </c>
    </row>
    <row r="35356" spans="103:104" x14ac:dyDescent="0.3">
      <c r="CY35356" s="34" t="s">
        <v>36282</v>
      </c>
      <c r="CZ35356" s="35">
        <v>5.4991508000000007E-3</v>
      </c>
    </row>
    <row r="35357" spans="103:104" x14ac:dyDescent="0.3">
      <c r="CY35357" s="34" t="s">
        <v>36283</v>
      </c>
      <c r="CZ35357" s="35">
        <v>0.71385052800000004</v>
      </c>
    </row>
    <row r="35358" spans="103:104" x14ac:dyDescent="0.3">
      <c r="CY35358" s="34" t="s">
        <v>36284</v>
      </c>
      <c r="CZ35358" s="35">
        <v>0.53885598000000001</v>
      </c>
    </row>
    <row r="35359" spans="103:104" x14ac:dyDescent="0.3">
      <c r="CY35359" s="34" t="s">
        <v>36285</v>
      </c>
      <c r="CZ35359" s="35">
        <v>4.0421874999999998E-3</v>
      </c>
    </row>
    <row r="35360" spans="103:104" x14ac:dyDescent="0.3">
      <c r="CY35360" s="34" t="s">
        <v>36286</v>
      </c>
      <c r="CZ35360" s="35">
        <v>9.7144060000000001E-3</v>
      </c>
    </row>
    <row r="35361" spans="103:104" x14ac:dyDescent="0.3">
      <c r="CY35361" s="34" t="s">
        <v>36287</v>
      </c>
      <c r="CZ35361" s="35">
        <v>4.3845060000000007E-3</v>
      </c>
    </row>
    <row r="35362" spans="103:104" x14ac:dyDescent="0.3">
      <c r="CY35362" s="34" t="s">
        <v>36288</v>
      </c>
      <c r="CZ35362" s="35">
        <v>3.5915849999999999E-2</v>
      </c>
    </row>
    <row r="35363" spans="103:104" x14ac:dyDescent="0.3">
      <c r="CY35363" s="34" t="s">
        <v>36289</v>
      </c>
      <c r="CZ35363" s="35">
        <v>7.3932121700000006E-2</v>
      </c>
    </row>
    <row r="35364" spans="103:104" x14ac:dyDescent="0.3">
      <c r="CY35364" s="34" t="s">
        <v>36290</v>
      </c>
      <c r="CZ35364" s="35">
        <v>8.4310584266666655E-2</v>
      </c>
    </row>
    <row r="35365" spans="103:104" x14ac:dyDescent="0.3">
      <c r="CY35365" s="34" t="s">
        <v>36291</v>
      </c>
      <c r="CZ35365" s="35">
        <v>0.28735057670000003</v>
      </c>
    </row>
    <row r="35366" spans="103:104" x14ac:dyDescent="0.3">
      <c r="CY35366" s="34" t="s">
        <v>36292</v>
      </c>
      <c r="CZ35366" s="35">
        <v>0.53897729049999998</v>
      </c>
    </row>
    <row r="35367" spans="103:104" x14ac:dyDescent="0.3">
      <c r="CY35367" s="34" t="s">
        <v>36293</v>
      </c>
      <c r="CZ35367" s="35">
        <v>0.12215432423333333</v>
      </c>
    </row>
    <row r="35368" spans="103:104" x14ac:dyDescent="0.3">
      <c r="CY35368" s="34" t="s">
        <v>36294</v>
      </c>
      <c r="CZ35368" s="35">
        <v>1.5586875199999999E-2</v>
      </c>
    </row>
    <row r="35369" spans="103:104" x14ac:dyDescent="0.3">
      <c r="CY35369" s="34" t="s">
        <v>36295</v>
      </c>
      <c r="CZ35369" s="35">
        <v>6.8576249999999991E-2</v>
      </c>
    </row>
    <row r="35370" spans="103:104" x14ac:dyDescent="0.3">
      <c r="CY35370" s="34" t="s">
        <v>36296</v>
      </c>
      <c r="CZ35370" s="35">
        <v>0.378874078</v>
      </c>
    </row>
    <row r="35371" spans="103:104" x14ac:dyDescent="0.3">
      <c r="CY35371" s="34" t="s">
        <v>36297</v>
      </c>
      <c r="CZ35371" s="35">
        <v>7.0584522399999995E-4</v>
      </c>
    </row>
    <row r="35372" spans="103:104" x14ac:dyDescent="0.3">
      <c r="CY35372" s="34" t="s">
        <v>36298</v>
      </c>
      <c r="CZ35372" s="35">
        <v>0.72</v>
      </c>
    </row>
    <row r="35373" spans="103:104" x14ac:dyDescent="0.3">
      <c r="CY35373" s="34" t="s">
        <v>36299</v>
      </c>
      <c r="CZ35373" s="35">
        <v>0.30705559066666671</v>
      </c>
    </row>
    <row r="35374" spans="103:104" x14ac:dyDescent="0.3">
      <c r="CY35374" s="34" t="s">
        <v>36300</v>
      </c>
      <c r="CZ35374" s="35">
        <v>7.6025288000000002E-3</v>
      </c>
    </row>
    <row r="35375" spans="103:104" x14ac:dyDescent="0.3">
      <c r="CY35375" s="34" t="s">
        <v>36301</v>
      </c>
      <c r="CZ35375" s="35">
        <v>4.4611889600000003E-2</v>
      </c>
    </row>
    <row r="35376" spans="103:104" x14ac:dyDescent="0.3">
      <c r="CY35376" s="34" t="s">
        <v>36302</v>
      </c>
      <c r="CZ35376" s="35">
        <v>0.11221209</v>
      </c>
    </row>
    <row r="35377" spans="103:104" x14ac:dyDescent="0.3">
      <c r="CY35377" s="34" t="s">
        <v>36303</v>
      </c>
      <c r="CZ35377" s="35">
        <v>3.2217891200000001E-2</v>
      </c>
    </row>
    <row r="35378" spans="103:104" x14ac:dyDescent="0.3">
      <c r="CY35378" s="34" t="s">
        <v>36304</v>
      </c>
      <c r="CZ35378" s="35">
        <v>1.3196234000000002E-3</v>
      </c>
    </row>
    <row r="35379" spans="103:104" x14ac:dyDescent="0.3">
      <c r="CY35379" s="34" t="s">
        <v>36305</v>
      </c>
      <c r="CZ35379" s="35">
        <v>1.1237752799999998E-3</v>
      </c>
    </row>
    <row r="35380" spans="103:104" x14ac:dyDescent="0.3">
      <c r="CY35380" s="34" t="s">
        <v>36306</v>
      </c>
      <c r="CZ35380" s="35">
        <v>0.15208364999999999</v>
      </c>
    </row>
    <row r="35381" spans="103:104" x14ac:dyDescent="0.3">
      <c r="CY35381" s="34" t="s">
        <v>36307</v>
      </c>
      <c r="CZ35381" s="35">
        <v>0.15426459999999997</v>
      </c>
    </row>
    <row r="35382" spans="103:104" x14ac:dyDescent="0.3">
      <c r="CY35382" s="34" t="s">
        <v>36308</v>
      </c>
      <c r="CZ35382" s="35">
        <v>0.16892058400000001</v>
      </c>
    </row>
    <row r="35383" spans="103:104" x14ac:dyDescent="0.3">
      <c r="CY35383" s="34" t="s">
        <v>36309</v>
      </c>
      <c r="CZ35383" s="35">
        <v>0.19526646</v>
      </c>
    </row>
    <row r="35384" spans="103:104" x14ac:dyDescent="0.3">
      <c r="CY35384" s="34" t="s">
        <v>36310</v>
      </c>
      <c r="CZ35384" s="35">
        <v>2.7015625000000001E-2</v>
      </c>
    </row>
    <row r="35385" spans="103:104" x14ac:dyDescent="0.3">
      <c r="CY35385" s="34" t="s">
        <v>36311</v>
      </c>
      <c r="CZ35385" s="35">
        <v>0.92679874499999992</v>
      </c>
    </row>
    <row r="35386" spans="103:104" x14ac:dyDescent="0.3">
      <c r="CY35386" s="34" t="s">
        <v>36312</v>
      </c>
      <c r="CZ35386" s="35">
        <v>1.6117207000000001E-2</v>
      </c>
    </row>
    <row r="35387" spans="103:104" x14ac:dyDescent="0.3">
      <c r="CY35387" s="34" t="s">
        <v>36313</v>
      </c>
      <c r="CZ35387" s="35">
        <v>1.9679499999999999E-2</v>
      </c>
    </row>
    <row r="35388" spans="103:104" x14ac:dyDescent="0.3">
      <c r="CY35388" s="34" t="s">
        <v>36314</v>
      </c>
      <c r="CZ35388" s="35">
        <v>5.4987441199999994E-3</v>
      </c>
    </row>
    <row r="35389" spans="103:104" x14ac:dyDescent="0.3">
      <c r="CY35389" s="34" t="s">
        <v>36315</v>
      </c>
      <c r="CZ35389" s="35">
        <v>0.10724644000000001</v>
      </c>
    </row>
    <row r="35390" spans="103:104" x14ac:dyDescent="0.3">
      <c r="CY35390" s="34" t="s">
        <v>36316</v>
      </c>
      <c r="CZ35390" s="35">
        <v>0.18209673399999998</v>
      </c>
    </row>
    <row r="35391" spans="103:104" x14ac:dyDescent="0.3">
      <c r="CY35391" s="34" t="s">
        <v>36317</v>
      </c>
      <c r="CZ35391" s="35">
        <v>6.620276600000001E-2</v>
      </c>
    </row>
    <row r="35392" spans="103:104" x14ac:dyDescent="0.3">
      <c r="CY35392" s="34" t="s">
        <v>36318</v>
      </c>
      <c r="CZ35392" s="35">
        <v>4.6875217999999996E-2</v>
      </c>
    </row>
    <row r="35393" spans="103:104" x14ac:dyDescent="0.3">
      <c r="CY35393" s="34" t="s">
        <v>36319</v>
      </c>
      <c r="CZ35393" s="35">
        <v>0.21518929333333336</v>
      </c>
    </row>
    <row r="35394" spans="103:104" x14ac:dyDescent="0.3">
      <c r="CY35394" s="34" t="s">
        <v>36320</v>
      </c>
      <c r="CZ35394" s="35">
        <v>0.13278252333333335</v>
      </c>
    </row>
    <row r="35395" spans="103:104" x14ac:dyDescent="0.3">
      <c r="CY35395" s="34" t="s">
        <v>36321</v>
      </c>
      <c r="CZ35395" s="35">
        <v>4.4584270000000002E-2</v>
      </c>
    </row>
    <row r="35396" spans="103:104" x14ac:dyDescent="0.3">
      <c r="CY35396" s="34" t="s">
        <v>36322</v>
      </c>
      <c r="CZ35396" s="35">
        <v>0.24764637600000003</v>
      </c>
    </row>
    <row r="35397" spans="103:104" x14ac:dyDescent="0.3">
      <c r="CY35397" s="34" t="s">
        <v>36323</v>
      </c>
      <c r="CZ35397" s="35">
        <v>1.6771170000000002E-2</v>
      </c>
    </row>
    <row r="35398" spans="103:104" x14ac:dyDescent="0.3">
      <c r="CY35398" s="34" t="s">
        <v>36324</v>
      </c>
      <c r="CZ35398" s="35">
        <v>0.10095826249999999</v>
      </c>
    </row>
    <row r="35399" spans="103:104" x14ac:dyDescent="0.3">
      <c r="CY35399" s="34" t="s">
        <v>36325</v>
      </c>
      <c r="CZ35399" s="35">
        <v>0.22716356499999998</v>
      </c>
    </row>
    <row r="35400" spans="103:104" x14ac:dyDescent="0.3">
      <c r="CY35400" s="34" t="s">
        <v>36326</v>
      </c>
      <c r="CZ35400" s="35">
        <v>0.145415725</v>
      </c>
    </row>
    <row r="35401" spans="103:104" x14ac:dyDescent="0.3">
      <c r="CY35401" s="34" t="s">
        <v>36327</v>
      </c>
      <c r="CZ35401" s="35">
        <v>1.2227303999999998E-2</v>
      </c>
    </row>
    <row r="35402" spans="103:104" x14ac:dyDescent="0.3">
      <c r="CY35402" s="34" t="s">
        <v>36328</v>
      </c>
      <c r="CZ35402" s="35">
        <v>4.5579731249999998E-2</v>
      </c>
    </row>
    <row r="35403" spans="103:104" x14ac:dyDescent="0.3">
      <c r="CY35403" s="34" t="s">
        <v>36329</v>
      </c>
      <c r="CZ35403" s="35">
        <v>4.0170097894736849E-2</v>
      </c>
    </row>
    <row r="35404" spans="103:104" x14ac:dyDescent="0.3">
      <c r="CY35404" s="34" t="s">
        <v>36330</v>
      </c>
      <c r="CZ35404" s="35">
        <v>1.7018990526315787E-2</v>
      </c>
    </row>
    <row r="35405" spans="103:104" x14ac:dyDescent="0.3">
      <c r="CY35405" s="34" t="s">
        <v>36331</v>
      </c>
      <c r="CZ35405" s="35">
        <v>2.7762379999999999E-3</v>
      </c>
    </row>
    <row r="35406" spans="103:104" x14ac:dyDescent="0.3">
      <c r="CY35406" s="34" t="s">
        <v>36332</v>
      </c>
      <c r="CZ35406" s="35">
        <v>8.0209469999999988E-3</v>
      </c>
    </row>
    <row r="35407" spans="103:104" x14ac:dyDescent="0.3">
      <c r="CY35407" s="34" t="s">
        <v>36333</v>
      </c>
      <c r="CZ35407" s="35">
        <v>0.198573736</v>
      </c>
    </row>
    <row r="35408" spans="103:104" x14ac:dyDescent="0.3">
      <c r="CY35408" s="34" t="s">
        <v>36334</v>
      </c>
      <c r="CZ35408" s="35">
        <v>2.5910519999999999E-2</v>
      </c>
    </row>
    <row r="35409" spans="103:104" x14ac:dyDescent="0.3">
      <c r="CY35409" s="34" t="s">
        <v>36335</v>
      </c>
      <c r="CZ35409" s="35">
        <v>6.483716665E-2</v>
      </c>
    </row>
    <row r="35410" spans="103:104" x14ac:dyDescent="0.3">
      <c r="CY35410" s="34" t="s">
        <v>36336</v>
      </c>
      <c r="CZ35410" s="35">
        <v>7.275606250000001E-2</v>
      </c>
    </row>
    <row r="35411" spans="103:104" x14ac:dyDescent="0.3">
      <c r="CY35411" s="34" t="s">
        <v>36337</v>
      </c>
      <c r="CZ35411" s="35">
        <v>0.143526765</v>
      </c>
    </row>
    <row r="35412" spans="103:104" x14ac:dyDescent="0.3">
      <c r="CY35412" s="34" t="s">
        <v>36338</v>
      </c>
      <c r="CZ35412" s="35">
        <v>6.1166000000000012E-2</v>
      </c>
    </row>
    <row r="35413" spans="103:104" x14ac:dyDescent="0.3">
      <c r="CY35413" s="34" t="s">
        <v>36339</v>
      </c>
      <c r="CZ35413" s="35">
        <v>6.8440309E-3</v>
      </c>
    </row>
    <row r="35414" spans="103:104" x14ac:dyDescent="0.3">
      <c r="CY35414" s="34" t="s">
        <v>36340</v>
      </c>
      <c r="CZ35414" s="35">
        <v>6.8440309E-3</v>
      </c>
    </row>
    <row r="35415" spans="103:104" x14ac:dyDescent="0.3">
      <c r="CY35415" s="34" t="s">
        <v>36341</v>
      </c>
      <c r="CZ35415" s="35">
        <v>6.8440300000000009E-3</v>
      </c>
    </row>
    <row r="35416" spans="103:104" x14ac:dyDescent="0.3">
      <c r="CY35416" s="34" t="s">
        <v>36342</v>
      </c>
      <c r="CZ35416" s="35">
        <v>8.2751762000000007E-4</v>
      </c>
    </row>
    <row r="35417" spans="103:104" x14ac:dyDescent="0.3">
      <c r="CY35417" s="34" t="s">
        <v>36343</v>
      </c>
      <c r="CZ35417" s="35">
        <v>1.3465000000000001E-2</v>
      </c>
    </row>
    <row r="35418" spans="103:104" x14ac:dyDescent="0.3">
      <c r="CY35418" s="34" t="s">
        <v>36344</v>
      </c>
      <c r="CZ35418" s="35">
        <v>4.3002275200000002E-2</v>
      </c>
    </row>
    <row r="35419" spans="103:104" x14ac:dyDescent="0.3">
      <c r="CY35419" s="34" t="s">
        <v>36345</v>
      </c>
      <c r="CZ35419" s="35">
        <v>4.7127397799999998E-2</v>
      </c>
    </row>
    <row r="35420" spans="103:104" x14ac:dyDescent="0.3">
      <c r="CY35420" s="34" t="s">
        <v>36346</v>
      </c>
      <c r="CZ35420" s="35">
        <v>8.9620435500000012E-2</v>
      </c>
    </row>
    <row r="35421" spans="103:104" x14ac:dyDescent="0.3">
      <c r="CY35421" s="34" t="s">
        <v>36347</v>
      </c>
      <c r="CZ35421" s="35">
        <v>4.4546494733333331E-2</v>
      </c>
    </row>
    <row r="35422" spans="103:104" x14ac:dyDescent="0.3">
      <c r="CY35422" s="34" t="s">
        <v>36348</v>
      </c>
      <c r="CZ35422" s="35">
        <v>3.5169854733333332E-2</v>
      </c>
    </row>
    <row r="35423" spans="103:104" x14ac:dyDescent="0.3">
      <c r="CY35423" s="34" t="s">
        <v>36349</v>
      </c>
      <c r="CZ35423" s="35">
        <v>4.4546494733333331E-2</v>
      </c>
    </row>
    <row r="35424" spans="103:104" x14ac:dyDescent="0.3">
      <c r="CY35424" s="34" t="s">
        <v>36350</v>
      </c>
      <c r="CZ35424" s="35">
        <v>3.5169854733333332E-2</v>
      </c>
    </row>
    <row r="35425" spans="103:104" x14ac:dyDescent="0.3">
      <c r="CY35425" s="34" t="s">
        <v>36351</v>
      </c>
      <c r="CZ35425" s="35">
        <v>1.35867105E-2</v>
      </c>
    </row>
    <row r="35426" spans="103:104" x14ac:dyDescent="0.3">
      <c r="CY35426" s="34" t="s">
        <v>36352</v>
      </c>
      <c r="CZ35426" s="35">
        <v>9.0567619999999995E-3</v>
      </c>
    </row>
    <row r="35427" spans="103:104" x14ac:dyDescent="0.3">
      <c r="CY35427" s="34" t="s">
        <v>36353</v>
      </c>
      <c r="CZ35427" s="35">
        <v>0.12857402400000001</v>
      </c>
    </row>
    <row r="35428" spans="103:104" x14ac:dyDescent="0.3">
      <c r="CY35428" s="34" t="s">
        <v>36354</v>
      </c>
      <c r="CZ35428" s="35">
        <v>0.39973684210526317</v>
      </c>
    </row>
    <row r="35429" spans="103:104" x14ac:dyDescent="0.3">
      <c r="CY35429" s="34" t="s">
        <v>36355</v>
      </c>
      <c r="CZ35429" s="35">
        <v>0.26595831578947365</v>
      </c>
    </row>
    <row r="35430" spans="103:104" x14ac:dyDescent="0.3">
      <c r="CY35430" s="34" t="s">
        <v>36356</v>
      </c>
      <c r="CZ35430" s="35">
        <v>1.5608799999999999E-3</v>
      </c>
    </row>
    <row r="35431" spans="103:104" x14ac:dyDescent="0.3">
      <c r="CY35431" s="34" t="s">
        <v>36357</v>
      </c>
      <c r="CZ35431" s="35">
        <v>2.2816947499999999E-3</v>
      </c>
    </row>
    <row r="35432" spans="103:104" x14ac:dyDescent="0.3">
      <c r="CY35432" s="34" t="s">
        <v>36358</v>
      </c>
      <c r="CZ35432" s="35">
        <v>2.0749572000000002E-3</v>
      </c>
    </row>
    <row r="35433" spans="103:104" x14ac:dyDescent="0.3">
      <c r="CY35433" s="34" t="s">
        <v>36359</v>
      </c>
      <c r="CZ35433" s="35">
        <v>8.0459490000000002E-3</v>
      </c>
    </row>
    <row r="35434" spans="103:104" x14ac:dyDescent="0.3">
      <c r="CY35434" s="34" t="s">
        <v>36360</v>
      </c>
      <c r="CZ35434" s="35">
        <v>4.5766658880000005E-3</v>
      </c>
    </row>
    <row r="35435" spans="103:104" x14ac:dyDescent="0.3">
      <c r="CY35435" s="34" t="s">
        <v>36361</v>
      </c>
      <c r="CZ35435" s="35">
        <v>0.63012282999999991</v>
      </c>
    </row>
    <row r="35436" spans="103:104" x14ac:dyDescent="0.3">
      <c r="CY35436" s="34" t="s">
        <v>36362</v>
      </c>
      <c r="CZ35436" s="35">
        <v>0.77104452999999995</v>
      </c>
    </row>
    <row r="35437" spans="103:104" x14ac:dyDescent="0.3">
      <c r="CY35437" s="34" t="s">
        <v>36363</v>
      </c>
      <c r="CZ35437" s="35">
        <v>1.153333E-2</v>
      </c>
    </row>
    <row r="35438" spans="103:104" x14ac:dyDescent="0.3">
      <c r="CY35438" s="34" t="s">
        <v>36364</v>
      </c>
      <c r="CZ35438" s="35">
        <v>1.153333E-2</v>
      </c>
    </row>
    <row r="35439" spans="103:104" x14ac:dyDescent="0.3">
      <c r="CY35439" s="34" t="s">
        <v>36365</v>
      </c>
      <c r="CZ35439" s="35">
        <v>0.72652452999999995</v>
      </c>
    </row>
    <row r="35440" spans="103:104" x14ac:dyDescent="0.3">
      <c r="CY35440" s="34" t="s">
        <v>36366</v>
      </c>
      <c r="CZ35440" s="35">
        <v>1.153333E-2</v>
      </c>
    </row>
    <row r="35441" spans="103:104" x14ac:dyDescent="0.3">
      <c r="CY35441" s="34" t="s">
        <v>36367</v>
      </c>
      <c r="CZ35441" s="35">
        <v>0.37808132999999999</v>
      </c>
    </row>
    <row r="35442" spans="103:104" x14ac:dyDescent="0.3">
      <c r="CY35442" s="34" t="s">
        <v>36368</v>
      </c>
      <c r="CZ35442" s="35">
        <v>1.3672221199999999E-2</v>
      </c>
    </row>
    <row r="35443" spans="103:104" x14ac:dyDescent="0.3">
      <c r="CY35443" s="34" t="s">
        <v>36369</v>
      </c>
      <c r="CZ35443" s="35">
        <v>1.3430265199999998E-2</v>
      </c>
    </row>
    <row r="35444" spans="103:104" x14ac:dyDescent="0.3">
      <c r="CY35444" s="34" t="s">
        <v>36370</v>
      </c>
      <c r="CZ35444" s="35">
        <v>2.8006840266666666E-3</v>
      </c>
    </row>
    <row r="35445" spans="103:104" x14ac:dyDescent="0.3">
      <c r="CY35445" s="34" t="s">
        <v>36371</v>
      </c>
      <c r="CZ35445" s="35">
        <v>9.647625E-2</v>
      </c>
    </row>
    <row r="35446" spans="103:104" x14ac:dyDescent="0.3">
      <c r="CY35446" s="34" t="s">
        <v>36372</v>
      </c>
      <c r="CZ35446" s="35">
        <v>2.3104294599999996E-3</v>
      </c>
    </row>
    <row r="35447" spans="103:104" x14ac:dyDescent="0.3">
      <c r="CY35447" s="34" t="s">
        <v>36373</v>
      </c>
      <c r="CZ35447" s="35">
        <v>1.2357149999999999E-2</v>
      </c>
    </row>
    <row r="35448" spans="103:104" x14ac:dyDescent="0.3">
      <c r="CY35448" s="34" t="s">
        <v>36374</v>
      </c>
      <c r="CZ35448" s="35">
        <v>1.153333E-2</v>
      </c>
    </row>
    <row r="35449" spans="103:104" x14ac:dyDescent="0.3">
      <c r="CY35449" s="34" t="s">
        <v>36375</v>
      </c>
      <c r="CZ35449" s="35">
        <v>0.68434183000000015</v>
      </c>
    </row>
    <row r="35450" spans="103:104" x14ac:dyDescent="0.3">
      <c r="CY35450" s="34" t="s">
        <v>36376</v>
      </c>
      <c r="CZ35450" s="35">
        <v>1.153333E-2</v>
      </c>
    </row>
    <row r="35451" spans="103:104" x14ac:dyDescent="0.3">
      <c r="CY35451" s="34" t="s">
        <v>36377</v>
      </c>
      <c r="CZ35451" s="35">
        <v>1.153333E-2</v>
      </c>
    </row>
    <row r="35452" spans="103:104" x14ac:dyDescent="0.3">
      <c r="CY35452" s="34" t="s">
        <v>36378</v>
      </c>
      <c r="CZ35452" s="35">
        <v>0.12953010600000001</v>
      </c>
    </row>
    <row r="35453" spans="103:104" x14ac:dyDescent="0.3">
      <c r="CY35453" s="34" t="s">
        <v>36379</v>
      </c>
      <c r="CZ35453" s="35">
        <v>0.63012282999999991</v>
      </c>
    </row>
    <row r="35454" spans="103:104" x14ac:dyDescent="0.3">
      <c r="CY35454" s="34" t="s">
        <v>36380</v>
      </c>
      <c r="CZ35454" s="35">
        <v>0.74391912999999998</v>
      </c>
    </row>
    <row r="35455" spans="103:104" x14ac:dyDescent="0.3">
      <c r="CY35455" s="34" t="s">
        <v>36381</v>
      </c>
      <c r="CZ35455" s="35">
        <v>1.153333E-2</v>
      </c>
    </row>
    <row r="35456" spans="103:104" x14ac:dyDescent="0.3">
      <c r="CY35456" s="34" t="s">
        <v>36382</v>
      </c>
      <c r="CZ35456" s="35">
        <v>0.48047733000000004</v>
      </c>
    </row>
    <row r="35457" spans="103:104" x14ac:dyDescent="0.3">
      <c r="CY35457" s="34" t="s">
        <v>36383</v>
      </c>
      <c r="CZ35457" s="35">
        <v>1.153333E-2</v>
      </c>
    </row>
    <row r="35458" spans="103:104" x14ac:dyDescent="0.3">
      <c r="CY35458" s="34" t="s">
        <v>36384</v>
      </c>
      <c r="CZ35458" s="35">
        <v>1.153333E-2</v>
      </c>
    </row>
    <row r="35459" spans="103:104" x14ac:dyDescent="0.3">
      <c r="CY35459" s="34" t="s">
        <v>36385</v>
      </c>
      <c r="CZ35459" s="35">
        <v>1.4231249999999999E-3</v>
      </c>
    </row>
    <row r="35460" spans="103:104" x14ac:dyDescent="0.3">
      <c r="CY35460" s="34" t="s">
        <v>36386</v>
      </c>
      <c r="CZ35460" s="35">
        <v>6.4309024999999992E-2</v>
      </c>
    </row>
    <row r="35461" spans="103:104" x14ac:dyDescent="0.3">
      <c r="CY35461" s="34" t="s">
        <v>36387</v>
      </c>
      <c r="CZ35461" s="35">
        <v>0.19033858400000001</v>
      </c>
    </row>
    <row r="35462" spans="103:104" x14ac:dyDescent="0.3">
      <c r="CY35462" s="34" t="s">
        <v>36388</v>
      </c>
      <c r="CZ35462" s="35">
        <v>0.10913439714285716</v>
      </c>
    </row>
    <row r="35463" spans="103:104" x14ac:dyDescent="0.3">
      <c r="CY35463" s="34" t="s">
        <v>36389</v>
      </c>
      <c r="CZ35463" s="35">
        <v>7.7849240000000004E-3</v>
      </c>
    </row>
    <row r="35464" spans="103:104" x14ac:dyDescent="0.3">
      <c r="CY35464" s="34" t="s">
        <v>36390</v>
      </c>
      <c r="CZ35464" s="35">
        <v>0.77421540000000011</v>
      </c>
    </row>
    <row r="35465" spans="103:104" x14ac:dyDescent="0.3">
      <c r="CY35465" s="34" t="s">
        <v>36391</v>
      </c>
      <c r="CZ35465" s="35">
        <v>5.4511387999999997E-3</v>
      </c>
    </row>
    <row r="35466" spans="103:104" x14ac:dyDescent="0.3">
      <c r="CY35466" s="34" t="s">
        <v>36392</v>
      </c>
      <c r="CZ35466" s="35">
        <v>6.2117083999999999E-3</v>
      </c>
    </row>
    <row r="35467" spans="103:104" x14ac:dyDescent="0.3">
      <c r="CY35467" s="34" t="s">
        <v>36393</v>
      </c>
      <c r="CZ35467" s="35">
        <v>6.2117083999999999E-3</v>
      </c>
    </row>
    <row r="35468" spans="103:104" x14ac:dyDescent="0.3">
      <c r="CY35468" s="34" t="s">
        <v>36394</v>
      </c>
      <c r="CZ35468" s="35">
        <v>8.2582000000000003E-3</v>
      </c>
    </row>
    <row r="35469" spans="103:104" x14ac:dyDescent="0.3">
      <c r="CY35469" s="34" t="s">
        <v>36395</v>
      </c>
      <c r="CZ35469" s="35">
        <v>3.1684170599999999E-2</v>
      </c>
    </row>
    <row r="35470" spans="103:104" x14ac:dyDescent="0.3">
      <c r="CY35470" s="34" t="s">
        <v>36396</v>
      </c>
      <c r="CZ35470" s="35">
        <v>4.3139198600000005E-2</v>
      </c>
    </row>
    <row r="35471" spans="103:104" x14ac:dyDescent="0.3">
      <c r="CY35471" s="34" t="s">
        <v>36397</v>
      </c>
      <c r="CZ35471" s="35">
        <v>4.3139198600000005E-2</v>
      </c>
    </row>
    <row r="35472" spans="103:104" x14ac:dyDescent="0.3">
      <c r="CY35472" s="34" t="s">
        <v>36398</v>
      </c>
      <c r="CZ35472" s="35">
        <v>0.64470185000000002</v>
      </c>
    </row>
    <row r="35473" spans="103:104" x14ac:dyDescent="0.3">
      <c r="CY35473" s="34" t="s">
        <v>36399</v>
      </c>
      <c r="CZ35473" s="35">
        <v>4.1511924999999998E-2</v>
      </c>
    </row>
    <row r="35474" spans="103:104" x14ac:dyDescent="0.3">
      <c r="CY35474" s="34" t="s">
        <v>36400</v>
      </c>
      <c r="CZ35474" s="35">
        <v>0.11394739999999999</v>
      </c>
    </row>
    <row r="35475" spans="103:104" x14ac:dyDescent="0.3">
      <c r="CY35475" s="34" t="s">
        <v>36401</v>
      </c>
      <c r="CZ35475" s="35">
        <v>5.1622389000000005E-2</v>
      </c>
    </row>
    <row r="35476" spans="103:104" x14ac:dyDescent="0.3">
      <c r="CY35476" s="34" t="s">
        <v>36402</v>
      </c>
      <c r="CZ35476" s="35">
        <v>6.8361915999999995E-2</v>
      </c>
    </row>
    <row r="35477" spans="103:104" x14ac:dyDescent="0.3">
      <c r="CY35477" s="34" t="s">
        <v>36403</v>
      </c>
      <c r="CZ35477" s="35">
        <v>7.5583675999999989E-2</v>
      </c>
    </row>
    <row r="35478" spans="103:104" x14ac:dyDescent="0.3">
      <c r="CY35478" s="34" t="s">
        <v>36404</v>
      </c>
      <c r="CZ35478" s="35">
        <v>8.1902716E-2</v>
      </c>
    </row>
    <row r="35479" spans="103:104" x14ac:dyDescent="0.3">
      <c r="CY35479" s="34" t="s">
        <v>36405</v>
      </c>
      <c r="CZ35479" s="35">
        <v>0.13329138400000001</v>
      </c>
    </row>
    <row r="35480" spans="103:104" x14ac:dyDescent="0.3">
      <c r="CY35480" s="34" t="s">
        <v>36406</v>
      </c>
      <c r="CZ35480" s="35">
        <v>2.0581498823529416E-3</v>
      </c>
    </row>
    <row r="35481" spans="103:104" x14ac:dyDescent="0.3">
      <c r="CY35481" s="34" t="s">
        <v>36407</v>
      </c>
      <c r="CZ35481" s="35">
        <v>2.2551503529411763E-3</v>
      </c>
    </row>
    <row r="35482" spans="103:104" x14ac:dyDescent="0.3">
      <c r="CY35482" s="34" t="s">
        <v>36408</v>
      </c>
      <c r="CZ35482" s="35">
        <v>2.7376844600000002E-2</v>
      </c>
    </row>
    <row r="35483" spans="103:104" x14ac:dyDescent="0.3">
      <c r="CY35483" s="34" t="s">
        <v>36409</v>
      </c>
      <c r="CZ35483" s="35">
        <v>2.8628238736842105E-3</v>
      </c>
    </row>
    <row r="35484" spans="103:104" x14ac:dyDescent="0.3">
      <c r="CY35484" s="34" t="s">
        <v>36410</v>
      </c>
      <c r="CZ35484" s="35">
        <v>5.370332918181818E-2</v>
      </c>
    </row>
    <row r="35485" spans="103:104" x14ac:dyDescent="0.3">
      <c r="CY35485" s="34" t="s">
        <v>36411</v>
      </c>
      <c r="CZ35485" s="35">
        <v>5.370332918181818E-2</v>
      </c>
    </row>
    <row r="35486" spans="103:104" x14ac:dyDescent="0.3">
      <c r="CY35486" s="34" t="s">
        <v>36412</v>
      </c>
      <c r="CZ35486" s="35">
        <v>8.6365210000000012E-3</v>
      </c>
    </row>
    <row r="35487" spans="103:104" x14ac:dyDescent="0.3">
      <c r="CY35487" s="34" t="s">
        <v>36413</v>
      </c>
      <c r="CZ35487" s="35">
        <v>1.1567839999999999E-3</v>
      </c>
    </row>
    <row r="35488" spans="103:104" x14ac:dyDescent="0.3">
      <c r="CY35488" s="34" t="s">
        <v>36414</v>
      </c>
      <c r="CZ35488" s="35">
        <v>1.1742718800000001E-3</v>
      </c>
    </row>
    <row r="35489" spans="103:104" x14ac:dyDescent="0.3">
      <c r="CY35489" s="34" t="s">
        <v>36415</v>
      </c>
      <c r="CZ35489" s="35">
        <v>2.5637840000000004E-3</v>
      </c>
    </row>
    <row r="35490" spans="103:104" x14ac:dyDescent="0.3">
      <c r="CY35490" s="34" t="s">
        <v>36416</v>
      </c>
      <c r="CZ35490" s="35">
        <v>2.1651314E-3</v>
      </c>
    </row>
    <row r="35491" spans="103:104" x14ac:dyDescent="0.3">
      <c r="CY35491" s="34" t="s">
        <v>36417</v>
      </c>
      <c r="CZ35491" s="35">
        <v>93.047455250000013</v>
      </c>
    </row>
    <row r="35492" spans="103:104" x14ac:dyDescent="0.3">
      <c r="CY35492" s="34" t="s">
        <v>36418</v>
      </c>
      <c r="CZ35492" s="35">
        <v>92.570303250000009</v>
      </c>
    </row>
    <row r="35493" spans="103:104" x14ac:dyDescent="0.3">
      <c r="CY35493" s="34" t="s">
        <v>36419</v>
      </c>
      <c r="CZ35493" s="35">
        <v>0.13795405300000002</v>
      </c>
    </row>
    <row r="35494" spans="103:104" x14ac:dyDescent="0.3">
      <c r="CY35494" s="34" t="s">
        <v>36420</v>
      </c>
      <c r="CZ35494" s="35">
        <v>2.217562E-2</v>
      </c>
    </row>
    <row r="35495" spans="103:104" x14ac:dyDescent="0.3">
      <c r="CY35495" s="34" t="s">
        <v>36421</v>
      </c>
      <c r="CZ35495" s="35">
        <v>1.3639716000000001E-2</v>
      </c>
    </row>
    <row r="35496" spans="103:104" x14ac:dyDescent="0.3">
      <c r="CY35496" s="34" t="s">
        <v>36422</v>
      </c>
      <c r="CZ35496" s="35">
        <v>8.8045252000000004E-2</v>
      </c>
    </row>
    <row r="35497" spans="103:104" x14ac:dyDescent="0.3">
      <c r="CY35497" s="34" t="s">
        <v>36423</v>
      </c>
      <c r="CZ35497" s="35">
        <v>8.8045252000000004E-2</v>
      </c>
    </row>
    <row r="35498" spans="103:104" x14ac:dyDescent="0.3">
      <c r="CY35498" s="34" t="s">
        <v>36424</v>
      </c>
      <c r="CZ35498" s="35">
        <v>8.8045252000000004E-2</v>
      </c>
    </row>
    <row r="35499" spans="103:104" x14ac:dyDescent="0.3">
      <c r="CY35499" s="34" t="s">
        <v>36425</v>
      </c>
      <c r="CZ35499" s="35">
        <v>2.70751706E-2</v>
      </c>
    </row>
    <row r="35500" spans="103:104" x14ac:dyDescent="0.3">
      <c r="CY35500" s="34" t="s">
        <v>36426</v>
      </c>
      <c r="CZ35500" s="35">
        <v>0.257711044</v>
      </c>
    </row>
    <row r="35501" spans="103:104" x14ac:dyDescent="0.3">
      <c r="CY35501" s="34" t="s">
        <v>36427</v>
      </c>
      <c r="CZ35501" s="35">
        <v>0.43215949800000003</v>
      </c>
    </row>
    <row r="35502" spans="103:104" x14ac:dyDescent="0.3">
      <c r="CY35502" s="34" t="s">
        <v>36428</v>
      </c>
      <c r="CZ35502" s="35">
        <v>9.514125E-3</v>
      </c>
    </row>
    <row r="35503" spans="103:104" x14ac:dyDescent="0.3">
      <c r="CY35503" s="34" t="s">
        <v>36429</v>
      </c>
      <c r="CZ35503" s="35">
        <v>3.2257317499999999E-3</v>
      </c>
    </row>
    <row r="35504" spans="103:104" x14ac:dyDescent="0.3">
      <c r="CY35504" s="34" t="s">
        <v>36430</v>
      </c>
      <c r="CZ35504" s="35">
        <v>2.4005879999999999E-3</v>
      </c>
    </row>
    <row r="35505" spans="103:104" x14ac:dyDescent="0.3">
      <c r="CY35505" s="34" t="s">
        <v>36431</v>
      </c>
      <c r="CZ35505" s="35">
        <v>0.41292369333333334</v>
      </c>
    </row>
    <row r="35506" spans="103:104" x14ac:dyDescent="0.3">
      <c r="CY35506" s="34" t="s">
        <v>36432</v>
      </c>
      <c r="CZ35506" s="35">
        <v>4.3225000000000002E-4</v>
      </c>
    </row>
    <row r="35507" spans="103:104" x14ac:dyDescent="0.3">
      <c r="CY35507" s="34" t="s">
        <v>36433</v>
      </c>
      <c r="CZ35507" s="35">
        <v>5.2741250000000006E-4</v>
      </c>
    </row>
    <row r="35508" spans="103:104" x14ac:dyDescent="0.3">
      <c r="CY35508" s="34" t="s">
        <v>36434</v>
      </c>
      <c r="CZ35508" s="35">
        <v>0.13602207400000002</v>
      </c>
    </row>
    <row r="35509" spans="103:104" x14ac:dyDescent="0.3">
      <c r="CY35509" s="34" t="s">
        <v>36435</v>
      </c>
      <c r="CZ35509" s="35">
        <v>6.9962936499999998E-3</v>
      </c>
    </row>
    <row r="35510" spans="103:104" x14ac:dyDescent="0.3">
      <c r="CY35510" s="34" t="s">
        <v>36436</v>
      </c>
      <c r="CZ35510" s="35">
        <v>1.3612256571428571E-2</v>
      </c>
    </row>
    <row r="35511" spans="103:104" x14ac:dyDescent="0.3">
      <c r="CY35511" s="34" t="s">
        <v>36437</v>
      </c>
      <c r="CZ35511" s="35">
        <v>1.4176607800000001E-2</v>
      </c>
    </row>
    <row r="35512" spans="103:104" x14ac:dyDescent="0.3">
      <c r="CY35512" s="34" t="s">
        <v>36438</v>
      </c>
      <c r="CZ35512" s="35">
        <v>3.312566834170854E-2</v>
      </c>
    </row>
    <row r="35513" spans="103:104" x14ac:dyDescent="0.3">
      <c r="CY35513" s="34" t="s">
        <v>36439</v>
      </c>
      <c r="CZ35513" s="35">
        <v>3.4584441999999998E-3</v>
      </c>
    </row>
    <row r="35514" spans="103:104" x14ac:dyDescent="0.3">
      <c r="CY35514" s="34" t="s">
        <v>36440</v>
      </c>
      <c r="CZ35514" s="35">
        <v>1.4034285714285715E-3</v>
      </c>
    </row>
    <row r="35515" spans="103:104" x14ac:dyDescent="0.3">
      <c r="CY35515" s="34" t="s">
        <v>36441</v>
      </c>
      <c r="CZ35515" s="35">
        <v>5.3237243999999994E-3</v>
      </c>
    </row>
    <row r="35516" spans="103:104" x14ac:dyDescent="0.3">
      <c r="CY35516" s="34" t="s">
        <v>36442</v>
      </c>
      <c r="CZ35516" s="35">
        <v>5.0644860000000009E-3</v>
      </c>
    </row>
    <row r="35517" spans="103:104" x14ac:dyDescent="0.3">
      <c r="CY35517" s="34" t="s">
        <v>36443</v>
      </c>
      <c r="CZ35517" s="35">
        <v>2.9680574628571424E-4</v>
      </c>
    </row>
    <row r="35518" spans="103:104" x14ac:dyDescent="0.3">
      <c r="CY35518" s="34" t="s">
        <v>36444</v>
      </c>
      <c r="CZ35518" s="35">
        <v>3.6370181250000001E-2</v>
      </c>
    </row>
    <row r="35519" spans="103:104" x14ac:dyDescent="0.3">
      <c r="CY35519" s="34" t="s">
        <v>36445</v>
      </c>
      <c r="CZ35519" s="35">
        <v>1.4539056E-2</v>
      </c>
    </row>
    <row r="35520" spans="103:104" x14ac:dyDescent="0.3">
      <c r="CY35520" s="34" t="s">
        <v>36446</v>
      </c>
      <c r="CZ35520" s="35">
        <v>1.4539056E-2</v>
      </c>
    </row>
    <row r="35521" spans="103:104" x14ac:dyDescent="0.3">
      <c r="CY35521" s="34" t="s">
        <v>36447</v>
      </c>
      <c r="CZ35521" s="35">
        <v>1.4539056E-2</v>
      </c>
    </row>
    <row r="35522" spans="103:104" x14ac:dyDescent="0.3">
      <c r="CY35522" s="34" t="s">
        <v>36448</v>
      </c>
      <c r="CZ35522" s="35">
        <v>3.0129801388888888E-2</v>
      </c>
    </row>
    <row r="35523" spans="103:104" x14ac:dyDescent="0.3">
      <c r="CY35523" s="34" t="s">
        <v>36449</v>
      </c>
      <c r="CZ35523" s="35">
        <v>6.703678E-4</v>
      </c>
    </row>
    <row r="35524" spans="103:104" x14ac:dyDescent="0.3">
      <c r="CY35524" s="34" t="s">
        <v>36450</v>
      </c>
      <c r="CZ35524" s="35">
        <v>1.13610972E-2</v>
      </c>
    </row>
    <row r="35525" spans="103:104" x14ac:dyDescent="0.3">
      <c r="CY35525" s="34" t="s">
        <v>36451</v>
      </c>
      <c r="CZ35525" s="35">
        <v>6.5407399999999993E-4</v>
      </c>
    </row>
    <row r="35526" spans="103:104" x14ac:dyDescent="0.3">
      <c r="CY35526" s="34" t="s">
        <v>36452</v>
      </c>
      <c r="CZ35526" s="35">
        <v>3.4004369E-2</v>
      </c>
    </row>
    <row r="35527" spans="103:104" x14ac:dyDescent="0.3">
      <c r="CY35527" s="34" t="s">
        <v>36453</v>
      </c>
      <c r="CZ35527" s="35">
        <v>2.7545151739999999E-2</v>
      </c>
    </row>
    <row r="35528" spans="103:104" x14ac:dyDescent="0.3">
      <c r="CY35528" s="34" t="s">
        <v>36454</v>
      </c>
      <c r="CZ35528" s="35">
        <v>1.20915424E-3</v>
      </c>
    </row>
    <row r="35529" spans="103:104" x14ac:dyDescent="0.3">
      <c r="CY35529" s="34" t="s">
        <v>36455</v>
      </c>
      <c r="CZ35529" s="35">
        <v>8.1747503999999999E-3</v>
      </c>
    </row>
    <row r="35530" spans="103:104" x14ac:dyDescent="0.3">
      <c r="CY35530" s="34" t="s">
        <v>36456</v>
      </c>
      <c r="CZ35530" s="35">
        <v>4.5275625E-2</v>
      </c>
    </row>
    <row r="35531" spans="103:104" x14ac:dyDescent="0.3">
      <c r="CY35531" s="34" t="s">
        <v>36457</v>
      </c>
      <c r="CZ35531" s="35">
        <v>3.9740271578947379E-3</v>
      </c>
    </row>
    <row r="35532" spans="103:104" x14ac:dyDescent="0.3">
      <c r="CY35532" s="34" t="s">
        <v>36458</v>
      </c>
      <c r="CZ35532" s="35">
        <v>7.6169921666666668E-2</v>
      </c>
    </row>
    <row r="35533" spans="103:104" x14ac:dyDescent="0.3">
      <c r="CY35533" s="34" t="s">
        <v>36459</v>
      </c>
      <c r="CZ35533" s="35">
        <v>7.5770873666666669E-2</v>
      </c>
    </row>
    <row r="35534" spans="103:104" x14ac:dyDescent="0.3">
      <c r="CY35534" s="34" t="s">
        <v>36460</v>
      </c>
      <c r="CZ35534" s="35">
        <v>0.42022981249999997</v>
      </c>
    </row>
    <row r="35535" spans="103:104" x14ac:dyDescent="0.3">
      <c r="CY35535" s="34" t="s">
        <v>36461</v>
      </c>
      <c r="CZ35535" s="35">
        <v>5.5315400000000001E-2</v>
      </c>
    </row>
    <row r="35536" spans="103:104" x14ac:dyDescent="0.3">
      <c r="CY35536" s="34" t="s">
        <v>36462</v>
      </c>
      <c r="CZ35536" s="35">
        <v>2.4430910500000003E-3</v>
      </c>
    </row>
    <row r="35537" spans="103:104" x14ac:dyDescent="0.3">
      <c r="CY35537" s="34" t="s">
        <v>36463</v>
      </c>
      <c r="CZ35537" s="35">
        <v>4.8112966400000005E-3</v>
      </c>
    </row>
    <row r="35538" spans="103:104" x14ac:dyDescent="0.3">
      <c r="CY35538" s="34" t="s">
        <v>36464</v>
      </c>
      <c r="CZ35538" s="35">
        <v>6.4261499999999992E-4</v>
      </c>
    </row>
    <row r="35539" spans="103:104" x14ac:dyDescent="0.3">
      <c r="CY35539" s="34" t="s">
        <v>36465</v>
      </c>
      <c r="CZ35539" s="35">
        <v>9.0806262999999984E-2</v>
      </c>
    </row>
    <row r="35540" spans="103:104" x14ac:dyDescent="0.3">
      <c r="CY35540" s="34" t="s">
        <v>36466</v>
      </c>
      <c r="CZ35540" s="35">
        <v>8.4458102999999993E-2</v>
      </c>
    </row>
    <row r="35541" spans="103:104" x14ac:dyDescent="0.3">
      <c r="CY35541" s="34" t="s">
        <v>36467</v>
      </c>
      <c r="CZ35541" s="35">
        <v>9.0806262999999984E-2</v>
      </c>
    </row>
    <row r="35542" spans="103:104" x14ac:dyDescent="0.3">
      <c r="CY35542" s="34" t="s">
        <v>36468</v>
      </c>
      <c r="CZ35542" s="35">
        <v>1.9812428799999997E-2</v>
      </c>
    </row>
    <row r="35543" spans="103:104" x14ac:dyDescent="0.3">
      <c r="CY35543" s="34" t="s">
        <v>36469</v>
      </c>
      <c r="CZ35543" s="35">
        <v>8.2052954000000015E-3</v>
      </c>
    </row>
    <row r="35544" spans="103:104" x14ac:dyDescent="0.3">
      <c r="CY35544" s="34" t="s">
        <v>36470</v>
      </c>
      <c r="CZ35544" s="35">
        <v>6.1700094666666669E-3</v>
      </c>
    </row>
    <row r="35545" spans="103:104" x14ac:dyDescent="0.3">
      <c r="CY35545" s="34" t="s">
        <v>36471</v>
      </c>
      <c r="CZ35545" s="35">
        <v>7.2822916700000002</v>
      </c>
    </row>
    <row r="35546" spans="103:104" x14ac:dyDescent="0.3">
      <c r="CY35546" s="34" t="s">
        <v>36472</v>
      </c>
      <c r="CZ35546" s="35">
        <v>2.9421312571428569E-2</v>
      </c>
    </row>
    <row r="35547" spans="103:104" x14ac:dyDescent="0.3">
      <c r="CY35547" s="34" t="s">
        <v>36473</v>
      </c>
      <c r="CZ35547" s="35">
        <v>2.2983419999999999</v>
      </c>
    </row>
    <row r="35548" spans="103:104" x14ac:dyDescent="0.3">
      <c r="CY35548" s="34" t="s">
        <v>36474</v>
      </c>
      <c r="CZ35548" s="35">
        <v>9.0057091249999985E-2</v>
      </c>
    </row>
    <row r="35549" spans="103:104" x14ac:dyDescent="0.3">
      <c r="CY35549" s="34" t="s">
        <v>36475</v>
      </c>
      <c r="CZ35549" s="35">
        <v>8.3167872000000002E-4</v>
      </c>
    </row>
    <row r="35550" spans="103:104" x14ac:dyDescent="0.3">
      <c r="CY35550" s="34" t="s">
        <v>36476</v>
      </c>
      <c r="CZ35550" s="35">
        <v>1.3442193600000001</v>
      </c>
    </row>
    <row r="35551" spans="103:104" x14ac:dyDescent="0.3">
      <c r="CY35551" s="34" t="s">
        <v>36477</v>
      </c>
      <c r="CZ35551" s="35">
        <v>0.10051508730000001</v>
      </c>
    </row>
    <row r="35552" spans="103:104" x14ac:dyDescent="0.3">
      <c r="CY35552" s="34" t="s">
        <v>36478</v>
      </c>
      <c r="CZ35552" s="35">
        <v>3.6622268888888893E-2</v>
      </c>
    </row>
    <row r="35553" spans="103:104" x14ac:dyDescent="0.3">
      <c r="CY35553" s="34" t="s">
        <v>36479</v>
      </c>
      <c r="CZ35553" s="35">
        <v>2.2640722000000002E-2</v>
      </c>
    </row>
    <row r="35554" spans="103:104" x14ac:dyDescent="0.3">
      <c r="CY35554" s="34" t="s">
        <v>36480</v>
      </c>
      <c r="CZ35554" s="35">
        <v>1.0585947599999997E-3</v>
      </c>
    </row>
    <row r="35555" spans="103:104" x14ac:dyDescent="0.3">
      <c r="CY35555" s="34" t="s">
        <v>36481</v>
      </c>
      <c r="CZ35555" s="35">
        <v>5.6102939200000006E-4</v>
      </c>
    </row>
    <row r="35556" spans="103:104" x14ac:dyDescent="0.3">
      <c r="CY35556" s="34" t="s">
        <v>36482</v>
      </c>
      <c r="CZ35556" s="35">
        <v>1.07520952E-3</v>
      </c>
    </row>
    <row r="35557" spans="103:104" x14ac:dyDescent="0.3">
      <c r="CY35557" s="34" t="s">
        <v>36483</v>
      </c>
      <c r="CZ35557" s="35">
        <v>1.9210699200000001E-3</v>
      </c>
    </row>
    <row r="35558" spans="103:104" x14ac:dyDescent="0.3">
      <c r="CY35558" s="34" t="s">
        <v>36484</v>
      </c>
      <c r="CZ35558" s="35">
        <v>4.0799817600000008E-4</v>
      </c>
    </row>
    <row r="35559" spans="103:104" x14ac:dyDescent="0.3">
      <c r="CY35559" s="34" t="s">
        <v>36485</v>
      </c>
      <c r="CZ35559" s="35">
        <v>8.0885508999999998E-3</v>
      </c>
    </row>
    <row r="35560" spans="103:104" x14ac:dyDescent="0.3">
      <c r="CY35560" s="34" t="s">
        <v>36486</v>
      </c>
      <c r="CZ35560" s="35">
        <v>7.1429624999999998E-3</v>
      </c>
    </row>
    <row r="35561" spans="103:104" x14ac:dyDescent="0.3">
      <c r="CY35561" s="34" t="s">
        <v>36487</v>
      </c>
      <c r="CZ35561" s="35">
        <v>4.052244083333334E-2</v>
      </c>
    </row>
    <row r="35562" spans="103:104" x14ac:dyDescent="0.3">
      <c r="CY35562" s="34" t="s">
        <v>36488</v>
      </c>
      <c r="CZ35562" s="35">
        <v>6.3644126000000001E-4</v>
      </c>
    </row>
    <row r="35563" spans="103:104" x14ac:dyDescent="0.3">
      <c r="CY35563" s="34" t="s">
        <v>36489</v>
      </c>
      <c r="CZ35563" s="35">
        <v>6.1630686000000009E-4</v>
      </c>
    </row>
    <row r="35564" spans="103:104" x14ac:dyDescent="0.3">
      <c r="CY35564" s="34" t="s">
        <v>36490</v>
      </c>
      <c r="CZ35564" s="35">
        <v>5.9473056320000002E-2</v>
      </c>
    </row>
    <row r="35565" spans="103:104" x14ac:dyDescent="0.3">
      <c r="CY35565" s="34" t="s">
        <v>36491</v>
      </c>
      <c r="CZ35565" s="35">
        <v>3.0122932500000001E-2</v>
      </c>
    </row>
    <row r="35566" spans="103:104" x14ac:dyDescent="0.3">
      <c r="CY35566" s="34" t="s">
        <v>36492</v>
      </c>
      <c r="CZ35566" s="35">
        <v>0.41872046889999998</v>
      </c>
    </row>
    <row r="35567" spans="103:104" x14ac:dyDescent="0.3">
      <c r="CY35567" s="34" t="s">
        <v>36493</v>
      </c>
      <c r="CZ35567" s="35">
        <v>5.251485000000001E-3</v>
      </c>
    </row>
    <row r="35568" spans="103:104" x14ac:dyDescent="0.3">
      <c r="CY35568" s="34" t="s">
        <v>36494</v>
      </c>
      <c r="CZ35568" s="35">
        <v>5.3945282600000005E-2</v>
      </c>
    </row>
    <row r="35569" spans="103:104" x14ac:dyDescent="0.3">
      <c r="CY35569" s="34" t="s">
        <v>36495</v>
      </c>
      <c r="CZ35569" s="35">
        <v>9.8424053333333338E-4</v>
      </c>
    </row>
    <row r="35570" spans="103:104" x14ac:dyDescent="0.3">
      <c r="CY35570" s="34" t="s">
        <v>36496</v>
      </c>
      <c r="CZ35570" s="35">
        <v>6.3659113000000003E-2</v>
      </c>
    </row>
    <row r="35571" spans="103:104" x14ac:dyDescent="0.3">
      <c r="CY35571" s="34" t="s">
        <v>36497</v>
      </c>
      <c r="CZ35571" s="35">
        <v>1.8085050266666666E-2</v>
      </c>
    </row>
    <row r="35572" spans="103:104" x14ac:dyDescent="0.3">
      <c r="CY35572" s="34" t="s">
        <v>36498</v>
      </c>
      <c r="CZ35572" s="35">
        <v>6.3659113000000003E-2</v>
      </c>
    </row>
    <row r="35573" spans="103:104" x14ac:dyDescent="0.3">
      <c r="CY35573" s="34" t="s">
        <v>36499</v>
      </c>
      <c r="CZ35573" s="35">
        <v>9.0507586000000001E-2</v>
      </c>
    </row>
    <row r="35574" spans="103:104" x14ac:dyDescent="0.3">
      <c r="CY35574" s="34" t="s">
        <v>36500</v>
      </c>
      <c r="CZ35574" s="35">
        <v>1.5197126000000002E-2</v>
      </c>
    </row>
    <row r="35575" spans="103:104" x14ac:dyDescent="0.3">
      <c r="CY35575" s="34" t="s">
        <v>36501</v>
      </c>
      <c r="CZ35575" s="35">
        <v>1.5197126E-2</v>
      </c>
    </row>
    <row r="35576" spans="103:104" x14ac:dyDescent="0.3">
      <c r="CY35576" s="34" t="s">
        <v>36502</v>
      </c>
      <c r="CZ35576" s="35">
        <v>2.4938197000000002E-2</v>
      </c>
    </row>
    <row r="35577" spans="103:104" x14ac:dyDescent="0.3">
      <c r="CY35577" s="34" t="s">
        <v>36503</v>
      </c>
      <c r="CZ35577" s="35">
        <v>4.1486741599999995E-2</v>
      </c>
    </row>
    <row r="35578" spans="103:104" x14ac:dyDescent="0.3">
      <c r="CY35578" s="34" t="s">
        <v>36504</v>
      </c>
      <c r="CZ35578" s="35">
        <v>1.3812041000000001E-2</v>
      </c>
    </row>
    <row r="35579" spans="103:104" x14ac:dyDescent="0.3">
      <c r="CY35579" s="34" t="s">
        <v>36505</v>
      </c>
      <c r="CZ35579" s="35">
        <v>2.0608822399999997E-2</v>
      </c>
    </row>
    <row r="35580" spans="103:104" x14ac:dyDescent="0.3">
      <c r="CY35580" s="34" t="s">
        <v>36506</v>
      </c>
      <c r="CZ35580" s="35">
        <v>6.2067017400000001E-2</v>
      </c>
    </row>
    <row r="35581" spans="103:104" x14ac:dyDescent="0.3">
      <c r="CY35581" s="34" t="s">
        <v>36507</v>
      </c>
      <c r="CZ35581" s="35">
        <v>1.6975583200000001E-3</v>
      </c>
    </row>
    <row r="35582" spans="103:104" x14ac:dyDescent="0.3">
      <c r="CY35582" s="34" t="s">
        <v>36508</v>
      </c>
      <c r="CZ35582" s="35">
        <v>1.8697729600000001E-3</v>
      </c>
    </row>
    <row r="35583" spans="103:104" x14ac:dyDescent="0.3">
      <c r="CY35583" s="34" t="s">
        <v>36509</v>
      </c>
      <c r="CZ35583" s="35">
        <v>4.2438170399999996E-2</v>
      </c>
    </row>
    <row r="35584" spans="103:104" x14ac:dyDescent="0.3">
      <c r="CY35584" s="34" t="s">
        <v>36510</v>
      </c>
      <c r="CZ35584" s="35">
        <v>7.2223566285714288E-2</v>
      </c>
    </row>
    <row r="35585" spans="103:104" x14ac:dyDescent="0.3">
      <c r="CY35585" s="34" t="s">
        <v>36511</v>
      </c>
      <c r="CZ35585" s="35">
        <v>4.4551239999999995E-3</v>
      </c>
    </row>
    <row r="35586" spans="103:104" x14ac:dyDescent="0.3">
      <c r="CY35586" s="34" t="s">
        <v>36512</v>
      </c>
      <c r="CZ35586" s="35">
        <v>9.488727466666666E-3</v>
      </c>
    </row>
    <row r="35587" spans="103:104" x14ac:dyDescent="0.3">
      <c r="CY35587" s="34" t="s">
        <v>36513</v>
      </c>
      <c r="CZ35587" s="35">
        <v>1.1732610666666667E-2</v>
      </c>
    </row>
    <row r="35588" spans="103:104" x14ac:dyDescent="0.3">
      <c r="CY35588" s="34" t="s">
        <v>36514</v>
      </c>
      <c r="CZ35588" s="35">
        <v>4.0209299999999996E-4</v>
      </c>
    </row>
    <row r="35589" spans="103:104" x14ac:dyDescent="0.3">
      <c r="CY35589" s="34" t="s">
        <v>36515</v>
      </c>
      <c r="CZ35589" s="35">
        <v>6.5103542500000011E-3</v>
      </c>
    </row>
    <row r="35590" spans="103:104" x14ac:dyDescent="0.3">
      <c r="CY35590" s="34" t="s">
        <v>36516</v>
      </c>
      <c r="CZ35590" s="35">
        <v>1.9046789999999998E-3</v>
      </c>
    </row>
    <row r="35591" spans="103:104" x14ac:dyDescent="0.3">
      <c r="CY35591" s="34" t="s">
        <v>36517</v>
      </c>
      <c r="CZ35591" s="35">
        <v>2.5626275300000004E-2</v>
      </c>
    </row>
    <row r="35592" spans="103:104" x14ac:dyDescent="0.3">
      <c r="CY35592" s="34" t="s">
        <v>36518</v>
      </c>
      <c r="CZ35592" s="35">
        <v>1.7187399999999999E-2</v>
      </c>
    </row>
    <row r="35593" spans="103:104" x14ac:dyDescent="0.3">
      <c r="CY35593" s="34" t="s">
        <v>36519</v>
      </c>
      <c r="CZ35593" s="35">
        <v>0.34077364999999998</v>
      </c>
    </row>
    <row r="35594" spans="103:104" x14ac:dyDescent="0.3">
      <c r="CY35594" s="34" t="s">
        <v>36520</v>
      </c>
      <c r="CZ35594" s="35">
        <v>2.3902469374999999E-2</v>
      </c>
    </row>
    <row r="35595" spans="103:104" x14ac:dyDescent="0.3">
      <c r="CY35595" s="34" t="s">
        <v>36521</v>
      </c>
      <c r="CZ35595" s="35" t="e">
        <v>#VALUE!</v>
      </c>
    </row>
    <row r="35596" spans="103:104" x14ac:dyDescent="0.3">
      <c r="CY35596" s="34" t="s">
        <v>36522</v>
      </c>
      <c r="CZ35596" s="35">
        <v>9.6855200000000004</v>
      </c>
    </row>
    <row r="35597" spans="103:104" x14ac:dyDescent="0.3">
      <c r="CY35597" s="34" t="s">
        <v>36523</v>
      </c>
      <c r="CZ35597" s="35">
        <v>9.7801600000000004</v>
      </c>
    </row>
    <row r="35598" spans="103:104" x14ac:dyDescent="0.3">
      <c r="CY35598" s="34" t="s">
        <v>36524</v>
      </c>
      <c r="CZ35598" s="35">
        <v>10.56016</v>
      </c>
    </row>
    <row r="35599" spans="103:104" x14ac:dyDescent="0.3">
      <c r="CY35599" s="34" t="s">
        <v>36525</v>
      </c>
      <c r="CZ35599" s="35">
        <v>10.664159999999999</v>
      </c>
    </row>
    <row r="35600" spans="103:104" x14ac:dyDescent="0.3">
      <c r="CY35600" s="34" t="s">
        <v>36526</v>
      </c>
      <c r="CZ35600" s="35">
        <v>9.7801600000000004</v>
      </c>
    </row>
    <row r="35601" spans="103:104" x14ac:dyDescent="0.3">
      <c r="CY35601" s="34" t="s">
        <v>36527</v>
      </c>
      <c r="CZ35601" s="35">
        <v>5.3383199999999995</v>
      </c>
    </row>
    <row r="35602" spans="103:104" x14ac:dyDescent="0.3">
      <c r="CY35602" s="34" t="s">
        <v>36528</v>
      </c>
      <c r="CZ35602" s="35">
        <v>9.7801600000000004</v>
      </c>
    </row>
    <row r="35603" spans="103:104" x14ac:dyDescent="0.3">
      <c r="CY35603" s="34" t="s">
        <v>36529</v>
      </c>
      <c r="CZ35603" s="35">
        <v>5.0263200000000001</v>
      </c>
    </row>
    <row r="35604" spans="103:104" x14ac:dyDescent="0.3">
      <c r="CY35604" s="34" t="s">
        <v>36530</v>
      </c>
      <c r="CZ35604" s="35">
        <v>10.97616</v>
      </c>
    </row>
    <row r="35605" spans="103:104" x14ac:dyDescent="0.3">
      <c r="CY35605" s="34" t="s">
        <v>36531</v>
      </c>
      <c r="CZ35605" s="35">
        <v>7.8249599999999999</v>
      </c>
    </row>
    <row r="35606" spans="103:104" x14ac:dyDescent="0.3">
      <c r="CY35606" s="34" t="s">
        <v>36532</v>
      </c>
      <c r="CZ35606" s="35">
        <v>10.816000000000001</v>
      </c>
    </row>
    <row r="35607" spans="103:104" x14ac:dyDescent="0.3">
      <c r="CY35607" s="34" t="s">
        <v>36533</v>
      </c>
      <c r="CZ35607" s="35">
        <v>5.3872</v>
      </c>
    </row>
    <row r="35608" spans="103:104" x14ac:dyDescent="0.3">
      <c r="CY35608" s="34" t="s">
        <v>36534</v>
      </c>
      <c r="CZ35608" s="35">
        <v>9.7801600000000004</v>
      </c>
    </row>
    <row r="35609" spans="103:104" x14ac:dyDescent="0.3">
      <c r="CY35609" s="34" t="s">
        <v>36535</v>
      </c>
      <c r="CZ35609" s="35">
        <v>5.633</v>
      </c>
    </row>
    <row r="35610" spans="103:104" x14ac:dyDescent="0.3">
      <c r="CY35610" s="34" t="s">
        <v>36536</v>
      </c>
      <c r="CZ35610" s="35">
        <v>5.0263200000000001</v>
      </c>
    </row>
    <row r="35611" spans="103:104" x14ac:dyDescent="0.3">
      <c r="CY35611" s="34" t="s">
        <v>36537</v>
      </c>
      <c r="CZ35611" s="35">
        <v>5.7751200000000003</v>
      </c>
    </row>
    <row r="35612" spans="103:104" x14ac:dyDescent="0.3">
      <c r="CY35612" s="34" t="s">
        <v>36538</v>
      </c>
      <c r="CZ35612" s="35">
        <v>6.7828800000000005</v>
      </c>
    </row>
    <row r="35613" spans="103:104" x14ac:dyDescent="0.3">
      <c r="CY35613" s="34" t="s">
        <v>36539</v>
      </c>
      <c r="CZ35613" s="35">
        <v>1.0816000000000001E-2</v>
      </c>
    </row>
    <row r="35614" spans="103:104" x14ac:dyDescent="0.3">
      <c r="CY35614" s="34" t="s">
        <v>36540</v>
      </c>
      <c r="CZ35614" s="35">
        <v>5.39032</v>
      </c>
    </row>
    <row r="35615" spans="103:104" x14ac:dyDescent="0.3">
      <c r="CY35615" s="34" t="s">
        <v>36541</v>
      </c>
      <c r="CZ35615" s="35">
        <v>5.3872</v>
      </c>
    </row>
    <row r="35616" spans="103:104" x14ac:dyDescent="0.3">
      <c r="CY35616" s="34" t="s">
        <v>36542</v>
      </c>
      <c r="CZ35616" s="35">
        <v>3.6795199999999999E-3</v>
      </c>
    </row>
    <row r="35617" spans="103:104" x14ac:dyDescent="0.3">
      <c r="CY35617" s="34" t="s">
        <v>36543</v>
      </c>
      <c r="CZ35617" s="35">
        <v>5.2551199999999998</v>
      </c>
    </row>
    <row r="35618" spans="103:104" x14ac:dyDescent="0.3">
      <c r="CY35618" s="34" t="s">
        <v>36544</v>
      </c>
      <c r="CZ35618" s="35">
        <v>5.610468</v>
      </c>
    </row>
    <row r="35619" spans="103:104" x14ac:dyDescent="0.3">
      <c r="CY35619" s="34" t="s">
        <v>36545</v>
      </c>
      <c r="CZ35619" s="35">
        <v>10.816000000000001</v>
      </c>
    </row>
    <row r="35620" spans="103:104" x14ac:dyDescent="0.3">
      <c r="CY35620" s="34" t="s">
        <v>36546</v>
      </c>
      <c r="CZ35620" s="35">
        <v>9.83685657971</v>
      </c>
    </row>
    <row r="35621" spans="103:104" x14ac:dyDescent="0.3">
      <c r="CY35621" s="34" t="s">
        <v>36547</v>
      </c>
      <c r="CZ35621" s="35">
        <v>9.7801600000000004</v>
      </c>
    </row>
    <row r="35622" spans="103:104" x14ac:dyDescent="0.3">
      <c r="CY35622" s="34" t="s">
        <v>36548</v>
      </c>
      <c r="CZ35622" s="35">
        <v>9.2187440919540009</v>
      </c>
    </row>
    <row r="35623" spans="103:104" x14ac:dyDescent="0.3">
      <c r="CY35623" s="34" t="s">
        <v>36549</v>
      </c>
      <c r="CZ35623" s="35">
        <v>5.0304799999999998</v>
      </c>
    </row>
    <row r="35624" spans="103:104" x14ac:dyDescent="0.3">
      <c r="CY35624" s="34" t="s">
        <v>36550</v>
      </c>
      <c r="CZ35624" s="35">
        <v>4.7663199999999994</v>
      </c>
    </row>
    <row r="35625" spans="103:104" x14ac:dyDescent="0.3">
      <c r="CY35625" s="34" t="s">
        <v>36551</v>
      </c>
      <c r="CZ35625" s="35">
        <v>5.3383199999999995</v>
      </c>
    </row>
    <row r="35626" spans="103:104" x14ac:dyDescent="0.3">
      <c r="CY35626" s="34" t="s">
        <v>36552</v>
      </c>
      <c r="CZ35626" s="35">
        <v>3.10128</v>
      </c>
    </row>
    <row r="35627" spans="103:104" x14ac:dyDescent="0.3">
      <c r="CY35627" s="34" t="s">
        <v>36553</v>
      </c>
      <c r="CZ35627" s="35">
        <v>4.8048000000000002</v>
      </c>
    </row>
    <row r="35628" spans="103:104" x14ac:dyDescent="0.3">
      <c r="CY35628" s="34" t="s">
        <v>36554</v>
      </c>
      <c r="CZ35628" s="35">
        <v>1.796</v>
      </c>
    </row>
    <row r="35629" spans="103:104" x14ac:dyDescent="0.3">
      <c r="CY35629" s="34" t="s">
        <v>36555</v>
      </c>
      <c r="CZ35629" s="35">
        <v>5.39032</v>
      </c>
    </row>
    <row r="35630" spans="103:104" x14ac:dyDescent="0.3">
      <c r="CY35630" s="34" t="s">
        <v>36556</v>
      </c>
      <c r="CZ35630" s="35">
        <v>4.6071999999999997</v>
      </c>
    </row>
    <row r="35631" spans="103:104" x14ac:dyDescent="0.3">
      <c r="CY35631" s="34" t="s">
        <v>36557</v>
      </c>
      <c r="CZ35631" s="35">
        <v>34.748336417910004</v>
      </c>
    </row>
    <row r="35632" spans="103:104" x14ac:dyDescent="0.3">
      <c r="CY35632" s="34" t="s">
        <v>36558</v>
      </c>
      <c r="CZ35632" s="35">
        <v>9.2601599999999991</v>
      </c>
    </row>
    <row r="35633" spans="103:104" x14ac:dyDescent="0.3">
      <c r="CY35633" s="34" t="s">
        <v>36559</v>
      </c>
      <c r="CZ35633" s="35">
        <v>3.80328</v>
      </c>
    </row>
    <row r="35634" spans="103:104" x14ac:dyDescent="0.3">
      <c r="CY35634" s="34" t="s">
        <v>36560</v>
      </c>
      <c r="CZ35634" s="35">
        <v>4.4792800000000002</v>
      </c>
    </row>
    <row r="35635" spans="103:104" x14ac:dyDescent="0.3">
      <c r="CY35635" s="34" t="s">
        <v>36561</v>
      </c>
      <c r="CZ35635" s="35">
        <v>5.39032</v>
      </c>
    </row>
    <row r="35636" spans="103:104" x14ac:dyDescent="0.3">
      <c r="CY35636" s="34" t="s">
        <v>36562</v>
      </c>
      <c r="CZ35636" s="35">
        <v>3.80328</v>
      </c>
    </row>
    <row r="35637" spans="103:104" x14ac:dyDescent="0.3">
      <c r="CY35637" s="34" t="s">
        <v>36563</v>
      </c>
      <c r="CZ35637" s="35">
        <v>3.7989482460139996</v>
      </c>
    </row>
    <row r="35638" spans="103:104" x14ac:dyDescent="0.3">
      <c r="CY35638" s="34" t="s">
        <v>36564</v>
      </c>
      <c r="CZ35638" s="35">
        <v>3.80328</v>
      </c>
    </row>
    <row r="35639" spans="103:104" x14ac:dyDescent="0.3">
      <c r="CY35639" s="34" t="s">
        <v>36565</v>
      </c>
      <c r="CZ35639" s="35">
        <v>5.3383199999999995</v>
      </c>
    </row>
    <row r="35640" spans="103:104" x14ac:dyDescent="0.3">
      <c r="CY35640" s="34" t="s">
        <v>36566</v>
      </c>
      <c r="CZ35640" s="35">
        <v>5.0263200000000001</v>
      </c>
    </row>
    <row r="35641" spans="103:104" x14ac:dyDescent="0.3">
      <c r="CY35641" s="34" t="s">
        <v>36567</v>
      </c>
      <c r="CZ35641" s="35">
        <v>2.1189740000000001</v>
      </c>
    </row>
    <row r="35642" spans="103:104" x14ac:dyDescent="0.3">
      <c r="CY35642" s="34" t="s">
        <v>36568</v>
      </c>
      <c r="CZ35642" s="35">
        <v>5.39032</v>
      </c>
    </row>
    <row r="35643" spans="103:104" x14ac:dyDescent="0.3">
      <c r="CY35643" s="34" t="s">
        <v>36569</v>
      </c>
      <c r="CZ35643" s="35">
        <v>5.39032</v>
      </c>
    </row>
    <row r="35644" spans="103:104" x14ac:dyDescent="0.3">
      <c r="CY35644" s="34" t="s">
        <v>36570</v>
      </c>
      <c r="CZ35644" s="35">
        <v>5.2551199999999998</v>
      </c>
    </row>
    <row r="35645" spans="103:104" x14ac:dyDescent="0.3">
      <c r="CY35645" s="34" t="s">
        <v>36571</v>
      </c>
      <c r="CZ35645" s="35">
        <v>4.7663199999999994</v>
      </c>
    </row>
    <row r="35646" spans="103:104" x14ac:dyDescent="0.3">
      <c r="CY35646" s="34" t="s">
        <v>36572</v>
      </c>
      <c r="CZ35646" s="35">
        <v>7.8249599999999999</v>
      </c>
    </row>
    <row r="35647" spans="103:104" x14ac:dyDescent="0.3">
      <c r="CY35647" s="34" t="s">
        <v>36573</v>
      </c>
      <c r="CZ35647" s="35">
        <v>1.871</v>
      </c>
    </row>
    <row r="35648" spans="103:104" x14ac:dyDescent="0.3">
      <c r="CY35648" s="34" t="s">
        <v>36574</v>
      </c>
      <c r="CZ35648" s="35">
        <v>5.2738631029999992</v>
      </c>
    </row>
    <row r="35649" spans="103:104" x14ac:dyDescent="0.3">
      <c r="CY35649" s="34" t="s">
        <v>36575</v>
      </c>
      <c r="CZ35649" s="35">
        <v>4.4792800000000002</v>
      </c>
    </row>
    <row r="35650" spans="103:104" x14ac:dyDescent="0.3">
      <c r="CY35650" s="34" t="s">
        <v>36576</v>
      </c>
      <c r="CZ35650" s="35">
        <v>3.80328</v>
      </c>
    </row>
    <row r="35651" spans="103:104" x14ac:dyDescent="0.3">
      <c r="CY35651" s="34" t="s">
        <v>36577</v>
      </c>
      <c r="CZ35651" s="35">
        <v>9.2601599999999991</v>
      </c>
    </row>
    <row r="35652" spans="103:104" x14ac:dyDescent="0.3">
      <c r="CY35652" s="34" t="s">
        <v>36578</v>
      </c>
      <c r="CZ35652" s="35">
        <v>5.39032</v>
      </c>
    </row>
    <row r="35653" spans="103:104" x14ac:dyDescent="0.3">
      <c r="CY35653" s="34" t="s">
        <v>36579</v>
      </c>
      <c r="CZ35653" s="35">
        <v>5.39032</v>
      </c>
    </row>
    <row r="35654" spans="103:104" x14ac:dyDescent="0.3">
      <c r="CY35654" s="34" t="s">
        <v>36580</v>
      </c>
      <c r="CZ35654" s="35">
        <v>4.8048000000000002</v>
      </c>
    </row>
    <row r="35655" spans="103:104" x14ac:dyDescent="0.3">
      <c r="CY35655" s="34" t="s">
        <v>36581</v>
      </c>
      <c r="CZ35655" s="35">
        <v>5.39032</v>
      </c>
    </row>
    <row r="35656" spans="103:104" x14ac:dyDescent="0.3">
      <c r="CY35656" s="34" t="s">
        <v>36582</v>
      </c>
      <c r="CZ35656" s="35">
        <v>19.603999999999999</v>
      </c>
    </row>
    <row r="35657" spans="103:104" x14ac:dyDescent="0.3">
      <c r="CY35657" s="34" t="s">
        <v>36583</v>
      </c>
      <c r="CZ35657" s="35">
        <v>6.1776</v>
      </c>
    </row>
    <row r="35658" spans="103:104" x14ac:dyDescent="0.3">
      <c r="CY35658" s="34" t="s">
        <v>36584</v>
      </c>
      <c r="CZ35658" s="35">
        <v>4.8048000000000002</v>
      </c>
    </row>
    <row r="35659" spans="103:104" x14ac:dyDescent="0.3">
      <c r="CY35659" s="34" t="s">
        <v>36585</v>
      </c>
      <c r="CZ35659" s="35">
        <v>1.8262400000000001</v>
      </c>
    </row>
    <row r="35660" spans="103:104" x14ac:dyDescent="0.3">
      <c r="CY35660" s="34" t="s">
        <v>36586</v>
      </c>
      <c r="CZ35660" s="35">
        <v>3.3134399999999999</v>
      </c>
    </row>
    <row r="35661" spans="103:104" x14ac:dyDescent="0.3">
      <c r="CY35661" s="34" t="s">
        <v>36587</v>
      </c>
      <c r="CZ35661" s="35">
        <v>7.8249599999999999</v>
      </c>
    </row>
    <row r="35662" spans="103:104" x14ac:dyDescent="0.3">
      <c r="CY35662" s="34" t="s">
        <v>36588</v>
      </c>
      <c r="CZ35662" s="35">
        <v>4.9729999999999999</v>
      </c>
    </row>
    <row r="35663" spans="103:104" x14ac:dyDescent="0.3">
      <c r="CY35663" s="34" t="s">
        <v>36589</v>
      </c>
      <c r="CZ35663" s="35">
        <v>4.9254298536590007</v>
      </c>
    </row>
    <row r="35664" spans="103:104" x14ac:dyDescent="0.3">
      <c r="CY35664" s="34" t="s">
        <v>36590</v>
      </c>
      <c r="CZ35664" s="35">
        <v>4.6630000000000003</v>
      </c>
    </row>
    <row r="35665" spans="103:104" x14ac:dyDescent="0.3">
      <c r="CY35665" s="34" t="s">
        <v>36591</v>
      </c>
      <c r="CZ35665" s="35">
        <v>5.1719200000000001</v>
      </c>
    </row>
    <row r="35666" spans="103:104" x14ac:dyDescent="0.3">
      <c r="CY35666" s="34" t="s">
        <v>36592</v>
      </c>
      <c r="CZ35666" s="35">
        <v>4.7715200000000006</v>
      </c>
    </row>
    <row r="35667" spans="103:104" x14ac:dyDescent="0.3">
      <c r="CY35667" s="34" t="s">
        <v>36593</v>
      </c>
      <c r="CZ35667" s="35">
        <v>5.1614716767680004</v>
      </c>
    </row>
    <row r="35668" spans="103:104" x14ac:dyDescent="0.3">
      <c r="CY35668" s="34" t="s">
        <v>36594</v>
      </c>
      <c r="CZ35668" s="35">
        <v>5.1719200000000001</v>
      </c>
    </row>
    <row r="35669" spans="103:104" x14ac:dyDescent="0.3">
      <c r="CY35669" s="34" t="s">
        <v>36595</v>
      </c>
      <c r="CZ35669" s="35">
        <v>5.2551199999999998</v>
      </c>
    </row>
    <row r="35670" spans="103:104" x14ac:dyDescent="0.3">
      <c r="CY35670" s="34" t="s">
        <v>36596</v>
      </c>
      <c r="CZ35670" s="35">
        <v>5.39032</v>
      </c>
    </row>
    <row r="35671" spans="103:104" x14ac:dyDescent="0.3">
      <c r="CY35671" s="34" t="s">
        <v>36597</v>
      </c>
      <c r="CZ35671" s="35">
        <v>5.1904411764709995</v>
      </c>
    </row>
    <row r="35672" spans="103:104" x14ac:dyDescent="0.3">
      <c r="CY35672" s="34" t="s">
        <v>36598</v>
      </c>
      <c r="CZ35672" s="35">
        <v>4.8048000000000002</v>
      </c>
    </row>
    <row r="35673" spans="103:104" x14ac:dyDescent="0.3">
      <c r="CY35673" s="34" t="s">
        <v>36599</v>
      </c>
      <c r="CZ35673" s="35">
        <v>4.8048000000000002</v>
      </c>
    </row>
    <row r="35674" spans="103:104" x14ac:dyDescent="0.3">
      <c r="CY35674" s="34" t="s">
        <v>36600</v>
      </c>
      <c r="CZ35674" s="35">
        <v>2.7970000000000002</v>
      </c>
    </row>
    <row r="35675" spans="103:104" x14ac:dyDescent="0.3">
      <c r="CY35675" s="34" t="s">
        <v>36601</v>
      </c>
      <c r="CZ35675" s="35">
        <v>13.339799226804001</v>
      </c>
    </row>
    <row r="35676" spans="103:104" x14ac:dyDescent="0.3">
      <c r="CY35676" s="34" t="s">
        <v>36602</v>
      </c>
      <c r="CZ35676" s="35">
        <v>0.20634854771799999</v>
      </c>
    </row>
    <row r="35677" spans="103:104" x14ac:dyDescent="0.3">
      <c r="CY35677" s="34" t="s">
        <v>36603</v>
      </c>
      <c r="CZ35677" s="35">
        <v>10.491520000000001</v>
      </c>
    </row>
    <row r="35678" spans="103:104" x14ac:dyDescent="0.3">
      <c r="CY35678" s="34" t="s">
        <v>36604</v>
      </c>
      <c r="CZ35678" s="35">
        <v>7.8249599999999999</v>
      </c>
    </row>
    <row r="35679" spans="103:104" x14ac:dyDescent="0.3">
      <c r="CY35679" s="34" t="s">
        <v>36605</v>
      </c>
      <c r="CZ35679" s="35">
        <v>7.6169599999999997</v>
      </c>
    </row>
    <row r="35680" spans="103:104" x14ac:dyDescent="0.3">
      <c r="CY35680" s="34" t="s">
        <v>36606</v>
      </c>
      <c r="CZ35680" s="35">
        <v>4.9029999999999996</v>
      </c>
    </row>
    <row r="35681" spans="103:104" x14ac:dyDescent="0.3">
      <c r="CY35681" s="34" t="s">
        <v>36607</v>
      </c>
      <c r="CZ35681" s="35">
        <v>4.7715200000000006</v>
      </c>
    </row>
    <row r="35682" spans="103:104" x14ac:dyDescent="0.3">
      <c r="CY35682" s="34" t="s">
        <v>36608</v>
      </c>
      <c r="CZ35682" s="35">
        <v>1.8262400000000001</v>
      </c>
    </row>
    <row r="35683" spans="103:104" x14ac:dyDescent="0.3">
      <c r="CY35683" s="34" t="s">
        <v>36609</v>
      </c>
      <c r="CZ35683" s="35">
        <v>4.7715200000000006</v>
      </c>
    </row>
    <row r="35684" spans="103:104" x14ac:dyDescent="0.3">
      <c r="CY35684" s="34" t="s">
        <v>36610</v>
      </c>
      <c r="CZ35684" s="35">
        <v>4.7723398487969995</v>
      </c>
    </row>
    <row r="35685" spans="103:104" x14ac:dyDescent="0.3">
      <c r="CY35685" s="34" t="s">
        <v>36611</v>
      </c>
      <c r="CZ35685" s="35">
        <v>10.491520000000001</v>
      </c>
    </row>
    <row r="35686" spans="103:104" x14ac:dyDescent="0.3">
      <c r="CY35686" s="34" t="s">
        <v>36612</v>
      </c>
      <c r="CZ35686" s="35">
        <v>4.7715200000000006</v>
      </c>
    </row>
    <row r="35687" spans="103:104" x14ac:dyDescent="0.3">
      <c r="CY35687" s="34" t="s">
        <v>36613</v>
      </c>
      <c r="CZ35687" s="35">
        <v>5.259602902000001</v>
      </c>
    </row>
    <row r="35688" spans="103:104" x14ac:dyDescent="0.3">
      <c r="CY35688" s="34" t="s">
        <v>36614</v>
      </c>
      <c r="CZ35688" s="35">
        <v>1.64944</v>
      </c>
    </row>
    <row r="35689" spans="103:104" x14ac:dyDescent="0.3">
      <c r="CY35689" s="34" t="s">
        <v>36615</v>
      </c>
      <c r="CZ35689" s="35">
        <v>10.960559999999999</v>
      </c>
    </row>
    <row r="35690" spans="103:104" x14ac:dyDescent="0.3">
      <c r="CY35690" s="34" t="s">
        <v>36616</v>
      </c>
      <c r="CZ35690" s="35">
        <v>1.8262400000000001</v>
      </c>
    </row>
    <row r="35691" spans="103:104" x14ac:dyDescent="0.3">
      <c r="CY35691" s="34" t="s">
        <v>36617</v>
      </c>
      <c r="CZ35691" s="35">
        <v>1.7430399999999999</v>
      </c>
    </row>
    <row r="35692" spans="103:104" x14ac:dyDescent="0.3">
      <c r="CY35692" s="34" t="s">
        <v>36618</v>
      </c>
      <c r="CZ35692" s="35">
        <v>2.4207394042560004</v>
      </c>
    </row>
    <row r="35693" spans="103:104" x14ac:dyDescent="0.3">
      <c r="CY35693" s="34" t="s">
        <v>36619</v>
      </c>
      <c r="CZ35693" s="35">
        <v>6.2088000000000001</v>
      </c>
    </row>
    <row r="35694" spans="103:104" x14ac:dyDescent="0.3">
      <c r="CY35694" s="34" t="s">
        <v>36620</v>
      </c>
      <c r="CZ35694" s="35">
        <v>3.2665779999999998E-2</v>
      </c>
    </row>
    <row r="35695" spans="103:104" x14ac:dyDescent="0.3">
      <c r="CY35695" s="34" t="s">
        <v>36621</v>
      </c>
      <c r="CZ35695" s="35">
        <v>0.13467000000000001</v>
      </c>
    </row>
    <row r="35696" spans="103:104" x14ac:dyDescent="0.3">
      <c r="CY35696" s="34" t="s">
        <v>36622</v>
      </c>
      <c r="CZ35696" s="35">
        <v>8.2299999999999995E-3</v>
      </c>
    </row>
    <row r="35697" spans="103:105" ht="16.8" x14ac:dyDescent="0.4">
      <c r="CY35697" s="34" t="s">
        <v>36623</v>
      </c>
      <c r="CZ35697" s="350">
        <v>1.10446E-3</v>
      </c>
      <c r="DA35697" s="351"/>
    </row>
    <row r="35698" spans="103:105" ht="16.8" x14ac:dyDescent="0.4">
      <c r="CY35698" s="352" t="s">
        <v>36624</v>
      </c>
      <c r="CZ35698" s="350">
        <v>5.6026100000000001E-3</v>
      </c>
      <c r="DA35698" s="351"/>
    </row>
    <row r="35699" spans="103:105" ht="16.8" x14ac:dyDescent="0.4">
      <c r="CY35699" s="352" t="s">
        <v>36625</v>
      </c>
      <c r="CZ35699" s="350">
        <v>2.2339500000000002E-3</v>
      </c>
      <c r="DA35699" s="351"/>
    </row>
    <row r="35700" spans="103:105" ht="16.8" x14ac:dyDescent="0.4">
      <c r="CY35700" s="352" t="s">
        <v>36626</v>
      </c>
      <c r="CZ35700" s="350">
        <v>7.9162799999999995E-3</v>
      </c>
      <c r="DA35700" s="351"/>
    </row>
    <row r="35701" spans="103:105" ht="16.8" x14ac:dyDescent="0.4">
      <c r="CY35701" s="352" t="s">
        <v>36627</v>
      </c>
      <c r="CZ35701" s="350">
        <v>4.7065179999999998E-2</v>
      </c>
      <c r="DA35701" s="351"/>
    </row>
    <row r="35702" spans="103:105" ht="16.8" x14ac:dyDescent="0.4">
      <c r="CY35702" s="352" t="s">
        <v>36628</v>
      </c>
      <c r="CZ35702" s="350">
        <v>3.454393E-2</v>
      </c>
      <c r="DA35702" s="351"/>
    </row>
    <row r="35703" spans="103:105" ht="16.8" x14ac:dyDescent="0.4">
      <c r="CY35703" s="352" t="s">
        <v>36629</v>
      </c>
      <c r="CZ35703" s="350">
        <v>0.35316090999999999</v>
      </c>
      <c r="DA35703" s="351"/>
    </row>
    <row r="35704" spans="103:105" ht="16.8" x14ac:dyDescent="0.4">
      <c r="CY35704" s="352" t="s">
        <v>36630</v>
      </c>
      <c r="CZ35704" s="350">
        <v>0.20444345</v>
      </c>
      <c r="DA35704" s="351"/>
    </row>
    <row r="35705" spans="103:105" ht="16.8" x14ac:dyDescent="0.4">
      <c r="CY35705" s="352" t="s">
        <v>36631</v>
      </c>
      <c r="CZ35705" s="350">
        <v>1.063976E-2</v>
      </c>
      <c r="DA35705" s="351"/>
    </row>
    <row r="35706" spans="103:105" ht="16.8" x14ac:dyDescent="0.4">
      <c r="CY35706" s="352" t="s">
        <v>36632</v>
      </c>
      <c r="CZ35706" s="350">
        <v>4.1623000000000002E-4</v>
      </c>
      <c r="DA35706" s="351"/>
    </row>
    <row r="35707" spans="103:105" x14ac:dyDescent="0.3">
      <c r="CY35707" s="352" t="s">
        <v>36633</v>
      </c>
      <c r="CZ35707" s="350">
        <v>1.9724100000000001E-2</v>
      </c>
      <c r="DA35707" s="353"/>
    </row>
  </sheetData>
  <autoFilter ref="AN10:AQ311" xr:uid="{00000000-0001-0000-0A00-000000000000}"/>
  <mergeCells count="243">
    <mergeCell ref="P130:Q130"/>
    <mergeCell ref="R130:T130"/>
    <mergeCell ref="U130:X130"/>
    <mergeCell ref="E176:G177"/>
    <mergeCell ref="I176:J177"/>
    <mergeCell ref="L176:M177"/>
    <mergeCell ref="P176:X177"/>
    <mergeCell ref="P128:Q128"/>
    <mergeCell ref="R128:T128"/>
    <mergeCell ref="U128:X128"/>
    <mergeCell ref="P129:Q129"/>
    <mergeCell ref="R129:T129"/>
    <mergeCell ref="U129:X129"/>
    <mergeCell ref="P126:Q126"/>
    <mergeCell ref="R126:T126"/>
    <mergeCell ref="U126:X126"/>
    <mergeCell ref="P127:Q127"/>
    <mergeCell ref="R127:T127"/>
    <mergeCell ref="U127:X127"/>
    <mergeCell ref="P124:Q124"/>
    <mergeCell ref="R124:T124"/>
    <mergeCell ref="U124:X124"/>
    <mergeCell ref="P125:Q125"/>
    <mergeCell ref="R125:T125"/>
    <mergeCell ref="U125:X125"/>
    <mergeCell ref="P122:Q122"/>
    <mergeCell ref="R122:T122"/>
    <mergeCell ref="U122:X122"/>
    <mergeCell ref="P123:Q123"/>
    <mergeCell ref="R123:T123"/>
    <mergeCell ref="U123:X123"/>
    <mergeCell ref="P120:Q120"/>
    <mergeCell ref="R120:T120"/>
    <mergeCell ref="U120:X120"/>
    <mergeCell ref="P121:Q121"/>
    <mergeCell ref="R121:T121"/>
    <mergeCell ref="U121:X121"/>
    <mergeCell ref="P118:Q118"/>
    <mergeCell ref="R118:T118"/>
    <mergeCell ref="U118:X118"/>
    <mergeCell ref="P119:Q119"/>
    <mergeCell ref="R119:T119"/>
    <mergeCell ref="U119:X119"/>
    <mergeCell ref="P116:Q116"/>
    <mergeCell ref="R116:T116"/>
    <mergeCell ref="U116:X116"/>
    <mergeCell ref="P117:Q117"/>
    <mergeCell ref="R117:T117"/>
    <mergeCell ref="U117:X117"/>
    <mergeCell ref="P114:Q114"/>
    <mergeCell ref="R114:T114"/>
    <mergeCell ref="U114:X114"/>
    <mergeCell ref="P115:Q115"/>
    <mergeCell ref="R115:T115"/>
    <mergeCell ref="U115:X115"/>
    <mergeCell ref="P112:Q112"/>
    <mergeCell ref="R112:T112"/>
    <mergeCell ref="U112:X112"/>
    <mergeCell ref="P113:Q113"/>
    <mergeCell ref="R113:T113"/>
    <mergeCell ref="U113:X113"/>
    <mergeCell ref="P109:Q109"/>
    <mergeCell ref="R109:T109"/>
    <mergeCell ref="U109:X109"/>
    <mergeCell ref="H110:L111"/>
    <mergeCell ref="P110:Q110"/>
    <mergeCell ref="R110:T110"/>
    <mergeCell ref="U110:X110"/>
    <mergeCell ref="P111:Q111"/>
    <mergeCell ref="R111:T111"/>
    <mergeCell ref="U111:X111"/>
    <mergeCell ref="P106:Q106"/>
    <mergeCell ref="R106:T106"/>
    <mergeCell ref="U106:X106"/>
    <mergeCell ref="H107:L108"/>
    <mergeCell ref="P107:Q107"/>
    <mergeCell ref="R107:T107"/>
    <mergeCell ref="U107:X107"/>
    <mergeCell ref="P108:Q108"/>
    <mergeCell ref="R108:T108"/>
    <mergeCell ref="U108:X108"/>
    <mergeCell ref="P103:Q103"/>
    <mergeCell ref="R103:T103"/>
    <mergeCell ref="U103:X103"/>
    <mergeCell ref="H104:L105"/>
    <mergeCell ref="P104:Q104"/>
    <mergeCell ref="R104:T104"/>
    <mergeCell ref="U104:X104"/>
    <mergeCell ref="P105:Q105"/>
    <mergeCell ref="R105:T105"/>
    <mergeCell ref="U105:X105"/>
    <mergeCell ref="P100:Q100"/>
    <mergeCell ref="R100:T100"/>
    <mergeCell ref="U100:X100"/>
    <mergeCell ref="H101:L102"/>
    <mergeCell ref="P101:Q101"/>
    <mergeCell ref="R101:T101"/>
    <mergeCell ref="U101:X101"/>
    <mergeCell ref="P102:Q102"/>
    <mergeCell ref="R102:T102"/>
    <mergeCell ref="U102:X102"/>
    <mergeCell ref="P97:Q97"/>
    <mergeCell ref="R97:T97"/>
    <mergeCell ref="U97:X97"/>
    <mergeCell ref="H98:L99"/>
    <mergeCell ref="P98:Q98"/>
    <mergeCell ref="R98:T98"/>
    <mergeCell ref="U98:X98"/>
    <mergeCell ref="P99:Q99"/>
    <mergeCell ref="R99:T99"/>
    <mergeCell ref="U99:X99"/>
    <mergeCell ref="P94:Q94"/>
    <mergeCell ref="R94:T94"/>
    <mergeCell ref="U94:X94"/>
    <mergeCell ref="H95:L96"/>
    <mergeCell ref="P95:Q95"/>
    <mergeCell ref="R95:T95"/>
    <mergeCell ref="U95:X95"/>
    <mergeCell ref="P96:Q96"/>
    <mergeCell ref="R96:T96"/>
    <mergeCell ref="U96:X96"/>
    <mergeCell ref="P91:Q91"/>
    <mergeCell ref="R91:T91"/>
    <mergeCell ref="U91:X91"/>
    <mergeCell ref="H92:L93"/>
    <mergeCell ref="P92:Q92"/>
    <mergeCell ref="R92:T92"/>
    <mergeCell ref="U92:X92"/>
    <mergeCell ref="P93:Q93"/>
    <mergeCell ref="R93:T93"/>
    <mergeCell ref="U93:X93"/>
    <mergeCell ref="P88:Q88"/>
    <mergeCell ref="R88:T88"/>
    <mergeCell ref="U88:X88"/>
    <mergeCell ref="H89:L90"/>
    <mergeCell ref="P89:Q89"/>
    <mergeCell ref="R89:T89"/>
    <mergeCell ref="U89:X89"/>
    <mergeCell ref="P90:Q90"/>
    <mergeCell ref="R90:T90"/>
    <mergeCell ref="U90:X90"/>
    <mergeCell ref="P85:Q85"/>
    <mergeCell ref="R85:T85"/>
    <mergeCell ref="U85:X85"/>
    <mergeCell ref="H86:L87"/>
    <mergeCell ref="P86:Q86"/>
    <mergeCell ref="R86:T86"/>
    <mergeCell ref="U86:X86"/>
    <mergeCell ref="P87:Q87"/>
    <mergeCell ref="R87:T87"/>
    <mergeCell ref="U87:X87"/>
    <mergeCell ref="P82:Q82"/>
    <mergeCell ref="R82:T82"/>
    <mergeCell ref="U82:X82"/>
    <mergeCell ref="H83:L84"/>
    <mergeCell ref="P83:Q83"/>
    <mergeCell ref="R83:T83"/>
    <mergeCell ref="U83:X83"/>
    <mergeCell ref="P84:Q84"/>
    <mergeCell ref="R84:T84"/>
    <mergeCell ref="U84:X84"/>
    <mergeCell ref="H80:L81"/>
    <mergeCell ref="P80:Q80"/>
    <mergeCell ref="R80:T80"/>
    <mergeCell ref="U80:X80"/>
    <mergeCell ref="P81:Q81"/>
    <mergeCell ref="R81:T81"/>
    <mergeCell ref="U81:X81"/>
    <mergeCell ref="H77:L78"/>
    <mergeCell ref="P77:X77"/>
    <mergeCell ref="P78:Q78"/>
    <mergeCell ref="R78:T78"/>
    <mergeCell ref="U78:X78"/>
    <mergeCell ref="P79:Q79"/>
    <mergeCell ref="R79:T79"/>
    <mergeCell ref="U79:X79"/>
    <mergeCell ref="S38:W39"/>
    <mergeCell ref="X38:X39"/>
    <mergeCell ref="Y38:Y39"/>
    <mergeCell ref="S41:W42"/>
    <mergeCell ref="X41:X42"/>
    <mergeCell ref="S48:W49"/>
    <mergeCell ref="X48:X49"/>
    <mergeCell ref="S34:W35"/>
    <mergeCell ref="X34:X35"/>
    <mergeCell ref="Y34:Y35"/>
    <mergeCell ref="S36:W37"/>
    <mergeCell ref="X36:X37"/>
    <mergeCell ref="Y36:Y37"/>
    <mergeCell ref="S30:W31"/>
    <mergeCell ref="X30:X31"/>
    <mergeCell ref="Y30:Y31"/>
    <mergeCell ref="S32:W33"/>
    <mergeCell ref="X32:X33"/>
    <mergeCell ref="Y32:Y33"/>
    <mergeCell ref="S26:W27"/>
    <mergeCell ref="X26:X27"/>
    <mergeCell ref="Y26:Y27"/>
    <mergeCell ref="S28:W29"/>
    <mergeCell ref="X28:X29"/>
    <mergeCell ref="Y28:Y29"/>
    <mergeCell ref="AB21:AE22"/>
    <mergeCell ref="S22:W23"/>
    <mergeCell ref="X22:X23"/>
    <mergeCell ref="Y22:Y23"/>
    <mergeCell ref="H23:M24"/>
    <mergeCell ref="S24:W25"/>
    <mergeCell ref="X24:X25"/>
    <mergeCell ref="Y24:Y25"/>
    <mergeCell ref="S18:W19"/>
    <mergeCell ref="X18:X19"/>
    <mergeCell ref="Y18:Y19"/>
    <mergeCell ref="B19:C20"/>
    <mergeCell ref="H19:L20"/>
    <mergeCell ref="S20:W21"/>
    <mergeCell ref="X20:X21"/>
    <mergeCell ref="Y20:Y21"/>
    <mergeCell ref="B13:C14"/>
    <mergeCell ref="H13:L14"/>
    <mergeCell ref="BN13:BR14"/>
    <mergeCell ref="B16:C17"/>
    <mergeCell ref="H16:L17"/>
    <mergeCell ref="S16:W17"/>
    <mergeCell ref="X16:X17"/>
    <mergeCell ref="Y16:Y17"/>
    <mergeCell ref="AV7:AW8"/>
    <mergeCell ref="BG7:BH8"/>
    <mergeCell ref="BN7:BR8"/>
    <mergeCell ref="BU7:BW8"/>
    <mergeCell ref="B10:C11"/>
    <mergeCell ref="H10:L11"/>
    <mergeCell ref="S10:W11"/>
    <mergeCell ref="BN10:BR11"/>
    <mergeCell ref="B2:Y4"/>
    <mergeCell ref="AA2:AT4"/>
    <mergeCell ref="AV2:BK4"/>
    <mergeCell ref="BM2:CL4"/>
    <mergeCell ref="CN2:CR4"/>
    <mergeCell ref="B7:C8"/>
    <mergeCell ref="H7:L8"/>
    <mergeCell ref="S7:W8"/>
    <mergeCell ref="AB7:AE8"/>
    <mergeCell ref="AG7:AS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Rodriguez</dc:creator>
  <cp:lastModifiedBy>Ismael Rodriguez</cp:lastModifiedBy>
  <dcterms:created xsi:type="dcterms:W3CDTF">2026-03-23T11:43:32Z</dcterms:created>
  <dcterms:modified xsi:type="dcterms:W3CDTF">2026-03-23T11:43:56Z</dcterms:modified>
</cp:coreProperties>
</file>